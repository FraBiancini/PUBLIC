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C48B46E-A8F7-40E6-818A-58F080EAADAF}" xr6:coauthVersionLast="47" xr6:coauthVersionMax="47" xr10:uidLastSave="{00000000-0000-0000-0000-000000000000}"/>
  <bookViews>
    <workbookView xWindow="-108" yWindow="-108" windowWidth="23256" windowHeight="12576" activeTab="5" xr2:uid="{09FCF9DC-F357-476B-8295-3F35BA19339D}"/>
  </bookViews>
  <sheets>
    <sheet name="Historical Simulation" sheetId="1" r:id="rId1"/>
    <sheet name="Punto 1" sheetId="3" r:id="rId2"/>
    <sheet name="Punto 2" sheetId="4" r:id="rId3"/>
    <sheet name="Punto 3" sheetId="5" r:id="rId4"/>
    <sheet name="Punto 4" sheetId="8" r:id="rId5"/>
    <sheet name="Punto 5" sheetId="12" r:id="rId6"/>
    <sheet name="Punto 6" sheetId="13" r:id="rId7"/>
  </sheets>
  <definedNames>
    <definedName name="TRNR_7053e89926db463285ce007995b46c9f_5_20" localSheetId="1" hidden="1">'Punto 1'!#REF!</definedName>
    <definedName name="TRNR_7053e89926db463285ce007995b46c9f_5_20" localSheetId="2" hidden="1">'Punto 2'!#REF!</definedName>
    <definedName name="TRNR_7053e89926db463285ce007995b46c9f_5_20" localSheetId="3" hidden="1">'Punto 3'!#REF!</definedName>
    <definedName name="TRNR_7053e89926db463285ce007995b46c9f_5_20" localSheetId="4" hidden="1">'Punto 4'!#REF!</definedName>
    <definedName name="TRNR_7053e89926db463285ce007995b46c9f_5_20" localSheetId="5" hidden="1">'Punto 5'!#REF!</definedName>
    <definedName name="TRNR_7053e89926db463285ce007995b46c9f_5_20" hidden="1">'Historical Simulation'!#REF!</definedName>
    <definedName name="TRNR_8ad8f1e39652446a9e1f6f3e505d97ba_1309_3" localSheetId="1" hidden="1">'Punto 1'!$A$1</definedName>
    <definedName name="TRNR_8ad8f1e39652446a9e1f6f3e505d97ba_1309_3" localSheetId="2" hidden="1">'Punto 2'!$A$1</definedName>
    <definedName name="TRNR_8ad8f1e39652446a9e1f6f3e505d97ba_1309_3" localSheetId="3" hidden="1">'Punto 3'!$A$1</definedName>
    <definedName name="TRNR_8ad8f1e39652446a9e1f6f3e505d97ba_1309_3" localSheetId="4" hidden="1">'Punto 4'!$A$1</definedName>
    <definedName name="TRNR_8ad8f1e39652446a9e1f6f3e505d97ba_1309_3" localSheetId="5" hidden="1">'Punto 5'!$A$1</definedName>
    <definedName name="TRNR_8ad8f1e39652446a9e1f6f3e505d97ba_1309_3" hidden="1">'Historical Simulation'!$A$1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5" i="13" l="1"/>
  <c r="L5" i="13"/>
  <c r="K5" i="13"/>
  <c r="J5" i="13"/>
  <c r="J20" i="12"/>
  <c r="M7" i="8"/>
  <c r="M10" i="5"/>
  <c r="M8" i="4"/>
  <c r="M8" i="3"/>
  <c r="AD5" i="1"/>
  <c r="AE5" i="1"/>
  <c r="AC5" i="1"/>
  <c r="W6" i="1"/>
  <c r="X6" i="1"/>
  <c r="Y6" i="1"/>
  <c r="W7" i="1"/>
  <c r="X7" i="1"/>
  <c r="Y7" i="1"/>
  <c r="W8" i="1"/>
  <c r="X8" i="1"/>
  <c r="Y8" i="1"/>
  <c r="W9" i="1"/>
  <c r="X9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5" i="1"/>
  <c r="X65" i="1"/>
  <c r="Y65" i="1"/>
  <c r="W66" i="1"/>
  <c r="X66" i="1"/>
  <c r="Y66" i="1"/>
  <c r="W67" i="1"/>
  <c r="X67" i="1"/>
  <c r="Y67" i="1"/>
  <c r="W68" i="1"/>
  <c r="X68" i="1"/>
  <c r="Y68" i="1"/>
  <c r="W69" i="1"/>
  <c r="X69" i="1"/>
  <c r="Y69" i="1"/>
  <c r="W70" i="1"/>
  <c r="X70" i="1"/>
  <c r="Y70" i="1"/>
  <c r="W71" i="1"/>
  <c r="X71" i="1"/>
  <c r="Y71" i="1"/>
  <c r="W72" i="1"/>
  <c r="X72" i="1"/>
  <c r="Y72" i="1"/>
  <c r="W73" i="1"/>
  <c r="X73" i="1"/>
  <c r="Y73" i="1"/>
  <c r="W74" i="1"/>
  <c r="X74" i="1"/>
  <c r="Y74" i="1"/>
  <c r="W75" i="1"/>
  <c r="X75" i="1"/>
  <c r="Y75" i="1"/>
  <c r="W76" i="1"/>
  <c r="X76" i="1"/>
  <c r="Y76" i="1"/>
  <c r="W77" i="1"/>
  <c r="X77" i="1"/>
  <c r="Y77" i="1"/>
  <c r="W78" i="1"/>
  <c r="X78" i="1"/>
  <c r="Y78" i="1"/>
  <c r="W79" i="1"/>
  <c r="X79" i="1"/>
  <c r="Y79" i="1"/>
  <c r="W80" i="1"/>
  <c r="X80" i="1"/>
  <c r="Y80" i="1"/>
  <c r="W81" i="1"/>
  <c r="X81" i="1"/>
  <c r="Y81" i="1"/>
  <c r="W82" i="1"/>
  <c r="X82" i="1"/>
  <c r="Y82" i="1"/>
  <c r="W83" i="1"/>
  <c r="X83" i="1"/>
  <c r="Y83" i="1"/>
  <c r="W84" i="1"/>
  <c r="X84" i="1"/>
  <c r="Y84" i="1"/>
  <c r="W85" i="1"/>
  <c r="X85" i="1"/>
  <c r="Y85" i="1"/>
  <c r="W86" i="1"/>
  <c r="X86" i="1"/>
  <c r="Y86" i="1"/>
  <c r="W87" i="1"/>
  <c r="X87" i="1"/>
  <c r="Y87" i="1"/>
  <c r="W88" i="1"/>
  <c r="X88" i="1"/>
  <c r="Y88" i="1"/>
  <c r="W89" i="1"/>
  <c r="X89" i="1"/>
  <c r="Y89" i="1"/>
  <c r="W90" i="1"/>
  <c r="X90" i="1"/>
  <c r="Y90" i="1"/>
  <c r="W91" i="1"/>
  <c r="X91" i="1"/>
  <c r="Y91" i="1"/>
  <c r="W92" i="1"/>
  <c r="X92" i="1"/>
  <c r="Y92" i="1"/>
  <c r="W93" i="1"/>
  <c r="X93" i="1"/>
  <c r="Y93" i="1"/>
  <c r="W94" i="1"/>
  <c r="X94" i="1"/>
  <c r="Y94" i="1"/>
  <c r="W95" i="1"/>
  <c r="X95" i="1"/>
  <c r="Y95" i="1"/>
  <c r="W96" i="1"/>
  <c r="X96" i="1"/>
  <c r="Y96" i="1"/>
  <c r="W97" i="1"/>
  <c r="X97" i="1"/>
  <c r="Y97" i="1"/>
  <c r="W98" i="1"/>
  <c r="X98" i="1"/>
  <c r="Y98" i="1"/>
  <c r="W99" i="1"/>
  <c r="X99" i="1"/>
  <c r="Y99" i="1"/>
  <c r="W100" i="1"/>
  <c r="X100" i="1"/>
  <c r="Y100" i="1"/>
  <c r="W101" i="1"/>
  <c r="X101" i="1"/>
  <c r="Y101" i="1"/>
  <c r="W102" i="1"/>
  <c r="X102" i="1"/>
  <c r="Y102" i="1"/>
  <c r="W103" i="1"/>
  <c r="X103" i="1"/>
  <c r="Y103" i="1"/>
  <c r="W104" i="1"/>
  <c r="X104" i="1"/>
  <c r="Y104" i="1"/>
  <c r="W105" i="1"/>
  <c r="X105" i="1"/>
  <c r="Y105" i="1"/>
  <c r="W106" i="1"/>
  <c r="X106" i="1"/>
  <c r="Y106" i="1"/>
  <c r="W107" i="1"/>
  <c r="X107" i="1"/>
  <c r="Y107" i="1"/>
  <c r="W108" i="1"/>
  <c r="X108" i="1"/>
  <c r="Y108" i="1"/>
  <c r="W109" i="1"/>
  <c r="X109" i="1"/>
  <c r="Y109" i="1"/>
  <c r="W110" i="1"/>
  <c r="X110" i="1"/>
  <c r="Y110" i="1"/>
  <c r="W111" i="1"/>
  <c r="X111" i="1"/>
  <c r="Y111" i="1"/>
  <c r="W112" i="1"/>
  <c r="X112" i="1"/>
  <c r="Y112" i="1"/>
  <c r="W113" i="1"/>
  <c r="X113" i="1"/>
  <c r="Y113" i="1"/>
  <c r="W114" i="1"/>
  <c r="X114" i="1"/>
  <c r="Y114" i="1"/>
  <c r="W115" i="1"/>
  <c r="X115" i="1"/>
  <c r="Y115" i="1"/>
  <c r="W116" i="1"/>
  <c r="X116" i="1"/>
  <c r="Y116" i="1"/>
  <c r="W117" i="1"/>
  <c r="X117" i="1"/>
  <c r="Y117" i="1"/>
  <c r="W118" i="1"/>
  <c r="X118" i="1"/>
  <c r="Y118" i="1"/>
  <c r="W119" i="1"/>
  <c r="X119" i="1"/>
  <c r="Y119" i="1"/>
  <c r="W120" i="1"/>
  <c r="X120" i="1"/>
  <c r="Y120" i="1"/>
  <c r="W121" i="1"/>
  <c r="X121" i="1"/>
  <c r="Y121" i="1"/>
  <c r="W122" i="1"/>
  <c r="X122" i="1"/>
  <c r="Y122" i="1"/>
  <c r="W123" i="1"/>
  <c r="X123" i="1"/>
  <c r="Y123" i="1"/>
  <c r="W124" i="1"/>
  <c r="X124" i="1"/>
  <c r="Y124" i="1"/>
  <c r="W125" i="1"/>
  <c r="X125" i="1"/>
  <c r="Y125" i="1"/>
  <c r="W126" i="1"/>
  <c r="X126" i="1"/>
  <c r="Y126" i="1"/>
  <c r="W127" i="1"/>
  <c r="X127" i="1"/>
  <c r="Y127" i="1"/>
  <c r="W128" i="1"/>
  <c r="X128" i="1"/>
  <c r="Y128" i="1"/>
  <c r="W129" i="1"/>
  <c r="X129" i="1"/>
  <c r="Y129" i="1"/>
  <c r="W130" i="1"/>
  <c r="X130" i="1"/>
  <c r="Y130" i="1"/>
  <c r="W131" i="1"/>
  <c r="X131" i="1"/>
  <c r="Y131" i="1"/>
  <c r="W132" i="1"/>
  <c r="X132" i="1"/>
  <c r="Y132" i="1"/>
  <c r="W133" i="1"/>
  <c r="X133" i="1"/>
  <c r="Y133" i="1"/>
  <c r="W134" i="1"/>
  <c r="X134" i="1"/>
  <c r="Y134" i="1"/>
  <c r="W135" i="1"/>
  <c r="X135" i="1"/>
  <c r="Y135" i="1"/>
  <c r="W136" i="1"/>
  <c r="X136" i="1"/>
  <c r="Y136" i="1"/>
  <c r="W137" i="1"/>
  <c r="X137" i="1"/>
  <c r="Y137" i="1"/>
  <c r="W138" i="1"/>
  <c r="X138" i="1"/>
  <c r="Y138" i="1"/>
  <c r="W139" i="1"/>
  <c r="X139" i="1"/>
  <c r="Y139" i="1"/>
  <c r="W140" i="1"/>
  <c r="X140" i="1"/>
  <c r="Y140" i="1"/>
  <c r="W141" i="1"/>
  <c r="X141" i="1"/>
  <c r="Y141" i="1"/>
  <c r="W142" i="1"/>
  <c r="X142" i="1"/>
  <c r="Y142" i="1"/>
  <c r="W143" i="1"/>
  <c r="X143" i="1"/>
  <c r="Y143" i="1"/>
  <c r="W144" i="1"/>
  <c r="X144" i="1"/>
  <c r="Y144" i="1"/>
  <c r="W145" i="1"/>
  <c r="X145" i="1"/>
  <c r="Y145" i="1"/>
  <c r="W146" i="1"/>
  <c r="X146" i="1"/>
  <c r="Y146" i="1"/>
  <c r="W147" i="1"/>
  <c r="X147" i="1"/>
  <c r="Y147" i="1"/>
  <c r="W148" i="1"/>
  <c r="X148" i="1"/>
  <c r="Y148" i="1"/>
  <c r="W149" i="1"/>
  <c r="X149" i="1"/>
  <c r="Y149" i="1"/>
  <c r="W150" i="1"/>
  <c r="X150" i="1"/>
  <c r="Y150" i="1"/>
  <c r="W151" i="1"/>
  <c r="X151" i="1"/>
  <c r="Y151" i="1"/>
  <c r="W152" i="1"/>
  <c r="X152" i="1"/>
  <c r="Y152" i="1"/>
  <c r="W153" i="1"/>
  <c r="X153" i="1"/>
  <c r="Y153" i="1"/>
  <c r="W154" i="1"/>
  <c r="X154" i="1"/>
  <c r="Y154" i="1"/>
  <c r="W155" i="1"/>
  <c r="X155" i="1"/>
  <c r="Y155" i="1"/>
  <c r="W156" i="1"/>
  <c r="X156" i="1"/>
  <c r="Y156" i="1"/>
  <c r="W157" i="1"/>
  <c r="X157" i="1"/>
  <c r="Y157" i="1"/>
  <c r="W158" i="1"/>
  <c r="X158" i="1"/>
  <c r="Y158" i="1"/>
  <c r="W159" i="1"/>
  <c r="X159" i="1"/>
  <c r="Y159" i="1"/>
  <c r="W160" i="1"/>
  <c r="X160" i="1"/>
  <c r="Y160" i="1"/>
  <c r="W161" i="1"/>
  <c r="X161" i="1"/>
  <c r="Y161" i="1"/>
  <c r="W162" i="1"/>
  <c r="X162" i="1"/>
  <c r="Y162" i="1"/>
  <c r="W163" i="1"/>
  <c r="X163" i="1"/>
  <c r="Y163" i="1"/>
  <c r="W164" i="1"/>
  <c r="X164" i="1"/>
  <c r="Y164" i="1"/>
  <c r="W165" i="1"/>
  <c r="X165" i="1"/>
  <c r="Y165" i="1"/>
  <c r="W166" i="1"/>
  <c r="X166" i="1"/>
  <c r="Y166" i="1"/>
  <c r="W167" i="1"/>
  <c r="X167" i="1"/>
  <c r="Y167" i="1"/>
  <c r="W168" i="1"/>
  <c r="X168" i="1"/>
  <c r="Y168" i="1"/>
  <c r="W169" i="1"/>
  <c r="X169" i="1"/>
  <c r="Y169" i="1"/>
  <c r="W170" i="1"/>
  <c r="X170" i="1"/>
  <c r="Y170" i="1"/>
  <c r="W171" i="1"/>
  <c r="X171" i="1"/>
  <c r="Y171" i="1"/>
  <c r="W172" i="1"/>
  <c r="X172" i="1"/>
  <c r="Y172" i="1"/>
  <c r="W173" i="1"/>
  <c r="X173" i="1"/>
  <c r="Y173" i="1"/>
  <c r="W174" i="1"/>
  <c r="X174" i="1"/>
  <c r="Y174" i="1"/>
  <c r="W175" i="1"/>
  <c r="X175" i="1"/>
  <c r="Y175" i="1"/>
  <c r="W176" i="1"/>
  <c r="X176" i="1"/>
  <c r="Y176" i="1"/>
  <c r="W177" i="1"/>
  <c r="X177" i="1"/>
  <c r="Y177" i="1"/>
  <c r="W178" i="1"/>
  <c r="X178" i="1"/>
  <c r="Y178" i="1"/>
  <c r="W179" i="1"/>
  <c r="X179" i="1"/>
  <c r="Y179" i="1"/>
  <c r="W180" i="1"/>
  <c r="X180" i="1"/>
  <c r="Y180" i="1"/>
  <c r="W181" i="1"/>
  <c r="X181" i="1"/>
  <c r="Y181" i="1"/>
  <c r="W182" i="1"/>
  <c r="X182" i="1"/>
  <c r="Y182" i="1"/>
  <c r="W183" i="1"/>
  <c r="X183" i="1"/>
  <c r="Y183" i="1"/>
  <c r="W184" i="1"/>
  <c r="X184" i="1"/>
  <c r="Y184" i="1"/>
  <c r="W185" i="1"/>
  <c r="X185" i="1"/>
  <c r="Y185" i="1"/>
  <c r="W186" i="1"/>
  <c r="X186" i="1"/>
  <c r="Y186" i="1"/>
  <c r="W187" i="1"/>
  <c r="X187" i="1"/>
  <c r="Y187" i="1"/>
  <c r="W188" i="1"/>
  <c r="X188" i="1"/>
  <c r="Y188" i="1"/>
  <c r="W189" i="1"/>
  <c r="X189" i="1"/>
  <c r="Y189" i="1"/>
  <c r="W190" i="1"/>
  <c r="X190" i="1"/>
  <c r="Y190" i="1"/>
  <c r="W191" i="1"/>
  <c r="X191" i="1"/>
  <c r="Y191" i="1"/>
  <c r="W192" i="1"/>
  <c r="X192" i="1"/>
  <c r="Y192" i="1"/>
  <c r="W193" i="1"/>
  <c r="X193" i="1"/>
  <c r="Y193" i="1"/>
  <c r="W194" i="1"/>
  <c r="X194" i="1"/>
  <c r="Y194" i="1"/>
  <c r="W195" i="1"/>
  <c r="X195" i="1"/>
  <c r="Y195" i="1"/>
  <c r="W196" i="1"/>
  <c r="X196" i="1"/>
  <c r="Y196" i="1"/>
  <c r="W197" i="1"/>
  <c r="X197" i="1"/>
  <c r="Y197" i="1"/>
  <c r="W198" i="1"/>
  <c r="X198" i="1"/>
  <c r="Y198" i="1"/>
  <c r="W199" i="1"/>
  <c r="X199" i="1"/>
  <c r="Y199" i="1"/>
  <c r="W200" i="1"/>
  <c r="X200" i="1"/>
  <c r="Y200" i="1"/>
  <c r="W201" i="1"/>
  <c r="X201" i="1"/>
  <c r="Y201" i="1"/>
  <c r="W202" i="1"/>
  <c r="X202" i="1"/>
  <c r="Y202" i="1"/>
  <c r="W203" i="1"/>
  <c r="X203" i="1"/>
  <c r="Y203" i="1"/>
  <c r="W204" i="1"/>
  <c r="X204" i="1"/>
  <c r="Y204" i="1"/>
  <c r="W205" i="1"/>
  <c r="X205" i="1"/>
  <c r="Y205" i="1"/>
  <c r="W206" i="1"/>
  <c r="X206" i="1"/>
  <c r="Y206" i="1"/>
  <c r="W207" i="1"/>
  <c r="X207" i="1"/>
  <c r="Y207" i="1"/>
  <c r="W208" i="1"/>
  <c r="X208" i="1"/>
  <c r="Y208" i="1"/>
  <c r="W209" i="1"/>
  <c r="X209" i="1"/>
  <c r="Y209" i="1"/>
  <c r="W210" i="1"/>
  <c r="X210" i="1"/>
  <c r="Y210" i="1"/>
  <c r="W211" i="1"/>
  <c r="X211" i="1"/>
  <c r="Y211" i="1"/>
  <c r="W212" i="1"/>
  <c r="X212" i="1"/>
  <c r="Y212" i="1"/>
  <c r="W213" i="1"/>
  <c r="X213" i="1"/>
  <c r="Y213" i="1"/>
  <c r="W214" i="1"/>
  <c r="X214" i="1"/>
  <c r="Y214" i="1"/>
  <c r="W215" i="1"/>
  <c r="X215" i="1"/>
  <c r="Y215" i="1"/>
  <c r="W216" i="1"/>
  <c r="X216" i="1"/>
  <c r="Y216" i="1"/>
  <c r="W217" i="1"/>
  <c r="X217" i="1"/>
  <c r="Y217" i="1"/>
  <c r="W218" i="1"/>
  <c r="X218" i="1"/>
  <c r="Y218" i="1"/>
  <c r="W219" i="1"/>
  <c r="X219" i="1"/>
  <c r="Y219" i="1"/>
  <c r="W220" i="1"/>
  <c r="X220" i="1"/>
  <c r="Y220" i="1"/>
  <c r="W221" i="1"/>
  <c r="X221" i="1"/>
  <c r="Y221" i="1"/>
  <c r="W222" i="1"/>
  <c r="X222" i="1"/>
  <c r="Y222" i="1"/>
  <c r="W223" i="1"/>
  <c r="X223" i="1"/>
  <c r="Y223" i="1"/>
  <c r="W224" i="1"/>
  <c r="X224" i="1"/>
  <c r="Y224" i="1"/>
  <c r="W225" i="1"/>
  <c r="X225" i="1"/>
  <c r="Y225" i="1"/>
  <c r="W226" i="1"/>
  <c r="X226" i="1"/>
  <c r="Y226" i="1"/>
  <c r="W227" i="1"/>
  <c r="X227" i="1"/>
  <c r="Y227" i="1"/>
  <c r="W228" i="1"/>
  <c r="X228" i="1"/>
  <c r="Y228" i="1"/>
  <c r="W229" i="1"/>
  <c r="X229" i="1"/>
  <c r="Y229" i="1"/>
  <c r="W230" i="1"/>
  <c r="X230" i="1"/>
  <c r="Y230" i="1"/>
  <c r="W231" i="1"/>
  <c r="X231" i="1"/>
  <c r="Y231" i="1"/>
  <c r="W232" i="1"/>
  <c r="X232" i="1"/>
  <c r="Y232" i="1"/>
  <c r="W233" i="1"/>
  <c r="X233" i="1"/>
  <c r="Y233" i="1"/>
  <c r="W234" i="1"/>
  <c r="X234" i="1"/>
  <c r="Y234" i="1"/>
  <c r="W235" i="1"/>
  <c r="X235" i="1"/>
  <c r="Y235" i="1"/>
  <c r="W236" i="1"/>
  <c r="X236" i="1"/>
  <c r="Y236" i="1"/>
  <c r="W237" i="1"/>
  <c r="X237" i="1"/>
  <c r="Y237" i="1"/>
  <c r="W238" i="1"/>
  <c r="X238" i="1"/>
  <c r="Y238" i="1"/>
  <c r="W239" i="1"/>
  <c r="X239" i="1"/>
  <c r="Y239" i="1"/>
  <c r="W240" i="1"/>
  <c r="X240" i="1"/>
  <c r="Y240" i="1"/>
  <c r="W241" i="1"/>
  <c r="X241" i="1"/>
  <c r="Y241" i="1"/>
  <c r="W242" i="1"/>
  <c r="X242" i="1"/>
  <c r="Y242" i="1"/>
  <c r="W243" i="1"/>
  <c r="X243" i="1"/>
  <c r="Y243" i="1"/>
  <c r="W244" i="1"/>
  <c r="X244" i="1"/>
  <c r="Y244" i="1"/>
  <c r="W245" i="1"/>
  <c r="X245" i="1"/>
  <c r="Y245" i="1"/>
  <c r="W246" i="1"/>
  <c r="X246" i="1"/>
  <c r="Y246" i="1"/>
  <c r="W247" i="1"/>
  <c r="X247" i="1"/>
  <c r="Y247" i="1"/>
  <c r="W248" i="1"/>
  <c r="X248" i="1"/>
  <c r="Y248" i="1"/>
  <c r="W249" i="1"/>
  <c r="X249" i="1"/>
  <c r="Y249" i="1"/>
  <c r="W250" i="1"/>
  <c r="X250" i="1"/>
  <c r="Y250" i="1"/>
  <c r="W251" i="1"/>
  <c r="X251" i="1"/>
  <c r="Y251" i="1"/>
  <c r="W252" i="1"/>
  <c r="X252" i="1"/>
  <c r="Y252" i="1"/>
  <c r="W253" i="1"/>
  <c r="X253" i="1"/>
  <c r="Y253" i="1"/>
  <c r="W254" i="1"/>
  <c r="X254" i="1"/>
  <c r="Y254" i="1"/>
  <c r="W255" i="1"/>
  <c r="X255" i="1"/>
  <c r="Y255" i="1"/>
  <c r="W256" i="1"/>
  <c r="X256" i="1"/>
  <c r="Y256" i="1"/>
  <c r="W257" i="1"/>
  <c r="X257" i="1"/>
  <c r="Y257" i="1"/>
  <c r="W258" i="1"/>
  <c r="X258" i="1"/>
  <c r="Y258" i="1"/>
  <c r="W259" i="1"/>
  <c r="X259" i="1"/>
  <c r="Y259" i="1"/>
  <c r="W260" i="1"/>
  <c r="X260" i="1"/>
  <c r="Y260" i="1"/>
  <c r="W261" i="1"/>
  <c r="X261" i="1"/>
  <c r="Y261" i="1"/>
  <c r="W262" i="1"/>
  <c r="X262" i="1"/>
  <c r="Y262" i="1"/>
  <c r="W263" i="1"/>
  <c r="X263" i="1"/>
  <c r="Y263" i="1"/>
  <c r="W264" i="1"/>
  <c r="X264" i="1"/>
  <c r="Y264" i="1"/>
  <c r="W265" i="1"/>
  <c r="X265" i="1"/>
  <c r="Y265" i="1"/>
  <c r="W266" i="1"/>
  <c r="X266" i="1"/>
  <c r="Y266" i="1"/>
  <c r="W267" i="1"/>
  <c r="X267" i="1"/>
  <c r="Y267" i="1"/>
  <c r="W268" i="1"/>
  <c r="X268" i="1"/>
  <c r="Y268" i="1"/>
  <c r="W269" i="1"/>
  <c r="X269" i="1"/>
  <c r="Y269" i="1"/>
  <c r="W270" i="1"/>
  <c r="X270" i="1"/>
  <c r="Y270" i="1"/>
  <c r="W271" i="1"/>
  <c r="X271" i="1"/>
  <c r="Y271" i="1"/>
  <c r="W272" i="1"/>
  <c r="X272" i="1"/>
  <c r="Y272" i="1"/>
  <c r="W273" i="1"/>
  <c r="X273" i="1"/>
  <c r="Y273" i="1"/>
  <c r="W274" i="1"/>
  <c r="X274" i="1"/>
  <c r="Y274" i="1"/>
  <c r="W275" i="1"/>
  <c r="X275" i="1"/>
  <c r="Y275" i="1"/>
  <c r="W276" i="1"/>
  <c r="X276" i="1"/>
  <c r="Y276" i="1"/>
  <c r="W277" i="1"/>
  <c r="X277" i="1"/>
  <c r="Y277" i="1"/>
  <c r="W278" i="1"/>
  <c r="X278" i="1"/>
  <c r="Y278" i="1"/>
  <c r="W279" i="1"/>
  <c r="X279" i="1"/>
  <c r="Y279" i="1"/>
  <c r="W280" i="1"/>
  <c r="X280" i="1"/>
  <c r="Y280" i="1"/>
  <c r="W281" i="1"/>
  <c r="X281" i="1"/>
  <c r="Y281" i="1"/>
  <c r="W282" i="1"/>
  <c r="X282" i="1"/>
  <c r="Y282" i="1"/>
  <c r="W283" i="1"/>
  <c r="X283" i="1"/>
  <c r="Y283" i="1"/>
  <c r="W284" i="1"/>
  <c r="X284" i="1"/>
  <c r="Y284" i="1"/>
  <c r="W285" i="1"/>
  <c r="X285" i="1"/>
  <c r="Y285" i="1"/>
  <c r="W286" i="1"/>
  <c r="X286" i="1"/>
  <c r="Y286" i="1"/>
  <c r="W287" i="1"/>
  <c r="X287" i="1"/>
  <c r="Y287" i="1"/>
  <c r="W288" i="1"/>
  <c r="X288" i="1"/>
  <c r="Y288" i="1"/>
  <c r="W289" i="1"/>
  <c r="X289" i="1"/>
  <c r="Y289" i="1"/>
  <c r="W290" i="1"/>
  <c r="X290" i="1"/>
  <c r="Y290" i="1"/>
  <c r="W291" i="1"/>
  <c r="X291" i="1"/>
  <c r="Y291" i="1"/>
  <c r="W292" i="1"/>
  <c r="X292" i="1"/>
  <c r="Y292" i="1"/>
  <c r="W293" i="1"/>
  <c r="X293" i="1"/>
  <c r="Y293" i="1"/>
  <c r="W294" i="1"/>
  <c r="X294" i="1"/>
  <c r="Y294" i="1"/>
  <c r="W295" i="1"/>
  <c r="X295" i="1"/>
  <c r="Y295" i="1"/>
  <c r="W296" i="1"/>
  <c r="X296" i="1"/>
  <c r="Y296" i="1"/>
  <c r="W297" i="1"/>
  <c r="X297" i="1"/>
  <c r="Y297" i="1"/>
  <c r="W298" i="1"/>
  <c r="X298" i="1"/>
  <c r="Y298" i="1"/>
  <c r="W299" i="1"/>
  <c r="X299" i="1"/>
  <c r="Y299" i="1"/>
  <c r="W300" i="1"/>
  <c r="X300" i="1"/>
  <c r="Y300" i="1"/>
  <c r="W301" i="1"/>
  <c r="X301" i="1"/>
  <c r="Y301" i="1"/>
  <c r="W302" i="1"/>
  <c r="X302" i="1"/>
  <c r="Y302" i="1"/>
  <c r="W303" i="1"/>
  <c r="X303" i="1"/>
  <c r="Y303" i="1"/>
  <c r="W304" i="1"/>
  <c r="X304" i="1"/>
  <c r="Y304" i="1"/>
  <c r="W305" i="1"/>
  <c r="X305" i="1"/>
  <c r="Y305" i="1"/>
  <c r="W306" i="1"/>
  <c r="X306" i="1"/>
  <c r="Y306" i="1"/>
  <c r="W307" i="1"/>
  <c r="X307" i="1"/>
  <c r="Y307" i="1"/>
  <c r="W308" i="1"/>
  <c r="X308" i="1"/>
  <c r="Y308" i="1"/>
  <c r="W309" i="1"/>
  <c r="X309" i="1"/>
  <c r="Y309" i="1"/>
  <c r="W310" i="1"/>
  <c r="X310" i="1"/>
  <c r="Y310" i="1"/>
  <c r="W311" i="1"/>
  <c r="X311" i="1"/>
  <c r="Y311" i="1"/>
  <c r="W312" i="1"/>
  <c r="X312" i="1"/>
  <c r="Y312" i="1"/>
  <c r="W313" i="1"/>
  <c r="X313" i="1"/>
  <c r="Y313" i="1"/>
  <c r="W314" i="1"/>
  <c r="X314" i="1"/>
  <c r="Y314" i="1"/>
  <c r="W315" i="1"/>
  <c r="X315" i="1"/>
  <c r="Y315" i="1"/>
  <c r="W316" i="1"/>
  <c r="X316" i="1"/>
  <c r="Y316" i="1"/>
  <c r="W317" i="1"/>
  <c r="X317" i="1"/>
  <c r="Y317" i="1"/>
  <c r="W318" i="1"/>
  <c r="X318" i="1"/>
  <c r="Y318" i="1"/>
  <c r="W319" i="1"/>
  <c r="X319" i="1"/>
  <c r="Y319" i="1"/>
  <c r="W320" i="1"/>
  <c r="X320" i="1"/>
  <c r="Y320" i="1"/>
  <c r="W321" i="1"/>
  <c r="X321" i="1"/>
  <c r="Y321" i="1"/>
  <c r="W322" i="1"/>
  <c r="X322" i="1"/>
  <c r="Y322" i="1"/>
  <c r="W323" i="1"/>
  <c r="X323" i="1"/>
  <c r="Y323" i="1"/>
  <c r="W324" i="1"/>
  <c r="X324" i="1"/>
  <c r="Y324" i="1"/>
  <c r="W325" i="1"/>
  <c r="X325" i="1"/>
  <c r="Y325" i="1"/>
  <c r="W326" i="1"/>
  <c r="X326" i="1"/>
  <c r="Y326" i="1"/>
  <c r="W327" i="1"/>
  <c r="X327" i="1"/>
  <c r="Y327" i="1"/>
  <c r="W328" i="1"/>
  <c r="X328" i="1"/>
  <c r="Y328" i="1"/>
  <c r="W329" i="1"/>
  <c r="X329" i="1"/>
  <c r="Y329" i="1"/>
  <c r="W330" i="1"/>
  <c r="X330" i="1"/>
  <c r="Y330" i="1"/>
  <c r="W331" i="1"/>
  <c r="X331" i="1"/>
  <c r="Y331" i="1"/>
  <c r="W332" i="1"/>
  <c r="X332" i="1"/>
  <c r="Y332" i="1"/>
  <c r="W333" i="1"/>
  <c r="X333" i="1"/>
  <c r="Y333" i="1"/>
  <c r="W334" i="1"/>
  <c r="X334" i="1"/>
  <c r="Y334" i="1"/>
  <c r="W335" i="1"/>
  <c r="X335" i="1"/>
  <c r="Y335" i="1"/>
  <c r="W336" i="1"/>
  <c r="X336" i="1"/>
  <c r="Y336" i="1"/>
  <c r="W337" i="1"/>
  <c r="X337" i="1"/>
  <c r="Y337" i="1"/>
  <c r="W338" i="1"/>
  <c r="X338" i="1"/>
  <c r="Y338" i="1"/>
  <c r="W339" i="1"/>
  <c r="X339" i="1"/>
  <c r="Y339" i="1"/>
  <c r="W340" i="1"/>
  <c r="X340" i="1"/>
  <c r="Y340" i="1"/>
  <c r="W341" i="1"/>
  <c r="X341" i="1"/>
  <c r="Y341" i="1"/>
  <c r="W342" i="1"/>
  <c r="X342" i="1"/>
  <c r="Y342" i="1"/>
  <c r="W343" i="1"/>
  <c r="X343" i="1"/>
  <c r="Y343" i="1"/>
  <c r="W344" i="1"/>
  <c r="X344" i="1"/>
  <c r="Y344" i="1"/>
  <c r="W345" i="1"/>
  <c r="X345" i="1"/>
  <c r="Y345" i="1"/>
  <c r="W346" i="1"/>
  <c r="X346" i="1"/>
  <c r="Y346" i="1"/>
  <c r="W347" i="1"/>
  <c r="X347" i="1"/>
  <c r="Y347" i="1"/>
  <c r="W348" i="1"/>
  <c r="X348" i="1"/>
  <c r="Y348" i="1"/>
  <c r="W349" i="1"/>
  <c r="X349" i="1"/>
  <c r="Y349" i="1"/>
  <c r="W350" i="1"/>
  <c r="X350" i="1"/>
  <c r="Y350" i="1"/>
  <c r="W351" i="1"/>
  <c r="X351" i="1"/>
  <c r="Y351" i="1"/>
  <c r="W352" i="1"/>
  <c r="X352" i="1"/>
  <c r="Y352" i="1"/>
  <c r="W353" i="1"/>
  <c r="X353" i="1"/>
  <c r="Y353" i="1"/>
  <c r="W354" i="1"/>
  <c r="X354" i="1"/>
  <c r="Y354" i="1"/>
  <c r="W355" i="1"/>
  <c r="X355" i="1"/>
  <c r="Y355" i="1"/>
  <c r="W356" i="1"/>
  <c r="X356" i="1"/>
  <c r="Y356" i="1"/>
  <c r="W357" i="1"/>
  <c r="X357" i="1"/>
  <c r="Y357" i="1"/>
  <c r="W358" i="1"/>
  <c r="X358" i="1"/>
  <c r="Y358" i="1"/>
  <c r="W359" i="1"/>
  <c r="X359" i="1"/>
  <c r="Y359" i="1"/>
  <c r="W360" i="1"/>
  <c r="X360" i="1"/>
  <c r="Y360" i="1"/>
  <c r="W361" i="1"/>
  <c r="X361" i="1"/>
  <c r="Y361" i="1"/>
  <c r="W362" i="1"/>
  <c r="X362" i="1"/>
  <c r="Y362" i="1"/>
  <c r="W363" i="1"/>
  <c r="X363" i="1"/>
  <c r="Y363" i="1"/>
  <c r="W364" i="1"/>
  <c r="X364" i="1"/>
  <c r="Y364" i="1"/>
  <c r="W365" i="1"/>
  <c r="X365" i="1"/>
  <c r="Y365" i="1"/>
  <c r="W366" i="1"/>
  <c r="X366" i="1"/>
  <c r="Y366" i="1"/>
  <c r="W367" i="1"/>
  <c r="X367" i="1"/>
  <c r="Y367" i="1"/>
  <c r="W368" i="1"/>
  <c r="X368" i="1"/>
  <c r="Y368" i="1"/>
  <c r="W369" i="1"/>
  <c r="X369" i="1"/>
  <c r="Y369" i="1"/>
  <c r="W370" i="1"/>
  <c r="X370" i="1"/>
  <c r="Y370" i="1"/>
  <c r="W371" i="1"/>
  <c r="X371" i="1"/>
  <c r="Y371" i="1"/>
  <c r="W372" i="1"/>
  <c r="X372" i="1"/>
  <c r="Y372" i="1"/>
  <c r="W373" i="1"/>
  <c r="X373" i="1"/>
  <c r="Y373" i="1"/>
  <c r="W374" i="1"/>
  <c r="X374" i="1"/>
  <c r="Y374" i="1"/>
  <c r="W375" i="1"/>
  <c r="X375" i="1"/>
  <c r="Y375" i="1"/>
  <c r="W376" i="1"/>
  <c r="X376" i="1"/>
  <c r="Y376" i="1"/>
  <c r="W377" i="1"/>
  <c r="X377" i="1"/>
  <c r="Y377" i="1"/>
  <c r="W378" i="1"/>
  <c r="X378" i="1"/>
  <c r="Y378" i="1"/>
  <c r="W379" i="1"/>
  <c r="X379" i="1"/>
  <c r="Y379" i="1"/>
  <c r="W380" i="1"/>
  <c r="X380" i="1"/>
  <c r="Y380" i="1"/>
  <c r="W381" i="1"/>
  <c r="X381" i="1"/>
  <c r="Y381" i="1"/>
  <c r="W382" i="1"/>
  <c r="X382" i="1"/>
  <c r="Y382" i="1"/>
  <c r="W383" i="1"/>
  <c r="X383" i="1"/>
  <c r="Y383" i="1"/>
  <c r="W384" i="1"/>
  <c r="X384" i="1"/>
  <c r="Y384" i="1"/>
  <c r="W385" i="1"/>
  <c r="X385" i="1"/>
  <c r="Y385" i="1"/>
  <c r="W386" i="1"/>
  <c r="X386" i="1"/>
  <c r="Y386" i="1"/>
  <c r="W387" i="1"/>
  <c r="X387" i="1"/>
  <c r="Y387" i="1"/>
  <c r="W388" i="1"/>
  <c r="X388" i="1"/>
  <c r="Y388" i="1"/>
  <c r="W389" i="1"/>
  <c r="X389" i="1"/>
  <c r="Y389" i="1"/>
  <c r="W390" i="1"/>
  <c r="X390" i="1"/>
  <c r="Y390" i="1"/>
  <c r="W391" i="1"/>
  <c r="X391" i="1"/>
  <c r="Y391" i="1"/>
  <c r="W392" i="1"/>
  <c r="X392" i="1"/>
  <c r="Y392" i="1"/>
  <c r="W393" i="1"/>
  <c r="X393" i="1"/>
  <c r="Y393" i="1"/>
  <c r="W394" i="1"/>
  <c r="X394" i="1"/>
  <c r="Y394" i="1"/>
  <c r="W395" i="1"/>
  <c r="X395" i="1"/>
  <c r="Y395" i="1"/>
  <c r="W396" i="1"/>
  <c r="X396" i="1"/>
  <c r="Y396" i="1"/>
  <c r="W397" i="1"/>
  <c r="X397" i="1"/>
  <c r="Y397" i="1"/>
  <c r="W398" i="1"/>
  <c r="X398" i="1"/>
  <c r="Y398" i="1"/>
  <c r="W399" i="1"/>
  <c r="X399" i="1"/>
  <c r="Y399" i="1"/>
  <c r="W400" i="1"/>
  <c r="X400" i="1"/>
  <c r="Y400" i="1"/>
  <c r="W401" i="1"/>
  <c r="X401" i="1"/>
  <c r="Y401" i="1"/>
  <c r="W402" i="1"/>
  <c r="X402" i="1"/>
  <c r="Y402" i="1"/>
  <c r="W403" i="1"/>
  <c r="X403" i="1"/>
  <c r="Y403" i="1"/>
  <c r="W404" i="1"/>
  <c r="X404" i="1"/>
  <c r="Y404" i="1"/>
  <c r="W405" i="1"/>
  <c r="X405" i="1"/>
  <c r="Y405" i="1"/>
  <c r="W406" i="1"/>
  <c r="X406" i="1"/>
  <c r="Y406" i="1"/>
  <c r="W407" i="1"/>
  <c r="X407" i="1"/>
  <c r="Y407" i="1"/>
  <c r="W408" i="1"/>
  <c r="X408" i="1"/>
  <c r="Y408" i="1"/>
  <c r="W409" i="1"/>
  <c r="X409" i="1"/>
  <c r="Y409" i="1"/>
  <c r="W410" i="1"/>
  <c r="X410" i="1"/>
  <c r="Y410" i="1"/>
  <c r="W411" i="1"/>
  <c r="X411" i="1"/>
  <c r="Y411" i="1"/>
  <c r="W412" i="1"/>
  <c r="X412" i="1"/>
  <c r="Y412" i="1"/>
  <c r="W413" i="1"/>
  <c r="X413" i="1"/>
  <c r="Y413" i="1"/>
  <c r="W414" i="1"/>
  <c r="X414" i="1"/>
  <c r="Y414" i="1"/>
  <c r="W415" i="1"/>
  <c r="X415" i="1"/>
  <c r="Y415" i="1"/>
  <c r="W416" i="1"/>
  <c r="X416" i="1"/>
  <c r="Y416" i="1"/>
  <c r="W417" i="1"/>
  <c r="X417" i="1"/>
  <c r="Y417" i="1"/>
  <c r="W418" i="1"/>
  <c r="X418" i="1"/>
  <c r="Y418" i="1"/>
  <c r="W419" i="1"/>
  <c r="X419" i="1"/>
  <c r="Y419" i="1"/>
  <c r="W420" i="1"/>
  <c r="X420" i="1"/>
  <c r="Y420" i="1"/>
  <c r="W421" i="1"/>
  <c r="X421" i="1"/>
  <c r="Y421" i="1"/>
  <c r="W422" i="1"/>
  <c r="X422" i="1"/>
  <c r="Y422" i="1"/>
  <c r="W423" i="1"/>
  <c r="X423" i="1"/>
  <c r="Y423" i="1"/>
  <c r="W424" i="1"/>
  <c r="X424" i="1"/>
  <c r="Y424" i="1"/>
  <c r="W425" i="1"/>
  <c r="X425" i="1"/>
  <c r="Y425" i="1"/>
  <c r="W426" i="1"/>
  <c r="X426" i="1"/>
  <c r="Y426" i="1"/>
  <c r="W427" i="1"/>
  <c r="X427" i="1"/>
  <c r="Y427" i="1"/>
  <c r="W428" i="1"/>
  <c r="X428" i="1"/>
  <c r="Y428" i="1"/>
  <c r="W429" i="1"/>
  <c r="X429" i="1"/>
  <c r="Y429" i="1"/>
  <c r="W430" i="1"/>
  <c r="X430" i="1"/>
  <c r="Y430" i="1"/>
  <c r="W431" i="1"/>
  <c r="X431" i="1"/>
  <c r="Y431" i="1"/>
  <c r="W432" i="1"/>
  <c r="X432" i="1"/>
  <c r="Y432" i="1"/>
  <c r="W433" i="1"/>
  <c r="X433" i="1"/>
  <c r="Y433" i="1"/>
  <c r="W434" i="1"/>
  <c r="X434" i="1"/>
  <c r="Y434" i="1"/>
  <c r="W435" i="1"/>
  <c r="X435" i="1"/>
  <c r="Y435" i="1"/>
  <c r="W436" i="1"/>
  <c r="X436" i="1"/>
  <c r="Y436" i="1"/>
  <c r="W437" i="1"/>
  <c r="X437" i="1"/>
  <c r="Y437" i="1"/>
  <c r="W438" i="1"/>
  <c r="X438" i="1"/>
  <c r="Y438" i="1"/>
  <c r="W439" i="1"/>
  <c r="X439" i="1"/>
  <c r="Y439" i="1"/>
  <c r="W440" i="1"/>
  <c r="X440" i="1"/>
  <c r="Y440" i="1"/>
  <c r="W441" i="1"/>
  <c r="X441" i="1"/>
  <c r="Y441" i="1"/>
  <c r="W442" i="1"/>
  <c r="X442" i="1"/>
  <c r="Y442" i="1"/>
  <c r="W443" i="1"/>
  <c r="X443" i="1"/>
  <c r="Y443" i="1"/>
  <c r="W444" i="1"/>
  <c r="X444" i="1"/>
  <c r="Y444" i="1"/>
  <c r="W445" i="1"/>
  <c r="X445" i="1"/>
  <c r="Y445" i="1"/>
  <c r="W446" i="1"/>
  <c r="X446" i="1"/>
  <c r="Y446" i="1"/>
  <c r="W447" i="1"/>
  <c r="X447" i="1"/>
  <c r="Y447" i="1"/>
  <c r="W448" i="1"/>
  <c r="X448" i="1"/>
  <c r="Y448" i="1"/>
  <c r="W449" i="1"/>
  <c r="X449" i="1"/>
  <c r="Y449" i="1"/>
  <c r="W450" i="1"/>
  <c r="X450" i="1"/>
  <c r="Y450" i="1"/>
  <c r="W451" i="1"/>
  <c r="X451" i="1"/>
  <c r="Y451" i="1"/>
  <c r="W452" i="1"/>
  <c r="X452" i="1"/>
  <c r="Y452" i="1"/>
  <c r="W453" i="1"/>
  <c r="X453" i="1"/>
  <c r="Y453" i="1"/>
  <c r="W454" i="1"/>
  <c r="X454" i="1"/>
  <c r="Y454" i="1"/>
  <c r="W455" i="1"/>
  <c r="X455" i="1"/>
  <c r="Y455" i="1"/>
  <c r="W456" i="1"/>
  <c r="X456" i="1"/>
  <c r="Y456" i="1"/>
  <c r="W457" i="1"/>
  <c r="X457" i="1"/>
  <c r="Y457" i="1"/>
  <c r="W458" i="1"/>
  <c r="X458" i="1"/>
  <c r="Y458" i="1"/>
  <c r="W459" i="1"/>
  <c r="X459" i="1"/>
  <c r="Y459" i="1"/>
  <c r="W460" i="1"/>
  <c r="X460" i="1"/>
  <c r="Y460" i="1"/>
  <c r="W461" i="1"/>
  <c r="X461" i="1"/>
  <c r="Y461" i="1"/>
  <c r="W462" i="1"/>
  <c r="X462" i="1"/>
  <c r="Y462" i="1"/>
  <c r="W463" i="1"/>
  <c r="X463" i="1"/>
  <c r="Y463" i="1"/>
  <c r="W464" i="1"/>
  <c r="X464" i="1"/>
  <c r="Y464" i="1"/>
  <c r="W465" i="1"/>
  <c r="X465" i="1"/>
  <c r="Y465" i="1"/>
  <c r="W466" i="1"/>
  <c r="X466" i="1"/>
  <c r="Y466" i="1"/>
  <c r="W467" i="1"/>
  <c r="X467" i="1"/>
  <c r="Y467" i="1"/>
  <c r="W468" i="1"/>
  <c r="X468" i="1"/>
  <c r="Y468" i="1"/>
  <c r="W469" i="1"/>
  <c r="X469" i="1"/>
  <c r="Y469" i="1"/>
  <c r="W470" i="1"/>
  <c r="X470" i="1"/>
  <c r="Y470" i="1"/>
  <c r="W471" i="1"/>
  <c r="X471" i="1"/>
  <c r="Y471" i="1"/>
  <c r="W472" i="1"/>
  <c r="X472" i="1"/>
  <c r="Y472" i="1"/>
  <c r="W473" i="1"/>
  <c r="X473" i="1"/>
  <c r="Y473" i="1"/>
  <c r="W474" i="1"/>
  <c r="X474" i="1"/>
  <c r="Y474" i="1"/>
  <c r="W475" i="1"/>
  <c r="X475" i="1"/>
  <c r="Y475" i="1"/>
  <c r="W476" i="1"/>
  <c r="X476" i="1"/>
  <c r="Y476" i="1"/>
  <c r="W477" i="1"/>
  <c r="X477" i="1"/>
  <c r="Y477" i="1"/>
  <c r="W478" i="1"/>
  <c r="X478" i="1"/>
  <c r="Y478" i="1"/>
  <c r="W479" i="1"/>
  <c r="X479" i="1"/>
  <c r="Y479" i="1"/>
  <c r="W480" i="1"/>
  <c r="X480" i="1"/>
  <c r="Y480" i="1"/>
  <c r="W481" i="1"/>
  <c r="X481" i="1"/>
  <c r="Y481" i="1"/>
  <c r="W482" i="1"/>
  <c r="X482" i="1"/>
  <c r="Y482" i="1"/>
  <c r="W483" i="1"/>
  <c r="X483" i="1"/>
  <c r="Y483" i="1"/>
  <c r="W484" i="1"/>
  <c r="X484" i="1"/>
  <c r="Y484" i="1"/>
  <c r="W485" i="1"/>
  <c r="X485" i="1"/>
  <c r="Y485" i="1"/>
  <c r="W486" i="1"/>
  <c r="X486" i="1"/>
  <c r="Y486" i="1"/>
  <c r="W487" i="1"/>
  <c r="X487" i="1"/>
  <c r="Y487" i="1"/>
  <c r="W488" i="1"/>
  <c r="X488" i="1"/>
  <c r="Y488" i="1"/>
  <c r="W489" i="1"/>
  <c r="X489" i="1"/>
  <c r="Y489" i="1"/>
  <c r="W490" i="1"/>
  <c r="X490" i="1"/>
  <c r="Y490" i="1"/>
  <c r="W491" i="1"/>
  <c r="X491" i="1"/>
  <c r="Y491" i="1"/>
  <c r="W492" i="1"/>
  <c r="X492" i="1"/>
  <c r="Y492" i="1"/>
  <c r="W493" i="1"/>
  <c r="X493" i="1"/>
  <c r="Y493" i="1"/>
  <c r="W494" i="1"/>
  <c r="X494" i="1"/>
  <c r="Y494" i="1"/>
  <c r="W495" i="1"/>
  <c r="X495" i="1"/>
  <c r="Y495" i="1"/>
  <c r="W496" i="1"/>
  <c r="X496" i="1"/>
  <c r="Y496" i="1"/>
  <c r="W497" i="1"/>
  <c r="X497" i="1"/>
  <c r="Y497" i="1"/>
  <c r="W498" i="1"/>
  <c r="X498" i="1"/>
  <c r="Y498" i="1"/>
  <c r="W499" i="1"/>
  <c r="X499" i="1"/>
  <c r="Y499" i="1"/>
  <c r="W500" i="1"/>
  <c r="X500" i="1"/>
  <c r="Y500" i="1"/>
  <c r="W501" i="1"/>
  <c r="X501" i="1"/>
  <c r="Y501" i="1"/>
  <c r="W502" i="1"/>
  <c r="X502" i="1"/>
  <c r="Y502" i="1"/>
  <c r="W503" i="1"/>
  <c r="X503" i="1"/>
  <c r="Y503" i="1"/>
  <c r="W504" i="1"/>
  <c r="X504" i="1"/>
  <c r="Y504" i="1"/>
  <c r="W505" i="1"/>
  <c r="X505" i="1"/>
  <c r="Y505" i="1"/>
  <c r="W506" i="1"/>
  <c r="X506" i="1"/>
  <c r="Y506" i="1"/>
  <c r="W507" i="1"/>
  <c r="X507" i="1"/>
  <c r="Y507" i="1"/>
  <c r="W508" i="1"/>
  <c r="X508" i="1"/>
  <c r="Y508" i="1"/>
  <c r="W509" i="1"/>
  <c r="X509" i="1"/>
  <c r="Y509" i="1"/>
  <c r="W510" i="1"/>
  <c r="X510" i="1"/>
  <c r="Y510" i="1"/>
  <c r="W511" i="1"/>
  <c r="X511" i="1"/>
  <c r="Y511" i="1"/>
  <c r="W512" i="1"/>
  <c r="X512" i="1"/>
  <c r="Y512" i="1"/>
  <c r="W513" i="1"/>
  <c r="X513" i="1"/>
  <c r="Y513" i="1"/>
  <c r="W514" i="1"/>
  <c r="X514" i="1"/>
  <c r="Y514" i="1"/>
  <c r="W515" i="1"/>
  <c r="X515" i="1"/>
  <c r="Y515" i="1"/>
  <c r="W516" i="1"/>
  <c r="X516" i="1"/>
  <c r="Y516" i="1"/>
  <c r="W517" i="1"/>
  <c r="X517" i="1"/>
  <c r="Y517" i="1"/>
  <c r="W518" i="1"/>
  <c r="X518" i="1"/>
  <c r="Y518" i="1"/>
  <c r="W519" i="1"/>
  <c r="X519" i="1"/>
  <c r="Y519" i="1"/>
  <c r="W520" i="1"/>
  <c r="X520" i="1"/>
  <c r="Y520" i="1"/>
  <c r="W521" i="1"/>
  <c r="X521" i="1"/>
  <c r="Y521" i="1"/>
  <c r="W522" i="1"/>
  <c r="X522" i="1"/>
  <c r="Y522" i="1"/>
  <c r="W523" i="1"/>
  <c r="X523" i="1"/>
  <c r="Y523" i="1"/>
  <c r="W524" i="1"/>
  <c r="X524" i="1"/>
  <c r="Y524" i="1"/>
  <c r="W525" i="1"/>
  <c r="X525" i="1"/>
  <c r="Y525" i="1"/>
  <c r="W526" i="1"/>
  <c r="X526" i="1"/>
  <c r="Y526" i="1"/>
  <c r="W527" i="1"/>
  <c r="X527" i="1"/>
  <c r="Y527" i="1"/>
  <c r="W528" i="1"/>
  <c r="X528" i="1"/>
  <c r="Y528" i="1"/>
  <c r="W529" i="1"/>
  <c r="X529" i="1"/>
  <c r="Y529" i="1"/>
  <c r="W530" i="1"/>
  <c r="X530" i="1"/>
  <c r="Y530" i="1"/>
  <c r="W531" i="1"/>
  <c r="X531" i="1"/>
  <c r="Y531" i="1"/>
  <c r="W532" i="1"/>
  <c r="X532" i="1"/>
  <c r="Y532" i="1"/>
  <c r="W533" i="1"/>
  <c r="X533" i="1"/>
  <c r="Y533" i="1"/>
  <c r="W534" i="1"/>
  <c r="X534" i="1"/>
  <c r="Y534" i="1"/>
  <c r="W535" i="1"/>
  <c r="X535" i="1"/>
  <c r="Y535" i="1"/>
  <c r="W536" i="1"/>
  <c r="X536" i="1"/>
  <c r="Y536" i="1"/>
  <c r="W537" i="1"/>
  <c r="X537" i="1"/>
  <c r="Y537" i="1"/>
  <c r="W538" i="1"/>
  <c r="X538" i="1"/>
  <c r="Y538" i="1"/>
  <c r="W539" i="1"/>
  <c r="X539" i="1"/>
  <c r="Y539" i="1"/>
  <c r="W540" i="1"/>
  <c r="X540" i="1"/>
  <c r="Y540" i="1"/>
  <c r="W541" i="1"/>
  <c r="X541" i="1"/>
  <c r="Y541" i="1"/>
  <c r="W542" i="1"/>
  <c r="X542" i="1"/>
  <c r="Y542" i="1"/>
  <c r="W543" i="1"/>
  <c r="X543" i="1"/>
  <c r="Y543" i="1"/>
  <c r="W544" i="1"/>
  <c r="X544" i="1"/>
  <c r="Y544" i="1"/>
  <c r="W545" i="1"/>
  <c r="X545" i="1"/>
  <c r="Y545" i="1"/>
  <c r="W546" i="1"/>
  <c r="X546" i="1"/>
  <c r="Y546" i="1"/>
  <c r="W547" i="1"/>
  <c r="X547" i="1"/>
  <c r="Y547" i="1"/>
  <c r="W548" i="1"/>
  <c r="X548" i="1"/>
  <c r="Y548" i="1"/>
  <c r="W549" i="1"/>
  <c r="X549" i="1"/>
  <c r="Y549" i="1"/>
  <c r="W550" i="1"/>
  <c r="X550" i="1"/>
  <c r="Y550" i="1"/>
  <c r="W551" i="1"/>
  <c r="X551" i="1"/>
  <c r="Y551" i="1"/>
  <c r="W552" i="1"/>
  <c r="X552" i="1"/>
  <c r="Y552" i="1"/>
  <c r="W553" i="1"/>
  <c r="X553" i="1"/>
  <c r="Y553" i="1"/>
  <c r="W554" i="1"/>
  <c r="X554" i="1"/>
  <c r="Y554" i="1"/>
  <c r="W555" i="1"/>
  <c r="X555" i="1"/>
  <c r="Y555" i="1"/>
  <c r="W556" i="1"/>
  <c r="X556" i="1"/>
  <c r="Y556" i="1"/>
  <c r="W557" i="1"/>
  <c r="X557" i="1"/>
  <c r="Y557" i="1"/>
  <c r="W558" i="1"/>
  <c r="X558" i="1"/>
  <c r="Y558" i="1"/>
  <c r="W559" i="1"/>
  <c r="X559" i="1"/>
  <c r="Y559" i="1"/>
  <c r="W560" i="1"/>
  <c r="X560" i="1"/>
  <c r="Y560" i="1"/>
  <c r="W561" i="1"/>
  <c r="X561" i="1"/>
  <c r="Y561" i="1"/>
  <c r="W562" i="1"/>
  <c r="X562" i="1"/>
  <c r="Y562" i="1"/>
  <c r="W563" i="1"/>
  <c r="X563" i="1"/>
  <c r="Y563" i="1"/>
  <c r="W564" i="1"/>
  <c r="X564" i="1"/>
  <c r="Y564" i="1"/>
  <c r="W565" i="1"/>
  <c r="X565" i="1"/>
  <c r="Y565" i="1"/>
  <c r="W566" i="1"/>
  <c r="X566" i="1"/>
  <c r="Y566" i="1"/>
  <c r="W567" i="1"/>
  <c r="X567" i="1"/>
  <c r="Y567" i="1"/>
  <c r="W568" i="1"/>
  <c r="X568" i="1"/>
  <c r="Y568" i="1"/>
  <c r="W569" i="1"/>
  <c r="X569" i="1"/>
  <c r="Y569" i="1"/>
  <c r="W570" i="1"/>
  <c r="X570" i="1"/>
  <c r="Y570" i="1"/>
  <c r="W571" i="1"/>
  <c r="X571" i="1"/>
  <c r="Y571" i="1"/>
  <c r="W572" i="1"/>
  <c r="X572" i="1"/>
  <c r="Y572" i="1"/>
  <c r="W573" i="1"/>
  <c r="X573" i="1"/>
  <c r="Y573" i="1"/>
  <c r="W574" i="1"/>
  <c r="X574" i="1"/>
  <c r="Y574" i="1"/>
  <c r="W575" i="1"/>
  <c r="X575" i="1"/>
  <c r="Y575" i="1"/>
  <c r="W576" i="1"/>
  <c r="X576" i="1"/>
  <c r="Y576" i="1"/>
  <c r="W577" i="1"/>
  <c r="X577" i="1"/>
  <c r="Y577" i="1"/>
  <c r="W578" i="1"/>
  <c r="X578" i="1"/>
  <c r="Y578" i="1"/>
  <c r="W579" i="1"/>
  <c r="X579" i="1"/>
  <c r="Y579" i="1"/>
  <c r="W580" i="1"/>
  <c r="X580" i="1"/>
  <c r="Y580" i="1"/>
  <c r="W581" i="1"/>
  <c r="X581" i="1"/>
  <c r="Y581" i="1"/>
  <c r="W582" i="1"/>
  <c r="X582" i="1"/>
  <c r="Y582" i="1"/>
  <c r="W583" i="1"/>
  <c r="X583" i="1"/>
  <c r="Y583" i="1"/>
  <c r="W584" i="1"/>
  <c r="X584" i="1"/>
  <c r="Y584" i="1"/>
  <c r="W585" i="1"/>
  <c r="X585" i="1"/>
  <c r="Y585" i="1"/>
  <c r="W586" i="1"/>
  <c r="X586" i="1"/>
  <c r="Y586" i="1"/>
  <c r="W587" i="1"/>
  <c r="X587" i="1"/>
  <c r="Y587" i="1"/>
  <c r="W588" i="1"/>
  <c r="X588" i="1"/>
  <c r="Y588" i="1"/>
  <c r="W589" i="1"/>
  <c r="X589" i="1"/>
  <c r="Y589" i="1"/>
  <c r="W590" i="1"/>
  <c r="X590" i="1"/>
  <c r="Y590" i="1"/>
  <c r="W591" i="1"/>
  <c r="X591" i="1"/>
  <c r="Y591" i="1"/>
  <c r="W592" i="1"/>
  <c r="X592" i="1"/>
  <c r="Y592" i="1"/>
  <c r="W593" i="1"/>
  <c r="X593" i="1"/>
  <c r="Y593" i="1"/>
  <c r="W594" i="1"/>
  <c r="X594" i="1"/>
  <c r="Y594" i="1"/>
  <c r="W595" i="1"/>
  <c r="X595" i="1"/>
  <c r="Y595" i="1"/>
  <c r="W596" i="1"/>
  <c r="X596" i="1"/>
  <c r="Y596" i="1"/>
  <c r="W597" i="1"/>
  <c r="X597" i="1"/>
  <c r="Y597" i="1"/>
  <c r="W598" i="1"/>
  <c r="X598" i="1"/>
  <c r="Y598" i="1"/>
  <c r="W599" i="1"/>
  <c r="X599" i="1"/>
  <c r="Y599" i="1"/>
  <c r="W600" i="1"/>
  <c r="X600" i="1"/>
  <c r="Y600" i="1"/>
  <c r="W601" i="1"/>
  <c r="X601" i="1"/>
  <c r="Y601" i="1"/>
  <c r="W602" i="1"/>
  <c r="X602" i="1"/>
  <c r="Y602" i="1"/>
  <c r="W603" i="1"/>
  <c r="X603" i="1"/>
  <c r="Y603" i="1"/>
  <c r="W604" i="1"/>
  <c r="X604" i="1"/>
  <c r="Y604" i="1"/>
  <c r="W605" i="1"/>
  <c r="X605" i="1"/>
  <c r="Y605" i="1"/>
  <c r="W606" i="1"/>
  <c r="X606" i="1"/>
  <c r="Y606" i="1"/>
  <c r="W607" i="1"/>
  <c r="X607" i="1"/>
  <c r="Y607" i="1"/>
  <c r="W608" i="1"/>
  <c r="X608" i="1"/>
  <c r="Y608" i="1"/>
  <c r="W609" i="1"/>
  <c r="X609" i="1"/>
  <c r="Y609" i="1"/>
  <c r="W610" i="1"/>
  <c r="X610" i="1"/>
  <c r="Y610" i="1"/>
  <c r="W611" i="1"/>
  <c r="X611" i="1"/>
  <c r="Y611" i="1"/>
  <c r="W612" i="1"/>
  <c r="X612" i="1"/>
  <c r="Y612" i="1"/>
  <c r="W613" i="1"/>
  <c r="X613" i="1"/>
  <c r="Y613" i="1"/>
  <c r="W614" i="1"/>
  <c r="X614" i="1"/>
  <c r="Y614" i="1"/>
  <c r="W615" i="1"/>
  <c r="X615" i="1"/>
  <c r="Y615" i="1"/>
  <c r="W616" i="1"/>
  <c r="X616" i="1"/>
  <c r="Y616" i="1"/>
  <c r="W617" i="1"/>
  <c r="X617" i="1"/>
  <c r="Y617" i="1"/>
  <c r="W618" i="1"/>
  <c r="X618" i="1"/>
  <c r="Y618" i="1"/>
  <c r="W619" i="1"/>
  <c r="X619" i="1"/>
  <c r="Y619" i="1"/>
  <c r="W620" i="1"/>
  <c r="X620" i="1"/>
  <c r="Y620" i="1"/>
  <c r="W621" i="1"/>
  <c r="X621" i="1"/>
  <c r="Y621" i="1"/>
  <c r="W622" i="1"/>
  <c r="X622" i="1"/>
  <c r="Y622" i="1"/>
  <c r="W623" i="1"/>
  <c r="X623" i="1"/>
  <c r="Y623" i="1"/>
  <c r="W624" i="1"/>
  <c r="X624" i="1"/>
  <c r="Y624" i="1"/>
  <c r="W625" i="1"/>
  <c r="X625" i="1"/>
  <c r="Y625" i="1"/>
  <c r="W626" i="1"/>
  <c r="X626" i="1"/>
  <c r="Y626" i="1"/>
  <c r="W627" i="1"/>
  <c r="X627" i="1"/>
  <c r="Y627" i="1"/>
  <c r="W628" i="1"/>
  <c r="X628" i="1"/>
  <c r="Y628" i="1"/>
  <c r="W629" i="1"/>
  <c r="X629" i="1"/>
  <c r="Y629" i="1"/>
  <c r="W630" i="1"/>
  <c r="X630" i="1"/>
  <c r="Y630" i="1"/>
  <c r="W631" i="1"/>
  <c r="X631" i="1"/>
  <c r="Y631" i="1"/>
  <c r="W632" i="1"/>
  <c r="X632" i="1"/>
  <c r="Y632" i="1"/>
  <c r="W633" i="1"/>
  <c r="X633" i="1"/>
  <c r="Y633" i="1"/>
  <c r="W634" i="1"/>
  <c r="X634" i="1"/>
  <c r="Y634" i="1"/>
  <c r="W635" i="1"/>
  <c r="X635" i="1"/>
  <c r="Y635" i="1"/>
  <c r="W636" i="1"/>
  <c r="X636" i="1"/>
  <c r="Y636" i="1"/>
  <c r="W637" i="1"/>
  <c r="X637" i="1"/>
  <c r="Y637" i="1"/>
  <c r="W638" i="1"/>
  <c r="X638" i="1"/>
  <c r="Y638" i="1"/>
  <c r="W639" i="1"/>
  <c r="X639" i="1"/>
  <c r="Y639" i="1"/>
  <c r="W640" i="1"/>
  <c r="X640" i="1"/>
  <c r="Y640" i="1"/>
  <c r="W641" i="1"/>
  <c r="X641" i="1"/>
  <c r="Y641" i="1"/>
  <c r="W642" i="1"/>
  <c r="X642" i="1"/>
  <c r="Y642" i="1"/>
  <c r="W643" i="1"/>
  <c r="X643" i="1"/>
  <c r="Y643" i="1"/>
  <c r="W644" i="1"/>
  <c r="X644" i="1"/>
  <c r="Y644" i="1"/>
  <c r="W645" i="1"/>
  <c r="X645" i="1"/>
  <c r="Y645" i="1"/>
  <c r="W646" i="1"/>
  <c r="X646" i="1"/>
  <c r="Y646" i="1"/>
  <c r="W647" i="1"/>
  <c r="X647" i="1"/>
  <c r="Y647" i="1"/>
  <c r="W648" i="1"/>
  <c r="X648" i="1"/>
  <c r="Y648" i="1"/>
  <c r="W649" i="1"/>
  <c r="X649" i="1"/>
  <c r="Y649" i="1"/>
  <c r="W650" i="1"/>
  <c r="X650" i="1"/>
  <c r="Y650" i="1"/>
  <c r="W651" i="1"/>
  <c r="X651" i="1"/>
  <c r="Y651" i="1"/>
  <c r="W652" i="1"/>
  <c r="X652" i="1"/>
  <c r="Y652" i="1"/>
  <c r="W653" i="1"/>
  <c r="X653" i="1"/>
  <c r="Y653" i="1"/>
  <c r="W654" i="1"/>
  <c r="X654" i="1"/>
  <c r="Y654" i="1"/>
  <c r="W655" i="1"/>
  <c r="X655" i="1"/>
  <c r="Y655" i="1"/>
  <c r="W656" i="1"/>
  <c r="X656" i="1"/>
  <c r="Y656" i="1"/>
  <c r="W657" i="1"/>
  <c r="X657" i="1"/>
  <c r="Y657" i="1"/>
  <c r="W658" i="1"/>
  <c r="X658" i="1"/>
  <c r="Y658" i="1"/>
  <c r="W659" i="1"/>
  <c r="X659" i="1"/>
  <c r="Y659" i="1"/>
  <c r="W660" i="1"/>
  <c r="X660" i="1"/>
  <c r="Y660" i="1"/>
  <c r="W661" i="1"/>
  <c r="X661" i="1"/>
  <c r="Y661" i="1"/>
  <c r="W662" i="1"/>
  <c r="X662" i="1"/>
  <c r="Y662" i="1"/>
  <c r="W663" i="1"/>
  <c r="X663" i="1"/>
  <c r="Y663" i="1"/>
  <c r="W664" i="1"/>
  <c r="X664" i="1"/>
  <c r="Y664" i="1"/>
  <c r="W665" i="1"/>
  <c r="X665" i="1"/>
  <c r="Y665" i="1"/>
  <c r="W666" i="1"/>
  <c r="X666" i="1"/>
  <c r="Y666" i="1"/>
  <c r="W667" i="1"/>
  <c r="X667" i="1"/>
  <c r="Y667" i="1"/>
  <c r="W668" i="1"/>
  <c r="X668" i="1"/>
  <c r="Y668" i="1"/>
  <c r="W669" i="1"/>
  <c r="X669" i="1"/>
  <c r="Y669" i="1"/>
  <c r="W670" i="1"/>
  <c r="X670" i="1"/>
  <c r="Y670" i="1"/>
  <c r="W671" i="1"/>
  <c r="X671" i="1"/>
  <c r="Y671" i="1"/>
  <c r="W672" i="1"/>
  <c r="X672" i="1"/>
  <c r="Y672" i="1"/>
  <c r="W673" i="1"/>
  <c r="X673" i="1"/>
  <c r="Y673" i="1"/>
  <c r="W674" i="1"/>
  <c r="X674" i="1"/>
  <c r="Y674" i="1"/>
  <c r="W675" i="1"/>
  <c r="X675" i="1"/>
  <c r="Y675" i="1"/>
  <c r="W676" i="1"/>
  <c r="X676" i="1"/>
  <c r="Y676" i="1"/>
  <c r="W677" i="1"/>
  <c r="X677" i="1"/>
  <c r="Y677" i="1"/>
  <c r="W678" i="1"/>
  <c r="X678" i="1"/>
  <c r="Y678" i="1"/>
  <c r="W679" i="1"/>
  <c r="X679" i="1"/>
  <c r="Y679" i="1"/>
  <c r="W680" i="1"/>
  <c r="X680" i="1"/>
  <c r="Y680" i="1"/>
  <c r="W681" i="1"/>
  <c r="X681" i="1"/>
  <c r="Y681" i="1"/>
  <c r="W682" i="1"/>
  <c r="X682" i="1"/>
  <c r="Y682" i="1"/>
  <c r="W683" i="1"/>
  <c r="X683" i="1"/>
  <c r="Y683" i="1"/>
  <c r="W684" i="1"/>
  <c r="X684" i="1"/>
  <c r="Y684" i="1"/>
  <c r="W685" i="1"/>
  <c r="X685" i="1"/>
  <c r="Y685" i="1"/>
  <c r="W686" i="1"/>
  <c r="X686" i="1"/>
  <c r="Y686" i="1"/>
  <c r="W687" i="1"/>
  <c r="X687" i="1"/>
  <c r="Y687" i="1"/>
  <c r="W688" i="1"/>
  <c r="X688" i="1"/>
  <c r="Y688" i="1"/>
  <c r="W689" i="1"/>
  <c r="X689" i="1"/>
  <c r="Y689" i="1"/>
  <c r="W690" i="1"/>
  <c r="X690" i="1"/>
  <c r="Y690" i="1"/>
  <c r="W691" i="1"/>
  <c r="X691" i="1"/>
  <c r="Y691" i="1"/>
  <c r="W692" i="1"/>
  <c r="X692" i="1"/>
  <c r="Y692" i="1"/>
  <c r="W693" i="1"/>
  <c r="X693" i="1"/>
  <c r="Y693" i="1"/>
  <c r="W694" i="1"/>
  <c r="X694" i="1"/>
  <c r="Y694" i="1"/>
  <c r="W695" i="1"/>
  <c r="X695" i="1"/>
  <c r="Y695" i="1"/>
  <c r="W696" i="1"/>
  <c r="X696" i="1"/>
  <c r="Y696" i="1"/>
  <c r="W697" i="1"/>
  <c r="X697" i="1"/>
  <c r="Y697" i="1"/>
  <c r="W698" i="1"/>
  <c r="X698" i="1"/>
  <c r="Y698" i="1"/>
  <c r="W699" i="1"/>
  <c r="X699" i="1"/>
  <c r="Y699" i="1"/>
  <c r="W700" i="1"/>
  <c r="X700" i="1"/>
  <c r="Y700" i="1"/>
  <c r="W701" i="1"/>
  <c r="X701" i="1"/>
  <c r="Y701" i="1"/>
  <c r="W702" i="1"/>
  <c r="X702" i="1"/>
  <c r="Y702" i="1"/>
  <c r="W703" i="1"/>
  <c r="X703" i="1"/>
  <c r="Y703" i="1"/>
  <c r="W704" i="1"/>
  <c r="X704" i="1"/>
  <c r="Y704" i="1"/>
  <c r="W705" i="1"/>
  <c r="X705" i="1"/>
  <c r="Y705" i="1"/>
  <c r="W706" i="1"/>
  <c r="X706" i="1"/>
  <c r="Y706" i="1"/>
  <c r="W707" i="1"/>
  <c r="X707" i="1"/>
  <c r="Y707" i="1"/>
  <c r="W708" i="1"/>
  <c r="X708" i="1"/>
  <c r="Y708" i="1"/>
  <c r="W709" i="1"/>
  <c r="X709" i="1"/>
  <c r="Y709" i="1"/>
  <c r="W710" i="1"/>
  <c r="X710" i="1"/>
  <c r="Y710" i="1"/>
  <c r="W711" i="1"/>
  <c r="X711" i="1"/>
  <c r="Y711" i="1"/>
  <c r="W712" i="1"/>
  <c r="X712" i="1"/>
  <c r="Y712" i="1"/>
  <c r="W713" i="1"/>
  <c r="X713" i="1"/>
  <c r="Y713" i="1"/>
  <c r="W714" i="1"/>
  <c r="X714" i="1"/>
  <c r="Y714" i="1"/>
  <c r="W715" i="1"/>
  <c r="X715" i="1"/>
  <c r="Y715" i="1"/>
  <c r="W716" i="1"/>
  <c r="X716" i="1"/>
  <c r="Y716" i="1"/>
  <c r="W717" i="1"/>
  <c r="X717" i="1"/>
  <c r="Y717" i="1"/>
  <c r="W718" i="1"/>
  <c r="X718" i="1"/>
  <c r="Y718" i="1"/>
  <c r="W719" i="1"/>
  <c r="X719" i="1"/>
  <c r="Y719" i="1"/>
  <c r="W720" i="1"/>
  <c r="X720" i="1"/>
  <c r="Y720" i="1"/>
  <c r="W721" i="1"/>
  <c r="X721" i="1"/>
  <c r="Y721" i="1"/>
  <c r="W722" i="1"/>
  <c r="X722" i="1"/>
  <c r="Y722" i="1"/>
  <c r="W723" i="1"/>
  <c r="X723" i="1"/>
  <c r="Y723" i="1"/>
  <c r="W724" i="1"/>
  <c r="X724" i="1"/>
  <c r="Y724" i="1"/>
  <c r="W725" i="1"/>
  <c r="X725" i="1"/>
  <c r="Y725" i="1"/>
  <c r="W726" i="1"/>
  <c r="X726" i="1"/>
  <c r="Y726" i="1"/>
  <c r="W727" i="1"/>
  <c r="X727" i="1"/>
  <c r="Y727" i="1"/>
  <c r="W728" i="1"/>
  <c r="X728" i="1"/>
  <c r="Y728" i="1"/>
  <c r="W729" i="1"/>
  <c r="X729" i="1"/>
  <c r="Y729" i="1"/>
  <c r="W730" i="1"/>
  <c r="X730" i="1"/>
  <c r="Y730" i="1"/>
  <c r="W731" i="1"/>
  <c r="X731" i="1"/>
  <c r="Y731" i="1"/>
  <c r="W732" i="1"/>
  <c r="X732" i="1"/>
  <c r="Y732" i="1"/>
  <c r="W733" i="1"/>
  <c r="X733" i="1"/>
  <c r="Y733" i="1"/>
  <c r="W734" i="1"/>
  <c r="X734" i="1"/>
  <c r="Y734" i="1"/>
  <c r="W735" i="1"/>
  <c r="X735" i="1"/>
  <c r="Y735" i="1"/>
  <c r="W736" i="1"/>
  <c r="X736" i="1"/>
  <c r="Y736" i="1"/>
  <c r="W737" i="1"/>
  <c r="X737" i="1"/>
  <c r="Y737" i="1"/>
  <c r="W738" i="1"/>
  <c r="X738" i="1"/>
  <c r="Y738" i="1"/>
  <c r="W739" i="1"/>
  <c r="X739" i="1"/>
  <c r="Y739" i="1"/>
  <c r="W740" i="1"/>
  <c r="X740" i="1"/>
  <c r="Y740" i="1"/>
  <c r="W741" i="1"/>
  <c r="X741" i="1"/>
  <c r="Y741" i="1"/>
  <c r="W742" i="1"/>
  <c r="X742" i="1"/>
  <c r="Y742" i="1"/>
  <c r="W743" i="1"/>
  <c r="X743" i="1"/>
  <c r="Y743" i="1"/>
  <c r="W744" i="1"/>
  <c r="X744" i="1"/>
  <c r="Y744" i="1"/>
  <c r="W745" i="1"/>
  <c r="X745" i="1"/>
  <c r="Y745" i="1"/>
  <c r="W746" i="1"/>
  <c r="X746" i="1"/>
  <c r="Y746" i="1"/>
  <c r="W747" i="1"/>
  <c r="X747" i="1"/>
  <c r="Y747" i="1"/>
  <c r="W748" i="1"/>
  <c r="X748" i="1"/>
  <c r="Y748" i="1"/>
  <c r="W749" i="1"/>
  <c r="X749" i="1"/>
  <c r="Y749" i="1"/>
  <c r="W750" i="1"/>
  <c r="X750" i="1"/>
  <c r="Y750" i="1"/>
  <c r="W751" i="1"/>
  <c r="X751" i="1"/>
  <c r="Y751" i="1"/>
  <c r="W752" i="1"/>
  <c r="X752" i="1"/>
  <c r="Y752" i="1"/>
  <c r="W753" i="1"/>
  <c r="X753" i="1"/>
  <c r="Y753" i="1"/>
  <c r="W754" i="1"/>
  <c r="X754" i="1"/>
  <c r="Y754" i="1"/>
  <c r="W755" i="1"/>
  <c r="X755" i="1"/>
  <c r="Y755" i="1"/>
  <c r="W756" i="1"/>
  <c r="X756" i="1"/>
  <c r="Y756" i="1"/>
  <c r="W757" i="1"/>
  <c r="X757" i="1"/>
  <c r="Y757" i="1"/>
  <c r="W758" i="1"/>
  <c r="X758" i="1"/>
  <c r="Y758" i="1"/>
  <c r="W759" i="1"/>
  <c r="X759" i="1"/>
  <c r="Y759" i="1"/>
  <c r="W760" i="1"/>
  <c r="X760" i="1"/>
  <c r="Y760" i="1"/>
  <c r="W761" i="1"/>
  <c r="X761" i="1"/>
  <c r="Y761" i="1"/>
  <c r="W762" i="1"/>
  <c r="X762" i="1"/>
  <c r="Y762" i="1"/>
  <c r="W763" i="1"/>
  <c r="X763" i="1"/>
  <c r="Y763" i="1"/>
  <c r="W764" i="1"/>
  <c r="X764" i="1"/>
  <c r="Y764" i="1"/>
  <c r="W765" i="1"/>
  <c r="X765" i="1"/>
  <c r="Y765" i="1"/>
  <c r="W766" i="1"/>
  <c r="X766" i="1"/>
  <c r="Y766" i="1"/>
  <c r="W767" i="1"/>
  <c r="X767" i="1"/>
  <c r="Y767" i="1"/>
  <c r="W768" i="1"/>
  <c r="X768" i="1"/>
  <c r="Y768" i="1"/>
  <c r="W769" i="1"/>
  <c r="X769" i="1"/>
  <c r="Y769" i="1"/>
  <c r="W770" i="1"/>
  <c r="X770" i="1"/>
  <c r="Y770" i="1"/>
  <c r="W771" i="1"/>
  <c r="X771" i="1"/>
  <c r="Y771" i="1"/>
  <c r="W772" i="1"/>
  <c r="X772" i="1"/>
  <c r="Y772" i="1"/>
  <c r="W773" i="1"/>
  <c r="X773" i="1"/>
  <c r="Y773" i="1"/>
  <c r="W774" i="1"/>
  <c r="X774" i="1"/>
  <c r="Y774" i="1"/>
  <c r="W775" i="1"/>
  <c r="X775" i="1"/>
  <c r="Y775" i="1"/>
  <c r="W776" i="1"/>
  <c r="X776" i="1"/>
  <c r="Y776" i="1"/>
  <c r="W777" i="1"/>
  <c r="X777" i="1"/>
  <c r="Y777" i="1"/>
  <c r="W778" i="1"/>
  <c r="X778" i="1"/>
  <c r="Y778" i="1"/>
  <c r="W779" i="1"/>
  <c r="X779" i="1"/>
  <c r="Y779" i="1"/>
  <c r="W780" i="1"/>
  <c r="X780" i="1"/>
  <c r="Y780" i="1"/>
  <c r="W781" i="1"/>
  <c r="X781" i="1"/>
  <c r="Y781" i="1"/>
  <c r="W782" i="1"/>
  <c r="X782" i="1"/>
  <c r="Y782" i="1"/>
  <c r="W783" i="1"/>
  <c r="X783" i="1"/>
  <c r="Y783" i="1"/>
  <c r="W784" i="1"/>
  <c r="X784" i="1"/>
  <c r="Y784" i="1"/>
  <c r="W785" i="1"/>
  <c r="X785" i="1"/>
  <c r="Y785" i="1"/>
  <c r="W786" i="1"/>
  <c r="X786" i="1"/>
  <c r="Y786" i="1"/>
  <c r="W787" i="1"/>
  <c r="X787" i="1"/>
  <c r="Y787" i="1"/>
  <c r="W788" i="1"/>
  <c r="X788" i="1"/>
  <c r="Y788" i="1"/>
  <c r="W789" i="1"/>
  <c r="X789" i="1"/>
  <c r="Y789" i="1"/>
  <c r="W790" i="1"/>
  <c r="X790" i="1"/>
  <c r="Y790" i="1"/>
  <c r="W791" i="1"/>
  <c r="X791" i="1"/>
  <c r="Y791" i="1"/>
  <c r="W792" i="1"/>
  <c r="X792" i="1"/>
  <c r="Y792" i="1"/>
  <c r="W793" i="1"/>
  <c r="X793" i="1"/>
  <c r="Y793" i="1"/>
  <c r="W794" i="1"/>
  <c r="X794" i="1"/>
  <c r="Y794" i="1"/>
  <c r="W795" i="1"/>
  <c r="X795" i="1"/>
  <c r="Y795" i="1"/>
  <c r="W796" i="1"/>
  <c r="X796" i="1"/>
  <c r="Y796" i="1"/>
  <c r="W797" i="1"/>
  <c r="X797" i="1"/>
  <c r="Y797" i="1"/>
  <c r="W798" i="1"/>
  <c r="X798" i="1"/>
  <c r="Y798" i="1"/>
  <c r="W799" i="1"/>
  <c r="X799" i="1"/>
  <c r="Y799" i="1"/>
  <c r="W800" i="1"/>
  <c r="X800" i="1"/>
  <c r="Y800" i="1"/>
  <c r="W801" i="1"/>
  <c r="X801" i="1"/>
  <c r="Y801" i="1"/>
  <c r="W802" i="1"/>
  <c r="X802" i="1"/>
  <c r="Y802" i="1"/>
  <c r="W803" i="1"/>
  <c r="X803" i="1"/>
  <c r="Y803" i="1"/>
  <c r="W804" i="1"/>
  <c r="X804" i="1"/>
  <c r="Y804" i="1"/>
  <c r="W805" i="1"/>
  <c r="X805" i="1"/>
  <c r="Y805" i="1"/>
  <c r="W806" i="1"/>
  <c r="X806" i="1"/>
  <c r="Y806" i="1"/>
  <c r="W807" i="1"/>
  <c r="X807" i="1"/>
  <c r="Y807" i="1"/>
  <c r="W808" i="1"/>
  <c r="X808" i="1"/>
  <c r="Y808" i="1"/>
  <c r="W809" i="1"/>
  <c r="X809" i="1"/>
  <c r="Y809" i="1"/>
  <c r="W810" i="1"/>
  <c r="X810" i="1"/>
  <c r="Y810" i="1"/>
  <c r="W811" i="1"/>
  <c r="X811" i="1"/>
  <c r="Y811" i="1"/>
  <c r="W812" i="1"/>
  <c r="X812" i="1"/>
  <c r="Y812" i="1"/>
  <c r="W813" i="1"/>
  <c r="X813" i="1"/>
  <c r="Y813" i="1"/>
  <c r="W814" i="1"/>
  <c r="X814" i="1"/>
  <c r="Y814" i="1"/>
  <c r="W815" i="1"/>
  <c r="X815" i="1"/>
  <c r="Y815" i="1"/>
  <c r="W816" i="1"/>
  <c r="X816" i="1"/>
  <c r="Y816" i="1"/>
  <c r="W817" i="1"/>
  <c r="X817" i="1"/>
  <c r="Y817" i="1"/>
  <c r="W818" i="1"/>
  <c r="X818" i="1"/>
  <c r="Y818" i="1"/>
  <c r="W819" i="1"/>
  <c r="X819" i="1"/>
  <c r="Y819" i="1"/>
  <c r="W820" i="1"/>
  <c r="X820" i="1"/>
  <c r="Y820" i="1"/>
  <c r="W821" i="1"/>
  <c r="X821" i="1"/>
  <c r="Y821" i="1"/>
  <c r="W822" i="1"/>
  <c r="X822" i="1"/>
  <c r="Y822" i="1"/>
  <c r="W823" i="1"/>
  <c r="X823" i="1"/>
  <c r="Y823" i="1"/>
  <c r="W824" i="1"/>
  <c r="X824" i="1"/>
  <c r="Y824" i="1"/>
  <c r="W825" i="1"/>
  <c r="X825" i="1"/>
  <c r="Y825" i="1"/>
  <c r="W826" i="1"/>
  <c r="X826" i="1"/>
  <c r="Y826" i="1"/>
  <c r="W827" i="1"/>
  <c r="X827" i="1"/>
  <c r="Y827" i="1"/>
  <c r="W828" i="1"/>
  <c r="X828" i="1"/>
  <c r="Y828" i="1"/>
  <c r="W829" i="1"/>
  <c r="X829" i="1"/>
  <c r="Y829" i="1"/>
  <c r="W830" i="1"/>
  <c r="X830" i="1"/>
  <c r="Y830" i="1"/>
  <c r="W831" i="1"/>
  <c r="X831" i="1"/>
  <c r="Y831" i="1"/>
  <c r="W832" i="1"/>
  <c r="X832" i="1"/>
  <c r="Y832" i="1"/>
  <c r="W833" i="1"/>
  <c r="X833" i="1"/>
  <c r="Y833" i="1"/>
  <c r="W834" i="1"/>
  <c r="X834" i="1"/>
  <c r="Y834" i="1"/>
  <c r="W835" i="1"/>
  <c r="X835" i="1"/>
  <c r="Y835" i="1"/>
  <c r="W836" i="1"/>
  <c r="X836" i="1"/>
  <c r="Y836" i="1"/>
  <c r="W837" i="1"/>
  <c r="X837" i="1"/>
  <c r="Y837" i="1"/>
  <c r="W838" i="1"/>
  <c r="X838" i="1"/>
  <c r="Y838" i="1"/>
  <c r="W839" i="1"/>
  <c r="X839" i="1"/>
  <c r="Y839" i="1"/>
  <c r="W840" i="1"/>
  <c r="X840" i="1"/>
  <c r="Y840" i="1"/>
  <c r="W841" i="1"/>
  <c r="X841" i="1"/>
  <c r="Y841" i="1"/>
  <c r="W842" i="1"/>
  <c r="X842" i="1"/>
  <c r="Y842" i="1"/>
  <c r="W843" i="1"/>
  <c r="X843" i="1"/>
  <c r="Y843" i="1"/>
  <c r="W844" i="1"/>
  <c r="X844" i="1"/>
  <c r="Y844" i="1"/>
  <c r="W845" i="1"/>
  <c r="X845" i="1"/>
  <c r="Y845" i="1"/>
  <c r="W846" i="1"/>
  <c r="X846" i="1"/>
  <c r="Y846" i="1"/>
  <c r="W847" i="1"/>
  <c r="X847" i="1"/>
  <c r="Y847" i="1"/>
  <c r="W848" i="1"/>
  <c r="X848" i="1"/>
  <c r="Y848" i="1"/>
  <c r="W849" i="1"/>
  <c r="X849" i="1"/>
  <c r="Y849" i="1"/>
  <c r="W850" i="1"/>
  <c r="X850" i="1"/>
  <c r="Y850" i="1"/>
  <c r="W851" i="1"/>
  <c r="X851" i="1"/>
  <c r="Y851" i="1"/>
  <c r="W852" i="1"/>
  <c r="X852" i="1"/>
  <c r="Y852" i="1"/>
  <c r="W853" i="1"/>
  <c r="X853" i="1"/>
  <c r="Y853" i="1"/>
  <c r="W854" i="1"/>
  <c r="X854" i="1"/>
  <c r="Y854" i="1"/>
  <c r="W855" i="1"/>
  <c r="X855" i="1"/>
  <c r="Y855" i="1"/>
  <c r="W856" i="1"/>
  <c r="X856" i="1"/>
  <c r="Y856" i="1"/>
  <c r="W857" i="1"/>
  <c r="X857" i="1"/>
  <c r="Y857" i="1"/>
  <c r="W858" i="1"/>
  <c r="X858" i="1"/>
  <c r="Y858" i="1"/>
  <c r="W859" i="1"/>
  <c r="X859" i="1"/>
  <c r="Y859" i="1"/>
  <c r="W860" i="1"/>
  <c r="X860" i="1"/>
  <c r="Y860" i="1"/>
  <c r="W861" i="1"/>
  <c r="X861" i="1"/>
  <c r="Y861" i="1"/>
  <c r="W862" i="1"/>
  <c r="X862" i="1"/>
  <c r="Y862" i="1"/>
  <c r="W863" i="1"/>
  <c r="X863" i="1"/>
  <c r="Y863" i="1"/>
  <c r="W864" i="1"/>
  <c r="X864" i="1"/>
  <c r="Y864" i="1"/>
  <c r="W865" i="1"/>
  <c r="X865" i="1"/>
  <c r="Y865" i="1"/>
  <c r="W866" i="1"/>
  <c r="X866" i="1"/>
  <c r="Y866" i="1"/>
  <c r="W867" i="1"/>
  <c r="X867" i="1"/>
  <c r="Y867" i="1"/>
  <c r="W868" i="1"/>
  <c r="X868" i="1"/>
  <c r="Y868" i="1"/>
  <c r="W869" i="1"/>
  <c r="X869" i="1"/>
  <c r="Y869" i="1"/>
  <c r="W870" i="1"/>
  <c r="X870" i="1"/>
  <c r="Y870" i="1"/>
  <c r="W871" i="1"/>
  <c r="X871" i="1"/>
  <c r="Y871" i="1"/>
  <c r="W872" i="1"/>
  <c r="X872" i="1"/>
  <c r="Y872" i="1"/>
  <c r="W873" i="1"/>
  <c r="X873" i="1"/>
  <c r="Y873" i="1"/>
  <c r="W874" i="1"/>
  <c r="X874" i="1"/>
  <c r="Y874" i="1"/>
  <c r="W875" i="1"/>
  <c r="X875" i="1"/>
  <c r="Y875" i="1"/>
  <c r="W876" i="1"/>
  <c r="X876" i="1"/>
  <c r="Y876" i="1"/>
  <c r="W877" i="1"/>
  <c r="X877" i="1"/>
  <c r="Y877" i="1"/>
  <c r="W878" i="1"/>
  <c r="X878" i="1"/>
  <c r="Y878" i="1"/>
  <c r="W879" i="1"/>
  <c r="X879" i="1"/>
  <c r="Y879" i="1"/>
  <c r="W880" i="1"/>
  <c r="X880" i="1"/>
  <c r="Y880" i="1"/>
  <c r="W881" i="1"/>
  <c r="X881" i="1"/>
  <c r="Y881" i="1"/>
  <c r="W882" i="1"/>
  <c r="X882" i="1"/>
  <c r="Y882" i="1"/>
  <c r="W883" i="1"/>
  <c r="X883" i="1"/>
  <c r="Y883" i="1"/>
  <c r="W884" i="1"/>
  <c r="X884" i="1"/>
  <c r="Y884" i="1"/>
  <c r="W885" i="1"/>
  <c r="X885" i="1"/>
  <c r="Y885" i="1"/>
  <c r="W886" i="1"/>
  <c r="X886" i="1"/>
  <c r="Y886" i="1"/>
  <c r="W887" i="1"/>
  <c r="X887" i="1"/>
  <c r="Y887" i="1"/>
  <c r="W888" i="1"/>
  <c r="X888" i="1"/>
  <c r="Y888" i="1"/>
  <c r="W889" i="1"/>
  <c r="X889" i="1"/>
  <c r="Y889" i="1"/>
  <c r="W890" i="1"/>
  <c r="X890" i="1"/>
  <c r="Y890" i="1"/>
  <c r="W891" i="1"/>
  <c r="X891" i="1"/>
  <c r="Y891" i="1"/>
  <c r="W892" i="1"/>
  <c r="X892" i="1"/>
  <c r="Y892" i="1"/>
  <c r="W893" i="1"/>
  <c r="X893" i="1"/>
  <c r="Y893" i="1"/>
  <c r="W894" i="1"/>
  <c r="X894" i="1"/>
  <c r="Y894" i="1"/>
  <c r="W895" i="1"/>
  <c r="X895" i="1"/>
  <c r="Y895" i="1"/>
  <c r="W896" i="1"/>
  <c r="X896" i="1"/>
  <c r="Y896" i="1"/>
  <c r="W897" i="1"/>
  <c r="X897" i="1"/>
  <c r="Y897" i="1"/>
  <c r="W898" i="1"/>
  <c r="X898" i="1"/>
  <c r="Y898" i="1"/>
  <c r="W899" i="1"/>
  <c r="X899" i="1"/>
  <c r="Y899" i="1"/>
  <c r="W900" i="1"/>
  <c r="X900" i="1"/>
  <c r="Y900" i="1"/>
  <c r="W901" i="1"/>
  <c r="X901" i="1"/>
  <c r="Y901" i="1"/>
  <c r="W902" i="1"/>
  <c r="X902" i="1"/>
  <c r="Y902" i="1"/>
  <c r="W903" i="1"/>
  <c r="X903" i="1"/>
  <c r="Y903" i="1"/>
  <c r="W904" i="1"/>
  <c r="X904" i="1"/>
  <c r="Y904" i="1"/>
  <c r="W905" i="1"/>
  <c r="X905" i="1"/>
  <c r="Y905" i="1"/>
  <c r="W906" i="1"/>
  <c r="X906" i="1"/>
  <c r="Y906" i="1"/>
  <c r="W907" i="1"/>
  <c r="X907" i="1"/>
  <c r="Y907" i="1"/>
  <c r="W908" i="1"/>
  <c r="X908" i="1"/>
  <c r="Y908" i="1"/>
  <c r="W909" i="1"/>
  <c r="X909" i="1"/>
  <c r="Y909" i="1"/>
  <c r="W910" i="1"/>
  <c r="X910" i="1"/>
  <c r="Y910" i="1"/>
  <c r="W911" i="1"/>
  <c r="X911" i="1"/>
  <c r="Y911" i="1"/>
  <c r="W912" i="1"/>
  <c r="X912" i="1"/>
  <c r="Y912" i="1"/>
  <c r="W913" i="1"/>
  <c r="X913" i="1"/>
  <c r="Y913" i="1"/>
  <c r="W914" i="1"/>
  <c r="X914" i="1"/>
  <c r="Y914" i="1"/>
  <c r="W915" i="1"/>
  <c r="X915" i="1"/>
  <c r="Y915" i="1"/>
  <c r="W916" i="1"/>
  <c r="X916" i="1"/>
  <c r="Y916" i="1"/>
  <c r="W917" i="1"/>
  <c r="X917" i="1"/>
  <c r="Y917" i="1"/>
  <c r="W918" i="1"/>
  <c r="X918" i="1"/>
  <c r="Y918" i="1"/>
  <c r="W919" i="1"/>
  <c r="X919" i="1"/>
  <c r="Y919" i="1"/>
  <c r="W920" i="1"/>
  <c r="X920" i="1"/>
  <c r="Y920" i="1"/>
  <c r="W921" i="1"/>
  <c r="X921" i="1"/>
  <c r="Y921" i="1"/>
  <c r="W922" i="1"/>
  <c r="X922" i="1"/>
  <c r="Y922" i="1"/>
  <c r="W923" i="1"/>
  <c r="X923" i="1"/>
  <c r="Y923" i="1"/>
  <c r="W924" i="1"/>
  <c r="X924" i="1"/>
  <c r="Y924" i="1"/>
  <c r="W925" i="1"/>
  <c r="X925" i="1"/>
  <c r="Y925" i="1"/>
  <c r="W926" i="1"/>
  <c r="X926" i="1"/>
  <c r="Y926" i="1"/>
  <c r="W927" i="1"/>
  <c r="X927" i="1"/>
  <c r="Y927" i="1"/>
  <c r="W928" i="1"/>
  <c r="X928" i="1"/>
  <c r="Y928" i="1"/>
  <c r="W929" i="1"/>
  <c r="X929" i="1"/>
  <c r="Y929" i="1"/>
  <c r="W930" i="1"/>
  <c r="X930" i="1"/>
  <c r="Y930" i="1"/>
  <c r="W931" i="1"/>
  <c r="X931" i="1"/>
  <c r="Y931" i="1"/>
  <c r="W932" i="1"/>
  <c r="X932" i="1"/>
  <c r="Y932" i="1"/>
  <c r="W933" i="1"/>
  <c r="X933" i="1"/>
  <c r="Y933" i="1"/>
  <c r="W934" i="1"/>
  <c r="X934" i="1"/>
  <c r="Y934" i="1"/>
  <c r="W935" i="1"/>
  <c r="X935" i="1"/>
  <c r="Y935" i="1"/>
  <c r="W936" i="1"/>
  <c r="X936" i="1"/>
  <c r="Y936" i="1"/>
  <c r="W937" i="1"/>
  <c r="X937" i="1"/>
  <c r="Y937" i="1"/>
  <c r="W938" i="1"/>
  <c r="X938" i="1"/>
  <c r="Y938" i="1"/>
  <c r="W939" i="1"/>
  <c r="X939" i="1"/>
  <c r="Y939" i="1"/>
  <c r="W940" i="1"/>
  <c r="X940" i="1"/>
  <c r="Y940" i="1"/>
  <c r="W941" i="1"/>
  <c r="X941" i="1"/>
  <c r="Y941" i="1"/>
  <c r="W942" i="1"/>
  <c r="X942" i="1"/>
  <c r="Y942" i="1"/>
  <c r="W943" i="1"/>
  <c r="X943" i="1"/>
  <c r="Y943" i="1"/>
  <c r="W944" i="1"/>
  <c r="X944" i="1"/>
  <c r="Y944" i="1"/>
  <c r="W945" i="1"/>
  <c r="X945" i="1"/>
  <c r="Y945" i="1"/>
  <c r="W946" i="1"/>
  <c r="X946" i="1"/>
  <c r="Y946" i="1"/>
  <c r="W947" i="1"/>
  <c r="X947" i="1"/>
  <c r="Y947" i="1"/>
  <c r="W948" i="1"/>
  <c r="X948" i="1"/>
  <c r="Y948" i="1"/>
  <c r="W949" i="1"/>
  <c r="X949" i="1"/>
  <c r="Y949" i="1"/>
  <c r="W950" i="1"/>
  <c r="X950" i="1"/>
  <c r="Y950" i="1"/>
  <c r="W951" i="1"/>
  <c r="X951" i="1"/>
  <c r="Y951" i="1"/>
  <c r="W952" i="1"/>
  <c r="X952" i="1"/>
  <c r="Y952" i="1"/>
  <c r="W953" i="1"/>
  <c r="X953" i="1"/>
  <c r="Y953" i="1"/>
  <c r="W954" i="1"/>
  <c r="X954" i="1"/>
  <c r="Y954" i="1"/>
  <c r="W955" i="1"/>
  <c r="X955" i="1"/>
  <c r="Y955" i="1"/>
  <c r="W956" i="1"/>
  <c r="X956" i="1"/>
  <c r="Y956" i="1"/>
  <c r="W957" i="1"/>
  <c r="X957" i="1"/>
  <c r="Y957" i="1"/>
  <c r="W958" i="1"/>
  <c r="X958" i="1"/>
  <c r="Y958" i="1"/>
  <c r="W959" i="1"/>
  <c r="X959" i="1"/>
  <c r="Y959" i="1"/>
  <c r="W960" i="1"/>
  <c r="X960" i="1"/>
  <c r="Y960" i="1"/>
  <c r="W961" i="1"/>
  <c r="X961" i="1"/>
  <c r="Y961" i="1"/>
  <c r="W962" i="1"/>
  <c r="X962" i="1"/>
  <c r="Y962" i="1"/>
  <c r="W963" i="1"/>
  <c r="X963" i="1"/>
  <c r="Y963" i="1"/>
  <c r="W964" i="1"/>
  <c r="X964" i="1"/>
  <c r="Y964" i="1"/>
  <c r="W965" i="1"/>
  <c r="X965" i="1"/>
  <c r="Y965" i="1"/>
  <c r="W966" i="1"/>
  <c r="X966" i="1"/>
  <c r="Y966" i="1"/>
  <c r="W967" i="1"/>
  <c r="X967" i="1"/>
  <c r="Y967" i="1"/>
  <c r="W968" i="1"/>
  <c r="X968" i="1"/>
  <c r="Y968" i="1"/>
  <c r="W969" i="1"/>
  <c r="X969" i="1"/>
  <c r="Y969" i="1"/>
  <c r="W970" i="1"/>
  <c r="X970" i="1"/>
  <c r="Y970" i="1"/>
  <c r="W971" i="1"/>
  <c r="X971" i="1"/>
  <c r="Y971" i="1"/>
  <c r="W972" i="1"/>
  <c r="X972" i="1"/>
  <c r="Y972" i="1"/>
  <c r="W973" i="1"/>
  <c r="X973" i="1"/>
  <c r="Y973" i="1"/>
  <c r="W974" i="1"/>
  <c r="X974" i="1"/>
  <c r="Y974" i="1"/>
  <c r="W975" i="1"/>
  <c r="X975" i="1"/>
  <c r="Y975" i="1"/>
  <c r="W976" i="1"/>
  <c r="X976" i="1"/>
  <c r="Y976" i="1"/>
  <c r="W977" i="1"/>
  <c r="X977" i="1"/>
  <c r="Y977" i="1"/>
  <c r="W978" i="1"/>
  <c r="X978" i="1"/>
  <c r="Y978" i="1"/>
  <c r="W979" i="1"/>
  <c r="X979" i="1"/>
  <c r="Y979" i="1"/>
  <c r="W980" i="1"/>
  <c r="X980" i="1"/>
  <c r="Y980" i="1"/>
  <c r="W981" i="1"/>
  <c r="X981" i="1"/>
  <c r="Y981" i="1"/>
  <c r="W982" i="1"/>
  <c r="X982" i="1"/>
  <c r="Y982" i="1"/>
  <c r="W983" i="1"/>
  <c r="X983" i="1"/>
  <c r="Y983" i="1"/>
  <c r="W984" i="1"/>
  <c r="X984" i="1"/>
  <c r="Y984" i="1"/>
  <c r="W985" i="1"/>
  <c r="X985" i="1"/>
  <c r="Y985" i="1"/>
  <c r="W986" i="1"/>
  <c r="X986" i="1"/>
  <c r="Y986" i="1"/>
  <c r="W987" i="1"/>
  <c r="X987" i="1"/>
  <c r="Y987" i="1"/>
  <c r="W988" i="1"/>
  <c r="X988" i="1"/>
  <c r="Y988" i="1"/>
  <c r="W989" i="1"/>
  <c r="X989" i="1"/>
  <c r="Y989" i="1"/>
  <c r="W990" i="1"/>
  <c r="X990" i="1"/>
  <c r="Y990" i="1"/>
  <c r="W991" i="1"/>
  <c r="X991" i="1"/>
  <c r="Y991" i="1"/>
  <c r="W992" i="1"/>
  <c r="X992" i="1"/>
  <c r="Y992" i="1"/>
  <c r="W993" i="1"/>
  <c r="X993" i="1"/>
  <c r="Y993" i="1"/>
  <c r="W994" i="1"/>
  <c r="X994" i="1"/>
  <c r="Y994" i="1"/>
  <c r="W995" i="1"/>
  <c r="X995" i="1"/>
  <c r="Y995" i="1"/>
  <c r="W996" i="1"/>
  <c r="X996" i="1"/>
  <c r="Y996" i="1"/>
  <c r="W997" i="1"/>
  <c r="X997" i="1"/>
  <c r="Y997" i="1"/>
  <c r="W998" i="1"/>
  <c r="X998" i="1"/>
  <c r="Y998" i="1"/>
  <c r="W999" i="1"/>
  <c r="X999" i="1"/>
  <c r="Y999" i="1"/>
  <c r="W1000" i="1"/>
  <c r="X1000" i="1"/>
  <c r="Y1000" i="1"/>
  <c r="W1001" i="1"/>
  <c r="X1001" i="1"/>
  <c r="Y1001" i="1"/>
  <c r="W1002" i="1"/>
  <c r="X1002" i="1"/>
  <c r="Y1002" i="1"/>
  <c r="W1003" i="1"/>
  <c r="X1003" i="1"/>
  <c r="Y1003" i="1"/>
  <c r="W1004" i="1"/>
  <c r="X1004" i="1"/>
  <c r="Y1004" i="1"/>
  <c r="W1005" i="1"/>
  <c r="X1005" i="1"/>
  <c r="Y1005" i="1"/>
  <c r="W1006" i="1"/>
  <c r="X1006" i="1"/>
  <c r="Y1006" i="1"/>
  <c r="W1007" i="1"/>
  <c r="X1007" i="1"/>
  <c r="Y1007" i="1"/>
  <c r="W1008" i="1"/>
  <c r="X1008" i="1"/>
  <c r="Y1008" i="1"/>
  <c r="W1009" i="1"/>
  <c r="X1009" i="1"/>
  <c r="Y1009" i="1"/>
  <c r="W1010" i="1"/>
  <c r="X1010" i="1"/>
  <c r="Y1010" i="1"/>
  <c r="W1011" i="1"/>
  <c r="X1011" i="1"/>
  <c r="Y1011" i="1"/>
  <c r="W1012" i="1"/>
  <c r="X1012" i="1"/>
  <c r="Y1012" i="1"/>
  <c r="W1013" i="1"/>
  <c r="X1013" i="1"/>
  <c r="Y1013" i="1"/>
  <c r="W1014" i="1"/>
  <c r="X1014" i="1"/>
  <c r="Y1014" i="1"/>
  <c r="W1015" i="1"/>
  <c r="X1015" i="1"/>
  <c r="Y1015" i="1"/>
  <c r="W1016" i="1"/>
  <c r="X1016" i="1"/>
  <c r="Y1016" i="1"/>
  <c r="W1017" i="1"/>
  <c r="X1017" i="1"/>
  <c r="Y1017" i="1"/>
  <c r="W1018" i="1"/>
  <c r="X1018" i="1"/>
  <c r="Y1018" i="1"/>
  <c r="W1019" i="1"/>
  <c r="X1019" i="1"/>
  <c r="Y1019" i="1"/>
  <c r="W1020" i="1"/>
  <c r="X1020" i="1"/>
  <c r="Y1020" i="1"/>
  <c r="W1021" i="1"/>
  <c r="X1021" i="1"/>
  <c r="Y1021" i="1"/>
  <c r="W1022" i="1"/>
  <c r="X1022" i="1"/>
  <c r="Y1022" i="1"/>
  <c r="W1023" i="1"/>
  <c r="X1023" i="1"/>
  <c r="Y1023" i="1"/>
  <c r="W1024" i="1"/>
  <c r="X1024" i="1"/>
  <c r="Y1024" i="1"/>
  <c r="W1025" i="1"/>
  <c r="X1025" i="1"/>
  <c r="Y1025" i="1"/>
  <c r="W1026" i="1"/>
  <c r="X1026" i="1"/>
  <c r="Y1026" i="1"/>
  <c r="W1027" i="1"/>
  <c r="X1027" i="1"/>
  <c r="Y1027" i="1"/>
  <c r="W1028" i="1"/>
  <c r="X1028" i="1"/>
  <c r="Y1028" i="1"/>
  <c r="W1029" i="1"/>
  <c r="X1029" i="1"/>
  <c r="Y1029" i="1"/>
  <c r="W1030" i="1"/>
  <c r="X1030" i="1"/>
  <c r="Y1030" i="1"/>
  <c r="W1031" i="1"/>
  <c r="X1031" i="1"/>
  <c r="Y1031" i="1"/>
  <c r="W1032" i="1"/>
  <c r="X1032" i="1"/>
  <c r="Y1032" i="1"/>
  <c r="W1033" i="1"/>
  <c r="X1033" i="1"/>
  <c r="Y1033" i="1"/>
  <c r="W1034" i="1"/>
  <c r="X1034" i="1"/>
  <c r="Y1034" i="1"/>
  <c r="W1035" i="1"/>
  <c r="X1035" i="1"/>
  <c r="Y1035" i="1"/>
  <c r="W1036" i="1"/>
  <c r="X1036" i="1"/>
  <c r="Y1036" i="1"/>
  <c r="W1037" i="1"/>
  <c r="X1037" i="1"/>
  <c r="Y1037" i="1"/>
  <c r="W1038" i="1"/>
  <c r="X1038" i="1"/>
  <c r="Y1038" i="1"/>
  <c r="W1039" i="1"/>
  <c r="X1039" i="1"/>
  <c r="Y1039" i="1"/>
  <c r="W1040" i="1"/>
  <c r="X1040" i="1"/>
  <c r="Y1040" i="1"/>
  <c r="W1041" i="1"/>
  <c r="X1041" i="1"/>
  <c r="Y1041" i="1"/>
  <c r="W1042" i="1"/>
  <c r="X1042" i="1"/>
  <c r="Y1042" i="1"/>
  <c r="W1043" i="1"/>
  <c r="X1043" i="1"/>
  <c r="Y1043" i="1"/>
  <c r="W1044" i="1"/>
  <c r="X1044" i="1"/>
  <c r="Y1044" i="1"/>
  <c r="W1045" i="1"/>
  <c r="X1045" i="1"/>
  <c r="Y1045" i="1"/>
  <c r="W1046" i="1"/>
  <c r="X1046" i="1"/>
  <c r="Y1046" i="1"/>
  <c r="W1047" i="1"/>
  <c r="X1047" i="1"/>
  <c r="Y1047" i="1"/>
  <c r="W1048" i="1"/>
  <c r="X1048" i="1"/>
  <c r="Y1048" i="1"/>
  <c r="W1049" i="1"/>
  <c r="X1049" i="1"/>
  <c r="Y1049" i="1"/>
  <c r="W1050" i="1"/>
  <c r="X1050" i="1"/>
  <c r="Y1050" i="1"/>
  <c r="W1051" i="1"/>
  <c r="X1051" i="1"/>
  <c r="Y1051" i="1"/>
  <c r="W1052" i="1"/>
  <c r="X1052" i="1"/>
  <c r="Y1052" i="1"/>
  <c r="W1053" i="1"/>
  <c r="X1053" i="1"/>
  <c r="Y1053" i="1"/>
  <c r="W1054" i="1"/>
  <c r="X1054" i="1"/>
  <c r="Y1054" i="1"/>
  <c r="W1055" i="1"/>
  <c r="X1055" i="1"/>
  <c r="Y1055" i="1"/>
  <c r="W1056" i="1"/>
  <c r="X1056" i="1"/>
  <c r="Y1056" i="1"/>
  <c r="W1057" i="1"/>
  <c r="X1057" i="1"/>
  <c r="Y1057" i="1"/>
  <c r="W1058" i="1"/>
  <c r="X1058" i="1"/>
  <c r="Y1058" i="1"/>
  <c r="W1059" i="1"/>
  <c r="X1059" i="1"/>
  <c r="Y1059" i="1"/>
  <c r="W1060" i="1"/>
  <c r="X1060" i="1"/>
  <c r="Y1060" i="1"/>
  <c r="W1061" i="1"/>
  <c r="X1061" i="1"/>
  <c r="Y1061" i="1"/>
  <c r="W1062" i="1"/>
  <c r="X1062" i="1"/>
  <c r="Y1062" i="1"/>
  <c r="W1063" i="1"/>
  <c r="X1063" i="1"/>
  <c r="Y1063" i="1"/>
  <c r="W1064" i="1"/>
  <c r="X1064" i="1"/>
  <c r="Y1064" i="1"/>
  <c r="W1065" i="1"/>
  <c r="X1065" i="1"/>
  <c r="Y1065" i="1"/>
  <c r="W1066" i="1"/>
  <c r="X1066" i="1"/>
  <c r="Y1066" i="1"/>
  <c r="W1067" i="1"/>
  <c r="X1067" i="1"/>
  <c r="Y1067" i="1"/>
  <c r="W1068" i="1"/>
  <c r="X1068" i="1"/>
  <c r="Y1068" i="1"/>
  <c r="W1069" i="1"/>
  <c r="X1069" i="1"/>
  <c r="Y1069" i="1"/>
  <c r="W1070" i="1"/>
  <c r="X1070" i="1"/>
  <c r="Y1070" i="1"/>
  <c r="W1071" i="1"/>
  <c r="X1071" i="1"/>
  <c r="Y1071" i="1"/>
  <c r="W1072" i="1"/>
  <c r="X1072" i="1"/>
  <c r="Y1072" i="1"/>
  <c r="W1073" i="1"/>
  <c r="X1073" i="1"/>
  <c r="Y1073" i="1"/>
  <c r="W1074" i="1"/>
  <c r="X1074" i="1"/>
  <c r="Y1074" i="1"/>
  <c r="W1075" i="1"/>
  <c r="X1075" i="1"/>
  <c r="Y1075" i="1"/>
  <c r="W1076" i="1"/>
  <c r="X1076" i="1"/>
  <c r="Y1076" i="1"/>
  <c r="W1077" i="1"/>
  <c r="X1077" i="1"/>
  <c r="Y1077" i="1"/>
  <c r="W1078" i="1"/>
  <c r="X1078" i="1"/>
  <c r="Y1078" i="1"/>
  <c r="W1079" i="1"/>
  <c r="X1079" i="1"/>
  <c r="Y1079" i="1"/>
  <c r="W1080" i="1"/>
  <c r="X1080" i="1"/>
  <c r="Y1080" i="1"/>
  <c r="W1081" i="1"/>
  <c r="X1081" i="1"/>
  <c r="Y1081" i="1"/>
  <c r="W1082" i="1"/>
  <c r="X1082" i="1"/>
  <c r="Y1082" i="1"/>
  <c r="W1083" i="1"/>
  <c r="X1083" i="1"/>
  <c r="Y1083" i="1"/>
  <c r="W1084" i="1"/>
  <c r="X1084" i="1"/>
  <c r="Y1084" i="1"/>
  <c r="W1085" i="1"/>
  <c r="X1085" i="1"/>
  <c r="Y1085" i="1"/>
  <c r="W1086" i="1"/>
  <c r="X1086" i="1"/>
  <c r="Y1086" i="1"/>
  <c r="W1087" i="1"/>
  <c r="X1087" i="1"/>
  <c r="Y1087" i="1"/>
  <c r="W1088" i="1"/>
  <c r="X1088" i="1"/>
  <c r="Y1088" i="1"/>
  <c r="W1089" i="1"/>
  <c r="X1089" i="1"/>
  <c r="Y1089" i="1"/>
  <c r="W1090" i="1"/>
  <c r="X1090" i="1"/>
  <c r="Y1090" i="1"/>
  <c r="W1091" i="1"/>
  <c r="X1091" i="1"/>
  <c r="Y1091" i="1"/>
  <c r="W1092" i="1"/>
  <c r="X1092" i="1"/>
  <c r="Y1092" i="1"/>
  <c r="W1093" i="1"/>
  <c r="X1093" i="1"/>
  <c r="Y1093" i="1"/>
  <c r="W1094" i="1"/>
  <c r="X1094" i="1"/>
  <c r="Y1094" i="1"/>
  <c r="W1095" i="1"/>
  <c r="X1095" i="1"/>
  <c r="Y1095" i="1"/>
  <c r="W1096" i="1"/>
  <c r="X1096" i="1"/>
  <c r="Y1096" i="1"/>
  <c r="W1097" i="1"/>
  <c r="X1097" i="1"/>
  <c r="Y1097" i="1"/>
  <c r="W1098" i="1"/>
  <c r="X1098" i="1"/>
  <c r="Y1098" i="1"/>
  <c r="W1099" i="1"/>
  <c r="X1099" i="1"/>
  <c r="Y1099" i="1"/>
  <c r="W1100" i="1"/>
  <c r="X1100" i="1"/>
  <c r="Y1100" i="1"/>
  <c r="W1101" i="1"/>
  <c r="X1101" i="1"/>
  <c r="Y1101" i="1"/>
  <c r="W1102" i="1"/>
  <c r="X1102" i="1"/>
  <c r="Y1102" i="1"/>
  <c r="W1103" i="1"/>
  <c r="X1103" i="1"/>
  <c r="Y1103" i="1"/>
  <c r="W1104" i="1"/>
  <c r="X1104" i="1"/>
  <c r="Y1104" i="1"/>
  <c r="W1105" i="1"/>
  <c r="X1105" i="1"/>
  <c r="Y1105" i="1"/>
  <c r="W1106" i="1"/>
  <c r="X1106" i="1"/>
  <c r="Y1106" i="1"/>
  <c r="W1107" i="1"/>
  <c r="X1107" i="1"/>
  <c r="Y1107" i="1"/>
  <c r="W1108" i="1"/>
  <c r="X1108" i="1"/>
  <c r="Y1108" i="1"/>
  <c r="W1109" i="1"/>
  <c r="X1109" i="1"/>
  <c r="Y1109" i="1"/>
  <c r="W1110" i="1"/>
  <c r="X1110" i="1"/>
  <c r="Y1110" i="1"/>
  <c r="W1111" i="1"/>
  <c r="X1111" i="1"/>
  <c r="Y1111" i="1"/>
  <c r="W1112" i="1"/>
  <c r="X1112" i="1"/>
  <c r="Y1112" i="1"/>
  <c r="W1113" i="1"/>
  <c r="X1113" i="1"/>
  <c r="Y1113" i="1"/>
  <c r="W1114" i="1"/>
  <c r="X1114" i="1"/>
  <c r="Y1114" i="1"/>
  <c r="W1115" i="1"/>
  <c r="X1115" i="1"/>
  <c r="Y1115" i="1"/>
  <c r="W1116" i="1"/>
  <c r="X1116" i="1"/>
  <c r="Y1116" i="1"/>
  <c r="W1117" i="1"/>
  <c r="X1117" i="1"/>
  <c r="Y1117" i="1"/>
  <c r="W1118" i="1"/>
  <c r="X1118" i="1"/>
  <c r="Y1118" i="1"/>
  <c r="W1119" i="1"/>
  <c r="X1119" i="1"/>
  <c r="Y1119" i="1"/>
  <c r="W1120" i="1"/>
  <c r="X1120" i="1"/>
  <c r="Y1120" i="1"/>
  <c r="W1121" i="1"/>
  <c r="X1121" i="1"/>
  <c r="Y1121" i="1"/>
  <c r="W1122" i="1"/>
  <c r="X1122" i="1"/>
  <c r="Y1122" i="1"/>
  <c r="W1123" i="1"/>
  <c r="X1123" i="1"/>
  <c r="Y1123" i="1"/>
  <c r="W1124" i="1"/>
  <c r="X1124" i="1"/>
  <c r="Y1124" i="1"/>
  <c r="W1125" i="1"/>
  <c r="X1125" i="1"/>
  <c r="Y1125" i="1"/>
  <c r="W1126" i="1"/>
  <c r="X1126" i="1"/>
  <c r="Y1126" i="1"/>
  <c r="W1127" i="1"/>
  <c r="X1127" i="1"/>
  <c r="Y1127" i="1"/>
  <c r="W1128" i="1"/>
  <c r="X1128" i="1"/>
  <c r="Y1128" i="1"/>
  <c r="W1129" i="1"/>
  <c r="X1129" i="1"/>
  <c r="Y1129" i="1"/>
  <c r="W1130" i="1"/>
  <c r="X1130" i="1"/>
  <c r="Y1130" i="1"/>
  <c r="W1131" i="1"/>
  <c r="X1131" i="1"/>
  <c r="Y1131" i="1"/>
  <c r="W1132" i="1"/>
  <c r="X1132" i="1"/>
  <c r="Y1132" i="1"/>
  <c r="W1133" i="1"/>
  <c r="X1133" i="1"/>
  <c r="Y1133" i="1"/>
  <c r="W1134" i="1"/>
  <c r="X1134" i="1"/>
  <c r="Y1134" i="1"/>
  <c r="W1135" i="1"/>
  <c r="X1135" i="1"/>
  <c r="Y1135" i="1"/>
  <c r="W1136" i="1"/>
  <c r="X1136" i="1"/>
  <c r="Y1136" i="1"/>
  <c r="W1137" i="1"/>
  <c r="X1137" i="1"/>
  <c r="Y1137" i="1"/>
  <c r="W1138" i="1"/>
  <c r="X1138" i="1"/>
  <c r="Y1138" i="1"/>
  <c r="W1139" i="1"/>
  <c r="X1139" i="1"/>
  <c r="Y1139" i="1"/>
  <c r="W1140" i="1"/>
  <c r="X1140" i="1"/>
  <c r="Y1140" i="1"/>
  <c r="W1141" i="1"/>
  <c r="X1141" i="1"/>
  <c r="Y1141" i="1"/>
  <c r="W1142" i="1"/>
  <c r="X1142" i="1"/>
  <c r="Y1142" i="1"/>
  <c r="W1143" i="1"/>
  <c r="X1143" i="1"/>
  <c r="Y1143" i="1"/>
  <c r="W1144" i="1"/>
  <c r="X1144" i="1"/>
  <c r="Y1144" i="1"/>
  <c r="W1145" i="1"/>
  <c r="X1145" i="1"/>
  <c r="Y1145" i="1"/>
  <c r="W1146" i="1"/>
  <c r="X1146" i="1"/>
  <c r="Y1146" i="1"/>
  <c r="W1147" i="1"/>
  <c r="X1147" i="1"/>
  <c r="Y1147" i="1"/>
  <c r="W1148" i="1"/>
  <c r="X1148" i="1"/>
  <c r="Y1148" i="1"/>
  <c r="W1149" i="1"/>
  <c r="X1149" i="1"/>
  <c r="Y1149" i="1"/>
  <c r="W1150" i="1"/>
  <c r="X1150" i="1"/>
  <c r="Y1150" i="1"/>
  <c r="W1151" i="1"/>
  <c r="X1151" i="1"/>
  <c r="Y1151" i="1"/>
  <c r="W1152" i="1"/>
  <c r="X1152" i="1"/>
  <c r="Y1152" i="1"/>
  <c r="W1153" i="1"/>
  <c r="X1153" i="1"/>
  <c r="Y1153" i="1"/>
  <c r="W1154" i="1"/>
  <c r="X1154" i="1"/>
  <c r="Y1154" i="1"/>
  <c r="W1155" i="1"/>
  <c r="X1155" i="1"/>
  <c r="Y1155" i="1"/>
  <c r="W1156" i="1"/>
  <c r="X1156" i="1"/>
  <c r="Y1156" i="1"/>
  <c r="W1157" i="1"/>
  <c r="X1157" i="1"/>
  <c r="Y1157" i="1"/>
  <c r="W1158" i="1"/>
  <c r="X1158" i="1"/>
  <c r="Y1158" i="1"/>
  <c r="W1159" i="1"/>
  <c r="X1159" i="1"/>
  <c r="Y1159" i="1"/>
  <c r="W1160" i="1"/>
  <c r="X1160" i="1"/>
  <c r="Y1160" i="1"/>
  <c r="W1161" i="1"/>
  <c r="X1161" i="1"/>
  <c r="Y1161" i="1"/>
  <c r="W1162" i="1"/>
  <c r="X1162" i="1"/>
  <c r="Y1162" i="1"/>
  <c r="W1163" i="1"/>
  <c r="X1163" i="1"/>
  <c r="Y1163" i="1"/>
  <c r="W1164" i="1"/>
  <c r="X1164" i="1"/>
  <c r="Y1164" i="1"/>
  <c r="W1165" i="1"/>
  <c r="X1165" i="1"/>
  <c r="Y1165" i="1"/>
  <c r="W1166" i="1"/>
  <c r="X1166" i="1"/>
  <c r="Y1166" i="1"/>
  <c r="W1167" i="1"/>
  <c r="X1167" i="1"/>
  <c r="Y1167" i="1"/>
  <c r="W1168" i="1"/>
  <c r="X1168" i="1"/>
  <c r="Y1168" i="1"/>
  <c r="W1169" i="1"/>
  <c r="X1169" i="1"/>
  <c r="Y1169" i="1"/>
  <c r="W1170" i="1"/>
  <c r="X1170" i="1"/>
  <c r="Y1170" i="1"/>
  <c r="W1171" i="1"/>
  <c r="X1171" i="1"/>
  <c r="Y1171" i="1"/>
  <c r="W1172" i="1"/>
  <c r="X1172" i="1"/>
  <c r="Y1172" i="1"/>
  <c r="W1173" i="1"/>
  <c r="X1173" i="1"/>
  <c r="Y1173" i="1"/>
  <c r="W1174" i="1"/>
  <c r="X1174" i="1"/>
  <c r="Y1174" i="1"/>
  <c r="W1175" i="1"/>
  <c r="X1175" i="1"/>
  <c r="Y1175" i="1"/>
  <c r="W1176" i="1"/>
  <c r="X1176" i="1"/>
  <c r="Y1176" i="1"/>
  <c r="W1177" i="1"/>
  <c r="X1177" i="1"/>
  <c r="Y1177" i="1"/>
  <c r="W1178" i="1"/>
  <c r="X1178" i="1"/>
  <c r="Y1178" i="1"/>
  <c r="W1179" i="1"/>
  <c r="X1179" i="1"/>
  <c r="Y1179" i="1"/>
  <c r="W1180" i="1"/>
  <c r="X1180" i="1"/>
  <c r="Y1180" i="1"/>
  <c r="W1181" i="1"/>
  <c r="X1181" i="1"/>
  <c r="Y1181" i="1"/>
  <c r="W1182" i="1"/>
  <c r="X1182" i="1"/>
  <c r="Y1182" i="1"/>
  <c r="W1183" i="1"/>
  <c r="X1183" i="1"/>
  <c r="Y1183" i="1"/>
  <c r="W1184" i="1"/>
  <c r="X1184" i="1"/>
  <c r="Y1184" i="1"/>
  <c r="W1185" i="1"/>
  <c r="X1185" i="1"/>
  <c r="Y1185" i="1"/>
  <c r="W1186" i="1"/>
  <c r="X1186" i="1"/>
  <c r="Y1186" i="1"/>
  <c r="W1187" i="1"/>
  <c r="X1187" i="1"/>
  <c r="Y1187" i="1"/>
  <c r="W1188" i="1"/>
  <c r="X1188" i="1"/>
  <c r="Y1188" i="1"/>
  <c r="W1189" i="1"/>
  <c r="X1189" i="1"/>
  <c r="Y1189" i="1"/>
  <c r="W1190" i="1"/>
  <c r="X1190" i="1"/>
  <c r="Y1190" i="1"/>
  <c r="W1191" i="1"/>
  <c r="X1191" i="1"/>
  <c r="Y1191" i="1"/>
  <c r="W1192" i="1"/>
  <c r="X1192" i="1"/>
  <c r="Y1192" i="1"/>
  <c r="W1193" i="1"/>
  <c r="X1193" i="1"/>
  <c r="Y1193" i="1"/>
  <c r="W1194" i="1"/>
  <c r="X1194" i="1"/>
  <c r="Y1194" i="1"/>
  <c r="W1195" i="1"/>
  <c r="X1195" i="1"/>
  <c r="Y1195" i="1"/>
  <c r="W1196" i="1"/>
  <c r="X1196" i="1"/>
  <c r="Y1196" i="1"/>
  <c r="W1197" i="1"/>
  <c r="X1197" i="1"/>
  <c r="Y1197" i="1"/>
  <c r="W1198" i="1"/>
  <c r="X1198" i="1"/>
  <c r="Y1198" i="1"/>
  <c r="W1199" i="1"/>
  <c r="X1199" i="1"/>
  <c r="Y1199" i="1"/>
  <c r="W1200" i="1"/>
  <c r="X1200" i="1"/>
  <c r="Y1200" i="1"/>
  <c r="W1201" i="1"/>
  <c r="X1201" i="1"/>
  <c r="Y1201" i="1"/>
  <c r="W1202" i="1"/>
  <c r="X1202" i="1"/>
  <c r="Y1202" i="1"/>
  <c r="W1203" i="1"/>
  <c r="X1203" i="1"/>
  <c r="Y1203" i="1"/>
  <c r="W1204" i="1"/>
  <c r="X1204" i="1"/>
  <c r="Y1204" i="1"/>
  <c r="W1205" i="1"/>
  <c r="X1205" i="1"/>
  <c r="Y1205" i="1"/>
  <c r="W1206" i="1"/>
  <c r="X1206" i="1"/>
  <c r="Y1206" i="1"/>
  <c r="W1207" i="1"/>
  <c r="X1207" i="1"/>
  <c r="Y1207" i="1"/>
  <c r="W1208" i="1"/>
  <c r="X1208" i="1"/>
  <c r="Y1208" i="1"/>
  <c r="W1209" i="1"/>
  <c r="X1209" i="1"/>
  <c r="Y1209" i="1"/>
  <c r="W1210" i="1"/>
  <c r="X1210" i="1"/>
  <c r="Y1210" i="1"/>
  <c r="W1211" i="1"/>
  <c r="X1211" i="1"/>
  <c r="Y1211" i="1"/>
  <c r="W1212" i="1"/>
  <c r="X1212" i="1"/>
  <c r="Y1212" i="1"/>
  <c r="W1213" i="1"/>
  <c r="X1213" i="1"/>
  <c r="Y1213" i="1"/>
  <c r="W1214" i="1"/>
  <c r="X1214" i="1"/>
  <c r="Y1214" i="1"/>
  <c r="W1215" i="1"/>
  <c r="X1215" i="1"/>
  <c r="Y1215" i="1"/>
  <c r="W1216" i="1"/>
  <c r="X1216" i="1"/>
  <c r="Y1216" i="1"/>
  <c r="W1217" i="1"/>
  <c r="X1217" i="1"/>
  <c r="Y1217" i="1"/>
  <c r="W1218" i="1"/>
  <c r="X1218" i="1"/>
  <c r="Y1218" i="1"/>
  <c r="W1219" i="1"/>
  <c r="X1219" i="1"/>
  <c r="Y1219" i="1"/>
  <c r="W1220" i="1"/>
  <c r="X1220" i="1"/>
  <c r="Y1220" i="1"/>
  <c r="W1221" i="1"/>
  <c r="X1221" i="1"/>
  <c r="Y1221" i="1"/>
  <c r="W1222" i="1"/>
  <c r="X1222" i="1"/>
  <c r="Y1222" i="1"/>
  <c r="W1223" i="1"/>
  <c r="X1223" i="1"/>
  <c r="Y1223" i="1"/>
  <c r="W1224" i="1"/>
  <c r="X1224" i="1"/>
  <c r="Y1224" i="1"/>
  <c r="W1225" i="1"/>
  <c r="X1225" i="1"/>
  <c r="Y1225" i="1"/>
  <c r="W1226" i="1"/>
  <c r="X1226" i="1"/>
  <c r="Y1226" i="1"/>
  <c r="W1227" i="1"/>
  <c r="X1227" i="1"/>
  <c r="Y1227" i="1"/>
  <c r="W1228" i="1"/>
  <c r="X1228" i="1"/>
  <c r="Y1228" i="1"/>
  <c r="W1229" i="1"/>
  <c r="X1229" i="1"/>
  <c r="Y1229" i="1"/>
  <c r="W1230" i="1"/>
  <c r="X1230" i="1"/>
  <c r="Y1230" i="1"/>
  <c r="W1231" i="1"/>
  <c r="X1231" i="1"/>
  <c r="Y1231" i="1"/>
  <c r="W1232" i="1"/>
  <c r="X1232" i="1"/>
  <c r="Y1232" i="1"/>
  <c r="W1233" i="1"/>
  <c r="X1233" i="1"/>
  <c r="Y1233" i="1"/>
  <c r="W1234" i="1"/>
  <c r="X1234" i="1"/>
  <c r="Y1234" i="1"/>
  <c r="W1235" i="1"/>
  <c r="X1235" i="1"/>
  <c r="Y1235" i="1"/>
  <c r="W1236" i="1"/>
  <c r="X1236" i="1"/>
  <c r="Y1236" i="1"/>
  <c r="W1237" i="1"/>
  <c r="X1237" i="1"/>
  <c r="Y1237" i="1"/>
  <c r="W1238" i="1"/>
  <c r="X1238" i="1"/>
  <c r="Y1238" i="1"/>
  <c r="W1239" i="1"/>
  <c r="X1239" i="1"/>
  <c r="Y1239" i="1"/>
  <c r="W1240" i="1"/>
  <c r="X1240" i="1"/>
  <c r="Y1240" i="1"/>
  <c r="W1241" i="1"/>
  <c r="X1241" i="1"/>
  <c r="Y1241" i="1"/>
  <c r="W1242" i="1"/>
  <c r="X1242" i="1"/>
  <c r="Y1242" i="1"/>
  <c r="W1243" i="1"/>
  <c r="X1243" i="1"/>
  <c r="Y1243" i="1"/>
  <c r="W1244" i="1"/>
  <c r="X1244" i="1"/>
  <c r="Y1244" i="1"/>
  <c r="W1245" i="1"/>
  <c r="X1245" i="1"/>
  <c r="Y1245" i="1"/>
  <c r="W1246" i="1"/>
  <c r="X1246" i="1"/>
  <c r="Y1246" i="1"/>
  <c r="W1247" i="1"/>
  <c r="X1247" i="1"/>
  <c r="Y1247" i="1"/>
  <c r="W1248" i="1"/>
  <c r="X1248" i="1"/>
  <c r="Y1248" i="1"/>
  <c r="W1249" i="1"/>
  <c r="X1249" i="1"/>
  <c r="Y1249" i="1"/>
  <c r="W1250" i="1"/>
  <c r="X1250" i="1"/>
  <c r="Y1250" i="1"/>
  <c r="W1251" i="1"/>
  <c r="X1251" i="1"/>
  <c r="Y1251" i="1"/>
  <c r="W1252" i="1"/>
  <c r="X1252" i="1"/>
  <c r="Y1252" i="1"/>
  <c r="W1253" i="1"/>
  <c r="X1253" i="1"/>
  <c r="Y1253" i="1"/>
  <c r="W1254" i="1"/>
  <c r="X1254" i="1"/>
  <c r="Y1254" i="1"/>
  <c r="W1255" i="1"/>
  <c r="X1255" i="1"/>
  <c r="Y1255" i="1"/>
  <c r="W1256" i="1"/>
  <c r="X1256" i="1"/>
  <c r="Y1256" i="1"/>
  <c r="W1257" i="1"/>
  <c r="X1257" i="1"/>
  <c r="Y1257" i="1"/>
  <c r="W1258" i="1"/>
  <c r="X1258" i="1"/>
  <c r="Y1258" i="1"/>
  <c r="W1259" i="1"/>
  <c r="X1259" i="1"/>
  <c r="Y1259" i="1"/>
  <c r="W1260" i="1"/>
  <c r="X1260" i="1"/>
  <c r="Y1260" i="1"/>
  <c r="W1261" i="1"/>
  <c r="X1261" i="1"/>
  <c r="Y1261" i="1"/>
  <c r="W1262" i="1"/>
  <c r="X1262" i="1"/>
  <c r="Y1262" i="1"/>
  <c r="W1263" i="1"/>
  <c r="X1263" i="1"/>
  <c r="Y1263" i="1"/>
  <c r="W1264" i="1"/>
  <c r="X1264" i="1"/>
  <c r="Y1264" i="1"/>
  <c r="W1265" i="1"/>
  <c r="X1265" i="1"/>
  <c r="Y1265" i="1"/>
  <c r="W1266" i="1"/>
  <c r="X1266" i="1"/>
  <c r="Y1266" i="1"/>
  <c r="W1267" i="1"/>
  <c r="X1267" i="1"/>
  <c r="Y1267" i="1"/>
  <c r="W1268" i="1"/>
  <c r="X1268" i="1"/>
  <c r="Y1268" i="1"/>
  <c r="W1269" i="1"/>
  <c r="X1269" i="1"/>
  <c r="Y1269" i="1"/>
  <c r="W1270" i="1"/>
  <c r="X1270" i="1"/>
  <c r="Y1270" i="1"/>
  <c r="W1271" i="1"/>
  <c r="X1271" i="1"/>
  <c r="Y1271" i="1"/>
  <c r="W1272" i="1"/>
  <c r="X1272" i="1"/>
  <c r="Y1272" i="1"/>
  <c r="W1273" i="1"/>
  <c r="X1273" i="1"/>
  <c r="Y1273" i="1"/>
  <c r="W1274" i="1"/>
  <c r="X1274" i="1"/>
  <c r="Y1274" i="1"/>
  <c r="W1275" i="1"/>
  <c r="X1275" i="1"/>
  <c r="Y1275" i="1"/>
  <c r="W1276" i="1"/>
  <c r="X1276" i="1"/>
  <c r="Y1276" i="1"/>
  <c r="W1277" i="1"/>
  <c r="X1277" i="1"/>
  <c r="Y1277" i="1"/>
  <c r="W1278" i="1"/>
  <c r="X1278" i="1"/>
  <c r="Y1278" i="1"/>
  <c r="W1279" i="1"/>
  <c r="X1279" i="1"/>
  <c r="Y1279" i="1"/>
  <c r="W1280" i="1"/>
  <c r="X1280" i="1"/>
  <c r="Y1280" i="1"/>
  <c r="W1281" i="1"/>
  <c r="X1281" i="1"/>
  <c r="Y1281" i="1"/>
  <c r="W1282" i="1"/>
  <c r="X1282" i="1"/>
  <c r="Y1282" i="1"/>
  <c r="W1283" i="1"/>
  <c r="X1283" i="1"/>
  <c r="Y1283" i="1"/>
  <c r="W1284" i="1"/>
  <c r="X1284" i="1"/>
  <c r="Y1284" i="1"/>
  <c r="W1285" i="1"/>
  <c r="X1285" i="1"/>
  <c r="Y1285" i="1"/>
  <c r="W1286" i="1"/>
  <c r="X1286" i="1"/>
  <c r="Y1286" i="1"/>
  <c r="W1287" i="1"/>
  <c r="X1287" i="1"/>
  <c r="Y1287" i="1"/>
  <c r="W1288" i="1"/>
  <c r="X1288" i="1"/>
  <c r="Y1288" i="1"/>
  <c r="W1289" i="1"/>
  <c r="X1289" i="1"/>
  <c r="Y1289" i="1"/>
  <c r="W1290" i="1"/>
  <c r="X1290" i="1"/>
  <c r="Y1290" i="1"/>
  <c r="W1291" i="1"/>
  <c r="X1291" i="1"/>
  <c r="Y1291" i="1"/>
  <c r="W1292" i="1"/>
  <c r="X1292" i="1"/>
  <c r="Y1292" i="1"/>
  <c r="W1293" i="1"/>
  <c r="X1293" i="1"/>
  <c r="Y1293" i="1"/>
  <c r="W1294" i="1"/>
  <c r="X1294" i="1"/>
  <c r="Y1294" i="1"/>
  <c r="W1295" i="1"/>
  <c r="X1295" i="1"/>
  <c r="Y1295" i="1"/>
  <c r="W1296" i="1"/>
  <c r="X1296" i="1"/>
  <c r="Y1296" i="1"/>
  <c r="W1297" i="1"/>
  <c r="X1297" i="1"/>
  <c r="Y1297" i="1"/>
  <c r="W1298" i="1"/>
  <c r="X1298" i="1"/>
  <c r="Y1298" i="1"/>
  <c r="W1299" i="1"/>
  <c r="X1299" i="1"/>
  <c r="Y1299" i="1"/>
  <c r="W1300" i="1"/>
  <c r="X1300" i="1"/>
  <c r="Y1300" i="1"/>
  <c r="W1301" i="1"/>
  <c r="X1301" i="1"/>
  <c r="Y1301" i="1"/>
  <c r="W1302" i="1"/>
  <c r="X1302" i="1"/>
  <c r="Y1302" i="1"/>
  <c r="W1303" i="1"/>
  <c r="X1303" i="1"/>
  <c r="Y1303" i="1"/>
  <c r="X5" i="1"/>
  <c r="Y5" i="1"/>
  <c r="W5" i="1"/>
  <c r="G14" i="13"/>
  <c r="W30" i="12"/>
  <c r="X30" i="12" s="1"/>
  <c r="Y30" i="12" s="1"/>
  <c r="W31" i="12"/>
  <c r="X31" i="12" s="1"/>
  <c r="Y31" i="12" s="1"/>
  <c r="W32" i="12"/>
  <c r="X32" i="12" s="1"/>
  <c r="Y32" i="12" s="1"/>
  <c r="W33" i="12"/>
  <c r="X33" i="12" s="1"/>
  <c r="Y33" i="12" s="1"/>
  <c r="W34" i="12"/>
  <c r="X34" i="12" s="1"/>
  <c r="Y34" i="12" s="1"/>
  <c r="W35" i="12"/>
  <c r="X35" i="12" s="1"/>
  <c r="Y35" i="12" s="1"/>
  <c r="W36" i="12"/>
  <c r="X36" i="12"/>
  <c r="Y36" i="12" s="1"/>
  <c r="W37" i="12"/>
  <c r="X37" i="12"/>
  <c r="Y37" i="12" s="1"/>
  <c r="W38" i="12"/>
  <c r="X38" i="12" s="1"/>
  <c r="Y38" i="12" s="1"/>
  <c r="W39" i="12"/>
  <c r="X39" i="12" s="1"/>
  <c r="Y39" i="12" s="1"/>
  <c r="W40" i="12"/>
  <c r="X40" i="12" s="1"/>
  <c r="Y40" i="12" s="1"/>
  <c r="W41" i="12"/>
  <c r="X41" i="12" s="1"/>
  <c r="Y41" i="12" s="1"/>
  <c r="W42" i="12"/>
  <c r="X42" i="12" s="1"/>
  <c r="Y42" i="12" s="1"/>
  <c r="W43" i="12"/>
  <c r="X43" i="12" s="1"/>
  <c r="Y43" i="12" s="1"/>
  <c r="W44" i="12"/>
  <c r="X44" i="12"/>
  <c r="Y44" i="12" s="1"/>
  <c r="W45" i="12"/>
  <c r="X45" i="12"/>
  <c r="Y45" i="12" s="1"/>
  <c r="W46" i="12"/>
  <c r="X46" i="12" s="1"/>
  <c r="Y46" i="12" s="1"/>
  <c r="W47" i="12"/>
  <c r="X47" i="12" s="1"/>
  <c r="Y47" i="12" s="1"/>
  <c r="W48" i="12"/>
  <c r="X48" i="12" s="1"/>
  <c r="Y48" i="12" s="1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N16" i="8"/>
  <c r="N16" i="5"/>
  <c r="M35" i="5"/>
  <c r="M280" i="5"/>
  <c r="N16" i="4"/>
  <c r="N16" i="3"/>
  <c r="G16" i="13"/>
  <c r="G12" i="13"/>
  <c r="G10" i="13"/>
  <c r="G8" i="13"/>
  <c r="G6" i="13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49" i="12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34" i="8"/>
  <c r="L35" i="5"/>
  <c r="L36" i="5"/>
  <c r="L37" i="5"/>
  <c r="L38" i="5"/>
  <c r="L39" i="5"/>
  <c r="L40" i="5"/>
  <c r="L41" i="5"/>
  <c r="L42" i="5"/>
  <c r="M42" i="5" s="1"/>
  <c r="L43" i="5"/>
  <c r="L44" i="5"/>
  <c r="L45" i="5"/>
  <c r="L46" i="5"/>
  <c r="L47" i="5"/>
  <c r="L48" i="5"/>
  <c r="L49" i="5"/>
  <c r="L50" i="5"/>
  <c r="M50" i="5" s="1"/>
  <c r="L51" i="5"/>
  <c r="L52" i="5"/>
  <c r="L53" i="5"/>
  <c r="L54" i="5"/>
  <c r="L55" i="5"/>
  <c r="L56" i="5"/>
  <c r="L57" i="5"/>
  <c r="L58" i="5"/>
  <c r="M58" i="5" s="1"/>
  <c r="L59" i="5"/>
  <c r="L60" i="5"/>
  <c r="L61" i="5"/>
  <c r="L62" i="5"/>
  <c r="L63" i="5"/>
  <c r="L64" i="5"/>
  <c r="L65" i="5"/>
  <c r="L66" i="5"/>
  <c r="M66" i="5" s="1"/>
  <c r="L67" i="5"/>
  <c r="L68" i="5"/>
  <c r="L69" i="5"/>
  <c r="L70" i="5"/>
  <c r="L71" i="5"/>
  <c r="L72" i="5"/>
  <c r="L73" i="5"/>
  <c r="L74" i="5"/>
  <c r="M74" i="5" s="1"/>
  <c r="L75" i="5"/>
  <c r="L76" i="5"/>
  <c r="L77" i="5"/>
  <c r="L78" i="5"/>
  <c r="L79" i="5"/>
  <c r="L80" i="5"/>
  <c r="L81" i="5"/>
  <c r="L82" i="5"/>
  <c r="M82" i="5" s="1"/>
  <c r="L83" i="5"/>
  <c r="L84" i="5"/>
  <c r="L85" i="5"/>
  <c r="L86" i="5"/>
  <c r="L87" i="5"/>
  <c r="L88" i="5"/>
  <c r="L89" i="5"/>
  <c r="L90" i="5"/>
  <c r="M90" i="5" s="1"/>
  <c r="L91" i="5"/>
  <c r="L92" i="5"/>
  <c r="L93" i="5"/>
  <c r="L94" i="5"/>
  <c r="L95" i="5"/>
  <c r="L96" i="5"/>
  <c r="L97" i="5"/>
  <c r="L98" i="5"/>
  <c r="M98" i="5" s="1"/>
  <c r="L99" i="5"/>
  <c r="L100" i="5"/>
  <c r="L101" i="5"/>
  <c r="L102" i="5"/>
  <c r="L103" i="5"/>
  <c r="L104" i="5"/>
  <c r="L105" i="5"/>
  <c r="L106" i="5"/>
  <c r="M106" i="5" s="1"/>
  <c r="L107" i="5"/>
  <c r="L108" i="5"/>
  <c r="L109" i="5"/>
  <c r="L110" i="5"/>
  <c r="L111" i="5"/>
  <c r="L112" i="5"/>
  <c r="L113" i="5"/>
  <c r="L114" i="5"/>
  <c r="M114" i="5" s="1"/>
  <c r="L115" i="5"/>
  <c r="L116" i="5"/>
  <c r="L117" i="5"/>
  <c r="L118" i="5"/>
  <c r="L119" i="5"/>
  <c r="L120" i="5"/>
  <c r="L121" i="5"/>
  <c r="L122" i="5"/>
  <c r="M122" i="5" s="1"/>
  <c r="L123" i="5"/>
  <c r="L124" i="5"/>
  <c r="L125" i="5"/>
  <c r="L126" i="5"/>
  <c r="L127" i="5"/>
  <c r="L128" i="5"/>
  <c r="L129" i="5"/>
  <c r="L130" i="5"/>
  <c r="M130" i="5" s="1"/>
  <c r="L131" i="5"/>
  <c r="L132" i="5"/>
  <c r="L133" i="5"/>
  <c r="L134" i="5"/>
  <c r="M134" i="5" s="1"/>
  <c r="L135" i="5"/>
  <c r="L136" i="5"/>
  <c r="L137" i="5"/>
  <c r="L138" i="5"/>
  <c r="M138" i="5" s="1"/>
  <c r="L139" i="5"/>
  <c r="L140" i="5"/>
  <c r="L141" i="5"/>
  <c r="L142" i="5"/>
  <c r="M142" i="5" s="1"/>
  <c r="L143" i="5"/>
  <c r="L144" i="5"/>
  <c r="L145" i="5"/>
  <c r="L146" i="5"/>
  <c r="M146" i="5" s="1"/>
  <c r="L147" i="5"/>
  <c r="L148" i="5"/>
  <c r="L149" i="5"/>
  <c r="L150" i="5"/>
  <c r="M150" i="5" s="1"/>
  <c r="L151" i="5"/>
  <c r="L152" i="5"/>
  <c r="L153" i="5"/>
  <c r="L154" i="5"/>
  <c r="M154" i="5" s="1"/>
  <c r="L155" i="5"/>
  <c r="L156" i="5"/>
  <c r="L157" i="5"/>
  <c r="L158" i="5"/>
  <c r="M158" i="5" s="1"/>
  <c r="L159" i="5"/>
  <c r="L160" i="5"/>
  <c r="L161" i="5"/>
  <c r="L162" i="5"/>
  <c r="M162" i="5" s="1"/>
  <c r="L163" i="5"/>
  <c r="L164" i="5"/>
  <c r="L165" i="5"/>
  <c r="L166" i="5"/>
  <c r="M166" i="5" s="1"/>
  <c r="L167" i="5"/>
  <c r="L168" i="5"/>
  <c r="L169" i="5"/>
  <c r="L170" i="5"/>
  <c r="M170" i="5" s="1"/>
  <c r="L171" i="5"/>
  <c r="L172" i="5"/>
  <c r="L173" i="5"/>
  <c r="L174" i="5"/>
  <c r="M174" i="5" s="1"/>
  <c r="L175" i="5"/>
  <c r="L176" i="5"/>
  <c r="L177" i="5"/>
  <c r="L178" i="5"/>
  <c r="M178" i="5" s="1"/>
  <c r="L179" i="5"/>
  <c r="L180" i="5"/>
  <c r="L181" i="5"/>
  <c r="L182" i="5"/>
  <c r="M182" i="5" s="1"/>
  <c r="L183" i="5"/>
  <c r="L184" i="5"/>
  <c r="L185" i="5"/>
  <c r="L186" i="5"/>
  <c r="M186" i="5" s="1"/>
  <c r="L187" i="5"/>
  <c r="L188" i="5"/>
  <c r="L189" i="5"/>
  <c r="L190" i="5"/>
  <c r="M190" i="5" s="1"/>
  <c r="L191" i="5"/>
  <c r="L192" i="5"/>
  <c r="L193" i="5"/>
  <c r="L194" i="5"/>
  <c r="M194" i="5" s="1"/>
  <c r="L195" i="5"/>
  <c r="L196" i="5"/>
  <c r="L197" i="5"/>
  <c r="L198" i="5"/>
  <c r="M198" i="5" s="1"/>
  <c r="L199" i="5"/>
  <c r="L200" i="5"/>
  <c r="L201" i="5"/>
  <c r="L202" i="5"/>
  <c r="M202" i="5" s="1"/>
  <c r="L203" i="5"/>
  <c r="L204" i="5"/>
  <c r="L205" i="5"/>
  <c r="L206" i="5"/>
  <c r="M206" i="5" s="1"/>
  <c r="L207" i="5"/>
  <c r="L208" i="5"/>
  <c r="L209" i="5"/>
  <c r="L210" i="5"/>
  <c r="M210" i="5" s="1"/>
  <c r="L211" i="5"/>
  <c r="L212" i="5"/>
  <c r="L213" i="5"/>
  <c r="L214" i="5"/>
  <c r="M214" i="5" s="1"/>
  <c r="L215" i="5"/>
  <c r="L216" i="5"/>
  <c r="L217" i="5"/>
  <c r="M217" i="5" s="1"/>
  <c r="L218" i="5"/>
  <c r="M218" i="5" s="1"/>
  <c r="L219" i="5"/>
  <c r="L220" i="5"/>
  <c r="L221" i="5"/>
  <c r="L222" i="5"/>
  <c r="M222" i="5" s="1"/>
  <c r="L223" i="5"/>
  <c r="L224" i="5"/>
  <c r="L225" i="5"/>
  <c r="M225" i="5" s="1"/>
  <c r="L226" i="5"/>
  <c r="M226" i="5" s="1"/>
  <c r="L227" i="5"/>
  <c r="L228" i="5"/>
  <c r="L229" i="5"/>
  <c r="L230" i="5"/>
  <c r="M230" i="5" s="1"/>
  <c r="L231" i="5"/>
  <c r="L232" i="5"/>
  <c r="L233" i="5"/>
  <c r="M233" i="5" s="1"/>
  <c r="L234" i="5"/>
  <c r="M234" i="5" s="1"/>
  <c r="L235" i="5"/>
  <c r="L236" i="5"/>
  <c r="L237" i="5"/>
  <c r="L238" i="5"/>
  <c r="M238" i="5" s="1"/>
  <c r="L239" i="5"/>
  <c r="L240" i="5"/>
  <c r="L241" i="5"/>
  <c r="M241" i="5" s="1"/>
  <c r="L242" i="5"/>
  <c r="M242" i="5" s="1"/>
  <c r="L243" i="5"/>
  <c r="L244" i="5"/>
  <c r="L245" i="5"/>
  <c r="L246" i="5"/>
  <c r="M246" i="5" s="1"/>
  <c r="L247" i="5"/>
  <c r="L248" i="5"/>
  <c r="L249" i="5"/>
  <c r="M249" i="5" s="1"/>
  <c r="L250" i="5"/>
  <c r="M250" i="5" s="1"/>
  <c r="L251" i="5"/>
  <c r="L252" i="5"/>
  <c r="L253" i="5"/>
  <c r="L254" i="5"/>
  <c r="M254" i="5" s="1"/>
  <c r="L255" i="5"/>
  <c r="L256" i="5"/>
  <c r="L257" i="5"/>
  <c r="M257" i="5" s="1"/>
  <c r="L258" i="5"/>
  <c r="M258" i="5" s="1"/>
  <c r="L259" i="5"/>
  <c r="L260" i="5"/>
  <c r="L261" i="5"/>
  <c r="L262" i="5"/>
  <c r="M262" i="5" s="1"/>
  <c r="L263" i="5"/>
  <c r="L264" i="5"/>
  <c r="L265" i="5"/>
  <c r="M265" i="5" s="1"/>
  <c r="L266" i="5"/>
  <c r="M266" i="5" s="1"/>
  <c r="L267" i="5"/>
  <c r="L268" i="5"/>
  <c r="L269" i="5"/>
  <c r="L270" i="5"/>
  <c r="M270" i="5" s="1"/>
  <c r="L271" i="5"/>
  <c r="L272" i="5"/>
  <c r="L273" i="5"/>
  <c r="M273" i="5" s="1"/>
  <c r="L274" i="5"/>
  <c r="M274" i="5" s="1"/>
  <c r="L275" i="5"/>
  <c r="L276" i="5"/>
  <c r="L277" i="5"/>
  <c r="L278" i="5"/>
  <c r="M278" i="5" s="1"/>
  <c r="L279" i="5"/>
  <c r="L280" i="5"/>
  <c r="M36" i="5"/>
  <c r="M37" i="5"/>
  <c r="M38" i="5"/>
  <c r="M39" i="5"/>
  <c r="M40" i="5"/>
  <c r="M41" i="5"/>
  <c r="M43" i="5"/>
  <c r="M44" i="5"/>
  <c r="M45" i="5"/>
  <c r="M46" i="5"/>
  <c r="M47" i="5"/>
  <c r="M48" i="5"/>
  <c r="M49" i="5"/>
  <c r="M51" i="5"/>
  <c r="M52" i="5"/>
  <c r="M53" i="5"/>
  <c r="M54" i="5"/>
  <c r="M55" i="5"/>
  <c r="M56" i="5"/>
  <c r="M57" i="5"/>
  <c r="M59" i="5"/>
  <c r="M60" i="5"/>
  <c r="M61" i="5"/>
  <c r="M62" i="5"/>
  <c r="M63" i="5"/>
  <c r="M64" i="5"/>
  <c r="M65" i="5"/>
  <c r="M67" i="5"/>
  <c r="M68" i="5"/>
  <c r="M69" i="5"/>
  <c r="M70" i="5"/>
  <c r="M71" i="5"/>
  <c r="M72" i="5"/>
  <c r="M73" i="5"/>
  <c r="M75" i="5"/>
  <c r="M76" i="5"/>
  <c r="M77" i="5"/>
  <c r="M78" i="5"/>
  <c r="M79" i="5"/>
  <c r="M80" i="5"/>
  <c r="M81" i="5"/>
  <c r="M83" i="5"/>
  <c r="M84" i="5"/>
  <c r="M85" i="5"/>
  <c r="M86" i="5"/>
  <c r="M87" i="5"/>
  <c r="M88" i="5"/>
  <c r="M89" i="5"/>
  <c r="M91" i="5"/>
  <c r="M92" i="5"/>
  <c r="M93" i="5"/>
  <c r="M94" i="5"/>
  <c r="M95" i="5"/>
  <c r="M96" i="5"/>
  <c r="M97" i="5"/>
  <c r="M99" i="5"/>
  <c r="M100" i="5"/>
  <c r="M101" i="5"/>
  <c r="M102" i="5"/>
  <c r="M103" i="5"/>
  <c r="M104" i="5"/>
  <c r="M105" i="5"/>
  <c r="M107" i="5"/>
  <c r="M108" i="5"/>
  <c r="M109" i="5"/>
  <c r="M110" i="5"/>
  <c r="M111" i="5"/>
  <c r="M112" i="5"/>
  <c r="M113" i="5"/>
  <c r="M115" i="5"/>
  <c r="M116" i="5"/>
  <c r="M117" i="5"/>
  <c r="M118" i="5"/>
  <c r="M119" i="5"/>
  <c r="M120" i="5"/>
  <c r="M121" i="5"/>
  <c r="M123" i="5"/>
  <c r="M124" i="5"/>
  <c r="M125" i="5"/>
  <c r="M126" i="5"/>
  <c r="M127" i="5"/>
  <c r="M128" i="5"/>
  <c r="M129" i="5"/>
  <c r="M131" i="5"/>
  <c r="M132" i="5"/>
  <c r="M133" i="5"/>
  <c r="M135" i="5"/>
  <c r="M136" i="5"/>
  <c r="M137" i="5"/>
  <c r="M139" i="5"/>
  <c r="M140" i="5"/>
  <c r="M141" i="5"/>
  <c r="M143" i="5"/>
  <c r="M144" i="5"/>
  <c r="M145" i="5"/>
  <c r="M147" i="5"/>
  <c r="M148" i="5"/>
  <c r="M149" i="5"/>
  <c r="M151" i="5"/>
  <c r="M152" i="5"/>
  <c r="M153" i="5"/>
  <c r="M155" i="5"/>
  <c r="M156" i="5"/>
  <c r="M157" i="5"/>
  <c r="M159" i="5"/>
  <c r="M160" i="5"/>
  <c r="M161" i="5"/>
  <c r="M163" i="5"/>
  <c r="M164" i="5"/>
  <c r="M165" i="5"/>
  <c r="M167" i="5"/>
  <c r="M168" i="5"/>
  <c r="M169" i="5"/>
  <c r="M171" i="5"/>
  <c r="M172" i="5"/>
  <c r="M173" i="5"/>
  <c r="M175" i="5"/>
  <c r="M176" i="5"/>
  <c r="M177" i="5"/>
  <c r="M179" i="5"/>
  <c r="M180" i="5"/>
  <c r="M181" i="5"/>
  <c r="M183" i="5"/>
  <c r="M184" i="5"/>
  <c r="M185" i="5"/>
  <c r="M187" i="5"/>
  <c r="M188" i="5"/>
  <c r="M189" i="5"/>
  <c r="M191" i="5"/>
  <c r="M192" i="5"/>
  <c r="M193" i="5"/>
  <c r="M195" i="5"/>
  <c r="M196" i="5"/>
  <c r="M197" i="5"/>
  <c r="M199" i="5"/>
  <c r="M200" i="5"/>
  <c r="M201" i="5"/>
  <c r="M203" i="5"/>
  <c r="M204" i="5"/>
  <c r="M205" i="5"/>
  <c r="M207" i="5"/>
  <c r="M208" i="5"/>
  <c r="M209" i="5"/>
  <c r="M211" i="5"/>
  <c r="M212" i="5"/>
  <c r="M213" i="5"/>
  <c r="M215" i="5"/>
  <c r="M216" i="5"/>
  <c r="M219" i="5"/>
  <c r="M220" i="5"/>
  <c r="M221" i="5"/>
  <c r="M223" i="5"/>
  <c r="M224" i="5"/>
  <c r="M227" i="5"/>
  <c r="M228" i="5"/>
  <c r="M229" i="5"/>
  <c r="M231" i="5"/>
  <c r="M232" i="5"/>
  <c r="M235" i="5"/>
  <c r="M236" i="5"/>
  <c r="M237" i="5"/>
  <c r="M239" i="5"/>
  <c r="M240" i="5"/>
  <c r="M243" i="5"/>
  <c r="M244" i="5"/>
  <c r="M245" i="5"/>
  <c r="M247" i="5"/>
  <c r="M248" i="5"/>
  <c r="M251" i="5"/>
  <c r="M252" i="5"/>
  <c r="M253" i="5"/>
  <c r="M255" i="5"/>
  <c r="M256" i="5"/>
  <c r="M259" i="5"/>
  <c r="M260" i="5"/>
  <c r="M261" i="5"/>
  <c r="M263" i="5"/>
  <c r="M264" i="5"/>
  <c r="M267" i="5"/>
  <c r="M268" i="5"/>
  <c r="M269" i="5"/>
  <c r="M271" i="5"/>
  <c r="M272" i="5"/>
  <c r="M275" i="5"/>
  <c r="M276" i="5"/>
  <c r="M277" i="5"/>
  <c r="M279" i="5"/>
  <c r="M34" i="5"/>
  <c r="L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34" i="5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34" i="4"/>
  <c r="M106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34" i="3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49" i="12"/>
  <c r="U49" i="12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34" i="8"/>
  <c r="I34" i="8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34" i="5"/>
  <c r="I34" i="5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34" i="4"/>
  <c r="I34" i="4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6" i="3"/>
  <c r="J105" i="3"/>
  <c r="I105" i="3"/>
  <c r="E16" i="13"/>
  <c r="D16" i="13"/>
  <c r="C16" i="13"/>
  <c r="E12" i="13"/>
  <c r="C12" i="13"/>
  <c r="E10" i="13"/>
  <c r="C10" i="13"/>
  <c r="D8" i="13"/>
  <c r="C8" i="13"/>
  <c r="D6" i="13"/>
  <c r="C6" i="13"/>
  <c r="U77" i="12"/>
  <c r="U78" i="12"/>
  <c r="U79" i="12"/>
  <c r="U80" i="12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53" i="4"/>
  <c r="I54" i="4"/>
  <c r="I55" i="4"/>
  <c r="I56" i="4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6" i="3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9" i="12"/>
  <c r="J7" i="1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502" i="12"/>
  <c r="R503" i="12"/>
  <c r="R504" i="12"/>
  <c r="R505" i="12"/>
  <c r="R506" i="12"/>
  <c r="R507" i="12"/>
  <c r="R508" i="12"/>
  <c r="R509" i="12"/>
  <c r="R510" i="12"/>
  <c r="R511" i="12"/>
  <c r="R512" i="12"/>
  <c r="R513" i="12"/>
  <c r="R514" i="12"/>
  <c r="R515" i="12"/>
  <c r="R516" i="12"/>
  <c r="R517" i="12"/>
  <c r="R518" i="12"/>
  <c r="R519" i="12"/>
  <c r="R520" i="12"/>
  <c r="R521" i="12"/>
  <c r="R522" i="12"/>
  <c r="R523" i="12"/>
  <c r="R524" i="12"/>
  <c r="R525" i="12"/>
  <c r="R526" i="12"/>
  <c r="R527" i="12"/>
  <c r="R528" i="12"/>
  <c r="R529" i="12"/>
  <c r="R530" i="12"/>
  <c r="R531" i="12"/>
  <c r="R532" i="12"/>
  <c r="R533" i="12"/>
  <c r="R534" i="12"/>
  <c r="R535" i="12"/>
  <c r="R536" i="12"/>
  <c r="R537" i="12"/>
  <c r="R538" i="12"/>
  <c r="R539" i="12"/>
  <c r="R540" i="12"/>
  <c r="R541" i="12"/>
  <c r="R542" i="12"/>
  <c r="R543" i="12"/>
  <c r="R544" i="12"/>
  <c r="R545" i="12"/>
  <c r="R546" i="12"/>
  <c r="R547" i="12"/>
  <c r="R548" i="12"/>
  <c r="R549" i="12"/>
  <c r="R550" i="12"/>
  <c r="R551" i="12"/>
  <c r="R552" i="12"/>
  <c r="R553" i="12"/>
  <c r="R554" i="12"/>
  <c r="R555" i="12"/>
  <c r="R556" i="12"/>
  <c r="R557" i="12"/>
  <c r="R558" i="12"/>
  <c r="R559" i="12"/>
  <c r="R560" i="12"/>
  <c r="R561" i="12"/>
  <c r="R562" i="12"/>
  <c r="R563" i="12"/>
  <c r="R564" i="12"/>
  <c r="R565" i="12"/>
  <c r="R566" i="12"/>
  <c r="R567" i="12"/>
  <c r="R568" i="12"/>
  <c r="R569" i="12"/>
  <c r="R570" i="12"/>
  <c r="R571" i="12"/>
  <c r="R572" i="12"/>
  <c r="R573" i="12"/>
  <c r="R574" i="12"/>
  <c r="R575" i="12"/>
  <c r="R576" i="12"/>
  <c r="R577" i="12"/>
  <c r="R578" i="12"/>
  <c r="R579" i="12"/>
  <c r="R580" i="12"/>
  <c r="R581" i="12"/>
  <c r="R582" i="12"/>
  <c r="R583" i="12"/>
  <c r="R584" i="12"/>
  <c r="R585" i="12"/>
  <c r="R586" i="12"/>
  <c r="R587" i="12"/>
  <c r="R588" i="12"/>
  <c r="R589" i="12"/>
  <c r="R590" i="12"/>
  <c r="R591" i="12"/>
  <c r="R592" i="12"/>
  <c r="R593" i="12"/>
  <c r="R594" i="12"/>
  <c r="R595" i="12"/>
  <c r="R596" i="12"/>
  <c r="R597" i="12"/>
  <c r="R598" i="12"/>
  <c r="R599" i="12"/>
  <c r="R600" i="12"/>
  <c r="R601" i="12"/>
  <c r="R602" i="12"/>
  <c r="R603" i="12"/>
  <c r="R604" i="12"/>
  <c r="R605" i="12"/>
  <c r="R606" i="12"/>
  <c r="R607" i="12"/>
  <c r="R608" i="12"/>
  <c r="R609" i="12"/>
  <c r="R610" i="12"/>
  <c r="R611" i="12"/>
  <c r="R612" i="12"/>
  <c r="R613" i="12"/>
  <c r="R614" i="12"/>
  <c r="R615" i="12"/>
  <c r="R616" i="12"/>
  <c r="R617" i="12"/>
  <c r="R618" i="12"/>
  <c r="R619" i="12"/>
  <c r="R620" i="12"/>
  <c r="R621" i="12"/>
  <c r="R622" i="12"/>
  <c r="R623" i="12"/>
  <c r="R624" i="12"/>
  <c r="R625" i="12"/>
  <c r="R626" i="12"/>
  <c r="R627" i="12"/>
  <c r="R628" i="12"/>
  <c r="R629" i="12"/>
  <c r="R630" i="12"/>
  <c r="R631" i="12"/>
  <c r="R632" i="12"/>
  <c r="R633" i="12"/>
  <c r="R634" i="12"/>
  <c r="R635" i="12"/>
  <c r="R636" i="12"/>
  <c r="R637" i="12"/>
  <c r="R638" i="12"/>
  <c r="R639" i="12"/>
  <c r="R640" i="12"/>
  <c r="R641" i="12"/>
  <c r="R642" i="12"/>
  <c r="R643" i="12"/>
  <c r="R644" i="12"/>
  <c r="R645" i="12"/>
  <c r="R646" i="12"/>
  <c r="R647" i="12"/>
  <c r="R648" i="12"/>
  <c r="R649" i="12"/>
  <c r="R650" i="12"/>
  <c r="R651" i="12"/>
  <c r="R652" i="12"/>
  <c r="R653" i="12"/>
  <c r="R654" i="12"/>
  <c r="R655" i="12"/>
  <c r="R656" i="12"/>
  <c r="R657" i="12"/>
  <c r="R658" i="12"/>
  <c r="R659" i="12"/>
  <c r="R660" i="12"/>
  <c r="R661" i="12"/>
  <c r="R662" i="12"/>
  <c r="R663" i="12"/>
  <c r="R664" i="12"/>
  <c r="R665" i="12"/>
  <c r="R666" i="12"/>
  <c r="R667" i="12"/>
  <c r="R668" i="12"/>
  <c r="R669" i="12"/>
  <c r="R670" i="12"/>
  <c r="R671" i="12"/>
  <c r="R672" i="12"/>
  <c r="R673" i="12"/>
  <c r="R674" i="12"/>
  <c r="R675" i="12"/>
  <c r="R676" i="12"/>
  <c r="R677" i="12"/>
  <c r="R678" i="12"/>
  <c r="R679" i="12"/>
  <c r="R680" i="12"/>
  <c r="R681" i="12"/>
  <c r="R682" i="12"/>
  <c r="R683" i="12"/>
  <c r="R684" i="12"/>
  <c r="R685" i="12"/>
  <c r="R686" i="12"/>
  <c r="R687" i="12"/>
  <c r="R688" i="12"/>
  <c r="R689" i="12"/>
  <c r="R690" i="12"/>
  <c r="R691" i="12"/>
  <c r="R692" i="12"/>
  <c r="R693" i="12"/>
  <c r="R694" i="12"/>
  <c r="R695" i="12"/>
  <c r="R696" i="12"/>
  <c r="R697" i="12"/>
  <c r="R698" i="12"/>
  <c r="R699" i="12"/>
  <c r="R700" i="12"/>
  <c r="R701" i="12"/>
  <c r="R702" i="12"/>
  <c r="R703" i="12"/>
  <c r="R704" i="12"/>
  <c r="R705" i="12"/>
  <c r="R706" i="12"/>
  <c r="R707" i="12"/>
  <c r="R708" i="12"/>
  <c r="R709" i="12"/>
  <c r="R710" i="12"/>
  <c r="R711" i="12"/>
  <c r="R712" i="12"/>
  <c r="R713" i="12"/>
  <c r="R714" i="12"/>
  <c r="R715" i="12"/>
  <c r="R716" i="12"/>
  <c r="R717" i="12"/>
  <c r="R718" i="12"/>
  <c r="R719" i="12"/>
  <c r="R720" i="12"/>
  <c r="R721" i="12"/>
  <c r="R722" i="12"/>
  <c r="R723" i="12"/>
  <c r="R724" i="12"/>
  <c r="R725" i="12"/>
  <c r="R726" i="12"/>
  <c r="R727" i="12"/>
  <c r="R728" i="12"/>
  <c r="R729" i="12"/>
  <c r="R730" i="12"/>
  <c r="R731" i="12"/>
  <c r="R732" i="12"/>
  <c r="R733" i="12"/>
  <c r="R734" i="12"/>
  <c r="R735" i="12"/>
  <c r="R736" i="12"/>
  <c r="R737" i="12"/>
  <c r="R738" i="12"/>
  <c r="R739" i="12"/>
  <c r="R740" i="12"/>
  <c r="R741" i="12"/>
  <c r="R742" i="12"/>
  <c r="R743" i="12"/>
  <c r="R744" i="12"/>
  <c r="R745" i="12"/>
  <c r="R746" i="12"/>
  <c r="R747" i="12"/>
  <c r="R748" i="12"/>
  <c r="R749" i="12"/>
  <c r="R750" i="12"/>
  <c r="R751" i="12"/>
  <c r="R752" i="12"/>
  <c r="R753" i="12"/>
  <c r="R754" i="12"/>
  <c r="R755" i="12"/>
  <c r="R756" i="12"/>
  <c r="R757" i="12"/>
  <c r="R758" i="12"/>
  <c r="R759" i="12"/>
  <c r="R760" i="12"/>
  <c r="R761" i="12"/>
  <c r="R762" i="12"/>
  <c r="R763" i="12"/>
  <c r="R764" i="12"/>
  <c r="R765" i="12"/>
  <c r="R766" i="12"/>
  <c r="R767" i="12"/>
  <c r="R768" i="12"/>
  <c r="R769" i="12"/>
  <c r="R770" i="12"/>
  <c r="R771" i="12"/>
  <c r="R772" i="12"/>
  <c r="R773" i="12"/>
  <c r="R774" i="12"/>
  <c r="R775" i="12"/>
  <c r="R776" i="12"/>
  <c r="R777" i="12"/>
  <c r="R778" i="12"/>
  <c r="R779" i="12"/>
  <c r="R780" i="12"/>
  <c r="R781" i="12"/>
  <c r="R782" i="12"/>
  <c r="R783" i="12"/>
  <c r="R784" i="12"/>
  <c r="R785" i="12"/>
  <c r="R786" i="12"/>
  <c r="R787" i="12"/>
  <c r="R788" i="12"/>
  <c r="R789" i="12"/>
  <c r="R790" i="12"/>
  <c r="R791" i="12"/>
  <c r="R792" i="12"/>
  <c r="R793" i="12"/>
  <c r="R794" i="12"/>
  <c r="R795" i="12"/>
  <c r="R796" i="12"/>
  <c r="R797" i="12"/>
  <c r="R798" i="12"/>
  <c r="R799" i="12"/>
  <c r="R800" i="12"/>
  <c r="R801" i="12"/>
  <c r="R802" i="12"/>
  <c r="R803" i="12"/>
  <c r="R804" i="12"/>
  <c r="R805" i="12"/>
  <c r="R806" i="12"/>
  <c r="R807" i="12"/>
  <c r="R808" i="12"/>
  <c r="R809" i="12"/>
  <c r="R810" i="12"/>
  <c r="R811" i="12"/>
  <c r="R812" i="12"/>
  <c r="R813" i="12"/>
  <c r="R814" i="12"/>
  <c r="R815" i="12"/>
  <c r="R816" i="12"/>
  <c r="R817" i="12"/>
  <c r="R818" i="12"/>
  <c r="R819" i="12"/>
  <c r="R820" i="12"/>
  <c r="R821" i="12"/>
  <c r="R822" i="12"/>
  <c r="R823" i="12"/>
  <c r="R824" i="12"/>
  <c r="R825" i="12"/>
  <c r="R826" i="12"/>
  <c r="R827" i="12"/>
  <c r="R828" i="12"/>
  <c r="R829" i="12"/>
  <c r="R830" i="12"/>
  <c r="R831" i="12"/>
  <c r="R832" i="12"/>
  <c r="R833" i="12"/>
  <c r="R834" i="12"/>
  <c r="R835" i="12"/>
  <c r="R836" i="12"/>
  <c r="R837" i="12"/>
  <c r="R838" i="12"/>
  <c r="R839" i="12"/>
  <c r="R840" i="12"/>
  <c r="R841" i="12"/>
  <c r="R842" i="12"/>
  <c r="R843" i="12"/>
  <c r="R844" i="12"/>
  <c r="R845" i="12"/>
  <c r="R846" i="12"/>
  <c r="R847" i="12"/>
  <c r="R848" i="12"/>
  <c r="R849" i="12"/>
  <c r="R850" i="12"/>
  <c r="R851" i="12"/>
  <c r="R852" i="12"/>
  <c r="R853" i="12"/>
  <c r="R854" i="12"/>
  <c r="R855" i="12"/>
  <c r="R856" i="12"/>
  <c r="R857" i="12"/>
  <c r="R858" i="12"/>
  <c r="R859" i="12"/>
  <c r="R860" i="12"/>
  <c r="R861" i="12"/>
  <c r="R862" i="12"/>
  <c r="R863" i="12"/>
  <c r="R864" i="12"/>
  <c r="R865" i="12"/>
  <c r="R866" i="12"/>
  <c r="R867" i="12"/>
  <c r="R868" i="12"/>
  <c r="R869" i="12"/>
  <c r="R870" i="12"/>
  <c r="R871" i="12"/>
  <c r="R872" i="12"/>
  <c r="R873" i="12"/>
  <c r="R874" i="12"/>
  <c r="R875" i="12"/>
  <c r="R876" i="12"/>
  <c r="R877" i="12"/>
  <c r="R878" i="12"/>
  <c r="R879" i="12"/>
  <c r="R880" i="12"/>
  <c r="R881" i="12"/>
  <c r="R882" i="12"/>
  <c r="R883" i="12"/>
  <c r="R884" i="12"/>
  <c r="R885" i="12"/>
  <c r="R886" i="12"/>
  <c r="R887" i="12"/>
  <c r="R888" i="12"/>
  <c r="R889" i="12"/>
  <c r="R890" i="12"/>
  <c r="R891" i="12"/>
  <c r="R892" i="12"/>
  <c r="R893" i="12"/>
  <c r="R894" i="12"/>
  <c r="R895" i="12"/>
  <c r="R896" i="12"/>
  <c r="R897" i="12"/>
  <c r="R898" i="12"/>
  <c r="R899" i="12"/>
  <c r="R900" i="12"/>
  <c r="R901" i="12"/>
  <c r="R902" i="12"/>
  <c r="R903" i="12"/>
  <c r="R904" i="12"/>
  <c r="R905" i="12"/>
  <c r="R906" i="12"/>
  <c r="R907" i="12"/>
  <c r="R908" i="12"/>
  <c r="R909" i="12"/>
  <c r="R910" i="12"/>
  <c r="R911" i="12"/>
  <c r="R912" i="12"/>
  <c r="R913" i="12"/>
  <c r="R914" i="12"/>
  <c r="R915" i="12"/>
  <c r="R916" i="12"/>
  <c r="R917" i="12"/>
  <c r="R918" i="12"/>
  <c r="R919" i="12"/>
  <c r="R920" i="12"/>
  <c r="R921" i="12"/>
  <c r="R922" i="12"/>
  <c r="R923" i="12"/>
  <c r="R924" i="12"/>
  <c r="R925" i="12"/>
  <c r="R926" i="12"/>
  <c r="R927" i="12"/>
  <c r="R928" i="12"/>
  <c r="R929" i="12"/>
  <c r="R930" i="12"/>
  <c r="R931" i="12"/>
  <c r="R932" i="12"/>
  <c r="R933" i="12"/>
  <c r="R934" i="12"/>
  <c r="R935" i="12"/>
  <c r="R936" i="12"/>
  <c r="R937" i="12"/>
  <c r="R938" i="12"/>
  <c r="R939" i="12"/>
  <c r="R940" i="12"/>
  <c r="R941" i="12"/>
  <c r="R942" i="12"/>
  <c r="R943" i="12"/>
  <c r="R944" i="12"/>
  <c r="R945" i="12"/>
  <c r="R946" i="12"/>
  <c r="R947" i="12"/>
  <c r="R948" i="12"/>
  <c r="R949" i="12"/>
  <c r="R950" i="12"/>
  <c r="R951" i="12"/>
  <c r="R952" i="12"/>
  <c r="R953" i="12"/>
  <c r="R954" i="12"/>
  <c r="R955" i="12"/>
  <c r="R956" i="12"/>
  <c r="R957" i="12"/>
  <c r="R958" i="12"/>
  <c r="R959" i="12"/>
  <c r="R960" i="12"/>
  <c r="R961" i="12"/>
  <c r="R962" i="12"/>
  <c r="R963" i="12"/>
  <c r="R964" i="12"/>
  <c r="R965" i="12"/>
  <c r="R966" i="12"/>
  <c r="R967" i="12"/>
  <c r="R968" i="12"/>
  <c r="R969" i="12"/>
  <c r="R970" i="12"/>
  <c r="R971" i="12"/>
  <c r="R972" i="12"/>
  <c r="R973" i="12"/>
  <c r="R974" i="12"/>
  <c r="R975" i="12"/>
  <c r="R976" i="12"/>
  <c r="R977" i="12"/>
  <c r="R978" i="12"/>
  <c r="R979" i="12"/>
  <c r="R980" i="12"/>
  <c r="R981" i="12"/>
  <c r="R982" i="12"/>
  <c r="R983" i="12"/>
  <c r="R984" i="12"/>
  <c r="R985" i="12"/>
  <c r="R986" i="12"/>
  <c r="R987" i="12"/>
  <c r="R988" i="12"/>
  <c r="R989" i="12"/>
  <c r="R990" i="12"/>
  <c r="R991" i="12"/>
  <c r="R992" i="12"/>
  <c r="R993" i="12"/>
  <c r="R994" i="12"/>
  <c r="R995" i="12"/>
  <c r="R996" i="12"/>
  <c r="R997" i="12"/>
  <c r="R998" i="12"/>
  <c r="R999" i="12"/>
  <c r="R1000" i="12"/>
  <c r="R1001" i="12"/>
  <c r="R1002" i="12"/>
  <c r="R1003" i="12"/>
  <c r="R1004" i="12"/>
  <c r="R1005" i="12"/>
  <c r="R1006" i="12"/>
  <c r="R1007" i="12"/>
  <c r="R1008" i="12"/>
  <c r="R1009" i="12"/>
  <c r="R1010" i="12"/>
  <c r="R1011" i="12"/>
  <c r="R1012" i="12"/>
  <c r="R1013" i="12"/>
  <c r="R1014" i="12"/>
  <c r="R1015" i="12"/>
  <c r="R1016" i="12"/>
  <c r="R1017" i="12"/>
  <c r="R1018" i="12"/>
  <c r="R1019" i="12"/>
  <c r="R1020" i="12"/>
  <c r="R1021" i="12"/>
  <c r="R1022" i="12"/>
  <c r="R1023" i="12"/>
  <c r="R1024" i="12"/>
  <c r="R1025" i="12"/>
  <c r="R1026" i="12"/>
  <c r="R1027" i="12"/>
  <c r="R1028" i="12"/>
  <c r="R1029" i="12"/>
  <c r="R1030" i="12"/>
  <c r="R1031" i="12"/>
  <c r="R1032" i="12"/>
  <c r="R1033" i="12"/>
  <c r="R1034" i="12"/>
  <c r="R1035" i="12"/>
  <c r="R1036" i="12"/>
  <c r="R1037" i="12"/>
  <c r="R1038" i="12"/>
  <c r="R1039" i="12"/>
  <c r="R1040" i="12"/>
  <c r="R1041" i="12"/>
  <c r="R1042" i="12"/>
  <c r="R1043" i="12"/>
  <c r="R1044" i="12"/>
  <c r="R1045" i="12"/>
  <c r="R1046" i="12"/>
  <c r="R1047" i="12"/>
  <c r="R1048" i="12"/>
  <c r="R1049" i="12"/>
  <c r="R1050" i="12"/>
  <c r="R1051" i="12"/>
  <c r="R1052" i="12"/>
  <c r="R1053" i="12"/>
  <c r="R1054" i="12"/>
  <c r="R1055" i="12"/>
  <c r="R1056" i="12"/>
  <c r="R1057" i="12"/>
  <c r="R1058" i="12"/>
  <c r="R1059" i="12"/>
  <c r="R1060" i="12"/>
  <c r="R1061" i="12"/>
  <c r="R1062" i="12"/>
  <c r="R1063" i="12"/>
  <c r="R1064" i="12"/>
  <c r="R1065" i="12"/>
  <c r="R1066" i="12"/>
  <c r="R1067" i="12"/>
  <c r="R1068" i="12"/>
  <c r="R1069" i="12"/>
  <c r="R1070" i="12"/>
  <c r="R1071" i="12"/>
  <c r="R1072" i="12"/>
  <c r="R1073" i="12"/>
  <c r="R1074" i="12"/>
  <c r="R1075" i="12"/>
  <c r="R1076" i="12"/>
  <c r="R1077" i="12"/>
  <c r="R1078" i="12"/>
  <c r="R1079" i="12"/>
  <c r="R1080" i="12"/>
  <c r="R1081" i="12"/>
  <c r="R1082" i="12"/>
  <c r="R1083" i="12"/>
  <c r="R1084" i="12"/>
  <c r="R1085" i="12"/>
  <c r="R1086" i="12"/>
  <c r="R1087" i="12"/>
  <c r="R1088" i="12"/>
  <c r="R1089" i="12"/>
  <c r="R1090" i="12"/>
  <c r="R1091" i="12"/>
  <c r="R1092" i="12"/>
  <c r="R1093" i="12"/>
  <c r="R1094" i="12"/>
  <c r="R1095" i="12"/>
  <c r="R1096" i="12"/>
  <c r="R1097" i="12"/>
  <c r="R1098" i="12"/>
  <c r="R1099" i="12"/>
  <c r="R1100" i="12"/>
  <c r="R1101" i="12"/>
  <c r="R1102" i="12"/>
  <c r="R1103" i="12"/>
  <c r="R1104" i="12"/>
  <c r="R1105" i="12"/>
  <c r="R1106" i="12"/>
  <c r="R1107" i="12"/>
  <c r="R1108" i="12"/>
  <c r="R1109" i="12"/>
  <c r="R1110" i="12"/>
  <c r="R1111" i="12"/>
  <c r="R1112" i="12"/>
  <c r="R1113" i="12"/>
  <c r="R1114" i="12"/>
  <c r="R1115" i="12"/>
  <c r="R1116" i="12"/>
  <c r="R1117" i="12"/>
  <c r="R1118" i="12"/>
  <c r="R1119" i="12"/>
  <c r="R1120" i="12"/>
  <c r="R1121" i="12"/>
  <c r="R1122" i="12"/>
  <c r="R1123" i="12"/>
  <c r="R1124" i="12"/>
  <c r="R1125" i="12"/>
  <c r="R1126" i="12"/>
  <c r="R1127" i="12"/>
  <c r="R1128" i="12"/>
  <c r="R1129" i="12"/>
  <c r="R1130" i="12"/>
  <c r="R1131" i="12"/>
  <c r="R1132" i="12"/>
  <c r="R1133" i="12"/>
  <c r="R1134" i="12"/>
  <c r="R1135" i="12"/>
  <c r="R1136" i="12"/>
  <c r="R1137" i="12"/>
  <c r="R1138" i="12"/>
  <c r="R1139" i="12"/>
  <c r="R1140" i="12"/>
  <c r="R1141" i="12"/>
  <c r="R1142" i="12"/>
  <c r="R1143" i="12"/>
  <c r="R1144" i="12"/>
  <c r="R1145" i="12"/>
  <c r="R1146" i="12"/>
  <c r="R1147" i="12"/>
  <c r="R1148" i="12"/>
  <c r="R1149" i="12"/>
  <c r="R1150" i="12"/>
  <c r="R1151" i="12"/>
  <c r="R1152" i="12"/>
  <c r="R1153" i="12"/>
  <c r="R1154" i="12"/>
  <c r="R1155" i="12"/>
  <c r="R1156" i="12"/>
  <c r="R1157" i="12"/>
  <c r="R1158" i="12"/>
  <c r="R1159" i="12"/>
  <c r="R1160" i="12"/>
  <c r="R1161" i="12"/>
  <c r="R1162" i="12"/>
  <c r="R1163" i="12"/>
  <c r="R1164" i="12"/>
  <c r="R1165" i="12"/>
  <c r="R1166" i="12"/>
  <c r="R1167" i="12"/>
  <c r="R1168" i="12"/>
  <c r="R1169" i="12"/>
  <c r="R1170" i="12"/>
  <c r="R1171" i="12"/>
  <c r="R1172" i="12"/>
  <c r="R1173" i="12"/>
  <c r="R1174" i="12"/>
  <c r="R1175" i="12"/>
  <c r="R1176" i="12"/>
  <c r="R1177" i="12"/>
  <c r="R1178" i="12"/>
  <c r="R1179" i="12"/>
  <c r="R1180" i="12"/>
  <c r="R1181" i="12"/>
  <c r="R1182" i="12"/>
  <c r="R1183" i="12"/>
  <c r="R1184" i="12"/>
  <c r="R1185" i="12"/>
  <c r="R1186" i="12"/>
  <c r="R1187" i="12"/>
  <c r="R1188" i="12"/>
  <c r="R1189" i="12"/>
  <c r="R1190" i="12"/>
  <c r="R1191" i="12"/>
  <c r="R1192" i="12"/>
  <c r="R1193" i="12"/>
  <c r="R1194" i="12"/>
  <c r="R1195" i="12"/>
  <c r="R1196" i="12"/>
  <c r="R1197" i="12"/>
  <c r="R1198" i="12"/>
  <c r="R1199" i="12"/>
  <c r="R1200" i="12"/>
  <c r="R1201" i="12"/>
  <c r="R1202" i="12"/>
  <c r="R1203" i="12"/>
  <c r="R1204" i="12"/>
  <c r="R1205" i="12"/>
  <c r="R1206" i="12"/>
  <c r="R1207" i="12"/>
  <c r="R1208" i="12"/>
  <c r="R1209" i="12"/>
  <c r="R1210" i="12"/>
  <c r="R1211" i="12"/>
  <c r="R1212" i="12"/>
  <c r="R1213" i="12"/>
  <c r="R1214" i="12"/>
  <c r="R1215" i="12"/>
  <c r="R1216" i="12"/>
  <c r="R1217" i="12"/>
  <c r="R1218" i="12"/>
  <c r="R1219" i="12"/>
  <c r="R1220" i="12"/>
  <c r="R1221" i="12"/>
  <c r="R1222" i="12"/>
  <c r="R1223" i="12"/>
  <c r="R1224" i="12"/>
  <c r="R1225" i="12"/>
  <c r="R1226" i="12"/>
  <c r="R1227" i="12"/>
  <c r="R1228" i="12"/>
  <c r="R1229" i="12"/>
  <c r="R1230" i="12"/>
  <c r="R1231" i="12"/>
  <c r="R1232" i="12"/>
  <c r="R1233" i="12"/>
  <c r="R1234" i="12"/>
  <c r="R1235" i="12"/>
  <c r="R1236" i="12"/>
  <c r="R1237" i="12"/>
  <c r="R1238" i="12"/>
  <c r="R1239" i="12"/>
  <c r="R1240" i="12"/>
  <c r="R1241" i="12"/>
  <c r="R1242" i="12"/>
  <c r="R1243" i="12"/>
  <c r="R1244" i="12"/>
  <c r="R1245" i="12"/>
  <c r="R1246" i="12"/>
  <c r="R1247" i="12"/>
  <c r="R1248" i="12"/>
  <c r="R1249" i="12"/>
  <c r="R1250" i="12"/>
  <c r="R1251" i="12"/>
  <c r="R1252" i="12"/>
  <c r="R1253" i="12"/>
  <c r="R1254" i="12"/>
  <c r="R1255" i="12"/>
  <c r="R1256" i="12"/>
  <c r="R1257" i="12"/>
  <c r="R1258" i="12"/>
  <c r="R1259" i="12"/>
  <c r="R1260" i="12"/>
  <c r="R1261" i="12"/>
  <c r="R1262" i="12"/>
  <c r="R1263" i="12"/>
  <c r="R1264" i="12"/>
  <c r="R1265" i="12"/>
  <c r="R1266" i="12"/>
  <c r="R1267" i="12"/>
  <c r="R1268" i="12"/>
  <c r="R1269" i="12"/>
  <c r="R1270" i="12"/>
  <c r="R1271" i="12"/>
  <c r="R1272" i="12"/>
  <c r="R1273" i="12"/>
  <c r="R1274" i="12"/>
  <c r="R1275" i="12"/>
  <c r="R1276" i="12"/>
  <c r="R1277" i="12"/>
  <c r="R1278" i="12"/>
  <c r="R1279" i="12"/>
  <c r="R1280" i="12"/>
  <c r="R1281" i="12"/>
  <c r="R1282" i="12"/>
  <c r="R1283" i="12"/>
  <c r="R1284" i="12"/>
  <c r="R1285" i="12"/>
  <c r="R1286" i="12"/>
  <c r="R1287" i="12"/>
  <c r="R1288" i="12"/>
  <c r="R1289" i="12"/>
  <c r="R1290" i="12"/>
  <c r="R1291" i="12"/>
  <c r="R1292" i="12"/>
  <c r="R1293" i="12"/>
  <c r="R1294" i="12"/>
  <c r="R1295" i="12"/>
  <c r="R1296" i="12"/>
  <c r="R1297" i="12"/>
  <c r="R1298" i="12"/>
  <c r="R1299" i="12"/>
  <c r="R1300" i="12"/>
  <c r="R1301" i="12"/>
  <c r="R1302" i="12"/>
  <c r="R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3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1" i="12"/>
  <c r="Q472" i="12"/>
  <c r="Q473" i="12"/>
  <c r="Q474" i="12"/>
  <c r="Q475" i="12"/>
  <c r="Q476" i="12"/>
  <c r="Q477" i="12"/>
  <c r="Q478" i="12"/>
  <c r="Q479" i="12"/>
  <c r="Q480" i="12"/>
  <c r="Q481" i="12"/>
  <c r="Q482" i="12"/>
  <c r="Q483" i="12"/>
  <c r="Q484" i="12"/>
  <c r="Q485" i="12"/>
  <c r="Q486" i="12"/>
  <c r="Q487" i="12"/>
  <c r="Q488" i="12"/>
  <c r="Q489" i="12"/>
  <c r="Q490" i="12"/>
  <c r="Q491" i="12"/>
  <c r="Q492" i="12"/>
  <c r="Q493" i="12"/>
  <c r="Q494" i="12"/>
  <c r="Q495" i="12"/>
  <c r="Q496" i="12"/>
  <c r="Q497" i="12"/>
  <c r="Q498" i="12"/>
  <c r="Q499" i="12"/>
  <c r="Q500" i="12"/>
  <c r="Q501" i="12"/>
  <c r="Q502" i="12"/>
  <c r="Q503" i="12"/>
  <c r="Q504" i="12"/>
  <c r="Q505" i="12"/>
  <c r="Q506" i="12"/>
  <c r="Q507" i="12"/>
  <c r="Q508" i="12"/>
  <c r="Q509" i="12"/>
  <c r="Q510" i="12"/>
  <c r="Q511" i="12"/>
  <c r="Q512" i="12"/>
  <c r="Q513" i="12"/>
  <c r="Q514" i="12"/>
  <c r="Q515" i="12"/>
  <c r="Q516" i="12"/>
  <c r="Q517" i="12"/>
  <c r="Q518" i="12"/>
  <c r="Q519" i="12"/>
  <c r="Q520" i="12"/>
  <c r="Q521" i="12"/>
  <c r="Q522" i="12"/>
  <c r="Q523" i="12"/>
  <c r="Q524" i="12"/>
  <c r="Q525" i="12"/>
  <c r="Q526" i="12"/>
  <c r="Q527" i="12"/>
  <c r="Q528" i="12"/>
  <c r="Q529" i="12"/>
  <c r="Q530" i="12"/>
  <c r="Q531" i="12"/>
  <c r="Q532" i="12"/>
  <c r="Q533" i="12"/>
  <c r="Q534" i="12"/>
  <c r="Q535" i="12"/>
  <c r="Q536" i="12"/>
  <c r="Q537" i="12"/>
  <c r="Q538" i="12"/>
  <c r="Q539" i="12"/>
  <c r="Q540" i="12"/>
  <c r="Q541" i="12"/>
  <c r="Q542" i="12"/>
  <c r="Q543" i="12"/>
  <c r="Q544" i="12"/>
  <c r="Q545" i="12"/>
  <c r="Q546" i="12"/>
  <c r="Q547" i="12"/>
  <c r="Q548" i="12"/>
  <c r="Q549" i="12"/>
  <c r="Q550" i="12"/>
  <c r="Q551" i="12"/>
  <c r="Q552" i="12"/>
  <c r="Q553" i="12"/>
  <c r="Q554" i="12"/>
  <c r="Q555" i="12"/>
  <c r="Q556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572" i="12"/>
  <c r="Q573" i="12"/>
  <c r="Q574" i="12"/>
  <c r="Q575" i="12"/>
  <c r="Q576" i="12"/>
  <c r="Q577" i="12"/>
  <c r="Q578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92" i="12"/>
  <c r="Q593" i="12"/>
  <c r="Q594" i="12"/>
  <c r="Q595" i="12"/>
  <c r="Q596" i="12"/>
  <c r="Q597" i="12"/>
  <c r="Q598" i="12"/>
  <c r="Q599" i="12"/>
  <c r="Q600" i="12"/>
  <c r="Q601" i="12"/>
  <c r="Q602" i="12"/>
  <c r="Q603" i="12"/>
  <c r="Q604" i="12"/>
  <c r="Q605" i="12"/>
  <c r="Q606" i="12"/>
  <c r="Q607" i="12"/>
  <c r="Q608" i="12"/>
  <c r="Q609" i="12"/>
  <c r="Q610" i="12"/>
  <c r="Q611" i="12"/>
  <c r="Q612" i="12"/>
  <c r="Q613" i="12"/>
  <c r="Q614" i="12"/>
  <c r="Q615" i="12"/>
  <c r="Q616" i="12"/>
  <c r="Q617" i="12"/>
  <c r="Q618" i="12"/>
  <c r="Q619" i="12"/>
  <c r="Q620" i="12"/>
  <c r="Q621" i="12"/>
  <c r="Q622" i="12"/>
  <c r="Q623" i="12"/>
  <c r="Q624" i="12"/>
  <c r="Q625" i="12"/>
  <c r="Q626" i="12"/>
  <c r="Q627" i="12"/>
  <c r="Q628" i="12"/>
  <c r="Q629" i="12"/>
  <c r="Q630" i="12"/>
  <c r="Q631" i="12"/>
  <c r="Q632" i="12"/>
  <c r="Q633" i="12"/>
  <c r="Q634" i="12"/>
  <c r="Q635" i="12"/>
  <c r="Q636" i="12"/>
  <c r="Q637" i="12"/>
  <c r="Q638" i="12"/>
  <c r="Q639" i="12"/>
  <c r="Q640" i="12"/>
  <c r="Q641" i="12"/>
  <c r="Q642" i="12"/>
  <c r="Q643" i="12"/>
  <c r="Q644" i="12"/>
  <c r="Q645" i="12"/>
  <c r="Q646" i="12"/>
  <c r="Q647" i="12"/>
  <c r="Q648" i="12"/>
  <c r="Q649" i="12"/>
  <c r="Q650" i="12"/>
  <c r="Q651" i="12"/>
  <c r="Q652" i="12"/>
  <c r="Q653" i="12"/>
  <c r="Q654" i="12"/>
  <c r="Q655" i="12"/>
  <c r="Q656" i="12"/>
  <c r="Q657" i="12"/>
  <c r="Q658" i="12"/>
  <c r="Q659" i="12"/>
  <c r="Q660" i="12"/>
  <c r="Q661" i="12"/>
  <c r="Q662" i="12"/>
  <c r="Q663" i="12"/>
  <c r="Q664" i="12"/>
  <c r="Q665" i="12"/>
  <c r="Q666" i="12"/>
  <c r="Q667" i="12"/>
  <c r="Q668" i="12"/>
  <c r="Q669" i="12"/>
  <c r="Q670" i="12"/>
  <c r="Q671" i="12"/>
  <c r="Q672" i="12"/>
  <c r="Q673" i="12"/>
  <c r="Q674" i="12"/>
  <c r="Q675" i="12"/>
  <c r="Q676" i="12"/>
  <c r="Q677" i="12"/>
  <c r="Q678" i="12"/>
  <c r="Q679" i="12"/>
  <c r="Q680" i="12"/>
  <c r="Q681" i="12"/>
  <c r="Q682" i="12"/>
  <c r="Q683" i="12"/>
  <c r="Q684" i="12"/>
  <c r="Q685" i="12"/>
  <c r="Q686" i="12"/>
  <c r="Q687" i="12"/>
  <c r="Q688" i="12"/>
  <c r="Q689" i="12"/>
  <c r="Q690" i="12"/>
  <c r="Q691" i="12"/>
  <c r="Q692" i="12"/>
  <c r="Q693" i="12"/>
  <c r="Q694" i="12"/>
  <c r="Q695" i="12"/>
  <c r="Q696" i="12"/>
  <c r="Q697" i="12"/>
  <c r="Q698" i="12"/>
  <c r="Q699" i="12"/>
  <c r="Q700" i="12"/>
  <c r="Q701" i="12"/>
  <c r="Q702" i="12"/>
  <c r="Q703" i="12"/>
  <c r="Q704" i="12"/>
  <c r="Q705" i="12"/>
  <c r="Q706" i="12"/>
  <c r="Q707" i="12"/>
  <c r="Q708" i="12"/>
  <c r="Q709" i="12"/>
  <c r="Q710" i="12"/>
  <c r="Q711" i="12"/>
  <c r="Q712" i="12"/>
  <c r="Q713" i="12"/>
  <c r="Q714" i="12"/>
  <c r="Q715" i="12"/>
  <c r="Q716" i="12"/>
  <c r="Q717" i="12"/>
  <c r="Q718" i="12"/>
  <c r="Q719" i="12"/>
  <c r="Q720" i="12"/>
  <c r="Q721" i="12"/>
  <c r="Q722" i="12"/>
  <c r="Q723" i="12"/>
  <c r="Q724" i="12"/>
  <c r="Q725" i="12"/>
  <c r="Q726" i="12"/>
  <c r="Q727" i="12"/>
  <c r="Q728" i="12"/>
  <c r="Q729" i="12"/>
  <c r="Q730" i="12"/>
  <c r="Q731" i="12"/>
  <c r="Q732" i="12"/>
  <c r="Q733" i="12"/>
  <c r="Q734" i="12"/>
  <c r="Q735" i="12"/>
  <c r="Q736" i="12"/>
  <c r="Q737" i="12"/>
  <c r="Q738" i="12"/>
  <c r="Q739" i="12"/>
  <c r="Q740" i="12"/>
  <c r="Q741" i="12"/>
  <c r="Q742" i="12"/>
  <c r="Q743" i="12"/>
  <c r="Q744" i="12"/>
  <c r="Q745" i="12"/>
  <c r="Q746" i="12"/>
  <c r="Q747" i="12"/>
  <c r="Q748" i="12"/>
  <c r="Q749" i="12"/>
  <c r="Q750" i="12"/>
  <c r="Q751" i="12"/>
  <c r="Q752" i="12"/>
  <c r="Q753" i="12"/>
  <c r="Q754" i="12"/>
  <c r="Q755" i="12"/>
  <c r="Q756" i="12"/>
  <c r="Q757" i="12"/>
  <c r="Q758" i="12"/>
  <c r="Q759" i="12"/>
  <c r="Q760" i="12"/>
  <c r="Q761" i="12"/>
  <c r="Q762" i="12"/>
  <c r="Q763" i="12"/>
  <c r="Q764" i="12"/>
  <c r="Q765" i="12"/>
  <c r="Q766" i="12"/>
  <c r="Q767" i="12"/>
  <c r="Q768" i="12"/>
  <c r="Q769" i="12"/>
  <c r="Q770" i="12"/>
  <c r="Q771" i="12"/>
  <c r="Q772" i="12"/>
  <c r="Q773" i="12"/>
  <c r="Q774" i="12"/>
  <c r="Q775" i="12"/>
  <c r="Q776" i="12"/>
  <c r="Q777" i="12"/>
  <c r="Q778" i="12"/>
  <c r="Q779" i="12"/>
  <c r="Q780" i="12"/>
  <c r="Q781" i="12"/>
  <c r="Q782" i="12"/>
  <c r="Q783" i="12"/>
  <c r="Q784" i="12"/>
  <c r="Q785" i="12"/>
  <c r="Q786" i="12"/>
  <c r="Q787" i="12"/>
  <c r="Q788" i="12"/>
  <c r="Q789" i="12"/>
  <c r="Q790" i="12"/>
  <c r="Q791" i="12"/>
  <c r="Q792" i="12"/>
  <c r="Q793" i="12"/>
  <c r="Q794" i="12"/>
  <c r="Q795" i="12"/>
  <c r="Q796" i="12"/>
  <c r="Q797" i="12"/>
  <c r="Q798" i="12"/>
  <c r="Q799" i="12"/>
  <c r="Q800" i="12"/>
  <c r="Q801" i="12"/>
  <c r="Q802" i="12"/>
  <c r="Q803" i="12"/>
  <c r="Q804" i="12"/>
  <c r="Q805" i="12"/>
  <c r="Q806" i="12"/>
  <c r="Q807" i="12"/>
  <c r="Q808" i="12"/>
  <c r="Q809" i="12"/>
  <c r="Q810" i="12"/>
  <c r="Q811" i="12"/>
  <c r="Q812" i="12"/>
  <c r="Q813" i="12"/>
  <c r="Q814" i="12"/>
  <c r="Q815" i="12"/>
  <c r="Q816" i="12"/>
  <c r="Q817" i="12"/>
  <c r="Q818" i="12"/>
  <c r="Q819" i="12"/>
  <c r="Q820" i="12"/>
  <c r="Q821" i="12"/>
  <c r="Q822" i="12"/>
  <c r="Q823" i="12"/>
  <c r="Q824" i="12"/>
  <c r="Q825" i="12"/>
  <c r="Q826" i="12"/>
  <c r="Q827" i="12"/>
  <c r="Q828" i="12"/>
  <c r="Q829" i="12"/>
  <c r="Q830" i="12"/>
  <c r="Q831" i="12"/>
  <c r="Q832" i="12"/>
  <c r="Q833" i="12"/>
  <c r="Q834" i="12"/>
  <c r="Q835" i="12"/>
  <c r="Q836" i="12"/>
  <c r="Q837" i="12"/>
  <c r="Q838" i="12"/>
  <c r="Q839" i="12"/>
  <c r="Q840" i="12"/>
  <c r="Q841" i="12"/>
  <c r="Q842" i="12"/>
  <c r="Q843" i="12"/>
  <c r="Q844" i="12"/>
  <c r="Q845" i="12"/>
  <c r="Q846" i="12"/>
  <c r="Q847" i="12"/>
  <c r="Q848" i="12"/>
  <c r="Q849" i="12"/>
  <c r="Q850" i="12"/>
  <c r="Q851" i="12"/>
  <c r="Q852" i="12"/>
  <c r="Q853" i="12"/>
  <c r="Q854" i="12"/>
  <c r="Q855" i="12"/>
  <c r="Q856" i="12"/>
  <c r="Q857" i="12"/>
  <c r="Q858" i="12"/>
  <c r="Q859" i="12"/>
  <c r="Q860" i="12"/>
  <c r="Q861" i="12"/>
  <c r="Q862" i="12"/>
  <c r="Q863" i="12"/>
  <c r="Q864" i="12"/>
  <c r="Q865" i="12"/>
  <c r="Q866" i="12"/>
  <c r="Q867" i="12"/>
  <c r="Q868" i="12"/>
  <c r="Q869" i="12"/>
  <c r="Q870" i="12"/>
  <c r="Q871" i="12"/>
  <c r="Q872" i="12"/>
  <c r="Q873" i="12"/>
  <c r="Q874" i="12"/>
  <c r="Q875" i="12"/>
  <c r="Q876" i="12"/>
  <c r="Q877" i="12"/>
  <c r="Q878" i="12"/>
  <c r="Q879" i="12"/>
  <c r="Q880" i="12"/>
  <c r="Q881" i="12"/>
  <c r="Q882" i="12"/>
  <c r="Q883" i="12"/>
  <c r="Q884" i="12"/>
  <c r="Q885" i="12"/>
  <c r="Q886" i="12"/>
  <c r="Q887" i="12"/>
  <c r="Q888" i="12"/>
  <c r="Q889" i="12"/>
  <c r="Q890" i="12"/>
  <c r="Q891" i="12"/>
  <c r="Q892" i="12"/>
  <c r="Q893" i="12"/>
  <c r="Q894" i="12"/>
  <c r="Q895" i="12"/>
  <c r="Q896" i="12"/>
  <c r="Q897" i="12"/>
  <c r="Q898" i="12"/>
  <c r="Q899" i="12"/>
  <c r="Q900" i="12"/>
  <c r="Q901" i="12"/>
  <c r="Q902" i="12"/>
  <c r="Q903" i="12"/>
  <c r="Q904" i="12"/>
  <c r="Q905" i="12"/>
  <c r="Q906" i="12"/>
  <c r="Q907" i="12"/>
  <c r="Q908" i="12"/>
  <c r="Q909" i="12"/>
  <c r="Q910" i="12"/>
  <c r="Q911" i="12"/>
  <c r="Q912" i="12"/>
  <c r="Q913" i="12"/>
  <c r="Q914" i="12"/>
  <c r="Q915" i="12"/>
  <c r="Q916" i="12"/>
  <c r="Q917" i="12"/>
  <c r="Q918" i="12"/>
  <c r="Q919" i="12"/>
  <c r="Q920" i="12"/>
  <c r="Q921" i="12"/>
  <c r="Q922" i="12"/>
  <c r="Q923" i="12"/>
  <c r="Q924" i="12"/>
  <c r="Q925" i="12"/>
  <c r="Q926" i="12"/>
  <c r="Q927" i="12"/>
  <c r="Q928" i="12"/>
  <c r="Q929" i="12"/>
  <c r="Q930" i="12"/>
  <c r="Q931" i="12"/>
  <c r="Q932" i="12"/>
  <c r="Q933" i="12"/>
  <c r="Q934" i="12"/>
  <c r="Q935" i="12"/>
  <c r="Q936" i="12"/>
  <c r="Q937" i="12"/>
  <c r="Q938" i="12"/>
  <c r="Q939" i="12"/>
  <c r="Q940" i="12"/>
  <c r="Q941" i="12"/>
  <c r="Q942" i="12"/>
  <c r="Q943" i="12"/>
  <c r="Q944" i="12"/>
  <c r="Q945" i="12"/>
  <c r="Q946" i="12"/>
  <c r="Q947" i="12"/>
  <c r="Q948" i="12"/>
  <c r="Q949" i="12"/>
  <c r="Q950" i="12"/>
  <c r="Q951" i="12"/>
  <c r="Q952" i="12"/>
  <c r="Q953" i="12"/>
  <c r="Q954" i="12"/>
  <c r="Q955" i="12"/>
  <c r="Q956" i="12"/>
  <c r="Q957" i="12"/>
  <c r="Q958" i="12"/>
  <c r="Q959" i="12"/>
  <c r="Q960" i="12"/>
  <c r="Q961" i="12"/>
  <c r="Q962" i="12"/>
  <c r="Q963" i="12"/>
  <c r="Q964" i="12"/>
  <c r="Q965" i="12"/>
  <c r="Q966" i="12"/>
  <c r="Q967" i="12"/>
  <c r="Q968" i="12"/>
  <c r="Q969" i="12"/>
  <c r="Q970" i="12"/>
  <c r="Q971" i="12"/>
  <c r="Q972" i="12"/>
  <c r="Q973" i="12"/>
  <c r="Q974" i="12"/>
  <c r="Q975" i="12"/>
  <c r="Q976" i="12"/>
  <c r="Q977" i="12"/>
  <c r="Q978" i="12"/>
  <c r="Q979" i="12"/>
  <c r="Q980" i="12"/>
  <c r="Q981" i="12"/>
  <c r="Q982" i="12"/>
  <c r="Q983" i="12"/>
  <c r="Q984" i="12"/>
  <c r="Q985" i="12"/>
  <c r="Q986" i="12"/>
  <c r="Q987" i="12"/>
  <c r="Q988" i="12"/>
  <c r="Q989" i="12"/>
  <c r="Q990" i="12"/>
  <c r="Q991" i="12"/>
  <c r="Q992" i="12"/>
  <c r="Q993" i="12"/>
  <c r="Q994" i="12"/>
  <c r="Q995" i="12"/>
  <c r="Q996" i="12"/>
  <c r="Q997" i="12"/>
  <c r="Q998" i="12"/>
  <c r="Q999" i="12"/>
  <c r="Q1000" i="12"/>
  <c r="Q1001" i="12"/>
  <c r="Q1002" i="12"/>
  <c r="Q1003" i="12"/>
  <c r="Q1004" i="12"/>
  <c r="Q1005" i="12"/>
  <c r="Q1006" i="12"/>
  <c r="Q1007" i="12"/>
  <c r="Q1008" i="12"/>
  <c r="Q1009" i="12"/>
  <c r="Q1010" i="12"/>
  <c r="Q1011" i="12"/>
  <c r="Q1012" i="12"/>
  <c r="Q1013" i="12"/>
  <c r="Q1014" i="12"/>
  <c r="Q1015" i="12"/>
  <c r="Q1016" i="12"/>
  <c r="Q1017" i="12"/>
  <c r="Q1018" i="12"/>
  <c r="Q1019" i="12"/>
  <c r="Q1020" i="12"/>
  <c r="Q1021" i="12"/>
  <c r="Q1022" i="12"/>
  <c r="Q1023" i="12"/>
  <c r="Q1024" i="12"/>
  <c r="Q1025" i="12"/>
  <c r="Q1026" i="12"/>
  <c r="Q1027" i="12"/>
  <c r="Q1028" i="12"/>
  <c r="Q1029" i="12"/>
  <c r="Q1030" i="12"/>
  <c r="Q1031" i="12"/>
  <c r="Q1032" i="12"/>
  <c r="Q1033" i="12"/>
  <c r="Q1034" i="12"/>
  <c r="Q1035" i="12"/>
  <c r="Q1036" i="12"/>
  <c r="Q1037" i="12"/>
  <c r="Q1038" i="12"/>
  <c r="Q1039" i="12"/>
  <c r="Q1040" i="12"/>
  <c r="Q1041" i="12"/>
  <c r="Q1042" i="12"/>
  <c r="Q1043" i="12"/>
  <c r="Q1044" i="12"/>
  <c r="Q1045" i="12"/>
  <c r="Q1046" i="12"/>
  <c r="Q1047" i="12"/>
  <c r="Q1048" i="12"/>
  <c r="Q1049" i="12"/>
  <c r="Q1050" i="12"/>
  <c r="Q1051" i="12"/>
  <c r="Q1052" i="12"/>
  <c r="Q1053" i="12"/>
  <c r="Q1054" i="12"/>
  <c r="Q1055" i="12"/>
  <c r="Q1056" i="12"/>
  <c r="Q1057" i="12"/>
  <c r="Q1058" i="12"/>
  <c r="Q1059" i="12"/>
  <c r="Q1060" i="12"/>
  <c r="Q1061" i="12"/>
  <c r="Q1062" i="12"/>
  <c r="Q1063" i="12"/>
  <c r="Q1064" i="12"/>
  <c r="Q1065" i="12"/>
  <c r="Q1066" i="12"/>
  <c r="Q1067" i="12"/>
  <c r="Q1068" i="12"/>
  <c r="Q1069" i="12"/>
  <c r="Q1070" i="12"/>
  <c r="Q1071" i="12"/>
  <c r="Q1072" i="12"/>
  <c r="Q1073" i="12"/>
  <c r="Q1074" i="12"/>
  <c r="Q1075" i="12"/>
  <c r="Q1076" i="12"/>
  <c r="Q1077" i="12"/>
  <c r="Q1078" i="12"/>
  <c r="Q1079" i="12"/>
  <c r="Q1080" i="12"/>
  <c r="Q1081" i="12"/>
  <c r="Q1082" i="12"/>
  <c r="Q1083" i="12"/>
  <c r="Q1084" i="12"/>
  <c r="Q1085" i="12"/>
  <c r="Q1086" i="12"/>
  <c r="Q1087" i="12"/>
  <c r="Q1088" i="12"/>
  <c r="Q1089" i="12"/>
  <c r="Q1090" i="12"/>
  <c r="Q1091" i="12"/>
  <c r="Q1092" i="12"/>
  <c r="Q1093" i="12"/>
  <c r="Q1094" i="12"/>
  <c r="Q1095" i="12"/>
  <c r="Q1096" i="12"/>
  <c r="Q1097" i="12"/>
  <c r="Q1098" i="12"/>
  <c r="Q1099" i="12"/>
  <c r="Q1100" i="12"/>
  <c r="Q1101" i="12"/>
  <c r="Q1102" i="12"/>
  <c r="Q1103" i="12"/>
  <c r="Q1104" i="12"/>
  <c r="Q1105" i="12"/>
  <c r="Q1106" i="12"/>
  <c r="Q1107" i="12"/>
  <c r="Q1108" i="12"/>
  <c r="Q1109" i="12"/>
  <c r="Q1110" i="12"/>
  <c r="Q1111" i="12"/>
  <c r="Q1112" i="12"/>
  <c r="Q1113" i="12"/>
  <c r="Q1114" i="12"/>
  <c r="Q1115" i="12"/>
  <c r="Q1116" i="12"/>
  <c r="Q1117" i="12"/>
  <c r="Q1118" i="12"/>
  <c r="Q1119" i="12"/>
  <c r="Q1120" i="12"/>
  <c r="Q1121" i="12"/>
  <c r="Q1122" i="12"/>
  <c r="Q1123" i="12"/>
  <c r="Q1124" i="12"/>
  <c r="Q1125" i="12"/>
  <c r="Q1126" i="12"/>
  <c r="Q1127" i="12"/>
  <c r="Q1128" i="12"/>
  <c r="Q1129" i="12"/>
  <c r="Q1130" i="12"/>
  <c r="Q1131" i="12"/>
  <c r="Q1132" i="12"/>
  <c r="Q1133" i="12"/>
  <c r="Q1134" i="12"/>
  <c r="Q1135" i="12"/>
  <c r="Q1136" i="12"/>
  <c r="Q1137" i="12"/>
  <c r="Q1138" i="12"/>
  <c r="Q1139" i="12"/>
  <c r="Q1140" i="12"/>
  <c r="Q1141" i="12"/>
  <c r="Q1142" i="12"/>
  <c r="Q1143" i="12"/>
  <c r="Q1144" i="12"/>
  <c r="Q1145" i="12"/>
  <c r="Q1146" i="12"/>
  <c r="Q1147" i="12"/>
  <c r="Q1148" i="12"/>
  <c r="Q1149" i="12"/>
  <c r="Q1150" i="12"/>
  <c r="Q1151" i="12"/>
  <c r="Q1152" i="12"/>
  <c r="Q1153" i="12"/>
  <c r="Q1154" i="12"/>
  <c r="Q1155" i="12"/>
  <c r="Q1156" i="12"/>
  <c r="Q1157" i="12"/>
  <c r="Q1158" i="12"/>
  <c r="Q1159" i="12"/>
  <c r="Q1160" i="12"/>
  <c r="Q1161" i="12"/>
  <c r="Q1162" i="12"/>
  <c r="Q1163" i="12"/>
  <c r="Q1164" i="12"/>
  <c r="Q1165" i="12"/>
  <c r="Q1166" i="12"/>
  <c r="Q1167" i="12"/>
  <c r="Q1168" i="12"/>
  <c r="Q1169" i="12"/>
  <c r="Q1170" i="12"/>
  <c r="Q1171" i="12"/>
  <c r="Q1172" i="12"/>
  <c r="Q1173" i="12"/>
  <c r="Q1174" i="12"/>
  <c r="Q1175" i="12"/>
  <c r="Q1176" i="12"/>
  <c r="Q1177" i="12"/>
  <c r="Q1178" i="12"/>
  <c r="Q1179" i="12"/>
  <c r="Q1180" i="12"/>
  <c r="Q1181" i="12"/>
  <c r="Q1182" i="12"/>
  <c r="Q1183" i="12"/>
  <c r="Q1184" i="12"/>
  <c r="Q1185" i="12"/>
  <c r="Q1186" i="12"/>
  <c r="Q1187" i="12"/>
  <c r="Q1188" i="12"/>
  <c r="Q1189" i="12"/>
  <c r="Q1190" i="12"/>
  <c r="Q1191" i="12"/>
  <c r="Q1192" i="12"/>
  <c r="Q1193" i="12"/>
  <c r="Q1194" i="12"/>
  <c r="Q1195" i="12"/>
  <c r="Q1196" i="12"/>
  <c r="Q1197" i="12"/>
  <c r="Q1198" i="12"/>
  <c r="Q1199" i="12"/>
  <c r="Q1200" i="12"/>
  <c r="Q1201" i="12"/>
  <c r="Q1202" i="12"/>
  <c r="Q1203" i="12"/>
  <c r="Q1204" i="12"/>
  <c r="Q1205" i="12"/>
  <c r="Q1206" i="12"/>
  <c r="Q1207" i="12"/>
  <c r="Q1208" i="12"/>
  <c r="Q1209" i="12"/>
  <c r="Q1210" i="12"/>
  <c r="Q1211" i="12"/>
  <c r="Q1212" i="12"/>
  <c r="Q1213" i="12"/>
  <c r="Q1214" i="12"/>
  <c r="Q1215" i="12"/>
  <c r="Q1216" i="12"/>
  <c r="Q1217" i="12"/>
  <c r="Q1218" i="12"/>
  <c r="Q1219" i="12"/>
  <c r="Q1220" i="12"/>
  <c r="Q1221" i="12"/>
  <c r="Q1222" i="12"/>
  <c r="Q1223" i="12"/>
  <c r="Q1224" i="12"/>
  <c r="Q1225" i="12"/>
  <c r="Q1226" i="12"/>
  <c r="Q1227" i="12"/>
  <c r="Q1228" i="12"/>
  <c r="Q1229" i="12"/>
  <c r="Q1230" i="12"/>
  <c r="Q1231" i="12"/>
  <c r="Q1232" i="12"/>
  <c r="Q1233" i="12"/>
  <c r="Q1234" i="12"/>
  <c r="Q1235" i="12"/>
  <c r="Q1236" i="12"/>
  <c r="Q1237" i="12"/>
  <c r="Q1238" i="12"/>
  <c r="Q1239" i="12"/>
  <c r="Q1240" i="12"/>
  <c r="Q1241" i="12"/>
  <c r="Q1242" i="12"/>
  <c r="Q1243" i="12"/>
  <c r="Q1244" i="12"/>
  <c r="Q1245" i="12"/>
  <c r="Q1246" i="12"/>
  <c r="Q1247" i="12"/>
  <c r="Q1248" i="12"/>
  <c r="Q1249" i="12"/>
  <c r="Q1250" i="12"/>
  <c r="Q1251" i="12"/>
  <c r="Q1252" i="12"/>
  <c r="Q1253" i="12"/>
  <c r="Q1254" i="12"/>
  <c r="Q1255" i="12"/>
  <c r="Q1256" i="12"/>
  <c r="Q1257" i="12"/>
  <c r="Q1258" i="12"/>
  <c r="Q1259" i="12"/>
  <c r="Q1260" i="12"/>
  <c r="Q1261" i="12"/>
  <c r="Q1262" i="12"/>
  <c r="Q1263" i="12"/>
  <c r="Q1264" i="12"/>
  <c r="Q1265" i="12"/>
  <c r="Q1266" i="12"/>
  <c r="Q1267" i="12"/>
  <c r="Q1268" i="12"/>
  <c r="Q1269" i="12"/>
  <c r="Q1270" i="12"/>
  <c r="Q1271" i="12"/>
  <c r="Q1272" i="12"/>
  <c r="Q1273" i="12"/>
  <c r="Q1274" i="12"/>
  <c r="Q1275" i="12"/>
  <c r="Q1276" i="12"/>
  <c r="Q1277" i="12"/>
  <c r="Q1278" i="12"/>
  <c r="Q1279" i="12"/>
  <c r="Q1280" i="12"/>
  <c r="Q1281" i="12"/>
  <c r="Q1282" i="12"/>
  <c r="Q1283" i="12"/>
  <c r="Q1284" i="12"/>
  <c r="Q1285" i="12"/>
  <c r="Q1286" i="12"/>
  <c r="Q1287" i="12"/>
  <c r="Q1288" i="12"/>
  <c r="Q1289" i="12"/>
  <c r="Q1290" i="12"/>
  <c r="Q1291" i="12"/>
  <c r="Q1292" i="12"/>
  <c r="Q1293" i="12"/>
  <c r="Q1294" i="12"/>
  <c r="Q1295" i="12"/>
  <c r="Q1296" i="12"/>
  <c r="Q1297" i="12"/>
  <c r="Q1298" i="12"/>
  <c r="Q1299" i="12"/>
  <c r="Q1300" i="12"/>
  <c r="Q1301" i="12"/>
  <c r="Q1302" i="12"/>
  <c r="Q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P477" i="12"/>
  <c r="P478" i="12"/>
  <c r="P479" i="12"/>
  <c r="P480" i="12"/>
  <c r="P481" i="12"/>
  <c r="P482" i="12"/>
  <c r="P483" i="12"/>
  <c r="P484" i="12"/>
  <c r="P485" i="12"/>
  <c r="P486" i="12"/>
  <c r="P487" i="12"/>
  <c r="P488" i="12"/>
  <c r="P489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502" i="12"/>
  <c r="P503" i="12"/>
  <c r="P504" i="12"/>
  <c r="P505" i="12"/>
  <c r="P506" i="12"/>
  <c r="P507" i="12"/>
  <c r="P508" i="12"/>
  <c r="P509" i="12"/>
  <c r="P510" i="12"/>
  <c r="P511" i="12"/>
  <c r="P512" i="12"/>
  <c r="P513" i="12"/>
  <c r="P514" i="12"/>
  <c r="P515" i="12"/>
  <c r="P516" i="12"/>
  <c r="P517" i="12"/>
  <c r="P518" i="12"/>
  <c r="P519" i="12"/>
  <c r="P520" i="12"/>
  <c r="P521" i="12"/>
  <c r="P522" i="12"/>
  <c r="P523" i="12"/>
  <c r="P524" i="12"/>
  <c r="P525" i="12"/>
  <c r="P526" i="12"/>
  <c r="P527" i="12"/>
  <c r="P528" i="12"/>
  <c r="P529" i="12"/>
  <c r="P530" i="12"/>
  <c r="P531" i="12"/>
  <c r="P532" i="12"/>
  <c r="P533" i="12"/>
  <c r="P534" i="12"/>
  <c r="P535" i="12"/>
  <c r="P536" i="12"/>
  <c r="P537" i="12"/>
  <c r="P538" i="12"/>
  <c r="P539" i="12"/>
  <c r="P540" i="12"/>
  <c r="P541" i="12"/>
  <c r="P542" i="12"/>
  <c r="P543" i="12"/>
  <c r="P544" i="12"/>
  <c r="P545" i="12"/>
  <c r="P546" i="12"/>
  <c r="P547" i="12"/>
  <c r="P548" i="12"/>
  <c r="P549" i="12"/>
  <c r="P550" i="12"/>
  <c r="P551" i="12"/>
  <c r="P552" i="12"/>
  <c r="P553" i="12"/>
  <c r="P554" i="12"/>
  <c r="P555" i="12"/>
  <c r="P556" i="12"/>
  <c r="P557" i="12"/>
  <c r="P558" i="12"/>
  <c r="P559" i="12"/>
  <c r="P560" i="12"/>
  <c r="P561" i="12"/>
  <c r="P562" i="12"/>
  <c r="P563" i="12"/>
  <c r="P564" i="12"/>
  <c r="P565" i="12"/>
  <c r="P566" i="12"/>
  <c r="P567" i="12"/>
  <c r="P568" i="12"/>
  <c r="P569" i="12"/>
  <c r="P570" i="12"/>
  <c r="P571" i="12"/>
  <c r="P572" i="12"/>
  <c r="P573" i="12"/>
  <c r="P574" i="12"/>
  <c r="P575" i="12"/>
  <c r="P576" i="12"/>
  <c r="P577" i="12"/>
  <c r="P578" i="12"/>
  <c r="P579" i="12"/>
  <c r="P580" i="12"/>
  <c r="P581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0" i="12"/>
  <c r="P601" i="12"/>
  <c r="P602" i="12"/>
  <c r="P603" i="12"/>
  <c r="P604" i="12"/>
  <c r="P605" i="12"/>
  <c r="P606" i="12"/>
  <c r="P607" i="12"/>
  <c r="P608" i="12"/>
  <c r="P609" i="12"/>
  <c r="P610" i="12"/>
  <c r="P611" i="12"/>
  <c r="P612" i="12"/>
  <c r="P613" i="12"/>
  <c r="P614" i="12"/>
  <c r="P615" i="12"/>
  <c r="P616" i="12"/>
  <c r="P617" i="12"/>
  <c r="P618" i="12"/>
  <c r="P619" i="12"/>
  <c r="P620" i="12"/>
  <c r="P621" i="12"/>
  <c r="P622" i="12"/>
  <c r="P623" i="12"/>
  <c r="P624" i="12"/>
  <c r="P625" i="12"/>
  <c r="P626" i="12"/>
  <c r="P627" i="12"/>
  <c r="P628" i="12"/>
  <c r="P629" i="12"/>
  <c r="P630" i="12"/>
  <c r="P631" i="12"/>
  <c r="P632" i="12"/>
  <c r="P633" i="12"/>
  <c r="P634" i="12"/>
  <c r="P635" i="12"/>
  <c r="P636" i="12"/>
  <c r="P637" i="12"/>
  <c r="P638" i="12"/>
  <c r="P639" i="12"/>
  <c r="P640" i="12"/>
  <c r="P641" i="12"/>
  <c r="P642" i="12"/>
  <c r="P643" i="12"/>
  <c r="P644" i="12"/>
  <c r="P645" i="12"/>
  <c r="P646" i="12"/>
  <c r="P647" i="12"/>
  <c r="P648" i="12"/>
  <c r="P649" i="12"/>
  <c r="P650" i="12"/>
  <c r="P651" i="12"/>
  <c r="P652" i="12"/>
  <c r="P653" i="12"/>
  <c r="P654" i="12"/>
  <c r="P655" i="12"/>
  <c r="P656" i="12"/>
  <c r="P657" i="12"/>
  <c r="P658" i="12"/>
  <c r="P659" i="12"/>
  <c r="P660" i="12"/>
  <c r="P661" i="12"/>
  <c r="P662" i="12"/>
  <c r="P663" i="12"/>
  <c r="P664" i="12"/>
  <c r="P665" i="12"/>
  <c r="P666" i="12"/>
  <c r="P667" i="12"/>
  <c r="P668" i="12"/>
  <c r="P669" i="12"/>
  <c r="P670" i="12"/>
  <c r="P671" i="12"/>
  <c r="P672" i="12"/>
  <c r="P673" i="12"/>
  <c r="P674" i="12"/>
  <c r="P675" i="12"/>
  <c r="P676" i="12"/>
  <c r="P677" i="12"/>
  <c r="P678" i="12"/>
  <c r="P679" i="12"/>
  <c r="P680" i="12"/>
  <c r="P681" i="12"/>
  <c r="P682" i="12"/>
  <c r="P683" i="12"/>
  <c r="P684" i="12"/>
  <c r="P685" i="12"/>
  <c r="P686" i="12"/>
  <c r="P687" i="12"/>
  <c r="P688" i="12"/>
  <c r="P689" i="12"/>
  <c r="P690" i="12"/>
  <c r="P691" i="12"/>
  <c r="P692" i="12"/>
  <c r="P693" i="12"/>
  <c r="P694" i="12"/>
  <c r="P695" i="12"/>
  <c r="P696" i="12"/>
  <c r="P697" i="12"/>
  <c r="P698" i="12"/>
  <c r="P699" i="12"/>
  <c r="P700" i="12"/>
  <c r="P701" i="12"/>
  <c r="P702" i="12"/>
  <c r="P703" i="12"/>
  <c r="P704" i="12"/>
  <c r="P705" i="12"/>
  <c r="P706" i="12"/>
  <c r="P707" i="12"/>
  <c r="P708" i="12"/>
  <c r="P709" i="12"/>
  <c r="P710" i="12"/>
  <c r="P711" i="12"/>
  <c r="P712" i="12"/>
  <c r="P713" i="12"/>
  <c r="P714" i="12"/>
  <c r="P715" i="12"/>
  <c r="P716" i="12"/>
  <c r="P717" i="12"/>
  <c r="P718" i="12"/>
  <c r="P719" i="12"/>
  <c r="P720" i="12"/>
  <c r="P721" i="12"/>
  <c r="P722" i="12"/>
  <c r="P723" i="12"/>
  <c r="P724" i="12"/>
  <c r="P725" i="12"/>
  <c r="P726" i="12"/>
  <c r="P727" i="12"/>
  <c r="P728" i="12"/>
  <c r="P729" i="12"/>
  <c r="P730" i="12"/>
  <c r="P731" i="12"/>
  <c r="P732" i="12"/>
  <c r="P733" i="12"/>
  <c r="P734" i="12"/>
  <c r="P735" i="12"/>
  <c r="P736" i="12"/>
  <c r="P737" i="12"/>
  <c r="P738" i="12"/>
  <c r="P739" i="12"/>
  <c r="P740" i="12"/>
  <c r="P741" i="12"/>
  <c r="P742" i="12"/>
  <c r="P743" i="12"/>
  <c r="P744" i="12"/>
  <c r="P745" i="12"/>
  <c r="P746" i="12"/>
  <c r="P747" i="12"/>
  <c r="P748" i="12"/>
  <c r="P749" i="12"/>
  <c r="P750" i="12"/>
  <c r="P751" i="12"/>
  <c r="P752" i="12"/>
  <c r="P753" i="12"/>
  <c r="P754" i="12"/>
  <c r="P755" i="12"/>
  <c r="P756" i="12"/>
  <c r="P757" i="12"/>
  <c r="P758" i="12"/>
  <c r="P759" i="12"/>
  <c r="P760" i="12"/>
  <c r="P761" i="12"/>
  <c r="P762" i="12"/>
  <c r="P763" i="12"/>
  <c r="P764" i="12"/>
  <c r="P765" i="12"/>
  <c r="P766" i="12"/>
  <c r="P767" i="12"/>
  <c r="P768" i="12"/>
  <c r="P769" i="12"/>
  <c r="P770" i="12"/>
  <c r="P771" i="12"/>
  <c r="P772" i="12"/>
  <c r="P773" i="12"/>
  <c r="P774" i="12"/>
  <c r="P775" i="12"/>
  <c r="P776" i="12"/>
  <c r="P777" i="12"/>
  <c r="P778" i="12"/>
  <c r="P779" i="12"/>
  <c r="P780" i="12"/>
  <c r="P781" i="12"/>
  <c r="P782" i="12"/>
  <c r="P783" i="12"/>
  <c r="P784" i="12"/>
  <c r="P785" i="12"/>
  <c r="P786" i="12"/>
  <c r="P787" i="12"/>
  <c r="P788" i="12"/>
  <c r="P789" i="12"/>
  <c r="P790" i="12"/>
  <c r="P791" i="12"/>
  <c r="P792" i="12"/>
  <c r="P793" i="12"/>
  <c r="P794" i="12"/>
  <c r="P795" i="12"/>
  <c r="P796" i="12"/>
  <c r="P797" i="12"/>
  <c r="P798" i="12"/>
  <c r="P799" i="12"/>
  <c r="P800" i="12"/>
  <c r="P801" i="12"/>
  <c r="P802" i="12"/>
  <c r="P803" i="12"/>
  <c r="P804" i="12"/>
  <c r="P805" i="12"/>
  <c r="P806" i="12"/>
  <c r="P807" i="12"/>
  <c r="P808" i="12"/>
  <c r="P809" i="12"/>
  <c r="P810" i="12"/>
  <c r="P811" i="12"/>
  <c r="P812" i="12"/>
  <c r="P813" i="12"/>
  <c r="P814" i="12"/>
  <c r="P815" i="12"/>
  <c r="P816" i="12"/>
  <c r="P817" i="12"/>
  <c r="P818" i="12"/>
  <c r="P819" i="12"/>
  <c r="P820" i="12"/>
  <c r="P821" i="12"/>
  <c r="P822" i="12"/>
  <c r="P823" i="12"/>
  <c r="P824" i="12"/>
  <c r="P825" i="12"/>
  <c r="P826" i="12"/>
  <c r="P827" i="12"/>
  <c r="P828" i="12"/>
  <c r="P829" i="12"/>
  <c r="P830" i="12"/>
  <c r="P831" i="12"/>
  <c r="P832" i="12"/>
  <c r="P833" i="12"/>
  <c r="P834" i="12"/>
  <c r="P835" i="12"/>
  <c r="P836" i="12"/>
  <c r="P837" i="12"/>
  <c r="P838" i="12"/>
  <c r="P839" i="12"/>
  <c r="P840" i="12"/>
  <c r="P841" i="12"/>
  <c r="P842" i="12"/>
  <c r="P843" i="12"/>
  <c r="P844" i="12"/>
  <c r="P845" i="12"/>
  <c r="P846" i="12"/>
  <c r="P847" i="12"/>
  <c r="P848" i="12"/>
  <c r="P849" i="12"/>
  <c r="P850" i="12"/>
  <c r="P851" i="12"/>
  <c r="P852" i="12"/>
  <c r="P853" i="12"/>
  <c r="P854" i="12"/>
  <c r="P855" i="12"/>
  <c r="P856" i="12"/>
  <c r="P857" i="12"/>
  <c r="P858" i="12"/>
  <c r="P859" i="12"/>
  <c r="P860" i="12"/>
  <c r="P861" i="12"/>
  <c r="P862" i="12"/>
  <c r="P863" i="12"/>
  <c r="P864" i="12"/>
  <c r="P865" i="12"/>
  <c r="P866" i="12"/>
  <c r="P867" i="12"/>
  <c r="P868" i="12"/>
  <c r="P869" i="12"/>
  <c r="P870" i="12"/>
  <c r="P871" i="12"/>
  <c r="P872" i="12"/>
  <c r="P873" i="12"/>
  <c r="P874" i="12"/>
  <c r="P875" i="12"/>
  <c r="P876" i="12"/>
  <c r="P877" i="12"/>
  <c r="P878" i="12"/>
  <c r="P879" i="12"/>
  <c r="P880" i="12"/>
  <c r="P881" i="12"/>
  <c r="P882" i="12"/>
  <c r="P883" i="12"/>
  <c r="P884" i="12"/>
  <c r="P885" i="12"/>
  <c r="P886" i="12"/>
  <c r="P887" i="12"/>
  <c r="P888" i="12"/>
  <c r="P889" i="12"/>
  <c r="P890" i="12"/>
  <c r="P891" i="12"/>
  <c r="P892" i="12"/>
  <c r="P893" i="12"/>
  <c r="P894" i="12"/>
  <c r="P895" i="12"/>
  <c r="P896" i="12"/>
  <c r="P897" i="12"/>
  <c r="P898" i="12"/>
  <c r="P899" i="12"/>
  <c r="P900" i="12"/>
  <c r="P901" i="12"/>
  <c r="P902" i="12"/>
  <c r="P903" i="12"/>
  <c r="P904" i="12"/>
  <c r="P905" i="12"/>
  <c r="P906" i="12"/>
  <c r="P907" i="12"/>
  <c r="P908" i="12"/>
  <c r="P909" i="12"/>
  <c r="P910" i="12"/>
  <c r="P911" i="12"/>
  <c r="P912" i="12"/>
  <c r="P913" i="12"/>
  <c r="P914" i="12"/>
  <c r="P915" i="12"/>
  <c r="P916" i="12"/>
  <c r="P917" i="12"/>
  <c r="P918" i="12"/>
  <c r="P919" i="12"/>
  <c r="P920" i="12"/>
  <c r="P921" i="12"/>
  <c r="P922" i="12"/>
  <c r="P923" i="12"/>
  <c r="P924" i="12"/>
  <c r="P925" i="12"/>
  <c r="P926" i="12"/>
  <c r="P927" i="12"/>
  <c r="P928" i="12"/>
  <c r="P929" i="12"/>
  <c r="P930" i="12"/>
  <c r="P931" i="12"/>
  <c r="P932" i="12"/>
  <c r="P933" i="12"/>
  <c r="P934" i="12"/>
  <c r="P935" i="12"/>
  <c r="P936" i="12"/>
  <c r="P937" i="12"/>
  <c r="P938" i="12"/>
  <c r="P939" i="12"/>
  <c r="P940" i="12"/>
  <c r="P941" i="12"/>
  <c r="P942" i="12"/>
  <c r="P943" i="12"/>
  <c r="P944" i="12"/>
  <c r="P945" i="12"/>
  <c r="P946" i="12"/>
  <c r="P947" i="12"/>
  <c r="P948" i="12"/>
  <c r="P949" i="12"/>
  <c r="P950" i="12"/>
  <c r="P951" i="12"/>
  <c r="P952" i="12"/>
  <c r="P953" i="12"/>
  <c r="P954" i="12"/>
  <c r="P955" i="12"/>
  <c r="P956" i="12"/>
  <c r="P957" i="12"/>
  <c r="P958" i="12"/>
  <c r="P959" i="12"/>
  <c r="P960" i="12"/>
  <c r="P961" i="12"/>
  <c r="P962" i="12"/>
  <c r="P963" i="12"/>
  <c r="P964" i="12"/>
  <c r="P965" i="12"/>
  <c r="P966" i="12"/>
  <c r="P967" i="12"/>
  <c r="P968" i="12"/>
  <c r="P969" i="12"/>
  <c r="P970" i="12"/>
  <c r="P971" i="12"/>
  <c r="P972" i="12"/>
  <c r="P973" i="12"/>
  <c r="P974" i="12"/>
  <c r="P975" i="12"/>
  <c r="P976" i="12"/>
  <c r="P977" i="12"/>
  <c r="P978" i="12"/>
  <c r="P979" i="12"/>
  <c r="P980" i="12"/>
  <c r="P981" i="12"/>
  <c r="P982" i="12"/>
  <c r="P983" i="12"/>
  <c r="P984" i="12"/>
  <c r="P985" i="12"/>
  <c r="P986" i="12"/>
  <c r="P987" i="12"/>
  <c r="P988" i="12"/>
  <c r="P989" i="12"/>
  <c r="P990" i="12"/>
  <c r="P991" i="12"/>
  <c r="P992" i="12"/>
  <c r="P993" i="12"/>
  <c r="P994" i="12"/>
  <c r="P995" i="12"/>
  <c r="P996" i="12"/>
  <c r="P997" i="12"/>
  <c r="P998" i="12"/>
  <c r="P999" i="12"/>
  <c r="P1000" i="12"/>
  <c r="P1001" i="12"/>
  <c r="P1002" i="12"/>
  <c r="P1003" i="12"/>
  <c r="P1004" i="12"/>
  <c r="P1005" i="12"/>
  <c r="P1006" i="12"/>
  <c r="P1007" i="12"/>
  <c r="P1008" i="12"/>
  <c r="P1009" i="12"/>
  <c r="P1010" i="12"/>
  <c r="P1011" i="12"/>
  <c r="P1012" i="12"/>
  <c r="P1013" i="12"/>
  <c r="P1014" i="12"/>
  <c r="P1015" i="12"/>
  <c r="P1016" i="12"/>
  <c r="P1017" i="12"/>
  <c r="P1018" i="12"/>
  <c r="P1019" i="12"/>
  <c r="P1020" i="12"/>
  <c r="P1021" i="12"/>
  <c r="P1022" i="12"/>
  <c r="P1023" i="12"/>
  <c r="P1024" i="12"/>
  <c r="P1025" i="12"/>
  <c r="P1026" i="12"/>
  <c r="P1027" i="12"/>
  <c r="P1028" i="12"/>
  <c r="P1029" i="12"/>
  <c r="P1030" i="12"/>
  <c r="P1031" i="12"/>
  <c r="P1032" i="12"/>
  <c r="P1033" i="12"/>
  <c r="P1034" i="12"/>
  <c r="P1035" i="12"/>
  <c r="P1036" i="12"/>
  <c r="P1037" i="12"/>
  <c r="P1038" i="12"/>
  <c r="P1039" i="12"/>
  <c r="P1040" i="12"/>
  <c r="P1041" i="12"/>
  <c r="P1042" i="12"/>
  <c r="P1043" i="12"/>
  <c r="P1044" i="12"/>
  <c r="P1045" i="12"/>
  <c r="P1046" i="12"/>
  <c r="P1047" i="12"/>
  <c r="P1048" i="12"/>
  <c r="P1049" i="12"/>
  <c r="P1050" i="12"/>
  <c r="P1051" i="12"/>
  <c r="P1052" i="12"/>
  <c r="P1053" i="12"/>
  <c r="P1054" i="12"/>
  <c r="P1055" i="12"/>
  <c r="P1056" i="12"/>
  <c r="P1057" i="12"/>
  <c r="P1058" i="12"/>
  <c r="P1059" i="12"/>
  <c r="P1060" i="12"/>
  <c r="P1061" i="12"/>
  <c r="P1062" i="12"/>
  <c r="P1063" i="12"/>
  <c r="P1064" i="12"/>
  <c r="P1065" i="12"/>
  <c r="P1066" i="12"/>
  <c r="P1067" i="12"/>
  <c r="P1068" i="12"/>
  <c r="P1069" i="12"/>
  <c r="P1070" i="12"/>
  <c r="P1071" i="12"/>
  <c r="P1072" i="12"/>
  <c r="P1073" i="12"/>
  <c r="P1074" i="12"/>
  <c r="P1075" i="12"/>
  <c r="P1076" i="12"/>
  <c r="P1077" i="12"/>
  <c r="P1078" i="12"/>
  <c r="P1079" i="12"/>
  <c r="P1080" i="12"/>
  <c r="P1081" i="12"/>
  <c r="P1082" i="12"/>
  <c r="P1083" i="12"/>
  <c r="P1084" i="12"/>
  <c r="P1085" i="12"/>
  <c r="P1086" i="12"/>
  <c r="P1087" i="12"/>
  <c r="P1088" i="12"/>
  <c r="P1089" i="12"/>
  <c r="P1090" i="12"/>
  <c r="P1091" i="12"/>
  <c r="P1092" i="12"/>
  <c r="P1093" i="12"/>
  <c r="P1094" i="12"/>
  <c r="P1095" i="12"/>
  <c r="P1096" i="12"/>
  <c r="P1097" i="12"/>
  <c r="P1098" i="12"/>
  <c r="P1099" i="12"/>
  <c r="P1100" i="12"/>
  <c r="P1101" i="12"/>
  <c r="P1102" i="12"/>
  <c r="P1103" i="12"/>
  <c r="P1104" i="12"/>
  <c r="P1105" i="12"/>
  <c r="P1106" i="12"/>
  <c r="P1107" i="12"/>
  <c r="P1108" i="12"/>
  <c r="P1109" i="12"/>
  <c r="P1110" i="12"/>
  <c r="P1111" i="12"/>
  <c r="P1112" i="12"/>
  <c r="P1113" i="12"/>
  <c r="P1114" i="12"/>
  <c r="P1115" i="12"/>
  <c r="P1116" i="12"/>
  <c r="P1117" i="12"/>
  <c r="P1118" i="12"/>
  <c r="P1119" i="12"/>
  <c r="P1120" i="12"/>
  <c r="P1121" i="12"/>
  <c r="P1122" i="12"/>
  <c r="P1123" i="12"/>
  <c r="P1124" i="12"/>
  <c r="P1125" i="12"/>
  <c r="P1126" i="12"/>
  <c r="P1127" i="12"/>
  <c r="P1128" i="12"/>
  <c r="P1129" i="12"/>
  <c r="P1130" i="12"/>
  <c r="P1131" i="12"/>
  <c r="P1132" i="12"/>
  <c r="P1133" i="12"/>
  <c r="P1134" i="12"/>
  <c r="P1135" i="12"/>
  <c r="P1136" i="12"/>
  <c r="P1137" i="12"/>
  <c r="P1138" i="12"/>
  <c r="P1139" i="12"/>
  <c r="P1140" i="12"/>
  <c r="P1141" i="12"/>
  <c r="P1142" i="12"/>
  <c r="P1143" i="12"/>
  <c r="P1144" i="12"/>
  <c r="P1145" i="12"/>
  <c r="P1146" i="12"/>
  <c r="P1147" i="12"/>
  <c r="P1148" i="12"/>
  <c r="P1149" i="12"/>
  <c r="P1150" i="12"/>
  <c r="P1151" i="12"/>
  <c r="P1152" i="12"/>
  <c r="P1153" i="12"/>
  <c r="P1154" i="12"/>
  <c r="P1155" i="12"/>
  <c r="P1156" i="12"/>
  <c r="P1157" i="12"/>
  <c r="P1158" i="12"/>
  <c r="P1159" i="12"/>
  <c r="P1160" i="12"/>
  <c r="P1161" i="12"/>
  <c r="P1162" i="12"/>
  <c r="P1163" i="12"/>
  <c r="P1164" i="12"/>
  <c r="P1165" i="12"/>
  <c r="P1166" i="12"/>
  <c r="P1167" i="12"/>
  <c r="P1168" i="12"/>
  <c r="P1169" i="12"/>
  <c r="P1170" i="12"/>
  <c r="P1171" i="12"/>
  <c r="P1172" i="12"/>
  <c r="P1173" i="12"/>
  <c r="P1174" i="12"/>
  <c r="P1175" i="12"/>
  <c r="P1176" i="12"/>
  <c r="P1177" i="12"/>
  <c r="P1178" i="12"/>
  <c r="P1179" i="12"/>
  <c r="P1180" i="12"/>
  <c r="P1181" i="12"/>
  <c r="P1182" i="12"/>
  <c r="P1183" i="12"/>
  <c r="P1184" i="12"/>
  <c r="P1185" i="12"/>
  <c r="P1186" i="12"/>
  <c r="P1187" i="12"/>
  <c r="P1188" i="12"/>
  <c r="P1189" i="12"/>
  <c r="P1190" i="12"/>
  <c r="P1191" i="12"/>
  <c r="P1192" i="12"/>
  <c r="P1193" i="12"/>
  <c r="P1194" i="12"/>
  <c r="P1195" i="12"/>
  <c r="P1196" i="12"/>
  <c r="P1197" i="12"/>
  <c r="P1198" i="12"/>
  <c r="P1199" i="12"/>
  <c r="P1200" i="12"/>
  <c r="P1201" i="12"/>
  <c r="P1202" i="12"/>
  <c r="P1203" i="12"/>
  <c r="P1204" i="12"/>
  <c r="P1205" i="12"/>
  <c r="P1206" i="12"/>
  <c r="P1207" i="12"/>
  <c r="P1208" i="12"/>
  <c r="P1209" i="12"/>
  <c r="P1210" i="12"/>
  <c r="P1211" i="12"/>
  <c r="P1212" i="12"/>
  <c r="P1213" i="12"/>
  <c r="P1214" i="12"/>
  <c r="P1215" i="12"/>
  <c r="P1216" i="12"/>
  <c r="P1217" i="12"/>
  <c r="P1218" i="12"/>
  <c r="P1219" i="12"/>
  <c r="P1220" i="12"/>
  <c r="P1221" i="12"/>
  <c r="P1222" i="12"/>
  <c r="P1223" i="12"/>
  <c r="P1224" i="12"/>
  <c r="P1225" i="12"/>
  <c r="P1226" i="12"/>
  <c r="P1227" i="12"/>
  <c r="P1228" i="12"/>
  <c r="P1229" i="12"/>
  <c r="P1230" i="12"/>
  <c r="P1231" i="12"/>
  <c r="P1232" i="12"/>
  <c r="P1233" i="12"/>
  <c r="P1234" i="12"/>
  <c r="P1235" i="12"/>
  <c r="P1236" i="12"/>
  <c r="P1237" i="12"/>
  <c r="P1238" i="12"/>
  <c r="P1239" i="12"/>
  <c r="P1240" i="12"/>
  <c r="P1241" i="12"/>
  <c r="P1242" i="12"/>
  <c r="P1243" i="12"/>
  <c r="P1244" i="12"/>
  <c r="P1245" i="12"/>
  <c r="P1246" i="12"/>
  <c r="P1247" i="12"/>
  <c r="P1248" i="12"/>
  <c r="P1249" i="12"/>
  <c r="P1250" i="12"/>
  <c r="P1251" i="12"/>
  <c r="P1252" i="12"/>
  <c r="P1253" i="12"/>
  <c r="P1254" i="12"/>
  <c r="P1255" i="12"/>
  <c r="P1256" i="12"/>
  <c r="P1257" i="12"/>
  <c r="P1258" i="12"/>
  <c r="P1259" i="12"/>
  <c r="P1260" i="12"/>
  <c r="P1261" i="12"/>
  <c r="P1262" i="12"/>
  <c r="P1263" i="12"/>
  <c r="P1264" i="12"/>
  <c r="P1265" i="12"/>
  <c r="P1266" i="12"/>
  <c r="P1267" i="12"/>
  <c r="P1268" i="12"/>
  <c r="P1269" i="12"/>
  <c r="P1270" i="12"/>
  <c r="P1271" i="12"/>
  <c r="P1272" i="12"/>
  <c r="P1273" i="12"/>
  <c r="P1274" i="12"/>
  <c r="P1275" i="12"/>
  <c r="P1276" i="12"/>
  <c r="P1277" i="12"/>
  <c r="P1278" i="12"/>
  <c r="P1279" i="12"/>
  <c r="P1280" i="12"/>
  <c r="P1281" i="12"/>
  <c r="P1282" i="12"/>
  <c r="P1283" i="12"/>
  <c r="P1284" i="12"/>
  <c r="P1285" i="12"/>
  <c r="P1286" i="12"/>
  <c r="P1287" i="12"/>
  <c r="P1288" i="12"/>
  <c r="P1289" i="12"/>
  <c r="P1290" i="12"/>
  <c r="P1291" i="12"/>
  <c r="P1292" i="12"/>
  <c r="P1293" i="12"/>
  <c r="P1294" i="12"/>
  <c r="P1295" i="12"/>
  <c r="P1296" i="12"/>
  <c r="P1297" i="12"/>
  <c r="P1298" i="12"/>
  <c r="P1299" i="12"/>
  <c r="P1300" i="12"/>
  <c r="P1301" i="12"/>
  <c r="P1302" i="12"/>
  <c r="P1303" i="12"/>
  <c r="P5" i="12"/>
  <c r="J13" i="12" a="1"/>
  <c r="J13" i="12" s="1"/>
  <c r="J11" i="12"/>
  <c r="K11" i="12"/>
  <c r="L11" i="12"/>
  <c r="L10" i="12"/>
  <c r="J10" i="12"/>
  <c r="K10" i="12"/>
  <c r="K9" i="12"/>
  <c r="L9" i="12"/>
  <c r="J9" i="12"/>
  <c r="J6" i="12"/>
  <c r="J5" i="12"/>
  <c r="J4" i="12"/>
  <c r="E6" i="12"/>
  <c r="F6" i="12"/>
  <c r="G6" i="12"/>
  <c r="E7" i="12"/>
  <c r="F7" i="12"/>
  <c r="G7" i="12"/>
  <c r="E8" i="12"/>
  <c r="F8" i="12"/>
  <c r="G8" i="12"/>
  <c r="E9" i="12"/>
  <c r="F9" i="12"/>
  <c r="G9" i="12"/>
  <c r="E10" i="12"/>
  <c r="F10" i="12"/>
  <c r="G10" i="12"/>
  <c r="E11" i="12"/>
  <c r="F11" i="12"/>
  <c r="G11" i="12"/>
  <c r="E12" i="12"/>
  <c r="F12" i="12"/>
  <c r="G12" i="12"/>
  <c r="E13" i="12"/>
  <c r="F13" i="12"/>
  <c r="G13" i="12"/>
  <c r="E14" i="12"/>
  <c r="F14" i="12"/>
  <c r="G14" i="12"/>
  <c r="E15" i="12"/>
  <c r="F15" i="12"/>
  <c r="G15" i="12"/>
  <c r="E16" i="12"/>
  <c r="F16" i="12"/>
  <c r="G16" i="12"/>
  <c r="E17" i="12"/>
  <c r="F17" i="12"/>
  <c r="G17" i="12"/>
  <c r="E18" i="12"/>
  <c r="F18" i="12"/>
  <c r="G18" i="12"/>
  <c r="E19" i="12"/>
  <c r="F19" i="12"/>
  <c r="G19" i="12"/>
  <c r="E20" i="12"/>
  <c r="F20" i="12"/>
  <c r="G20" i="12"/>
  <c r="E21" i="12"/>
  <c r="F21" i="12"/>
  <c r="G21" i="12"/>
  <c r="E22" i="12"/>
  <c r="F22" i="12"/>
  <c r="G22" i="12"/>
  <c r="E23" i="12"/>
  <c r="F23" i="12"/>
  <c r="G23" i="12"/>
  <c r="E24" i="12"/>
  <c r="F24" i="12"/>
  <c r="G24" i="12"/>
  <c r="E25" i="12"/>
  <c r="F25" i="12"/>
  <c r="G25" i="12"/>
  <c r="E26" i="12"/>
  <c r="F26" i="12"/>
  <c r="G26" i="12"/>
  <c r="E27" i="12"/>
  <c r="F27" i="12"/>
  <c r="G27" i="12"/>
  <c r="E28" i="12"/>
  <c r="F28" i="12"/>
  <c r="G28" i="12"/>
  <c r="E29" i="12"/>
  <c r="F29" i="12"/>
  <c r="G29" i="12"/>
  <c r="E30" i="12"/>
  <c r="F30" i="12"/>
  <c r="G30" i="12"/>
  <c r="E31" i="12"/>
  <c r="F31" i="12"/>
  <c r="G31" i="12"/>
  <c r="E32" i="12"/>
  <c r="F32" i="12"/>
  <c r="G32" i="12"/>
  <c r="E33" i="12"/>
  <c r="F33" i="12"/>
  <c r="G33" i="12"/>
  <c r="E34" i="12"/>
  <c r="F34" i="12"/>
  <c r="G34" i="12"/>
  <c r="E35" i="12"/>
  <c r="F35" i="12"/>
  <c r="G35" i="12"/>
  <c r="E36" i="12"/>
  <c r="F36" i="12"/>
  <c r="G36" i="12"/>
  <c r="E37" i="12"/>
  <c r="F37" i="12"/>
  <c r="G37" i="12"/>
  <c r="E38" i="12"/>
  <c r="F38" i="12"/>
  <c r="G38" i="12"/>
  <c r="E39" i="12"/>
  <c r="F39" i="12"/>
  <c r="G39" i="12"/>
  <c r="E40" i="12"/>
  <c r="F40" i="12"/>
  <c r="G40" i="12"/>
  <c r="E41" i="12"/>
  <c r="F41" i="12"/>
  <c r="G41" i="12"/>
  <c r="E42" i="12"/>
  <c r="F42" i="12"/>
  <c r="G42" i="12"/>
  <c r="E43" i="12"/>
  <c r="F43" i="12"/>
  <c r="G43" i="12"/>
  <c r="E44" i="12"/>
  <c r="F44" i="12"/>
  <c r="G44" i="12"/>
  <c r="E45" i="12"/>
  <c r="F45" i="12"/>
  <c r="G45" i="12"/>
  <c r="E46" i="12"/>
  <c r="F46" i="12"/>
  <c r="G46" i="12"/>
  <c r="E47" i="12"/>
  <c r="F47" i="12"/>
  <c r="G47" i="12"/>
  <c r="E48" i="12"/>
  <c r="F48" i="12"/>
  <c r="G48" i="12"/>
  <c r="E49" i="12"/>
  <c r="F49" i="12"/>
  <c r="G49" i="12"/>
  <c r="E50" i="12"/>
  <c r="F50" i="12"/>
  <c r="G50" i="12"/>
  <c r="E51" i="12"/>
  <c r="F51" i="12"/>
  <c r="G51" i="12"/>
  <c r="E52" i="12"/>
  <c r="F52" i="12"/>
  <c r="G52" i="12"/>
  <c r="E53" i="12"/>
  <c r="F53" i="12"/>
  <c r="G53" i="12"/>
  <c r="E54" i="12"/>
  <c r="F54" i="12"/>
  <c r="G54" i="12"/>
  <c r="E55" i="12"/>
  <c r="F55" i="12"/>
  <c r="G55" i="12"/>
  <c r="E56" i="12"/>
  <c r="F56" i="12"/>
  <c r="G56" i="12"/>
  <c r="E57" i="12"/>
  <c r="F57" i="12"/>
  <c r="G57" i="12"/>
  <c r="E58" i="12"/>
  <c r="F58" i="12"/>
  <c r="G58" i="12"/>
  <c r="E59" i="12"/>
  <c r="F59" i="12"/>
  <c r="G59" i="12"/>
  <c r="E60" i="12"/>
  <c r="F60" i="12"/>
  <c r="G60" i="12"/>
  <c r="E61" i="12"/>
  <c r="F61" i="12"/>
  <c r="G61" i="12"/>
  <c r="E62" i="12"/>
  <c r="F62" i="12"/>
  <c r="G62" i="12"/>
  <c r="E63" i="12"/>
  <c r="F63" i="12"/>
  <c r="G63" i="12"/>
  <c r="E64" i="12"/>
  <c r="F64" i="12"/>
  <c r="G64" i="12"/>
  <c r="E65" i="12"/>
  <c r="F65" i="12"/>
  <c r="G65" i="12"/>
  <c r="E66" i="12"/>
  <c r="F66" i="12"/>
  <c r="G66" i="12"/>
  <c r="E67" i="12"/>
  <c r="F67" i="12"/>
  <c r="G67" i="12"/>
  <c r="E68" i="12"/>
  <c r="F68" i="12"/>
  <c r="G68" i="12"/>
  <c r="E69" i="12"/>
  <c r="F69" i="12"/>
  <c r="G69" i="12"/>
  <c r="E70" i="12"/>
  <c r="F70" i="12"/>
  <c r="G70" i="12"/>
  <c r="E71" i="12"/>
  <c r="F71" i="12"/>
  <c r="G71" i="12"/>
  <c r="E72" i="12"/>
  <c r="F72" i="12"/>
  <c r="G72" i="12"/>
  <c r="E73" i="12"/>
  <c r="F73" i="12"/>
  <c r="G73" i="12"/>
  <c r="E74" i="12"/>
  <c r="F74" i="12"/>
  <c r="G74" i="12"/>
  <c r="E75" i="12"/>
  <c r="F75" i="12"/>
  <c r="G75" i="12"/>
  <c r="E76" i="12"/>
  <c r="F76" i="12"/>
  <c r="G76" i="12"/>
  <c r="E77" i="12"/>
  <c r="F77" i="12"/>
  <c r="G77" i="12"/>
  <c r="E78" i="12"/>
  <c r="F78" i="12"/>
  <c r="G78" i="12"/>
  <c r="E79" i="12"/>
  <c r="F79" i="12"/>
  <c r="G79" i="12"/>
  <c r="E80" i="12"/>
  <c r="F80" i="12"/>
  <c r="G80" i="12"/>
  <c r="E81" i="12"/>
  <c r="F81" i="12"/>
  <c r="G81" i="12"/>
  <c r="E82" i="12"/>
  <c r="F82" i="12"/>
  <c r="G82" i="12"/>
  <c r="E83" i="12"/>
  <c r="F83" i="12"/>
  <c r="G83" i="12"/>
  <c r="E84" i="12"/>
  <c r="F84" i="12"/>
  <c r="G84" i="12"/>
  <c r="E85" i="12"/>
  <c r="F85" i="12"/>
  <c r="G85" i="12"/>
  <c r="E86" i="12"/>
  <c r="F86" i="12"/>
  <c r="G86" i="12"/>
  <c r="E87" i="12"/>
  <c r="F87" i="12"/>
  <c r="G87" i="12"/>
  <c r="E88" i="12"/>
  <c r="F88" i="12"/>
  <c r="G88" i="12"/>
  <c r="E89" i="12"/>
  <c r="F89" i="12"/>
  <c r="G89" i="12"/>
  <c r="E90" i="12"/>
  <c r="F90" i="12"/>
  <c r="G90" i="12"/>
  <c r="E91" i="12"/>
  <c r="F91" i="12"/>
  <c r="G91" i="12"/>
  <c r="E92" i="12"/>
  <c r="F92" i="12"/>
  <c r="G92" i="12"/>
  <c r="E93" i="12"/>
  <c r="F93" i="12"/>
  <c r="G93" i="12"/>
  <c r="E94" i="12"/>
  <c r="F94" i="12"/>
  <c r="G94" i="12"/>
  <c r="E95" i="12"/>
  <c r="F95" i="12"/>
  <c r="G95" i="12"/>
  <c r="E96" i="12"/>
  <c r="F96" i="12"/>
  <c r="G96" i="12"/>
  <c r="E97" i="12"/>
  <c r="F97" i="12"/>
  <c r="G97" i="12"/>
  <c r="E98" i="12"/>
  <c r="F98" i="12"/>
  <c r="G98" i="12"/>
  <c r="E99" i="12"/>
  <c r="F99" i="12"/>
  <c r="G99" i="12"/>
  <c r="E100" i="12"/>
  <c r="F100" i="12"/>
  <c r="G100" i="12"/>
  <c r="E101" i="12"/>
  <c r="F101" i="12"/>
  <c r="G101" i="12"/>
  <c r="E102" i="12"/>
  <c r="F102" i="12"/>
  <c r="G102" i="12"/>
  <c r="E103" i="12"/>
  <c r="F103" i="12"/>
  <c r="G103" i="12"/>
  <c r="E104" i="12"/>
  <c r="F104" i="12"/>
  <c r="G104" i="12"/>
  <c r="E105" i="12"/>
  <c r="F105" i="12"/>
  <c r="G105" i="12"/>
  <c r="E106" i="12"/>
  <c r="F106" i="12"/>
  <c r="G106" i="12"/>
  <c r="E107" i="12"/>
  <c r="F107" i="12"/>
  <c r="G107" i="12"/>
  <c r="E108" i="12"/>
  <c r="F108" i="12"/>
  <c r="G108" i="12"/>
  <c r="E109" i="12"/>
  <c r="F109" i="12"/>
  <c r="G109" i="12"/>
  <c r="E110" i="12"/>
  <c r="F110" i="12"/>
  <c r="G110" i="12"/>
  <c r="E111" i="12"/>
  <c r="F111" i="12"/>
  <c r="G111" i="12"/>
  <c r="E112" i="12"/>
  <c r="F112" i="12"/>
  <c r="G112" i="12"/>
  <c r="E113" i="12"/>
  <c r="F113" i="12"/>
  <c r="G113" i="12"/>
  <c r="E114" i="12"/>
  <c r="F114" i="12"/>
  <c r="G114" i="12"/>
  <c r="E115" i="12"/>
  <c r="F115" i="12"/>
  <c r="G115" i="12"/>
  <c r="E116" i="12"/>
  <c r="F116" i="12"/>
  <c r="G116" i="12"/>
  <c r="E117" i="12"/>
  <c r="F117" i="12"/>
  <c r="G117" i="12"/>
  <c r="E118" i="12"/>
  <c r="F118" i="12"/>
  <c r="G118" i="12"/>
  <c r="E119" i="12"/>
  <c r="F119" i="12"/>
  <c r="G119" i="12"/>
  <c r="E120" i="12"/>
  <c r="F120" i="12"/>
  <c r="G120" i="12"/>
  <c r="E121" i="12"/>
  <c r="F121" i="12"/>
  <c r="G121" i="12"/>
  <c r="E122" i="12"/>
  <c r="F122" i="12"/>
  <c r="G122" i="12"/>
  <c r="E123" i="12"/>
  <c r="F123" i="12"/>
  <c r="G123" i="12"/>
  <c r="E124" i="12"/>
  <c r="F124" i="12"/>
  <c r="G124" i="12"/>
  <c r="E125" i="12"/>
  <c r="F125" i="12"/>
  <c r="G125" i="12"/>
  <c r="E126" i="12"/>
  <c r="F126" i="12"/>
  <c r="G126" i="12"/>
  <c r="E127" i="12"/>
  <c r="F127" i="12"/>
  <c r="G127" i="12"/>
  <c r="E128" i="12"/>
  <c r="F128" i="12"/>
  <c r="G128" i="12"/>
  <c r="E129" i="12"/>
  <c r="F129" i="12"/>
  <c r="G129" i="12"/>
  <c r="E130" i="12"/>
  <c r="F130" i="12"/>
  <c r="G130" i="12"/>
  <c r="E131" i="12"/>
  <c r="F131" i="12"/>
  <c r="G131" i="12"/>
  <c r="E132" i="12"/>
  <c r="F132" i="12"/>
  <c r="G132" i="12"/>
  <c r="E133" i="12"/>
  <c r="F133" i="12"/>
  <c r="G133" i="12"/>
  <c r="E134" i="12"/>
  <c r="F134" i="12"/>
  <c r="G134" i="12"/>
  <c r="E135" i="12"/>
  <c r="F135" i="12"/>
  <c r="G135" i="12"/>
  <c r="E136" i="12"/>
  <c r="F136" i="12"/>
  <c r="G136" i="12"/>
  <c r="E137" i="12"/>
  <c r="F137" i="12"/>
  <c r="G137" i="12"/>
  <c r="E138" i="12"/>
  <c r="F138" i="12"/>
  <c r="G138" i="12"/>
  <c r="E139" i="12"/>
  <c r="F139" i="12"/>
  <c r="G139" i="12"/>
  <c r="E140" i="12"/>
  <c r="F140" i="12"/>
  <c r="G140" i="12"/>
  <c r="E141" i="12"/>
  <c r="F141" i="12"/>
  <c r="G141" i="12"/>
  <c r="E142" i="12"/>
  <c r="F142" i="12"/>
  <c r="G142" i="12"/>
  <c r="E143" i="12"/>
  <c r="F143" i="12"/>
  <c r="G143" i="12"/>
  <c r="E144" i="12"/>
  <c r="F144" i="12"/>
  <c r="G144" i="12"/>
  <c r="E145" i="12"/>
  <c r="F145" i="12"/>
  <c r="G145" i="12"/>
  <c r="E146" i="12"/>
  <c r="F146" i="12"/>
  <c r="G146" i="12"/>
  <c r="E147" i="12"/>
  <c r="F147" i="12"/>
  <c r="G147" i="12"/>
  <c r="E148" i="12"/>
  <c r="F148" i="12"/>
  <c r="G148" i="12"/>
  <c r="E149" i="12"/>
  <c r="F149" i="12"/>
  <c r="G149" i="12"/>
  <c r="E150" i="12"/>
  <c r="F150" i="12"/>
  <c r="G150" i="12"/>
  <c r="E151" i="12"/>
  <c r="F151" i="12"/>
  <c r="G151" i="12"/>
  <c r="E152" i="12"/>
  <c r="F152" i="12"/>
  <c r="G152" i="12"/>
  <c r="E153" i="12"/>
  <c r="F153" i="12"/>
  <c r="G153" i="12"/>
  <c r="E154" i="12"/>
  <c r="F154" i="12"/>
  <c r="G154" i="12"/>
  <c r="E155" i="12"/>
  <c r="F155" i="12"/>
  <c r="G155" i="12"/>
  <c r="E156" i="12"/>
  <c r="F156" i="12"/>
  <c r="G156" i="12"/>
  <c r="E157" i="12"/>
  <c r="F157" i="12"/>
  <c r="G157" i="12"/>
  <c r="E158" i="12"/>
  <c r="F158" i="12"/>
  <c r="G158" i="12"/>
  <c r="E159" i="12"/>
  <c r="F159" i="12"/>
  <c r="G159" i="12"/>
  <c r="E160" i="12"/>
  <c r="F160" i="12"/>
  <c r="G160" i="12"/>
  <c r="E161" i="12"/>
  <c r="F161" i="12"/>
  <c r="G161" i="12"/>
  <c r="E162" i="12"/>
  <c r="F162" i="12"/>
  <c r="G162" i="12"/>
  <c r="E163" i="12"/>
  <c r="F163" i="12"/>
  <c r="G163" i="12"/>
  <c r="E164" i="12"/>
  <c r="F164" i="12"/>
  <c r="G164" i="12"/>
  <c r="E165" i="12"/>
  <c r="F165" i="12"/>
  <c r="G165" i="12"/>
  <c r="E166" i="12"/>
  <c r="F166" i="12"/>
  <c r="G166" i="12"/>
  <c r="E167" i="12"/>
  <c r="F167" i="12"/>
  <c r="G167" i="12"/>
  <c r="E168" i="12"/>
  <c r="F168" i="12"/>
  <c r="G168" i="12"/>
  <c r="E169" i="12"/>
  <c r="F169" i="12"/>
  <c r="G169" i="12"/>
  <c r="E170" i="12"/>
  <c r="F170" i="12"/>
  <c r="G170" i="12"/>
  <c r="E171" i="12"/>
  <c r="F171" i="12"/>
  <c r="G171" i="12"/>
  <c r="E172" i="12"/>
  <c r="F172" i="12"/>
  <c r="G172" i="12"/>
  <c r="E173" i="12"/>
  <c r="F173" i="12"/>
  <c r="G173" i="12"/>
  <c r="E174" i="12"/>
  <c r="F174" i="12"/>
  <c r="G174" i="12"/>
  <c r="E175" i="12"/>
  <c r="F175" i="12"/>
  <c r="G175" i="12"/>
  <c r="E176" i="12"/>
  <c r="F176" i="12"/>
  <c r="G176" i="12"/>
  <c r="E177" i="12"/>
  <c r="F177" i="12"/>
  <c r="G177" i="12"/>
  <c r="E178" i="12"/>
  <c r="F178" i="12"/>
  <c r="G178" i="12"/>
  <c r="E179" i="12"/>
  <c r="F179" i="12"/>
  <c r="G179" i="12"/>
  <c r="E180" i="12"/>
  <c r="F180" i="12"/>
  <c r="G180" i="12"/>
  <c r="E181" i="12"/>
  <c r="F181" i="12"/>
  <c r="G181" i="12"/>
  <c r="E182" i="12"/>
  <c r="F182" i="12"/>
  <c r="G182" i="12"/>
  <c r="E183" i="12"/>
  <c r="F183" i="12"/>
  <c r="G183" i="12"/>
  <c r="E184" i="12"/>
  <c r="F184" i="12"/>
  <c r="G184" i="12"/>
  <c r="E185" i="12"/>
  <c r="F185" i="12"/>
  <c r="G185" i="12"/>
  <c r="E186" i="12"/>
  <c r="F186" i="12"/>
  <c r="G186" i="12"/>
  <c r="E187" i="12"/>
  <c r="F187" i="12"/>
  <c r="G187" i="12"/>
  <c r="E188" i="12"/>
  <c r="F188" i="12"/>
  <c r="G188" i="12"/>
  <c r="E189" i="12"/>
  <c r="F189" i="12"/>
  <c r="G189" i="12"/>
  <c r="E190" i="12"/>
  <c r="F190" i="12"/>
  <c r="G190" i="12"/>
  <c r="E191" i="12"/>
  <c r="F191" i="12"/>
  <c r="G191" i="12"/>
  <c r="E192" i="12"/>
  <c r="F192" i="12"/>
  <c r="G192" i="12"/>
  <c r="E193" i="12"/>
  <c r="F193" i="12"/>
  <c r="G193" i="12"/>
  <c r="E194" i="12"/>
  <c r="F194" i="12"/>
  <c r="G194" i="12"/>
  <c r="E195" i="12"/>
  <c r="F195" i="12"/>
  <c r="G195" i="12"/>
  <c r="E196" i="12"/>
  <c r="F196" i="12"/>
  <c r="G196" i="12"/>
  <c r="E197" i="12"/>
  <c r="F197" i="12"/>
  <c r="G197" i="12"/>
  <c r="E198" i="12"/>
  <c r="F198" i="12"/>
  <c r="G198" i="12"/>
  <c r="E199" i="12"/>
  <c r="F199" i="12"/>
  <c r="G199" i="12"/>
  <c r="E200" i="12"/>
  <c r="F200" i="12"/>
  <c r="G200" i="12"/>
  <c r="E201" i="12"/>
  <c r="F201" i="12"/>
  <c r="G201" i="12"/>
  <c r="E202" i="12"/>
  <c r="F202" i="12"/>
  <c r="G202" i="12"/>
  <c r="E203" i="12"/>
  <c r="F203" i="12"/>
  <c r="G203" i="12"/>
  <c r="E204" i="12"/>
  <c r="F204" i="12"/>
  <c r="G204" i="12"/>
  <c r="E205" i="12"/>
  <c r="F205" i="12"/>
  <c r="G205" i="12"/>
  <c r="E206" i="12"/>
  <c r="F206" i="12"/>
  <c r="G206" i="12"/>
  <c r="E207" i="12"/>
  <c r="F207" i="12"/>
  <c r="G207" i="12"/>
  <c r="E208" i="12"/>
  <c r="F208" i="12"/>
  <c r="G208" i="12"/>
  <c r="E209" i="12"/>
  <c r="F209" i="12"/>
  <c r="G209" i="12"/>
  <c r="E210" i="12"/>
  <c r="F210" i="12"/>
  <c r="G210" i="12"/>
  <c r="E211" i="12"/>
  <c r="F211" i="12"/>
  <c r="G211" i="12"/>
  <c r="E212" i="12"/>
  <c r="F212" i="12"/>
  <c r="G212" i="12"/>
  <c r="E213" i="12"/>
  <c r="F213" i="12"/>
  <c r="G213" i="12"/>
  <c r="E214" i="12"/>
  <c r="F214" i="12"/>
  <c r="G214" i="12"/>
  <c r="E215" i="12"/>
  <c r="F215" i="12"/>
  <c r="G215" i="12"/>
  <c r="E216" i="12"/>
  <c r="F216" i="12"/>
  <c r="G216" i="12"/>
  <c r="E217" i="12"/>
  <c r="F217" i="12"/>
  <c r="G217" i="12"/>
  <c r="E218" i="12"/>
  <c r="F218" i="12"/>
  <c r="G218" i="12"/>
  <c r="E219" i="12"/>
  <c r="F219" i="12"/>
  <c r="G219" i="12"/>
  <c r="E220" i="12"/>
  <c r="F220" i="12"/>
  <c r="G220" i="12"/>
  <c r="E221" i="12"/>
  <c r="F221" i="12"/>
  <c r="G221" i="12"/>
  <c r="E222" i="12"/>
  <c r="F222" i="12"/>
  <c r="G222" i="12"/>
  <c r="E223" i="12"/>
  <c r="F223" i="12"/>
  <c r="G223" i="12"/>
  <c r="E224" i="12"/>
  <c r="F224" i="12"/>
  <c r="G224" i="12"/>
  <c r="E225" i="12"/>
  <c r="F225" i="12"/>
  <c r="G225" i="12"/>
  <c r="E226" i="12"/>
  <c r="F226" i="12"/>
  <c r="G226" i="12"/>
  <c r="E227" i="12"/>
  <c r="F227" i="12"/>
  <c r="G227" i="12"/>
  <c r="E228" i="12"/>
  <c r="F228" i="12"/>
  <c r="G228" i="12"/>
  <c r="E229" i="12"/>
  <c r="F229" i="12"/>
  <c r="G229" i="12"/>
  <c r="E230" i="12"/>
  <c r="F230" i="12"/>
  <c r="G230" i="12"/>
  <c r="E231" i="12"/>
  <c r="F231" i="12"/>
  <c r="G231" i="12"/>
  <c r="E232" i="12"/>
  <c r="F232" i="12"/>
  <c r="G232" i="12"/>
  <c r="E233" i="12"/>
  <c r="F233" i="12"/>
  <c r="G233" i="12"/>
  <c r="E234" i="12"/>
  <c r="F234" i="12"/>
  <c r="G234" i="12"/>
  <c r="E235" i="12"/>
  <c r="F235" i="12"/>
  <c r="G235" i="12"/>
  <c r="E236" i="12"/>
  <c r="F236" i="12"/>
  <c r="G236" i="12"/>
  <c r="E237" i="12"/>
  <c r="F237" i="12"/>
  <c r="G237" i="12"/>
  <c r="E238" i="12"/>
  <c r="F238" i="12"/>
  <c r="G238" i="12"/>
  <c r="E239" i="12"/>
  <c r="F239" i="12"/>
  <c r="G239" i="12"/>
  <c r="E240" i="12"/>
  <c r="F240" i="12"/>
  <c r="G240" i="12"/>
  <c r="E241" i="12"/>
  <c r="F241" i="12"/>
  <c r="G241" i="12"/>
  <c r="E242" i="12"/>
  <c r="F242" i="12"/>
  <c r="G242" i="12"/>
  <c r="E243" i="12"/>
  <c r="F243" i="12"/>
  <c r="G243" i="12"/>
  <c r="E244" i="12"/>
  <c r="F244" i="12"/>
  <c r="G244" i="12"/>
  <c r="E245" i="12"/>
  <c r="F245" i="12"/>
  <c r="G245" i="12"/>
  <c r="E246" i="12"/>
  <c r="F246" i="12"/>
  <c r="G246" i="12"/>
  <c r="E247" i="12"/>
  <c r="F247" i="12"/>
  <c r="G247" i="12"/>
  <c r="E248" i="12"/>
  <c r="F248" i="12"/>
  <c r="G248" i="12"/>
  <c r="E249" i="12"/>
  <c r="F249" i="12"/>
  <c r="G249" i="12"/>
  <c r="E250" i="12"/>
  <c r="F250" i="12"/>
  <c r="G250" i="12"/>
  <c r="E251" i="12"/>
  <c r="F251" i="12"/>
  <c r="G251" i="12"/>
  <c r="E252" i="12"/>
  <c r="F252" i="12"/>
  <c r="G252" i="12"/>
  <c r="E253" i="12"/>
  <c r="F253" i="12"/>
  <c r="G253" i="12"/>
  <c r="E254" i="12"/>
  <c r="F254" i="12"/>
  <c r="G254" i="12"/>
  <c r="E255" i="12"/>
  <c r="F255" i="12"/>
  <c r="G255" i="12"/>
  <c r="E256" i="12"/>
  <c r="F256" i="12"/>
  <c r="G256" i="12"/>
  <c r="E257" i="12"/>
  <c r="F257" i="12"/>
  <c r="G257" i="12"/>
  <c r="E258" i="12"/>
  <c r="F258" i="12"/>
  <c r="G258" i="12"/>
  <c r="E259" i="12"/>
  <c r="F259" i="12"/>
  <c r="G259" i="12"/>
  <c r="E260" i="12"/>
  <c r="F260" i="12"/>
  <c r="G260" i="12"/>
  <c r="E261" i="12"/>
  <c r="F261" i="12"/>
  <c r="G261" i="12"/>
  <c r="E262" i="12"/>
  <c r="F262" i="12"/>
  <c r="G262" i="12"/>
  <c r="E263" i="12"/>
  <c r="F263" i="12"/>
  <c r="G263" i="12"/>
  <c r="E264" i="12"/>
  <c r="F264" i="12"/>
  <c r="G264" i="12"/>
  <c r="E265" i="12"/>
  <c r="F265" i="12"/>
  <c r="G265" i="12"/>
  <c r="E266" i="12"/>
  <c r="F266" i="12"/>
  <c r="G266" i="12"/>
  <c r="E267" i="12"/>
  <c r="F267" i="12"/>
  <c r="G267" i="12"/>
  <c r="E268" i="12"/>
  <c r="F268" i="12"/>
  <c r="G268" i="12"/>
  <c r="E269" i="12"/>
  <c r="F269" i="12"/>
  <c r="G269" i="12"/>
  <c r="E270" i="12"/>
  <c r="F270" i="12"/>
  <c r="G270" i="12"/>
  <c r="E271" i="12"/>
  <c r="F271" i="12"/>
  <c r="G271" i="12"/>
  <c r="E272" i="12"/>
  <c r="F272" i="12"/>
  <c r="G272" i="12"/>
  <c r="E273" i="12"/>
  <c r="F273" i="12"/>
  <c r="G273" i="12"/>
  <c r="E274" i="12"/>
  <c r="F274" i="12"/>
  <c r="G274" i="12"/>
  <c r="E275" i="12"/>
  <c r="F275" i="12"/>
  <c r="G275" i="12"/>
  <c r="E276" i="12"/>
  <c r="F276" i="12"/>
  <c r="G276" i="12"/>
  <c r="E277" i="12"/>
  <c r="F277" i="12"/>
  <c r="G277" i="12"/>
  <c r="E278" i="12"/>
  <c r="F278" i="12"/>
  <c r="G278" i="12"/>
  <c r="E279" i="12"/>
  <c r="F279" i="12"/>
  <c r="G279" i="12"/>
  <c r="E280" i="12"/>
  <c r="F280" i="12"/>
  <c r="G280" i="12"/>
  <c r="E281" i="12"/>
  <c r="F281" i="12"/>
  <c r="G281" i="12"/>
  <c r="E282" i="12"/>
  <c r="F282" i="12"/>
  <c r="G282" i="12"/>
  <c r="E283" i="12"/>
  <c r="F283" i="12"/>
  <c r="G283" i="12"/>
  <c r="E284" i="12"/>
  <c r="F284" i="12"/>
  <c r="G284" i="12"/>
  <c r="E285" i="12"/>
  <c r="F285" i="12"/>
  <c r="G285" i="12"/>
  <c r="E286" i="12"/>
  <c r="F286" i="12"/>
  <c r="G286" i="12"/>
  <c r="E287" i="12"/>
  <c r="F287" i="12"/>
  <c r="G287" i="12"/>
  <c r="E288" i="12"/>
  <c r="F288" i="12"/>
  <c r="G288" i="12"/>
  <c r="E289" i="12"/>
  <c r="F289" i="12"/>
  <c r="G289" i="12"/>
  <c r="E290" i="12"/>
  <c r="F290" i="12"/>
  <c r="G290" i="12"/>
  <c r="E291" i="12"/>
  <c r="F291" i="12"/>
  <c r="G291" i="12"/>
  <c r="E292" i="12"/>
  <c r="F292" i="12"/>
  <c r="G292" i="12"/>
  <c r="E293" i="12"/>
  <c r="F293" i="12"/>
  <c r="G293" i="12"/>
  <c r="E294" i="12"/>
  <c r="F294" i="12"/>
  <c r="G294" i="12"/>
  <c r="E295" i="12"/>
  <c r="F295" i="12"/>
  <c r="G295" i="12"/>
  <c r="E296" i="12"/>
  <c r="F296" i="12"/>
  <c r="G296" i="12"/>
  <c r="E297" i="12"/>
  <c r="F297" i="12"/>
  <c r="G297" i="12"/>
  <c r="E298" i="12"/>
  <c r="F298" i="12"/>
  <c r="G298" i="12"/>
  <c r="E299" i="12"/>
  <c r="F299" i="12"/>
  <c r="G299" i="12"/>
  <c r="E300" i="12"/>
  <c r="F300" i="12"/>
  <c r="G300" i="12"/>
  <c r="E301" i="12"/>
  <c r="F301" i="12"/>
  <c r="G301" i="12"/>
  <c r="E302" i="12"/>
  <c r="F302" i="12"/>
  <c r="G302" i="12"/>
  <c r="E303" i="12"/>
  <c r="F303" i="12"/>
  <c r="G303" i="12"/>
  <c r="E304" i="12"/>
  <c r="F304" i="12"/>
  <c r="G304" i="12"/>
  <c r="E305" i="12"/>
  <c r="F305" i="12"/>
  <c r="G305" i="12"/>
  <c r="E306" i="12"/>
  <c r="F306" i="12"/>
  <c r="G306" i="12"/>
  <c r="E307" i="12"/>
  <c r="F307" i="12"/>
  <c r="G307" i="12"/>
  <c r="E308" i="12"/>
  <c r="F308" i="12"/>
  <c r="G308" i="12"/>
  <c r="E309" i="12"/>
  <c r="F309" i="12"/>
  <c r="G309" i="12"/>
  <c r="E310" i="12"/>
  <c r="F310" i="12"/>
  <c r="G310" i="12"/>
  <c r="E311" i="12"/>
  <c r="F311" i="12"/>
  <c r="G311" i="12"/>
  <c r="E312" i="12"/>
  <c r="F312" i="12"/>
  <c r="G312" i="12"/>
  <c r="E313" i="12"/>
  <c r="F313" i="12"/>
  <c r="G313" i="12"/>
  <c r="E314" i="12"/>
  <c r="F314" i="12"/>
  <c r="G314" i="12"/>
  <c r="E315" i="12"/>
  <c r="F315" i="12"/>
  <c r="G315" i="12"/>
  <c r="E316" i="12"/>
  <c r="F316" i="12"/>
  <c r="G316" i="12"/>
  <c r="E317" i="12"/>
  <c r="F317" i="12"/>
  <c r="G317" i="12"/>
  <c r="E318" i="12"/>
  <c r="F318" i="12"/>
  <c r="G318" i="12"/>
  <c r="E319" i="12"/>
  <c r="F319" i="12"/>
  <c r="G319" i="12"/>
  <c r="E320" i="12"/>
  <c r="F320" i="12"/>
  <c r="G320" i="12"/>
  <c r="E321" i="12"/>
  <c r="F321" i="12"/>
  <c r="G321" i="12"/>
  <c r="E322" i="12"/>
  <c r="F322" i="12"/>
  <c r="G322" i="12"/>
  <c r="E323" i="12"/>
  <c r="F323" i="12"/>
  <c r="G323" i="12"/>
  <c r="E324" i="12"/>
  <c r="F324" i="12"/>
  <c r="G324" i="12"/>
  <c r="E325" i="12"/>
  <c r="F325" i="12"/>
  <c r="G325" i="12"/>
  <c r="E326" i="12"/>
  <c r="F326" i="12"/>
  <c r="G326" i="12"/>
  <c r="E327" i="12"/>
  <c r="F327" i="12"/>
  <c r="G327" i="12"/>
  <c r="E328" i="12"/>
  <c r="F328" i="12"/>
  <c r="G328" i="12"/>
  <c r="E329" i="12"/>
  <c r="F329" i="12"/>
  <c r="G329" i="12"/>
  <c r="E330" i="12"/>
  <c r="F330" i="12"/>
  <c r="G330" i="12"/>
  <c r="E331" i="12"/>
  <c r="F331" i="12"/>
  <c r="G331" i="12"/>
  <c r="E332" i="12"/>
  <c r="F332" i="12"/>
  <c r="G332" i="12"/>
  <c r="E333" i="12"/>
  <c r="F333" i="12"/>
  <c r="G333" i="12"/>
  <c r="E334" i="12"/>
  <c r="F334" i="12"/>
  <c r="G334" i="12"/>
  <c r="E335" i="12"/>
  <c r="F335" i="12"/>
  <c r="G335" i="12"/>
  <c r="E336" i="12"/>
  <c r="F336" i="12"/>
  <c r="G336" i="12"/>
  <c r="E337" i="12"/>
  <c r="F337" i="12"/>
  <c r="G337" i="12"/>
  <c r="E338" i="12"/>
  <c r="F338" i="12"/>
  <c r="G338" i="12"/>
  <c r="E339" i="12"/>
  <c r="F339" i="12"/>
  <c r="G339" i="12"/>
  <c r="E340" i="12"/>
  <c r="F340" i="12"/>
  <c r="G340" i="12"/>
  <c r="E341" i="12"/>
  <c r="F341" i="12"/>
  <c r="G341" i="12"/>
  <c r="E342" i="12"/>
  <c r="F342" i="12"/>
  <c r="G342" i="12"/>
  <c r="E343" i="12"/>
  <c r="F343" i="12"/>
  <c r="G343" i="12"/>
  <c r="E344" i="12"/>
  <c r="F344" i="12"/>
  <c r="G344" i="12"/>
  <c r="E345" i="12"/>
  <c r="F345" i="12"/>
  <c r="G345" i="12"/>
  <c r="E346" i="12"/>
  <c r="F346" i="12"/>
  <c r="G346" i="12"/>
  <c r="E347" i="12"/>
  <c r="F347" i="12"/>
  <c r="G347" i="12"/>
  <c r="E348" i="12"/>
  <c r="F348" i="12"/>
  <c r="G348" i="12"/>
  <c r="E349" i="12"/>
  <c r="F349" i="12"/>
  <c r="G349" i="12"/>
  <c r="E350" i="12"/>
  <c r="F350" i="12"/>
  <c r="G350" i="12"/>
  <c r="E351" i="12"/>
  <c r="F351" i="12"/>
  <c r="G351" i="12"/>
  <c r="E352" i="12"/>
  <c r="F352" i="12"/>
  <c r="G352" i="12"/>
  <c r="E353" i="12"/>
  <c r="F353" i="12"/>
  <c r="G353" i="12"/>
  <c r="E354" i="12"/>
  <c r="F354" i="12"/>
  <c r="G354" i="12"/>
  <c r="E355" i="12"/>
  <c r="F355" i="12"/>
  <c r="G355" i="12"/>
  <c r="E356" i="12"/>
  <c r="F356" i="12"/>
  <c r="G356" i="12"/>
  <c r="E357" i="12"/>
  <c r="F357" i="12"/>
  <c r="G357" i="12"/>
  <c r="E358" i="12"/>
  <c r="F358" i="12"/>
  <c r="G358" i="12"/>
  <c r="E359" i="12"/>
  <c r="F359" i="12"/>
  <c r="G359" i="12"/>
  <c r="E360" i="12"/>
  <c r="F360" i="12"/>
  <c r="G360" i="12"/>
  <c r="E361" i="12"/>
  <c r="F361" i="12"/>
  <c r="G361" i="12"/>
  <c r="E362" i="12"/>
  <c r="F362" i="12"/>
  <c r="G362" i="12"/>
  <c r="E363" i="12"/>
  <c r="F363" i="12"/>
  <c r="G363" i="12"/>
  <c r="E364" i="12"/>
  <c r="F364" i="12"/>
  <c r="G364" i="12"/>
  <c r="E365" i="12"/>
  <c r="F365" i="12"/>
  <c r="G365" i="12"/>
  <c r="E366" i="12"/>
  <c r="F366" i="12"/>
  <c r="G366" i="12"/>
  <c r="E367" i="12"/>
  <c r="F367" i="12"/>
  <c r="G367" i="12"/>
  <c r="E368" i="12"/>
  <c r="F368" i="12"/>
  <c r="G368" i="12"/>
  <c r="E369" i="12"/>
  <c r="F369" i="12"/>
  <c r="G369" i="12"/>
  <c r="E370" i="12"/>
  <c r="F370" i="12"/>
  <c r="G370" i="12"/>
  <c r="E371" i="12"/>
  <c r="F371" i="12"/>
  <c r="G371" i="12"/>
  <c r="E372" i="12"/>
  <c r="F372" i="12"/>
  <c r="G372" i="12"/>
  <c r="E373" i="12"/>
  <c r="F373" i="12"/>
  <c r="G373" i="12"/>
  <c r="E374" i="12"/>
  <c r="F374" i="12"/>
  <c r="G374" i="12"/>
  <c r="E375" i="12"/>
  <c r="F375" i="12"/>
  <c r="G375" i="12"/>
  <c r="E376" i="12"/>
  <c r="F376" i="12"/>
  <c r="G376" i="12"/>
  <c r="E377" i="12"/>
  <c r="F377" i="12"/>
  <c r="G377" i="12"/>
  <c r="E378" i="12"/>
  <c r="F378" i="12"/>
  <c r="G378" i="12"/>
  <c r="E379" i="12"/>
  <c r="F379" i="12"/>
  <c r="G379" i="12"/>
  <c r="E380" i="12"/>
  <c r="F380" i="12"/>
  <c r="G380" i="12"/>
  <c r="E381" i="12"/>
  <c r="F381" i="12"/>
  <c r="G381" i="12"/>
  <c r="E382" i="12"/>
  <c r="F382" i="12"/>
  <c r="G382" i="12"/>
  <c r="E383" i="12"/>
  <c r="F383" i="12"/>
  <c r="G383" i="12"/>
  <c r="E384" i="12"/>
  <c r="F384" i="12"/>
  <c r="G384" i="12"/>
  <c r="E385" i="12"/>
  <c r="F385" i="12"/>
  <c r="G385" i="12"/>
  <c r="E386" i="12"/>
  <c r="F386" i="12"/>
  <c r="G386" i="12"/>
  <c r="E387" i="12"/>
  <c r="F387" i="12"/>
  <c r="G387" i="12"/>
  <c r="E388" i="12"/>
  <c r="F388" i="12"/>
  <c r="G388" i="12"/>
  <c r="E389" i="12"/>
  <c r="F389" i="12"/>
  <c r="G389" i="12"/>
  <c r="E390" i="12"/>
  <c r="F390" i="12"/>
  <c r="G390" i="12"/>
  <c r="E391" i="12"/>
  <c r="F391" i="12"/>
  <c r="G391" i="12"/>
  <c r="E392" i="12"/>
  <c r="F392" i="12"/>
  <c r="G392" i="12"/>
  <c r="E393" i="12"/>
  <c r="F393" i="12"/>
  <c r="G393" i="12"/>
  <c r="E394" i="12"/>
  <c r="F394" i="12"/>
  <c r="G394" i="12"/>
  <c r="E395" i="12"/>
  <c r="F395" i="12"/>
  <c r="G395" i="12"/>
  <c r="E396" i="12"/>
  <c r="F396" i="12"/>
  <c r="G396" i="12"/>
  <c r="E397" i="12"/>
  <c r="F397" i="12"/>
  <c r="G397" i="12"/>
  <c r="E398" i="12"/>
  <c r="F398" i="12"/>
  <c r="G398" i="12"/>
  <c r="E399" i="12"/>
  <c r="F399" i="12"/>
  <c r="G399" i="12"/>
  <c r="E400" i="12"/>
  <c r="F400" i="12"/>
  <c r="G400" i="12"/>
  <c r="E401" i="12"/>
  <c r="F401" i="12"/>
  <c r="G401" i="12"/>
  <c r="E402" i="12"/>
  <c r="F402" i="12"/>
  <c r="G402" i="12"/>
  <c r="E403" i="12"/>
  <c r="F403" i="12"/>
  <c r="G403" i="12"/>
  <c r="E404" i="12"/>
  <c r="F404" i="12"/>
  <c r="G404" i="12"/>
  <c r="E405" i="12"/>
  <c r="F405" i="12"/>
  <c r="G405" i="12"/>
  <c r="E406" i="12"/>
  <c r="F406" i="12"/>
  <c r="G406" i="12"/>
  <c r="E407" i="12"/>
  <c r="F407" i="12"/>
  <c r="G407" i="12"/>
  <c r="E408" i="12"/>
  <c r="F408" i="12"/>
  <c r="G408" i="12"/>
  <c r="E409" i="12"/>
  <c r="F409" i="12"/>
  <c r="G409" i="12"/>
  <c r="E410" i="12"/>
  <c r="F410" i="12"/>
  <c r="G410" i="12"/>
  <c r="E411" i="12"/>
  <c r="F411" i="12"/>
  <c r="G411" i="12"/>
  <c r="E412" i="12"/>
  <c r="F412" i="12"/>
  <c r="G412" i="12"/>
  <c r="E413" i="12"/>
  <c r="F413" i="12"/>
  <c r="G413" i="12"/>
  <c r="E414" i="12"/>
  <c r="F414" i="12"/>
  <c r="G414" i="12"/>
  <c r="E415" i="12"/>
  <c r="F415" i="12"/>
  <c r="G415" i="12"/>
  <c r="E416" i="12"/>
  <c r="F416" i="12"/>
  <c r="G416" i="12"/>
  <c r="E417" i="12"/>
  <c r="F417" i="12"/>
  <c r="G417" i="12"/>
  <c r="E418" i="12"/>
  <c r="F418" i="12"/>
  <c r="G418" i="12"/>
  <c r="E419" i="12"/>
  <c r="F419" i="12"/>
  <c r="G419" i="12"/>
  <c r="E420" i="12"/>
  <c r="F420" i="12"/>
  <c r="G420" i="12"/>
  <c r="E421" i="12"/>
  <c r="F421" i="12"/>
  <c r="G421" i="12"/>
  <c r="E422" i="12"/>
  <c r="F422" i="12"/>
  <c r="G422" i="12"/>
  <c r="E423" i="12"/>
  <c r="F423" i="12"/>
  <c r="G423" i="12"/>
  <c r="E424" i="12"/>
  <c r="F424" i="12"/>
  <c r="G424" i="12"/>
  <c r="E425" i="12"/>
  <c r="F425" i="12"/>
  <c r="G425" i="12"/>
  <c r="E426" i="12"/>
  <c r="F426" i="12"/>
  <c r="G426" i="12"/>
  <c r="E427" i="12"/>
  <c r="F427" i="12"/>
  <c r="G427" i="12"/>
  <c r="E428" i="12"/>
  <c r="F428" i="12"/>
  <c r="G428" i="12"/>
  <c r="E429" i="12"/>
  <c r="F429" i="12"/>
  <c r="G429" i="12"/>
  <c r="E430" i="12"/>
  <c r="F430" i="12"/>
  <c r="G430" i="12"/>
  <c r="E431" i="12"/>
  <c r="F431" i="12"/>
  <c r="G431" i="12"/>
  <c r="E432" i="12"/>
  <c r="F432" i="12"/>
  <c r="G432" i="12"/>
  <c r="E433" i="12"/>
  <c r="F433" i="12"/>
  <c r="G433" i="12"/>
  <c r="E434" i="12"/>
  <c r="F434" i="12"/>
  <c r="G434" i="12"/>
  <c r="E435" i="12"/>
  <c r="F435" i="12"/>
  <c r="G435" i="12"/>
  <c r="E436" i="12"/>
  <c r="F436" i="12"/>
  <c r="G436" i="12"/>
  <c r="E437" i="12"/>
  <c r="F437" i="12"/>
  <c r="G437" i="12"/>
  <c r="E438" i="12"/>
  <c r="F438" i="12"/>
  <c r="G438" i="12"/>
  <c r="E439" i="12"/>
  <c r="F439" i="12"/>
  <c r="G439" i="12"/>
  <c r="E440" i="12"/>
  <c r="F440" i="12"/>
  <c r="G440" i="12"/>
  <c r="E441" i="12"/>
  <c r="F441" i="12"/>
  <c r="G441" i="12"/>
  <c r="E442" i="12"/>
  <c r="F442" i="12"/>
  <c r="G442" i="12"/>
  <c r="E443" i="12"/>
  <c r="F443" i="12"/>
  <c r="G443" i="12"/>
  <c r="E444" i="12"/>
  <c r="F444" i="12"/>
  <c r="G444" i="12"/>
  <c r="E445" i="12"/>
  <c r="F445" i="12"/>
  <c r="G445" i="12"/>
  <c r="E446" i="12"/>
  <c r="F446" i="12"/>
  <c r="G446" i="12"/>
  <c r="E447" i="12"/>
  <c r="F447" i="12"/>
  <c r="G447" i="12"/>
  <c r="E448" i="12"/>
  <c r="F448" i="12"/>
  <c r="G448" i="12"/>
  <c r="E449" i="12"/>
  <c r="F449" i="12"/>
  <c r="G449" i="12"/>
  <c r="E450" i="12"/>
  <c r="F450" i="12"/>
  <c r="G450" i="12"/>
  <c r="E451" i="12"/>
  <c r="F451" i="12"/>
  <c r="G451" i="12"/>
  <c r="E452" i="12"/>
  <c r="F452" i="12"/>
  <c r="G452" i="12"/>
  <c r="E453" i="12"/>
  <c r="F453" i="12"/>
  <c r="G453" i="12"/>
  <c r="E454" i="12"/>
  <c r="F454" i="12"/>
  <c r="G454" i="12"/>
  <c r="E455" i="12"/>
  <c r="F455" i="12"/>
  <c r="G455" i="12"/>
  <c r="E456" i="12"/>
  <c r="F456" i="12"/>
  <c r="G456" i="12"/>
  <c r="E457" i="12"/>
  <c r="F457" i="12"/>
  <c r="G457" i="12"/>
  <c r="E458" i="12"/>
  <c r="F458" i="12"/>
  <c r="G458" i="12"/>
  <c r="E459" i="12"/>
  <c r="F459" i="12"/>
  <c r="G459" i="12"/>
  <c r="E460" i="12"/>
  <c r="F460" i="12"/>
  <c r="G460" i="12"/>
  <c r="E461" i="12"/>
  <c r="F461" i="12"/>
  <c r="G461" i="12"/>
  <c r="E462" i="12"/>
  <c r="F462" i="12"/>
  <c r="G462" i="12"/>
  <c r="E463" i="12"/>
  <c r="F463" i="12"/>
  <c r="G463" i="12"/>
  <c r="E464" i="12"/>
  <c r="F464" i="12"/>
  <c r="G464" i="12"/>
  <c r="E465" i="12"/>
  <c r="F465" i="12"/>
  <c r="G465" i="12"/>
  <c r="E466" i="12"/>
  <c r="F466" i="12"/>
  <c r="G466" i="12"/>
  <c r="E467" i="12"/>
  <c r="F467" i="12"/>
  <c r="G467" i="12"/>
  <c r="E468" i="12"/>
  <c r="F468" i="12"/>
  <c r="G468" i="12"/>
  <c r="E469" i="12"/>
  <c r="F469" i="12"/>
  <c r="G469" i="12"/>
  <c r="E470" i="12"/>
  <c r="F470" i="12"/>
  <c r="G470" i="12"/>
  <c r="E471" i="12"/>
  <c r="F471" i="12"/>
  <c r="G471" i="12"/>
  <c r="E472" i="12"/>
  <c r="F472" i="12"/>
  <c r="G472" i="12"/>
  <c r="E473" i="12"/>
  <c r="F473" i="12"/>
  <c r="G473" i="12"/>
  <c r="E474" i="12"/>
  <c r="F474" i="12"/>
  <c r="G474" i="12"/>
  <c r="E475" i="12"/>
  <c r="F475" i="12"/>
  <c r="G475" i="12"/>
  <c r="E476" i="12"/>
  <c r="F476" i="12"/>
  <c r="G476" i="12"/>
  <c r="E477" i="12"/>
  <c r="F477" i="12"/>
  <c r="G477" i="12"/>
  <c r="E478" i="12"/>
  <c r="F478" i="12"/>
  <c r="G478" i="12"/>
  <c r="E479" i="12"/>
  <c r="F479" i="12"/>
  <c r="G479" i="12"/>
  <c r="E480" i="12"/>
  <c r="F480" i="12"/>
  <c r="G480" i="12"/>
  <c r="E481" i="12"/>
  <c r="F481" i="12"/>
  <c r="G481" i="12"/>
  <c r="E482" i="12"/>
  <c r="F482" i="12"/>
  <c r="G482" i="12"/>
  <c r="E483" i="12"/>
  <c r="F483" i="12"/>
  <c r="G483" i="12"/>
  <c r="E484" i="12"/>
  <c r="F484" i="12"/>
  <c r="G484" i="12"/>
  <c r="E485" i="12"/>
  <c r="F485" i="12"/>
  <c r="G485" i="12"/>
  <c r="E486" i="12"/>
  <c r="F486" i="12"/>
  <c r="G486" i="12"/>
  <c r="E487" i="12"/>
  <c r="F487" i="12"/>
  <c r="G487" i="12"/>
  <c r="E488" i="12"/>
  <c r="F488" i="12"/>
  <c r="G488" i="12"/>
  <c r="E489" i="12"/>
  <c r="F489" i="12"/>
  <c r="G489" i="12"/>
  <c r="E490" i="12"/>
  <c r="F490" i="12"/>
  <c r="G490" i="12"/>
  <c r="E491" i="12"/>
  <c r="F491" i="12"/>
  <c r="G491" i="12"/>
  <c r="E492" i="12"/>
  <c r="F492" i="12"/>
  <c r="G492" i="12"/>
  <c r="E493" i="12"/>
  <c r="F493" i="12"/>
  <c r="G493" i="12"/>
  <c r="E494" i="12"/>
  <c r="F494" i="12"/>
  <c r="G494" i="12"/>
  <c r="E495" i="12"/>
  <c r="F495" i="12"/>
  <c r="G495" i="12"/>
  <c r="E496" i="12"/>
  <c r="F496" i="12"/>
  <c r="G496" i="12"/>
  <c r="E497" i="12"/>
  <c r="F497" i="12"/>
  <c r="G497" i="12"/>
  <c r="E498" i="12"/>
  <c r="F498" i="12"/>
  <c r="G498" i="12"/>
  <c r="E499" i="12"/>
  <c r="F499" i="12"/>
  <c r="G499" i="12"/>
  <c r="E500" i="12"/>
  <c r="F500" i="12"/>
  <c r="G500" i="12"/>
  <c r="E501" i="12"/>
  <c r="F501" i="12"/>
  <c r="G501" i="12"/>
  <c r="E502" i="12"/>
  <c r="F502" i="12"/>
  <c r="G502" i="12"/>
  <c r="E503" i="12"/>
  <c r="F503" i="12"/>
  <c r="G503" i="12"/>
  <c r="E504" i="12"/>
  <c r="F504" i="12"/>
  <c r="G504" i="12"/>
  <c r="E505" i="12"/>
  <c r="F505" i="12"/>
  <c r="G505" i="12"/>
  <c r="E506" i="12"/>
  <c r="F506" i="12"/>
  <c r="G506" i="12"/>
  <c r="E507" i="12"/>
  <c r="F507" i="12"/>
  <c r="G507" i="12"/>
  <c r="E508" i="12"/>
  <c r="F508" i="12"/>
  <c r="G508" i="12"/>
  <c r="E509" i="12"/>
  <c r="F509" i="12"/>
  <c r="G509" i="12"/>
  <c r="E510" i="12"/>
  <c r="F510" i="12"/>
  <c r="G510" i="12"/>
  <c r="E511" i="12"/>
  <c r="F511" i="12"/>
  <c r="G511" i="12"/>
  <c r="E512" i="12"/>
  <c r="F512" i="12"/>
  <c r="G512" i="12"/>
  <c r="E513" i="12"/>
  <c r="F513" i="12"/>
  <c r="G513" i="12"/>
  <c r="E514" i="12"/>
  <c r="F514" i="12"/>
  <c r="G514" i="12"/>
  <c r="E515" i="12"/>
  <c r="F515" i="12"/>
  <c r="G515" i="12"/>
  <c r="E516" i="12"/>
  <c r="F516" i="12"/>
  <c r="G516" i="12"/>
  <c r="E517" i="12"/>
  <c r="F517" i="12"/>
  <c r="G517" i="12"/>
  <c r="E518" i="12"/>
  <c r="F518" i="12"/>
  <c r="G518" i="12"/>
  <c r="E519" i="12"/>
  <c r="F519" i="12"/>
  <c r="G519" i="12"/>
  <c r="E520" i="12"/>
  <c r="F520" i="12"/>
  <c r="G520" i="12"/>
  <c r="E521" i="12"/>
  <c r="F521" i="12"/>
  <c r="G521" i="12"/>
  <c r="E522" i="12"/>
  <c r="F522" i="12"/>
  <c r="G522" i="12"/>
  <c r="E523" i="12"/>
  <c r="F523" i="12"/>
  <c r="G523" i="12"/>
  <c r="E524" i="12"/>
  <c r="F524" i="12"/>
  <c r="G524" i="12"/>
  <c r="E525" i="12"/>
  <c r="F525" i="12"/>
  <c r="G525" i="12"/>
  <c r="E526" i="12"/>
  <c r="F526" i="12"/>
  <c r="G526" i="12"/>
  <c r="E527" i="12"/>
  <c r="F527" i="12"/>
  <c r="G527" i="12"/>
  <c r="E528" i="12"/>
  <c r="F528" i="12"/>
  <c r="G528" i="12"/>
  <c r="E529" i="12"/>
  <c r="F529" i="12"/>
  <c r="G529" i="12"/>
  <c r="E530" i="12"/>
  <c r="F530" i="12"/>
  <c r="G530" i="12"/>
  <c r="E531" i="12"/>
  <c r="F531" i="12"/>
  <c r="G531" i="12"/>
  <c r="E532" i="12"/>
  <c r="F532" i="12"/>
  <c r="G532" i="12"/>
  <c r="E533" i="12"/>
  <c r="F533" i="12"/>
  <c r="G533" i="12"/>
  <c r="E534" i="12"/>
  <c r="F534" i="12"/>
  <c r="G534" i="12"/>
  <c r="E535" i="12"/>
  <c r="F535" i="12"/>
  <c r="G535" i="12"/>
  <c r="E536" i="12"/>
  <c r="F536" i="12"/>
  <c r="G536" i="12"/>
  <c r="E537" i="12"/>
  <c r="F537" i="12"/>
  <c r="G537" i="12"/>
  <c r="E538" i="12"/>
  <c r="F538" i="12"/>
  <c r="G538" i="12"/>
  <c r="E539" i="12"/>
  <c r="F539" i="12"/>
  <c r="G539" i="12"/>
  <c r="E540" i="12"/>
  <c r="F540" i="12"/>
  <c r="G540" i="12"/>
  <c r="E541" i="12"/>
  <c r="F541" i="12"/>
  <c r="G541" i="12"/>
  <c r="E542" i="12"/>
  <c r="F542" i="12"/>
  <c r="G542" i="12"/>
  <c r="E543" i="12"/>
  <c r="F543" i="12"/>
  <c r="G543" i="12"/>
  <c r="E544" i="12"/>
  <c r="F544" i="12"/>
  <c r="G544" i="12"/>
  <c r="E545" i="12"/>
  <c r="F545" i="12"/>
  <c r="G545" i="12"/>
  <c r="E546" i="12"/>
  <c r="F546" i="12"/>
  <c r="G546" i="12"/>
  <c r="E547" i="12"/>
  <c r="F547" i="12"/>
  <c r="G547" i="12"/>
  <c r="E548" i="12"/>
  <c r="F548" i="12"/>
  <c r="G548" i="12"/>
  <c r="E549" i="12"/>
  <c r="F549" i="12"/>
  <c r="G549" i="12"/>
  <c r="E550" i="12"/>
  <c r="F550" i="12"/>
  <c r="G550" i="12"/>
  <c r="E551" i="12"/>
  <c r="F551" i="12"/>
  <c r="G551" i="12"/>
  <c r="E552" i="12"/>
  <c r="F552" i="12"/>
  <c r="G552" i="12"/>
  <c r="E553" i="12"/>
  <c r="F553" i="12"/>
  <c r="G553" i="12"/>
  <c r="E554" i="12"/>
  <c r="F554" i="12"/>
  <c r="G554" i="12"/>
  <c r="E555" i="12"/>
  <c r="F555" i="12"/>
  <c r="G555" i="12"/>
  <c r="E556" i="12"/>
  <c r="F556" i="12"/>
  <c r="G556" i="12"/>
  <c r="E557" i="12"/>
  <c r="F557" i="12"/>
  <c r="G557" i="12"/>
  <c r="E558" i="12"/>
  <c r="F558" i="12"/>
  <c r="G558" i="12"/>
  <c r="E559" i="12"/>
  <c r="F559" i="12"/>
  <c r="G559" i="12"/>
  <c r="E560" i="12"/>
  <c r="F560" i="12"/>
  <c r="G560" i="12"/>
  <c r="E561" i="12"/>
  <c r="F561" i="12"/>
  <c r="G561" i="12"/>
  <c r="E562" i="12"/>
  <c r="F562" i="12"/>
  <c r="G562" i="12"/>
  <c r="E563" i="12"/>
  <c r="F563" i="12"/>
  <c r="G563" i="12"/>
  <c r="E564" i="12"/>
  <c r="F564" i="12"/>
  <c r="G564" i="12"/>
  <c r="E565" i="12"/>
  <c r="F565" i="12"/>
  <c r="G565" i="12"/>
  <c r="E566" i="12"/>
  <c r="F566" i="12"/>
  <c r="G566" i="12"/>
  <c r="E567" i="12"/>
  <c r="F567" i="12"/>
  <c r="G567" i="12"/>
  <c r="E568" i="12"/>
  <c r="F568" i="12"/>
  <c r="G568" i="12"/>
  <c r="E569" i="12"/>
  <c r="F569" i="12"/>
  <c r="G569" i="12"/>
  <c r="E570" i="12"/>
  <c r="F570" i="12"/>
  <c r="G570" i="12"/>
  <c r="E571" i="12"/>
  <c r="F571" i="12"/>
  <c r="G571" i="12"/>
  <c r="E572" i="12"/>
  <c r="F572" i="12"/>
  <c r="G572" i="12"/>
  <c r="E573" i="12"/>
  <c r="F573" i="12"/>
  <c r="G573" i="12"/>
  <c r="E574" i="12"/>
  <c r="F574" i="12"/>
  <c r="G574" i="12"/>
  <c r="E575" i="12"/>
  <c r="F575" i="12"/>
  <c r="G575" i="12"/>
  <c r="E576" i="12"/>
  <c r="F576" i="12"/>
  <c r="G576" i="12"/>
  <c r="E577" i="12"/>
  <c r="F577" i="12"/>
  <c r="G577" i="12"/>
  <c r="E578" i="12"/>
  <c r="F578" i="12"/>
  <c r="G578" i="12"/>
  <c r="E579" i="12"/>
  <c r="F579" i="12"/>
  <c r="G579" i="12"/>
  <c r="E580" i="12"/>
  <c r="F580" i="12"/>
  <c r="G580" i="12"/>
  <c r="E581" i="12"/>
  <c r="F581" i="12"/>
  <c r="G581" i="12"/>
  <c r="E582" i="12"/>
  <c r="F582" i="12"/>
  <c r="G582" i="12"/>
  <c r="E583" i="12"/>
  <c r="F583" i="12"/>
  <c r="G583" i="12"/>
  <c r="E584" i="12"/>
  <c r="F584" i="12"/>
  <c r="G584" i="12"/>
  <c r="E585" i="12"/>
  <c r="F585" i="12"/>
  <c r="G585" i="12"/>
  <c r="E586" i="12"/>
  <c r="F586" i="12"/>
  <c r="G586" i="12"/>
  <c r="E587" i="12"/>
  <c r="F587" i="12"/>
  <c r="G587" i="12"/>
  <c r="E588" i="12"/>
  <c r="F588" i="12"/>
  <c r="G588" i="12"/>
  <c r="E589" i="12"/>
  <c r="F589" i="12"/>
  <c r="G589" i="12"/>
  <c r="E590" i="12"/>
  <c r="F590" i="12"/>
  <c r="G590" i="12"/>
  <c r="E591" i="12"/>
  <c r="F591" i="12"/>
  <c r="G591" i="12"/>
  <c r="E592" i="12"/>
  <c r="F592" i="12"/>
  <c r="G592" i="12"/>
  <c r="E593" i="12"/>
  <c r="F593" i="12"/>
  <c r="G593" i="12"/>
  <c r="E594" i="12"/>
  <c r="F594" i="12"/>
  <c r="G594" i="12"/>
  <c r="E595" i="12"/>
  <c r="F595" i="12"/>
  <c r="G595" i="12"/>
  <c r="E596" i="12"/>
  <c r="F596" i="12"/>
  <c r="G596" i="12"/>
  <c r="E597" i="12"/>
  <c r="F597" i="12"/>
  <c r="G597" i="12"/>
  <c r="E598" i="12"/>
  <c r="F598" i="12"/>
  <c r="G598" i="12"/>
  <c r="E599" i="12"/>
  <c r="F599" i="12"/>
  <c r="G599" i="12"/>
  <c r="E600" i="12"/>
  <c r="F600" i="12"/>
  <c r="G600" i="12"/>
  <c r="E601" i="12"/>
  <c r="F601" i="12"/>
  <c r="G601" i="12"/>
  <c r="E602" i="12"/>
  <c r="F602" i="12"/>
  <c r="G602" i="12"/>
  <c r="E603" i="12"/>
  <c r="F603" i="12"/>
  <c r="G603" i="12"/>
  <c r="E604" i="12"/>
  <c r="F604" i="12"/>
  <c r="G604" i="12"/>
  <c r="E605" i="12"/>
  <c r="F605" i="12"/>
  <c r="G605" i="12"/>
  <c r="E606" i="12"/>
  <c r="F606" i="12"/>
  <c r="G606" i="12"/>
  <c r="E607" i="12"/>
  <c r="F607" i="12"/>
  <c r="G607" i="12"/>
  <c r="E608" i="12"/>
  <c r="F608" i="12"/>
  <c r="G608" i="12"/>
  <c r="E609" i="12"/>
  <c r="F609" i="12"/>
  <c r="G609" i="12"/>
  <c r="E610" i="12"/>
  <c r="F610" i="12"/>
  <c r="G610" i="12"/>
  <c r="E611" i="12"/>
  <c r="F611" i="12"/>
  <c r="G611" i="12"/>
  <c r="E612" i="12"/>
  <c r="F612" i="12"/>
  <c r="G612" i="12"/>
  <c r="E613" i="12"/>
  <c r="F613" i="12"/>
  <c r="G613" i="12"/>
  <c r="E614" i="12"/>
  <c r="F614" i="12"/>
  <c r="G614" i="12"/>
  <c r="E615" i="12"/>
  <c r="F615" i="12"/>
  <c r="G615" i="12"/>
  <c r="E616" i="12"/>
  <c r="F616" i="12"/>
  <c r="G616" i="12"/>
  <c r="E617" i="12"/>
  <c r="F617" i="12"/>
  <c r="G617" i="12"/>
  <c r="E618" i="12"/>
  <c r="F618" i="12"/>
  <c r="G618" i="12"/>
  <c r="E619" i="12"/>
  <c r="F619" i="12"/>
  <c r="G619" i="12"/>
  <c r="E620" i="12"/>
  <c r="F620" i="12"/>
  <c r="G620" i="12"/>
  <c r="E621" i="12"/>
  <c r="F621" i="12"/>
  <c r="G621" i="12"/>
  <c r="E622" i="12"/>
  <c r="F622" i="12"/>
  <c r="G622" i="12"/>
  <c r="E623" i="12"/>
  <c r="F623" i="12"/>
  <c r="G623" i="12"/>
  <c r="E624" i="12"/>
  <c r="F624" i="12"/>
  <c r="G624" i="12"/>
  <c r="E625" i="12"/>
  <c r="F625" i="12"/>
  <c r="G625" i="12"/>
  <c r="E626" i="12"/>
  <c r="F626" i="12"/>
  <c r="G626" i="12"/>
  <c r="E627" i="12"/>
  <c r="F627" i="12"/>
  <c r="G627" i="12"/>
  <c r="E628" i="12"/>
  <c r="F628" i="12"/>
  <c r="G628" i="12"/>
  <c r="E629" i="12"/>
  <c r="F629" i="12"/>
  <c r="G629" i="12"/>
  <c r="E630" i="12"/>
  <c r="F630" i="12"/>
  <c r="G630" i="12"/>
  <c r="E631" i="12"/>
  <c r="F631" i="12"/>
  <c r="G631" i="12"/>
  <c r="E632" i="12"/>
  <c r="F632" i="12"/>
  <c r="G632" i="12"/>
  <c r="E633" i="12"/>
  <c r="F633" i="12"/>
  <c r="G633" i="12"/>
  <c r="E634" i="12"/>
  <c r="F634" i="12"/>
  <c r="G634" i="12"/>
  <c r="E635" i="12"/>
  <c r="F635" i="12"/>
  <c r="G635" i="12"/>
  <c r="E636" i="12"/>
  <c r="F636" i="12"/>
  <c r="G636" i="12"/>
  <c r="E637" i="12"/>
  <c r="F637" i="12"/>
  <c r="G637" i="12"/>
  <c r="E638" i="12"/>
  <c r="F638" i="12"/>
  <c r="G638" i="12"/>
  <c r="E639" i="12"/>
  <c r="F639" i="12"/>
  <c r="G639" i="12"/>
  <c r="E640" i="12"/>
  <c r="F640" i="12"/>
  <c r="G640" i="12"/>
  <c r="E641" i="12"/>
  <c r="F641" i="12"/>
  <c r="G641" i="12"/>
  <c r="E642" i="12"/>
  <c r="F642" i="12"/>
  <c r="G642" i="12"/>
  <c r="E643" i="12"/>
  <c r="F643" i="12"/>
  <c r="G643" i="12"/>
  <c r="E644" i="12"/>
  <c r="F644" i="12"/>
  <c r="G644" i="12"/>
  <c r="E645" i="12"/>
  <c r="F645" i="12"/>
  <c r="G645" i="12"/>
  <c r="E646" i="12"/>
  <c r="F646" i="12"/>
  <c r="G646" i="12"/>
  <c r="E647" i="12"/>
  <c r="F647" i="12"/>
  <c r="G647" i="12"/>
  <c r="E648" i="12"/>
  <c r="F648" i="12"/>
  <c r="G648" i="12"/>
  <c r="E649" i="12"/>
  <c r="F649" i="12"/>
  <c r="G649" i="12"/>
  <c r="E650" i="12"/>
  <c r="F650" i="12"/>
  <c r="G650" i="12"/>
  <c r="E651" i="12"/>
  <c r="F651" i="12"/>
  <c r="G651" i="12"/>
  <c r="E652" i="12"/>
  <c r="F652" i="12"/>
  <c r="G652" i="12"/>
  <c r="E653" i="12"/>
  <c r="F653" i="12"/>
  <c r="G653" i="12"/>
  <c r="E654" i="12"/>
  <c r="F654" i="12"/>
  <c r="G654" i="12"/>
  <c r="E655" i="12"/>
  <c r="F655" i="12"/>
  <c r="G655" i="12"/>
  <c r="E656" i="12"/>
  <c r="F656" i="12"/>
  <c r="G656" i="12"/>
  <c r="E657" i="12"/>
  <c r="F657" i="12"/>
  <c r="G657" i="12"/>
  <c r="E658" i="12"/>
  <c r="F658" i="12"/>
  <c r="G658" i="12"/>
  <c r="E659" i="12"/>
  <c r="F659" i="12"/>
  <c r="G659" i="12"/>
  <c r="E660" i="12"/>
  <c r="F660" i="12"/>
  <c r="G660" i="12"/>
  <c r="E661" i="12"/>
  <c r="F661" i="12"/>
  <c r="G661" i="12"/>
  <c r="E662" i="12"/>
  <c r="F662" i="12"/>
  <c r="G662" i="12"/>
  <c r="E663" i="12"/>
  <c r="F663" i="12"/>
  <c r="G663" i="12"/>
  <c r="E664" i="12"/>
  <c r="F664" i="12"/>
  <c r="G664" i="12"/>
  <c r="E665" i="12"/>
  <c r="F665" i="12"/>
  <c r="G665" i="12"/>
  <c r="E666" i="12"/>
  <c r="F666" i="12"/>
  <c r="G666" i="12"/>
  <c r="E667" i="12"/>
  <c r="F667" i="12"/>
  <c r="G667" i="12"/>
  <c r="E668" i="12"/>
  <c r="F668" i="12"/>
  <c r="G668" i="12"/>
  <c r="E669" i="12"/>
  <c r="F669" i="12"/>
  <c r="G669" i="12"/>
  <c r="E670" i="12"/>
  <c r="F670" i="12"/>
  <c r="G670" i="12"/>
  <c r="E671" i="12"/>
  <c r="F671" i="12"/>
  <c r="G671" i="12"/>
  <c r="E672" i="12"/>
  <c r="F672" i="12"/>
  <c r="G672" i="12"/>
  <c r="E673" i="12"/>
  <c r="F673" i="12"/>
  <c r="G673" i="12"/>
  <c r="E674" i="12"/>
  <c r="F674" i="12"/>
  <c r="G674" i="12"/>
  <c r="E675" i="12"/>
  <c r="F675" i="12"/>
  <c r="G675" i="12"/>
  <c r="E676" i="12"/>
  <c r="F676" i="12"/>
  <c r="G676" i="12"/>
  <c r="E677" i="12"/>
  <c r="F677" i="12"/>
  <c r="G677" i="12"/>
  <c r="E678" i="12"/>
  <c r="F678" i="12"/>
  <c r="G678" i="12"/>
  <c r="E679" i="12"/>
  <c r="F679" i="12"/>
  <c r="G679" i="12"/>
  <c r="E680" i="12"/>
  <c r="F680" i="12"/>
  <c r="G680" i="12"/>
  <c r="E681" i="12"/>
  <c r="F681" i="12"/>
  <c r="G681" i="12"/>
  <c r="E682" i="12"/>
  <c r="F682" i="12"/>
  <c r="G682" i="12"/>
  <c r="E683" i="12"/>
  <c r="F683" i="12"/>
  <c r="G683" i="12"/>
  <c r="E684" i="12"/>
  <c r="F684" i="12"/>
  <c r="G684" i="12"/>
  <c r="E685" i="12"/>
  <c r="F685" i="12"/>
  <c r="G685" i="12"/>
  <c r="E686" i="12"/>
  <c r="F686" i="12"/>
  <c r="G686" i="12"/>
  <c r="E687" i="12"/>
  <c r="F687" i="12"/>
  <c r="G687" i="12"/>
  <c r="E688" i="12"/>
  <c r="F688" i="12"/>
  <c r="G688" i="12"/>
  <c r="E689" i="12"/>
  <c r="F689" i="12"/>
  <c r="G689" i="12"/>
  <c r="E690" i="12"/>
  <c r="F690" i="12"/>
  <c r="G690" i="12"/>
  <c r="E691" i="12"/>
  <c r="F691" i="12"/>
  <c r="G691" i="12"/>
  <c r="E692" i="12"/>
  <c r="F692" i="12"/>
  <c r="G692" i="12"/>
  <c r="E693" i="12"/>
  <c r="F693" i="12"/>
  <c r="G693" i="12"/>
  <c r="E694" i="12"/>
  <c r="F694" i="12"/>
  <c r="G694" i="12"/>
  <c r="E695" i="12"/>
  <c r="F695" i="12"/>
  <c r="G695" i="12"/>
  <c r="E696" i="12"/>
  <c r="F696" i="12"/>
  <c r="G696" i="12"/>
  <c r="E697" i="12"/>
  <c r="F697" i="12"/>
  <c r="G697" i="12"/>
  <c r="E698" i="12"/>
  <c r="F698" i="12"/>
  <c r="G698" i="12"/>
  <c r="E699" i="12"/>
  <c r="F699" i="12"/>
  <c r="G699" i="12"/>
  <c r="E700" i="12"/>
  <c r="F700" i="12"/>
  <c r="G700" i="12"/>
  <c r="E701" i="12"/>
  <c r="F701" i="12"/>
  <c r="G701" i="12"/>
  <c r="E702" i="12"/>
  <c r="F702" i="12"/>
  <c r="G702" i="12"/>
  <c r="E703" i="12"/>
  <c r="F703" i="12"/>
  <c r="G703" i="12"/>
  <c r="E704" i="12"/>
  <c r="F704" i="12"/>
  <c r="G704" i="12"/>
  <c r="E705" i="12"/>
  <c r="F705" i="12"/>
  <c r="G705" i="12"/>
  <c r="E706" i="12"/>
  <c r="F706" i="12"/>
  <c r="G706" i="12"/>
  <c r="E707" i="12"/>
  <c r="F707" i="12"/>
  <c r="G707" i="12"/>
  <c r="E708" i="12"/>
  <c r="F708" i="12"/>
  <c r="G708" i="12"/>
  <c r="E709" i="12"/>
  <c r="F709" i="12"/>
  <c r="G709" i="12"/>
  <c r="E710" i="12"/>
  <c r="F710" i="12"/>
  <c r="G710" i="12"/>
  <c r="E711" i="12"/>
  <c r="F711" i="12"/>
  <c r="G711" i="12"/>
  <c r="E712" i="12"/>
  <c r="F712" i="12"/>
  <c r="G712" i="12"/>
  <c r="E713" i="12"/>
  <c r="F713" i="12"/>
  <c r="G713" i="12"/>
  <c r="E714" i="12"/>
  <c r="F714" i="12"/>
  <c r="G714" i="12"/>
  <c r="E715" i="12"/>
  <c r="F715" i="12"/>
  <c r="G715" i="12"/>
  <c r="E716" i="12"/>
  <c r="F716" i="12"/>
  <c r="G716" i="12"/>
  <c r="E717" i="12"/>
  <c r="F717" i="12"/>
  <c r="G717" i="12"/>
  <c r="E718" i="12"/>
  <c r="F718" i="12"/>
  <c r="G718" i="12"/>
  <c r="E719" i="12"/>
  <c r="F719" i="12"/>
  <c r="G719" i="12"/>
  <c r="E720" i="12"/>
  <c r="F720" i="12"/>
  <c r="G720" i="12"/>
  <c r="E721" i="12"/>
  <c r="F721" i="12"/>
  <c r="G721" i="12"/>
  <c r="E722" i="12"/>
  <c r="F722" i="12"/>
  <c r="G722" i="12"/>
  <c r="E723" i="12"/>
  <c r="F723" i="12"/>
  <c r="G723" i="12"/>
  <c r="E724" i="12"/>
  <c r="F724" i="12"/>
  <c r="G724" i="12"/>
  <c r="E725" i="12"/>
  <c r="F725" i="12"/>
  <c r="G725" i="12"/>
  <c r="E726" i="12"/>
  <c r="F726" i="12"/>
  <c r="G726" i="12"/>
  <c r="E727" i="12"/>
  <c r="F727" i="12"/>
  <c r="G727" i="12"/>
  <c r="E728" i="12"/>
  <c r="F728" i="12"/>
  <c r="G728" i="12"/>
  <c r="E729" i="12"/>
  <c r="F729" i="12"/>
  <c r="G729" i="12"/>
  <c r="E730" i="12"/>
  <c r="F730" i="12"/>
  <c r="G730" i="12"/>
  <c r="E731" i="12"/>
  <c r="F731" i="12"/>
  <c r="G731" i="12"/>
  <c r="E732" i="12"/>
  <c r="F732" i="12"/>
  <c r="G732" i="12"/>
  <c r="E733" i="12"/>
  <c r="F733" i="12"/>
  <c r="G733" i="12"/>
  <c r="E734" i="12"/>
  <c r="F734" i="12"/>
  <c r="G734" i="12"/>
  <c r="E735" i="12"/>
  <c r="F735" i="12"/>
  <c r="G735" i="12"/>
  <c r="E736" i="12"/>
  <c r="F736" i="12"/>
  <c r="G736" i="12"/>
  <c r="E737" i="12"/>
  <c r="F737" i="12"/>
  <c r="G737" i="12"/>
  <c r="E738" i="12"/>
  <c r="F738" i="12"/>
  <c r="G738" i="12"/>
  <c r="E739" i="12"/>
  <c r="F739" i="12"/>
  <c r="G739" i="12"/>
  <c r="E740" i="12"/>
  <c r="F740" i="12"/>
  <c r="G740" i="12"/>
  <c r="E741" i="12"/>
  <c r="F741" i="12"/>
  <c r="G741" i="12"/>
  <c r="E742" i="12"/>
  <c r="F742" i="12"/>
  <c r="G742" i="12"/>
  <c r="E743" i="12"/>
  <c r="F743" i="12"/>
  <c r="G743" i="12"/>
  <c r="E744" i="12"/>
  <c r="F744" i="12"/>
  <c r="G744" i="12"/>
  <c r="E745" i="12"/>
  <c r="F745" i="12"/>
  <c r="G745" i="12"/>
  <c r="E746" i="12"/>
  <c r="F746" i="12"/>
  <c r="G746" i="12"/>
  <c r="E747" i="12"/>
  <c r="F747" i="12"/>
  <c r="G747" i="12"/>
  <c r="E748" i="12"/>
  <c r="F748" i="12"/>
  <c r="G748" i="12"/>
  <c r="E749" i="12"/>
  <c r="F749" i="12"/>
  <c r="G749" i="12"/>
  <c r="E750" i="12"/>
  <c r="F750" i="12"/>
  <c r="G750" i="12"/>
  <c r="E751" i="12"/>
  <c r="F751" i="12"/>
  <c r="G751" i="12"/>
  <c r="E752" i="12"/>
  <c r="F752" i="12"/>
  <c r="G752" i="12"/>
  <c r="E753" i="12"/>
  <c r="F753" i="12"/>
  <c r="G753" i="12"/>
  <c r="E754" i="12"/>
  <c r="F754" i="12"/>
  <c r="G754" i="12"/>
  <c r="E755" i="12"/>
  <c r="F755" i="12"/>
  <c r="G755" i="12"/>
  <c r="E756" i="12"/>
  <c r="F756" i="12"/>
  <c r="G756" i="12"/>
  <c r="E757" i="12"/>
  <c r="F757" i="12"/>
  <c r="G757" i="12"/>
  <c r="E758" i="12"/>
  <c r="F758" i="12"/>
  <c r="G758" i="12"/>
  <c r="E759" i="12"/>
  <c r="F759" i="12"/>
  <c r="G759" i="12"/>
  <c r="E760" i="12"/>
  <c r="F760" i="12"/>
  <c r="G760" i="12"/>
  <c r="E761" i="12"/>
  <c r="F761" i="12"/>
  <c r="G761" i="12"/>
  <c r="E762" i="12"/>
  <c r="F762" i="12"/>
  <c r="G762" i="12"/>
  <c r="E763" i="12"/>
  <c r="F763" i="12"/>
  <c r="G763" i="12"/>
  <c r="E764" i="12"/>
  <c r="F764" i="12"/>
  <c r="G764" i="12"/>
  <c r="E765" i="12"/>
  <c r="F765" i="12"/>
  <c r="G765" i="12"/>
  <c r="E766" i="12"/>
  <c r="F766" i="12"/>
  <c r="G766" i="12"/>
  <c r="E767" i="12"/>
  <c r="F767" i="12"/>
  <c r="G767" i="12"/>
  <c r="E768" i="12"/>
  <c r="F768" i="12"/>
  <c r="G768" i="12"/>
  <c r="E769" i="12"/>
  <c r="F769" i="12"/>
  <c r="G769" i="12"/>
  <c r="E770" i="12"/>
  <c r="F770" i="12"/>
  <c r="G770" i="12"/>
  <c r="E771" i="12"/>
  <c r="F771" i="12"/>
  <c r="G771" i="12"/>
  <c r="E772" i="12"/>
  <c r="F772" i="12"/>
  <c r="G772" i="12"/>
  <c r="E773" i="12"/>
  <c r="F773" i="12"/>
  <c r="G773" i="12"/>
  <c r="E774" i="12"/>
  <c r="F774" i="12"/>
  <c r="G774" i="12"/>
  <c r="E775" i="12"/>
  <c r="F775" i="12"/>
  <c r="G775" i="12"/>
  <c r="E776" i="12"/>
  <c r="F776" i="12"/>
  <c r="G776" i="12"/>
  <c r="E777" i="12"/>
  <c r="F777" i="12"/>
  <c r="G777" i="12"/>
  <c r="E778" i="12"/>
  <c r="F778" i="12"/>
  <c r="G778" i="12"/>
  <c r="E779" i="12"/>
  <c r="F779" i="12"/>
  <c r="G779" i="12"/>
  <c r="E780" i="12"/>
  <c r="F780" i="12"/>
  <c r="G780" i="12"/>
  <c r="E781" i="12"/>
  <c r="F781" i="12"/>
  <c r="G781" i="12"/>
  <c r="E782" i="12"/>
  <c r="F782" i="12"/>
  <c r="G782" i="12"/>
  <c r="E783" i="12"/>
  <c r="F783" i="12"/>
  <c r="G783" i="12"/>
  <c r="E784" i="12"/>
  <c r="F784" i="12"/>
  <c r="G784" i="12"/>
  <c r="E785" i="12"/>
  <c r="F785" i="12"/>
  <c r="G785" i="12"/>
  <c r="E786" i="12"/>
  <c r="F786" i="12"/>
  <c r="G786" i="12"/>
  <c r="E787" i="12"/>
  <c r="F787" i="12"/>
  <c r="G787" i="12"/>
  <c r="E788" i="12"/>
  <c r="F788" i="12"/>
  <c r="G788" i="12"/>
  <c r="E789" i="12"/>
  <c r="F789" i="12"/>
  <c r="G789" i="12"/>
  <c r="E790" i="12"/>
  <c r="F790" i="12"/>
  <c r="G790" i="12"/>
  <c r="E791" i="12"/>
  <c r="F791" i="12"/>
  <c r="G791" i="12"/>
  <c r="E792" i="12"/>
  <c r="F792" i="12"/>
  <c r="G792" i="12"/>
  <c r="E793" i="12"/>
  <c r="F793" i="12"/>
  <c r="G793" i="12"/>
  <c r="E794" i="12"/>
  <c r="F794" i="12"/>
  <c r="G794" i="12"/>
  <c r="E795" i="12"/>
  <c r="F795" i="12"/>
  <c r="G795" i="12"/>
  <c r="E796" i="12"/>
  <c r="F796" i="12"/>
  <c r="G796" i="12"/>
  <c r="E797" i="12"/>
  <c r="F797" i="12"/>
  <c r="G797" i="12"/>
  <c r="E798" i="12"/>
  <c r="F798" i="12"/>
  <c r="G798" i="12"/>
  <c r="E799" i="12"/>
  <c r="F799" i="12"/>
  <c r="G799" i="12"/>
  <c r="E800" i="12"/>
  <c r="F800" i="12"/>
  <c r="G800" i="12"/>
  <c r="E801" i="12"/>
  <c r="F801" i="12"/>
  <c r="G801" i="12"/>
  <c r="E802" i="12"/>
  <c r="F802" i="12"/>
  <c r="G802" i="12"/>
  <c r="E803" i="12"/>
  <c r="F803" i="12"/>
  <c r="G803" i="12"/>
  <c r="E804" i="12"/>
  <c r="F804" i="12"/>
  <c r="G804" i="12"/>
  <c r="E805" i="12"/>
  <c r="F805" i="12"/>
  <c r="G805" i="12"/>
  <c r="E806" i="12"/>
  <c r="F806" i="12"/>
  <c r="G806" i="12"/>
  <c r="E807" i="12"/>
  <c r="F807" i="12"/>
  <c r="G807" i="12"/>
  <c r="E808" i="12"/>
  <c r="F808" i="12"/>
  <c r="G808" i="12"/>
  <c r="E809" i="12"/>
  <c r="F809" i="12"/>
  <c r="G809" i="12"/>
  <c r="E810" i="12"/>
  <c r="F810" i="12"/>
  <c r="G810" i="12"/>
  <c r="E811" i="12"/>
  <c r="F811" i="12"/>
  <c r="G811" i="12"/>
  <c r="E812" i="12"/>
  <c r="F812" i="12"/>
  <c r="G812" i="12"/>
  <c r="E813" i="12"/>
  <c r="F813" i="12"/>
  <c r="G813" i="12"/>
  <c r="E814" i="12"/>
  <c r="F814" i="12"/>
  <c r="G814" i="12"/>
  <c r="E815" i="12"/>
  <c r="F815" i="12"/>
  <c r="G815" i="12"/>
  <c r="E816" i="12"/>
  <c r="F816" i="12"/>
  <c r="G816" i="12"/>
  <c r="E817" i="12"/>
  <c r="F817" i="12"/>
  <c r="G817" i="12"/>
  <c r="E818" i="12"/>
  <c r="F818" i="12"/>
  <c r="G818" i="12"/>
  <c r="E819" i="12"/>
  <c r="F819" i="12"/>
  <c r="G819" i="12"/>
  <c r="E820" i="12"/>
  <c r="F820" i="12"/>
  <c r="G820" i="12"/>
  <c r="E821" i="12"/>
  <c r="F821" i="12"/>
  <c r="G821" i="12"/>
  <c r="E822" i="12"/>
  <c r="F822" i="12"/>
  <c r="G822" i="12"/>
  <c r="E823" i="12"/>
  <c r="F823" i="12"/>
  <c r="G823" i="12"/>
  <c r="E824" i="12"/>
  <c r="F824" i="12"/>
  <c r="G824" i="12"/>
  <c r="E825" i="12"/>
  <c r="F825" i="12"/>
  <c r="G825" i="12"/>
  <c r="E826" i="12"/>
  <c r="F826" i="12"/>
  <c r="G826" i="12"/>
  <c r="E827" i="12"/>
  <c r="F827" i="12"/>
  <c r="G827" i="12"/>
  <c r="E828" i="12"/>
  <c r="F828" i="12"/>
  <c r="G828" i="12"/>
  <c r="E829" i="12"/>
  <c r="F829" i="12"/>
  <c r="G829" i="12"/>
  <c r="E830" i="12"/>
  <c r="F830" i="12"/>
  <c r="G830" i="12"/>
  <c r="E831" i="12"/>
  <c r="F831" i="12"/>
  <c r="G831" i="12"/>
  <c r="E832" i="12"/>
  <c r="F832" i="12"/>
  <c r="G832" i="12"/>
  <c r="E833" i="12"/>
  <c r="F833" i="12"/>
  <c r="G833" i="12"/>
  <c r="E834" i="12"/>
  <c r="F834" i="12"/>
  <c r="G834" i="12"/>
  <c r="E835" i="12"/>
  <c r="F835" i="12"/>
  <c r="G835" i="12"/>
  <c r="E836" i="12"/>
  <c r="F836" i="12"/>
  <c r="G836" i="12"/>
  <c r="E837" i="12"/>
  <c r="F837" i="12"/>
  <c r="G837" i="12"/>
  <c r="E838" i="12"/>
  <c r="F838" i="12"/>
  <c r="G838" i="12"/>
  <c r="E839" i="12"/>
  <c r="F839" i="12"/>
  <c r="G839" i="12"/>
  <c r="E840" i="12"/>
  <c r="F840" i="12"/>
  <c r="G840" i="12"/>
  <c r="E841" i="12"/>
  <c r="F841" i="12"/>
  <c r="G841" i="12"/>
  <c r="E842" i="12"/>
  <c r="F842" i="12"/>
  <c r="G842" i="12"/>
  <c r="E843" i="12"/>
  <c r="F843" i="12"/>
  <c r="G843" i="12"/>
  <c r="E844" i="12"/>
  <c r="F844" i="12"/>
  <c r="G844" i="12"/>
  <c r="E845" i="12"/>
  <c r="F845" i="12"/>
  <c r="G845" i="12"/>
  <c r="E846" i="12"/>
  <c r="F846" i="12"/>
  <c r="G846" i="12"/>
  <c r="E847" i="12"/>
  <c r="F847" i="12"/>
  <c r="G847" i="12"/>
  <c r="E848" i="12"/>
  <c r="F848" i="12"/>
  <c r="G848" i="12"/>
  <c r="E849" i="12"/>
  <c r="F849" i="12"/>
  <c r="G849" i="12"/>
  <c r="E850" i="12"/>
  <c r="F850" i="12"/>
  <c r="G850" i="12"/>
  <c r="E851" i="12"/>
  <c r="F851" i="12"/>
  <c r="G851" i="12"/>
  <c r="E852" i="12"/>
  <c r="F852" i="12"/>
  <c r="G852" i="12"/>
  <c r="E853" i="12"/>
  <c r="F853" i="12"/>
  <c r="G853" i="12"/>
  <c r="E854" i="12"/>
  <c r="F854" i="12"/>
  <c r="G854" i="12"/>
  <c r="E855" i="12"/>
  <c r="F855" i="12"/>
  <c r="G855" i="12"/>
  <c r="E856" i="12"/>
  <c r="F856" i="12"/>
  <c r="G856" i="12"/>
  <c r="E857" i="12"/>
  <c r="F857" i="12"/>
  <c r="G857" i="12"/>
  <c r="E858" i="12"/>
  <c r="F858" i="12"/>
  <c r="G858" i="12"/>
  <c r="E859" i="12"/>
  <c r="F859" i="12"/>
  <c r="G859" i="12"/>
  <c r="E860" i="12"/>
  <c r="F860" i="12"/>
  <c r="G860" i="12"/>
  <c r="E861" i="12"/>
  <c r="F861" i="12"/>
  <c r="G861" i="12"/>
  <c r="E862" i="12"/>
  <c r="F862" i="12"/>
  <c r="G862" i="12"/>
  <c r="E863" i="12"/>
  <c r="F863" i="12"/>
  <c r="G863" i="12"/>
  <c r="E864" i="12"/>
  <c r="F864" i="12"/>
  <c r="G864" i="12"/>
  <c r="E865" i="12"/>
  <c r="F865" i="12"/>
  <c r="G865" i="12"/>
  <c r="E866" i="12"/>
  <c r="F866" i="12"/>
  <c r="G866" i="12"/>
  <c r="E867" i="12"/>
  <c r="F867" i="12"/>
  <c r="G867" i="12"/>
  <c r="E868" i="12"/>
  <c r="F868" i="12"/>
  <c r="G868" i="12"/>
  <c r="E869" i="12"/>
  <c r="F869" i="12"/>
  <c r="G869" i="12"/>
  <c r="E870" i="12"/>
  <c r="F870" i="12"/>
  <c r="G870" i="12"/>
  <c r="E871" i="12"/>
  <c r="F871" i="12"/>
  <c r="G871" i="12"/>
  <c r="E872" i="12"/>
  <c r="F872" i="12"/>
  <c r="G872" i="12"/>
  <c r="E873" i="12"/>
  <c r="F873" i="12"/>
  <c r="G873" i="12"/>
  <c r="E874" i="12"/>
  <c r="F874" i="12"/>
  <c r="G874" i="12"/>
  <c r="E875" i="12"/>
  <c r="F875" i="12"/>
  <c r="G875" i="12"/>
  <c r="E876" i="12"/>
  <c r="F876" i="12"/>
  <c r="G876" i="12"/>
  <c r="E877" i="12"/>
  <c r="F877" i="12"/>
  <c r="G877" i="12"/>
  <c r="E878" i="12"/>
  <c r="F878" i="12"/>
  <c r="G878" i="12"/>
  <c r="E879" i="12"/>
  <c r="F879" i="12"/>
  <c r="G879" i="12"/>
  <c r="E880" i="12"/>
  <c r="F880" i="12"/>
  <c r="G880" i="12"/>
  <c r="E881" i="12"/>
  <c r="F881" i="12"/>
  <c r="G881" i="12"/>
  <c r="E882" i="12"/>
  <c r="F882" i="12"/>
  <c r="G882" i="12"/>
  <c r="E883" i="12"/>
  <c r="F883" i="12"/>
  <c r="G883" i="12"/>
  <c r="E884" i="12"/>
  <c r="F884" i="12"/>
  <c r="G884" i="12"/>
  <c r="E885" i="12"/>
  <c r="F885" i="12"/>
  <c r="G885" i="12"/>
  <c r="E886" i="12"/>
  <c r="F886" i="12"/>
  <c r="G886" i="12"/>
  <c r="E887" i="12"/>
  <c r="F887" i="12"/>
  <c r="G887" i="12"/>
  <c r="E888" i="12"/>
  <c r="F888" i="12"/>
  <c r="G888" i="12"/>
  <c r="E889" i="12"/>
  <c r="F889" i="12"/>
  <c r="G889" i="12"/>
  <c r="E890" i="12"/>
  <c r="F890" i="12"/>
  <c r="G890" i="12"/>
  <c r="E891" i="12"/>
  <c r="F891" i="12"/>
  <c r="G891" i="12"/>
  <c r="E892" i="12"/>
  <c r="F892" i="12"/>
  <c r="G892" i="12"/>
  <c r="E893" i="12"/>
  <c r="F893" i="12"/>
  <c r="G893" i="12"/>
  <c r="E894" i="12"/>
  <c r="F894" i="12"/>
  <c r="G894" i="12"/>
  <c r="E895" i="12"/>
  <c r="F895" i="12"/>
  <c r="G895" i="12"/>
  <c r="E896" i="12"/>
  <c r="F896" i="12"/>
  <c r="G896" i="12"/>
  <c r="E897" i="12"/>
  <c r="F897" i="12"/>
  <c r="G897" i="12"/>
  <c r="E898" i="12"/>
  <c r="F898" i="12"/>
  <c r="G898" i="12"/>
  <c r="E899" i="12"/>
  <c r="F899" i="12"/>
  <c r="G899" i="12"/>
  <c r="E900" i="12"/>
  <c r="F900" i="12"/>
  <c r="G900" i="12"/>
  <c r="E901" i="12"/>
  <c r="F901" i="12"/>
  <c r="G901" i="12"/>
  <c r="E902" i="12"/>
  <c r="F902" i="12"/>
  <c r="G902" i="12"/>
  <c r="E903" i="12"/>
  <c r="F903" i="12"/>
  <c r="G903" i="12"/>
  <c r="E904" i="12"/>
  <c r="F904" i="12"/>
  <c r="G904" i="12"/>
  <c r="E905" i="12"/>
  <c r="F905" i="12"/>
  <c r="G905" i="12"/>
  <c r="E906" i="12"/>
  <c r="F906" i="12"/>
  <c r="G906" i="12"/>
  <c r="E907" i="12"/>
  <c r="F907" i="12"/>
  <c r="G907" i="12"/>
  <c r="E908" i="12"/>
  <c r="F908" i="12"/>
  <c r="G908" i="12"/>
  <c r="E909" i="12"/>
  <c r="F909" i="12"/>
  <c r="G909" i="12"/>
  <c r="E910" i="12"/>
  <c r="F910" i="12"/>
  <c r="G910" i="12"/>
  <c r="E911" i="12"/>
  <c r="F911" i="12"/>
  <c r="G911" i="12"/>
  <c r="E912" i="12"/>
  <c r="F912" i="12"/>
  <c r="G912" i="12"/>
  <c r="E913" i="12"/>
  <c r="F913" i="12"/>
  <c r="G913" i="12"/>
  <c r="E914" i="12"/>
  <c r="F914" i="12"/>
  <c r="G914" i="12"/>
  <c r="E915" i="12"/>
  <c r="F915" i="12"/>
  <c r="G915" i="12"/>
  <c r="E916" i="12"/>
  <c r="F916" i="12"/>
  <c r="G916" i="12"/>
  <c r="E917" i="12"/>
  <c r="F917" i="12"/>
  <c r="G917" i="12"/>
  <c r="E918" i="12"/>
  <c r="F918" i="12"/>
  <c r="G918" i="12"/>
  <c r="E919" i="12"/>
  <c r="F919" i="12"/>
  <c r="G919" i="12"/>
  <c r="E920" i="12"/>
  <c r="F920" i="12"/>
  <c r="G920" i="12"/>
  <c r="E921" i="12"/>
  <c r="F921" i="12"/>
  <c r="G921" i="12"/>
  <c r="E922" i="12"/>
  <c r="F922" i="12"/>
  <c r="G922" i="12"/>
  <c r="E923" i="12"/>
  <c r="F923" i="12"/>
  <c r="G923" i="12"/>
  <c r="E924" i="12"/>
  <c r="F924" i="12"/>
  <c r="G924" i="12"/>
  <c r="E925" i="12"/>
  <c r="F925" i="12"/>
  <c r="G925" i="12"/>
  <c r="E926" i="12"/>
  <c r="F926" i="12"/>
  <c r="G926" i="12"/>
  <c r="E927" i="12"/>
  <c r="F927" i="12"/>
  <c r="G927" i="12"/>
  <c r="E928" i="12"/>
  <c r="F928" i="12"/>
  <c r="G928" i="12"/>
  <c r="E929" i="12"/>
  <c r="F929" i="12"/>
  <c r="G929" i="12"/>
  <c r="E930" i="12"/>
  <c r="F930" i="12"/>
  <c r="G930" i="12"/>
  <c r="E931" i="12"/>
  <c r="F931" i="12"/>
  <c r="G931" i="12"/>
  <c r="E932" i="12"/>
  <c r="F932" i="12"/>
  <c r="G932" i="12"/>
  <c r="E933" i="12"/>
  <c r="F933" i="12"/>
  <c r="G933" i="12"/>
  <c r="E934" i="12"/>
  <c r="F934" i="12"/>
  <c r="G934" i="12"/>
  <c r="E935" i="12"/>
  <c r="F935" i="12"/>
  <c r="G935" i="12"/>
  <c r="E936" i="12"/>
  <c r="F936" i="12"/>
  <c r="G936" i="12"/>
  <c r="E937" i="12"/>
  <c r="F937" i="12"/>
  <c r="G937" i="12"/>
  <c r="E938" i="12"/>
  <c r="F938" i="12"/>
  <c r="G938" i="12"/>
  <c r="E939" i="12"/>
  <c r="F939" i="12"/>
  <c r="G939" i="12"/>
  <c r="E940" i="12"/>
  <c r="F940" i="12"/>
  <c r="G940" i="12"/>
  <c r="E941" i="12"/>
  <c r="F941" i="12"/>
  <c r="G941" i="12"/>
  <c r="E942" i="12"/>
  <c r="F942" i="12"/>
  <c r="G942" i="12"/>
  <c r="E943" i="12"/>
  <c r="F943" i="12"/>
  <c r="G943" i="12"/>
  <c r="E944" i="12"/>
  <c r="F944" i="12"/>
  <c r="G944" i="12"/>
  <c r="E945" i="12"/>
  <c r="F945" i="12"/>
  <c r="G945" i="12"/>
  <c r="E946" i="12"/>
  <c r="F946" i="12"/>
  <c r="G946" i="12"/>
  <c r="E947" i="12"/>
  <c r="F947" i="12"/>
  <c r="G947" i="12"/>
  <c r="E948" i="12"/>
  <c r="F948" i="12"/>
  <c r="G948" i="12"/>
  <c r="E949" i="12"/>
  <c r="F949" i="12"/>
  <c r="G949" i="12"/>
  <c r="E950" i="12"/>
  <c r="F950" i="12"/>
  <c r="G950" i="12"/>
  <c r="E951" i="12"/>
  <c r="F951" i="12"/>
  <c r="G951" i="12"/>
  <c r="E952" i="12"/>
  <c r="F952" i="12"/>
  <c r="G952" i="12"/>
  <c r="E953" i="12"/>
  <c r="F953" i="12"/>
  <c r="G953" i="12"/>
  <c r="E954" i="12"/>
  <c r="F954" i="12"/>
  <c r="G954" i="12"/>
  <c r="E955" i="12"/>
  <c r="F955" i="12"/>
  <c r="G955" i="12"/>
  <c r="E956" i="12"/>
  <c r="F956" i="12"/>
  <c r="G956" i="12"/>
  <c r="E957" i="12"/>
  <c r="F957" i="12"/>
  <c r="G957" i="12"/>
  <c r="E958" i="12"/>
  <c r="F958" i="12"/>
  <c r="G958" i="12"/>
  <c r="E959" i="12"/>
  <c r="F959" i="12"/>
  <c r="G959" i="12"/>
  <c r="E960" i="12"/>
  <c r="F960" i="12"/>
  <c r="G960" i="12"/>
  <c r="E961" i="12"/>
  <c r="F961" i="12"/>
  <c r="G961" i="12"/>
  <c r="E962" i="12"/>
  <c r="F962" i="12"/>
  <c r="G962" i="12"/>
  <c r="E963" i="12"/>
  <c r="F963" i="12"/>
  <c r="G963" i="12"/>
  <c r="E964" i="12"/>
  <c r="F964" i="12"/>
  <c r="G964" i="12"/>
  <c r="E965" i="12"/>
  <c r="F965" i="12"/>
  <c r="G965" i="12"/>
  <c r="E966" i="12"/>
  <c r="F966" i="12"/>
  <c r="G966" i="12"/>
  <c r="E967" i="12"/>
  <c r="F967" i="12"/>
  <c r="G967" i="12"/>
  <c r="E968" i="12"/>
  <c r="F968" i="12"/>
  <c r="G968" i="12"/>
  <c r="E969" i="12"/>
  <c r="F969" i="12"/>
  <c r="G969" i="12"/>
  <c r="E970" i="12"/>
  <c r="F970" i="12"/>
  <c r="G970" i="12"/>
  <c r="E971" i="12"/>
  <c r="F971" i="12"/>
  <c r="G971" i="12"/>
  <c r="E972" i="12"/>
  <c r="F972" i="12"/>
  <c r="G972" i="12"/>
  <c r="E973" i="12"/>
  <c r="F973" i="12"/>
  <c r="G973" i="12"/>
  <c r="E974" i="12"/>
  <c r="F974" i="12"/>
  <c r="G974" i="12"/>
  <c r="E975" i="12"/>
  <c r="F975" i="12"/>
  <c r="G975" i="12"/>
  <c r="E976" i="12"/>
  <c r="F976" i="12"/>
  <c r="G976" i="12"/>
  <c r="E977" i="12"/>
  <c r="F977" i="12"/>
  <c r="G977" i="12"/>
  <c r="E978" i="12"/>
  <c r="F978" i="12"/>
  <c r="G978" i="12"/>
  <c r="E979" i="12"/>
  <c r="F979" i="12"/>
  <c r="G979" i="12"/>
  <c r="E980" i="12"/>
  <c r="F980" i="12"/>
  <c r="G980" i="12"/>
  <c r="E981" i="12"/>
  <c r="F981" i="12"/>
  <c r="G981" i="12"/>
  <c r="E982" i="12"/>
  <c r="F982" i="12"/>
  <c r="G982" i="12"/>
  <c r="E983" i="12"/>
  <c r="F983" i="12"/>
  <c r="G983" i="12"/>
  <c r="E984" i="12"/>
  <c r="F984" i="12"/>
  <c r="G984" i="12"/>
  <c r="E985" i="12"/>
  <c r="F985" i="12"/>
  <c r="G985" i="12"/>
  <c r="E986" i="12"/>
  <c r="F986" i="12"/>
  <c r="G986" i="12"/>
  <c r="E987" i="12"/>
  <c r="F987" i="12"/>
  <c r="G987" i="12"/>
  <c r="E988" i="12"/>
  <c r="F988" i="12"/>
  <c r="G988" i="12"/>
  <c r="E989" i="12"/>
  <c r="F989" i="12"/>
  <c r="G989" i="12"/>
  <c r="E990" i="12"/>
  <c r="F990" i="12"/>
  <c r="G990" i="12"/>
  <c r="E991" i="12"/>
  <c r="F991" i="12"/>
  <c r="G991" i="12"/>
  <c r="E992" i="12"/>
  <c r="F992" i="12"/>
  <c r="G992" i="12"/>
  <c r="E993" i="12"/>
  <c r="F993" i="12"/>
  <c r="G993" i="12"/>
  <c r="E994" i="12"/>
  <c r="F994" i="12"/>
  <c r="G994" i="12"/>
  <c r="E995" i="12"/>
  <c r="F995" i="12"/>
  <c r="G995" i="12"/>
  <c r="E996" i="12"/>
  <c r="F996" i="12"/>
  <c r="G996" i="12"/>
  <c r="E997" i="12"/>
  <c r="F997" i="12"/>
  <c r="G997" i="12"/>
  <c r="E998" i="12"/>
  <c r="F998" i="12"/>
  <c r="G998" i="12"/>
  <c r="E999" i="12"/>
  <c r="F999" i="12"/>
  <c r="G999" i="12"/>
  <c r="E1000" i="12"/>
  <c r="F1000" i="12"/>
  <c r="G1000" i="12"/>
  <c r="E1001" i="12"/>
  <c r="F1001" i="12"/>
  <c r="G1001" i="12"/>
  <c r="E1002" i="12"/>
  <c r="F1002" i="12"/>
  <c r="G1002" i="12"/>
  <c r="E1003" i="12"/>
  <c r="F1003" i="12"/>
  <c r="G1003" i="12"/>
  <c r="E1004" i="12"/>
  <c r="F1004" i="12"/>
  <c r="G1004" i="12"/>
  <c r="E1005" i="12"/>
  <c r="F1005" i="12"/>
  <c r="G1005" i="12"/>
  <c r="E1006" i="12"/>
  <c r="F1006" i="12"/>
  <c r="G1006" i="12"/>
  <c r="E1007" i="12"/>
  <c r="F1007" i="12"/>
  <c r="G1007" i="12"/>
  <c r="E1008" i="12"/>
  <c r="F1008" i="12"/>
  <c r="G1008" i="12"/>
  <c r="E1009" i="12"/>
  <c r="F1009" i="12"/>
  <c r="G1009" i="12"/>
  <c r="E1010" i="12"/>
  <c r="F1010" i="12"/>
  <c r="G1010" i="12"/>
  <c r="E1011" i="12"/>
  <c r="F1011" i="12"/>
  <c r="G1011" i="12"/>
  <c r="E1012" i="12"/>
  <c r="F1012" i="12"/>
  <c r="G1012" i="12"/>
  <c r="E1013" i="12"/>
  <c r="F1013" i="12"/>
  <c r="G1013" i="12"/>
  <c r="E1014" i="12"/>
  <c r="F1014" i="12"/>
  <c r="G1014" i="12"/>
  <c r="E1015" i="12"/>
  <c r="F1015" i="12"/>
  <c r="G1015" i="12"/>
  <c r="E1016" i="12"/>
  <c r="F1016" i="12"/>
  <c r="G1016" i="12"/>
  <c r="E1017" i="12"/>
  <c r="F1017" i="12"/>
  <c r="G1017" i="12"/>
  <c r="E1018" i="12"/>
  <c r="F1018" i="12"/>
  <c r="G1018" i="12"/>
  <c r="E1019" i="12"/>
  <c r="F1019" i="12"/>
  <c r="G1019" i="12"/>
  <c r="E1020" i="12"/>
  <c r="F1020" i="12"/>
  <c r="G1020" i="12"/>
  <c r="E1021" i="12"/>
  <c r="F1021" i="12"/>
  <c r="G1021" i="12"/>
  <c r="E1022" i="12"/>
  <c r="F1022" i="12"/>
  <c r="G1022" i="12"/>
  <c r="E1023" i="12"/>
  <c r="F1023" i="12"/>
  <c r="G1023" i="12"/>
  <c r="E1024" i="12"/>
  <c r="F1024" i="12"/>
  <c r="G1024" i="12"/>
  <c r="E1025" i="12"/>
  <c r="F1025" i="12"/>
  <c r="G1025" i="12"/>
  <c r="E1026" i="12"/>
  <c r="F1026" i="12"/>
  <c r="G1026" i="12"/>
  <c r="E1027" i="12"/>
  <c r="F1027" i="12"/>
  <c r="G1027" i="12"/>
  <c r="E1028" i="12"/>
  <c r="F1028" i="12"/>
  <c r="G1028" i="12"/>
  <c r="E1029" i="12"/>
  <c r="F1029" i="12"/>
  <c r="G1029" i="12"/>
  <c r="E1030" i="12"/>
  <c r="F1030" i="12"/>
  <c r="G1030" i="12"/>
  <c r="E1031" i="12"/>
  <c r="F1031" i="12"/>
  <c r="G1031" i="12"/>
  <c r="E1032" i="12"/>
  <c r="F1032" i="12"/>
  <c r="G1032" i="12"/>
  <c r="E1033" i="12"/>
  <c r="F1033" i="12"/>
  <c r="G1033" i="12"/>
  <c r="E1034" i="12"/>
  <c r="F1034" i="12"/>
  <c r="G1034" i="12"/>
  <c r="E1035" i="12"/>
  <c r="F1035" i="12"/>
  <c r="G1035" i="12"/>
  <c r="E1036" i="12"/>
  <c r="F1036" i="12"/>
  <c r="G1036" i="12"/>
  <c r="E1037" i="12"/>
  <c r="F1037" i="12"/>
  <c r="G1037" i="12"/>
  <c r="E1038" i="12"/>
  <c r="F1038" i="12"/>
  <c r="G1038" i="12"/>
  <c r="E1039" i="12"/>
  <c r="F1039" i="12"/>
  <c r="G1039" i="12"/>
  <c r="E1040" i="12"/>
  <c r="F1040" i="12"/>
  <c r="G1040" i="12"/>
  <c r="E1041" i="12"/>
  <c r="F1041" i="12"/>
  <c r="G1041" i="12"/>
  <c r="E1042" i="12"/>
  <c r="F1042" i="12"/>
  <c r="G1042" i="12"/>
  <c r="E1043" i="12"/>
  <c r="F1043" i="12"/>
  <c r="G1043" i="12"/>
  <c r="E1044" i="12"/>
  <c r="F1044" i="12"/>
  <c r="G1044" i="12"/>
  <c r="E1045" i="12"/>
  <c r="F1045" i="12"/>
  <c r="G1045" i="12"/>
  <c r="E1046" i="12"/>
  <c r="F1046" i="12"/>
  <c r="G1046" i="12"/>
  <c r="E1047" i="12"/>
  <c r="F1047" i="12"/>
  <c r="G1047" i="12"/>
  <c r="E1048" i="12"/>
  <c r="F1048" i="12"/>
  <c r="G1048" i="12"/>
  <c r="E1049" i="12"/>
  <c r="F1049" i="12"/>
  <c r="G1049" i="12"/>
  <c r="E1050" i="12"/>
  <c r="F1050" i="12"/>
  <c r="G1050" i="12"/>
  <c r="E1051" i="12"/>
  <c r="F1051" i="12"/>
  <c r="G1051" i="12"/>
  <c r="E1052" i="12"/>
  <c r="F1052" i="12"/>
  <c r="G1052" i="12"/>
  <c r="E1053" i="12"/>
  <c r="F1053" i="12"/>
  <c r="G1053" i="12"/>
  <c r="E1054" i="12"/>
  <c r="F1054" i="12"/>
  <c r="G1054" i="12"/>
  <c r="E1055" i="12"/>
  <c r="F1055" i="12"/>
  <c r="G1055" i="12"/>
  <c r="E1056" i="12"/>
  <c r="F1056" i="12"/>
  <c r="G1056" i="12"/>
  <c r="E1057" i="12"/>
  <c r="F1057" i="12"/>
  <c r="G1057" i="12"/>
  <c r="E1058" i="12"/>
  <c r="F1058" i="12"/>
  <c r="G1058" i="12"/>
  <c r="E1059" i="12"/>
  <c r="F1059" i="12"/>
  <c r="G1059" i="12"/>
  <c r="E1060" i="12"/>
  <c r="F1060" i="12"/>
  <c r="G1060" i="12"/>
  <c r="E1061" i="12"/>
  <c r="F1061" i="12"/>
  <c r="G1061" i="12"/>
  <c r="E1062" i="12"/>
  <c r="F1062" i="12"/>
  <c r="G1062" i="12"/>
  <c r="E1063" i="12"/>
  <c r="F1063" i="12"/>
  <c r="G1063" i="12"/>
  <c r="E1064" i="12"/>
  <c r="F1064" i="12"/>
  <c r="G1064" i="12"/>
  <c r="E1065" i="12"/>
  <c r="F1065" i="12"/>
  <c r="G1065" i="12"/>
  <c r="E1066" i="12"/>
  <c r="F1066" i="12"/>
  <c r="G1066" i="12"/>
  <c r="E1067" i="12"/>
  <c r="F1067" i="12"/>
  <c r="G1067" i="12"/>
  <c r="E1068" i="12"/>
  <c r="F1068" i="12"/>
  <c r="G1068" i="12"/>
  <c r="E1069" i="12"/>
  <c r="F1069" i="12"/>
  <c r="G1069" i="12"/>
  <c r="E1070" i="12"/>
  <c r="F1070" i="12"/>
  <c r="G1070" i="12"/>
  <c r="E1071" i="12"/>
  <c r="F1071" i="12"/>
  <c r="G1071" i="12"/>
  <c r="E1072" i="12"/>
  <c r="F1072" i="12"/>
  <c r="G1072" i="12"/>
  <c r="E1073" i="12"/>
  <c r="F1073" i="12"/>
  <c r="G1073" i="12"/>
  <c r="E1074" i="12"/>
  <c r="F1074" i="12"/>
  <c r="G1074" i="12"/>
  <c r="E1075" i="12"/>
  <c r="F1075" i="12"/>
  <c r="G1075" i="12"/>
  <c r="E1076" i="12"/>
  <c r="F1076" i="12"/>
  <c r="G1076" i="12"/>
  <c r="E1077" i="12"/>
  <c r="F1077" i="12"/>
  <c r="G1077" i="12"/>
  <c r="E1078" i="12"/>
  <c r="F1078" i="12"/>
  <c r="G1078" i="12"/>
  <c r="E1079" i="12"/>
  <c r="F1079" i="12"/>
  <c r="G1079" i="12"/>
  <c r="E1080" i="12"/>
  <c r="F1080" i="12"/>
  <c r="G1080" i="12"/>
  <c r="E1081" i="12"/>
  <c r="F1081" i="12"/>
  <c r="G1081" i="12"/>
  <c r="E1082" i="12"/>
  <c r="F1082" i="12"/>
  <c r="G1082" i="12"/>
  <c r="E1083" i="12"/>
  <c r="F1083" i="12"/>
  <c r="G1083" i="12"/>
  <c r="E1084" i="12"/>
  <c r="F1084" i="12"/>
  <c r="G1084" i="12"/>
  <c r="E1085" i="12"/>
  <c r="F1085" i="12"/>
  <c r="G1085" i="12"/>
  <c r="E1086" i="12"/>
  <c r="F1086" i="12"/>
  <c r="G1086" i="12"/>
  <c r="E1087" i="12"/>
  <c r="F1087" i="12"/>
  <c r="G1087" i="12"/>
  <c r="E1088" i="12"/>
  <c r="F1088" i="12"/>
  <c r="G1088" i="12"/>
  <c r="E1089" i="12"/>
  <c r="F1089" i="12"/>
  <c r="G1089" i="12"/>
  <c r="E1090" i="12"/>
  <c r="F1090" i="12"/>
  <c r="G1090" i="12"/>
  <c r="E1091" i="12"/>
  <c r="F1091" i="12"/>
  <c r="G1091" i="12"/>
  <c r="E1092" i="12"/>
  <c r="F1092" i="12"/>
  <c r="G1092" i="12"/>
  <c r="E1093" i="12"/>
  <c r="F1093" i="12"/>
  <c r="G1093" i="12"/>
  <c r="E1094" i="12"/>
  <c r="F1094" i="12"/>
  <c r="G1094" i="12"/>
  <c r="E1095" i="12"/>
  <c r="F1095" i="12"/>
  <c r="G1095" i="12"/>
  <c r="E1096" i="12"/>
  <c r="F1096" i="12"/>
  <c r="G1096" i="12"/>
  <c r="E1097" i="12"/>
  <c r="F1097" i="12"/>
  <c r="G1097" i="12"/>
  <c r="E1098" i="12"/>
  <c r="F1098" i="12"/>
  <c r="G1098" i="12"/>
  <c r="E1099" i="12"/>
  <c r="F1099" i="12"/>
  <c r="G1099" i="12"/>
  <c r="E1100" i="12"/>
  <c r="F1100" i="12"/>
  <c r="G1100" i="12"/>
  <c r="E1101" i="12"/>
  <c r="F1101" i="12"/>
  <c r="G1101" i="12"/>
  <c r="E1102" i="12"/>
  <c r="F1102" i="12"/>
  <c r="G1102" i="12"/>
  <c r="E1103" i="12"/>
  <c r="F1103" i="12"/>
  <c r="G1103" i="12"/>
  <c r="E1104" i="12"/>
  <c r="F1104" i="12"/>
  <c r="G1104" i="12"/>
  <c r="E1105" i="12"/>
  <c r="F1105" i="12"/>
  <c r="G1105" i="12"/>
  <c r="E1106" i="12"/>
  <c r="F1106" i="12"/>
  <c r="G1106" i="12"/>
  <c r="E1107" i="12"/>
  <c r="F1107" i="12"/>
  <c r="G1107" i="12"/>
  <c r="E1108" i="12"/>
  <c r="F1108" i="12"/>
  <c r="G1108" i="12"/>
  <c r="E1109" i="12"/>
  <c r="F1109" i="12"/>
  <c r="G1109" i="12"/>
  <c r="E1110" i="12"/>
  <c r="F1110" i="12"/>
  <c r="G1110" i="12"/>
  <c r="E1111" i="12"/>
  <c r="F1111" i="12"/>
  <c r="G1111" i="12"/>
  <c r="E1112" i="12"/>
  <c r="F1112" i="12"/>
  <c r="G1112" i="12"/>
  <c r="E1113" i="12"/>
  <c r="F1113" i="12"/>
  <c r="G1113" i="12"/>
  <c r="E1114" i="12"/>
  <c r="F1114" i="12"/>
  <c r="G1114" i="12"/>
  <c r="E1115" i="12"/>
  <c r="F1115" i="12"/>
  <c r="G1115" i="12"/>
  <c r="E1116" i="12"/>
  <c r="F1116" i="12"/>
  <c r="G1116" i="12"/>
  <c r="E1117" i="12"/>
  <c r="F1117" i="12"/>
  <c r="G1117" i="12"/>
  <c r="E1118" i="12"/>
  <c r="F1118" i="12"/>
  <c r="G1118" i="12"/>
  <c r="E1119" i="12"/>
  <c r="F1119" i="12"/>
  <c r="G1119" i="12"/>
  <c r="E1120" i="12"/>
  <c r="F1120" i="12"/>
  <c r="G1120" i="12"/>
  <c r="E1121" i="12"/>
  <c r="F1121" i="12"/>
  <c r="G1121" i="12"/>
  <c r="E1122" i="12"/>
  <c r="F1122" i="12"/>
  <c r="G1122" i="12"/>
  <c r="E1123" i="12"/>
  <c r="F1123" i="12"/>
  <c r="G1123" i="12"/>
  <c r="E1124" i="12"/>
  <c r="F1124" i="12"/>
  <c r="G1124" i="12"/>
  <c r="E1125" i="12"/>
  <c r="F1125" i="12"/>
  <c r="G1125" i="12"/>
  <c r="E1126" i="12"/>
  <c r="F1126" i="12"/>
  <c r="G1126" i="12"/>
  <c r="E1127" i="12"/>
  <c r="F1127" i="12"/>
  <c r="G1127" i="12"/>
  <c r="E1128" i="12"/>
  <c r="F1128" i="12"/>
  <c r="G1128" i="12"/>
  <c r="E1129" i="12"/>
  <c r="F1129" i="12"/>
  <c r="G1129" i="12"/>
  <c r="E1130" i="12"/>
  <c r="F1130" i="12"/>
  <c r="G1130" i="12"/>
  <c r="E1131" i="12"/>
  <c r="F1131" i="12"/>
  <c r="G1131" i="12"/>
  <c r="E1132" i="12"/>
  <c r="F1132" i="12"/>
  <c r="G1132" i="12"/>
  <c r="E1133" i="12"/>
  <c r="F1133" i="12"/>
  <c r="G1133" i="12"/>
  <c r="E1134" i="12"/>
  <c r="F1134" i="12"/>
  <c r="G1134" i="12"/>
  <c r="E1135" i="12"/>
  <c r="F1135" i="12"/>
  <c r="G1135" i="12"/>
  <c r="E1136" i="12"/>
  <c r="F1136" i="12"/>
  <c r="G1136" i="12"/>
  <c r="E1137" i="12"/>
  <c r="F1137" i="12"/>
  <c r="G1137" i="12"/>
  <c r="E1138" i="12"/>
  <c r="F1138" i="12"/>
  <c r="G1138" i="12"/>
  <c r="E1139" i="12"/>
  <c r="F1139" i="12"/>
  <c r="G1139" i="12"/>
  <c r="E1140" i="12"/>
  <c r="F1140" i="12"/>
  <c r="G1140" i="12"/>
  <c r="E1141" i="12"/>
  <c r="F1141" i="12"/>
  <c r="G1141" i="12"/>
  <c r="E1142" i="12"/>
  <c r="F1142" i="12"/>
  <c r="G1142" i="12"/>
  <c r="E1143" i="12"/>
  <c r="F1143" i="12"/>
  <c r="G1143" i="12"/>
  <c r="E1144" i="12"/>
  <c r="F1144" i="12"/>
  <c r="G1144" i="12"/>
  <c r="E1145" i="12"/>
  <c r="F1145" i="12"/>
  <c r="G1145" i="12"/>
  <c r="E1146" i="12"/>
  <c r="F1146" i="12"/>
  <c r="G1146" i="12"/>
  <c r="E1147" i="12"/>
  <c r="F1147" i="12"/>
  <c r="G1147" i="12"/>
  <c r="E1148" i="12"/>
  <c r="F1148" i="12"/>
  <c r="G1148" i="12"/>
  <c r="E1149" i="12"/>
  <c r="F1149" i="12"/>
  <c r="G1149" i="12"/>
  <c r="E1150" i="12"/>
  <c r="F1150" i="12"/>
  <c r="G1150" i="12"/>
  <c r="E1151" i="12"/>
  <c r="F1151" i="12"/>
  <c r="G1151" i="12"/>
  <c r="E1152" i="12"/>
  <c r="F1152" i="12"/>
  <c r="G1152" i="12"/>
  <c r="E1153" i="12"/>
  <c r="F1153" i="12"/>
  <c r="G1153" i="12"/>
  <c r="E1154" i="12"/>
  <c r="F1154" i="12"/>
  <c r="G1154" i="12"/>
  <c r="E1155" i="12"/>
  <c r="F1155" i="12"/>
  <c r="G1155" i="12"/>
  <c r="E1156" i="12"/>
  <c r="F1156" i="12"/>
  <c r="G1156" i="12"/>
  <c r="E1157" i="12"/>
  <c r="F1157" i="12"/>
  <c r="G1157" i="12"/>
  <c r="E1158" i="12"/>
  <c r="F1158" i="12"/>
  <c r="G1158" i="12"/>
  <c r="E1159" i="12"/>
  <c r="F1159" i="12"/>
  <c r="G1159" i="12"/>
  <c r="E1160" i="12"/>
  <c r="F1160" i="12"/>
  <c r="G1160" i="12"/>
  <c r="E1161" i="12"/>
  <c r="F1161" i="12"/>
  <c r="G1161" i="12"/>
  <c r="E1162" i="12"/>
  <c r="F1162" i="12"/>
  <c r="G1162" i="12"/>
  <c r="E1163" i="12"/>
  <c r="F1163" i="12"/>
  <c r="G1163" i="12"/>
  <c r="E1164" i="12"/>
  <c r="F1164" i="12"/>
  <c r="G1164" i="12"/>
  <c r="E1165" i="12"/>
  <c r="F1165" i="12"/>
  <c r="G1165" i="12"/>
  <c r="E1166" i="12"/>
  <c r="F1166" i="12"/>
  <c r="G1166" i="12"/>
  <c r="E1167" i="12"/>
  <c r="F1167" i="12"/>
  <c r="G1167" i="12"/>
  <c r="E1168" i="12"/>
  <c r="F1168" i="12"/>
  <c r="G1168" i="12"/>
  <c r="E1169" i="12"/>
  <c r="F1169" i="12"/>
  <c r="G1169" i="12"/>
  <c r="E1170" i="12"/>
  <c r="F1170" i="12"/>
  <c r="G1170" i="12"/>
  <c r="E1171" i="12"/>
  <c r="F1171" i="12"/>
  <c r="G1171" i="12"/>
  <c r="E1172" i="12"/>
  <c r="F1172" i="12"/>
  <c r="G1172" i="12"/>
  <c r="E1173" i="12"/>
  <c r="F1173" i="12"/>
  <c r="G1173" i="12"/>
  <c r="E1174" i="12"/>
  <c r="F1174" i="12"/>
  <c r="G1174" i="12"/>
  <c r="E1175" i="12"/>
  <c r="F1175" i="12"/>
  <c r="G1175" i="12"/>
  <c r="E1176" i="12"/>
  <c r="F1176" i="12"/>
  <c r="G1176" i="12"/>
  <c r="E1177" i="12"/>
  <c r="F1177" i="12"/>
  <c r="G1177" i="12"/>
  <c r="E1178" i="12"/>
  <c r="F1178" i="12"/>
  <c r="G1178" i="12"/>
  <c r="E1179" i="12"/>
  <c r="F1179" i="12"/>
  <c r="G1179" i="12"/>
  <c r="E1180" i="12"/>
  <c r="F1180" i="12"/>
  <c r="G1180" i="12"/>
  <c r="E1181" i="12"/>
  <c r="F1181" i="12"/>
  <c r="G1181" i="12"/>
  <c r="E1182" i="12"/>
  <c r="F1182" i="12"/>
  <c r="G1182" i="12"/>
  <c r="E1183" i="12"/>
  <c r="F1183" i="12"/>
  <c r="G1183" i="12"/>
  <c r="E1184" i="12"/>
  <c r="F1184" i="12"/>
  <c r="G1184" i="12"/>
  <c r="E1185" i="12"/>
  <c r="F1185" i="12"/>
  <c r="G1185" i="12"/>
  <c r="E1186" i="12"/>
  <c r="F1186" i="12"/>
  <c r="G1186" i="12"/>
  <c r="E1187" i="12"/>
  <c r="F1187" i="12"/>
  <c r="G1187" i="12"/>
  <c r="E1188" i="12"/>
  <c r="F1188" i="12"/>
  <c r="G1188" i="12"/>
  <c r="E1189" i="12"/>
  <c r="F1189" i="12"/>
  <c r="G1189" i="12"/>
  <c r="E1190" i="12"/>
  <c r="F1190" i="12"/>
  <c r="G1190" i="12"/>
  <c r="E1191" i="12"/>
  <c r="F1191" i="12"/>
  <c r="G1191" i="12"/>
  <c r="E1192" i="12"/>
  <c r="F1192" i="12"/>
  <c r="G1192" i="12"/>
  <c r="E1193" i="12"/>
  <c r="F1193" i="12"/>
  <c r="G1193" i="12"/>
  <c r="E1194" i="12"/>
  <c r="F1194" i="12"/>
  <c r="G1194" i="12"/>
  <c r="E1195" i="12"/>
  <c r="F1195" i="12"/>
  <c r="G1195" i="12"/>
  <c r="E1196" i="12"/>
  <c r="F1196" i="12"/>
  <c r="G1196" i="12"/>
  <c r="E1197" i="12"/>
  <c r="F1197" i="12"/>
  <c r="G1197" i="12"/>
  <c r="E1198" i="12"/>
  <c r="F1198" i="12"/>
  <c r="G1198" i="12"/>
  <c r="E1199" i="12"/>
  <c r="F1199" i="12"/>
  <c r="G1199" i="12"/>
  <c r="E1200" i="12"/>
  <c r="F1200" i="12"/>
  <c r="G1200" i="12"/>
  <c r="E1201" i="12"/>
  <c r="F1201" i="12"/>
  <c r="G1201" i="12"/>
  <c r="E1202" i="12"/>
  <c r="F1202" i="12"/>
  <c r="G1202" i="12"/>
  <c r="E1203" i="12"/>
  <c r="F1203" i="12"/>
  <c r="G1203" i="12"/>
  <c r="E1204" i="12"/>
  <c r="F1204" i="12"/>
  <c r="G1204" i="12"/>
  <c r="E1205" i="12"/>
  <c r="F1205" i="12"/>
  <c r="G1205" i="12"/>
  <c r="E1206" i="12"/>
  <c r="F1206" i="12"/>
  <c r="G1206" i="12"/>
  <c r="E1207" i="12"/>
  <c r="F1207" i="12"/>
  <c r="G1207" i="12"/>
  <c r="E1208" i="12"/>
  <c r="F1208" i="12"/>
  <c r="G1208" i="12"/>
  <c r="E1209" i="12"/>
  <c r="F1209" i="12"/>
  <c r="G1209" i="12"/>
  <c r="E1210" i="12"/>
  <c r="F1210" i="12"/>
  <c r="G1210" i="12"/>
  <c r="E1211" i="12"/>
  <c r="F1211" i="12"/>
  <c r="G1211" i="12"/>
  <c r="E1212" i="12"/>
  <c r="F1212" i="12"/>
  <c r="G1212" i="12"/>
  <c r="E1213" i="12"/>
  <c r="F1213" i="12"/>
  <c r="G1213" i="12"/>
  <c r="E1214" i="12"/>
  <c r="F1214" i="12"/>
  <c r="G1214" i="12"/>
  <c r="E1215" i="12"/>
  <c r="F1215" i="12"/>
  <c r="G1215" i="12"/>
  <c r="E1216" i="12"/>
  <c r="F1216" i="12"/>
  <c r="G1216" i="12"/>
  <c r="E1217" i="12"/>
  <c r="F1217" i="12"/>
  <c r="G1217" i="12"/>
  <c r="E1218" i="12"/>
  <c r="F1218" i="12"/>
  <c r="G1218" i="12"/>
  <c r="E1219" i="12"/>
  <c r="F1219" i="12"/>
  <c r="G1219" i="12"/>
  <c r="E1220" i="12"/>
  <c r="F1220" i="12"/>
  <c r="G1220" i="12"/>
  <c r="E1221" i="12"/>
  <c r="F1221" i="12"/>
  <c r="G1221" i="12"/>
  <c r="E1222" i="12"/>
  <c r="F1222" i="12"/>
  <c r="G1222" i="12"/>
  <c r="E1223" i="12"/>
  <c r="F1223" i="12"/>
  <c r="G1223" i="12"/>
  <c r="E1224" i="12"/>
  <c r="F1224" i="12"/>
  <c r="G1224" i="12"/>
  <c r="E1225" i="12"/>
  <c r="F1225" i="12"/>
  <c r="G1225" i="12"/>
  <c r="E1226" i="12"/>
  <c r="F1226" i="12"/>
  <c r="G1226" i="12"/>
  <c r="E1227" i="12"/>
  <c r="F1227" i="12"/>
  <c r="G1227" i="12"/>
  <c r="E1228" i="12"/>
  <c r="F1228" i="12"/>
  <c r="G1228" i="12"/>
  <c r="E1229" i="12"/>
  <c r="F1229" i="12"/>
  <c r="G1229" i="12"/>
  <c r="E1230" i="12"/>
  <c r="F1230" i="12"/>
  <c r="G1230" i="12"/>
  <c r="E1231" i="12"/>
  <c r="F1231" i="12"/>
  <c r="G1231" i="12"/>
  <c r="E1232" i="12"/>
  <c r="F1232" i="12"/>
  <c r="G1232" i="12"/>
  <c r="E1233" i="12"/>
  <c r="F1233" i="12"/>
  <c r="G1233" i="12"/>
  <c r="E1234" i="12"/>
  <c r="F1234" i="12"/>
  <c r="G1234" i="12"/>
  <c r="E1235" i="12"/>
  <c r="F1235" i="12"/>
  <c r="G1235" i="12"/>
  <c r="E1236" i="12"/>
  <c r="F1236" i="12"/>
  <c r="G1236" i="12"/>
  <c r="E1237" i="12"/>
  <c r="F1237" i="12"/>
  <c r="G1237" i="12"/>
  <c r="E1238" i="12"/>
  <c r="F1238" i="12"/>
  <c r="G1238" i="12"/>
  <c r="E1239" i="12"/>
  <c r="F1239" i="12"/>
  <c r="G1239" i="12"/>
  <c r="E1240" i="12"/>
  <c r="F1240" i="12"/>
  <c r="G1240" i="12"/>
  <c r="E1241" i="12"/>
  <c r="F1241" i="12"/>
  <c r="G1241" i="12"/>
  <c r="E1242" i="12"/>
  <c r="F1242" i="12"/>
  <c r="G1242" i="12"/>
  <c r="E1243" i="12"/>
  <c r="F1243" i="12"/>
  <c r="G1243" i="12"/>
  <c r="E1244" i="12"/>
  <c r="F1244" i="12"/>
  <c r="G1244" i="12"/>
  <c r="E1245" i="12"/>
  <c r="F1245" i="12"/>
  <c r="G1245" i="12"/>
  <c r="E1246" i="12"/>
  <c r="F1246" i="12"/>
  <c r="G1246" i="12"/>
  <c r="E1247" i="12"/>
  <c r="F1247" i="12"/>
  <c r="G1247" i="12"/>
  <c r="E1248" i="12"/>
  <c r="F1248" i="12"/>
  <c r="G1248" i="12"/>
  <c r="E1249" i="12"/>
  <c r="F1249" i="12"/>
  <c r="G1249" i="12"/>
  <c r="E1250" i="12"/>
  <c r="F1250" i="12"/>
  <c r="G1250" i="12"/>
  <c r="E1251" i="12"/>
  <c r="F1251" i="12"/>
  <c r="G1251" i="12"/>
  <c r="E1252" i="12"/>
  <c r="F1252" i="12"/>
  <c r="G1252" i="12"/>
  <c r="E1253" i="12"/>
  <c r="F1253" i="12"/>
  <c r="G1253" i="12"/>
  <c r="E1254" i="12"/>
  <c r="F1254" i="12"/>
  <c r="G1254" i="12"/>
  <c r="E1255" i="12"/>
  <c r="F1255" i="12"/>
  <c r="G1255" i="12"/>
  <c r="E1256" i="12"/>
  <c r="F1256" i="12"/>
  <c r="G1256" i="12"/>
  <c r="E1257" i="12"/>
  <c r="F1257" i="12"/>
  <c r="G1257" i="12"/>
  <c r="E1258" i="12"/>
  <c r="F1258" i="12"/>
  <c r="G1258" i="12"/>
  <c r="E1259" i="12"/>
  <c r="F1259" i="12"/>
  <c r="G1259" i="12"/>
  <c r="E1260" i="12"/>
  <c r="F1260" i="12"/>
  <c r="G1260" i="12"/>
  <c r="E1261" i="12"/>
  <c r="F1261" i="12"/>
  <c r="G1261" i="12"/>
  <c r="E1262" i="12"/>
  <c r="F1262" i="12"/>
  <c r="G1262" i="12"/>
  <c r="E1263" i="12"/>
  <c r="F1263" i="12"/>
  <c r="G1263" i="12"/>
  <c r="E1264" i="12"/>
  <c r="F1264" i="12"/>
  <c r="G1264" i="12"/>
  <c r="E1265" i="12"/>
  <c r="F1265" i="12"/>
  <c r="G1265" i="12"/>
  <c r="E1266" i="12"/>
  <c r="F1266" i="12"/>
  <c r="G1266" i="12"/>
  <c r="E1267" i="12"/>
  <c r="F1267" i="12"/>
  <c r="G1267" i="12"/>
  <c r="E1268" i="12"/>
  <c r="F1268" i="12"/>
  <c r="G1268" i="12"/>
  <c r="E1269" i="12"/>
  <c r="F1269" i="12"/>
  <c r="G1269" i="12"/>
  <c r="E1270" i="12"/>
  <c r="F1270" i="12"/>
  <c r="G1270" i="12"/>
  <c r="E1271" i="12"/>
  <c r="F1271" i="12"/>
  <c r="G1271" i="12"/>
  <c r="E1272" i="12"/>
  <c r="F1272" i="12"/>
  <c r="G1272" i="12"/>
  <c r="E1273" i="12"/>
  <c r="F1273" i="12"/>
  <c r="G1273" i="12"/>
  <c r="E1274" i="12"/>
  <c r="F1274" i="12"/>
  <c r="G1274" i="12"/>
  <c r="E1275" i="12"/>
  <c r="F1275" i="12"/>
  <c r="G1275" i="12"/>
  <c r="E1276" i="12"/>
  <c r="F1276" i="12"/>
  <c r="G1276" i="12"/>
  <c r="E1277" i="12"/>
  <c r="F1277" i="12"/>
  <c r="G1277" i="12"/>
  <c r="E1278" i="12"/>
  <c r="F1278" i="12"/>
  <c r="G1278" i="12"/>
  <c r="E1279" i="12"/>
  <c r="F1279" i="12"/>
  <c r="G1279" i="12"/>
  <c r="E1280" i="12"/>
  <c r="F1280" i="12"/>
  <c r="G1280" i="12"/>
  <c r="E1281" i="12"/>
  <c r="F1281" i="12"/>
  <c r="G1281" i="12"/>
  <c r="E1282" i="12"/>
  <c r="F1282" i="12"/>
  <c r="G1282" i="12"/>
  <c r="E1283" i="12"/>
  <c r="F1283" i="12"/>
  <c r="G1283" i="12"/>
  <c r="E1284" i="12"/>
  <c r="F1284" i="12"/>
  <c r="G1284" i="12"/>
  <c r="E1285" i="12"/>
  <c r="F1285" i="12"/>
  <c r="G1285" i="12"/>
  <c r="E1286" i="12"/>
  <c r="F1286" i="12"/>
  <c r="G1286" i="12"/>
  <c r="E1287" i="12"/>
  <c r="F1287" i="12"/>
  <c r="G1287" i="12"/>
  <c r="E1288" i="12"/>
  <c r="F1288" i="12"/>
  <c r="G1288" i="12"/>
  <c r="E1289" i="12"/>
  <c r="F1289" i="12"/>
  <c r="G1289" i="12"/>
  <c r="E1290" i="12"/>
  <c r="F1290" i="12"/>
  <c r="G1290" i="12"/>
  <c r="E1291" i="12"/>
  <c r="F1291" i="12"/>
  <c r="G1291" i="12"/>
  <c r="E1292" i="12"/>
  <c r="F1292" i="12"/>
  <c r="G1292" i="12"/>
  <c r="E1293" i="12"/>
  <c r="F1293" i="12"/>
  <c r="G1293" i="12"/>
  <c r="E1294" i="12"/>
  <c r="F1294" i="12"/>
  <c r="G1294" i="12"/>
  <c r="E1295" i="12"/>
  <c r="F1295" i="12"/>
  <c r="G1295" i="12"/>
  <c r="E1296" i="12"/>
  <c r="F1296" i="12"/>
  <c r="G1296" i="12"/>
  <c r="E1297" i="12"/>
  <c r="F1297" i="12"/>
  <c r="G1297" i="12"/>
  <c r="E1298" i="12"/>
  <c r="F1298" i="12"/>
  <c r="G1298" i="12"/>
  <c r="E1299" i="12"/>
  <c r="F1299" i="12"/>
  <c r="G1299" i="12"/>
  <c r="E1300" i="12"/>
  <c r="F1300" i="12"/>
  <c r="G1300" i="12"/>
  <c r="E1301" i="12"/>
  <c r="F1301" i="12"/>
  <c r="G1301" i="12"/>
  <c r="E1302" i="12"/>
  <c r="F1302" i="12"/>
  <c r="G1302" i="12"/>
  <c r="E1303" i="12"/>
  <c r="F1303" i="12"/>
  <c r="G1303" i="12"/>
  <c r="F5" i="12"/>
  <c r="G5" i="12"/>
  <c r="E5" i="12"/>
  <c r="A1" i="12"/>
  <c r="C1304" i="8"/>
  <c r="D1304" i="8" s="1"/>
  <c r="D1303" i="8"/>
  <c r="C1303" i="8"/>
  <c r="C1302" i="8"/>
  <c r="D1302" i="8" s="1"/>
  <c r="D1301" i="8"/>
  <c r="C1301" i="8"/>
  <c r="C1300" i="8"/>
  <c r="D1300" i="8" s="1"/>
  <c r="D1299" i="8"/>
  <c r="C1299" i="8"/>
  <c r="C1298" i="8"/>
  <c r="D1298" i="8" s="1"/>
  <c r="D1297" i="8"/>
  <c r="C1297" i="8"/>
  <c r="C1296" i="8"/>
  <c r="D1296" i="8" s="1"/>
  <c r="D1295" i="8"/>
  <c r="C1295" i="8"/>
  <c r="C1294" i="8"/>
  <c r="D1294" i="8" s="1"/>
  <c r="D1293" i="8"/>
  <c r="C1293" i="8"/>
  <c r="C1292" i="8"/>
  <c r="D1292" i="8" s="1"/>
  <c r="D1291" i="8"/>
  <c r="C1291" i="8"/>
  <c r="C1290" i="8"/>
  <c r="D1290" i="8" s="1"/>
  <c r="D1289" i="8"/>
  <c r="C1289" i="8"/>
  <c r="C1288" i="8"/>
  <c r="D1288" i="8" s="1"/>
  <c r="D1287" i="8"/>
  <c r="C1287" i="8"/>
  <c r="C1286" i="8"/>
  <c r="D1286" i="8" s="1"/>
  <c r="D1285" i="8"/>
  <c r="C1285" i="8"/>
  <c r="C1284" i="8"/>
  <c r="D1284" i="8" s="1"/>
  <c r="D1283" i="8"/>
  <c r="C1283" i="8"/>
  <c r="C1282" i="8"/>
  <c r="D1282" i="8" s="1"/>
  <c r="D1281" i="8"/>
  <c r="C1281" i="8"/>
  <c r="C1280" i="8"/>
  <c r="D1280" i="8" s="1"/>
  <c r="D1279" i="8"/>
  <c r="C1279" i="8"/>
  <c r="C1278" i="8"/>
  <c r="D1278" i="8" s="1"/>
  <c r="D1277" i="8"/>
  <c r="C1277" i="8"/>
  <c r="C1276" i="8"/>
  <c r="D1276" i="8" s="1"/>
  <c r="D1275" i="8"/>
  <c r="C1275" i="8"/>
  <c r="C1274" i="8"/>
  <c r="D1274" i="8" s="1"/>
  <c r="D1273" i="8"/>
  <c r="C1273" i="8"/>
  <c r="C1272" i="8"/>
  <c r="D1272" i="8" s="1"/>
  <c r="D1271" i="8"/>
  <c r="C1271" i="8"/>
  <c r="C1270" i="8"/>
  <c r="D1270" i="8" s="1"/>
  <c r="D1269" i="8"/>
  <c r="C1269" i="8"/>
  <c r="C1268" i="8"/>
  <c r="D1268" i="8" s="1"/>
  <c r="D1267" i="8"/>
  <c r="C1267" i="8"/>
  <c r="C1266" i="8"/>
  <c r="D1266" i="8" s="1"/>
  <c r="D1265" i="8"/>
  <c r="C1265" i="8"/>
  <c r="C1264" i="8"/>
  <c r="D1264" i="8" s="1"/>
  <c r="D1263" i="8"/>
  <c r="C1263" i="8"/>
  <c r="C1262" i="8"/>
  <c r="D1262" i="8" s="1"/>
  <c r="D1261" i="8"/>
  <c r="C1261" i="8"/>
  <c r="C1260" i="8"/>
  <c r="D1260" i="8" s="1"/>
  <c r="D1259" i="8"/>
  <c r="C1259" i="8"/>
  <c r="C1258" i="8"/>
  <c r="D1258" i="8" s="1"/>
  <c r="D1257" i="8"/>
  <c r="C1257" i="8"/>
  <c r="C1256" i="8"/>
  <c r="D1256" i="8" s="1"/>
  <c r="D1255" i="8"/>
  <c r="C1255" i="8"/>
  <c r="C1254" i="8"/>
  <c r="D1254" i="8" s="1"/>
  <c r="D1253" i="8"/>
  <c r="C1253" i="8"/>
  <c r="C1252" i="8"/>
  <c r="D1252" i="8" s="1"/>
  <c r="D1251" i="8"/>
  <c r="C1251" i="8"/>
  <c r="C1250" i="8"/>
  <c r="D1250" i="8" s="1"/>
  <c r="D1249" i="8"/>
  <c r="C1249" i="8"/>
  <c r="C1248" i="8"/>
  <c r="D1248" i="8" s="1"/>
  <c r="D1247" i="8"/>
  <c r="C1247" i="8"/>
  <c r="C1246" i="8"/>
  <c r="D1246" i="8" s="1"/>
  <c r="D1245" i="8"/>
  <c r="C1245" i="8"/>
  <c r="C1244" i="8"/>
  <c r="D1244" i="8" s="1"/>
  <c r="D1243" i="8"/>
  <c r="C1243" i="8"/>
  <c r="C1242" i="8"/>
  <c r="D1242" i="8" s="1"/>
  <c r="D1241" i="8"/>
  <c r="C1241" i="8"/>
  <c r="C1240" i="8"/>
  <c r="D1240" i="8" s="1"/>
  <c r="D1239" i="8"/>
  <c r="C1239" i="8"/>
  <c r="C1238" i="8"/>
  <c r="D1238" i="8" s="1"/>
  <c r="D1237" i="8"/>
  <c r="C1237" i="8"/>
  <c r="C1236" i="8"/>
  <c r="D1236" i="8" s="1"/>
  <c r="D1235" i="8"/>
  <c r="C1235" i="8"/>
  <c r="C1234" i="8"/>
  <c r="D1234" i="8" s="1"/>
  <c r="D1233" i="8"/>
  <c r="C1233" i="8"/>
  <c r="C1232" i="8"/>
  <c r="D1232" i="8" s="1"/>
  <c r="D1231" i="8"/>
  <c r="C1231" i="8"/>
  <c r="C1230" i="8"/>
  <c r="D1230" i="8" s="1"/>
  <c r="D1229" i="8"/>
  <c r="C1229" i="8"/>
  <c r="C1228" i="8"/>
  <c r="D1228" i="8" s="1"/>
  <c r="D1227" i="8"/>
  <c r="C1227" i="8"/>
  <c r="C1226" i="8"/>
  <c r="D1226" i="8" s="1"/>
  <c r="D1225" i="8"/>
  <c r="C1225" i="8"/>
  <c r="D1224" i="8"/>
  <c r="C1224" i="8"/>
  <c r="D1223" i="8"/>
  <c r="C1223" i="8"/>
  <c r="D1222" i="8"/>
  <c r="C1222" i="8"/>
  <c r="D1221" i="8"/>
  <c r="C1221" i="8"/>
  <c r="D1220" i="8"/>
  <c r="C1220" i="8"/>
  <c r="D1219" i="8"/>
  <c r="C1219" i="8"/>
  <c r="D1218" i="8"/>
  <c r="C1218" i="8"/>
  <c r="D1217" i="8"/>
  <c r="C1217" i="8"/>
  <c r="D1216" i="8"/>
  <c r="C1216" i="8"/>
  <c r="D1215" i="8"/>
  <c r="C1215" i="8"/>
  <c r="D1214" i="8"/>
  <c r="C1214" i="8"/>
  <c r="D1213" i="8"/>
  <c r="C1213" i="8"/>
  <c r="D1212" i="8"/>
  <c r="C1212" i="8"/>
  <c r="D1211" i="8"/>
  <c r="C1211" i="8"/>
  <c r="D1210" i="8"/>
  <c r="C1210" i="8"/>
  <c r="D1209" i="8"/>
  <c r="C1209" i="8"/>
  <c r="D1208" i="8"/>
  <c r="C1208" i="8"/>
  <c r="D1207" i="8"/>
  <c r="C1207" i="8"/>
  <c r="D1206" i="8"/>
  <c r="C1206" i="8"/>
  <c r="D1205" i="8"/>
  <c r="C1205" i="8"/>
  <c r="D1204" i="8"/>
  <c r="C1204" i="8"/>
  <c r="D1203" i="8"/>
  <c r="C1203" i="8"/>
  <c r="D1202" i="8"/>
  <c r="C1202" i="8"/>
  <c r="D1201" i="8"/>
  <c r="C1201" i="8"/>
  <c r="D1200" i="8"/>
  <c r="C1200" i="8"/>
  <c r="D1199" i="8"/>
  <c r="C1199" i="8"/>
  <c r="D1198" i="8"/>
  <c r="C1198" i="8"/>
  <c r="D1197" i="8"/>
  <c r="C1197" i="8"/>
  <c r="D1196" i="8"/>
  <c r="C1196" i="8"/>
  <c r="D1195" i="8"/>
  <c r="C1195" i="8"/>
  <c r="D1194" i="8"/>
  <c r="C1194" i="8"/>
  <c r="D1193" i="8"/>
  <c r="C1193" i="8"/>
  <c r="D1192" i="8"/>
  <c r="C1192" i="8"/>
  <c r="D1191" i="8"/>
  <c r="C1191" i="8"/>
  <c r="D1190" i="8"/>
  <c r="C1190" i="8"/>
  <c r="D1189" i="8"/>
  <c r="C1189" i="8"/>
  <c r="D1188" i="8"/>
  <c r="C1188" i="8"/>
  <c r="D1187" i="8"/>
  <c r="C1187" i="8"/>
  <c r="D1186" i="8"/>
  <c r="C1186" i="8"/>
  <c r="D1185" i="8"/>
  <c r="C1185" i="8"/>
  <c r="D1184" i="8"/>
  <c r="C1184" i="8"/>
  <c r="D1183" i="8"/>
  <c r="C1183" i="8"/>
  <c r="D1182" i="8"/>
  <c r="C1182" i="8"/>
  <c r="D1181" i="8"/>
  <c r="C1181" i="8"/>
  <c r="D1180" i="8"/>
  <c r="C1180" i="8"/>
  <c r="D1179" i="8"/>
  <c r="C1179" i="8"/>
  <c r="D1178" i="8"/>
  <c r="C1178" i="8"/>
  <c r="D1177" i="8"/>
  <c r="C1177" i="8"/>
  <c r="D1176" i="8"/>
  <c r="C1176" i="8"/>
  <c r="D1175" i="8"/>
  <c r="C1175" i="8"/>
  <c r="D1174" i="8"/>
  <c r="C1174" i="8"/>
  <c r="D1173" i="8"/>
  <c r="C1173" i="8"/>
  <c r="D1172" i="8"/>
  <c r="C1172" i="8"/>
  <c r="D1171" i="8"/>
  <c r="C1171" i="8"/>
  <c r="D1170" i="8"/>
  <c r="C1170" i="8"/>
  <c r="D1169" i="8"/>
  <c r="C1169" i="8"/>
  <c r="D1168" i="8"/>
  <c r="C1168" i="8"/>
  <c r="D1167" i="8"/>
  <c r="C1167" i="8"/>
  <c r="D1166" i="8"/>
  <c r="C1166" i="8"/>
  <c r="D1165" i="8"/>
  <c r="C1165" i="8"/>
  <c r="D1164" i="8"/>
  <c r="C1164" i="8"/>
  <c r="D1163" i="8"/>
  <c r="C1163" i="8"/>
  <c r="D1162" i="8"/>
  <c r="C1162" i="8"/>
  <c r="D1161" i="8"/>
  <c r="C1161" i="8"/>
  <c r="D1160" i="8"/>
  <c r="C1160" i="8"/>
  <c r="D1159" i="8"/>
  <c r="C1159" i="8"/>
  <c r="D1158" i="8"/>
  <c r="C1158" i="8"/>
  <c r="D1157" i="8"/>
  <c r="C1157" i="8"/>
  <c r="D1156" i="8"/>
  <c r="C1156" i="8"/>
  <c r="D1155" i="8"/>
  <c r="C1155" i="8"/>
  <c r="C1154" i="8"/>
  <c r="D1154" i="8" s="1"/>
  <c r="D1153" i="8"/>
  <c r="C1153" i="8"/>
  <c r="D1152" i="8"/>
  <c r="C1152" i="8"/>
  <c r="D1151" i="8"/>
  <c r="C1151" i="8"/>
  <c r="C1150" i="8"/>
  <c r="D1150" i="8" s="1"/>
  <c r="D1149" i="8"/>
  <c r="C1149" i="8"/>
  <c r="D1148" i="8"/>
  <c r="C1148" i="8"/>
  <c r="D1147" i="8"/>
  <c r="C1147" i="8"/>
  <c r="C1146" i="8"/>
  <c r="D1146" i="8" s="1"/>
  <c r="D1145" i="8"/>
  <c r="C1145" i="8"/>
  <c r="D1144" i="8"/>
  <c r="C1144" i="8"/>
  <c r="C1143" i="8"/>
  <c r="D1143" i="8" s="1"/>
  <c r="C1142" i="8"/>
  <c r="D1142" i="8" s="1"/>
  <c r="D1141" i="8"/>
  <c r="C1141" i="8"/>
  <c r="D1140" i="8"/>
  <c r="C1140" i="8"/>
  <c r="C1139" i="8"/>
  <c r="D1139" i="8" s="1"/>
  <c r="C1138" i="8"/>
  <c r="D1138" i="8" s="1"/>
  <c r="D1137" i="8"/>
  <c r="C1137" i="8"/>
  <c r="D1136" i="8"/>
  <c r="C1136" i="8"/>
  <c r="C1135" i="8"/>
  <c r="D1135" i="8" s="1"/>
  <c r="C1134" i="8"/>
  <c r="D1134" i="8" s="1"/>
  <c r="C1133" i="8"/>
  <c r="D1133" i="8" s="1"/>
  <c r="C1132" i="8"/>
  <c r="D1132" i="8" s="1"/>
  <c r="C1131" i="8"/>
  <c r="D1131" i="8" s="1"/>
  <c r="C1130" i="8"/>
  <c r="D1130" i="8" s="1"/>
  <c r="C1129" i="8"/>
  <c r="D1129" i="8" s="1"/>
  <c r="D1128" i="8"/>
  <c r="C1128" i="8"/>
  <c r="C1127" i="8"/>
  <c r="D1127" i="8" s="1"/>
  <c r="C1126" i="8"/>
  <c r="D1126" i="8" s="1"/>
  <c r="C1125" i="8"/>
  <c r="D1125" i="8" s="1"/>
  <c r="D1124" i="8"/>
  <c r="C1124" i="8"/>
  <c r="C1123" i="8"/>
  <c r="D1123" i="8" s="1"/>
  <c r="D1122" i="8"/>
  <c r="C1122" i="8"/>
  <c r="C1121" i="8"/>
  <c r="D1121" i="8" s="1"/>
  <c r="D1120" i="8"/>
  <c r="C1120" i="8"/>
  <c r="C1119" i="8"/>
  <c r="D1119" i="8" s="1"/>
  <c r="C1118" i="8"/>
  <c r="D1118" i="8" s="1"/>
  <c r="C1117" i="8"/>
  <c r="D1117" i="8" s="1"/>
  <c r="D1116" i="8"/>
  <c r="C1116" i="8"/>
  <c r="C1115" i="8"/>
  <c r="D1115" i="8" s="1"/>
  <c r="C1114" i="8"/>
  <c r="D1114" i="8" s="1"/>
  <c r="C1113" i="8"/>
  <c r="D1113" i="8" s="1"/>
  <c r="D1112" i="8"/>
  <c r="C1112" i="8"/>
  <c r="C1111" i="8"/>
  <c r="D1111" i="8" s="1"/>
  <c r="C1110" i="8"/>
  <c r="D1110" i="8" s="1"/>
  <c r="C1109" i="8"/>
  <c r="D1109" i="8" s="1"/>
  <c r="D1108" i="8"/>
  <c r="C1108" i="8"/>
  <c r="C1107" i="8"/>
  <c r="D1107" i="8" s="1"/>
  <c r="D1106" i="8"/>
  <c r="C1106" i="8"/>
  <c r="C1105" i="8"/>
  <c r="D1105" i="8" s="1"/>
  <c r="D1104" i="8"/>
  <c r="C1104" i="8"/>
  <c r="C1103" i="8"/>
  <c r="D1103" i="8" s="1"/>
  <c r="C1102" i="8"/>
  <c r="D1102" i="8" s="1"/>
  <c r="C1101" i="8"/>
  <c r="D1101" i="8" s="1"/>
  <c r="D1100" i="8"/>
  <c r="C1100" i="8"/>
  <c r="C1099" i="8"/>
  <c r="D1099" i="8" s="1"/>
  <c r="C1098" i="8"/>
  <c r="D1098" i="8" s="1"/>
  <c r="D1097" i="8"/>
  <c r="C1097" i="8"/>
  <c r="C1096" i="8"/>
  <c r="D1096" i="8" s="1"/>
  <c r="D1095" i="8"/>
  <c r="C1095" i="8"/>
  <c r="D1094" i="8"/>
  <c r="C1094" i="8"/>
  <c r="D1093" i="8"/>
  <c r="C1093" i="8"/>
  <c r="C1092" i="8"/>
  <c r="D1092" i="8" s="1"/>
  <c r="D1091" i="8"/>
  <c r="C1091" i="8"/>
  <c r="C1090" i="8"/>
  <c r="D1090" i="8" s="1"/>
  <c r="D1089" i="8"/>
  <c r="C1089" i="8"/>
  <c r="C1088" i="8"/>
  <c r="D1088" i="8" s="1"/>
  <c r="D1087" i="8"/>
  <c r="C1087" i="8"/>
  <c r="D1086" i="8"/>
  <c r="C1086" i="8"/>
  <c r="D1085" i="8"/>
  <c r="C1085" i="8"/>
  <c r="C1084" i="8"/>
  <c r="D1084" i="8" s="1"/>
  <c r="D1083" i="8"/>
  <c r="C1083" i="8"/>
  <c r="C1082" i="8"/>
  <c r="D1082" i="8" s="1"/>
  <c r="C1081" i="8"/>
  <c r="D1081" i="8" s="1"/>
  <c r="C1080" i="8"/>
  <c r="D1080" i="8" s="1"/>
  <c r="D1079" i="8"/>
  <c r="C1079" i="8"/>
  <c r="D1078" i="8"/>
  <c r="C1078" i="8"/>
  <c r="D1077" i="8"/>
  <c r="C1077" i="8"/>
  <c r="C1076" i="8"/>
  <c r="D1076" i="8" s="1"/>
  <c r="D1075" i="8"/>
  <c r="C1075" i="8"/>
  <c r="C1074" i="8"/>
  <c r="D1074" i="8" s="1"/>
  <c r="C1073" i="8"/>
  <c r="D1073" i="8" s="1"/>
  <c r="C1072" i="8"/>
  <c r="D1072" i="8" s="1"/>
  <c r="D1071" i="8"/>
  <c r="C1071" i="8"/>
  <c r="D1070" i="8"/>
  <c r="C1070" i="8"/>
  <c r="D1069" i="8"/>
  <c r="C1069" i="8"/>
  <c r="C1068" i="8"/>
  <c r="D1068" i="8" s="1"/>
  <c r="D1067" i="8"/>
  <c r="C1067" i="8"/>
  <c r="C1066" i="8"/>
  <c r="D1066" i="8" s="1"/>
  <c r="D1065" i="8"/>
  <c r="C1065" i="8"/>
  <c r="C1064" i="8"/>
  <c r="D1064" i="8" s="1"/>
  <c r="D1063" i="8"/>
  <c r="C1063" i="8"/>
  <c r="D1062" i="8"/>
  <c r="C1062" i="8"/>
  <c r="D1061" i="8"/>
  <c r="C1061" i="8"/>
  <c r="C1060" i="8"/>
  <c r="D1060" i="8" s="1"/>
  <c r="D1059" i="8"/>
  <c r="C1059" i="8"/>
  <c r="C1058" i="8"/>
  <c r="D1058" i="8" s="1"/>
  <c r="D1057" i="8"/>
  <c r="C1057" i="8"/>
  <c r="C1056" i="8"/>
  <c r="D1056" i="8" s="1"/>
  <c r="D1055" i="8"/>
  <c r="C1055" i="8"/>
  <c r="D1054" i="8"/>
  <c r="C1054" i="8"/>
  <c r="D1053" i="8"/>
  <c r="C1053" i="8"/>
  <c r="C1052" i="8"/>
  <c r="D1052" i="8" s="1"/>
  <c r="D1051" i="8"/>
  <c r="C1051" i="8"/>
  <c r="C1050" i="8"/>
  <c r="D1050" i="8" s="1"/>
  <c r="C1049" i="8"/>
  <c r="D1049" i="8" s="1"/>
  <c r="C1048" i="8"/>
  <c r="D1048" i="8" s="1"/>
  <c r="D1047" i="8"/>
  <c r="C1047" i="8"/>
  <c r="D1046" i="8"/>
  <c r="C1046" i="8"/>
  <c r="D1045" i="8"/>
  <c r="C1045" i="8"/>
  <c r="C1044" i="8"/>
  <c r="D1044" i="8" s="1"/>
  <c r="D1043" i="8"/>
  <c r="C1043" i="8"/>
  <c r="C1042" i="8"/>
  <c r="D1042" i="8" s="1"/>
  <c r="C1041" i="8"/>
  <c r="D1041" i="8" s="1"/>
  <c r="C1040" i="8"/>
  <c r="D1040" i="8" s="1"/>
  <c r="D1039" i="8"/>
  <c r="C1039" i="8"/>
  <c r="D1038" i="8"/>
  <c r="C1038" i="8"/>
  <c r="C1037" i="8"/>
  <c r="D1037" i="8" s="1"/>
  <c r="D1036" i="8"/>
  <c r="C1036" i="8"/>
  <c r="D1035" i="8"/>
  <c r="C1035" i="8"/>
  <c r="D1034" i="8"/>
  <c r="C1034" i="8"/>
  <c r="C1033" i="8"/>
  <c r="D1033" i="8" s="1"/>
  <c r="C1032" i="8"/>
  <c r="D1032" i="8" s="1"/>
  <c r="D1031" i="8"/>
  <c r="C1031" i="8"/>
  <c r="D1030" i="8"/>
  <c r="C1030" i="8"/>
  <c r="D1029" i="8"/>
  <c r="C1029" i="8"/>
  <c r="C1028" i="8"/>
  <c r="D1028" i="8" s="1"/>
  <c r="C1027" i="8"/>
  <c r="D1027" i="8" s="1"/>
  <c r="D1026" i="8"/>
  <c r="C1026" i="8"/>
  <c r="C1025" i="8"/>
  <c r="D1025" i="8" s="1"/>
  <c r="C1024" i="8"/>
  <c r="D1024" i="8" s="1"/>
  <c r="D1023" i="8"/>
  <c r="C1023" i="8"/>
  <c r="D1022" i="8"/>
  <c r="C1022" i="8"/>
  <c r="C1021" i="8"/>
  <c r="D1021" i="8" s="1"/>
  <c r="D1020" i="8"/>
  <c r="C1020" i="8"/>
  <c r="D1019" i="8"/>
  <c r="C1019" i="8"/>
  <c r="C1018" i="8"/>
  <c r="D1018" i="8" s="1"/>
  <c r="C1017" i="8"/>
  <c r="D1017" i="8" s="1"/>
  <c r="C1016" i="8"/>
  <c r="D1016" i="8" s="1"/>
  <c r="C1015" i="8"/>
  <c r="D1015" i="8" s="1"/>
  <c r="C1014" i="8"/>
  <c r="D1014" i="8" s="1"/>
  <c r="C1013" i="8"/>
  <c r="D1013" i="8" s="1"/>
  <c r="C1012" i="8"/>
  <c r="D1012" i="8" s="1"/>
  <c r="C1011" i="8"/>
  <c r="D1011" i="8" s="1"/>
  <c r="C1010" i="8"/>
  <c r="D1010" i="8" s="1"/>
  <c r="C1009" i="8"/>
  <c r="D1009" i="8" s="1"/>
  <c r="C1008" i="8"/>
  <c r="D1008" i="8" s="1"/>
  <c r="C1007" i="8"/>
  <c r="D1007" i="8" s="1"/>
  <c r="C1006" i="8"/>
  <c r="D1006" i="8" s="1"/>
  <c r="C1005" i="8"/>
  <c r="D1005" i="8" s="1"/>
  <c r="C1004" i="8"/>
  <c r="D1004" i="8" s="1"/>
  <c r="C1003" i="8"/>
  <c r="D1003" i="8" s="1"/>
  <c r="C1002" i="8"/>
  <c r="D1002" i="8" s="1"/>
  <c r="C1001" i="8"/>
  <c r="D1001" i="8" s="1"/>
  <c r="C1000" i="8"/>
  <c r="D1000" i="8" s="1"/>
  <c r="C999" i="8"/>
  <c r="D999" i="8" s="1"/>
  <c r="C998" i="8"/>
  <c r="D998" i="8" s="1"/>
  <c r="C997" i="8"/>
  <c r="D997" i="8" s="1"/>
  <c r="C996" i="8"/>
  <c r="D996" i="8" s="1"/>
  <c r="C995" i="8"/>
  <c r="D995" i="8" s="1"/>
  <c r="C994" i="8"/>
  <c r="D994" i="8" s="1"/>
  <c r="C993" i="8"/>
  <c r="D993" i="8" s="1"/>
  <c r="C992" i="8"/>
  <c r="D992" i="8" s="1"/>
  <c r="C991" i="8"/>
  <c r="D991" i="8" s="1"/>
  <c r="C990" i="8"/>
  <c r="D990" i="8" s="1"/>
  <c r="C989" i="8"/>
  <c r="D989" i="8" s="1"/>
  <c r="C988" i="8"/>
  <c r="D988" i="8" s="1"/>
  <c r="C987" i="8"/>
  <c r="D987" i="8" s="1"/>
  <c r="C986" i="8"/>
  <c r="D986" i="8" s="1"/>
  <c r="C985" i="8"/>
  <c r="D985" i="8" s="1"/>
  <c r="C984" i="8"/>
  <c r="D984" i="8" s="1"/>
  <c r="C983" i="8"/>
  <c r="D983" i="8" s="1"/>
  <c r="C982" i="8"/>
  <c r="D982" i="8" s="1"/>
  <c r="C981" i="8"/>
  <c r="D981" i="8" s="1"/>
  <c r="D980" i="8"/>
  <c r="C980" i="8"/>
  <c r="C979" i="8"/>
  <c r="D979" i="8" s="1"/>
  <c r="C978" i="8"/>
  <c r="D978" i="8" s="1"/>
  <c r="C977" i="8"/>
  <c r="D977" i="8" s="1"/>
  <c r="D976" i="8"/>
  <c r="C976" i="8"/>
  <c r="C975" i="8"/>
  <c r="D975" i="8" s="1"/>
  <c r="C974" i="8"/>
  <c r="D974" i="8" s="1"/>
  <c r="C973" i="8"/>
  <c r="D973" i="8" s="1"/>
  <c r="D972" i="8"/>
  <c r="C972" i="8"/>
  <c r="C971" i="8"/>
  <c r="D971" i="8" s="1"/>
  <c r="D970" i="8"/>
  <c r="C970" i="8"/>
  <c r="C969" i="8"/>
  <c r="D969" i="8" s="1"/>
  <c r="D968" i="8"/>
  <c r="C968" i="8"/>
  <c r="C967" i="8"/>
  <c r="D967" i="8" s="1"/>
  <c r="C966" i="8"/>
  <c r="D966" i="8" s="1"/>
  <c r="C965" i="8"/>
  <c r="D965" i="8" s="1"/>
  <c r="D964" i="8"/>
  <c r="C964" i="8"/>
  <c r="C963" i="8"/>
  <c r="D963" i="8" s="1"/>
  <c r="D962" i="8"/>
  <c r="C962" i="8"/>
  <c r="C961" i="8"/>
  <c r="D961" i="8" s="1"/>
  <c r="D960" i="8"/>
  <c r="C960" i="8"/>
  <c r="C959" i="8"/>
  <c r="D959" i="8" s="1"/>
  <c r="C958" i="8"/>
  <c r="D958" i="8" s="1"/>
  <c r="C957" i="8"/>
  <c r="D957" i="8" s="1"/>
  <c r="D956" i="8"/>
  <c r="C956" i="8"/>
  <c r="C955" i="8"/>
  <c r="D955" i="8" s="1"/>
  <c r="C954" i="8"/>
  <c r="D954" i="8" s="1"/>
  <c r="C953" i="8"/>
  <c r="D953" i="8" s="1"/>
  <c r="D952" i="8"/>
  <c r="C952" i="8"/>
  <c r="C951" i="8"/>
  <c r="D951" i="8" s="1"/>
  <c r="C950" i="8"/>
  <c r="D950" i="8" s="1"/>
  <c r="C949" i="8"/>
  <c r="D949" i="8" s="1"/>
  <c r="D948" i="8"/>
  <c r="C948" i="8"/>
  <c r="C947" i="8"/>
  <c r="D947" i="8" s="1"/>
  <c r="C946" i="8"/>
  <c r="D946" i="8" s="1"/>
  <c r="C945" i="8"/>
  <c r="D945" i="8" s="1"/>
  <c r="D944" i="8"/>
  <c r="C944" i="8"/>
  <c r="C943" i="8"/>
  <c r="D943" i="8" s="1"/>
  <c r="C942" i="8"/>
  <c r="D942" i="8" s="1"/>
  <c r="C941" i="8"/>
  <c r="D941" i="8" s="1"/>
  <c r="D940" i="8"/>
  <c r="C940" i="8"/>
  <c r="C939" i="8"/>
  <c r="D939" i="8" s="1"/>
  <c r="D938" i="8"/>
  <c r="C938" i="8"/>
  <c r="C937" i="8"/>
  <c r="D937" i="8" s="1"/>
  <c r="D936" i="8"/>
  <c r="C936" i="8"/>
  <c r="C935" i="8"/>
  <c r="D935" i="8" s="1"/>
  <c r="C934" i="8"/>
  <c r="D934" i="8" s="1"/>
  <c r="C933" i="8"/>
  <c r="D933" i="8" s="1"/>
  <c r="D932" i="8"/>
  <c r="C932" i="8"/>
  <c r="C931" i="8"/>
  <c r="D931" i="8" s="1"/>
  <c r="C930" i="8"/>
  <c r="D930" i="8" s="1"/>
  <c r="C929" i="8"/>
  <c r="D929" i="8" s="1"/>
  <c r="C928" i="8"/>
  <c r="D928" i="8" s="1"/>
  <c r="C927" i="8"/>
  <c r="D927" i="8" s="1"/>
  <c r="D926" i="8"/>
  <c r="C926" i="8"/>
  <c r="D925" i="8"/>
  <c r="C925" i="8"/>
  <c r="C924" i="8"/>
  <c r="D924" i="8" s="1"/>
  <c r="D923" i="8"/>
  <c r="C923" i="8"/>
  <c r="C922" i="8"/>
  <c r="D922" i="8" s="1"/>
  <c r="D921" i="8"/>
  <c r="C921" i="8"/>
  <c r="C920" i="8"/>
  <c r="D920" i="8" s="1"/>
  <c r="C919" i="8"/>
  <c r="D919" i="8" s="1"/>
  <c r="C918" i="8"/>
  <c r="D918" i="8" s="1"/>
  <c r="C917" i="8"/>
  <c r="D917" i="8" s="1"/>
  <c r="C916" i="8"/>
  <c r="D916" i="8" s="1"/>
  <c r="D915" i="8"/>
  <c r="C915" i="8"/>
  <c r="C914" i="8"/>
  <c r="D914" i="8" s="1"/>
  <c r="D913" i="8"/>
  <c r="C913" i="8"/>
  <c r="C912" i="8"/>
  <c r="D912" i="8" s="1"/>
  <c r="C911" i="8"/>
  <c r="D911" i="8" s="1"/>
  <c r="C910" i="8"/>
  <c r="D910" i="8" s="1"/>
  <c r="C909" i="8"/>
  <c r="D909" i="8" s="1"/>
  <c r="C908" i="8"/>
  <c r="D908" i="8" s="1"/>
  <c r="D907" i="8"/>
  <c r="C907" i="8"/>
  <c r="C906" i="8"/>
  <c r="D906" i="8" s="1"/>
  <c r="D905" i="8"/>
  <c r="C905" i="8"/>
  <c r="C904" i="8"/>
  <c r="D904" i="8" s="1"/>
  <c r="C903" i="8"/>
  <c r="D903" i="8" s="1"/>
  <c r="C902" i="8"/>
  <c r="D902" i="8" s="1"/>
  <c r="C901" i="8"/>
  <c r="D901" i="8" s="1"/>
  <c r="C900" i="8"/>
  <c r="D900" i="8" s="1"/>
  <c r="D899" i="8"/>
  <c r="C899" i="8"/>
  <c r="C898" i="8"/>
  <c r="D898" i="8" s="1"/>
  <c r="D897" i="8"/>
  <c r="C897" i="8"/>
  <c r="C896" i="8"/>
  <c r="D896" i="8" s="1"/>
  <c r="C895" i="8"/>
  <c r="D895" i="8" s="1"/>
  <c r="C894" i="8"/>
  <c r="D894" i="8" s="1"/>
  <c r="C893" i="8"/>
  <c r="D893" i="8" s="1"/>
  <c r="C892" i="8"/>
  <c r="D892" i="8" s="1"/>
  <c r="D891" i="8"/>
  <c r="C891" i="8"/>
  <c r="C890" i="8"/>
  <c r="D890" i="8" s="1"/>
  <c r="D889" i="8"/>
  <c r="C889" i="8"/>
  <c r="C888" i="8"/>
  <c r="D888" i="8" s="1"/>
  <c r="C887" i="8"/>
  <c r="D887" i="8" s="1"/>
  <c r="C886" i="8"/>
  <c r="D886" i="8" s="1"/>
  <c r="C885" i="8"/>
  <c r="D885" i="8" s="1"/>
  <c r="C884" i="8"/>
  <c r="D884" i="8" s="1"/>
  <c r="D883" i="8"/>
  <c r="C883" i="8"/>
  <c r="C882" i="8"/>
  <c r="D882" i="8" s="1"/>
  <c r="D881" i="8"/>
  <c r="C881" i="8"/>
  <c r="C880" i="8"/>
  <c r="D880" i="8" s="1"/>
  <c r="C879" i="8"/>
  <c r="D879" i="8" s="1"/>
  <c r="C878" i="8"/>
  <c r="D878" i="8" s="1"/>
  <c r="C877" i="8"/>
  <c r="D877" i="8" s="1"/>
  <c r="C876" i="8"/>
  <c r="D876" i="8" s="1"/>
  <c r="D875" i="8"/>
  <c r="C875" i="8"/>
  <c r="C874" i="8"/>
  <c r="D874" i="8" s="1"/>
  <c r="D873" i="8"/>
  <c r="C873" i="8"/>
  <c r="C872" i="8"/>
  <c r="D872" i="8" s="1"/>
  <c r="C871" i="8"/>
  <c r="D871" i="8" s="1"/>
  <c r="C870" i="8"/>
  <c r="D870" i="8" s="1"/>
  <c r="C869" i="8"/>
  <c r="D869" i="8" s="1"/>
  <c r="C868" i="8"/>
  <c r="D868" i="8" s="1"/>
  <c r="D867" i="8"/>
  <c r="C867" i="8"/>
  <c r="C866" i="8"/>
  <c r="D866" i="8" s="1"/>
  <c r="D865" i="8"/>
  <c r="C865" i="8"/>
  <c r="C864" i="8"/>
  <c r="D864" i="8" s="1"/>
  <c r="C863" i="8"/>
  <c r="D863" i="8" s="1"/>
  <c r="C862" i="8"/>
  <c r="D862" i="8" s="1"/>
  <c r="C861" i="8"/>
  <c r="D861" i="8" s="1"/>
  <c r="C860" i="8"/>
  <c r="D860" i="8" s="1"/>
  <c r="D859" i="8"/>
  <c r="C859" i="8"/>
  <c r="C858" i="8"/>
  <c r="D858" i="8" s="1"/>
  <c r="D857" i="8"/>
  <c r="C857" i="8"/>
  <c r="C856" i="8"/>
  <c r="D856" i="8" s="1"/>
  <c r="D855" i="8"/>
  <c r="C855" i="8"/>
  <c r="C854" i="8"/>
  <c r="D854" i="8" s="1"/>
  <c r="C853" i="8"/>
  <c r="D853" i="8" s="1"/>
  <c r="C852" i="8"/>
  <c r="D852" i="8" s="1"/>
  <c r="D851" i="8"/>
  <c r="C851" i="8"/>
  <c r="C850" i="8"/>
  <c r="D850" i="8" s="1"/>
  <c r="D849" i="8"/>
  <c r="C849" i="8"/>
  <c r="C848" i="8"/>
  <c r="D848" i="8" s="1"/>
  <c r="C847" i="8"/>
  <c r="D847" i="8" s="1"/>
  <c r="D846" i="8"/>
  <c r="C846" i="8"/>
  <c r="D845" i="8"/>
  <c r="C845" i="8"/>
  <c r="C844" i="8"/>
  <c r="D844" i="8" s="1"/>
  <c r="D843" i="8"/>
  <c r="C843" i="8"/>
  <c r="D842" i="8"/>
  <c r="C842" i="8"/>
  <c r="D841" i="8"/>
  <c r="C841" i="8"/>
  <c r="C840" i="8"/>
  <c r="D840" i="8" s="1"/>
  <c r="C839" i="8"/>
  <c r="D839" i="8" s="1"/>
  <c r="D838" i="8"/>
  <c r="C838" i="8"/>
  <c r="D837" i="8"/>
  <c r="C837" i="8"/>
  <c r="C836" i="8"/>
  <c r="D836" i="8" s="1"/>
  <c r="D835" i="8"/>
  <c r="C835" i="8"/>
  <c r="D834" i="8"/>
  <c r="C834" i="8"/>
  <c r="D833" i="8"/>
  <c r="C833" i="8"/>
  <c r="C832" i="8"/>
  <c r="D832" i="8" s="1"/>
  <c r="C831" i="8"/>
  <c r="D831" i="8" s="1"/>
  <c r="D830" i="8"/>
  <c r="C830" i="8"/>
  <c r="D829" i="8"/>
  <c r="C829" i="8"/>
  <c r="C828" i="8"/>
  <c r="D828" i="8" s="1"/>
  <c r="D827" i="8"/>
  <c r="C827" i="8"/>
  <c r="D826" i="8"/>
  <c r="C826" i="8"/>
  <c r="C825" i="8"/>
  <c r="D825" i="8" s="1"/>
  <c r="D824" i="8"/>
  <c r="C824" i="8"/>
  <c r="C823" i="8"/>
  <c r="D823" i="8" s="1"/>
  <c r="C822" i="8"/>
  <c r="D822" i="8" s="1"/>
  <c r="C821" i="8"/>
  <c r="D821" i="8" s="1"/>
  <c r="D820" i="8"/>
  <c r="C820" i="8"/>
  <c r="D819" i="8"/>
  <c r="C819" i="8"/>
  <c r="D818" i="8"/>
  <c r="C818" i="8"/>
  <c r="D817" i="8"/>
  <c r="C817" i="8"/>
  <c r="D816" i="8"/>
  <c r="C816" i="8"/>
  <c r="C815" i="8"/>
  <c r="D815" i="8" s="1"/>
  <c r="C814" i="8"/>
  <c r="D814" i="8" s="1"/>
  <c r="D813" i="8"/>
  <c r="C813" i="8"/>
  <c r="C812" i="8"/>
  <c r="D812" i="8" s="1"/>
  <c r="D811" i="8"/>
  <c r="C811" i="8"/>
  <c r="C810" i="8"/>
  <c r="D810" i="8" s="1"/>
  <c r="D809" i="8"/>
  <c r="C809" i="8"/>
  <c r="C808" i="8"/>
  <c r="D808" i="8" s="1"/>
  <c r="D807" i="8"/>
  <c r="C807" i="8"/>
  <c r="C806" i="8"/>
  <c r="D806" i="8" s="1"/>
  <c r="D805" i="8"/>
  <c r="C805" i="8"/>
  <c r="C804" i="8"/>
  <c r="D804" i="8" s="1"/>
  <c r="D803" i="8"/>
  <c r="C803" i="8"/>
  <c r="C802" i="8"/>
  <c r="D802" i="8" s="1"/>
  <c r="D801" i="8"/>
  <c r="C801" i="8"/>
  <c r="C800" i="8"/>
  <c r="D800" i="8" s="1"/>
  <c r="D799" i="8"/>
  <c r="C799" i="8"/>
  <c r="C798" i="8"/>
  <c r="D798" i="8" s="1"/>
  <c r="D797" i="8"/>
  <c r="C797" i="8"/>
  <c r="C796" i="8"/>
  <c r="D796" i="8" s="1"/>
  <c r="D795" i="8"/>
  <c r="C795" i="8"/>
  <c r="C794" i="8"/>
  <c r="D794" i="8" s="1"/>
  <c r="D793" i="8"/>
  <c r="C793" i="8"/>
  <c r="C792" i="8"/>
  <c r="D792" i="8" s="1"/>
  <c r="D791" i="8"/>
  <c r="C791" i="8"/>
  <c r="C790" i="8"/>
  <c r="D790" i="8" s="1"/>
  <c r="D789" i="8"/>
  <c r="C789" i="8"/>
  <c r="C788" i="8"/>
  <c r="D788" i="8" s="1"/>
  <c r="D787" i="8"/>
  <c r="C787" i="8"/>
  <c r="C786" i="8"/>
  <c r="D786" i="8" s="1"/>
  <c r="D785" i="8"/>
  <c r="C785" i="8"/>
  <c r="C784" i="8"/>
  <c r="D784" i="8" s="1"/>
  <c r="D783" i="8"/>
  <c r="C783" i="8"/>
  <c r="C782" i="8"/>
  <c r="D782" i="8" s="1"/>
  <c r="D781" i="8"/>
  <c r="C781" i="8"/>
  <c r="C780" i="8"/>
  <c r="D780" i="8" s="1"/>
  <c r="D779" i="8"/>
  <c r="C779" i="8"/>
  <c r="C778" i="8"/>
  <c r="D778" i="8" s="1"/>
  <c r="D777" i="8"/>
  <c r="C777" i="8"/>
  <c r="C776" i="8"/>
  <c r="D776" i="8" s="1"/>
  <c r="D775" i="8"/>
  <c r="C775" i="8"/>
  <c r="C774" i="8"/>
  <c r="D774" i="8" s="1"/>
  <c r="D773" i="8"/>
  <c r="C773" i="8"/>
  <c r="C772" i="8"/>
  <c r="D772" i="8" s="1"/>
  <c r="D771" i="8"/>
  <c r="C771" i="8"/>
  <c r="C770" i="8"/>
  <c r="D770" i="8" s="1"/>
  <c r="D769" i="8"/>
  <c r="C769" i="8"/>
  <c r="C768" i="8"/>
  <c r="D768" i="8" s="1"/>
  <c r="D767" i="8"/>
  <c r="C767" i="8"/>
  <c r="C766" i="8"/>
  <c r="D766" i="8" s="1"/>
  <c r="D765" i="8"/>
  <c r="C765" i="8"/>
  <c r="C764" i="8"/>
  <c r="D764" i="8" s="1"/>
  <c r="D763" i="8"/>
  <c r="C763" i="8"/>
  <c r="C762" i="8"/>
  <c r="D762" i="8" s="1"/>
  <c r="D761" i="8"/>
  <c r="C761" i="8"/>
  <c r="C760" i="8"/>
  <c r="D760" i="8" s="1"/>
  <c r="D759" i="8"/>
  <c r="C759" i="8"/>
  <c r="C758" i="8"/>
  <c r="D758" i="8" s="1"/>
  <c r="D757" i="8"/>
  <c r="C757" i="8"/>
  <c r="C756" i="8"/>
  <c r="D756" i="8" s="1"/>
  <c r="D755" i="8"/>
  <c r="C755" i="8"/>
  <c r="C754" i="8"/>
  <c r="D754" i="8" s="1"/>
  <c r="D753" i="8"/>
  <c r="C753" i="8"/>
  <c r="C752" i="8"/>
  <c r="D752" i="8" s="1"/>
  <c r="D751" i="8"/>
  <c r="C751" i="8"/>
  <c r="C750" i="8"/>
  <c r="D750" i="8" s="1"/>
  <c r="C749" i="8"/>
  <c r="D749" i="8" s="1"/>
  <c r="C748" i="8"/>
  <c r="D748" i="8" s="1"/>
  <c r="C747" i="8"/>
  <c r="D747" i="8" s="1"/>
  <c r="C746" i="8"/>
  <c r="D746" i="8" s="1"/>
  <c r="C745" i="8"/>
  <c r="D745" i="8" s="1"/>
  <c r="C744" i="8"/>
  <c r="D744" i="8" s="1"/>
  <c r="D743" i="8"/>
  <c r="C743" i="8"/>
  <c r="C742" i="8"/>
  <c r="D742" i="8" s="1"/>
  <c r="C741" i="8"/>
  <c r="D741" i="8" s="1"/>
  <c r="C740" i="8"/>
  <c r="D740" i="8" s="1"/>
  <c r="C739" i="8"/>
  <c r="D739" i="8" s="1"/>
  <c r="C738" i="8"/>
  <c r="D738" i="8" s="1"/>
  <c r="C737" i="8"/>
  <c r="D737" i="8" s="1"/>
  <c r="C736" i="8"/>
  <c r="D736" i="8" s="1"/>
  <c r="D735" i="8"/>
  <c r="C735" i="8"/>
  <c r="C734" i="8"/>
  <c r="D734" i="8" s="1"/>
  <c r="C733" i="8"/>
  <c r="D733" i="8" s="1"/>
  <c r="C732" i="8"/>
  <c r="D732" i="8" s="1"/>
  <c r="C731" i="8"/>
  <c r="D731" i="8" s="1"/>
  <c r="C730" i="8"/>
  <c r="D730" i="8" s="1"/>
  <c r="C729" i="8"/>
  <c r="D729" i="8" s="1"/>
  <c r="C728" i="8"/>
  <c r="D728" i="8" s="1"/>
  <c r="D727" i="8"/>
  <c r="C727" i="8"/>
  <c r="D726" i="8"/>
  <c r="C726" i="8"/>
  <c r="D725" i="8"/>
  <c r="C725" i="8"/>
  <c r="C724" i="8"/>
  <c r="D724" i="8" s="1"/>
  <c r="C723" i="8"/>
  <c r="D723" i="8" s="1"/>
  <c r="D722" i="8"/>
  <c r="C722" i="8"/>
  <c r="C721" i="8"/>
  <c r="D721" i="8" s="1"/>
  <c r="D720" i="8"/>
  <c r="C720" i="8"/>
  <c r="C719" i="8"/>
  <c r="D719" i="8" s="1"/>
  <c r="D718" i="8"/>
  <c r="C718" i="8"/>
  <c r="C717" i="8"/>
  <c r="D717" i="8" s="1"/>
  <c r="D716" i="8"/>
  <c r="C716" i="8"/>
  <c r="C715" i="8"/>
  <c r="D715" i="8" s="1"/>
  <c r="D714" i="8"/>
  <c r="C714" i="8"/>
  <c r="C713" i="8"/>
  <c r="D713" i="8" s="1"/>
  <c r="D712" i="8"/>
  <c r="C712" i="8"/>
  <c r="C711" i="8"/>
  <c r="D711" i="8" s="1"/>
  <c r="D710" i="8"/>
  <c r="C710" i="8"/>
  <c r="C709" i="8"/>
  <c r="D709" i="8" s="1"/>
  <c r="D708" i="8"/>
  <c r="C708" i="8"/>
  <c r="C707" i="8"/>
  <c r="D707" i="8" s="1"/>
  <c r="D706" i="8"/>
  <c r="C706" i="8"/>
  <c r="C705" i="8"/>
  <c r="D705" i="8" s="1"/>
  <c r="D704" i="8"/>
  <c r="C704" i="8"/>
  <c r="C703" i="8"/>
  <c r="D703" i="8" s="1"/>
  <c r="D702" i="8"/>
  <c r="C702" i="8"/>
  <c r="C701" i="8"/>
  <c r="D701" i="8" s="1"/>
  <c r="D700" i="8"/>
  <c r="C700" i="8"/>
  <c r="C699" i="8"/>
  <c r="D699" i="8" s="1"/>
  <c r="D698" i="8"/>
  <c r="C698" i="8"/>
  <c r="C697" i="8"/>
  <c r="D697" i="8" s="1"/>
  <c r="D696" i="8"/>
  <c r="C696" i="8"/>
  <c r="C695" i="8"/>
  <c r="D695" i="8" s="1"/>
  <c r="D694" i="8"/>
  <c r="C694" i="8"/>
  <c r="C693" i="8"/>
  <c r="D693" i="8" s="1"/>
  <c r="D692" i="8"/>
  <c r="C692" i="8"/>
  <c r="C691" i="8"/>
  <c r="D691" i="8" s="1"/>
  <c r="D690" i="8"/>
  <c r="C690" i="8"/>
  <c r="C689" i="8"/>
  <c r="D689" i="8" s="1"/>
  <c r="D688" i="8"/>
  <c r="C688" i="8"/>
  <c r="C687" i="8"/>
  <c r="D687" i="8" s="1"/>
  <c r="D686" i="8"/>
  <c r="C686" i="8"/>
  <c r="C685" i="8"/>
  <c r="D685" i="8" s="1"/>
  <c r="D684" i="8"/>
  <c r="C684" i="8"/>
  <c r="C683" i="8"/>
  <c r="D683" i="8" s="1"/>
  <c r="D682" i="8"/>
  <c r="C682" i="8"/>
  <c r="C681" i="8"/>
  <c r="D681" i="8" s="1"/>
  <c r="D680" i="8"/>
  <c r="C680" i="8"/>
  <c r="C679" i="8"/>
  <c r="D679" i="8" s="1"/>
  <c r="D678" i="8"/>
  <c r="C678" i="8"/>
  <c r="C677" i="8"/>
  <c r="D677" i="8" s="1"/>
  <c r="D676" i="8"/>
  <c r="C676" i="8"/>
  <c r="C675" i="8"/>
  <c r="D675" i="8" s="1"/>
  <c r="D674" i="8"/>
  <c r="C674" i="8"/>
  <c r="C673" i="8"/>
  <c r="D673" i="8" s="1"/>
  <c r="D672" i="8"/>
  <c r="C672" i="8"/>
  <c r="C671" i="8"/>
  <c r="D671" i="8" s="1"/>
  <c r="D670" i="8"/>
  <c r="C670" i="8"/>
  <c r="C669" i="8"/>
  <c r="D669" i="8" s="1"/>
  <c r="D668" i="8"/>
  <c r="C668" i="8"/>
  <c r="C667" i="8"/>
  <c r="D667" i="8" s="1"/>
  <c r="D666" i="8"/>
  <c r="C666" i="8"/>
  <c r="C665" i="8"/>
  <c r="D665" i="8" s="1"/>
  <c r="D664" i="8"/>
  <c r="C664" i="8"/>
  <c r="C663" i="8"/>
  <c r="D663" i="8" s="1"/>
  <c r="D662" i="8"/>
  <c r="C662" i="8"/>
  <c r="C661" i="8"/>
  <c r="D661" i="8" s="1"/>
  <c r="D660" i="8"/>
  <c r="C660" i="8"/>
  <c r="C659" i="8"/>
  <c r="D659" i="8" s="1"/>
  <c r="D658" i="8"/>
  <c r="C658" i="8"/>
  <c r="C657" i="8"/>
  <c r="D657" i="8" s="1"/>
  <c r="D656" i="8"/>
  <c r="C656" i="8"/>
  <c r="C655" i="8"/>
  <c r="D655" i="8" s="1"/>
  <c r="D654" i="8"/>
  <c r="C654" i="8"/>
  <c r="C653" i="8"/>
  <c r="D653" i="8" s="1"/>
  <c r="D652" i="8"/>
  <c r="C652" i="8"/>
  <c r="C651" i="8"/>
  <c r="D651" i="8" s="1"/>
  <c r="D650" i="8"/>
  <c r="C650" i="8"/>
  <c r="C649" i="8"/>
  <c r="D649" i="8" s="1"/>
  <c r="D648" i="8"/>
  <c r="C648" i="8"/>
  <c r="C647" i="8"/>
  <c r="D647" i="8" s="1"/>
  <c r="D646" i="8"/>
  <c r="C646" i="8"/>
  <c r="C645" i="8"/>
  <c r="D645" i="8" s="1"/>
  <c r="D644" i="8"/>
  <c r="C644" i="8"/>
  <c r="C643" i="8"/>
  <c r="D643" i="8" s="1"/>
  <c r="D642" i="8"/>
  <c r="C642" i="8"/>
  <c r="C641" i="8"/>
  <c r="D641" i="8" s="1"/>
  <c r="D640" i="8"/>
  <c r="C640" i="8"/>
  <c r="C639" i="8"/>
  <c r="D639" i="8" s="1"/>
  <c r="D638" i="8"/>
  <c r="C638" i="8"/>
  <c r="C637" i="8"/>
  <c r="D637" i="8" s="1"/>
  <c r="D636" i="8"/>
  <c r="C636" i="8"/>
  <c r="C635" i="8"/>
  <c r="D635" i="8" s="1"/>
  <c r="D634" i="8"/>
  <c r="C634" i="8"/>
  <c r="C633" i="8"/>
  <c r="D633" i="8" s="1"/>
  <c r="D632" i="8"/>
  <c r="C632" i="8"/>
  <c r="C631" i="8"/>
  <c r="D631" i="8" s="1"/>
  <c r="D630" i="8"/>
  <c r="C630" i="8"/>
  <c r="C629" i="8"/>
  <c r="D629" i="8" s="1"/>
  <c r="D628" i="8"/>
  <c r="C628" i="8"/>
  <c r="C627" i="8"/>
  <c r="D627" i="8" s="1"/>
  <c r="D626" i="8"/>
  <c r="C626" i="8"/>
  <c r="C625" i="8"/>
  <c r="D625" i="8" s="1"/>
  <c r="D624" i="8"/>
  <c r="C624" i="8"/>
  <c r="C623" i="8"/>
  <c r="D623" i="8" s="1"/>
  <c r="D622" i="8"/>
  <c r="C622" i="8"/>
  <c r="C621" i="8"/>
  <c r="D621" i="8" s="1"/>
  <c r="D620" i="8"/>
  <c r="C620" i="8"/>
  <c r="C619" i="8"/>
  <c r="D619" i="8" s="1"/>
  <c r="D618" i="8"/>
  <c r="C618" i="8"/>
  <c r="C617" i="8"/>
  <c r="D617" i="8" s="1"/>
  <c r="D616" i="8"/>
  <c r="C616" i="8"/>
  <c r="C615" i="8"/>
  <c r="D615" i="8" s="1"/>
  <c r="D614" i="8"/>
  <c r="C614" i="8"/>
  <c r="C613" i="8"/>
  <c r="D613" i="8" s="1"/>
  <c r="D612" i="8"/>
  <c r="C612" i="8"/>
  <c r="C611" i="8"/>
  <c r="D611" i="8" s="1"/>
  <c r="D610" i="8"/>
  <c r="C610" i="8"/>
  <c r="C609" i="8"/>
  <c r="D609" i="8" s="1"/>
  <c r="D608" i="8"/>
  <c r="C608" i="8"/>
  <c r="C607" i="8"/>
  <c r="D607" i="8" s="1"/>
  <c r="D606" i="8"/>
  <c r="C606" i="8"/>
  <c r="C605" i="8"/>
  <c r="D605" i="8" s="1"/>
  <c r="D604" i="8"/>
  <c r="C604" i="8"/>
  <c r="C603" i="8"/>
  <c r="D603" i="8" s="1"/>
  <c r="D602" i="8"/>
  <c r="C602" i="8"/>
  <c r="C601" i="8"/>
  <c r="D601" i="8" s="1"/>
  <c r="D600" i="8"/>
  <c r="C600" i="8"/>
  <c r="C599" i="8"/>
  <c r="D599" i="8" s="1"/>
  <c r="D598" i="8"/>
  <c r="C598" i="8"/>
  <c r="C597" i="8"/>
  <c r="D597" i="8" s="1"/>
  <c r="D596" i="8"/>
  <c r="C596" i="8"/>
  <c r="C595" i="8"/>
  <c r="D595" i="8" s="1"/>
  <c r="D594" i="8"/>
  <c r="C594" i="8"/>
  <c r="C593" i="8"/>
  <c r="D593" i="8" s="1"/>
  <c r="D592" i="8"/>
  <c r="C592" i="8"/>
  <c r="C591" i="8"/>
  <c r="D591" i="8" s="1"/>
  <c r="D590" i="8"/>
  <c r="C590" i="8"/>
  <c r="C589" i="8"/>
  <c r="D589" i="8" s="1"/>
  <c r="D588" i="8"/>
  <c r="C588" i="8"/>
  <c r="C587" i="8"/>
  <c r="D587" i="8" s="1"/>
  <c r="D586" i="8"/>
  <c r="C586" i="8"/>
  <c r="C585" i="8"/>
  <c r="D585" i="8" s="1"/>
  <c r="D584" i="8"/>
  <c r="C584" i="8"/>
  <c r="C583" i="8"/>
  <c r="D583" i="8" s="1"/>
  <c r="D582" i="8"/>
  <c r="C582" i="8"/>
  <c r="C581" i="8"/>
  <c r="D581" i="8" s="1"/>
  <c r="D580" i="8"/>
  <c r="C580" i="8"/>
  <c r="C579" i="8"/>
  <c r="D579" i="8" s="1"/>
  <c r="D578" i="8"/>
  <c r="C578" i="8"/>
  <c r="C577" i="8"/>
  <c r="D577" i="8" s="1"/>
  <c r="D576" i="8"/>
  <c r="C576" i="8"/>
  <c r="C575" i="8"/>
  <c r="D575" i="8" s="1"/>
  <c r="D574" i="8"/>
  <c r="C574" i="8"/>
  <c r="C573" i="8"/>
  <c r="D573" i="8" s="1"/>
  <c r="D572" i="8"/>
  <c r="C572" i="8"/>
  <c r="C571" i="8"/>
  <c r="D571" i="8" s="1"/>
  <c r="D570" i="8"/>
  <c r="C570" i="8"/>
  <c r="C569" i="8"/>
  <c r="D569" i="8" s="1"/>
  <c r="D568" i="8"/>
  <c r="C568" i="8"/>
  <c r="C567" i="8"/>
  <c r="D567" i="8" s="1"/>
  <c r="D566" i="8"/>
  <c r="C566" i="8"/>
  <c r="C565" i="8"/>
  <c r="D565" i="8" s="1"/>
  <c r="D564" i="8"/>
  <c r="C564" i="8"/>
  <c r="C563" i="8"/>
  <c r="D563" i="8" s="1"/>
  <c r="D562" i="8"/>
  <c r="C562" i="8"/>
  <c r="C561" i="8"/>
  <c r="D561" i="8" s="1"/>
  <c r="D560" i="8"/>
  <c r="C560" i="8"/>
  <c r="C559" i="8"/>
  <c r="D559" i="8" s="1"/>
  <c r="D558" i="8"/>
  <c r="C558" i="8"/>
  <c r="C557" i="8"/>
  <c r="D557" i="8" s="1"/>
  <c r="D556" i="8"/>
  <c r="C556" i="8"/>
  <c r="C555" i="8"/>
  <c r="D555" i="8" s="1"/>
  <c r="D554" i="8"/>
  <c r="C554" i="8"/>
  <c r="C553" i="8"/>
  <c r="D553" i="8" s="1"/>
  <c r="D552" i="8"/>
  <c r="C552" i="8"/>
  <c r="C551" i="8"/>
  <c r="D551" i="8" s="1"/>
  <c r="D550" i="8"/>
  <c r="C550" i="8"/>
  <c r="C549" i="8"/>
  <c r="D549" i="8" s="1"/>
  <c r="D548" i="8"/>
  <c r="C548" i="8"/>
  <c r="C547" i="8"/>
  <c r="D547" i="8" s="1"/>
  <c r="D546" i="8"/>
  <c r="C546" i="8"/>
  <c r="C545" i="8"/>
  <c r="D545" i="8" s="1"/>
  <c r="D544" i="8"/>
  <c r="C544" i="8"/>
  <c r="C543" i="8"/>
  <c r="D543" i="8" s="1"/>
  <c r="D542" i="8"/>
  <c r="C542" i="8"/>
  <c r="C541" i="8"/>
  <c r="D541" i="8" s="1"/>
  <c r="D540" i="8"/>
  <c r="C540" i="8"/>
  <c r="C539" i="8"/>
  <c r="D539" i="8" s="1"/>
  <c r="D538" i="8"/>
  <c r="C538" i="8"/>
  <c r="C537" i="8"/>
  <c r="D537" i="8" s="1"/>
  <c r="D536" i="8"/>
  <c r="C536" i="8"/>
  <c r="C535" i="8"/>
  <c r="D535" i="8" s="1"/>
  <c r="D534" i="8"/>
  <c r="C534" i="8"/>
  <c r="C533" i="8"/>
  <c r="D533" i="8" s="1"/>
  <c r="D532" i="8"/>
  <c r="C532" i="8"/>
  <c r="C531" i="8"/>
  <c r="D531" i="8" s="1"/>
  <c r="D530" i="8"/>
  <c r="C530" i="8"/>
  <c r="C529" i="8"/>
  <c r="D529" i="8" s="1"/>
  <c r="D528" i="8"/>
  <c r="C528" i="8"/>
  <c r="C527" i="8"/>
  <c r="D527" i="8" s="1"/>
  <c r="D526" i="8"/>
  <c r="C526" i="8"/>
  <c r="C525" i="8"/>
  <c r="D525" i="8" s="1"/>
  <c r="D524" i="8"/>
  <c r="C524" i="8"/>
  <c r="C523" i="8"/>
  <c r="D523" i="8" s="1"/>
  <c r="D522" i="8"/>
  <c r="C522" i="8"/>
  <c r="C521" i="8"/>
  <c r="D521" i="8" s="1"/>
  <c r="D520" i="8"/>
  <c r="C520" i="8"/>
  <c r="C519" i="8"/>
  <c r="D519" i="8" s="1"/>
  <c r="D518" i="8"/>
  <c r="C518" i="8"/>
  <c r="C517" i="8"/>
  <c r="D517" i="8" s="1"/>
  <c r="D516" i="8"/>
  <c r="C516" i="8"/>
  <c r="C515" i="8"/>
  <c r="D515" i="8" s="1"/>
  <c r="D514" i="8"/>
  <c r="C514" i="8"/>
  <c r="C513" i="8"/>
  <c r="D513" i="8" s="1"/>
  <c r="D512" i="8"/>
  <c r="C512" i="8"/>
  <c r="C511" i="8"/>
  <c r="D511" i="8" s="1"/>
  <c r="D510" i="8"/>
  <c r="C510" i="8"/>
  <c r="C509" i="8"/>
  <c r="D509" i="8" s="1"/>
  <c r="D508" i="8"/>
  <c r="C508" i="8"/>
  <c r="C507" i="8"/>
  <c r="D507" i="8" s="1"/>
  <c r="D506" i="8"/>
  <c r="C506" i="8"/>
  <c r="C505" i="8"/>
  <c r="D505" i="8" s="1"/>
  <c r="D504" i="8"/>
  <c r="C504" i="8"/>
  <c r="C503" i="8"/>
  <c r="D503" i="8" s="1"/>
  <c r="D502" i="8"/>
  <c r="C502" i="8"/>
  <c r="C501" i="8"/>
  <c r="D501" i="8" s="1"/>
  <c r="D500" i="8"/>
  <c r="C500" i="8"/>
  <c r="C499" i="8"/>
  <c r="D499" i="8" s="1"/>
  <c r="D498" i="8"/>
  <c r="C498" i="8"/>
  <c r="C497" i="8"/>
  <c r="D497" i="8" s="1"/>
  <c r="D496" i="8"/>
  <c r="C496" i="8"/>
  <c r="C495" i="8"/>
  <c r="D495" i="8" s="1"/>
  <c r="D494" i="8"/>
  <c r="C494" i="8"/>
  <c r="C493" i="8"/>
  <c r="D493" i="8" s="1"/>
  <c r="D492" i="8"/>
  <c r="C492" i="8"/>
  <c r="C491" i="8"/>
  <c r="D491" i="8" s="1"/>
  <c r="C490" i="8"/>
  <c r="D490" i="8" s="1"/>
  <c r="C489" i="8"/>
  <c r="D489" i="8" s="1"/>
  <c r="D488" i="8"/>
  <c r="C488" i="8"/>
  <c r="C487" i="8"/>
  <c r="D487" i="8" s="1"/>
  <c r="D486" i="8"/>
  <c r="C486" i="8"/>
  <c r="D485" i="8"/>
  <c r="C485" i="8"/>
  <c r="C484" i="8"/>
  <c r="D484" i="8" s="1"/>
  <c r="C483" i="8"/>
  <c r="D483" i="8" s="1"/>
  <c r="D482" i="8"/>
  <c r="C482" i="8"/>
  <c r="D481" i="8"/>
  <c r="C481" i="8"/>
  <c r="C480" i="8"/>
  <c r="D480" i="8" s="1"/>
  <c r="D479" i="8"/>
  <c r="C479" i="8"/>
  <c r="D478" i="8"/>
  <c r="C478" i="8"/>
  <c r="D477" i="8"/>
  <c r="C477" i="8"/>
  <c r="C476" i="8"/>
  <c r="D476" i="8" s="1"/>
  <c r="C475" i="8"/>
  <c r="D475" i="8" s="1"/>
  <c r="C474" i="8"/>
  <c r="D474" i="8" s="1"/>
  <c r="C473" i="8"/>
  <c r="D473" i="8" s="1"/>
  <c r="C472" i="8"/>
  <c r="D472" i="8" s="1"/>
  <c r="C471" i="8"/>
  <c r="D471" i="8" s="1"/>
  <c r="C470" i="8"/>
  <c r="D470" i="8" s="1"/>
  <c r="C469" i="8"/>
  <c r="D469" i="8" s="1"/>
  <c r="D468" i="8"/>
  <c r="C468" i="8"/>
  <c r="C467" i="8"/>
  <c r="D467" i="8" s="1"/>
  <c r="C466" i="8"/>
  <c r="D466" i="8" s="1"/>
  <c r="C465" i="8"/>
  <c r="D465" i="8" s="1"/>
  <c r="C464" i="8"/>
  <c r="D464" i="8" s="1"/>
  <c r="C463" i="8"/>
  <c r="D463" i="8" s="1"/>
  <c r="C462" i="8"/>
  <c r="D462" i="8" s="1"/>
  <c r="C461" i="8"/>
  <c r="D461" i="8" s="1"/>
  <c r="C460" i="8"/>
  <c r="D460" i="8" s="1"/>
  <c r="C459" i="8"/>
  <c r="D459" i="8" s="1"/>
  <c r="C458" i="8"/>
  <c r="D458" i="8" s="1"/>
  <c r="D457" i="8"/>
  <c r="C457" i="8"/>
  <c r="C456" i="8"/>
  <c r="D456" i="8" s="1"/>
  <c r="C455" i="8"/>
  <c r="D455" i="8" s="1"/>
  <c r="C454" i="8"/>
  <c r="D454" i="8" s="1"/>
  <c r="C453" i="8"/>
  <c r="D453" i="8" s="1"/>
  <c r="C452" i="8"/>
  <c r="D452" i="8" s="1"/>
  <c r="C451" i="8"/>
  <c r="D451" i="8" s="1"/>
  <c r="D450" i="8"/>
  <c r="C450" i="8"/>
  <c r="D449" i="8"/>
  <c r="C449" i="8"/>
  <c r="C448" i="8"/>
  <c r="D448" i="8" s="1"/>
  <c r="D447" i="8"/>
  <c r="C447" i="8"/>
  <c r="C446" i="8"/>
  <c r="D446" i="8" s="1"/>
  <c r="C445" i="8"/>
  <c r="D445" i="8" s="1"/>
  <c r="D444" i="8"/>
  <c r="C444" i="8"/>
  <c r="C443" i="8"/>
  <c r="D443" i="8" s="1"/>
  <c r="C442" i="8"/>
  <c r="D442" i="8" s="1"/>
  <c r="C441" i="8"/>
  <c r="D441" i="8" s="1"/>
  <c r="C440" i="8"/>
  <c r="D440" i="8" s="1"/>
  <c r="C439" i="8"/>
  <c r="D439" i="8" s="1"/>
  <c r="C438" i="8"/>
  <c r="D438" i="8" s="1"/>
  <c r="C437" i="8"/>
  <c r="D437" i="8" s="1"/>
  <c r="C436" i="8"/>
  <c r="D436" i="8" s="1"/>
  <c r="C435" i="8"/>
  <c r="D435" i="8" s="1"/>
  <c r="C434" i="8"/>
  <c r="D434" i="8" s="1"/>
  <c r="C433" i="8"/>
  <c r="D433" i="8" s="1"/>
  <c r="C432" i="8"/>
  <c r="D432" i="8" s="1"/>
  <c r="C431" i="8"/>
  <c r="D431" i="8" s="1"/>
  <c r="C430" i="8"/>
  <c r="D430" i="8" s="1"/>
  <c r="C429" i="8"/>
  <c r="D429" i="8" s="1"/>
  <c r="C428" i="8"/>
  <c r="D428" i="8" s="1"/>
  <c r="C427" i="8"/>
  <c r="D427" i="8" s="1"/>
  <c r="D426" i="8"/>
  <c r="C426" i="8"/>
  <c r="C425" i="8"/>
  <c r="D425" i="8" s="1"/>
  <c r="C424" i="8"/>
  <c r="D424" i="8" s="1"/>
  <c r="C423" i="8"/>
  <c r="D423" i="8" s="1"/>
  <c r="C422" i="8"/>
  <c r="D422" i="8" s="1"/>
  <c r="C421" i="8"/>
  <c r="D421" i="8" s="1"/>
  <c r="C420" i="8"/>
  <c r="D420" i="8" s="1"/>
  <c r="C419" i="8"/>
  <c r="D419" i="8" s="1"/>
  <c r="D418" i="8"/>
  <c r="C418" i="8"/>
  <c r="C417" i="8"/>
  <c r="D417" i="8" s="1"/>
  <c r="C416" i="8"/>
  <c r="D416" i="8" s="1"/>
  <c r="C415" i="8"/>
  <c r="D415" i="8" s="1"/>
  <c r="D414" i="8"/>
  <c r="C414" i="8"/>
  <c r="C413" i="8"/>
  <c r="D413" i="8" s="1"/>
  <c r="C412" i="8"/>
  <c r="D412" i="8" s="1"/>
  <c r="C411" i="8"/>
  <c r="D411" i="8" s="1"/>
  <c r="D410" i="8"/>
  <c r="C410" i="8"/>
  <c r="C409" i="8"/>
  <c r="D409" i="8" s="1"/>
  <c r="C408" i="8"/>
  <c r="D408" i="8" s="1"/>
  <c r="C407" i="8"/>
  <c r="D407" i="8" s="1"/>
  <c r="C406" i="8"/>
  <c r="D406" i="8" s="1"/>
  <c r="C405" i="8"/>
  <c r="D405" i="8" s="1"/>
  <c r="C404" i="8"/>
  <c r="D404" i="8" s="1"/>
  <c r="C403" i="8"/>
  <c r="D403" i="8" s="1"/>
  <c r="D402" i="8"/>
  <c r="C402" i="8"/>
  <c r="C401" i="8"/>
  <c r="D401" i="8" s="1"/>
  <c r="C400" i="8"/>
  <c r="D400" i="8" s="1"/>
  <c r="C399" i="8"/>
  <c r="D399" i="8" s="1"/>
  <c r="D398" i="8"/>
  <c r="C398" i="8"/>
  <c r="C397" i="8"/>
  <c r="D397" i="8" s="1"/>
  <c r="C396" i="8"/>
  <c r="D396" i="8" s="1"/>
  <c r="C395" i="8"/>
  <c r="D395" i="8" s="1"/>
  <c r="D394" i="8"/>
  <c r="C394" i="8"/>
  <c r="C393" i="8"/>
  <c r="D393" i="8" s="1"/>
  <c r="C392" i="8"/>
  <c r="D392" i="8" s="1"/>
  <c r="C391" i="8"/>
  <c r="D391" i="8" s="1"/>
  <c r="C390" i="8"/>
  <c r="D390" i="8" s="1"/>
  <c r="C389" i="8"/>
  <c r="D389" i="8" s="1"/>
  <c r="C388" i="8"/>
  <c r="D388" i="8" s="1"/>
  <c r="C387" i="8"/>
  <c r="D387" i="8" s="1"/>
  <c r="D386" i="8"/>
  <c r="C386" i="8"/>
  <c r="C385" i="8"/>
  <c r="D385" i="8" s="1"/>
  <c r="C384" i="8"/>
  <c r="D384" i="8" s="1"/>
  <c r="C383" i="8"/>
  <c r="D383" i="8" s="1"/>
  <c r="D382" i="8"/>
  <c r="C382" i="8"/>
  <c r="C381" i="8"/>
  <c r="D381" i="8" s="1"/>
  <c r="C380" i="8"/>
  <c r="D380" i="8" s="1"/>
  <c r="C379" i="8"/>
  <c r="D379" i="8" s="1"/>
  <c r="D378" i="8"/>
  <c r="C378" i="8"/>
  <c r="C377" i="8"/>
  <c r="D377" i="8" s="1"/>
  <c r="C376" i="8"/>
  <c r="D376" i="8" s="1"/>
  <c r="C375" i="8"/>
  <c r="D375" i="8" s="1"/>
  <c r="C374" i="8"/>
  <c r="D374" i="8" s="1"/>
  <c r="C373" i="8"/>
  <c r="D373" i="8" s="1"/>
  <c r="C372" i="8"/>
  <c r="D372" i="8" s="1"/>
  <c r="C371" i="8"/>
  <c r="D371" i="8" s="1"/>
  <c r="D370" i="8"/>
  <c r="C370" i="8"/>
  <c r="C369" i="8"/>
  <c r="D369" i="8" s="1"/>
  <c r="C368" i="8"/>
  <c r="D368" i="8" s="1"/>
  <c r="C367" i="8"/>
  <c r="D367" i="8" s="1"/>
  <c r="D366" i="8"/>
  <c r="C366" i="8"/>
  <c r="C365" i="8"/>
  <c r="D365" i="8" s="1"/>
  <c r="D364" i="8"/>
  <c r="C364" i="8"/>
  <c r="C363" i="8"/>
  <c r="D363" i="8" s="1"/>
  <c r="D362" i="8"/>
  <c r="C362" i="8"/>
  <c r="C361" i="8"/>
  <c r="D361" i="8" s="1"/>
  <c r="D360" i="8"/>
  <c r="C360" i="8"/>
  <c r="C359" i="8"/>
  <c r="D359" i="8" s="1"/>
  <c r="D358" i="8"/>
  <c r="C358" i="8"/>
  <c r="C357" i="8"/>
  <c r="D357" i="8" s="1"/>
  <c r="D356" i="8"/>
  <c r="C356" i="8"/>
  <c r="C355" i="8"/>
  <c r="D355" i="8" s="1"/>
  <c r="D354" i="8"/>
  <c r="C354" i="8"/>
  <c r="C353" i="8"/>
  <c r="D353" i="8" s="1"/>
  <c r="D352" i="8"/>
  <c r="C352" i="8"/>
  <c r="C351" i="8"/>
  <c r="D351" i="8" s="1"/>
  <c r="D350" i="8"/>
  <c r="C350" i="8"/>
  <c r="C349" i="8"/>
  <c r="D349" i="8" s="1"/>
  <c r="D348" i="8"/>
  <c r="C348" i="8"/>
  <c r="C347" i="8"/>
  <c r="D347" i="8" s="1"/>
  <c r="D346" i="8"/>
  <c r="C346" i="8"/>
  <c r="C345" i="8"/>
  <c r="D345" i="8" s="1"/>
  <c r="D344" i="8"/>
  <c r="C344" i="8"/>
  <c r="C343" i="8"/>
  <c r="D343" i="8" s="1"/>
  <c r="D342" i="8"/>
  <c r="C342" i="8"/>
  <c r="C341" i="8"/>
  <c r="D341" i="8" s="1"/>
  <c r="D340" i="8"/>
  <c r="C340" i="8"/>
  <c r="C339" i="8"/>
  <c r="D339" i="8" s="1"/>
  <c r="D338" i="8"/>
  <c r="C338" i="8"/>
  <c r="C337" i="8"/>
  <c r="D337" i="8" s="1"/>
  <c r="D336" i="8"/>
  <c r="C336" i="8"/>
  <c r="C335" i="8"/>
  <c r="D335" i="8" s="1"/>
  <c r="D334" i="8"/>
  <c r="C334" i="8"/>
  <c r="C333" i="8"/>
  <c r="D333" i="8" s="1"/>
  <c r="D332" i="8"/>
  <c r="C332" i="8"/>
  <c r="C331" i="8"/>
  <c r="D331" i="8" s="1"/>
  <c r="D330" i="8"/>
  <c r="C330" i="8"/>
  <c r="C329" i="8"/>
  <c r="D329" i="8" s="1"/>
  <c r="D328" i="8"/>
  <c r="C328" i="8"/>
  <c r="C327" i="8"/>
  <c r="D327" i="8" s="1"/>
  <c r="D326" i="8"/>
  <c r="C326" i="8"/>
  <c r="C325" i="8"/>
  <c r="D325" i="8" s="1"/>
  <c r="D324" i="8"/>
  <c r="C324" i="8"/>
  <c r="C323" i="8"/>
  <c r="D323" i="8" s="1"/>
  <c r="D322" i="8"/>
  <c r="C322" i="8"/>
  <c r="C321" i="8"/>
  <c r="D321" i="8" s="1"/>
  <c r="D320" i="8"/>
  <c r="C320" i="8"/>
  <c r="C319" i="8"/>
  <c r="D319" i="8" s="1"/>
  <c r="D318" i="8"/>
  <c r="C318" i="8"/>
  <c r="C317" i="8"/>
  <c r="D317" i="8" s="1"/>
  <c r="D316" i="8"/>
  <c r="C316" i="8"/>
  <c r="C315" i="8"/>
  <c r="D315" i="8" s="1"/>
  <c r="D314" i="8"/>
  <c r="C314" i="8"/>
  <c r="C313" i="8"/>
  <c r="D313" i="8" s="1"/>
  <c r="D312" i="8"/>
  <c r="C312" i="8"/>
  <c r="C311" i="8"/>
  <c r="D311" i="8" s="1"/>
  <c r="D310" i="8"/>
  <c r="C310" i="8"/>
  <c r="C309" i="8"/>
  <c r="D309" i="8" s="1"/>
  <c r="D308" i="8"/>
  <c r="C308" i="8"/>
  <c r="C307" i="8"/>
  <c r="D307" i="8" s="1"/>
  <c r="D306" i="8"/>
  <c r="C306" i="8"/>
  <c r="C305" i="8"/>
  <c r="D305" i="8" s="1"/>
  <c r="D304" i="8"/>
  <c r="C304" i="8"/>
  <c r="C303" i="8"/>
  <c r="D303" i="8" s="1"/>
  <c r="D302" i="8"/>
  <c r="C302" i="8"/>
  <c r="C301" i="8"/>
  <c r="D301" i="8" s="1"/>
  <c r="D300" i="8"/>
  <c r="C300" i="8"/>
  <c r="C299" i="8"/>
  <c r="D299" i="8" s="1"/>
  <c r="D298" i="8"/>
  <c r="C298" i="8"/>
  <c r="C297" i="8"/>
  <c r="D297" i="8" s="1"/>
  <c r="D296" i="8"/>
  <c r="C296" i="8"/>
  <c r="C295" i="8"/>
  <c r="D295" i="8" s="1"/>
  <c r="D294" i="8"/>
  <c r="C294" i="8"/>
  <c r="C293" i="8"/>
  <c r="D293" i="8" s="1"/>
  <c r="D292" i="8"/>
  <c r="C292" i="8"/>
  <c r="C291" i="8"/>
  <c r="D291" i="8" s="1"/>
  <c r="D290" i="8"/>
  <c r="C290" i="8"/>
  <c r="C289" i="8"/>
  <c r="D289" i="8" s="1"/>
  <c r="D288" i="8"/>
  <c r="C288" i="8"/>
  <c r="C287" i="8"/>
  <c r="D287" i="8" s="1"/>
  <c r="D286" i="8"/>
  <c r="C286" i="8"/>
  <c r="C285" i="8"/>
  <c r="D285" i="8" s="1"/>
  <c r="D284" i="8"/>
  <c r="C284" i="8"/>
  <c r="C283" i="8"/>
  <c r="D283" i="8" s="1"/>
  <c r="D282" i="8"/>
  <c r="C282" i="8"/>
  <c r="C281" i="8"/>
  <c r="D281" i="8" s="1"/>
  <c r="D280" i="8"/>
  <c r="C280" i="8"/>
  <c r="C279" i="8"/>
  <c r="D279" i="8" s="1"/>
  <c r="D278" i="8"/>
  <c r="C278" i="8"/>
  <c r="C277" i="8"/>
  <c r="D277" i="8" s="1"/>
  <c r="D276" i="8"/>
  <c r="C276" i="8"/>
  <c r="C275" i="8"/>
  <c r="D275" i="8" s="1"/>
  <c r="D274" i="8"/>
  <c r="C274" i="8"/>
  <c r="C273" i="8"/>
  <c r="D273" i="8" s="1"/>
  <c r="D272" i="8"/>
  <c r="C272" i="8"/>
  <c r="C271" i="8"/>
  <c r="D271" i="8" s="1"/>
  <c r="D270" i="8"/>
  <c r="C270" i="8"/>
  <c r="C269" i="8"/>
  <c r="D269" i="8" s="1"/>
  <c r="D268" i="8"/>
  <c r="C268" i="8"/>
  <c r="C267" i="8"/>
  <c r="D267" i="8" s="1"/>
  <c r="D266" i="8"/>
  <c r="C266" i="8"/>
  <c r="C265" i="8"/>
  <c r="D265" i="8" s="1"/>
  <c r="D264" i="8"/>
  <c r="C264" i="8"/>
  <c r="C263" i="8"/>
  <c r="D263" i="8" s="1"/>
  <c r="D262" i="8"/>
  <c r="C262" i="8"/>
  <c r="C261" i="8"/>
  <c r="D261" i="8" s="1"/>
  <c r="D260" i="8"/>
  <c r="C260" i="8"/>
  <c r="C259" i="8"/>
  <c r="D259" i="8" s="1"/>
  <c r="D258" i="8"/>
  <c r="C258" i="8"/>
  <c r="C257" i="8"/>
  <c r="D257" i="8" s="1"/>
  <c r="D256" i="8"/>
  <c r="C256" i="8"/>
  <c r="C255" i="8"/>
  <c r="D255" i="8" s="1"/>
  <c r="D254" i="8"/>
  <c r="C254" i="8"/>
  <c r="C253" i="8"/>
  <c r="D253" i="8" s="1"/>
  <c r="D252" i="8"/>
  <c r="C252" i="8"/>
  <c r="C251" i="8"/>
  <c r="D251" i="8" s="1"/>
  <c r="D250" i="8"/>
  <c r="C250" i="8"/>
  <c r="C249" i="8"/>
  <c r="D249" i="8" s="1"/>
  <c r="D248" i="8"/>
  <c r="C248" i="8"/>
  <c r="C247" i="8"/>
  <c r="D247" i="8" s="1"/>
  <c r="D246" i="8"/>
  <c r="C246" i="8"/>
  <c r="C245" i="8"/>
  <c r="D245" i="8" s="1"/>
  <c r="D244" i="8"/>
  <c r="C244" i="8"/>
  <c r="C243" i="8"/>
  <c r="D243" i="8" s="1"/>
  <c r="D242" i="8"/>
  <c r="C242" i="8"/>
  <c r="C241" i="8"/>
  <c r="D241" i="8" s="1"/>
  <c r="D240" i="8"/>
  <c r="C240" i="8"/>
  <c r="C239" i="8"/>
  <c r="D239" i="8" s="1"/>
  <c r="D238" i="8"/>
  <c r="C238" i="8"/>
  <c r="C237" i="8"/>
  <c r="D237" i="8" s="1"/>
  <c r="D236" i="8"/>
  <c r="C236" i="8"/>
  <c r="C235" i="8"/>
  <c r="D235" i="8" s="1"/>
  <c r="D234" i="8"/>
  <c r="C234" i="8"/>
  <c r="C233" i="8"/>
  <c r="D233" i="8" s="1"/>
  <c r="D232" i="8"/>
  <c r="C232" i="8"/>
  <c r="C231" i="8"/>
  <c r="D231" i="8" s="1"/>
  <c r="D230" i="8"/>
  <c r="C230" i="8"/>
  <c r="C229" i="8"/>
  <c r="D229" i="8" s="1"/>
  <c r="D228" i="8"/>
  <c r="C228" i="8"/>
  <c r="C227" i="8"/>
  <c r="D227" i="8" s="1"/>
  <c r="D226" i="8"/>
  <c r="C226" i="8"/>
  <c r="C225" i="8"/>
  <c r="D225" i="8" s="1"/>
  <c r="D224" i="8"/>
  <c r="C224" i="8"/>
  <c r="C223" i="8"/>
  <c r="D223" i="8" s="1"/>
  <c r="D222" i="8"/>
  <c r="C222" i="8"/>
  <c r="C221" i="8"/>
  <c r="D221" i="8" s="1"/>
  <c r="D220" i="8"/>
  <c r="C220" i="8"/>
  <c r="C219" i="8"/>
  <c r="D219" i="8" s="1"/>
  <c r="D218" i="8"/>
  <c r="C218" i="8"/>
  <c r="C217" i="8"/>
  <c r="D217" i="8" s="1"/>
  <c r="D216" i="8"/>
  <c r="C216" i="8"/>
  <c r="C215" i="8"/>
  <c r="D215" i="8" s="1"/>
  <c r="D214" i="8"/>
  <c r="C214" i="8"/>
  <c r="C213" i="8"/>
  <c r="D213" i="8" s="1"/>
  <c r="D212" i="8"/>
  <c r="C212" i="8"/>
  <c r="C211" i="8"/>
  <c r="D211" i="8" s="1"/>
  <c r="D210" i="8"/>
  <c r="C210" i="8"/>
  <c r="C209" i="8"/>
  <c r="D209" i="8" s="1"/>
  <c r="D208" i="8"/>
  <c r="C208" i="8"/>
  <c r="C207" i="8"/>
  <c r="D207" i="8" s="1"/>
  <c r="D206" i="8"/>
  <c r="C206" i="8"/>
  <c r="C205" i="8"/>
  <c r="D205" i="8" s="1"/>
  <c r="D204" i="8"/>
  <c r="C204" i="8"/>
  <c r="C203" i="8"/>
  <c r="D203" i="8" s="1"/>
  <c r="D202" i="8"/>
  <c r="C202" i="8"/>
  <c r="C201" i="8"/>
  <c r="D201" i="8" s="1"/>
  <c r="D200" i="8"/>
  <c r="C200" i="8"/>
  <c r="C199" i="8"/>
  <c r="D199" i="8" s="1"/>
  <c r="D198" i="8"/>
  <c r="C198" i="8"/>
  <c r="C197" i="8"/>
  <c r="D197" i="8" s="1"/>
  <c r="D196" i="8"/>
  <c r="C196" i="8"/>
  <c r="C195" i="8"/>
  <c r="D195" i="8" s="1"/>
  <c r="D194" i="8"/>
  <c r="C194" i="8"/>
  <c r="C193" i="8"/>
  <c r="D193" i="8" s="1"/>
  <c r="D192" i="8"/>
  <c r="C192" i="8"/>
  <c r="C191" i="8"/>
  <c r="D191" i="8" s="1"/>
  <c r="D190" i="8"/>
  <c r="C190" i="8"/>
  <c r="C189" i="8"/>
  <c r="D189" i="8" s="1"/>
  <c r="D188" i="8"/>
  <c r="C188" i="8"/>
  <c r="C187" i="8"/>
  <c r="D187" i="8" s="1"/>
  <c r="D186" i="8"/>
  <c r="C186" i="8"/>
  <c r="C185" i="8"/>
  <c r="D185" i="8" s="1"/>
  <c r="D184" i="8"/>
  <c r="C184" i="8"/>
  <c r="C183" i="8"/>
  <c r="D183" i="8" s="1"/>
  <c r="D182" i="8"/>
  <c r="C182" i="8"/>
  <c r="C181" i="8"/>
  <c r="D181" i="8" s="1"/>
  <c r="D180" i="8"/>
  <c r="C180" i="8"/>
  <c r="C179" i="8"/>
  <c r="D179" i="8" s="1"/>
  <c r="D178" i="8"/>
  <c r="C178" i="8"/>
  <c r="C177" i="8"/>
  <c r="D177" i="8" s="1"/>
  <c r="D176" i="8"/>
  <c r="C176" i="8"/>
  <c r="C175" i="8"/>
  <c r="D175" i="8" s="1"/>
  <c r="D174" i="8"/>
  <c r="C174" i="8"/>
  <c r="C173" i="8"/>
  <c r="D173" i="8" s="1"/>
  <c r="D172" i="8"/>
  <c r="C172" i="8"/>
  <c r="C171" i="8"/>
  <c r="D171" i="8" s="1"/>
  <c r="D170" i="8"/>
  <c r="C170" i="8"/>
  <c r="C169" i="8"/>
  <c r="D169" i="8" s="1"/>
  <c r="D168" i="8"/>
  <c r="C168" i="8"/>
  <c r="C167" i="8"/>
  <c r="D167" i="8" s="1"/>
  <c r="D166" i="8"/>
  <c r="C166" i="8"/>
  <c r="C165" i="8"/>
  <c r="D165" i="8" s="1"/>
  <c r="D164" i="8"/>
  <c r="C164" i="8"/>
  <c r="C163" i="8"/>
  <c r="D163" i="8" s="1"/>
  <c r="D162" i="8"/>
  <c r="C162" i="8"/>
  <c r="C161" i="8"/>
  <c r="D161" i="8" s="1"/>
  <c r="D160" i="8"/>
  <c r="C160" i="8"/>
  <c r="C159" i="8"/>
  <c r="D159" i="8" s="1"/>
  <c r="D158" i="8"/>
  <c r="C158" i="8"/>
  <c r="C157" i="8"/>
  <c r="D157" i="8" s="1"/>
  <c r="D156" i="8"/>
  <c r="C156" i="8"/>
  <c r="C155" i="8"/>
  <c r="D155" i="8" s="1"/>
  <c r="D154" i="8"/>
  <c r="C154" i="8"/>
  <c r="C153" i="8"/>
  <c r="D153" i="8" s="1"/>
  <c r="D152" i="8"/>
  <c r="C152" i="8"/>
  <c r="C151" i="8"/>
  <c r="D151" i="8" s="1"/>
  <c r="D150" i="8"/>
  <c r="C150" i="8"/>
  <c r="C149" i="8"/>
  <c r="D149" i="8" s="1"/>
  <c r="D148" i="8"/>
  <c r="C148" i="8"/>
  <c r="C147" i="8"/>
  <c r="D147" i="8" s="1"/>
  <c r="D146" i="8"/>
  <c r="C146" i="8"/>
  <c r="C145" i="8"/>
  <c r="D145" i="8" s="1"/>
  <c r="D144" i="8"/>
  <c r="C144" i="8"/>
  <c r="C143" i="8"/>
  <c r="D143" i="8" s="1"/>
  <c r="D142" i="8"/>
  <c r="C142" i="8"/>
  <c r="C141" i="8"/>
  <c r="D141" i="8" s="1"/>
  <c r="D140" i="8"/>
  <c r="C140" i="8"/>
  <c r="C139" i="8"/>
  <c r="D139" i="8" s="1"/>
  <c r="D138" i="8"/>
  <c r="C138" i="8"/>
  <c r="C137" i="8"/>
  <c r="D137" i="8" s="1"/>
  <c r="D136" i="8"/>
  <c r="C136" i="8"/>
  <c r="C135" i="8"/>
  <c r="D135" i="8" s="1"/>
  <c r="D134" i="8"/>
  <c r="C134" i="8"/>
  <c r="C133" i="8"/>
  <c r="D133" i="8" s="1"/>
  <c r="D132" i="8"/>
  <c r="C132" i="8"/>
  <c r="C131" i="8"/>
  <c r="D131" i="8" s="1"/>
  <c r="D130" i="8"/>
  <c r="C130" i="8"/>
  <c r="C129" i="8"/>
  <c r="D129" i="8" s="1"/>
  <c r="D128" i="8"/>
  <c r="C128" i="8"/>
  <c r="C127" i="8"/>
  <c r="D127" i="8" s="1"/>
  <c r="D126" i="8"/>
  <c r="C126" i="8"/>
  <c r="C125" i="8"/>
  <c r="D125" i="8" s="1"/>
  <c r="D124" i="8"/>
  <c r="C124" i="8"/>
  <c r="C123" i="8"/>
  <c r="D123" i="8" s="1"/>
  <c r="D122" i="8"/>
  <c r="C122" i="8"/>
  <c r="C121" i="8"/>
  <c r="D121" i="8" s="1"/>
  <c r="D120" i="8"/>
  <c r="C120" i="8"/>
  <c r="C119" i="8"/>
  <c r="D119" i="8" s="1"/>
  <c r="D118" i="8"/>
  <c r="C118" i="8"/>
  <c r="C117" i="8"/>
  <c r="D117" i="8" s="1"/>
  <c r="D116" i="8"/>
  <c r="C116" i="8"/>
  <c r="C115" i="8"/>
  <c r="D115" i="8" s="1"/>
  <c r="D114" i="8"/>
  <c r="C114" i="8"/>
  <c r="C113" i="8"/>
  <c r="D113" i="8" s="1"/>
  <c r="D112" i="8"/>
  <c r="C112" i="8"/>
  <c r="C111" i="8"/>
  <c r="D111" i="8" s="1"/>
  <c r="C110" i="8"/>
  <c r="D110" i="8" s="1"/>
  <c r="C109" i="8"/>
  <c r="D109" i="8" s="1"/>
  <c r="C108" i="8"/>
  <c r="D108" i="8" s="1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C52" i="8"/>
  <c r="D52" i="8" s="1"/>
  <c r="C51" i="8"/>
  <c r="D51" i="8" s="1"/>
  <c r="C50" i="8"/>
  <c r="D50" i="8" s="1"/>
  <c r="D49" i="8"/>
  <c r="C49" i="8"/>
  <c r="C48" i="8"/>
  <c r="D48" i="8" s="1"/>
  <c r="D47" i="8"/>
  <c r="C47" i="8"/>
  <c r="D46" i="8"/>
  <c r="C46" i="8"/>
  <c r="D45" i="8"/>
  <c r="C45" i="8"/>
  <c r="C44" i="8"/>
  <c r="D44" i="8" s="1"/>
  <c r="C43" i="8"/>
  <c r="D43" i="8" s="1"/>
  <c r="C42" i="8"/>
  <c r="D42" i="8" s="1"/>
  <c r="D41" i="8"/>
  <c r="C41" i="8"/>
  <c r="C40" i="8"/>
  <c r="D40" i="8" s="1"/>
  <c r="D39" i="8"/>
  <c r="C39" i="8"/>
  <c r="D38" i="8"/>
  <c r="C38" i="8"/>
  <c r="D37" i="8"/>
  <c r="C37" i="8"/>
  <c r="C36" i="8"/>
  <c r="D36" i="8" s="1"/>
  <c r="C35" i="8"/>
  <c r="D35" i="8" s="1"/>
  <c r="C34" i="8"/>
  <c r="D34" i="8" s="1"/>
  <c r="D33" i="8"/>
  <c r="C33" i="8"/>
  <c r="C32" i="8"/>
  <c r="D32" i="8" s="1"/>
  <c r="D31" i="8"/>
  <c r="C31" i="8"/>
  <c r="D30" i="8"/>
  <c r="C30" i="8"/>
  <c r="D29" i="8"/>
  <c r="C29" i="8"/>
  <c r="C28" i="8"/>
  <c r="D28" i="8" s="1"/>
  <c r="C27" i="8"/>
  <c r="D27" i="8" s="1"/>
  <c r="C26" i="8"/>
  <c r="D26" i="8" s="1"/>
  <c r="D25" i="8"/>
  <c r="C25" i="8"/>
  <c r="C24" i="8"/>
  <c r="D24" i="8" s="1"/>
  <c r="D23" i="8"/>
  <c r="C23" i="8"/>
  <c r="D22" i="8"/>
  <c r="C22" i="8"/>
  <c r="D21" i="8"/>
  <c r="C21" i="8"/>
  <c r="C20" i="8"/>
  <c r="D20" i="8" s="1"/>
  <c r="C19" i="8"/>
  <c r="D19" i="8" s="1"/>
  <c r="C18" i="8"/>
  <c r="D18" i="8" s="1"/>
  <c r="D17" i="8"/>
  <c r="C17" i="8"/>
  <c r="C16" i="8"/>
  <c r="D16" i="8" s="1"/>
  <c r="D15" i="8"/>
  <c r="C15" i="8"/>
  <c r="D14" i="8"/>
  <c r="C14" i="8"/>
  <c r="D13" i="8"/>
  <c r="C13" i="8"/>
  <c r="C12" i="8"/>
  <c r="D12" i="8" s="1"/>
  <c r="C11" i="8"/>
  <c r="D11" i="8" s="1"/>
  <c r="C10" i="8"/>
  <c r="D10" i="8" s="1"/>
  <c r="D9" i="8"/>
  <c r="C9" i="8"/>
  <c r="C8" i="8"/>
  <c r="D8" i="8" s="1"/>
  <c r="D7" i="8"/>
  <c r="C7" i="8"/>
  <c r="C6" i="8"/>
  <c r="D6" i="8" s="1"/>
  <c r="D5" i="8"/>
  <c r="C5" i="8"/>
  <c r="C4" i="8"/>
  <c r="A1" i="8"/>
  <c r="C5" i="5"/>
  <c r="C6" i="5"/>
  <c r="C7" i="5"/>
  <c r="C8" i="5"/>
  <c r="C9" i="5"/>
  <c r="C10" i="5"/>
  <c r="C11" i="5"/>
  <c r="C12" i="5"/>
  <c r="D12" i="5" s="1"/>
  <c r="C13" i="5"/>
  <c r="C14" i="5"/>
  <c r="C15" i="5"/>
  <c r="C16" i="5"/>
  <c r="C17" i="5"/>
  <c r="C18" i="5"/>
  <c r="C19" i="5"/>
  <c r="D19" i="5" s="1"/>
  <c r="C20" i="5"/>
  <c r="D20" i="5" s="1"/>
  <c r="C21" i="5"/>
  <c r="C22" i="5"/>
  <c r="C23" i="5"/>
  <c r="C24" i="5"/>
  <c r="C25" i="5"/>
  <c r="C26" i="5"/>
  <c r="C27" i="5"/>
  <c r="C28" i="5"/>
  <c r="D28" i="5" s="1"/>
  <c r="C29" i="5"/>
  <c r="C30" i="5"/>
  <c r="C31" i="5"/>
  <c r="C32" i="5"/>
  <c r="C33" i="5"/>
  <c r="C34" i="5"/>
  <c r="C35" i="5"/>
  <c r="D35" i="5" s="1"/>
  <c r="C36" i="5"/>
  <c r="D36" i="5" s="1"/>
  <c r="C37" i="5"/>
  <c r="C38" i="5"/>
  <c r="C39" i="5"/>
  <c r="C40" i="5"/>
  <c r="C41" i="5"/>
  <c r="C42" i="5"/>
  <c r="C43" i="5"/>
  <c r="C44" i="5"/>
  <c r="D44" i="5" s="1"/>
  <c r="C45" i="5"/>
  <c r="C46" i="5"/>
  <c r="C47" i="5"/>
  <c r="C48" i="5"/>
  <c r="C49" i="5"/>
  <c r="C50" i="5"/>
  <c r="C51" i="5"/>
  <c r="D51" i="5" s="1"/>
  <c r="C52" i="5"/>
  <c r="D52" i="5" s="1"/>
  <c r="C53" i="5"/>
  <c r="C54" i="5"/>
  <c r="C55" i="5"/>
  <c r="C56" i="5"/>
  <c r="C57" i="5"/>
  <c r="C58" i="5"/>
  <c r="C59" i="5"/>
  <c r="C60" i="5"/>
  <c r="D60" i="5" s="1"/>
  <c r="C61" i="5"/>
  <c r="C62" i="5"/>
  <c r="C63" i="5"/>
  <c r="C64" i="5"/>
  <c r="C65" i="5"/>
  <c r="C66" i="5"/>
  <c r="C67" i="5"/>
  <c r="D67" i="5" s="1"/>
  <c r="C68" i="5"/>
  <c r="D68" i="5" s="1"/>
  <c r="C69" i="5"/>
  <c r="C70" i="5"/>
  <c r="C71" i="5"/>
  <c r="C72" i="5"/>
  <c r="C73" i="5"/>
  <c r="C74" i="5"/>
  <c r="C75" i="5"/>
  <c r="D75" i="5" s="1"/>
  <c r="C76" i="5"/>
  <c r="D76" i="5" s="1"/>
  <c r="C77" i="5"/>
  <c r="C78" i="5"/>
  <c r="C79" i="5"/>
  <c r="C80" i="5"/>
  <c r="C81" i="5"/>
  <c r="C82" i="5"/>
  <c r="C83" i="5"/>
  <c r="D83" i="5" s="1"/>
  <c r="C84" i="5"/>
  <c r="D84" i="5" s="1"/>
  <c r="C85" i="5"/>
  <c r="C86" i="5"/>
  <c r="C87" i="5"/>
  <c r="C88" i="5"/>
  <c r="C89" i="5"/>
  <c r="C90" i="5"/>
  <c r="C91" i="5"/>
  <c r="C92" i="5"/>
  <c r="D92" i="5" s="1"/>
  <c r="C93" i="5"/>
  <c r="C94" i="5"/>
  <c r="C95" i="5"/>
  <c r="C96" i="5"/>
  <c r="C97" i="5"/>
  <c r="C98" i="5"/>
  <c r="C99" i="5"/>
  <c r="D99" i="5" s="1"/>
  <c r="C100" i="5"/>
  <c r="D100" i="5" s="1"/>
  <c r="C101" i="5"/>
  <c r="C102" i="5"/>
  <c r="C103" i="5"/>
  <c r="C104" i="5"/>
  <c r="C105" i="5"/>
  <c r="C106" i="5"/>
  <c r="C107" i="5"/>
  <c r="D107" i="5" s="1"/>
  <c r="C108" i="5"/>
  <c r="C109" i="5"/>
  <c r="C110" i="5"/>
  <c r="C111" i="5"/>
  <c r="C112" i="5"/>
  <c r="C113" i="5"/>
  <c r="C114" i="5"/>
  <c r="C115" i="5"/>
  <c r="D115" i="5" s="1"/>
  <c r="C116" i="5"/>
  <c r="D116" i="5" s="1"/>
  <c r="C117" i="5"/>
  <c r="C118" i="5"/>
  <c r="C119" i="5"/>
  <c r="C120" i="5"/>
  <c r="C121" i="5"/>
  <c r="C122" i="5"/>
  <c r="C123" i="5"/>
  <c r="D123" i="5" s="1"/>
  <c r="C124" i="5"/>
  <c r="D124" i="5" s="1"/>
  <c r="C125" i="5"/>
  <c r="C126" i="5"/>
  <c r="C127" i="5"/>
  <c r="C128" i="5"/>
  <c r="C129" i="5"/>
  <c r="C130" i="5"/>
  <c r="C131" i="5"/>
  <c r="D131" i="5" s="1"/>
  <c r="C132" i="5"/>
  <c r="D132" i="5" s="1"/>
  <c r="C133" i="5"/>
  <c r="C134" i="5"/>
  <c r="C135" i="5"/>
  <c r="C136" i="5"/>
  <c r="C137" i="5"/>
  <c r="C138" i="5"/>
  <c r="C139" i="5"/>
  <c r="C140" i="5"/>
  <c r="D140" i="5" s="1"/>
  <c r="C141" i="5"/>
  <c r="C142" i="5"/>
  <c r="C143" i="5"/>
  <c r="C144" i="5"/>
  <c r="C145" i="5"/>
  <c r="C146" i="5"/>
  <c r="C147" i="5"/>
  <c r="D147" i="5" s="1"/>
  <c r="C148" i="5"/>
  <c r="D148" i="5" s="1"/>
  <c r="C149" i="5"/>
  <c r="C150" i="5"/>
  <c r="C151" i="5"/>
  <c r="C152" i="5"/>
  <c r="C153" i="5"/>
  <c r="C154" i="5"/>
  <c r="C155" i="5"/>
  <c r="D155" i="5" s="1"/>
  <c r="C156" i="5"/>
  <c r="D156" i="5" s="1"/>
  <c r="C157" i="5"/>
  <c r="C158" i="5"/>
  <c r="C159" i="5"/>
  <c r="C160" i="5"/>
  <c r="C161" i="5"/>
  <c r="C162" i="5"/>
  <c r="C163" i="5"/>
  <c r="D163" i="5" s="1"/>
  <c r="C164" i="5"/>
  <c r="D164" i="5" s="1"/>
  <c r="C165" i="5"/>
  <c r="C166" i="5"/>
  <c r="C167" i="5"/>
  <c r="C168" i="5"/>
  <c r="C169" i="5"/>
  <c r="C170" i="5"/>
  <c r="C171" i="5"/>
  <c r="D171" i="5" s="1"/>
  <c r="C172" i="5"/>
  <c r="D172" i="5" s="1"/>
  <c r="C173" i="5"/>
  <c r="C174" i="5"/>
  <c r="C175" i="5"/>
  <c r="C176" i="5"/>
  <c r="C177" i="5"/>
  <c r="C178" i="5"/>
  <c r="C179" i="5"/>
  <c r="D179" i="5" s="1"/>
  <c r="C180" i="5"/>
  <c r="D180" i="5" s="1"/>
  <c r="C181" i="5"/>
  <c r="C182" i="5"/>
  <c r="C183" i="5"/>
  <c r="C184" i="5"/>
  <c r="C185" i="5"/>
  <c r="C186" i="5"/>
  <c r="C187" i="5"/>
  <c r="D187" i="5" s="1"/>
  <c r="C188" i="5"/>
  <c r="D188" i="5" s="1"/>
  <c r="C189" i="5"/>
  <c r="C190" i="5"/>
  <c r="C191" i="5"/>
  <c r="C192" i="5"/>
  <c r="C193" i="5"/>
  <c r="C194" i="5"/>
  <c r="C195" i="5"/>
  <c r="C196" i="5"/>
  <c r="D196" i="5" s="1"/>
  <c r="C197" i="5"/>
  <c r="C198" i="5"/>
  <c r="C199" i="5"/>
  <c r="C200" i="5"/>
  <c r="C201" i="5"/>
  <c r="C202" i="5"/>
  <c r="C203" i="5"/>
  <c r="D203" i="5" s="1"/>
  <c r="C204" i="5"/>
  <c r="C205" i="5"/>
  <c r="C206" i="5"/>
  <c r="C207" i="5"/>
  <c r="C208" i="5"/>
  <c r="C209" i="5"/>
  <c r="C210" i="5"/>
  <c r="C211" i="5"/>
  <c r="C212" i="5"/>
  <c r="D212" i="5" s="1"/>
  <c r="C213" i="5"/>
  <c r="C214" i="5"/>
  <c r="C215" i="5"/>
  <c r="C216" i="5"/>
  <c r="C217" i="5"/>
  <c r="C218" i="5"/>
  <c r="C219" i="5"/>
  <c r="D219" i="5" s="1"/>
  <c r="C220" i="5"/>
  <c r="D220" i="5" s="1"/>
  <c r="C221" i="5"/>
  <c r="C222" i="5"/>
  <c r="C223" i="5"/>
  <c r="C224" i="5"/>
  <c r="C225" i="5"/>
  <c r="C226" i="5"/>
  <c r="C227" i="5"/>
  <c r="D227" i="5" s="1"/>
  <c r="C228" i="5"/>
  <c r="D228" i="5" s="1"/>
  <c r="C229" i="5"/>
  <c r="C230" i="5"/>
  <c r="C231" i="5"/>
  <c r="C232" i="5"/>
  <c r="C233" i="5"/>
  <c r="C234" i="5"/>
  <c r="C235" i="5"/>
  <c r="D235" i="5" s="1"/>
  <c r="C236" i="5"/>
  <c r="D236" i="5" s="1"/>
  <c r="C237" i="5"/>
  <c r="C238" i="5"/>
  <c r="C239" i="5"/>
  <c r="C240" i="5"/>
  <c r="C241" i="5"/>
  <c r="C242" i="5"/>
  <c r="C243" i="5"/>
  <c r="D243" i="5" s="1"/>
  <c r="C244" i="5"/>
  <c r="D244" i="5" s="1"/>
  <c r="C245" i="5"/>
  <c r="C246" i="5"/>
  <c r="C247" i="5"/>
  <c r="C248" i="5"/>
  <c r="C249" i="5"/>
  <c r="C250" i="5"/>
  <c r="C251" i="5"/>
  <c r="D251" i="5" s="1"/>
  <c r="C252" i="5"/>
  <c r="D252" i="5" s="1"/>
  <c r="C253" i="5"/>
  <c r="C254" i="5"/>
  <c r="C255" i="5"/>
  <c r="C256" i="5"/>
  <c r="C257" i="5"/>
  <c r="C258" i="5"/>
  <c r="C259" i="5"/>
  <c r="D259" i="5" s="1"/>
  <c r="C260" i="5"/>
  <c r="D260" i="5" s="1"/>
  <c r="C261" i="5"/>
  <c r="C262" i="5"/>
  <c r="C263" i="5"/>
  <c r="C264" i="5"/>
  <c r="C265" i="5"/>
  <c r="C266" i="5"/>
  <c r="C267" i="5"/>
  <c r="D267" i="5" s="1"/>
  <c r="C268" i="5"/>
  <c r="D268" i="5" s="1"/>
  <c r="C269" i="5"/>
  <c r="C270" i="5"/>
  <c r="C271" i="5"/>
  <c r="C272" i="5"/>
  <c r="C273" i="5"/>
  <c r="C274" i="5"/>
  <c r="C275" i="5"/>
  <c r="D275" i="5" s="1"/>
  <c r="C276" i="5"/>
  <c r="D276" i="5" s="1"/>
  <c r="C277" i="5"/>
  <c r="C278" i="5"/>
  <c r="C279" i="5"/>
  <c r="C280" i="5"/>
  <c r="C281" i="5"/>
  <c r="C282" i="5"/>
  <c r="C283" i="5"/>
  <c r="D283" i="5" s="1"/>
  <c r="C284" i="5"/>
  <c r="D284" i="5" s="1"/>
  <c r="C285" i="5"/>
  <c r="C286" i="5"/>
  <c r="C287" i="5"/>
  <c r="C288" i="5"/>
  <c r="C289" i="5"/>
  <c r="C290" i="5"/>
  <c r="C291" i="5"/>
  <c r="D291" i="5" s="1"/>
  <c r="C292" i="5"/>
  <c r="D292" i="5" s="1"/>
  <c r="C293" i="5"/>
  <c r="C294" i="5"/>
  <c r="C295" i="5"/>
  <c r="C296" i="5"/>
  <c r="C297" i="5"/>
  <c r="C298" i="5"/>
  <c r="C299" i="5"/>
  <c r="D299" i="5" s="1"/>
  <c r="C300" i="5"/>
  <c r="D300" i="5" s="1"/>
  <c r="C301" i="5"/>
  <c r="C302" i="5"/>
  <c r="C303" i="5"/>
  <c r="C304" i="5"/>
  <c r="C305" i="5"/>
  <c r="C306" i="5"/>
  <c r="C307" i="5"/>
  <c r="D307" i="5" s="1"/>
  <c r="C308" i="5"/>
  <c r="D308" i="5" s="1"/>
  <c r="C309" i="5"/>
  <c r="C310" i="5"/>
  <c r="C311" i="5"/>
  <c r="C312" i="5"/>
  <c r="C313" i="5"/>
  <c r="C314" i="5"/>
  <c r="C315" i="5"/>
  <c r="D315" i="5" s="1"/>
  <c r="C316" i="5"/>
  <c r="D316" i="5" s="1"/>
  <c r="C317" i="5"/>
  <c r="C318" i="5"/>
  <c r="C319" i="5"/>
  <c r="C320" i="5"/>
  <c r="C321" i="5"/>
  <c r="C322" i="5"/>
  <c r="C323" i="5"/>
  <c r="D323" i="5" s="1"/>
  <c r="C324" i="5"/>
  <c r="D324" i="5" s="1"/>
  <c r="C325" i="5"/>
  <c r="C326" i="5"/>
  <c r="C327" i="5"/>
  <c r="C328" i="5"/>
  <c r="C329" i="5"/>
  <c r="C330" i="5"/>
  <c r="C331" i="5"/>
  <c r="D331" i="5" s="1"/>
  <c r="C332" i="5"/>
  <c r="D332" i="5" s="1"/>
  <c r="C333" i="5"/>
  <c r="C334" i="5"/>
  <c r="C335" i="5"/>
  <c r="C336" i="5"/>
  <c r="C337" i="5"/>
  <c r="C338" i="5"/>
  <c r="C339" i="5"/>
  <c r="D339" i="5" s="1"/>
  <c r="C340" i="5"/>
  <c r="D340" i="5" s="1"/>
  <c r="C341" i="5"/>
  <c r="C342" i="5"/>
  <c r="C343" i="5"/>
  <c r="C344" i="5"/>
  <c r="C345" i="5"/>
  <c r="C346" i="5"/>
  <c r="C347" i="5"/>
  <c r="C348" i="5"/>
  <c r="D348" i="5" s="1"/>
  <c r="C349" i="5"/>
  <c r="C350" i="5"/>
  <c r="C351" i="5"/>
  <c r="C352" i="5"/>
  <c r="C353" i="5"/>
  <c r="C354" i="5"/>
  <c r="C355" i="5"/>
  <c r="D355" i="5" s="1"/>
  <c r="C356" i="5"/>
  <c r="D356" i="5" s="1"/>
  <c r="C357" i="5"/>
  <c r="C358" i="5"/>
  <c r="C359" i="5"/>
  <c r="C360" i="5"/>
  <c r="C361" i="5"/>
  <c r="C362" i="5"/>
  <c r="C363" i="5"/>
  <c r="D363" i="5" s="1"/>
  <c r="C364" i="5"/>
  <c r="D364" i="5" s="1"/>
  <c r="C365" i="5"/>
  <c r="C366" i="5"/>
  <c r="C367" i="5"/>
  <c r="C368" i="5"/>
  <c r="C369" i="5"/>
  <c r="C370" i="5"/>
  <c r="C371" i="5"/>
  <c r="D371" i="5" s="1"/>
  <c r="C372" i="5"/>
  <c r="D372" i="5" s="1"/>
  <c r="C373" i="5"/>
  <c r="C374" i="5"/>
  <c r="C375" i="5"/>
  <c r="C376" i="5"/>
  <c r="C377" i="5"/>
  <c r="C378" i="5"/>
  <c r="C379" i="5"/>
  <c r="D379" i="5" s="1"/>
  <c r="C380" i="5"/>
  <c r="D380" i="5" s="1"/>
  <c r="C381" i="5"/>
  <c r="C382" i="5"/>
  <c r="C383" i="5"/>
  <c r="C384" i="5"/>
  <c r="C385" i="5"/>
  <c r="C386" i="5"/>
  <c r="C387" i="5"/>
  <c r="D387" i="5" s="1"/>
  <c r="C388" i="5"/>
  <c r="D388" i="5" s="1"/>
  <c r="C389" i="5"/>
  <c r="C390" i="5"/>
  <c r="C391" i="5"/>
  <c r="C392" i="5"/>
  <c r="C393" i="5"/>
  <c r="C394" i="5"/>
  <c r="C395" i="5"/>
  <c r="D395" i="5" s="1"/>
  <c r="C396" i="5"/>
  <c r="D396" i="5" s="1"/>
  <c r="C397" i="5"/>
  <c r="C398" i="5"/>
  <c r="C399" i="5"/>
  <c r="C400" i="5"/>
  <c r="C401" i="5"/>
  <c r="C402" i="5"/>
  <c r="C403" i="5"/>
  <c r="D403" i="5" s="1"/>
  <c r="C404" i="5"/>
  <c r="D404" i="5" s="1"/>
  <c r="C405" i="5"/>
  <c r="C406" i="5"/>
  <c r="C407" i="5"/>
  <c r="C408" i="5"/>
  <c r="C409" i="5"/>
  <c r="C410" i="5"/>
  <c r="C411" i="5"/>
  <c r="D411" i="5" s="1"/>
  <c r="C412" i="5"/>
  <c r="D412" i="5" s="1"/>
  <c r="C413" i="5"/>
  <c r="C414" i="5"/>
  <c r="C415" i="5"/>
  <c r="C416" i="5"/>
  <c r="C417" i="5"/>
  <c r="C418" i="5"/>
  <c r="C419" i="5"/>
  <c r="D419" i="5" s="1"/>
  <c r="C420" i="5"/>
  <c r="D420" i="5" s="1"/>
  <c r="C421" i="5"/>
  <c r="C422" i="5"/>
  <c r="C423" i="5"/>
  <c r="C424" i="5"/>
  <c r="C425" i="5"/>
  <c r="C426" i="5"/>
  <c r="C427" i="5"/>
  <c r="D427" i="5" s="1"/>
  <c r="C428" i="5"/>
  <c r="D428" i="5" s="1"/>
  <c r="C429" i="5"/>
  <c r="C430" i="5"/>
  <c r="C431" i="5"/>
  <c r="C432" i="5"/>
  <c r="C433" i="5"/>
  <c r="C434" i="5"/>
  <c r="C435" i="5"/>
  <c r="D435" i="5" s="1"/>
  <c r="C436" i="5"/>
  <c r="D436" i="5" s="1"/>
  <c r="C437" i="5"/>
  <c r="C438" i="5"/>
  <c r="C439" i="5"/>
  <c r="C440" i="5"/>
  <c r="C441" i="5"/>
  <c r="C442" i="5"/>
  <c r="C443" i="5"/>
  <c r="D443" i="5" s="1"/>
  <c r="C444" i="5"/>
  <c r="D444" i="5" s="1"/>
  <c r="C445" i="5"/>
  <c r="C446" i="5"/>
  <c r="C447" i="5"/>
  <c r="C448" i="5"/>
  <c r="C449" i="5"/>
  <c r="C450" i="5"/>
  <c r="C451" i="5"/>
  <c r="D451" i="5" s="1"/>
  <c r="C452" i="5"/>
  <c r="D452" i="5" s="1"/>
  <c r="C453" i="5"/>
  <c r="C454" i="5"/>
  <c r="C455" i="5"/>
  <c r="C456" i="5"/>
  <c r="C457" i="5"/>
  <c r="C458" i="5"/>
  <c r="C459" i="5"/>
  <c r="D459" i="5" s="1"/>
  <c r="C460" i="5"/>
  <c r="D460" i="5" s="1"/>
  <c r="C461" i="5"/>
  <c r="C462" i="5"/>
  <c r="C463" i="5"/>
  <c r="C464" i="5"/>
  <c r="C465" i="5"/>
  <c r="C466" i="5"/>
  <c r="C467" i="5"/>
  <c r="D467" i="5" s="1"/>
  <c r="C468" i="5"/>
  <c r="C469" i="5"/>
  <c r="C470" i="5"/>
  <c r="C471" i="5"/>
  <c r="C472" i="5"/>
  <c r="C473" i="5"/>
  <c r="C474" i="5"/>
  <c r="C475" i="5"/>
  <c r="D475" i="5" s="1"/>
  <c r="C476" i="5"/>
  <c r="D476" i="5" s="1"/>
  <c r="C477" i="5"/>
  <c r="C478" i="5"/>
  <c r="C479" i="5"/>
  <c r="C480" i="5"/>
  <c r="C481" i="5"/>
  <c r="C482" i="5"/>
  <c r="C483" i="5"/>
  <c r="D483" i="5" s="1"/>
  <c r="C484" i="5"/>
  <c r="D484" i="5" s="1"/>
  <c r="C485" i="5"/>
  <c r="C486" i="5"/>
  <c r="C487" i="5"/>
  <c r="C488" i="5"/>
  <c r="C489" i="5"/>
  <c r="C490" i="5"/>
  <c r="C491" i="5"/>
  <c r="D491" i="5" s="1"/>
  <c r="C492" i="5"/>
  <c r="D492" i="5" s="1"/>
  <c r="C493" i="5"/>
  <c r="C494" i="5"/>
  <c r="C495" i="5"/>
  <c r="C496" i="5"/>
  <c r="C497" i="5"/>
  <c r="C498" i="5"/>
  <c r="C499" i="5"/>
  <c r="D499" i="5" s="1"/>
  <c r="C500" i="5"/>
  <c r="D500" i="5" s="1"/>
  <c r="C501" i="5"/>
  <c r="C502" i="5"/>
  <c r="C503" i="5"/>
  <c r="C504" i="5"/>
  <c r="C505" i="5"/>
  <c r="C506" i="5"/>
  <c r="C507" i="5"/>
  <c r="D507" i="5" s="1"/>
  <c r="C508" i="5"/>
  <c r="D508" i="5" s="1"/>
  <c r="C509" i="5"/>
  <c r="C510" i="5"/>
  <c r="C511" i="5"/>
  <c r="C512" i="5"/>
  <c r="C513" i="5"/>
  <c r="C514" i="5"/>
  <c r="C515" i="5"/>
  <c r="D515" i="5" s="1"/>
  <c r="C516" i="5"/>
  <c r="D516" i="5" s="1"/>
  <c r="C517" i="5"/>
  <c r="C518" i="5"/>
  <c r="C519" i="5"/>
  <c r="C520" i="5"/>
  <c r="C521" i="5"/>
  <c r="C522" i="5"/>
  <c r="C523" i="5"/>
  <c r="D523" i="5" s="1"/>
  <c r="C524" i="5"/>
  <c r="D524" i="5" s="1"/>
  <c r="C525" i="5"/>
  <c r="C526" i="5"/>
  <c r="C527" i="5"/>
  <c r="C528" i="5"/>
  <c r="C529" i="5"/>
  <c r="C530" i="5"/>
  <c r="C531" i="5"/>
  <c r="D531" i="5" s="1"/>
  <c r="C532" i="5"/>
  <c r="D532" i="5" s="1"/>
  <c r="C533" i="5"/>
  <c r="C534" i="5"/>
  <c r="C535" i="5"/>
  <c r="C536" i="5"/>
  <c r="C537" i="5"/>
  <c r="C538" i="5"/>
  <c r="C539" i="5"/>
  <c r="D539" i="5" s="1"/>
  <c r="C540" i="5"/>
  <c r="D540" i="5" s="1"/>
  <c r="C541" i="5"/>
  <c r="C542" i="5"/>
  <c r="C543" i="5"/>
  <c r="C544" i="5"/>
  <c r="C545" i="5"/>
  <c r="C546" i="5"/>
  <c r="C547" i="5"/>
  <c r="D547" i="5" s="1"/>
  <c r="C548" i="5"/>
  <c r="D548" i="5" s="1"/>
  <c r="C549" i="5"/>
  <c r="C550" i="5"/>
  <c r="C551" i="5"/>
  <c r="C552" i="5"/>
  <c r="C553" i="5"/>
  <c r="C554" i="5"/>
  <c r="C555" i="5"/>
  <c r="D555" i="5" s="1"/>
  <c r="C556" i="5"/>
  <c r="D556" i="5" s="1"/>
  <c r="C557" i="5"/>
  <c r="C558" i="5"/>
  <c r="C559" i="5"/>
  <c r="C560" i="5"/>
  <c r="C561" i="5"/>
  <c r="C562" i="5"/>
  <c r="C563" i="5"/>
  <c r="D563" i="5" s="1"/>
  <c r="C564" i="5"/>
  <c r="D564" i="5" s="1"/>
  <c r="C565" i="5"/>
  <c r="C566" i="5"/>
  <c r="C567" i="5"/>
  <c r="C568" i="5"/>
  <c r="C569" i="5"/>
  <c r="C570" i="5"/>
  <c r="C571" i="5"/>
  <c r="D571" i="5" s="1"/>
  <c r="C572" i="5"/>
  <c r="D572" i="5" s="1"/>
  <c r="C573" i="5"/>
  <c r="C574" i="5"/>
  <c r="C575" i="5"/>
  <c r="C576" i="5"/>
  <c r="C577" i="5"/>
  <c r="C578" i="5"/>
  <c r="C579" i="5"/>
  <c r="D579" i="5" s="1"/>
  <c r="C580" i="5"/>
  <c r="D580" i="5" s="1"/>
  <c r="C581" i="5"/>
  <c r="C582" i="5"/>
  <c r="C583" i="5"/>
  <c r="C584" i="5"/>
  <c r="C585" i="5"/>
  <c r="C586" i="5"/>
  <c r="C587" i="5"/>
  <c r="D587" i="5" s="1"/>
  <c r="C588" i="5"/>
  <c r="D588" i="5" s="1"/>
  <c r="C589" i="5"/>
  <c r="C590" i="5"/>
  <c r="C591" i="5"/>
  <c r="C592" i="5"/>
  <c r="C593" i="5"/>
  <c r="C594" i="5"/>
  <c r="C595" i="5"/>
  <c r="C596" i="5"/>
  <c r="D596" i="5" s="1"/>
  <c r="C597" i="5"/>
  <c r="C598" i="5"/>
  <c r="C599" i="5"/>
  <c r="C600" i="5"/>
  <c r="C601" i="5"/>
  <c r="C602" i="5"/>
  <c r="C603" i="5"/>
  <c r="D603" i="5" s="1"/>
  <c r="C604" i="5"/>
  <c r="D604" i="5" s="1"/>
  <c r="C605" i="5"/>
  <c r="C606" i="5"/>
  <c r="C607" i="5"/>
  <c r="C608" i="5"/>
  <c r="C609" i="5"/>
  <c r="C610" i="5"/>
  <c r="C611" i="5"/>
  <c r="D611" i="5" s="1"/>
  <c r="C612" i="5"/>
  <c r="D612" i="5" s="1"/>
  <c r="C613" i="5"/>
  <c r="C614" i="5"/>
  <c r="C615" i="5"/>
  <c r="C616" i="5"/>
  <c r="C617" i="5"/>
  <c r="C618" i="5"/>
  <c r="C619" i="5"/>
  <c r="D619" i="5" s="1"/>
  <c r="C620" i="5"/>
  <c r="D620" i="5" s="1"/>
  <c r="C621" i="5"/>
  <c r="C622" i="5"/>
  <c r="C623" i="5"/>
  <c r="C624" i="5"/>
  <c r="C625" i="5"/>
  <c r="C626" i="5"/>
  <c r="C627" i="5"/>
  <c r="D627" i="5" s="1"/>
  <c r="C628" i="5"/>
  <c r="D628" i="5" s="1"/>
  <c r="C629" i="5"/>
  <c r="C630" i="5"/>
  <c r="C631" i="5"/>
  <c r="C632" i="5"/>
  <c r="C633" i="5"/>
  <c r="C634" i="5"/>
  <c r="C635" i="5"/>
  <c r="D635" i="5" s="1"/>
  <c r="C636" i="5"/>
  <c r="D636" i="5" s="1"/>
  <c r="C637" i="5"/>
  <c r="C638" i="5"/>
  <c r="C639" i="5"/>
  <c r="C640" i="5"/>
  <c r="C641" i="5"/>
  <c r="C642" i="5"/>
  <c r="C643" i="5"/>
  <c r="D643" i="5" s="1"/>
  <c r="C644" i="5"/>
  <c r="D644" i="5" s="1"/>
  <c r="C645" i="5"/>
  <c r="C646" i="5"/>
  <c r="C647" i="5"/>
  <c r="C648" i="5"/>
  <c r="C649" i="5"/>
  <c r="C650" i="5"/>
  <c r="C651" i="5"/>
  <c r="D651" i="5" s="1"/>
  <c r="C652" i="5"/>
  <c r="D652" i="5" s="1"/>
  <c r="C653" i="5"/>
  <c r="C654" i="5"/>
  <c r="C655" i="5"/>
  <c r="C656" i="5"/>
  <c r="C657" i="5"/>
  <c r="C658" i="5"/>
  <c r="C659" i="5"/>
  <c r="D659" i="5" s="1"/>
  <c r="C660" i="5"/>
  <c r="D660" i="5" s="1"/>
  <c r="C661" i="5"/>
  <c r="C662" i="5"/>
  <c r="C663" i="5"/>
  <c r="C664" i="5"/>
  <c r="C665" i="5"/>
  <c r="C666" i="5"/>
  <c r="C667" i="5"/>
  <c r="D667" i="5" s="1"/>
  <c r="C668" i="5"/>
  <c r="D668" i="5" s="1"/>
  <c r="C669" i="5"/>
  <c r="C670" i="5"/>
  <c r="C671" i="5"/>
  <c r="C672" i="5"/>
  <c r="C673" i="5"/>
  <c r="C674" i="5"/>
  <c r="C675" i="5"/>
  <c r="D675" i="5" s="1"/>
  <c r="C676" i="5"/>
  <c r="D676" i="5" s="1"/>
  <c r="C677" i="5"/>
  <c r="C678" i="5"/>
  <c r="C679" i="5"/>
  <c r="C680" i="5"/>
  <c r="C681" i="5"/>
  <c r="C682" i="5"/>
  <c r="C683" i="5"/>
  <c r="D683" i="5" s="1"/>
  <c r="C684" i="5"/>
  <c r="D684" i="5" s="1"/>
  <c r="C685" i="5"/>
  <c r="C686" i="5"/>
  <c r="C687" i="5"/>
  <c r="C688" i="5"/>
  <c r="C689" i="5"/>
  <c r="C690" i="5"/>
  <c r="C691" i="5"/>
  <c r="D691" i="5" s="1"/>
  <c r="C692" i="5"/>
  <c r="D692" i="5" s="1"/>
  <c r="C693" i="5"/>
  <c r="C694" i="5"/>
  <c r="C695" i="5"/>
  <c r="C696" i="5"/>
  <c r="C697" i="5"/>
  <c r="C698" i="5"/>
  <c r="C699" i="5"/>
  <c r="D699" i="5" s="1"/>
  <c r="C700" i="5"/>
  <c r="D700" i="5" s="1"/>
  <c r="C701" i="5"/>
  <c r="C702" i="5"/>
  <c r="C703" i="5"/>
  <c r="C704" i="5"/>
  <c r="C705" i="5"/>
  <c r="C706" i="5"/>
  <c r="C707" i="5"/>
  <c r="D707" i="5" s="1"/>
  <c r="C708" i="5"/>
  <c r="D708" i="5" s="1"/>
  <c r="C709" i="5"/>
  <c r="C710" i="5"/>
  <c r="C711" i="5"/>
  <c r="C712" i="5"/>
  <c r="C713" i="5"/>
  <c r="C714" i="5"/>
  <c r="C715" i="5"/>
  <c r="D715" i="5" s="1"/>
  <c r="C716" i="5"/>
  <c r="D716" i="5" s="1"/>
  <c r="C717" i="5"/>
  <c r="C718" i="5"/>
  <c r="C719" i="5"/>
  <c r="C720" i="5"/>
  <c r="C721" i="5"/>
  <c r="C722" i="5"/>
  <c r="C723" i="5"/>
  <c r="D723" i="5" s="1"/>
  <c r="C724" i="5"/>
  <c r="D724" i="5" s="1"/>
  <c r="C725" i="5"/>
  <c r="C726" i="5"/>
  <c r="C727" i="5"/>
  <c r="C728" i="5"/>
  <c r="C729" i="5"/>
  <c r="C730" i="5"/>
  <c r="C731" i="5"/>
  <c r="D731" i="5" s="1"/>
  <c r="C732" i="5"/>
  <c r="D732" i="5" s="1"/>
  <c r="C733" i="5"/>
  <c r="C734" i="5"/>
  <c r="C735" i="5"/>
  <c r="C736" i="5"/>
  <c r="C737" i="5"/>
  <c r="C738" i="5"/>
  <c r="C739" i="5"/>
  <c r="D739" i="5" s="1"/>
  <c r="C740" i="5"/>
  <c r="D740" i="5" s="1"/>
  <c r="C741" i="5"/>
  <c r="C742" i="5"/>
  <c r="C743" i="5"/>
  <c r="C744" i="5"/>
  <c r="C745" i="5"/>
  <c r="C746" i="5"/>
  <c r="C747" i="5"/>
  <c r="D747" i="5" s="1"/>
  <c r="C748" i="5"/>
  <c r="D748" i="5" s="1"/>
  <c r="C749" i="5"/>
  <c r="C750" i="5"/>
  <c r="C751" i="5"/>
  <c r="C752" i="5"/>
  <c r="C753" i="5"/>
  <c r="C754" i="5"/>
  <c r="C755" i="5"/>
  <c r="D755" i="5" s="1"/>
  <c r="C756" i="5"/>
  <c r="D756" i="5" s="1"/>
  <c r="C757" i="5"/>
  <c r="C758" i="5"/>
  <c r="C759" i="5"/>
  <c r="C760" i="5"/>
  <c r="C761" i="5"/>
  <c r="C762" i="5"/>
  <c r="C763" i="5"/>
  <c r="D763" i="5" s="1"/>
  <c r="C764" i="5"/>
  <c r="D764" i="5" s="1"/>
  <c r="C765" i="5"/>
  <c r="C766" i="5"/>
  <c r="C767" i="5"/>
  <c r="C768" i="5"/>
  <c r="C769" i="5"/>
  <c r="C770" i="5"/>
  <c r="C771" i="5"/>
  <c r="D771" i="5" s="1"/>
  <c r="C772" i="5"/>
  <c r="D772" i="5" s="1"/>
  <c r="C773" i="5"/>
  <c r="C774" i="5"/>
  <c r="C775" i="5"/>
  <c r="C776" i="5"/>
  <c r="C777" i="5"/>
  <c r="C778" i="5"/>
  <c r="C779" i="5"/>
  <c r="D779" i="5" s="1"/>
  <c r="C780" i="5"/>
  <c r="D780" i="5" s="1"/>
  <c r="C781" i="5"/>
  <c r="C782" i="5"/>
  <c r="C783" i="5"/>
  <c r="C784" i="5"/>
  <c r="C785" i="5"/>
  <c r="C786" i="5"/>
  <c r="C787" i="5"/>
  <c r="C788" i="5"/>
  <c r="D788" i="5" s="1"/>
  <c r="C789" i="5"/>
  <c r="C790" i="5"/>
  <c r="C791" i="5"/>
  <c r="C792" i="5"/>
  <c r="C793" i="5"/>
  <c r="C794" i="5"/>
  <c r="C795" i="5"/>
  <c r="D795" i="5" s="1"/>
  <c r="C796" i="5"/>
  <c r="D796" i="5" s="1"/>
  <c r="C797" i="5"/>
  <c r="C798" i="5"/>
  <c r="C799" i="5"/>
  <c r="C800" i="5"/>
  <c r="C801" i="5"/>
  <c r="C802" i="5"/>
  <c r="C803" i="5"/>
  <c r="D803" i="5" s="1"/>
  <c r="C804" i="5"/>
  <c r="D804" i="5" s="1"/>
  <c r="C805" i="5"/>
  <c r="C806" i="5"/>
  <c r="C807" i="5"/>
  <c r="C808" i="5"/>
  <c r="C809" i="5"/>
  <c r="C810" i="5"/>
  <c r="C811" i="5"/>
  <c r="D811" i="5" s="1"/>
  <c r="C812" i="5"/>
  <c r="D812" i="5" s="1"/>
  <c r="C813" i="5"/>
  <c r="C814" i="5"/>
  <c r="C815" i="5"/>
  <c r="C816" i="5"/>
  <c r="C817" i="5"/>
  <c r="C818" i="5"/>
  <c r="C819" i="5"/>
  <c r="D819" i="5" s="1"/>
  <c r="C820" i="5"/>
  <c r="D820" i="5" s="1"/>
  <c r="C821" i="5"/>
  <c r="C822" i="5"/>
  <c r="C823" i="5"/>
  <c r="C824" i="5"/>
  <c r="C825" i="5"/>
  <c r="C826" i="5"/>
  <c r="C827" i="5"/>
  <c r="D827" i="5" s="1"/>
  <c r="C828" i="5"/>
  <c r="D828" i="5" s="1"/>
  <c r="C829" i="5"/>
  <c r="C830" i="5"/>
  <c r="C831" i="5"/>
  <c r="C832" i="5"/>
  <c r="C833" i="5"/>
  <c r="C834" i="5"/>
  <c r="C835" i="5"/>
  <c r="D835" i="5" s="1"/>
  <c r="C836" i="5"/>
  <c r="D836" i="5" s="1"/>
  <c r="C837" i="5"/>
  <c r="C838" i="5"/>
  <c r="C839" i="5"/>
  <c r="C840" i="5"/>
  <c r="C841" i="5"/>
  <c r="C842" i="5"/>
  <c r="C843" i="5"/>
  <c r="D843" i="5" s="1"/>
  <c r="C844" i="5"/>
  <c r="D844" i="5" s="1"/>
  <c r="C845" i="5"/>
  <c r="C846" i="5"/>
  <c r="C847" i="5"/>
  <c r="C848" i="5"/>
  <c r="C849" i="5"/>
  <c r="C850" i="5"/>
  <c r="C851" i="5"/>
  <c r="D851" i="5" s="1"/>
  <c r="C852" i="5"/>
  <c r="D852" i="5" s="1"/>
  <c r="C853" i="5"/>
  <c r="C854" i="5"/>
  <c r="C855" i="5"/>
  <c r="C856" i="5"/>
  <c r="C857" i="5"/>
  <c r="C858" i="5"/>
  <c r="C859" i="5"/>
  <c r="D859" i="5" s="1"/>
  <c r="C860" i="5"/>
  <c r="D860" i="5" s="1"/>
  <c r="C861" i="5"/>
  <c r="C862" i="5"/>
  <c r="C863" i="5"/>
  <c r="C864" i="5"/>
  <c r="C865" i="5"/>
  <c r="C866" i="5"/>
  <c r="C867" i="5"/>
  <c r="D867" i="5" s="1"/>
  <c r="C868" i="5"/>
  <c r="D868" i="5" s="1"/>
  <c r="C869" i="5"/>
  <c r="C870" i="5"/>
  <c r="C871" i="5"/>
  <c r="C872" i="5"/>
  <c r="C873" i="5"/>
  <c r="C874" i="5"/>
  <c r="C875" i="5"/>
  <c r="D875" i="5" s="1"/>
  <c r="C876" i="5"/>
  <c r="D876" i="5" s="1"/>
  <c r="C877" i="5"/>
  <c r="C878" i="5"/>
  <c r="C879" i="5"/>
  <c r="C880" i="5"/>
  <c r="C881" i="5"/>
  <c r="C882" i="5"/>
  <c r="C883" i="5"/>
  <c r="C884" i="5"/>
  <c r="D884" i="5" s="1"/>
  <c r="E884" i="5" s="1"/>
  <c r="F884" i="5" s="1"/>
  <c r="C885" i="5"/>
  <c r="C886" i="5"/>
  <c r="C887" i="5"/>
  <c r="C888" i="5"/>
  <c r="C889" i="5"/>
  <c r="C890" i="5"/>
  <c r="C891" i="5"/>
  <c r="D891" i="5" s="1"/>
  <c r="C892" i="5"/>
  <c r="D892" i="5" s="1"/>
  <c r="C893" i="5"/>
  <c r="C894" i="5"/>
  <c r="C895" i="5"/>
  <c r="C896" i="5"/>
  <c r="C897" i="5"/>
  <c r="C898" i="5"/>
  <c r="C899" i="5"/>
  <c r="D899" i="5" s="1"/>
  <c r="C900" i="5"/>
  <c r="D900" i="5" s="1"/>
  <c r="C901" i="5"/>
  <c r="C902" i="5"/>
  <c r="C903" i="5"/>
  <c r="C904" i="5"/>
  <c r="C905" i="5"/>
  <c r="C906" i="5"/>
  <c r="C907" i="5"/>
  <c r="D907" i="5" s="1"/>
  <c r="C908" i="5"/>
  <c r="D908" i="5" s="1"/>
  <c r="C909" i="5"/>
  <c r="C910" i="5"/>
  <c r="C911" i="5"/>
  <c r="C912" i="5"/>
  <c r="C913" i="5"/>
  <c r="C914" i="5"/>
  <c r="C915" i="5"/>
  <c r="D915" i="5" s="1"/>
  <c r="C916" i="5"/>
  <c r="D916" i="5" s="1"/>
  <c r="C917" i="5"/>
  <c r="C918" i="5"/>
  <c r="C919" i="5"/>
  <c r="C920" i="5"/>
  <c r="C921" i="5"/>
  <c r="C922" i="5"/>
  <c r="C923" i="5"/>
  <c r="D923" i="5" s="1"/>
  <c r="C924" i="5"/>
  <c r="D924" i="5" s="1"/>
  <c r="C925" i="5"/>
  <c r="C926" i="5"/>
  <c r="C927" i="5"/>
  <c r="C928" i="5"/>
  <c r="C929" i="5"/>
  <c r="C930" i="5"/>
  <c r="C931" i="5"/>
  <c r="D931" i="5" s="1"/>
  <c r="C932" i="5"/>
  <c r="D932" i="5" s="1"/>
  <c r="C933" i="5"/>
  <c r="C934" i="5"/>
  <c r="C935" i="5"/>
  <c r="C936" i="5"/>
  <c r="C937" i="5"/>
  <c r="C938" i="5"/>
  <c r="C939" i="5"/>
  <c r="D939" i="5" s="1"/>
  <c r="C940" i="5"/>
  <c r="D940" i="5" s="1"/>
  <c r="C941" i="5"/>
  <c r="C942" i="5"/>
  <c r="C943" i="5"/>
  <c r="C944" i="5"/>
  <c r="C945" i="5"/>
  <c r="C946" i="5"/>
  <c r="C947" i="5"/>
  <c r="D947" i="5" s="1"/>
  <c r="C948" i="5"/>
  <c r="D948" i="5" s="1"/>
  <c r="C949" i="5"/>
  <c r="C950" i="5"/>
  <c r="C951" i="5"/>
  <c r="C952" i="5"/>
  <c r="C953" i="5"/>
  <c r="C954" i="5"/>
  <c r="C955" i="5"/>
  <c r="D955" i="5" s="1"/>
  <c r="C956" i="5"/>
  <c r="D956" i="5" s="1"/>
  <c r="C957" i="5"/>
  <c r="C958" i="5"/>
  <c r="C959" i="5"/>
  <c r="C960" i="5"/>
  <c r="C961" i="5"/>
  <c r="C962" i="5"/>
  <c r="C963" i="5"/>
  <c r="D963" i="5" s="1"/>
  <c r="C964" i="5"/>
  <c r="D964" i="5" s="1"/>
  <c r="C965" i="5"/>
  <c r="C966" i="5"/>
  <c r="C967" i="5"/>
  <c r="C968" i="5"/>
  <c r="C969" i="5"/>
  <c r="C970" i="5"/>
  <c r="C971" i="5"/>
  <c r="D971" i="5" s="1"/>
  <c r="C972" i="5"/>
  <c r="D972" i="5" s="1"/>
  <c r="C973" i="5"/>
  <c r="C974" i="5"/>
  <c r="C975" i="5"/>
  <c r="C976" i="5"/>
  <c r="C977" i="5"/>
  <c r="C978" i="5"/>
  <c r="C979" i="5"/>
  <c r="D979" i="5" s="1"/>
  <c r="C980" i="5"/>
  <c r="D980" i="5" s="1"/>
  <c r="C981" i="5"/>
  <c r="C982" i="5"/>
  <c r="C983" i="5"/>
  <c r="C984" i="5"/>
  <c r="C985" i="5"/>
  <c r="C986" i="5"/>
  <c r="C987" i="5"/>
  <c r="D987" i="5" s="1"/>
  <c r="C988" i="5"/>
  <c r="D988" i="5" s="1"/>
  <c r="E988" i="5" s="1"/>
  <c r="F988" i="5" s="1"/>
  <c r="C989" i="5"/>
  <c r="C990" i="5"/>
  <c r="C991" i="5"/>
  <c r="C992" i="5"/>
  <c r="C993" i="5"/>
  <c r="C994" i="5"/>
  <c r="C995" i="5"/>
  <c r="D995" i="5" s="1"/>
  <c r="C996" i="5"/>
  <c r="D996" i="5" s="1"/>
  <c r="C997" i="5"/>
  <c r="C998" i="5"/>
  <c r="C999" i="5"/>
  <c r="C1000" i="5"/>
  <c r="C1001" i="5"/>
  <c r="C1002" i="5"/>
  <c r="C1003" i="5"/>
  <c r="D1003" i="5" s="1"/>
  <c r="C1004" i="5"/>
  <c r="D1004" i="5" s="1"/>
  <c r="E1004" i="5" s="1"/>
  <c r="F1004" i="5" s="1"/>
  <c r="C1005" i="5"/>
  <c r="C1006" i="5"/>
  <c r="C1007" i="5"/>
  <c r="C1008" i="5"/>
  <c r="C1009" i="5"/>
  <c r="C1010" i="5"/>
  <c r="C1011" i="5"/>
  <c r="D1011" i="5" s="1"/>
  <c r="C1012" i="5"/>
  <c r="D1012" i="5" s="1"/>
  <c r="C1013" i="5"/>
  <c r="C1014" i="5"/>
  <c r="C1015" i="5"/>
  <c r="C1016" i="5"/>
  <c r="C1017" i="5"/>
  <c r="C1018" i="5"/>
  <c r="C1019" i="5"/>
  <c r="D1019" i="5" s="1"/>
  <c r="C1020" i="5"/>
  <c r="D1020" i="5" s="1"/>
  <c r="E1020" i="5" s="1"/>
  <c r="F1020" i="5" s="1"/>
  <c r="C1021" i="5"/>
  <c r="C1022" i="5"/>
  <c r="C1023" i="5"/>
  <c r="C1024" i="5"/>
  <c r="C1025" i="5"/>
  <c r="C1026" i="5"/>
  <c r="C1027" i="5"/>
  <c r="D1027" i="5" s="1"/>
  <c r="C1028" i="5"/>
  <c r="D1028" i="5" s="1"/>
  <c r="C1029" i="5"/>
  <c r="C1030" i="5"/>
  <c r="C1031" i="5"/>
  <c r="C1032" i="5"/>
  <c r="C1033" i="5"/>
  <c r="C1034" i="5"/>
  <c r="C1035" i="5"/>
  <c r="D1035" i="5" s="1"/>
  <c r="C1036" i="5"/>
  <c r="D1036" i="5" s="1"/>
  <c r="E1036" i="5" s="1"/>
  <c r="F1036" i="5" s="1"/>
  <c r="C1037" i="5"/>
  <c r="C1038" i="5"/>
  <c r="C1039" i="5"/>
  <c r="C1040" i="5"/>
  <c r="C1041" i="5"/>
  <c r="C1042" i="5"/>
  <c r="C1043" i="5"/>
  <c r="D1043" i="5" s="1"/>
  <c r="C1044" i="5"/>
  <c r="D1044" i="5" s="1"/>
  <c r="C1045" i="5"/>
  <c r="C1046" i="5"/>
  <c r="C1047" i="5"/>
  <c r="C1048" i="5"/>
  <c r="C1049" i="5"/>
  <c r="C1050" i="5"/>
  <c r="C1051" i="5"/>
  <c r="D1051" i="5" s="1"/>
  <c r="C1052" i="5"/>
  <c r="D1052" i="5" s="1"/>
  <c r="C1053" i="5"/>
  <c r="C1054" i="5"/>
  <c r="C1055" i="5"/>
  <c r="C1056" i="5"/>
  <c r="C1057" i="5"/>
  <c r="C1058" i="5"/>
  <c r="C1059" i="5"/>
  <c r="D1059" i="5" s="1"/>
  <c r="C1060" i="5"/>
  <c r="D1060" i="5" s="1"/>
  <c r="C1061" i="5"/>
  <c r="C1062" i="5"/>
  <c r="C1063" i="5"/>
  <c r="C1064" i="5"/>
  <c r="C1065" i="5"/>
  <c r="C1066" i="5"/>
  <c r="C1067" i="5"/>
  <c r="D1067" i="5" s="1"/>
  <c r="C1068" i="5"/>
  <c r="D1068" i="5" s="1"/>
  <c r="C1069" i="5"/>
  <c r="C1070" i="5"/>
  <c r="C1071" i="5"/>
  <c r="C1072" i="5"/>
  <c r="C1073" i="5"/>
  <c r="C1074" i="5"/>
  <c r="C1075" i="5"/>
  <c r="D1075" i="5" s="1"/>
  <c r="C1076" i="5"/>
  <c r="D1076" i="5" s="1"/>
  <c r="E1076" i="5" s="1"/>
  <c r="F1076" i="5" s="1"/>
  <c r="C1077" i="5"/>
  <c r="C1078" i="5"/>
  <c r="C1079" i="5"/>
  <c r="C1080" i="5"/>
  <c r="C1081" i="5"/>
  <c r="C1082" i="5"/>
  <c r="C1083" i="5"/>
  <c r="D1083" i="5" s="1"/>
  <c r="C1084" i="5"/>
  <c r="D1084" i="5" s="1"/>
  <c r="C1085" i="5"/>
  <c r="C1086" i="5"/>
  <c r="C1087" i="5"/>
  <c r="C1088" i="5"/>
  <c r="C1089" i="5"/>
  <c r="C1090" i="5"/>
  <c r="C1091" i="5"/>
  <c r="D1091" i="5" s="1"/>
  <c r="C1092" i="5"/>
  <c r="D1092" i="5" s="1"/>
  <c r="C1093" i="5"/>
  <c r="C1094" i="5"/>
  <c r="C1095" i="5"/>
  <c r="C1096" i="5"/>
  <c r="C1097" i="5"/>
  <c r="C1098" i="5"/>
  <c r="C1099" i="5"/>
  <c r="D1099" i="5" s="1"/>
  <c r="C1100" i="5"/>
  <c r="D1100" i="5" s="1"/>
  <c r="E1100" i="5" s="1"/>
  <c r="F1100" i="5" s="1"/>
  <c r="C1101" i="5"/>
  <c r="C1102" i="5"/>
  <c r="C1103" i="5"/>
  <c r="C1104" i="5"/>
  <c r="C1105" i="5"/>
  <c r="C1106" i="5"/>
  <c r="C1107" i="5"/>
  <c r="D1107" i="5" s="1"/>
  <c r="C1108" i="5"/>
  <c r="D1108" i="5" s="1"/>
  <c r="E1108" i="5" s="1"/>
  <c r="F1108" i="5" s="1"/>
  <c r="C1109" i="5"/>
  <c r="C1110" i="5"/>
  <c r="C1111" i="5"/>
  <c r="C1112" i="5"/>
  <c r="C1113" i="5"/>
  <c r="C1114" i="5"/>
  <c r="C1115" i="5"/>
  <c r="D1115" i="5" s="1"/>
  <c r="C1116" i="5"/>
  <c r="D1116" i="5" s="1"/>
  <c r="C1117" i="5"/>
  <c r="C1118" i="5"/>
  <c r="C1119" i="5"/>
  <c r="C1120" i="5"/>
  <c r="C1121" i="5"/>
  <c r="C1122" i="5"/>
  <c r="C1123" i="5"/>
  <c r="D1123" i="5" s="1"/>
  <c r="C1124" i="5"/>
  <c r="D1124" i="5" s="1"/>
  <c r="C1125" i="5"/>
  <c r="C1126" i="5"/>
  <c r="C1127" i="5"/>
  <c r="C1128" i="5"/>
  <c r="C1129" i="5"/>
  <c r="C1130" i="5"/>
  <c r="C1131" i="5"/>
  <c r="D1131" i="5" s="1"/>
  <c r="C1132" i="5"/>
  <c r="D1132" i="5" s="1"/>
  <c r="E1132" i="5" s="1"/>
  <c r="F1132" i="5" s="1"/>
  <c r="C1133" i="5"/>
  <c r="C1134" i="5"/>
  <c r="C1135" i="5"/>
  <c r="C1136" i="5"/>
  <c r="C1137" i="5"/>
  <c r="C1138" i="5"/>
  <c r="C1139" i="5"/>
  <c r="D1139" i="5" s="1"/>
  <c r="C1140" i="5"/>
  <c r="D1140" i="5" s="1"/>
  <c r="C1141" i="5"/>
  <c r="C1142" i="5"/>
  <c r="C1143" i="5"/>
  <c r="C1144" i="5"/>
  <c r="C1145" i="5"/>
  <c r="C1146" i="5"/>
  <c r="C1147" i="5"/>
  <c r="D1147" i="5" s="1"/>
  <c r="C1148" i="5"/>
  <c r="D1148" i="5" s="1"/>
  <c r="C1149" i="5"/>
  <c r="C1150" i="5"/>
  <c r="C1151" i="5"/>
  <c r="C1152" i="5"/>
  <c r="C1153" i="5"/>
  <c r="C1154" i="5"/>
  <c r="C1155" i="5"/>
  <c r="D1155" i="5" s="1"/>
  <c r="C1156" i="5"/>
  <c r="D1156" i="5" s="1"/>
  <c r="C1157" i="5"/>
  <c r="C1158" i="5"/>
  <c r="C1159" i="5"/>
  <c r="C1160" i="5"/>
  <c r="C1161" i="5"/>
  <c r="C1162" i="5"/>
  <c r="C1163" i="5"/>
  <c r="D1163" i="5" s="1"/>
  <c r="C1164" i="5"/>
  <c r="D1164" i="5" s="1"/>
  <c r="E1164" i="5" s="1"/>
  <c r="F1164" i="5" s="1"/>
  <c r="C1165" i="5"/>
  <c r="C1166" i="5"/>
  <c r="C1167" i="5"/>
  <c r="C1168" i="5"/>
  <c r="C1169" i="5"/>
  <c r="C1170" i="5"/>
  <c r="C1171" i="5"/>
  <c r="D1171" i="5" s="1"/>
  <c r="E1170" i="5" s="1"/>
  <c r="F1170" i="5" s="1"/>
  <c r="C1172" i="5"/>
  <c r="D1172" i="5" s="1"/>
  <c r="C1173" i="5"/>
  <c r="C1174" i="5"/>
  <c r="C1175" i="5"/>
  <c r="C1176" i="5"/>
  <c r="C1177" i="5"/>
  <c r="C1178" i="5"/>
  <c r="C1179" i="5"/>
  <c r="D1179" i="5" s="1"/>
  <c r="C1180" i="5"/>
  <c r="D1180" i="5" s="1"/>
  <c r="C1181" i="5"/>
  <c r="C1182" i="5"/>
  <c r="C1183" i="5"/>
  <c r="C1184" i="5"/>
  <c r="C1185" i="5"/>
  <c r="C1186" i="5"/>
  <c r="C1187" i="5"/>
  <c r="D1187" i="5" s="1"/>
  <c r="C1188" i="5"/>
  <c r="D1188" i="5" s="1"/>
  <c r="C1189" i="5"/>
  <c r="C1190" i="5"/>
  <c r="C1191" i="5"/>
  <c r="C1192" i="5"/>
  <c r="C1193" i="5"/>
  <c r="C1194" i="5"/>
  <c r="C1195" i="5"/>
  <c r="D1195" i="5" s="1"/>
  <c r="C1196" i="5"/>
  <c r="D1196" i="5" s="1"/>
  <c r="C1197" i="5"/>
  <c r="C1198" i="5"/>
  <c r="C1199" i="5"/>
  <c r="C1200" i="5"/>
  <c r="C1201" i="5"/>
  <c r="C1202" i="5"/>
  <c r="C1203" i="5"/>
  <c r="D1203" i="5" s="1"/>
  <c r="C1204" i="5"/>
  <c r="D1204" i="5" s="1"/>
  <c r="C1205" i="5"/>
  <c r="C1206" i="5"/>
  <c r="C1207" i="5"/>
  <c r="C1208" i="5"/>
  <c r="C1209" i="5"/>
  <c r="C1210" i="5"/>
  <c r="C1211" i="5"/>
  <c r="D1211" i="5" s="1"/>
  <c r="C1212" i="5"/>
  <c r="D1212" i="5" s="1"/>
  <c r="C1213" i="5"/>
  <c r="C1214" i="5"/>
  <c r="C1215" i="5"/>
  <c r="C1216" i="5"/>
  <c r="C1217" i="5"/>
  <c r="C1218" i="5"/>
  <c r="C1219" i="5"/>
  <c r="D1219" i="5" s="1"/>
  <c r="C1220" i="5"/>
  <c r="D1220" i="5" s="1"/>
  <c r="C1221" i="5"/>
  <c r="C1222" i="5"/>
  <c r="C1223" i="5"/>
  <c r="C1224" i="5"/>
  <c r="C1225" i="5"/>
  <c r="C1226" i="5"/>
  <c r="C1227" i="5"/>
  <c r="D1227" i="5" s="1"/>
  <c r="C1228" i="5"/>
  <c r="D1228" i="5" s="1"/>
  <c r="E1228" i="5" s="1"/>
  <c r="F1228" i="5" s="1"/>
  <c r="C1229" i="5"/>
  <c r="C1230" i="5"/>
  <c r="C1231" i="5"/>
  <c r="C1232" i="5"/>
  <c r="C1233" i="5"/>
  <c r="C1234" i="5"/>
  <c r="C1235" i="5"/>
  <c r="D1235" i="5" s="1"/>
  <c r="C1236" i="5"/>
  <c r="D1236" i="5" s="1"/>
  <c r="C1237" i="5"/>
  <c r="C1238" i="5"/>
  <c r="C1239" i="5"/>
  <c r="C1240" i="5"/>
  <c r="C1241" i="5"/>
  <c r="C1242" i="5"/>
  <c r="C1243" i="5"/>
  <c r="D1243" i="5" s="1"/>
  <c r="C1244" i="5"/>
  <c r="D1244" i="5" s="1"/>
  <c r="C1245" i="5"/>
  <c r="C1246" i="5"/>
  <c r="C1247" i="5"/>
  <c r="C1248" i="5"/>
  <c r="C1249" i="5"/>
  <c r="C1250" i="5"/>
  <c r="C1251" i="5"/>
  <c r="D1251" i="5" s="1"/>
  <c r="C1252" i="5"/>
  <c r="D1252" i="5" s="1"/>
  <c r="C1253" i="5"/>
  <c r="C1254" i="5"/>
  <c r="C1255" i="5"/>
  <c r="C1256" i="5"/>
  <c r="C1257" i="5"/>
  <c r="C1258" i="5"/>
  <c r="C1259" i="5"/>
  <c r="D1259" i="5" s="1"/>
  <c r="C1260" i="5"/>
  <c r="D1260" i="5" s="1"/>
  <c r="E1260" i="5" s="1"/>
  <c r="F1260" i="5" s="1"/>
  <c r="C1261" i="5"/>
  <c r="C1262" i="5"/>
  <c r="C1263" i="5"/>
  <c r="C1264" i="5"/>
  <c r="C1265" i="5"/>
  <c r="C1266" i="5"/>
  <c r="C1267" i="5"/>
  <c r="D1267" i="5" s="1"/>
  <c r="C1268" i="5"/>
  <c r="D1268" i="5" s="1"/>
  <c r="C1269" i="5"/>
  <c r="C1270" i="5"/>
  <c r="C1271" i="5"/>
  <c r="C1272" i="5"/>
  <c r="C1273" i="5"/>
  <c r="C1274" i="5"/>
  <c r="C1275" i="5"/>
  <c r="D1275" i="5" s="1"/>
  <c r="C1276" i="5"/>
  <c r="D1276" i="5" s="1"/>
  <c r="C1277" i="5"/>
  <c r="C1278" i="5"/>
  <c r="C1279" i="5"/>
  <c r="C1280" i="5"/>
  <c r="D1280" i="5" s="1"/>
  <c r="C1281" i="5"/>
  <c r="C1282" i="5"/>
  <c r="C1283" i="5"/>
  <c r="D1283" i="5" s="1"/>
  <c r="C1284" i="5"/>
  <c r="D1284" i="5" s="1"/>
  <c r="E1284" i="5" s="1"/>
  <c r="F1284" i="5" s="1"/>
  <c r="C1285" i="5"/>
  <c r="D1285" i="5" s="1"/>
  <c r="C1286" i="5"/>
  <c r="C1287" i="5"/>
  <c r="C1288" i="5"/>
  <c r="C1289" i="5"/>
  <c r="C1290" i="5"/>
  <c r="C1291" i="5"/>
  <c r="D1291" i="5" s="1"/>
  <c r="C1292" i="5"/>
  <c r="D1292" i="5" s="1"/>
  <c r="E1292" i="5" s="1"/>
  <c r="F1292" i="5" s="1"/>
  <c r="C1293" i="5"/>
  <c r="D1293" i="5" s="1"/>
  <c r="C1294" i="5"/>
  <c r="C1295" i="5"/>
  <c r="C1296" i="5"/>
  <c r="D1296" i="5" s="1"/>
  <c r="C1297" i="5"/>
  <c r="C1298" i="5"/>
  <c r="C1299" i="5"/>
  <c r="D1299" i="5" s="1"/>
  <c r="C1300" i="5"/>
  <c r="D1300" i="5" s="1"/>
  <c r="C1301" i="5"/>
  <c r="C1302" i="5"/>
  <c r="C1303" i="5"/>
  <c r="C1304" i="5"/>
  <c r="D1304" i="5" s="1"/>
  <c r="C4" i="5"/>
  <c r="D1303" i="5"/>
  <c r="D1302" i="5"/>
  <c r="D1301" i="5"/>
  <c r="D1298" i="5"/>
  <c r="D1297" i="5"/>
  <c r="D1295" i="5"/>
  <c r="D1294" i="5"/>
  <c r="D1290" i="5"/>
  <c r="D1289" i="5"/>
  <c r="D1288" i="5"/>
  <c r="E1288" i="5" s="1"/>
  <c r="F1288" i="5" s="1"/>
  <c r="D1287" i="5"/>
  <c r="D1286" i="5"/>
  <c r="D1282" i="5"/>
  <c r="D1281" i="5"/>
  <c r="D1279" i="5"/>
  <c r="E1279" i="5" s="1"/>
  <c r="F1279" i="5" s="1"/>
  <c r="D1278" i="5"/>
  <c r="D1277" i="5"/>
  <c r="D1274" i="5"/>
  <c r="D1273" i="5"/>
  <c r="D1272" i="5"/>
  <c r="D1271" i="5"/>
  <c r="D1270" i="5"/>
  <c r="D1269" i="5"/>
  <c r="D1266" i="5"/>
  <c r="D1265" i="5"/>
  <c r="D1264" i="5"/>
  <c r="E1264" i="5" s="1"/>
  <c r="F1264" i="5" s="1"/>
  <c r="D1263" i="5"/>
  <c r="D1262" i="5"/>
  <c r="D1261" i="5"/>
  <c r="D1258" i="5"/>
  <c r="D1257" i="5"/>
  <c r="D1256" i="5"/>
  <c r="D1255" i="5"/>
  <c r="D1254" i="5"/>
  <c r="E1254" i="5" s="1"/>
  <c r="F1254" i="5" s="1"/>
  <c r="D1253" i="5"/>
  <c r="D1250" i="5"/>
  <c r="D1249" i="5"/>
  <c r="D1248" i="5"/>
  <c r="D1247" i="5"/>
  <c r="D1246" i="5"/>
  <c r="D1245" i="5"/>
  <c r="D1242" i="5"/>
  <c r="D1241" i="5"/>
  <c r="D1240" i="5"/>
  <c r="D1239" i="5"/>
  <c r="D1238" i="5"/>
  <c r="D1237" i="5"/>
  <c r="D1234" i="5"/>
  <c r="D1233" i="5"/>
  <c r="D1232" i="5"/>
  <c r="D1231" i="5"/>
  <c r="D1230" i="5"/>
  <c r="D1229" i="5"/>
  <c r="D1226" i="5"/>
  <c r="D1225" i="5"/>
  <c r="D1224" i="5"/>
  <c r="D1223" i="5"/>
  <c r="D1222" i="5"/>
  <c r="D1221" i="5"/>
  <c r="D1218" i="5"/>
  <c r="D1217" i="5"/>
  <c r="D1216" i="5"/>
  <c r="D1215" i="5"/>
  <c r="D1214" i="5"/>
  <c r="D1213" i="5"/>
  <c r="D1210" i="5"/>
  <c r="D1209" i="5"/>
  <c r="D1208" i="5"/>
  <c r="D1207" i="5"/>
  <c r="D1206" i="5"/>
  <c r="D1205" i="5"/>
  <c r="D1202" i="5"/>
  <c r="D1201" i="5"/>
  <c r="D1200" i="5"/>
  <c r="D1199" i="5"/>
  <c r="D1198" i="5"/>
  <c r="D1197" i="5"/>
  <c r="D1194" i="5"/>
  <c r="D1193" i="5"/>
  <c r="D1192" i="5"/>
  <c r="D1191" i="5"/>
  <c r="D1190" i="5"/>
  <c r="D1189" i="5"/>
  <c r="D1186" i="5"/>
  <c r="D1185" i="5"/>
  <c r="D1184" i="5"/>
  <c r="D1183" i="5"/>
  <c r="D1182" i="5"/>
  <c r="D1181" i="5"/>
  <c r="D1178" i="5"/>
  <c r="D1177" i="5"/>
  <c r="D1176" i="5"/>
  <c r="D1175" i="5"/>
  <c r="D1174" i="5"/>
  <c r="D1173" i="5"/>
  <c r="D1170" i="5"/>
  <c r="D1169" i="5"/>
  <c r="D1168" i="5"/>
  <c r="E1168" i="5" s="1"/>
  <c r="F1168" i="5" s="1"/>
  <c r="D1167" i="5"/>
  <c r="D1166" i="5"/>
  <c r="D1165" i="5"/>
  <c r="D1162" i="5"/>
  <c r="D1161" i="5"/>
  <c r="D1160" i="5"/>
  <c r="D1159" i="5"/>
  <c r="D1158" i="5"/>
  <c r="E1158" i="5" s="1"/>
  <c r="F1158" i="5" s="1"/>
  <c r="D1157" i="5"/>
  <c r="D1154" i="5"/>
  <c r="D1153" i="5"/>
  <c r="D1152" i="5"/>
  <c r="D1151" i="5"/>
  <c r="D1150" i="5"/>
  <c r="D1149" i="5"/>
  <c r="D1146" i="5"/>
  <c r="D1145" i="5"/>
  <c r="D1144" i="5"/>
  <c r="D1143" i="5"/>
  <c r="D1142" i="5"/>
  <c r="D1141" i="5"/>
  <c r="D1138" i="5"/>
  <c r="D1137" i="5"/>
  <c r="D1136" i="5"/>
  <c r="E1136" i="5" s="1"/>
  <c r="F1136" i="5" s="1"/>
  <c r="D1135" i="5"/>
  <c r="D1134" i="5"/>
  <c r="D1133" i="5"/>
  <c r="D1130" i="5"/>
  <c r="D1129" i="5"/>
  <c r="D1128" i="5"/>
  <c r="D1127" i="5"/>
  <c r="D1126" i="5"/>
  <c r="E1126" i="5" s="1"/>
  <c r="F1126" i="5" s="1"/>
  <c r="D1125" i="5"/>
  <c r="D1122" i="5"/>
  <c r="D1121" i="5"/>
  <c r="D1120" i="5"/>
  <c r="D1119" i="5"/>
  <c r="D1118" i="5"/>
  <c r="D1117" i="5"/>
  <c r="D1114" i="5"/>
  <c r="D1113" i="5"/>
  <c r="E1112" i="5" s="1"/>
  <c r="F1112" i="5" s="1"/>
  <c r="D1112" i="5"/>
  <c r="D1111" i="5"/>
  <c r="D1110" i="5"/>
  <c r="D1109" i="5"/>
  <c r="D1106" i="5"/>
  <c r="D1105" i="5"/>
  <c r="D1104" i="5"/>
  <c r="D1103" i="5"/>
  <c r="D1102" i="5"/>
  <c r="D1101" i="5"/>
  <c r="D1098" i="5"/>
  <c r="D1097" i="5"/>
  <c r="D1096" i="5"/>
  <c r="D1095" i="5"/>
  <c r="D1094" i="5"/>
  <c r="D1093" i="5"/>
  <c r="D1090" i="5"/>
  <c r="D1089" i="5"/>
  <c r="D1088" i="5"/>
  <c r="D1087" i="5"/>
  <c r="D1086" i="5"/>
  <c r="D1085" i="5"/>
  <c r="D1082" i="5"/>
  <c r="D1081" i="5"/>
  <c r="D1080" i="5"/>
  <c r="D1079" i="5"/>
  <c r="D1078" i="5"/>
  <c r="D1077" i="5"/>
  <c r="D1074" i="5"/>
  <c r="D1073" i="5"/>
  <c r="D1072" i="5"/>
  <c r="D1071" i="5"/>
  <c r="D1070" i="5"/>
  <c r="D1069" i="5"/>
  <c r="D1066" i="5"/>
  <c r="D1065" i="5"/>
  <c r="D1064" i="5"/>
  <c r="D1063" i="5"/>
  <c r="D1062" i="5"/>
  <c r="D1061" i="5"/>
  <c r="D1058" i="5"/>
  <c r="D1057" i="5"/>
  <c r="D1056" i="5"/>
  <c r="D1055" i="5"/>
  <c r="D1054" i="5"/>
  <c r="D1053" i="5"/>
  <c r="D1050" i="5"/>
  <c r="D1049" i="5"/>
  <c r="D1048" i="5"/>
  <c r="D1047" i="5"/>
  <c r="D1046" i="5"/>
  <c r="D1045" i="5"/>
  <c r="D1042" i="5"/>
  <c r="D1041" i="5"/>
  <c r="D1040" i="5"/>
  <c r="D1039" i="5"/>
  <c r="D1038" i="5"/>
  <c r="D1037" i="5"/>
  <c r="D1034" i="5"/>
  <c r="D1033" i="5"/>
  <c r="D1032" i="5"/>
  <c r="D1031" i="5"/>
  <c r="D1030" i="5"/>
  <c r="D1029" i="5"/>
  <c r="D1026" i="5"/>
  <c r="D1025" i="5"/>
  <c r="D1024" i="5"/>
  <c r="D1023" i="5"/>
  <c r="D1022" i="5"/>
  <c r="D1021" i="5"/>
  <c r="D1018" i="5"/>
  <c r="D1017" i="5"/>
  <c r="D1016" i="5"/>
  <c r="D1015" i="5"/>
  <c r="D1014" i="5"/>
  <c r="D1013" i="5"/>
  <c r="D1010" i="5"/>
  <c r="D1009" i="5"/>
  <c r="D1008" i="5"/>
  <c r="D1007" i="5"/>
  <c r="D1006" i="5"/>
  <c r="D1005" i="5"/>
  <c r="D1002" i="5"/>
  <c r="D1001" i="5"/>
  <c r="D1000" i="5"/>
  <c r="D999" i="5"/>
  <c r="D998" i="5"/>
  <c r="D997" i="5"/>
  <c r="D994" i="5"/>
  <c r="D993" i="5"/>
  <c r="D992" i="5"/>
  <c r="D991" i="5"/>
  <c r="D990" i="5"/>
  <c r="D989" i="5"/>
  <c r="D986" i="5"/>
  <c r="D985" i="5"/>
  <c r="D984" i="5"/>
  <c r="D983" i="5"/>
  <c r="D982" i="5"/>
  <c r="D981" i="5"/>
  <c r="D978" i="5"/>
  <c r="D977" i="5"/>
  <c r="D976" i="5"/>
  <c r="E976" i="5" s="1"/>
  <c r="F976" i="5" s="1"/>
  <c r="D975" i="5"/>
  <c r="D974" i="5"/>
  <c r="D973" i="5"/>
  <c r="D970" i="5"/>
  <c r="D969" i="5"/>
  <c r="D968" i="5"/>
  <c r="D967" i="5"/>
  <c r="D966" i="5"/>
  <c r="D965" i="5"/>
  <c r="D962" i="5"/>
  <c r="D961" i="5"/>
  <c r="D960" i="5"/>
  <c r="D959" i="5"/>
  <c r="D958" i="5"/>
  <c r="D957" i="5"/>
  <c r="D954" i="5"/>
  <c r="D953" i="5"/>
  <c r="D952" i="5"/>
  <c r="D951" i="5"/>
  <c r="D950" i="5"/>
  <c r="D949" i="5"/>
  <c r="D946" i="5"/>
  <c r="D945" i="5"/>
  <c r="D944" i="5"/>
  <c r="D943" i="5"/>
  <c r="D942" i="5"/>
  <c r="D941" i="5"/>
  <c r="D938" i="5"/>
  <c r="D937" i="5"/>
  <c r="D936" i="5"/>
  <c r="D935" i="5"/>
  <c r="D934" i="5"/>
  <c r="D933" i="5"/>
  <c r="D930" i="5"/>
  <c r="D929" i="5"/>
  <c r="D928" i="5"/>
  <c r="D927" i="5"/>
  <c r="D926" i="5"/>
  <c r="D925" i="5"/>
  <c r="D922" i="5"/>
  <c r="D921" i="5"/>
  <c r="D920" i="5"/>
  <c r="D919" i="5"/>
  <c r="D918" i="5"/>
  <c r="D917" i="5"/>
  <c r="D914" i="5"/>
  <c r="D913" i="5"/>
  <c r="D912" i="5"/>
  <c r="D911" i="5"/>
  <c r="D910" i="5"/>
  <c r="D909" i="5"/>
  <c r="D906" i="5"/>
  <c r="D905" i="5"/>
  <c r="D904" i="5"/>
  <c r="D903" i="5"/>
  <c r="D902" i="5"/>
  <c r="D901" i="5"/>
  <c r="D898" i="5"/>
  <c r="D897" i="5"/>
  <c r="D896" i="5"/>
  <c r="D895" i="5"/>
  <c r="D894" i="5"/>
  <c r="D893" i="5"/>
  <c r="D890" i="5"/>
  <c r="D889" i="5"/>
  <c r="D888" i="5"/>
  <c r="D887" i="5"/>
  <c r="D886" i="5"/>
  <c r="D885" i="5"/>
  <c r="D883" i="5"/>
  <c r="D882" i="5"/>
  <c r="D881" i="5"/>
  <c r="D880" i="5"/>
  <c r="D879" i="5"/>
  <c r="D878" i="5"/>
  <c r="D877" i="5"/>
  <c r="D874" i="5"/>
  <c r="D873" i="5"/>
  <c r="D872" i="5"/>
  <c r="D871" i="5"/>
  <c r="D870" i="5"/>
  <c r="D869" i="5"/>
  <c r="D866" i="5"/>
  <c r="D865" i="5"/>
  <c r="D864" i="5"/>
  <c r="D863" i="5"/>
  <c r="D862" i="5"/>
  <c r="D861" i="5"/>
  <c r="D858" i="5"/>
  <c r="D857" i="5"/>
  <c r="D856" i="5"/>
  <c r="D855" i="5"/>
  <c r="D854" i="5"/>
  <c r="D853" i="5"/>
  <c r="D850" i="5"/>
  <c r="D849" i="5"/>
  <c r="D848" i="5"/>
  <c r="D847" i="5"/>
  <c r="D846" i="5"/>
  <c r="D845" i="5"/>
  <c r="D842" i="5"/>
  <c r="D841" i="5"/>
  <c r="D840" i="5"/>
  <c r="D839" i="5"/>
  <c r="D838" i="5"/>
  <c r="D837" i="5"/>
  <c r="D834" i="5"/>
  <c r="D833" i="5"/>
  <c r="D832" i="5"/>
  <c r="D831" i="5"/>
  <c r="D830" i="5"/>
  <c r="D829" i="5"/>
  <c r="D826" i="5"/>
  <c r="D825" i="5"/>
  <c r="D824" i="5"/>
  <c r="D823" i="5"/>
  <c r="D822" i="5"/>
  <c r="D821" i="5"/>
  <c r="D818" i="5"/>
  <c r="D817" i="5"/>
  <c r="D816" i="5"/>
  <c r="D815" i="5"/>
  <c r="D814" i="5"/>
  <c r="D813" i="5"/>
  <c r="D810" i="5"/>
  <c r="D809" i="5"/>
  <c r="D808" i="5"/>
  <c r="D807" i="5"/>
  <c r="D806" i="5"/>
  <c r="D805" i="5"/>
  <c r="D802" i="5"/>
  <c r="D801" i="5"/>
  <c r="D800" i="5"/>
  <c r="D799" i="5"/>
  <c r="D798" i="5"/>
  <c r="D797" i="5"/>
  <c r="D794" i="5"/>
  <c r="D793" i="5"/>
  <c r="D792" i="5"/>
  <c r="D791" i="5"/>
  <c r="D790" i="5"/>
  <c r="D789" i="5"/>
  <c r="D787" i="5"/>
  <c r="D786" i="5"/>
  <c r="D785" i="5"/>
  <c r="D784" i="5"/>
  <c r="D783" i="5"/>
  <c r="D782" i="5"/>
  <c r="D781" i="5"/>
  <c r="D778" i="5"/>
  <c r="D777" i="5"/>
  <c r="D776" i="5"/>
  <c r="D775" i="5"/>
  <c r="D774" i="5"/>
  <c r="D773" i="5"/>
  <c r="D770" i="5"/>
  <c r="D769" i="5"/>
  <c r="D768" i="5"/>
  <c r="D767" i="5"/>
  <c r="D766" i="5"/>
  <c r="D765" i="5"/>
  <c r="D762" i="5"/>
  <c r="D761" i="5"/>
  <c r="D760" i="5"/>
  <c r="D759" i="5"/>
  <c r="D758" i="5"/>
  <c r="D757" i="5"/>
  <c r="D754" i="5"/>
  <c r="D753" i="5"/>
  <c r="D752" i="5"/>
  <c r="D751" i="5"/>
  <c r="D750" i="5"/>
  <c r="D749" i="5"/>
  <c r="D746" i="5"/>
  <c r="D745" i="5"/>
  <c r="D744" i="5"/>
  <c r="E744" i="5" s="1"/>
  <c r="F744" i="5" s="1"/>
  <c r="D743" i="5"/>
  <c r="D742" i="5"/>
  <c r="D741" i="5"/>
  <c r="D738" i="5"/>
  <c r="D737" i="5"/>
  <c r="D736" i="5"/>
  <c r="D735" i="5"/>
  <c r="D734" i="5"/>
  <c r="D733" i="5"/>
  <c r="D730" i="5"/>
  <c r="D729" i="5"/>
  <c r="D728" i="5"/>
  <c r="D727" i="5"/>
  <c r="D726" i="5"/>
  <c r="D725" i="5"/>
  <c r="D722" i="5"/>
  <c r="D721" i="5"/>
  <c r="D720" i="5"/>
  <c r="D719" i="5"/>
  <c r="D718" i="5"/>
  <c r="D717" i="5"/>
  <c r="D714" i="5"/>
  <c r="D713" i="5"/>
  <c r="D712" i="5"/>
  <c r="D711" i="5"/>
  <c r="D710" i="5"/>
  <c r="D709" i="5"/>
  <c r="D706" i="5"/>
  <c r="D705" i="5"/>
  <c r="D704" i="5"/>
  <c r="D703" i="5"/>
  <c r="D702" i="5"/>
  <c r="D701" i="5"/>
  <c r="D698" i="5"/>
  <c r="D697" i="5"/>
  <c r="D696" i="5"/>
  <c r="D695" i="5"/>
  <c r="D694" i="5"/>
  <c r="D693" i="5"/>
  <c r="D690" i="5"/>
  <c r="D689" i="5"/>
  <c r="D688" i="5"/>
  <c r="D687" i="5"/>
  <c r="D686" i="5"/>
  <c r="D685" i="5"/>
  <c r="D682" i="5"/>
  <c r="D681" i="5"/>
  <c r="D680" i="5"/>
  <c r="D679" i="5"/>
  <c r="D678" i="5"/>
  <c r="D677" i="5"/>
  <c r="D674" i="5"/>
  <c r="D673" i="5"/>
  <c r="D672" i="5"/>
  <c r="D671" i="5"/>
  <c r="D670" i="5"/>
  <c r="D669" i="5"/>
  <c r="D666" i="5"/>
  <c r="D665" i="5"/>
  <c r="D664" i="5"/>
  <c r="D663" i="5"/>
  <c r="D662" i="5"/>
  <c r="D661" i="5"/>
  <c r="D658" i="5"/>
  <c r="D657" i="5"/>
  <c r="D656" i="5"/>
  <c r="D655" i="5"/>
  <c r="D654" i="5"/>
  <c r="D653" i="5"/>
  <c r="D650" i="5"/>
  <c r="D649" i="5"/>
  <c r="D648" i="5"/>
  <c r="D647" i="5"/>
  <c r="D646" i="5"/>
  <c r="D645" i="5"/>
  <c r="D642" i="5"/>
  <c r="D641" i="5"/>
  <c r="D640" i="5"/>
  <c r="D639" i="5"/>
  <c r="D638" i="5"/>
  <c r="D637" i="5"/>
  <c r="D634" i="5"/>
  <c r="D633" i="5"/>
  <c r="D632" i="5"/>
  <c r="D631" i="5"/>
  <c r="D630" i="5"/>
  <c r="D629" i="5"/>
  <c r="D626" i="5"/>
  <c r="D625" i="5"/>
  <c r="D624" i="5"/>
  <c r="D623" i="5"/>
  <c r="D622" i="5"/>
  <c r="D621" i="5"/>
  <c r="D618" i="5"/>
  <c r="D617" i="5"/>
  <c r="D616" i="5"/>
  <c r="D615" i="5"/>
  <c r="D614" i="5"/>
  <c r="D613" i="5"/>
  <c r="D610" i="5"/>
  <c r="D609" i="5"/>
  <c r="D608" i="5"/>
  <c r="D607" i="5"/>
  <c r="D606" i="5"/>
  <c r="D605" i="5"/>
  <c r="D602" i="5"/>
  <c r="D601" i="5"/>
  <c r="D600" i="5"/>
  <c r="D599" i="5"/>
  <c r="D598" i="5"/>
  <c r="D597" i="5"/>
  <c r="D595" i="5"/>
  <c r="D594" i="5"/>
  <c r="D593" i="5"/>
  <c r="D592" i="5"/>
  <c r="D591" i="5"/>
  <c r="D590" i="5"/>
  <c r="D589" i="5"/>
  <c r="D586" i="5"/>
  <c r="D585" i="5"/>
  <c r="D584" i="5"/>
  <c r="D583" i="5"/>
  <c r="D582" i="5"/>
  <c r="D581" i="5"/>
  <c r="D578" i="5"/>
  <c r="D577" i="5"/>
  <c r="D576" i="5"/>
  <c r="D575" i="5"/>
  <c r="D574" i="5"/>
  <c r="D573" i="5"/>
  <c r="D570" i="5"/>
  <c r="D569" i="5"/>
  <c r="D568" i="5"/>
  <c r="D567" i="5"/>
  <c r="D566" i="5"/>
  <c r="D565" i="5"/>
  <c r="D562" i="5"/>
  <c r="D561" i="5"/>
  <c r="D560" i="5"/>
  <c r="D559" i="5"/>
  <c r="D558" i="5"/>
  <c r="D557" i="5"/>
  <c r="D554" i="5"/>
  <c r="D553" i="5"/>
  <c r="D552" i="5"/>
  <c r="D551" i="5"/>
  <c r="D550" i="5"/>
  <c r="D549" i="5"/>
  <c r="D546" i="5"/>
  <c r="D545" i="5"/>
  <c r="D544" i="5"/>
  <c r="D543" i="5"/>
  <c r="D542" i="5"/>
  <c r="D541" i="5"/>
  <c r="D538" i="5"/>
  <c r="D537" i="5"/>
  <c r="D536" i="5"/>
  <c r="D535" i="5"/>
  <c r="D534" i="5"/>
  <c r="D533" i="5"/>
  <c r="D530" i="5"/>
  <c r="D529" i="5"/>
  <c r="D528" i="5"/>
  <c r="D527" i="5"/>
  <c r="D526" i="5"/>
  <c r="D525" i="5"/>
  <c r="D522" i="5"/>
  <c r="D521" i="5"/>
  <c r="D520" i="5"/>
  <c r="D519" i="5"/>
  <c r="D518" i="5"/>
  <c r="D517" i="5"/>
  <c r="D514" i="5"/>
  <c r="D513" i="5"/>
  <c r="D512" i="5"/>
  <c r="D511" i="5"/>
  <c r="D510" i="5"/>
  <c r="D509" i="5"/>
  <c r="D506" i="5"/>
  <c r="D505" i="5"/>
  <c r="D504" i="5"/>
  <c r="D503" i="5"/>
  <c r="D502" i="5"/>
  <c r="D501" i="5"/>
  <c r="D498" i="5"/>
  <c r="D497" i="5"/>
  <c r="D496" i="5"/>
  <c r="D495" i="5"/>
  <c r="D494" i="5"/>
  <c r="D493" i="5"/>
  <c r="D490" i="5"/>
  <c r="D489" i="5"/>
  <c r="D488" i="5"/>
  <c r="D487" i="5"/>
  <c r="D486" i="5"/>
  <c r="D485" i="5"/>
  <c r="D482" i="5"/>
  <c r="D481" i="5"/>
  <c r="D480" i="5"/>
  <c r="D479" i="5"/>
  <c r="D478" i="5"/>
  <c r="D477" i="5"/>
  <c r="D474" i="5"/>
  <c r="D473" i="5"/>
  <c r="D472" i="5"/>
  <c r="D471" i="5"/>
  <c r="D470" i="5"/>
  <c r="D469" i="5"/>
  <c r="D468" i="5"/>
  <c r="D466" i="5"/>
  <c r="D465" i="5"/>
  <c r="D464" i="5"/>
  <c r="D463" i="5"/>
  <c r="D462" i="5"/>
  <c r="D461" i="5"/>
  <c r="D458" i="5"/>
  <c r="D457" i="5"/>
  <c r="D456" i="5"/>
  <c r="D455" i="5"/>
  <c r="D454" i="5"/>
  <c r="D453" i="5"/>
  <c r="D450" i="5"/>
  <c r="D449" i="5"/>
  <c r="D448" i="5"/>
  <c r="D447" i="5"/>
  <c r="D446" i="5"/>
  <c r="D445" i="5"/>
  <c r="D442" i="5"/>
  <c r="D441" i="5"/>
  <c r="D440" i="5"/>
  <c r="D439" i="5"/>
  <c r="D438" i="5"/>
  <c r="D437" i="5"/>
  <c r="D434" i="5"/>
  <c r="D433" i="5"/>
  <c r="D432" i="5"/>
  <c r="D431" i="5"/>
  <c r="D430" i="5"/>
  <c r="D429" i="5"/>
  <c r="D426" i="5"/>
  <c r="D425" i="5"/>
  <c r="D424" i="5"/>
  <c r="D423" i="5"/>
  <c r="D422" i="5"/>
  <c r="D421" i="5"/>
  <c r="D418" i="5"/>
  <c r="D417" i="5"/>
  <c r="D416" i="5"/>
  <c r="D415" i="5"/>
  <c r="D414" i="5"/>
  <c r="D413" i="5"/>
  <c r="D410" i="5"/>
  <c r="D409" i="5"/>
  <c r="D408" i="5"/>
  <c r="D407" i="5"/>
  <c r="D406" i="5"/>
  <c r="D405" i="5"/>
  <c r="D402" i="5"/>
  <c r="D401" i="5"/>
  <c r="D400" i="5"/>
  <c r="D399" i="5"/>
  <c r="D398" i="5"/>
  <c r="D397" i="5"/>
  <c r="D394" i="5"/>
  <c r="D393" i="5"/>
  <c r="D392" i="5"/>
  <c r="D391" i="5"/>
  <c r="D390" i="5"/>
  <c r="D389" i="5"/>
  <c r="D386" i="5"/>
  <c r="D385" i="5"/>
  <c r="D384" i="5"/>
  <c r="D383" i="5"/>
  <c r="D382" i="5"/>
  <c r="D381" i="5"/>
  <c r="D378" i="5"/>
  <c r="D377" i="5"/>
  <c r="D376" i="5"/>
  <c r="D375" i="5"/>
  <c r="D374" i="5"/>
  <c r="D373" i="5"/>
  <c r="D370" i="5"/>
  <c r="D369" i="5"/>
  <c r="D368" i="5"/>
  <c r="D367" i="5"/>
  <c r="D366" i="5"/>
  <c r="D365" i="5"/>
  <c r="D362" i="5"/>
  <c r="D361" i="5"/>
  <c r="D360" i="5"/>
  <c r="D359" i="5"/>
  <c r="D358" i="5"/>
  <c r="D357" i="5"/>
  <c r="D354" i="5"/>
  <c r="D353" i="5"/>
  <c r="D352" i="5"/>
  <c r="D351" i="5"/>
  <c r="D350" i="5"/>
  <c r="D349" i="5"/>
  <c r="D347" i="5"/>
  <c r="D346" i="5"/>
  <c r="D345" i="5"/>
  <c r="D344" i="5"/>
  <c r="D343" i="5"/>
  <c r="D342" i="5"/>
  <c r="D341" i="5"/>
  <c r="D338" i="5"/>
  <c r="D337" i="5"/>
  <c r="D336" i="5"/>
  <c r="D335" i="5"/>
  <c r="D334" i="5"/>
  <c r="D333" i="5"/>
  <c r="D330" i="5"/>
  <c r="D329" i="5"/>
  <c r="D328" i="5"/>
  <c r="D327" i="5"/>
  <c r="D326" i="5"/>
  <c r="D325" i="5"/>
  <c r="D322" i="5"/>
  <c r="D321" i="5"/>
  <c r="D320" i="5"/>
  <c r="D319" i="5"/>
  <c r="D318" i="5"/>
  <c r="D317" i="5"/>
  <c r="D314" i="5"/>
  <c r="D313" i="5"/>
  <c r="D312" i="5"/>
  <c r="D311" i="5"/>
  <c r="D310" i="5"/>
  <c r="D309" i="5"/>
  <c r="D306" i="5"/>
  <c r="D305" i="5"/>
  <c r="D304" i="5"/>
  <c r="D303" i="5"/>
  <c r="D302" i="5"/>
  <c r="D301" i="5"/>
  <c r="D298" i="5"/>
  <c r="D297" i="5"/>
  <c r="D296" i="5"/>
  <c r="D295" i="5"/>
  <c r="D294" i="5"/>
  <c r="D293" i="5"/>
  <c r="D290" i="5"/>
  <c r="D289" i="5"/>
  <c r="D288" i="5"/>
  <c r="D287" i="5"/>
  <c r="D286" i="5"/>
  <c r="D285" i="5"/>
  <c r="D282" i="5"/>
  <c r="D281" i="5"/>
  <c r="D280" i="5"/>
  <c r="D279" i="5"/>
  <c r="D278" i="5"/>
  <c r="D277" i="5"/>
  <c r="D274" i="5"/>
  <c r="D273" i="5"/>
  <c r="D272" i="5"/>
  <c r="D271" i="5"/>
  <c r="D270" i="5"/>
  <c r="D269" i="5"/>
  <c r="D266" i="5"/>
  <c r="D265" i="5"/>
  <c r="D264" i="5"/>
  <c r="D263" i="5"/>
  <c r="D262" i="5"/>
  <c r="D261" i="5"/>
  <c r="D258" i="5"/>
  <c r="D257" i="5"/>
  <c r="D256" i="5"/>
  <c r="D255" i="5"/>
  <c r="D254" i="5"/>
  <c r="D253" i="5"/>
  <c r="D250" i="5"/>
  <c r="D249" i="5"/>
  <c r="D248" i="5"/>
  <c r="D247" i="5"/>
  <c r="D246" i="5"/>
  <c r="D245" i="5"/>
  <c r="D242" i="5"/>
  <c r="D241" i="5"/>
  <c r="D240" i="5"/>
  <c r="D239" i="5"/>
  <c r="D238" i="5"/>
  <c r="D237" i="5"/>
  <c r="D234" i="5"/>
  <c r="D233" i="5"/>
  <c r="D232" i="5"/>
  <c r="D231" i="5"/>
  <c r="D230" i="5"/>
  <c r="D229" i="5"/>
  <c r="D226" i="5"/>
  <c r="D225" i="5"/>
  <c r="D224" i="5"/>
  <c r="D223" i="5"/>
  <c r="D222" i="5"/>
  <c r="D221" i="5"/>
  <c r="D218" i="5"/>
  <c r="D217" i="5"/>
  <c r="D216" i="5"/>
  <c r="D215" i="5"/>
  <c r="D214" i="5"/>
  <c r="D213" i="5"/>
  <c r="D211" i="5"/>
  <c r="D210" i="5"/>
  <c r="D209" i="5"/>
  <c r="D208" i="5"/>
  <c r="D207" i="5"/>
  <c r="D206" i="5"/>
  <c r="D205" i="5"/>
  <c r="D204" i="5"/>
  <c r="D202" i="5"/>
  <c r="D201" i="5"/>
  <c r="D200" i="5"/>
  <c r="D199" i="5"/>
  <c r="D198" i="5"/>
  <c r="D197" i="5"/>
  <c r="D195" i="5"/>
  <c r="D194" i="5"/>
  <c r="D193" i="5"/>
  <c r="D192" i="5"/>
  <c r="D191" i="5"/>
  <c r="D190" i="5"/>
  <c r="D189" i="5"/>
  <c r="D186" i="5"/>
  <c r="D185" i="5"/>
  <c r="D184" i="5"/>
  <c r="D183" i="5"/>
  <c r="D182" i="5"/>
  <c r="D181" i="5"/>
  <c r="D178" i="5"/>
  <c r="D177" i="5"/>
  <c r="D176" i="5"/>
  <c r="D175" i="5"/>
  <c r="D174" i="5"/>
  <c r="D173" i="5"/>
  <c r="D170" i="5"/>
  <c r="D169" i="5"/>
  <c r="D168" i="5"/>
  <c r="D167" i="5"/>
  <c r="D166" i="5"/>
  <c r="D165" i="5"/>
  <c r="D162" i="5"/>
  <c r="D161" i="5"/>
  <c r="D160" i="5"/>
  <c r="D159" i="5"/>
  <c r="D158" i="5"/>
  <c r="D157" i="5"/>
  <c r="D154" i="5"/>
  <c r="D153" i="5"/>
  <c r="D152" i="5"/>
  <c r="D151" i="5"/>
  <c r="D150" i="5"/>
  <c r="D149" i="5"/>
  <c r="D146" i="5"/>
  <c r="D145" i="5"/>
  <c r="D144" i="5"/>
  <c r="D143" i="5"/>
  <c r="D142" i="5"/>
  <c r="D141" i="5"/>
  <c r="D139" i="5"/>
  <c r="D138" i="5"/>
  <c r="D137" i="5"/>
  <c r="D136" i="5"/>
  <c r="D135" i="5"/>
  <c r="D134" i="5"/>
  <c r="D133" i="5"/>
  <c r="D130" i="5"/>
  <c r="D129" i="5"/>
  <c r="D128" i="5"/>
  <c r="D127" i="5"/>
  <c r="D126" i="5"/>
  <c r="D125" i="5"/>
  <c r="D122" i="5"/>
  <c r="D121" i="5"/>
  <c r="D120" i="5"/>
  <c r="D119" i="5"/>
  <c r="D118" i="5"/>
  <c r="D117" i="5"/>
  <c r="D114" i="5"/>
  <c r="D113" i="5"/>
  <c r="D112" i="5"/>
  <c r="D111" i="5"/>
  <c r="D110" i="5"/>
  <c r="D109" i="5"/>
  <c r="D108" i="5"/>
  <c r="D106" i="5"/>
  <c r="D105" i="5"/>
  <c r="D104" i="5"/>
  <c r="D103" i="5"/>
  <c r="D102" i="5"/>
  <c r="D101" i="5"/>
  <c r="D98" i="5"/>
  <c r="D97" i="5"/>
  <c r="D96" i="5"/>
  <c r="D95" i="5"/>
  <c r="D94" i="5"/>
  <c r="D93" i="5"/>
  <c r="D91" i="5"/>
  <c r="D90" i="5"/>
  <c r="D89" i="5"/>
  <c r="D88" i="5"/>
  <c r="D87" i="5"/>
  <c r="D86" i="5"/>
  <c r="D85" i="5"/>
  <c r="D82" i="5"/>
  <c r="D81" i="5"/>
  <c r="D80" i="5"/>
  <c r="D79" i="5"/>
  <c r="D78" i="5"/>
  <c r="D77" i="5"/>
  <c r="D74" i="5"/>
  <c r="D73" i="5"/>
  <c r="D72" i="5"/>
  <c r="D71" i="5"/>
  <c r="D70" i="5"/>
  <c r="D69" i="5"/>
  <c r="D66" i="5"/>
  <c r="D65" i="5"/>
  <c r="D64" i="5"/>
  <c r="D63" i="5"/>
  <c r="D62" i="5"/>
  <c r="D61" i="5"/>
  <c r="D59" i="5"/>
  <c r="D58" i="5"/>
  <c r="D57" i="5"/>
  <c r="D56" i="5"/>
  <c r="D55" i="5"/>
  <c r="D54" i="5"/>
  <c r="D53" i="5"/>
  <c r="D50" i="5"/>
  <c r="D49" i="5"/>
  <c r="D48" i="5"/>
  <c r="D47" i="5"/>
  <c r="D46" i="5"/>
  <c r="D45" i="5"/>
  <c r="D43" i="5"/>
  <c r="D42" i="5"/>
  <c r="D41" i="5"/>
  <c r="D40" i="5"/>
  <c r="D39" i="5"/>
  <c r="D38" i="5"/>
  <c r="D37" i="5"/>
  <c r="D34" i="5"/>
  <c r="D33" i="5"/>
  <c r="D32" i="5"/>
  <c r="D31" i="5"/>
  <c r="D30" i="5"/>
  <c r="D29" i="5"/>
  <c r="D27" i="5"/>
  <c r="D26" i="5"/>
  <c r="D25" i="5"/>
  <c r="D24" i="5"/>
  <c r="D23" i="5"/>
  <c r="D22" i="5"/>
  <c r="D21" i="5"/>
  <c r="D18" i="5"/>
  <c r="D17" i="5"/>
  <c r="D16" i="5"/>
  <c r="D15" i="5"/>
  <c r="D14" i="5"/>
  <c r="D13" i="5"/>
  <c r="D11" i="5"/>
  <c r="D10" i="5"/>
  <c r="D9" i="5"/>
  <c r="D8" i="5"/>
  <c r="D7" i="5"/>
  <c r="D6" i="5"/>
  <c r="D5" i="5"/>
  <c r="A1" i="5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A1" i="4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5" i="3"/>
  <c r="A1" i="3"/>
  <c r="N17" i="1"/>
  <c r="K21" i="1"/>
  <c r="K20" i="1"/>
  <c r="K43" i="1"/>
  <c r="K44" i="1"/>
  <c r="K45" i="1"/>
  <c r="K42" i="1"/>
  <c r="N16" i="1"/>
  <c r="F97" i="1"/>
  <c r="G97" i="1" s="1"/>
  <c r="G373" i="1"/>
  <c r="E6" i="1"/>
  <c r="E7" i="1"/>
  <c r="E8" i="1"/>
  <c r="F8" i="1" s="1"/>
  <c r="G8" i="1" s="1"/>
  <c r="E9" i="1"/>
  <c r="E10" i="1"/>
  <c r="F10" i="1" s="1"/>
  <c r="G10" i="1" s="1"/>
  <c r="E11" i="1"/>
  <c r="F11" i="1" s="1"/>
  <c r="G11" i="1" s="1"/>
  <c r="E12" i="1"/>
  <c r="F12" i="1" s="1"/>
  <c r="G12" i="1" s="1"/>
  <c r="E13" i="1"/>
  <c r="E14" i="1"/>
  <c r="E15" i="1"/>
  <c r="E16" i="1"/>
  <c r="F16" i="1" s="1"/>
  <c r="G16" i="1" s="1"/>
  <c r="E17" i="1"/>
  <c r="E18" i="1"/>
  <c r="F18" i="1" s="1"/>
  <c r="G18" i="1" s="1"/>
  <c r="E19" i="1"/>
  <c r="F19" i="1" s="1"/>
  <c r="G19" i="1" s="1"/>
  <c r="E20" i="1"/>
  <c r="F20" i="1" s="1"/>
  <c r="G20" i="1" s="1"/>
  <c r="E21" i="1"/>
  <c r="E22" i="1"/>
  <c r="E23" i="1"/>
  <c r="E24" i="1"/>
  <c r="F24" i="1" s="1"/>
  <c r="G24" i="1" s="1"/>
  <c r="E25" i="1"/>
  <c r="E26" i="1"/>
  <c r="F26" i="1" s="1"/>
  <c r="G26" i="1" s="1"/>
  <c r="E27" i="1"/>
  <c r="F27" i="1" s="1"/>
  <c r="G27" i="1" s="1"/>
  <c r="E28" i="1"/>
  <c r="F28" i="1" s="1"/>
  <c r="G28" i="1" s="1"/>
  <c r="E29" i="1"/>
  <c r="E30" i="1"/>
  <c r="E31" i="1"/>
  <c r="E32" i="1"/>
  <c r="F32" i="1" s="1"/>
  <c r="G32" i="1" s="1"/>
  <c r="E33" i="1"/>
  <c r="E34" i="1"/>
  <c r="F34" i="1" s="1"/>
  <c r="G34" i="1" s="1"/>
  <c r="E35" i="1"/>
  <c r="F35" i="1" s="1"/>
  <c r="G35" i="1" s="1"/>
  <c r="E36" i="1"/>
  <c r="F36" i="1" s="1"/>
  <c r="G36" i="1" s="1"/>
  <c r="E37" i="1"/>
  <c r="E38" i="1"/>
  <c r="E39" i="1"/>
  <c r="E40" i="1"/>
  <c r="F40" i="1" s="1"/>
  <c r="G40" i="1" s="1"/>
  <c r="E41" i="1"/>
  <c r="E42" i="1"/>
  <c r="F42" i="1" s="1"/>
  <c r="G42" i="1" s="1"/>
  <c r="E43" i="1"/>
  <c r="F43" i="1" s="1"/>
  <c r="G43" i="1" s="1"/>
  <c r="E44" i="1"/>
  <c r="F44" i="1" s="1"/>
  <c r="G44" i="1" s="1"/>
  <c r="E45" i="1"/>
  <c r="E46" i="1"/>
  <c r="E47" i="1"/>
  <c r="E48" i="1"/>
  <c r="F48" i="1" s="1"/>
  <c r="G48" i="1" s="1"/>
  <c r="E49" i="1"/>
  <c r="E50" i="1"/>
  <c r="F50" i="1" s="1"/>
  <c r="G50" i="1" s="1"/>
  <c r="E51" i="1"/>
  <c r="F51" i="1" s="1"/>
  <c r="G51" i="1" s="1"/>
  <c r="E52" i="1"/>
  <c r="F52" i="1" s="1"/>
  <c r="G52" i="1" s="1"/>
  <c r="E53" i="1"/>
  <c r="F53" i="1" s="1"/>
  <c r="G53" i="1" s="1"/>
  <c r="E54" i="1"/>
  <c r="E55" i="1"/>
  <c r="E56" i="1"/>
  <c r="F56" i="1" s="1"/>
  <c r="G56" i="1" s="1"/>
  <c r="E57" i="1"/>
  <c r="E58" i="1"/>
  <c r="F58" i="1" s="1"/>
  <c r="G58" i="1" s="1"/>
  <c r="E59" i="1"/>
  <c r="F59" i="1" s="1"/>
  <c r="G59" i="1" s="1"/>
  <c r="E60" i="1"/>
  <c r="F60" i="1" s="1"/>
  <c r="G60" i="1" s="1"/>
  <c r="E61" i="1"/>
  <c r="F61" i="1" s="1"/>
  <c r="G61" i="1" s="1"/>
  <c r="E62" i="1"/>
  <c r="E63" i="1"/>
  <c r="E64" i="1"/>
  <c r="F64" i="1" s="1"/>
  <c r="G64" i="1" s="1"/>
  <c r="E65" i="1"/>
  <c r="E66" i="1"/>
  <c r="F66" i="1" s="1"/>
  <c r="G66" i="1" s="1"/>
  <c r="E67" i="1"/>
  <c r="F67" i="1" s="1"/>
  <c r="G67" i="1" s="1"/>
  <c r="E68" i="1"/>
  <c r="F68" i="1" s="1"/>
  <c r="G68" i="1" s="1"/>
  <c r="E69" i="1"/>
  <c r="F69" i="1" s="1"/>
  <c r="G69" i="1" s="1"/>
  <c r="E70" i="1"/>
  <c r="E71" i="1"/>
  <c r="E72" i="1"/>
  <c r="F72" i="1" s="1"/>
  <c r="G72" i="1" s="1"/>
  <c r="E73" i="1"/>
  <c r="E74" i="1"/>
  <c r="F74" i="1" s="1"/>
  <c r="G74" i="1" s="1"/>
  <c r="E75" i="1"/>
  <c r="F75" i="1" s="1"/>
  <c r="G75" i="1" s="1"/>
  <c r="E76" i="1"/>
  <c r="F76" i="1" s="1"/>
  <c r="G76" i="1" s="1"/>
  <c r="E77" i="1"/>
  <c r="F77" i="1" s="1"/>
  <c r="G77" i="1" s="1"/>
  <c r="E78" i="1"/>
  <c r="E79" i="1"/>
  <c r="E80" i="1"/>
  <c r="F80" i="1" s="1"/>
  <c r="G80" i="1" s="1"/>
  <c r="E81" i="1"/>
  <c r="E82" i="1"/>
  <c r="F82" i="1" s="1"/>
  <c r="G82" i="1" s="1"/>
  <c r="E83" i="1"/>
  <c r="F83" i="1" s="1"/>
  <c r="G83" i="1" s="1"/>
  <c r="E84" i="1"/>
  <c r="F84" i="1" s="1"/>
  <c r="G84" i="1" s="1"/>
  <c r="E85" i="1"/>
  <c r="F85" i="1" s="1"/>
  <c r="G85" i="1" s="1"/>
  <c r="E86" i="1"/>
  <c r="E87" i="1"/>
  <c r="E88" i="1"/>
  <c r="F88" i="1" s="1"/>
  <c r="G88" i="1" s="1"/>
  <c r="E89" i="1"/>
  <c r="E90" i="1"/>
  <c r="F90" i="1" s="1"/>
  <c r="G90" i="1" s="1"/>
  <c r="E91" i="1"/>
  <c r="F91" i="1" s="1"/>
  <c r="G91" i="1" s="1"/>
  <c r="E92" i="1"/>
  <c r="F92" i="1" s="1"/>
  <c r="G92" i="1" s="1"/>
  <c r="E93" i="1"/>
  <c r="F93" i="1" s="1"/>
  <c r="G93" i="1" s="1"/>
  <c r="E94" i="1"/>
  <c r="E95" i="1"/>
  <c r="E96" i="1"/>
  <c r="F96" i="1" s="1"/>
  <c r="G96" i="1" s="1"/>
  <c r="E97" i="1"/>
  <c r="E98" i="1"/>
  <c r="F98" i="1" s="1"/>
  <c r="G98" i="1" s="1"/>
  <c r="E99" i="1"/>
  <c r="F99" i="1" s="1"/>
  <c r="G99" i="1" s="1"/>
  <c r="E100" i="1"/>
  <c r="F100" i="1" s="1"/>
  <c r="G100" i="1" s="1"/>
  <c r="E101" i="1"/>
  <c r="F101" i="1" s="1"/>
  <c r="G101" i="1" s="1"/>
  <c r="E102" i="1"/>
  <c r="E103" i="1"/>
  <c r="E104" i="1"/>
  <c r="F104" i="1" s="1"/>
  <c r="G104" i="1" s="1"/>
  <c r="E105" i="1"/>
  <c r="E106" i="1"/>
  <c r="F106" i="1" s="1"/>
  <c r="G106" i="1" s="1"/>
  <c r="E107" i="1"/>
  <c r="F107" i="1" s="1"/>
  <c r="G107" i="1" s="1"/>
  <c r="E108" i="1"/>
  <c r="F108" i="1" s="1"/>
  <c r="G108" i="1" s="1"/>
  <c r="E109" i="1"/>
  <c r="F109" i="1" s="1"/>
  <c r="G109" i="1" s="1"/>
  <c r="E110" i="1"/>
  <c r="E111" i="1"/>
  <c r="E112" i="1"/>
  <c r="F112" i="1" s="1"/>
  <c r="G112" i="1" s="1"/>
  <c r="E113" i="1"/>
  <c r="E114" i="1"/>
  <c r="F114" i="1" s="1"/>
  <c r="G114" i="1" s="1"/>
  <c r="E115" i="1"/>
  <c r="F115" i="1" s="1"/>
  <c r="G115" i="1" s="1"/>
  <c r="E116" i="1"/>
  <c r="F116" i="1" s="1"/>
  <c r="G116" i="1" s="1"/>
  <c r="E117" i="1"/>
  <c r="F117" i="1" s="1"/>
  <c r="G117" i="1" s="1"/>
  <c r="E118" i="1"/>
  <c r="E119" i="1"/>
  <c r="E120" i="1"/>
  <c r="F120" i="1" s="1"/>
  <c r="G120" i="1" s="1"/>
  <c r="E121" i="1"/>
  <c r="E122" i="1"/>
  <c r="F122" i="1" s="1"/>
  <c r="G122" i="1" s="1"/>
  <c r="E123" i="1"/>
  <c r="F123" i="1" s="1"/>
  <c r="G123" i="1" s="1"/>
  <c r="E124" i="1"/>
  <c r="F124" i="1" s="1"/>
  <c r="G124" i="1" s="1"/>
  <c r="E125" i="1"/>
  <c r="F125" i="1" s="1"/>
  <c r="G125" i="1" s="1"/>
  <c r="E126" i="1"/>
  <c r="E127" i="1"/>
  <c r="E128" i="1"/>
  <c r="F128" i="1" s="1"/>
  <c r="G128" i="1" s="1"/>
  <c r="E129" i="1"/>
  <c r="E130" i="1"/>
  <c r="F130" i="1" s="1"/>
  <c r="G130" i="1" s="1"/>
  <c r="E131" i="1"/>
  <c r="F131" i="1" s="1"/>
  <c r="G131" i="1" s="1"/>
  <c r="E132" i="1"/>
  <c r="F132" i="1" s="1"/>
  <c r="G132" i="1" s="1"/>
  <c r="E133" i="1"/>
  <c r="F133" i="1" s="1"/>
  <c r="G133" i="1" s="1"/>
  <c r="E134" i="1"/>
  <c r="E135" i="1"/>
  <c r="E136" i="1"/>
  <c r="F136" i="1" s="1"/>
  <c r="G136" i="1" s="1"/>
  <c r="E137" i="1"/>
  <c r="E138" i="1"/>
  <c r="F138" i="1" s="1"/>
  <c r="G138" i="1" s="1"/>
  <c r="E139" i="1"/>
  <c r="F139" i="1" s="1"/>
  <c r="G139" i="1" s="1"/>
  <c r="E140" i="1"/>
  <c r="F140" i="1" s="1"/>
  <c r="G140" i="1" s="1"/>
  <c r="E141" i="1"/>
  <c r="F141" i="1" s="1"/>
  <c r="G141" i="1" s="1"/>
  <c r="E142" i="1"/>
  <c r="E143" i="1"/>
  <c r="E144" i="1"/>
  <c r="F144" i="1" s="1"/>
  <c r="G144" i="1" s="1"/>
  <c r="E145" i="1"/>
  <c r="E146" i="1"/>
  <c r="F146" i="1" s="1"/>
  <c r="G146" i="1" s="1"/>
  <c r="E147" i="1"/>
  <c r="F147" i="1" s="1"/>
  <c r="G147" i="1" s="1"/>
  <c r="E148" i="1"/>
  <c r="F148" i="1" s="1"/>
  <c r="G148" i="1" s="1"/>
  <c r="E149" i="1"/>
  <c r="F149" i="1" s="1"/>
  <c r="G149" i="1" s="1"/>
  <c r="E150" i="1"/>
  <c r="E151" i="1"/>
  <c r="E152" i="1"/>
  <c r="F152" i="1" s="1"/>
  <c r="G152" i="1" s="1"/>
  <c r="E153" i="1"/>
  <c r="E154" i="1"/>
  <c r="F154" i="1" s="1"/>
  <c r="G154" i="1" s="1"/>
  <c r="E155" i="1"/>
  <c r="F155" i="1" s="1"/>
  <c r="G155" i="1" s="1"/>
  <c r="E156" i="1"/>
  <c r="F156" i="1" s="1"/>
  <c r="G156" i="1" s="1"/>
  <c r="E157" i="1"/>
  <c r="F157" i="1" s="1"/>
  <c r="G157" i="1" s="1"/>
  <c r="E158" i="1"/>
  <c r="E159" i="1"/>
  <c r="E160" i="1"/>
  <c r="F160" i="1" s="1"/>
  <c r="G160" i="1" s="1"/>
  <c r="E161" i="1"/>
  <c r="E162" i="1"/>
  <c r="F162" i="1" s="1"/>
  <c r="G162" i="1" s="1"/>
  <c r="E163" i="1"/>
  <c r="F163" i="1" s="1"/>
  <c r="G163" i="1" s="1"/>
  <c r="E164" i="1"/>
  <c r="F164" i="1" s="1"/>
  <c r="G164" i="1" s="1"/>
  <c r="E165" i="1"/>
  <c r="F165" i="1" s="1"/>
  <c r="G165" i="1" s="1"/>
  <c r="E166" i="1"/>
  <c r="E167" i="1"/>
  <c r="E168" i="1"/>
  <c r="F168" i="1" s="1"/>
  <c r="G168" i="1" s="1"/>
  <c r="E169" i="1"/>
  <c r="E170" i="1"/>
  <c r="F170" i="1" s="1"/>
  <c r="G170" i="1" s="1"/>
  <c r="E171" i="1"/>
  <c r="F171" i="1" s="1"/>
  <c r="G171" i="1" s="1"/>
  <c r="E172" i="1"/>
  <c r="F172" i="1" s="1"/>
  <c r="G172" i="1" s="1"/>
  <c r="E173" i="1"/>
  <c r="F173" i="1" s="1"/>
  <c r="G173" i="1" s="1"/>
  <c r="E174" i="1"/>
  <c r="E175" i="1"/>
  <c r="E176" i="1"/>
  <c r="F176" i="1" s="1"/>
  <c r="G176" i="1" s="1"/>
  <c r="E177" i="1"/>
  <c r="E178" i="1"/>
  <c r="F178" i="1" s="1"/>
  <c r="G178" i="1" s="1"/>
  <c r="E179" i="1"/>
  <c r="F179" i="1" s="1"/>
  <c r="G179" i="1" s="1"/>
  <c r="E180" i="1"/>
  <c r="F180" i="1" s="1"/>
  <c r="G180" i="1" s="1"/>
  <c r="E181" i="1"/>
  <c r="F181" i="1" s="1"/>
  <c r="G181" i="1" s="1"/>
  <c r="E182" i="1"/>
  <c r="E183" i="1"/>
  <c r="E184" i="1"/>
  <c r="F184" i="1" s="1"/>
  <c r="G184" i="1" s="1"/>
  <c r="E185" i="1"/>
  <c r="E186" i="1"/>
  <c r="F186" i="1" s="1"/>
  <c r="G186" i="1" s="1"/>
  <c r="E187" i="1"/>
  <c r="F187" i="1" s="1"/>
  <c r="G187" i="1" s="1"/>
  <c r="E188" i="1"/>
  <c r="F188" i="1" s="1"/>
  <c r="G188" i="1" s="1"/>
  <c r="E189" i="1"/>
  <c r="F189" i="1" s="1"/>
  <c r="G189" i="1" s="1"/>
  <c r="E190" i="1"/>
  <c r="E191" i="1"/>
  <c r="E192" i="1"/>
  <c r="F192" i="1" s="1"/>
  <c r="G192" i="1" s="1"/>
  <c r="E193" i="1"/>
  <c r="E194" i="1"/>
  <c r="F194" i="1" s="1"/>
  <c r="G194" i="1" s="1"/>
  <c r="E195" i="1"/>
  <c r="F195" i="1" s="1"/>
  <c r="G195" i="1" s="1"/>
  <c r="E196" i="1"/>
  <c r="F196" i="1" s="1"/>
  <c r="G196" i="1" s="1"/>
  <c r="E197" i="1"/>
  <c r="F197" i="1" s="1"/>
  <c r="G197" i="1" s="1"/>
  <c r="E198" i="1"/>
  <c r="E199" i="1"/>
  <c r="E200" i="1"/>
  <c r="F200" i="1" s="1"/>
  <c r="G200" i="1" s="1"/>
  <c r="E201" i="1"/>
  <c r="E202" i="1"/>
  <c r="F202" i="1" s="1"/>
  <c r="G202" i="1" s="1"/>
  <c r="E203" i="1"/>
  <c r="F203" i="1" s="1"/>
  <c r="G203" i="1" s="1"/>
  <c r="E204" i="1"/>
  <c r="F204" i="1" s="1"/>
  <c r="G204" i="1" s="1"/>
  <c r="E205" i="1"/>
  <c r="F205" i="1" s="1"/>
  <c r="G205" i="1" s="1"/>
  <c r="E206" i="1"/>
  <c r="E207" i="1"/>
  <c r="E208" i="1"/>
  <c r="F208" i="1" s="1"/>
  <c r="G208" i="1" s="1"/>
  <c r="E209" i="1"/>
  <c r="E210" i="1"/>
  <c r="F210" i="1" s="1"/>
  <c r="G210" i="1" s="1"/>
  <c r="E211" i="1"/>
  <c r="F211" i="1" s="1"/>
  <c r="G211" i="1" s="1"/>
  <c r="E212" i="1"/>
  <c r="F212" i="1" s="1"/>
  <c r="G212" i="1" s="1"/>
  <c r="E213" i="1"/>
  <c r="F213" i="1" s="1"/>
  <c r="G213" i="1" s="1"/>
  <c r="E214" i="1"/>
  <c r="E215" i="1"/>
  <c r="E216" i="1"/>
  <c r="F216" i="1" s="1"/>
  <c r="G216" i="1" s="1"/>
  <c r="E217" i="1"/>
  <c r="E218" i="1"/>
  <c r="F218" i="1" s="1"/>
  <c r="G218" i="1" s="1"/>
  <c r="E219" i="1"/>
  <c r="F219" i="1" s="1"/>
  <c r="G219" i="1" s="1"/>
  <c r="E220" i="1"/>
  <c r="F220" i="1" s="1"/>
  <c r="G220" i="1" s="1"/>
  <c r="E221" i="1"/>
  <c r="F221" i="1" s="1"/>
  <c r="G221" i="1" s="1"/>
  <c r="E222" i="1"/>
  <c r="E223" i="1"/>
  <c r="E224" i="1"/>
  <c r="F224" i="1" s="1"/>
  <c r="G224" i="1" s="1"/>
  <c r="E225" i="1"/>
  <c r="E226" i="1"/>
  <c r="F226" i="1" s="1"/>
  <c r="G226" i="1" s="1"/>
  <c r="E227" i="1"/>
  <c r="F227" i="1" s="1"/>
  <c r="G227" i="1" s="1"/>
  <c r="E228" i="1"/>
  <c r="F228" i="1" s="1"/>
  <c r="G228" i="1" s="1"/>
  <c r="E229" i="1"/>
  <c r="F229" i="1" s="1"/>
  <c r="G229" i="1" s="1"/>
  <c r="E230" i="1"/>
  <c r="E231" i="1"/>
  <c r="E232" i="1"/>
  <c r="F232" i="1" s="1"/>
  <c r="G232" i="1" s="1"/>
  <c r="E233" i="1"/>
  <c r="E234" i="1"/>
  <c r="F234" i="1" s="1"/>
  <c r="G234" i="1" s="1"/>
  <c r="E235" i="1"/>
  <c r="F235" i="1" s="1"/>
  <c r="G235" i="1" s="1"/>
  <c r="E236" i="1"/>
  <c r="F236" i="1" s="1"/>
  <c r="G236" i="1" s="1"/>
  <c r="E237" i="1"/>
  <c r="F237" i="1" s="1"/>
  <c r="G237" i="1" s="1"/>
  <c r="E238" i="1"/>
  <c r="E239" i="1"/>
  <c r="E240" i="1"/>
  <c r="F240" i="1" s="1"/>
  <c r="G240" i="1" s="1"/>
  <c r="E241" i="1"/>
  <c r="E242" i="1"/>
  <c r="F242" i="1" s="1"/>
  <c r="G242" i="1" s="1"/>
  <c r="E243" i="1"/>
  <c r="F243" i="1" s="1"/>
  <c r="G243" i="1" s="1"/>
  <c r="E244" i="1"/>
  <c r="F244" i="1" s="1"/>
  <c r="G244" i="1" s="1"/>
  <c r="E245" i="1"/>
  <c r="F245" i="1" s="1"/>
  <c r="G245" i="1" s="1"/>
  <c r="E246" i="1"/>
  <c r="E247" i="1"/>
  <c r="E248" i="1"/>
  <c r="F248" i="1" s="1"/>
  <c r="G248" i="1" s="1"/>
  <c r="E249" i="1"/>
  <c r="E250" i="1"/>
  <c r="F250" i="1" s="1"/>
  <c r="G250" i="1" s="1"/>
  <c r="E251" i="1"/>
  <c r="F251" i="1" s="1"/>
  <c r="G251" i="1" s="1"/>
  <c r="E252" i="1"/>
  <c r="F252" i="1" s="1"/>
  <c r="G252" i="1" s="1"/>
  <c r="E253" i="1"/>
  <c r="F253" i="1" s="1"/>
  <c r="G253" i="1" s="1"/>
  <c r="E254" i="1"/>
  <c r="E255" i="1"/>
  <c r="E256" i="1"/>
  <c r="F256" i="1" s="1"/>
  <c r="G256" i="1" s="1"/>
  <c r="E257" i="1"/>
  <c r="E258" i="1"/>
  <c r="F258" i="1" s="1"/>
  <c r="G258" i="1" s="1"/>
  <c r="E259" i="1"/>
  <c r="F259" i="1" s="1"/>
  <c r="G259" i="1" s="1"/>
  <c r="E260" i="1"/>
  <c r="F260" i="1" s="1"/>
  <c r="G260" i="1" s="1"/>
  <c r="E261" i="1"/>
  <c r="F261" i="1" s="1"/>
  <c r="G261" i="1" s="1"/>
  <c r="E262" i="1"/>
  <c r="E263" i="1"/>
  <c r="E264" i="1"/>
  <c r="F264" i="1" s="1"/>
  <c r="G264" i="1" s="1"/>
  <c r="E265" i="1"/>
  <c r="F265" i="1" s="1"/>
  <c r="G265" i="1" s="1"/>
  <c r="E266" i="1"/>
  <c r="F266" i="1" s="1"/>
  <c r="G266" i="1" s="1"/>
  <c r="E267" i="1"/>
  <c r="F267" i="1" s="1"/>
  <c r="G267" i="1" s="1"/>
  <c r="E268" i="1"/>
  <c r="F268" i="1" s="1"/>
  <c r="G268" i="1" s="1"/>
  <c r="E269" i="1"/>
  <c r="F269" i="1" s="1"/>
  <c r="G269" i="1" s="1"/>
  <c r="E270" i="1"/>
  <c r="E271" i="1"/>
  <c r="E272" i="1"/>
  <c r="F272" i="1" s="1"/>
  <c r="G272" i="1" s="1"/>
  <c r="E273" i="1"/>
  <c r="E274" i="1"/>
  <c r="F274" i="1" s="1"/>
  <c r="G274" i="1" s="1"/>
  <c r="E275" i="1"/>
  <c r="F275" i="1" s="1"/>
  <c r="G275" i="1" s="1"/>
  <c r="E276" i="1"/>
  <c r="F276" i="1" s="1"/>
  <c r="G276" i="1" s="1"/>
  <c r="E277" i="1"/>
  <c r="F277" i="1" s="1"/>
  <c r="G277" i="1" s="1"/>
  <c r="E278" i="1"/>
  <c r="E279" i="1"/>
  <c r="E280" i="1"/>
  <c r="F280" i="1" s="1"/>
  <c r="G280" i="1" s="1"/>
  <c r="E281" i="1"/>
  <c r="E282" i="1"/>
  <c r="F282" i="1" s="1"/>
  <c r="G282" i="1" s="1"/>
  <c r="E283" i="1"/>
  <c r="F283" i="1" s="1"/>
  <c r="G283" i="1" s="1"/>
  <c r="E284" i="1"/>
  <c r="F284" i="1" s="1"/>
  <c r="G284" i="1" s="1"/>
  <c r="E285" i="1"/>
  <c r="F285" i="1" s="1"/>
  <c r="G285" i="1" s="1"/>
  <c r="E286" i="1"/>
  <c r="E287" i="1"/>
  <c r="E288" i="1"/>
  <c r="F288" i="1" s="1"/>
  <c r="G288" i="1" s="1"/>
  <c r="E289" i="1"/>
  <c r="E290" i="1"/>
  <c r="F290" i="1" s="1"/>
  <c r="G290" i="1" s="1"/>
  <c r="E291" i="1"/>
  <c r="F291" i="1" s="1"/>
  <c r="G291" i="1" s="1"/>
  <c r="E292" i="1"/>
  <c r="F292" i="1" s="1"/>
  <c r="G292" i="1" s="1"/>
  <c r="E293" i="1"/>
  <c r="F293" i="1" s="1"/>
  <c r="G293" i="1" s="1"/>
  <c r="E294" i="1"/>
  <c r="E295" i="1"/>
  <c r="E296" i="1"/>
  <c r="F296" i="1" s="1"/>
  <c r="G296" i="1" s="1"/>
  <c r="E297" i="1"/>
  <c r="E298" i="1"/>
  <c r="F298" i="1" s="1"/>
  <c r="G298" i="1" s="1"/>
  <c r="E299" i="1"/>
  <c r="F299" i="1" s="1"/>
  <c r="G299" i="1" s="1"/>
  <c r="E300" i="1"/>
  <c r="F300" i="1" s="1"/>
  <c r="G300" i="1" s="1"/>
  <c r="E301" i="1"/>
  <c r="F301" i="1" s="1"/>
  <c r="G301" i="1" s="1"/>
  <c r="E302" i="1"/>
  <c r="E303" i="1"/>
  <c r="E304" i="1"/>
  <c r="F304" i="1" s="1"/>
  <c r="G304" i="1" s="1"/>
  <c r="E305" i="1"/>
  <c r="E306" i="1"/>
  <c r="F306" i="1" s="1"/>
  <c r="G306" i="1" s="1"/>
  <c r="E307" i="1"/>
  <c r="F307" i="1" s="1"/>
  <c r="G307" i="1" s="1"/>
  <c r="E308" i="1"/>
  <c r="F308" i="1" s="1"/>
  <c r="G308" i="1" s="1"/>
  <c r="E309" i="1"/>
  <c r="F309" i="1" s="1"/>
  <c r="G309" i="1" s="1"/>
  <c r="E310" i="1"/>
  <c r="E311" i="1"/>
  <c r="E312" i="1"/>
  <c r="F312" i="1" s="1"/>
  <c r="G312" i="1" s="1"/>
  <c r="E313" i="1"/>
  <c r="E314" i="1"/>
  <c r="F314" i="1" s="1"/>
  <c r="G314" i="1" s="1"/>
  <c r="E315" i="1"/>
  <c r="F315" i="1" s="1"/>
  <c r="G315" i="1" s="1"/>
  <c r="E316" i="1"/>
  <c r="F316" i="1" s="1"/>
  <c r="G316" i="1" s="1"/>
  <c r="E317" i="1"/>
  <c r="F317" i="1" s="1"/>
  <c r="G317" i="1" s="1"/>
  <c r="E318" i="1"/>
  <c r="E319" i="1"/>
  <c r="E320" i="1"/>
  <c r="F320" i="1" s="1"/>
  <c r="G320" i="1" s="1"/>
  <c r="E321" i="1"/>
  <c r="E322" i="1"/>
  <c r="F322" i="1" s="1"/>
  <c r="G322" i="1" s="1"/>
  <c r="E323" i="1"/>
  <c r="F323" i="1" s="1"/>
  <c r="G323" i="1" s="1"/>
  <c r="E324" i="1"/>
  <c r="F324" i="1" s="1"/>
  <c r="G324" i="1" s="1"/>
  <c r="E325" i="1"/>
  <c r="F325" i="1" s="1"/>
  <c r="G325" i="1" s="1"/>
  <c r="E326" i="1"/>
  <c r="E327" i="1"/>
  <c r="E328" i="1"/>
  <c r="F328" i="1" s="1"/>
  <c r="G328" i="1" s="1"/>
  <c r="E329" i="1"/>
  <c r="E330" i="1"/>
  <c r="F330" i="1" s="1"/>
  <c r="G330" i="1" s="1"/>
  <c r="E331" i="1"/>
  <c r="F331" i="1" s="1"/>
  <c r="G331" i="1" s="1"/>
  <c r="E332" i="1"/>
  <c r="F332" i="1" s="1"/>
  <c r="G332" i="1" s="1"/>
  <c r="E333" i="1"/>
  <c r="F333" i="1" s="1"/>
  <c r="G333" i="1" s="1"/>
  <c r="E334" i="1"/>
  <c r="E335" i="1"/>
  <c r="E336" i="1"/>
  <c r="F336" i="1" s="1"/>
  <c r="G336" i="1" s="1"/>
  <c r="E337" i="1"/>
  <c r="E338" i="1"/>
  <c r="F338" i="1" s="1"/>
  <c r="G338" i="1" s="1"/>
  <c r="E339" i="1"/>
  <c r="F339" i="1" s="1"/>
  <c r="G339" i="1" s="1"/>
  <c r="E340" i="1"/>
  <c r="F340" i="1" s="1"/>
  <c r="G340" i="1" s="1"/>
  <c r="E341" i="1"/>
  <c r="F341" i="1" s="1"/>
  <c r="G341" i="1" s="1"/>
  <c r="E342" i="1"/>
  <c r="E343" i="1"/>
  <c r="E344" i="1"/>
  <c r="F344" i="1" s="1"/>
  <c r="G344" i="1" s="1"/>
  <c r="E345" i="1"/>
  <c r="E346" i="1"/>
  <c r="F346" i="1" s="1"/>
  <c r="G346" i="1" s="1"/>
  <c r="E347" i="1"/>
  <c r="F347" i="1" s="1"/>
  <c r="G347" i="1" s="1"/>
  <c r="E348" i="1"/>
  <c r="F348" i="1" s="1"/>
  <c r="G348" i="1" s="1"/>
  <c r="E349" i="1"/>
  <c r="F349" i="1" s="1"/>
  <c r="G349" i="1" s="1"/>
  <c r="E350" i="1"/>
  <c r="E351" i="1"/>
  <c r="E352" i="1"/>
  <c r="F352" i="1" s="1"/>
  <c r="G352" i="1" s="1"/>
  <c r="E353" i="1"/>
  <c r="E354" i="1"/>
  <c r="F354" i="1" s="1"/>
  <c r="G354" i="1" s="1"/>
  <c r="E355" i="1"/>
  <c r="F355" i="1" s="1"/>
  <c r="G355" i="1" s="1"/>
  <c r="E356" i="1"/>
  <c r="F356" i="1" s="1"/>
  <c r="G356" i="1" s="1"/>
  <c r="E357" i="1"/>
  <c r="F357" i="1" s="1"/>
  <c r="G357" i="1" s="1"/>
  <c r="E358" i="1"/>
  <c r="E359" i="1"/>
  <c r="E360" i="1"/>
  <c r="F360" i="1" s="1"/>
  <c r="G360" i="1" s="1"/>
  <c r="E361" i="1"/>
  <c r="E362" i="1"/>
  <c r="F362" i="1" s="1"/>
  <c r="G362" i="1" s="1"/>
  <c r="E363" i="1"/>
  <c r="F363" i="1" s="1"/>
  <c r="G363" i="1" s="1"/>
  <c r="E364" i="1"/>
  <c r="F364" i="1" s="1"/>
  <c r="G364" i="1" s="1"/>
  <c r="E365" i="1"/>
  <c r="F365" i="1" s="1"/>
  <c r="G365" i="1" s="1"/>
  <c r="E366" i="1"/>
  <c r="E367" i="1"/>
  <c r="E368" i="1"/>
  <c r="F368" i="1" s="1"/>
  <c r="G368" i="1" s="1"/>
  <c r="E369" i="1"/>
  <c r="E370" i="1"/>
  <c r="F370" i="1" s="1"/>
  <c r="G370" i="1" s="1"/>
  <c r="E371" i="1"/>
  <c r="F371" i="1" s="1"/>
  <c r="G371" i="1" s="1"/>
  <c r="E372" i="1"/>
  <c r="F372" i="1" s="1"/>
  <c r="G372" i="1" s="1"/>
  <c r="E373" i="1"/>
  <c r="F373" i="1" s="1"/>
  <c r="E374" i="1"/>
  <c r="E375" i="1"/>
  <c r="E376" i="1"/>
  <c r="F376" i="1" s="1"/>
  <c r="G376" i="1" s="1"/>
  <c r="E377" i="1"/>
  <c r="E378" i="1"/>
  <c r="F378" i="1" s="1"/>
  <c r="G378" i="1" s="1"/>
  <c r="E379" i="1"/>
  <c r="F379" i="1" s="1"/>
  <c r="G379" i="1" s="1"/>
  <c r="E380" i="1"/>
  <c r="F380" i="1" s="1"/>
  <c r="G380" i="1" s="1"/>
  <c r="E381" i="1"/>
  <c r="F381" i="1" s="1"/>
  <c r="G381" i="1" s="1"/>
  <c r="E382" i="1"/>
  <c r="E383" i="1"/>
  <c r="E384" i="1"/>
  <c r="F384" i="1" s="1"/>
  <c r="G384" i="1" s="1"/>
  <c r="E385" i="1"/>
  <c r="E386" i="1"/>
  <c r="F386" i="1" s="1"/>
  <c r="G386" i="1" s="1"/>
  <c r="E387" i="1"/>
  <c r="F387" i="1" s="1"/>
  <c r="G387" i="1" s="1"/>
  <c r="E388" i="1"/>
  <c r="F388" i="1" s="1"/>
  <c r="G388" i="1" s="1"/>
  <c r="E389" i="1"/>
  <c r="F389" i="1" s="1"/>
  <c r="G389" i="1" s="1"/>
  <c r="E390" i="1"/>
  <c r="E391" i="1"/>
  <c r="E392" i="1"/>
  <c r="F392" i="1" s="1"/>
  <c r="G392" i="1" s="1"/>
  <c r="E393" i="1"/>
  <c r="E394" i="1"/>
  <c r="F394" i="1" s="1"/>
  <c r="G394" i="1" s="1"/>
  <c r="E395" i="1"/>
  <c r="F395" i="1" s="1"/>
  <c r="G395" i="1" s="1"/>
  <c r="E396" i="1"/>
  <c r="F396" i="1" s="1"/>
  <c r="G396" i="1" s="1"/>
  <c r="E397" i="1"/>
  <c r="F397" i="1" s="1"/>
  <c r="G397" i="1" s="1"/>
  <c r="E398" i="1"/>
  <c r="E399" i="1"/>
  <c r="E400" i="1"/>
  <c r="F400" i="1" s="1"/>
  <c r="G400" i="1" s="1"/>
  <c r="E401" i="1"/>
  <c r="E402" i="1"/>
  <c r="F402" i="1" s="1"/>
  <c r="G402" i="1" s="1"/>
  <c r="E403" i="1"/>
  <c r="F403" i="1" s="1"/>
  <c r="G403" i="1" s="1"/>
  <c r="E404" i="1"/>
  <c r="F404" i="1" s="1"/>
  <c r="G404" i="1" s="1"/>
  <c r="E405" i="1"/>
  <c r="F405" i="1" s="1"/>
  <c r="G405" i="1" s="1"/>
  <c r="E406" i="1"/>
  <c r="E407" i="1"/>
  <c r="E408" i="1"/>
  <c r="F408" i="1" s="1"/>
  <c r="G408" i="1" s="1"/>
  <c r="E409" i="1"/>
  <c r="E410" i="1"/>
  <c r="F410" i="1" s="1"/>
  <c r="G410" i="1" s="1"/>
  <c r="E411" i="1"/>
  <c r="F411" i="1" s="1"/>
  <c r="G411" i="1" s="1"/>
  <c r="E412" i="1"/>
  <c r="F412" i="1" s="1"/>
  <c r="G412" i="1" s="1"/>
  <c r="E413" i="1"/>
  <c r="F413" i="1" s="1"/>
  <c r="G413" i="1" s="1"/>
  <c r="E414" i="1"/>
  <c r="E415" i="1"/>
  <c r="E416" i="1"/>
  <c r="F416" i="1" s="1"/>
  <c r="G416" i="1" s="1"/>
  <c r="E417" i="1"/>
  <c r="E418" i="1"/>
  <c r="F418" i="1" s="1"/>
  <c r="G418" i="1" s="1"/>
  <c r="E419" i="1"/>
  <c r="F419" i="1" s="1"/>
  <c r="G419" i="1" s="1"/>
  <c r="E420" i="1"/>
  <c r="F420" i="1" s="1"/>
  <c r="G420" i="1" s="1"/>
  <c r="E421" i="1"/>
  <c r="F421" i="1" s="1"/>
  <c r="G421" i="1" s="1"/>
  <c r="E422" i="1"/>
  <c r="E423" i="1"/>
  <c r="E424" i="1"/>
  <c r="F424" i="1" s="1"/>
  <c r="G424" i="1" s="1"/>
  <c r="E425" i="1"/>
  <c r="E426" i="1"/>
  <c r="F426" i="1" s="1"/>
  <c r="G426" i="1" s="1"/>
  <c r="E427" i="1"/>
  <c r="F427" i="1" s="1"/>
  <c r="G427" i="1" s="1"/>
  <c r="E428" i="1"/>
  <c r="F428" i="1" s="1"/>
  <c r="G428" i="1" s="1"/>
  <c r="E429" i="1"/>
  <c r="F429" i="1" s="1"/>
  <c r="G429" i="1" s="1"/>
  <c r="E430" i="1"/>
  <c r="E431" i="1"/>
  <c r="E432" i="1"/>
  <c r="F432" i="1" s="1"/>
  <c r="G432" i="1" s="1"/>
  <c r="E433" i="1"/>
  <c r="E434" i="1"/>
  <c r="F434" i="1" s="1"/>
  <c r="G434" i="1" s="1"/>
  <c r="E435" i="1"/>
  <c r="F435" i="1" s="1"/>
  <c r="G435" i="1" s="1"/>
  <c r="E436" i="1"/>
  <c r="F436" i="1" s="1"/>
  <c r="G436" i="1" s="1"/>
  <c r="E437" i="1"/>
  <c r="F437" i="1" s="1"/>
  <c r="G437" i="1" s="1"/>
  <c r="E438" i="1"/>
  <c r="E439" i="1"/>
  <c r="E440" i="1"/>
  <c r="F440" i="1" s="1"/>
  <c r="G440" i="1" s="1"/>
  <c r="E441" i="1"/>
  <c r="E442" i="1"/>
  <c r="F442" i="1" s="1"/>
  <c r="G442" i="1" s="1"/>
  <c r="E443" i="1"/>
  <c r="F443" i="1" s="1"/>
  <c r="G443" i="1" s="1"/>
  <c r="E444" i="1"/>
  <c r="F444" i="1" s="1"/>
  <c r="G444" i="1" s="1"/>
  <c r="E445" i="1"/>
  <c r="F445" i="1" s="1"/>
  <c r="G445" i="1" s="1"/>
  <c r="E446" i="1"/>
  <c r="E447" i="1"/>
  <c r="E448" i="1"/>
  <c r="F448" i="1" s="1"/>
  <c r="G448" i="1" s="1"/>
  <c r="E449" i="1"/>
  <c r="E450" i="1"/>
  <c r="F450" i="1" s="1"/>
  <c r="G450" i="1" s="1"/>
  <c r="E451" i="1"/>
  <c r="F451" i="1" s="1"/>
  <c r="G451" i="1" s="1"/>
  <c r="E452" i="1"/>
  <c r="F452" i="1" s="1"/>
  <c r="G452" i="1" s="1"/>
  <c r="E453" i="1"/>
  <c r="F453" i="1" s="1"/>
  <c r="G453" i="1" s="1"/>
  <c r="E454" i="1"/>
  <c r="E455" i="1"/>
  <c r="E456" i="1"/>
  <c r="F456" i="1" s="1"/>
  <c r="G456" i="1" s="1"/>
  <c r="E457" i="1"/>
  <c r="E458" i="1"/>
  <c r="F458" i="1" s="1"/>
  <c r="G458" i="1" s="1"/>
  <c r="E459" i="1"/>
  <c r="F459" i="1" s="1"/>
  <c r="G459" i="1" s="1"/>
  <c r="E460" i="1"/>
  <c r="F460" i="1" s="1"/>
  <c r="G460" i="1" s="1"/>
  <c r="E461" i="1"/>
  <c r="F461" i="1" s="1"/>
  <c r="G461" i="1" s="1"/>
  <c r="E462" i="1"/>
  <c r="E463" i="1"/>
  <c r="E464" i="1"/>
  <c r="F464" i="1" s="1"/>
  <c r="G464" i="1" s="1"/>
  <c r="E465" i="1"/>
  <c r="E466" i="1"/>
  <c r="F466" i="1" s="1"/>
  <c r="G466" i="1" s="1"/>
  <c r="E467" i="1"/>
  <c r="E468" i="1"/>
  <c r="F468" i="1" s="1"/>
  <c r="G468" i="1" s="1"/>
  <c r="E469" i="1"/>
  <c r="F469" i="1" s="1"/>
  <c r="G469" i="1" s="1"/>
  <c r="E470" i="1"/>
  <c r="F470" i="1" s="1"/>
  <c r="G470" i="1" s="1"/>
  <c r="E471" i="1"/>
  <c r="E472" i="1"/>
  <c r="F472" i="1" s="1"/>
  <c r="G472" i="1" s="1"/>
  <c r="E473" i="1"/>
  <c r="E474" i="1"/>
  <c r="F474" i="1" s="1"/>
  <c r="G474" i="1" s="1"/>
  <c r="E475" i="1"/>
  <c r="E476" i="1"/>
  <c r="F476" i="1" s="1"/>
  <c r="G476" i="1" s="1"/>
  <c r="E477" i="1"/>
  <c r="F477" i="1" s="1"/>
  <c r="G477" i="1" s="1"/>
  <c r="E478" i="1"/>
  <c r="E479" i="1"/>
  <c r="E480" i="1"/>
  <c r="F480" i="1" s="1"/>
  <c r="G480" i="1" s="1"/>
  <c r="E481" i="1"/>
  <c r="E482" i="1"/>
  <c r="F482" i="1" s="1"/>
  <c r="G482" i="1" s="1"/>
  <c r="E483" i="1"/>
  <c r="E484" i="1"/>
  <c r="F484" i="1" s="1"/>
  <c r="G484" i="1" s="1"/>
  <c r="E485" i="1"/>
  <c r="F485" i="1" s="1"/>
  <c r="G485" i="1" s="1"/>
  <c r="E486" i="1"/>
  <c r="E487" i="1"/>
  <c r="E488" i="1"/>
  <c r="F488" i="1" s="1"/>
  <c r="G488" i="1" s="1"/>
  <c r="E489" i="1"/>
  <c r="E490" i="1"/>
  <c r="F490" i="1" s="1"/>
  <c r="G490" i="1" s="1"/>
  <c r="E491" i="1"/>
  <c r="F491" i="1" s="1"/>
  <c r="G491" i="1" s="1"/>
  <c r="E492" i="1"/>
  <c r="F492" i="1" s="1"/>
  <c r="G492" i="1" s="1"/>
  <c r="E493" i="1"/>
  <c r="F493" i="1" s="1"/>
  <c r="G493" i="1" s="1"/>
  <c r="E494" i="1"/>
  <c r="E495" i="1"/>
  <c r="E496" i="1"/>
  <c r="F496" i="1" s="1"/>
  <c r="G496" i="1" s="1"/>
  <c r="E497" i="1"/>
  <c r="E498" i="1"/>
  <c r="F498" i="1" s="1"/>
  <c r="G498" i="1" s="1"/>
  <c r="E499" i="1"/>
  <c r="E500" i="1"/>
  <c r="F500" i="1" s="1"/>
  <c r="G500" i="1" s="1"/>
  <c r="E501" i="1"/>
  <c r="F501" i="1" s="1"/>
  <c r="G501" i="1" s="1"/>
  <c r="E502" i="1"/>
  <c r="F502" i="1" s="1"/>
  <c r="G502" i="1" s="1"/>
  <c r="E503" i="1"/>
  <c r="E504" i="1"/>
  <c r="F504" i="1" s="1"/>
  <c r="G504" i="1" s="1"/>
  <c r="E505" i="1"/>
  <c r="E506" i="1"/>
  <c r="F506" i="1" s="1"/>
  <c r="G506" i="1" s="1"/>
  <c r="E507" i="1"/>
  <c r="E508" i="1"/>
  <c r="F508" i="1" s="1"/>
  <c r="G508" i="1" s="1"/>
  <c r="E509" i="1"/>
  <c r="F509" i="1" s="1"/>
  <c r="G509" i="1" s="1"/>
  <c r="E510" i="1"/>
  <c r="E511" i="1"/>
  <c r="E512" i="1"/>
  <c r="F512" i="1" s="1"/>
  <c r="G512" i="1" s="1"/>
  <c r="E513" i="1"/>
  <c r="E514" i="1"/>
  <c r="F514" i="1" s="1"/>
  <c r="G514" i="1" s="1"/>
  <c r="E515" i="1"/>
  <c r="E516" i="1"/>
  <c r="F516" i="1" s="1"/>
  <c r="G516" i="1" s="1"/>
  <c r="E517" i="1"/>
  <c r="F517" i="1" s="1"/>
  <c r="G517" i="1" s="1"/>
  <c r="E518" i="1"/>
  <c r="E519" i="1"/>
  <c r="E520" i="1"/>
  <c r="F520" i="1" s="1"/>
  <c r="G520" i="1" s="1"/>
  <c r="E521" i="1"/>
  <c r="E522" i="1"/>
  <c r="F522" i="1" s="1"/>
  <c r="G522" i="1" s="1"/>
  <c r="E523" i="1"/>
  <c r="E524" i="1"/>
  <c r="F524" i="1" s="1"/>
  <c r="G524" i="1" s="1"/>
  <c r="E525" i="1"/>
  <c r="F525" i="1" s="1"/>
  <c r="G525" i="1" s="1"/>
  <c r="E526" i="1"/>
  <c r="E527" i="1"/>
  <c r="E528" i="1"/>
  <c r="F528" i="1" s="1"/>
  <c r="G528" i="1" s="1"/>
  <c r="E529" i="1"/>
  <c r="E530" i="1"/>
  <c r="F530" i="1" s="1"/>
  <c r="G530" i="1" s="1"/>
  <c r="E531" i="1"/>
  <c r="E532" i="1"/>
  <c r="F532" i="1" s="1"/>
  <c r="G532" i="1" s="1"/>
  <c r="E533" i="1"/>
  <c r="F533" i="1" s="1"/>
  <c r="G533" i="1" s="1"/>
  <c r="E534" i="1"/>
  <c r="F534" i="1" s="1"/>
  <c r="G534" i="1" s="1"/>
  <c r="E535" i="1"/>
  <c r="E536" i="1"/>
  <c r="F536" i="1" s="1"/>
  <c r="G536" i="1" s="1"/>
  <c r="E537" i="1"/>
  <c r="E538" i="1"/>
  <c r="F538" i="1" s="1"/>
  <c r="G538" i="1" s="1"/>
  <c r="E539" i="1"/>
  <c r="E540" i="1"/>
  <c r="F540" i="1" s="1"/>
  <c r="G540" i="1" s="1"/>
  <c r="E541" i="1"/>
  <c r="F541" i="1" s="1"/>
  <c r="G541" i="1" s="1"/>
  <c r="E542" i="1"/>
  <c r="E543" i="1"/>
  <c r="E544" i="1"/>
  <c r="F544" i="1" s="1"/>
  <c r="G544" i="1" s="1"/>
  <c r="E545" i="1"/>
  <c r="E546" i="1"/>
  <c r="F546" i="1" s="1"/>
  <c r="G546" i="1" s="1"/>
  <c r="E547" i="1"/>
  <c r="E548" i="1"/>
  <c r="F548" i="1" s="1"/>
  <c r="G548" i="1" s="1"/>
  <c r="E549" i="1"/>
  <c r="F549" i="1" s="1"/>
  <c r="G549" i="1" s="1"/>
  <c r="E550" i="1"/>
  <c r="E551" i="1"/>
  <c r="E552" i="1"/>
  <c r="F552" i="1" s="1"/>
  <c r="G552" i="1" s="1"/>
  <c r="E553" i="1"/>
  <c r="E554" i="1"/>
  <c r="F554" i="1" s="1"/>
  <c r="G554" i="1" s="1"/>
  <c r="E555" i="1"/>
  <c r="E556" i="1"/>
  <c r="F556" i="1" s="1"/>
  <c r="G556" i="1" s="1"/>
  <c r="E557" i="1"/>
  <c r="F557" i="1" s="1"/>
  <c r="G557" i="1" s="1"/>
  <c r="E558" i="1"/>
  <c r="E559" i="1"/>
  <c r="E560" i="1"/>
  <c r="F560" i="1" s="1"/>
  <c r="G560" i="1" s="1"/>
  <c r="E561" i="1"/>
  <c r="E562" i="1"/>
  <c r="F562" i="1" s="1"/>
  <c r="G562" i="1" s="1"/>
  <c r="E563" i="1"/>
  <c r="E564" i="1"/>
  <c r="F564" i="1" s="1"/>
  <c r="G564" i="1" s="1"/>
  <c r="E565" i="1"/>
  <c r="F565" i="1" s="1"/>
  <c r="G565" i="1" s="1"/>
  <c r="E566" i="1"/>
  <c r="E567" i="1"/>
  <c r="E568" i="1"/>
  <c r="F568" i="1" s="1"/>
  <c r="G568" i="1" s="1"/>
  <c r="E569" i="1"/>
  <c r="E570" i="1"/>
  <c r="F570" i="1" s="1"/>
  <c r="G570" i="1" s="1"/>
  <c r="E571" i="1"/>
  <c r="E572" i="1"/>
  <c r="F572" i="1" s="1"/>
  <c r="G572" i="1" s="1"/>
  <c r="E573" i="1"/>
  <c r="F573" i="1" s="1"/>
  <c r="G573" i="1" s="1"/>
  <c r="E574" i="1"/>
  <c r="E575" i="1"/>
  <c r="E576" i="1"/>
  <c r="F576" i="1" s="1"/>
  <c r="G576" i="1" s="1"/>
  <c r="E577" i="1"/>
  <c r="E578" i="1"/>
  <c r="F578" i="1" s="1"/>
  <c r="G578" i="1" s="1"/>
  <c r="E579" i="1"/>
  <c r="E580" i="1"/>
  <c r="F580" i="1" s="1"/>
  <c r="G580" i="1" s="1"/>
  <c r="E581" i="1"/>
  <c r="F581" i="1" s="1"/>
  <c r="G581" i="1" s="1"/>
  <c r="E582" i="1"/>
  <c r="E583" i="1"/>
  <c r="E584" i="1"/>
  <c r="F584" i="1" s="1"/>
  <c r="G584" i="1" s="1"/>
  <c r="E585" i="1"/>
  <c r="E586" i="1"/>
  <c r="F586" i="1" s="1"/>
  <c r="G586" i="1" s="1"/>
  <c r="E587" i="1"/>
  <c r="E588" i="1"/>
  <c r="F588" i="1" s="1"/>
  <c r="G588" i="1" s="1"/>
  <c r="E589" i="1"/>
  <c r="F589" i="1" s="1"/>
  <c r="G589" i="1" s="1"/>
  <c r="E590" i="1"/>
  <c r="E591" i="1"/>
  <c r="E592" i="1"/>
  <c r="F592" i="1" s="1"/>
  <c r="G592" i="1" s="1"/>
  <c r="E593" i="1"/>
  <c r="E594" i="1"/>
  <c r="F594" i="1" s="1"/>
  <c r="G594" i="1" s="1"/>
  <c r="E595" i="1"/>
  <c r="E596" i="1"/>
  <c r="F596" i="1" s="1"/>
  <c r="G596" i="1" s="1"/>
  <c r="E597" i="1"/>
  <c r="F597" i="1" s="1"/>
  <c r="G597" i="1" s="1"/>
  <c r="E598" i="1"/>
  <c r="E599" i="1"/>
  <c r="E600" i="1"/>
  <c r="F600" i="1" s="1"/>
  <c r="G600" i="1" s="1"/>
  <c r="E601" i="1"/>
  <c r="E602" i="1"/>
  <c r="F602" i="1" s="1"/>
  <c r="G602" i="1" s="1"/>
  <c r="E603" i="1"/>
  <c r="E604" i="1"/>
  <c r="F604" i="1" s="1"/>
  <c r="G604" i="1" s="1"/>
  <c r="E605" i="1"/>
  <c r="F605" i="1" s="1"/>
  <c r="G605" i="1" s="1"/>
  <c r="E606" i="1"/>
  <c r="E607" i="1"/>
  <c r="E608" i="1"/>
  <c r="F608" i="1" s="1"/>
  <c r="G608" i="1" s="1"/>
  <c r="E609" i="1"/>
  <c r="E610" i="1"/>
  <c r="F610" i="1" s="1"/>
  <c r="G610" i="1" s="1"/>
  <c r="E611" i="1"/>
  <c r="E612" i="1"/>
  <c r="F612" i="1" s="1"/>
  <c r="G612" i="1" s="1"/>
  <c r="E613" i="1"/>
  <c r="F613" i="1" s="1"/>
  <c r="G613" i="1" s="1"/>
  <c r="E614" i="1"/>
  <c r="E615" i="1"/>
  <c r="E616" i="1"/>
  <c r="F616" i="1" s="1"/>
  <c r="G616" i="1" s="1"/>
  <c r="E617" i="1"/>
  <c r="E618" i="1"/>
  <c r="F618" i="1" s="1"/>
  <c r="G618" i="1" s="1"/>
  <c r="E619" i="1"/>
  <c r="E620" i="1"/>
  <c r="F620" i="1" s="1"/>
  <c r="G620" i="1" s="1"/>
  <c r="E621" i="1"/>
  <c r="F621" i="1" s="1"/>
  <c r="G621" i="1" s="1"/>
  <c r="E622" i="1"/>
  <c r="E623" i="1"/>
  <c r="E624" i="1"/>
  <c r="F624" i="1" s="1"/>
  <c r="G624" i="1" s="1"/>
  <c r="E625" i="1"/>
  <c r="E626" i="1"/>
  <c r="F626" i="1" s="1"/>
  <c r="G626" i="1" s="1"/>
  <c r="E627" i="1"/>
  <c r="E628" i="1"/>
  <c r="F628" i="1" s="1"/>
  <c r="G628" i="1" s="1"/>
  <c r="E629" i="1"/>
  <c r="F629" i="1" s="1"/>
  <c r="G629" i="1" s="1"/>
  <c r="E630" i="1"/>
  <c r="E631" i="1"/>
  <c r="E632" i="1"/>
  <c r="F632" i="1" s="1"/>
  <c r="G632" i="1" s="1"/>
  <c r="E633" i="1"/>
  <c r="E634" i="1"/>
  <c r="F634" i="1" s="1"/>
  <c r="G634" i="1" s="1"/>
  <c r="E635" i="1"/>
  <c r="E636" i="1"/>
  <c r="F636" i="1" s="1"/>
  <c r="G636" i="1" s="1"/>
  <c r="E637" i="1"/>
  <c r="F637" i="1" s="1"/>
  <c r="G637" i="1" s="1"/>
  <c r="E638" i="1"/>
  <c r="E639" i="1"/>
  <c r="E640" i="1"/>
  <c r="F640" i="1" s="1"/>
  <c r="G640" i="1" s="1"/>
  <c r="E641" i="1"/>
  <c r="E642" i="1"/>
  <c r="F642" i="1" s="1"/>
  <c r="G642" i="1" s="1"/>
  <c r="E643" i="1"/>
  <c r="E644" i="1"/>
  <c r="F644" i="1" s="1"/>
  <c r="G644" i="1" s="1"/>
  <c r="E645" i="1"/>
  <c r="F645" i="1" s="1"/>
  <c r="G645" i="1" s="1"/>
  <c r="E646" i="1"/>
  <c r="E647" i="1"/>
  <c r="E648" i="1"/>
  <c r="F648" i="1" s="1"/>
  <c r="G648" i="1" s="1"/>
  <c r="E649" i="1"/>
  <c r="E650" i="1"/>
  <c r="F650" i="1" s="1"/>
  <c r="G650" i="1" s="1"/>
  <c r="E651" i="1"/>
  <c r="E652" i="1"/>
  <c r="F652" i="1" s="1"/>
  <c r="G652" i="1" s="1"/>
  <c r="E653" i="1"/>
  <c r="F653" i="1" s="1"/>
  <c r="G653" i="1" s="1"/>
  <c r="E654" i="1"/>
  <c r="E655" i="1"/>
  <c r="E656" i="1"/>
  <c r="F656" i="1" s="1"/>
  <c r="G656" i="1" s="1"/>
  <c r="E657" i="1"/>
  <c r="E658" i="1"/>
  <c r="F658" i="1" s="1"/>
  <c r="G658" i="1" s="1"/>
  <c r="E659" i="1"/>
  <c r="E660" i="1"/>
  <c r="F660" i="1" s="1"/>
  <c r="G660" i="1" s="1"/>
  <c r="E661" i="1"/>
  <c r="F661" i="1" s="1"/>
  <c r="G661" i="1" s="1"/>
  <c r="E662" i="1"/>
  <c r="E663" i="1"/>
  <c r="E664" i="1"/>
  <c r="F664" i="1" s="1"/>
  <c r="G664" i="1" s="1"/>
  <c r="E665" i="1"/>
  <c r="E666" i="1"/>
  <c r="F666" i="1" s="1"/>
  <c r="G666" i="1" s="1"/>
  <c r="E667" i="1"/>
  <c r="E668" i="1"/>
  <c r="F668" i="1" s="1"/>
  <c r="G668" i="1" s="1"/>
  <c r="E669" i="1"/>
  <c r="F669" i="1" s="1"/>
  <c r="G669" i="1" s="1"/>
  <c r="E670" i="1"/>
  <c r="E671" i="1"/>
  <c r="E672" i="1"/>
  <c r="F672" i="1" s="1"/>
  <c r="G672" i="1" s="1"/>
  <c r="E673" i="1"/>
  <c r="E674" i="1"/>
  <c r="F674" i="1" s="1"/>
  <c r="G674" i="1" s="1"/>
  <c r="E675" i="1"/>
  <c r="E676" i="1"/>
  <c r="F676" i="1" s="1"/>
  <c r="G676" i="1" s="1"/>
  <c r="E677" i="1"/>
  <c r="F677" i="1" s="1"/>
  <c r="G677" i="1" s="1"/>
  <c r="E678" i="1"/>
  <c r="E679" i="1"/>
  <c r="E680" i="1"/>
  <c r="F680" i="1" s="1"/>
  <c r="G680" i="1" s="1"/>
  <c r="E681" i="1"/>
  <c r="E682" i="1"/>
  <c r="F682" i="1" s="1"/>
  <c r="G682" i="1" s="1"/>
  <c r="E683" i="1"/>
  <c r="E684" i="1"/>
  <c r="F684" i="1" s="1"/>
  <c r="G684" i="1" s="1"/>
  <c r="E685" i="1"/>
  <c r="F685" i="1" s="1"/>
  <c r="G685" i="1" s="1"/>
  <c r="E686" i="1"/>
  <c r="E687" i="1"/>
  <c r="E688" i="1"/>
  <c r="F688" i="1" s="1"/>
  <c r="G688" i="1" s="1"/>
  <c r="E689" i="1"/>
  <c r="E690" i="1"/>
  <c r="F690" i="1" s="1"/>
  <c r="G690" i="1" s="1"/>
  <c r="E691" i="1"/>
  <c r="E692" i="1"/>
  <c r="F692" i="1" s="1"/>
  <c r="G692" i="1" s="1"/>
  <c r="E693" i="1"/>
  <c r="F693" i="1" s="1"/>
  <c r="G693" i="1" s="1"/>
  <c r="E694" i="1"/>
  <c r="E695" i="1"/>
  <c r="E696" i="1"/>
  <c r="F696" i="1" s="1"/>
  <c r="G696" i="1" s="1"/>
  <c r="E697" i="1"/>
  <c r="E698" i="1"/>
  <c r="F698" i="1" s="1"/>
  <c r="G698" i="1" s="1"/>
  <c r="E699" i="1"/>
  <c r="E700" i="1"/>
  <c r="F700" i="1" s="1"/>
  <c r="G700" i="1" s="1"/>
  <c r="E701" i="1"/>
  <c r="F701" i="1" s="1"/>
  <c r="G701" i="1" s="1"/>
  <c r="E702" i="1"/>
  <c r="E703" i="1"/>
  <c r="E704" i="1"/>
  <c r="F704" i="1" s="1"/>
  <c r="G704" i="1" s="1"/>
  <c r="E705" i="1"/>
  <c r="E706" i="1"/>
  <c r="F706" i="1" s="1"/>
  <c r="G706" i="1" s="1"/>
  <c r="E707" i="1"/>
  <c r="F707" i="1" s="1"/>
  <c r="G707" i="1" s="1"/>
  <c r="E708" i="1"/>
  <c r="F708" i="1" s="1"/>
  <c r="G708" i="1" s="1"/>
  <c r="E709" i="1"/>
  <c r="F709" i="1" s="1"/>
  <c r="G709" i="1" s="1"/>
  <c r="E710" i="1"/>
  <c r="E711" i="1"/>
  <c r="E712" i="1"/>
  <c r="F712" i="1" s="1"/>
  <c r="G712" i="1" s="1"/>
  <c r="E713" i="1"/>
  <c r="E714" i="1"/>
  <c r="F714" i="1" s="1"/>
  <c r="G714" i="1" s="1"/>
  <c r="E715" i="1"/>
  <c r="E716" i="1"/>
  <c r="F716" i="1" s="1"/>
  <c r="G716" i="1" s="1"/>
  <c r="E717" i="1"/>
  <c r="F717" i="1" s="1"/>
  <c r="G717" i="1" s="1"/>
  <c r="E718" i="1"/>
  <c r="E719" i="1"/>
  <c r="E720" i="1"/>
  <c r="F720" i="1" s="1"/>
  <c r="G720" i="1" s="1"/>
  <c r="E721" i="1"/>
  <c r="E722" i="1"/>
  <c r="F722" i="1" s="1"/>
  <c r="G722" i="1" s="1"/>
  <c r="E723" i="1"/>
  <c r="E724" i="1"/>
  <c r="F724" i="1" s="1"/>
  <c r="G724" i="1" s="1"/>
  <c r="E725" i="1"/>
  <c r="F725" i="1" s="1"/>
  <c r="G725" i="1" s="1"/>
  <c r="E726" i="1"/>
  <c r="E727" i="1"/>
  <c r="E728" i="1"/>
  <c r="F728" i="1" s="1"/>
  <c r="G728" i="1" s="1"/>
  <c r="E729" i="1"/>
  <c r="E730" i="1"/>
  <c r="F730" i="1" s="1"/>
  <c r="G730" i="1" s="1"/>
  <c r="E731" i="1"/>
  <c r="E732" i="1"/>
  <c r="F732" i="1" s="1"/>
  <c r="G732" i="1" s="1"/>
  <c r="E733" i="1"/>
  <c r="F733" i="1" s="1"/>
  <c r="G733" i="1" s="1"/>
  <c r="E734" i="1"/>
  <c r="E735" i="1"/>
  <c r="E736" i="1"/>
  <c r="F736" i="1" s="1"/>
  <c r="G736" i="1" s="1"/>
  <c r="E737" i="1"/>
  <c r="E738" i="1"/>
  <c r="F738" i="1" s="1"/>
  <c r="G738" i="1" s="1"/>
  <c r="E739" i="1"/>
  <c r="E740" i="1"/>
  <c r="F740" i="1" s="1"/>
  <c r="G740" i="1" s="1"/>
  <c r="E741" i="1"/>
  <c r="F741" i="1" s="1"/>
  <c r="G741" i="1" s="1"/>
  <c r="E742" i="1"/>
  <c r="E743" i="1"/>
  <c r="E744" i="1"/>
  <c r="F744" i="1" s="1"/>
  <c r="G744" i="1" s="1"/>
  <c r="E745" i="1"/>
  <c r="E746" i="1"/>
  <c r="F746" i="1" s="1"/>
  <c r="G746" i="1" s="1"/>
  <c r="E747" i="1"/>
  <c r="E748" i="1"/>
  <c r="F748" i="1" s="1"/>
  <c r="G748" i="1" s="1"/>
  <c r="E749" i="1"/>
  <c r="F749" i="1" s="1"/>
  <c r="G749" i="1" s="1"/>
  <c r="E750" i="1"/>
  <c r="E751" i="1"/>
  <c r="E752" i="1"/>
  <c r="F752" i="1" s="1"/>
  <c r="G752" i="1" s="1"/>
  <c r="E753" i="1"/>
  <c r="E754" i="1"/>
  <c r="F754" i="1" s="1"/>
  <c r="G754" i="1" s="1"/>
  <c r="E755" i="1"/>
  <c r="E756" i="1"/>
  <c r="F756" i="1" s="1"/>
  <c r="G756" i="1" s="1"/>
  <c r="E757" i="1"/>
  <c r="F757" i="1" s="1"/>
  <c r="G757" i="1" s="1"/>
  <c r="E758" i="1"/>
  <c r="E759" i="1"/>
  <c r="E760" i="1"/>
  <c r="F760" i="1" s="1"/>
  <c r="G760" i="1" s="1"/>
  <c r="E761" i="1"/>
  <c r="E762" i="1"/>
  <c r="F762" i="1" s="1"/>
  <c r="G762" i="1" s="1"/>
  <c r="E763" i="1"/>
  <c r="E764" i="1"/>
  <c r="F764" i="1" s="1"/>
  <c r="G764" i="1" s="1"/>
  <c r="E765" i="1"/>
  <c r="F765" i="1" s="1"/>
  <c r="G765" i="1" s="1"/>
  <c r="E766" i="1"/>
  <c r="E767" i="1"/>
  <c r="E768" i="1"/>
  <c r="F768" i="1" s="1"/>
  <c r="G768" i="1" s="1"/>
  <c r="E769" i="1"/>
  <c r="E770" i="1"/>
  <c r="F770" i="1" s="1"/>
  <c r="G770" i="1" s="1"/>
  <c r="E771" i="1"/>
  <c r="E772" i="1"/>
  <c r="F772" i="1" s="1"/>
  <c r="G772" i="1" s="1"/>
  <c r="E773" i="1"/>
  <c r="F773" i="1" s="1"/>
  <c r="G773" i="1" s="1"/>
  <c r="E774" i="1"/>
  <c r="E775" i="1"/>
  <c r="E776" i="1"/>
  <c r="F776" i="1" s="1"/>
  <c r="G776" i="1" s="1"/>
  <c r="E777" i="1"/>
  <c r="E778" i="1"/>
  <c r="F778" i="1" s="1"/>
  <c r="G778" i="1" s="1"/>
  <c r="E779" i="1"/>
  <c r="E780" i="1"/>
  <c r="F780" i="1" s="1"/>
  <c r="G780" i="1" s="1"/>
  <c r="E781" i="1"/>
  <c r="F781" i="1" s="1"/>
  <c r="G781" i="1" s="1"/>
  <c r="E782" i="1"/>
  <c r="E783" i="1"/>
  <c r="E784" i="1"/>
  <c r="F784" i="1" s="1"/>
  <c r="G784" i="1" s="1"/>
  <c r="E785" i="1"/>
  <c r="E786" i="1"/>
  <c r="F786" i="1" s="1"/>
  <c r="G786" i="1" s="1"/>
  <c r="E787" i="1"/>
  <c r="E788" i="1"/>
  <c r="F788" i="1" s="1"/>
  <c r="G788" i="1" s="1"/>
  <c r="E789" i="1"/>
  <c r="F789" i="1" s="1"/>
  <c r="G789" i="1" s="1"/>
  <c r="E790" i="1"/>
  <c r="E791" i="1"/>
  <c r="E792" i="1"/>
  <c r="F792" i="1" s="1"/>
  <c r="G792" i="1" s="1"/>
  <c r="E793" i="1"/>
  <c r="E794" i="1"/>
  <c r="F794" i="1" s="1"/>
  <c r="G794" i="1" s="1"/>
  <c r="E795" i="1"/>
  <c r="E796" i="1"/>
  <c r="F796" i="1" s="1"/>
  <c r="G796" i="1" s="1"/>
  <c r="E797" i="1"/>
  <c r="F797" i="1" s="1"/>
  <c r="G797" i="1" s="1"/>
  <c r="E798" i="1"/>
  <c r="E799" i="1"/>
  <c r="E800" i="1"/>
  <c r="F800" i="1" s="1"/>
  <c r="G800" i="1" s="1"/>
  <c r="E801" i="1"/>
  <c r="E802" i="1"/>
  <c r="F802" i="1" s="1"/>
  <c r="G802" i="1" s="1"/>
  <c r="E803" i="1"/>
  <c r="E804" i="1"/>
  <c r="F804" i="1" s="1"/>
  <c r="G804" i="1" s="1"/>
  <c r="E805" i="1"/>
  <c r="F805" i="1" s="1"/>
  <c r="G805" i="1" s="1"/>
  <c r="E806" i="1"/>
  <c r="E807" i="1"/>
  <c r="E808" i="1"/>
  <c r="F808" i="1" s="1"/>
  <c r="G808" i="1" s="1"/>
  <c r="E809" i="1"/>
  <c r="E810" i="1"/>
  <c r="F810" i="1" s="1"/>
  <c r="G810" i="1" s="1"/>
  <c r="E811" i="1"/>
  <c r="E812" i="1"/>
  <c r="F812" i="1" s="1"/>
  <c r="G812" i="1" s="1"/>
  <c r="E813" i="1"/>
  <c r="F813" i="1" s="1"/>
  <c r="G813" i="1" s="1"/>
  <c r="E814" i="1"/>
  <c r="E815" i="1"/>
  <c r="E816" i="1"/>
  <c r="F816" i="1" s="1"/>
  <c r="G816" i="1" s="1"/>
  <c r="E817" i="1"/>
  <c r="E818" i="1"/>
  <c r="F818" i="1" s="1"/>
  <c r="G818" i="1" s="1"/>
  <c r="E819" i="1"/>
  <c r="E820" i="1"/>
  <c r="F820" i="1" s="1"/>
  <c r="G820" i="1" s="1"/>
  <c r="E821" i="1"/>
  <c r="F821" i="1" s="1"/>
  <c r="G821" i="1" s="1"/>
  <c r="E822" i="1"/>
  <c r="E823" i="1"/>
  <c r="E824" i="1"/>
  <c r="F824" i="1" s="1"/>
  <c r="G824" i="1" s="1"/>
  <c r="E825" i="1"/>
  <c r="E826" i="1"/>
  <c r="F826" i="1" s="1"/>
  <c r="G826" i="1" s="1"/>
  <c r="E827" i="1"/>
  <c r="E828" i="1"/>
  <c r="F828" i="1" s="1"/>
  <c r="G828" i="1" s="1"/>
  <c r="E829" i="1"/>
  <c r="F829" i="1" s="1"/>
  <c r="G829" i="1" s="1"/>
  <c r="E830" i="1"/>
  <c r="E831" i="1"/>
  <c r="E832" i="1"/>
  <c r="F832" i="1" s="1"/>
  <c r="G832" i="1" s="1"/>
  <c r="E833" i="1"/>
  <c r="E834" i="1"/>
  <c r="F834" i="1" s="1"/>
  <c r="G834" i="1" s="1"/>
  <c r="E835" i="1"/>
  <c r="E836" i="1"/>
  <c r="F836" i="1" s="1"/>
  <c r="G836" i="1" s="1"/>
  <c r="E837" i="1"/>
  <c r="F837" i="1" s="1"/>
  <c r="G837" i="1" s="1"/>
  <c r="E838" i="1"/>
  <c r="E839" i="1"/>
  <c r="E840" i="1"/>
  <c r="F840" i="1" s="1"/>
  <c r="G840" i="1" s="1"/>
  <c r="E841" i="1"/>
  <c r="E842" i="1"/>
  <c r="F842" i="1" s="1"/>
  <c r="G842" i="1" s="1"/>
  <c r="E843" i="1"/>
  <c r="E844" i="1"/>
  <c r="F844" i="1" s="1"/>
  <c r="G844" i="1" s="1"/>
  <c r="E845" i="1"/>
  <c r="F845" i="1" s="1"/>
  <c r="G845" i="1" s="1"/>
  <c r="E846" i="1"/>
  <c r="E847" i="1"/>
  <c r="E848" i="1"/>
  <c r="F848" i="1" s="1"/>
  <c r="G848" i="1" s="1"/>
  <c r="E849" i="1"/>
  <c r="E850" i="1"/>
  <c r="F850" i="1" s="1"/>
  <c r="G850" i="1" s="1"/>
  <c r="E851" i="1"/>
  <c r="E852" i="1"/>
  <c r="F852" i="1" s="1"/>
  <c r="G852" i="1" s="1"/>
  <c r="E853" i="1"/>
  <c r="F853" i="1" s="1"/>
  <c r="G853" i="1" s="1"/>
  <c r="E854" i="1"/>
  <c r="E855" i="1"/>
  <c r="E856" i="1"/>
  <c r="F856" i="1" s="1"/>
  <c r="G856" i="1" s="1"/>
  <c r="E857" i="1"/>
  <c r="E858" i="1"/>
  <c r="F858" i="1" s="1"/>
  <c r="G858" i="1" s="1"/>
  <c r="E859" i="1"/>
  <c r="E860" i="1"/>
  <c r="F860" i="1" s="1"/>
  <c r="G860" i="1" s="1"/>
  <c r="E861" i="1"/>
  <c r="F861" i="1" s="1"/>
  <c r="G861" i="1" s="1"/>
  <c r="E862" i="1"/>
  <c r="E863" i="1"/>
  <c r="E864" i="1"/>
  <c r="F864" i="1" s="1"/>
  <c r="G864" i="1" s="1"/>
  <c r="E865" i="1"/>
  <c r="E866" i="1"/>
  <c r="F866" i="1" s="1"/>
  <c r="G866" i="1" s="1"/>
  <c r="E867" i="1"/>
  <c r="E868" i="1"/>
  <c r="F868" i="1" s="1"/>
  <c r="G868" i="1" s="1"/>
  <c r="E869" i="1"/>
  <c r="F869" i="1" s="1"/>
  <c r="G869" i="1" s="1"/>
  <c r="E870" i="1"/>
  <c r="E871" i="1"/>
  <c r="E872" i="1"/>
  <c r="F872" i="1" s="1"/>
  <c r="G872" i="1" s="1"/>
  <c r="E873" i="1"/>
  <c r="E874" i="1"/>
  <c r="F874" i="1" s="1"/>
  <c r="G874" i="1" s="1"/>
  <c r="E875" i="1"/>
  <c r="E876" i="1"/>
  <c r="F876" i="1" s="1"/>
  <c r="G876" i="1" s="1"/>
  <c r="E877" i="1"/>
  <c r="F877" i="1" s="1"/>
  <c r="G877" i="1" s="1"/>
  <c r="E878" i="1"/>
  <c r="E879" i="1"/>
  <c r="E880" i="1"/>
  <c r="F880" i="1" s="1"/>
  <c r="G880" i="1" s="1"/>
  <c r="E881" i="1"/>
  <c r="E882" i="1"/>
  <c r="F882" i="1" s="1"/>
  <c r="G882" i="1" s="1"/>
  <c r="E883" i="1"/>
  <c r="E884" i="1"/>
  <c r="F884" i="1" s="1"/>
  <c r="G884" i="1" s="1"/>
  <c r="E885" i="1"/>
  <c r="F885" i="1" s="1"/>
  <c r="G885" i="1" s="1"/>
  <c r="E886" i="1"/>
  <c r="E887" i="1"/>
  <c r="E888" i="1"/>
  <c r="F888" i="1" s="1"/>
  <c r="G888" i="1" s="1"/>
  <c r="E889" i="1"/>
  <c r="E890" i="1"/>
  <c r="F890" i="1" s="1"/>
  <c r="G890" i="1" s="1"/>
  <c r="E891" i="1"/>
  <c r="E892" i="1"/>
  <c r="F892" i="1" s="1"/>
  <c r="G892" i="1" s="1"/>
  <c r="E893" i="1"/>
  <c r="F893" i="1" s="1"/>
  <c r="G893" i="1" s="1"/>
  <c r="E894" i="1"/>
  <c r="E895" i="1"/>
  <c r="E896" i="1"/>
  <c r="F896" i="1" s="1"/>
  <c r="G896" i="1" s="1"/>
  <c r="E897" i="1"/>
  <c r="E898" i="1"/>
  <c r="F898" i="1" s="1"/>
  <c r="G898" i="1" s="1"/>
  <c r="E899" i="1"/>
  <c r="E900" i="1"/>
  <c r="F900" i="1" s="1"/>
  <c r="G900" i="1" s="1"/>
  <c r="E901" i="1"/>
  <c r="F901" i="1" s="1"/>
  <c r="G901" i="1" s="1"/>
  <c r="E902" i="1"/>
  <c r="E903" i="1"/>
  <c r="E904" i="1"/>
  <c r="F904" i="1" s="1"/>
  <c r="G904" i="1" s="1"/>
  <c r="E905" i="1"/>
  <c r="E906" i="1"/>
  <c r="F906" i="1" s="1"/>
  <c r="G906" i="1" s="1"/>
  <c r="E907" i="1"/>
  <c r="E908" i="1"/>
  <c r="F908" i="1" s="1"/>
  <c r="G908" i="1" s="1"/>
  <c r="E909" i="1"/>
  <c r="F909" i="1" s="1"/>
  <c r="G909" i="1" s="1"/>
  <c r="E910" i="1"/>
  <c r="E911" i="1"/>
  <c r="E912" i="1"/>
  <c r="F912" i="1" s="1"/>
  <c r="G912" i="1" s="1"/>
  <c r="E913" i="1"/>
  <c r="E914" i="1"/>
  <c r="F914" i="1" s="1"/>
  <c r="G914" i="1" s="1"/>
  <c r="E915" i="1"/>
  <c r="E916" i="1"/>
  <c r="F916" i="1" s="1"/>
  <c r="G916" i="1" s="1"/>
  <c r="E917" i="1"/>
  <c r="F917" i="1" s="1"/>
  <c r="G917" i="1" s="1"/>
  <c r="E918" i="1"/>
  <c r="E919" i="1"/>
  <c r="E920" i="1"/>
  <c r="F920" i="1" s="1"/>
  <c r="G920" i="1" s="1"/>
  <c r="E921" i="1"/>
  <c r="E922" i="1"/>
  <c r="F922" i="1" s="1"/>
  <c r="G922" i="1" s="1"/>
  <c r="E923" i="1"/>
  <c r="E924" i="1"/>
  <c r="F924" i="1" s="1"/>
  <c r="G924" i="1" s="1"/>
  <c r="E925" i="1"/>
  <c r="F925" i="1" s="1"/>
  <c r="G925" i="1" s="1"/>
  <c r="E926" i="1"/>
  <c r="E927" i="1"/>
  <c r="E928" i="1"/>
  <c r="F928" i="1" s="1"/>
  <c r="G928" i="1" s="1"/>
  <c r="E929" i="1"/>
  <c r="E930" i="1"/>
  <c r="F930" i="1" s="1"/>
  <c r="G930" i="1" s="1"/>
  <c r="E931" i="1"/>
  <c r="E932" i="1"/>
  <c r="F932" i="1" s="1"/>
  <c r="G932" i="1" s="1"/>
  <c r="E933" i="1"/>
  <c r="F933" i="1" s="1"/>
  <c r="G933" i="1" s="1"/>
  <c r="E934" i="1"/>
  <c r="E935" i="1"/>
  <c r="E936" i="1"/>
  <c r="F936" i="1" s="1"/>
  <c r="G936" i="1" s="1"/>
  <c r="E937" i="1"/>
  <c r="E938" i="1"/>
  <c r="F938" i="1" s="1"/>
  <c r="G938" i="1" s="1"/>
  <c r="E939" i="1"/>
  <c r="E940" i="1"/>
  <c r="F940" i="1" s="1"/>
  <c r="G940" i="1" s="1"/>
  <c r="E941" i="1"/>
  <c r="F941" i="1" s="1"/>
  <c r="G941" i="1" s="1"/>
  <c r="E942" i="1"/>
  <c r="E943" i="1"/>
  <c r="E944" i="1"/>
  <c r="F944" i="1" s="1"/>
  <c r="G944" i="1" s="1"/>
  <c r="E945" i="1"/>
  <c r="E946" i="1"/>
  <c r="F946" i="1" s="1"/>
  <c r="G946" i="1" s="1"/>
  <c r="E947" i="1"/>
  <c r="E948" i="1"/>
  <c r="F948" i="1" s="1"/>
  <c r="G948" i="1" s="1"/>
  <c r="E949" i="1"/>
  <c r="F949" i="1" s="1"/>
  <c r="G949" i="1" s="1"/>
  <c r="E950" i="1"/>
  <c r="E951" i="1"/>
  <c r="E952" i="1"/>
  <c r="F952" i="1" s="1"/>
  <c r="G952" i="1" s="1"/>
  <c r="E953" i="1"/>
  <c r="E954" i="1"/>
  <c r="F954" i="1" s="1"/>
  <c r="G954" i="1" s="1"/>
  <c r="E955" i="1"/>
  <c r="E956" i="1"/>
  <c r="E957" i="1"/>
  <c r="F957" i="1" s="1"/>
  <c r="G957" i="1" s="1"/>
  <c r="E958" i="1"/>
  <c r="E959" i="1"/>
  <c r="E960" i="1"/>
  <c r="F960" i="1" s="1"/>
  <c r="G960" i="1" s="1"/>
  <c r="E961" i="1"/>
  <c r="E962" i="1"/>
  <c r="F962" i="1" s="1"/>
  <c r="G962" i="1" s="1"/>
  <c r="E963" i="1"/>
  <c r="E964" i="1"/>
  <c r="E965" i="1"/>
  <c r="F965" i="1" s="1"/>
  <c r="G965" i="1" s="1"/>
  <c r="E966" i="1"/>
  <c r="E967" i="1"/>
  <c r="E968" i="1"/>
  <c r="F968" i="1" s="1"/>
  <c r="G968" i="1" s="1"/>
  <c r="E969" i="1"/>
  <c r="E970" i="1"/>
  <c r="F970" i="1" s="1"/>
  <c r="G970" i="1" s="1"/>
  <c r="E971" i="1"/>
  <c r="E972" i="1"/>
  <c r="E973" i="1"/>
  <c r="F973" i="1" s="1"/>
  <c r="G973" i="1" s="1"/>
  <c r="E974" i="1"/>
  <c r="E975" i="1"/>
  <c r="E976" i="1"/>
  <c r="F976" i="1" s="1"/>
  <c r="G976" i="1" s="1"/>
  <c r="E977" i="1"/>
  <c r="E978" i="1"/>
  <c r="F978" i="1" s="1"/>
  <c r="G978" i="1" s="1"/>
  <c r="E979" i="1"/>
  <c r="E980" i="1"/>
  <c r="E981" i="1"/>
  <c r="F981" i="1" s="1"/>
  <c r="G981" i="1" s="1"/>
  <c r="E982" i="1"/>
  <c r="E983" i="1"/>
  <c r="E984" i="1"/>
  <c r="F984" i="1" s="1"/>
  <c r="G984" i="1" s="1"/>
  <c r="E985" i="1"/>
  <c r="E986" i="1"/>
  <c r="F986" i="1" s="1"/>
  <c r="G986" i="1" s="1"/>
  <c r="E987" i="1"/>
  <c r="E988" i="1"/>
  <c r="E989" i="1"/>
  <c r="F989" i="1" s="1"/>
  <c r="G989" i="1" s="1"/>
  <c r="E990" i="1"/>
  <c r="E991" i="1"/>
  <c r="E992" i="1"/>
  <c r="F992" i="1" s="1"/>
  <c r="G992" i="1" s="1"/>
  <c r="E993" i="1"/>
  <c r="E994" i="1"/>
  <c r="F994" i="1" s="1"/>
  <c r="G994" i="1" s="1"/>
  <c r="E995" i="1"/>
  <c r="E996" i="1"/>
  <c r="E997" i="1"/>
  <c r="F997" i="1" s="1"/>
  <c r="G997" i="1" s="1"/>
  <c r="E998" i="1"/>
  <c r="E999" i="1"/>
  <c r="E1000" i="1"/>
  <c r="F1000" i="1" s="1"/>
  <c r="G1000" i="1" s="1"/>
  <c r="E1001" i="1"/>
  <c r="E1002" i="1"/>
  <c r="F1002" i="1" s="1"/>
  <c r="G1002" i="1" s="1"/>
  <c r="E1003" i="1"/>
  <c r="E1004" i="1"/>
  <c r="E1005" i="1"/>
  <c r="F1005" i="1" s="1"/>
  <c r="G1005" i="1" s="1"/>
  <c r="E1006" i="1"/>
  <c r="E1007" i="1"/>
  <c r="E1008" i="1"/>
  <c r="F1008" i="1" s="1"/>
  <c r="G1008" i="1" s="1"/>
  <c r="E1009" i="1"/>
  <c r="E1010" i="1"/>
  <c r="F1010" i="1" s="1"/>
  <c r="G1010" i="1" s="1"/>
  <c r="E1011" i="1"/>
  <c r="E1012" i="1"/>
  <c r="E1013" i="1"/>
  <c r="F1013" i="1" s="1"/>
  <c r="G1013" i="1" s="1"/>
  <c r="E1014" i="1"/>
  <c r="E1015" i="1"/>
  <c r="E1016" i="1"/>
  <c r="F1016" i="1" s="1"/>
  <c r="G1016" i="1" s="1"/>
  <c r="E1017" i="1"/>
  <c r="E1018" i="1"/>
  <c r="F1018" i="1" s="1"/>
  <c r="G1018" i="1" s="1"/>
  <c r="E1019" i="1"/>
  <c r="E1020" i="1"/>
  <c r="E1021" i="1"/>
  <c r="F1021" i="1" s="1"/>
  <c r="G1021" i="1" s="1"/>
  <c r="E1022" i="1"/>
  <c r="E1023" i="1"/>
  <c r="E1024" i="1"/>
  <c r="F1024" i="1" s="1"/>
  <c r="G1024" i="1" s="1"/>
  <c r="E1025" i="1"/>
  <c r="E1026" i="1"/>
  <c r="F1026" i="1" s="1"/>
  <c r="G1026" i="1" s="1"/>
  <c r="E1027" i="1"/>
  <c r="E1028" i="1"/>
  <c r="E1029" i="1"/>
  <c r="F1029" i="1" s="1"/>
  <c r="G1029" i="1" s="1"/>
  <c r="E1030" i="1"/>
  <c r="E1031" i="1"/>
  <c r="E1032" i="1"/>
  <c r="F1032" i="1" s="1"/>
  <c r="G1032" i="1" s="1"/>
  <c r="E1033" i="1"/>
  <c r="E1034" i="1"/>
  <c r="F1034" i="1" s="1"/>
  <c r="G1034" i="1" s="1"/>
  <c r="E1035" i="1"/>
  <c r="E1036" i="1"/>
  <c r="E1037" i="1"/>
  <c r="F1037" i="1" s="1"/>
  <c r="G1037" i="1" s="1"/>
  <c r="E1038" i="1"/>
  <c r="E1039" i="1"/>
  <c r="E1040" i="1"/>
  <c r="F1040" i="1" s="1"/>
  <c r="G1040" i="1" s="1"/>
  <c r="E1041" i="1"/>
  <c r="E1042" i="1"/>
  <c r="F1042" i="1" s="1"/>
  <c r="G1042" i="1" s="1"/>
  <c r="E1043" i="1"/>
  <c r="E1044" i="1"/>
  <c r="E1045" i="1"/>
  <c r="F1045" i="1" s="1"/>
  <c r="G1045" i="1" s="1"/>
  <c r="E1046" i="1"/>
  <c r="E1047" i="1"/>
  <c r="E1048" i="1"/>
  <c r="F1048" i="1" s="1"/>
  <c r="G1048" i="1" s="1"/>
  <c r="E1049" i="1"/>
  <c r="E1050" i="1"/>
  <c r="F1050" i="1" s="1"/>
  <c r="G1050" i="1" s="1"/>
  <c r="E1051" i="1"/>
  <c r="E1052" i="1"/>
  <c r="E1053" i="1"/>
  <c r="F1053" i="1" s="1"/>
  <c r="G1053" i="1" s="1"/>
  <c r="E1054" i="1"/>
  <c r="E1055" i="1"/>
  <c r="E1056" i="1"/>
  <c r="F1056" i="1" s="1"/>
  <c r="G1056" i="1" s="1"/>
  <c r="E1057" i="1"/>
  <c r="E1058" i="1"/>
  <c r="F1058" i="1" s="1"/>
  <c r="G1058" i="1" s="1"/>
  <c r="E1059" i="1"/>
  <c r="E1060" i="1"/>
  <c r="E1061" i="1"/>
  <c r="F1061" i="1" s="1"/>
  <c r="G1061" i="1" s="1"/>
  <c r="E1062" i="1"/>
  <c r="E1063" i="1"/>
  <c r="E1064" i="1"/>
  <c r="F1064" i="1" s="1"/>
  <c r="G1064" i="1" s="1"/>
  <c r="E1065" i="1"/>
  <c r="E1066" i="1"/>
  <c r="F1066" i="1" s="1"/>
  <c r="G1066" i="1" s="1"/>
  <c r="E1067" i="1"/>
  <c r="E1068" i="1"/>
  <c r="E1069" i="1"/>
  <c r="F1069" i="1" s="1"/>
  <c r="G1069" i="1" s="1"/>
  <c r="E1070" i="1"/>
  <c r="E1071" i="1"/>
  <c r="E1072" i="1"/>
  <c r="F1072" i="1" s="1"/>
  <c r="G1072" i="1" s="1"/>
  <c r="E1073" i="1"/>
  <c r="E1074" i="1"/>
  <c r="F1074" i="1" s="1"/>
  <c r="G1074" i="1" s="1"/>
  <c r="E1075" i="1"/>
  <c r="E1076" i="1"/>
  <c r="E1077" i="1"/>
  <c r="F1077" i="1" s="1"/>
  <c r="G1077" i="1" s="1"/>
  <c r="E1078" i="1"/>
  <c r="E1079" i="1"/>
  <c r="E1080" i="1"/>
  <c r="F1080" i="1" s="1"/>
  <c r="G1080" i="1" s="1"/>
  <c r="E1081" i="1"/>
  <c r="E1082" i="1"/>
  <c r="F1082" i="1" s="1"/>
  <c r="G1082" i="1" s="1"/>
  <c r="E1083" i="1"/>
  <c r="E1084" i="1"/>
  <c r="E1085" i="1"/>
  <c r="F1085" i="1" s="1"/>
  <c r="G1085" i="1" s="1"/>
  <c r="E1086" i="1"/>
  <c r="E1087" i="1"/>
  <c r="E1088" i="1"/>
  <c r="F1088" i="1" s="1"/>
  <c r="G1088" i="1" s="1"/>
  <c r="E1089" i="1"/>
  <c r="E1090" i="1"/>
  <c r="F1090" i="1" s="1"/>
  <c r="G1090" i="1" s="1"/>
  <c r="E1091" i="1"/>
  <c r="E1092" i="1"/>
  <c r="E1093" i="1"/>
  <c r="F1093" i="1" s="1"/>
  <c r="G1093" i="1" s="1"/>
  <c r="E1094" i="1"/>
  <c r="E1095" i="1"/>
  <c r="E1096" i="1"/>
  <c r="F1096" i="1" s="1"/>
  <c r="G1096" i="1" s="1"/>
  <c r="E1097" i="1"/>
  <c r="E1098" i="1"/>
  <c r="F1098" i="1" s="1"/>
  <c r="G1098" i="1" s="1"/>
  <c r="E1099" i="1"/>
  <c r="E1100" i="1"/>
  <c r="E1101" i="1"/>
  <c r="F1101" i="1" s="1"/>
  <c r="G1101" i="1" s="1"/>
  <c r="E1102" i="1"/>
  <c r="E1103" i="1"/>
  <c r="E1104" i="1"/>
  <c r="F1104" i="1" s="1"/>
  <c r="G1104" i="1" s="1"/>
  <c r="E1105" i="1"/>
  <c r="E1106" i="1"/>
  <c r="F1106" i="1" s="1"/>
  <c r="G1106" i="1" s="1"/>
  <c r="E1107" i="1"/>
  <c r="E1108" i="1"/>
  <c r="E1109" i="1"/>
  <c r="F1109" i="1" s="1"/>
  <c r="G1109" i="1" s="1"/>
  <c r="E1110" i="1"/>
  <c r="E1111" i="1"/>
  <c r="E1112" i="1"/>
  <c r="F1112" i="1" s="1"/>
  <c r="G1112" i="1" s="1"/>
  <c r="E1113" i="1"/>
  <c r="E1114" i="1"/>
  <c r="F1114" i="1" s="1"/>
  <c r="G1114" i="1" s="1"/>
  <c r="E1115" i="1"/>
  <c r="E1116" i="1"/>
  <c r="E1117" i="1"/>
  <c r="F1117" i="1" s="1"/>
  <c r="G1117" i="1" s="1"/>
  <c r="E1118" i="1"/>
  <c r="E1119" i="1"/>
  <c r="E1120" i="1"/>
  <c r="F1120" i="1" s="1"/>
  <c r="G1120" i="1" s="1"/>
  <c r="E1121" i="1"/>
  <c r="E1122" i="1"/>
  <c r="F1122" i="1" s="1"/>
  <c r="G1122" i="1" s="1"/>
  <c r="E1123" i="1"/>
  <c r="E1124" i="1"/>
  <c r="E1125" i="1"/>
  <c r="F1125" i="1" s="1"/>
  <c r="G1125" i="1" s="1"/>
  <c r="E1126" i="1"/>
  <c r="E1127" i="1"/>
  <c r="E1128" i="1"/>
  <c r="F1128" i="1" s="1"/>
  <c r="G1128" i="1" s="1"/>
  <c r="E1129" i="1"/>
  <c r="E1130" i="1"/>
  <c r="F1130" i="1" s="1"/>
  <c r="G1130" i="1" s="1"/>
  <c r="E1131" i="1"/>
  <c r="E1132" i="1"/>
  <c r="E1133" i="1"/>
  <c r="F1133" i="1" s="1"/>
  <c r="G1133" i="1" s="1"/>
  <c r="E1134" i="1"/>
  <c r="E1135" i="1"/>
  <c r="E1136" i="1"/>
  <c r="F1136" i="1" s="1"/>
  <c r="G1136" i="1" s="1"/>
  <c r="E1137" i="1"/>
  <c r="E1138" i="1"/>
  <c r="F1138" i="1" s="1"/>
  <c r="G1138" i="1" s="1"/>
  <c r="E1139" i="1"/>
  <c r="E1140" i="1"/>
  <c r="E1141" i="1"/>
  <c r="F1141" i="1" s="1"/>
  <c r="G1141" i="1" s="1"/>
  <c r="E1142" i="1"/>
  <c r="E1143" i="1"/>
  <c r="E1144" i="1"/>
  <c r="F1144" i="1" s="1"/>
  <c r="G1144" i="1" s="1"/>
  <c r="E1145" i="1"/>
  <c r="E1146" i="1"/>
  <c r="F1146" i="1" s="1"/>
  <c r="G1146" i="1" s="1"/>
  <c r="E1147" i="1"/>
  <c r="E1148" i="1"/>
  <c r="E1149" i="1"/>
  <c r="F1149" i="1" s="1"/>
  <c r="G1149" i="1" s="1"/>
  <c r="E1150" i="1"/>
  <c r="E1151" i="1"/>
  <c r="E1152" i="1"/>
  <c r="F1152" i="1" s="1"/>
  <c r="G1152" i="1" s="1"/>
  <c r="E1153" i="1"/>
  <c r="E1154" i="1"/>
  <c r="F1154" i="1" s="1"/>
  <c r="G1154" i="1" s="1"/>
  <c r="E1155" i="1"/>
  <c r="E1156" i="1"/>
  <c r="E1157" i="1"/>
  <c r="F1157" i="1" s="1"/>
  <c r="G1157" i="1" s="1"/>
  <c r="E1158" i="1"/>
  <c r="E1159" i="1"/>
  <c r="E1160" i="1"/>
  <c r="F1160" i="1" s="1"/>
  <c r="G1160" i="1" s="1"/>
  <c r="E1161" i="1"/>
  <c r="E1162" i="1"/>
  <c r="F1162" i="1" s="1"/>
  <c r="G1162" i="1" s="1"/>
  <c r="E1163" i="1"/>
  <c r="E1164" i="1"/>
  <c r="E1165" i="1"/>
  <c r="F1165" i="1" s="1"/>
  <c r="G1165" i="1" s="1"/>
  <c r="E1166" i="1"/>
  <c r="E1167" i="1"/>
  <c r="E1168" i="1"/>
  <c r="F1168" i="1" s="1"/>
  <c r="G1168" i="1" s="1"/>
  <c r="E1169" i="1"/>
  <c r="E1170" i="1"/>
  <c r="F1170" i="1" s="1"/>
  <c r="G1170" i="1" s="1"/>
  <c r="E1171" i="1"/>
  <c r="E1172" i="1"/>
  <c r="E1173" i="1"/>
  <c r="F1173" i="1" s="1"/>
  <c r="G1173" i="1" s="1"/>
  <c r="E1174" i="1"/>
  <c r="E1175" i="1"/>
  <c r="E1176" i="1"/>
  <c r="F1176" i="1" s="1"/>
  <c r="G1176" i="1" s="1"/>
  <c r="E1177" i="1"/>
  <c r="E1178" i="1"/>
  <c r="F1178" i="1" s="1"/>
  <c r="G1178" i="1" s="1"/>
  <c r="E1179" i="1"/>
  <c r="E1180" i="1"/>
  <c r="E1181" i="1"/>
  <c r="F1181" i="1" s="1"/>
  <c r="G1181" i="1" s="1"/>
  <c r="E1182" i="1"/>
  <c r="E1183" i="1"/>
  <c r="E1184" i="1"/>
  <c r="F1184" i="1" s="1"/>
  <c r="G1184" i="1" s="1"/>
  <c r="E1185" i="1"/>
  <c r="E1186" i="1"/>
  <c r="F1186" i="1" s="1"/>
  <c r="G1186" i="1" s="1"/>
  <c r="E1187" i="1"/>
  <c r="E1188" i="1"/>
  <c r="E1189" i="1"/>
  <c r="F1189" i="1" s="1"/>
  <c r="G1189" i="1" s="1"/>
  <c r="E1190" i="1"/>
  <c r="E1191" i="1"/>
  <c r="E1192" i="1"/>
  <c r="F1192" i="1" s="1"/>
  <c r="G1192" i="1" s="1"/>
  <c r="E1193" i="1"/>
  <c r="E1194" i="1"/>
  <c r="F1194" i="1" s="1"/>
  <c r="G1194" i="1" s="1"/>
  <c r="E1195" i="1"/>
  <c r="E1196" i="1"/>
  <c r="E1197" i="1"/>
  <c r="F1197" i="1" s="1"/>
  <c r="G1197" i="1" s="1"/>
  <c r="E1198" i="1"/>
  <c r="E1199" i="1"/>
  <c r="E1200" i="1"/>
  <c r="F1200" i="1" s="1"/>
  <c r="G1200" i="1" s="1"/>
  <c r="E1201" i="1"/>
  <c r="E1202" i="1"/>
  <c r="F1202" i="1" s="1"/>
  <c r="G1202" i="1" s="1"/>
  <c r="E1203" i="1"/>
  <c r="E1204" i="1"/>
  <c r="E1205" i="1"/>
  <c r="F1205" i="1" s="1"/>
  <c r="G1205" i="1" s="1"/>
  <c r="E1206" i="1"/>
  <c r="E1207" i="1"/>
  <c r="E1208" i="1"/>
  <c r="F1208" i="1" s="1"/>
  <c r="G1208" i="1" s="1"/>
  <c r="E1209" i="1"/>
  <c r="E1210" i="1"/>
  <c r="F1210" i="1" s="1"/>
  <c r="G1210" i="1" s="1"/>
  <c r="E1211" i="1"/>
  <c r="E1212" i="1"/>
  <c r="E1213" i="1"/>
  <c r="F1213" i="1" s="1"/>
  <c r="G1213" i="1" s="1"/>
  <c r="E1214" i="1"/>
  <c r="E1215" i="1"/>
  <c r="E1216" i="1"/>
  <c r="F1216" i="1" s="1"/>
  <c r="G1216" i="1" s="1"/>
  <c r="E1217" i="1"/>
  <c r="E1218" i="1"/>
  <c r="F1218" i="1" s="1"/>
  <c r="G1218" i="1" s="1"/>
  <c r="E1219" i="1"/>
  <c r="E1220" i="1"/>
  <c r="E1221" i="1"/>
  <c r="F1221" i="1" s="1"/>
  <c r="G1221" i="1" s="1"/>
  <c r="E1222" i="1"/>
  <c r="E1223" i="1"/>
  <c r="E1224" i="1"/>
  <c r="F1224" i="1" s="1"/>
  <c r="G1224" i="1" s="1"/>
  <c r="E1225" i="1"/>
  <c r="E1226" i="1"/>
  <c r="F1226" i="1" s="1"/>
  <c r="G1226" i="1" s="1"/>
  <c r="E1227" i="1"/>
  <c r="E1228" i="1"/>
  <c r="E1229" i="1"/>
  <c r="F1229" i="1" s="1"/>
  <c r="G1229" i="1" s="1"/>
  <c r="E1230" i="1"/>
  <c r="E1231" i="1"/>
  <c r="E1232" i="1"/>
  <c r="F1232" i="1" s="1"/>
  <c r="G1232" i="1" s="1"/>
  <c r="E1233" i="1"/>
  <c r="E1234" i="1"/>
  <c r="F1234" i="1" s="1"/>
  <c r="G1234" i="1" s="1"/>
  <c r="E1235" i="1"/>
  <c r="E1236" i="1"/>
  <c r="E1237" i="1"/>
  <c r="F1237" i="1" s="1"/>
  <c r="G1237" i="1" s="1"/>
  <c r="E1238" i="1"/>
  <c r="E1239" i="1"/>
  <c r="E1240" i="1"/>
  <c r="F1240" i="1" s="1"/>
  <c r="G1240" i="1" s="1"/>
  <c r="E1241" i="1"/>
  <c r="E1242" i="1"/>
  <c r="F1242" i="1" s="1"/>
  <c r="G1242" i="1" s="1"/>
  <c r="E1243" i="1"/>
  <c r="E1244" i="1"/>
  <c r="E1245" i="1"/>
  <c r="F1245" i="1" s="1"/>
  <c r="G1245" i="1" s="1"/>
  <c r="E1246" i="1"/>
  <c r="E1247" i="1"/>
  <c r="E1248" i="1"/>
  <c r="F1248" i="1" s="1"/>
  <c r="G1248" i="1" s="1"/>
  <c r="E1249" i="1"/>
  <c r="E1250" i="1"/>
  <c r="F1250" i="1" s="1"/>
  <c r="G1250" i="1" s="1"/>
  <c r="E1251" i="1"/>
  <c r="E1252" i="1"/>
  <c r="E1253" i="1"/>
  <c r="F1253" i="1" s="1"/>
  <c r="G1253" i="1" s="1"/>
  <c r="E1254" i="1"/>
  <c r="E1255" i="1"/>
  <c r="E1256" i="1"/>
  <c r="F1256" i="1" s="1"/>
  <c r="G1256" i="1" s="1"/>
  <c r="E1257" i="1"/>
  <c r="E1258" i="1"/>
  <c r="F1258" i="1" s="1"/>
  <c r="G1258" i="1" s="1"/>
  <c r="E1259" i="1"/>
  <c r="E1260" i="1"/>
  <c r="E1261" i="1"/>
  <c r="F1261" i="1" s="1"/>
  <c r="G1261" i="1" s="1"/>
  <c r="E1262" i="1"/>
  <c r="E1263" i="1"/>
  <c r="E1264" i="1"/>
  <c r="F1264" i="1" s="1"/>
  <c r="G1264" i="1" s="1"/>
  <c r="E1265" i="1"/>
  <c r="E1266" i="1"/>
  <c r="F1266" i="1" s="1"/>
  <c r="G1266" i="1" s="1"/>
  <c r="E1267" i="1"/>
  <c r="E1268" i="1"/>
  <c r="E1269" i="1"/>
  <c r="F1269" i="1" s="1"/>
  <c r="G1269" i="1" s="1"/>
  <c r="E1270" i="1"/>
  <c r="E1271" i="1"/>
  <c r="E1272" i="1"/>
  <c r="F1272" i="1" s="1"/>
  <c r="G1272" i="1" s="1"/>
  <c r="E1273" i="1"/>
  <c r="E1274" i="1"/>
  <c r="F1274" i="1" s="1"/>
  <c r="G1274" i="1" s="1"/>
  <c r="E1275" i="1"/>
  <c r="E1276" i="1"/>
  <c r="E1277" i="1"/>
  <c r="F1277" i="1" s="1"/>
  <c r="G1277" i="1" s="1"/>
  <c r="E1278" i="1"/>
  <c r="E1279" i="1"/>
  <c r="E1280" i="1"/>
  <c r="F1280" i="1" s="1"/>
  <c r="G1280" i="1" s="1"/>
  <c r="E1281" i="1"/>
  <c r="E1282" i="1"/>
  <c r="F1282" i="1" s="1"/>
  <c r="G1282" i="1" s="1"/>
  <c r="E1283" i="1"/>
  <c r="E1284" i="1"/>
  <c r="E1285" i="1"/>
  <c r="F1285" i="1" s="1"/>
  <c r="G1285" i="1" s="1"/>
  <c r="E1286" i="1"/>
  <c r="E1287" i="1"/>
  <c r="E1288" i="1"/>
  <c r="F1288" i="1" s="1"/>
  <c r="G1288" i="1" s="1"/>
  <c r="E1289" i="1"/>
  <c r="E1290" i="1"/>
  <c r="F1290" i="1" s="1"/>
  <c r="G1290" i="1" s="1"/>
  <c r="E1291" i="1"/>
  <c r="E1292" i="1"/>
  <c r="E1293" i="1"/>
  <c r="F1293" i="1" s="1"/>
  <c r="G1293" i="1" s="1"/>
  <c r="E1294" i="1"/>
  <c r="E1295" i="1"/>
  <c r="E1296" i="1"/>
  <c r="F1296" i="1" s="1"/>
  <c r="G1296" i="1" s="1"/>
  <c r="E1297" i="1"/>
  <c r="E1298" i="1"/>
  <c r="F1298" i="1" s="1"/>
  <c r="G1298" i="1" s="1"/>
  <c r="E1299" i="1"/>
  <c r="E1300" i="1"/>
  <c r="E1301" i="1"/>
  <c r="F1301" i="1" s="1"/>
  <c r="G1301" i="1" s="1"/>
  <c r="E1302" i="1"/>
  <c r="E1303" i="1"/>
  <c r="E5" i="1"/>
  <c r="F5" i="1" s="1"/>
  <c r="G5" i="1" s="1"/>
  <c r="A1" i="1"/>
  <c r="E871" i="8" l="1"/>
  <c r="F871" i="8" s="1"/>
  <c r="E877" i="8"/>
  <c r="F877" i="8" s="1"/>
  <c r="E883" i="8"/>
  <c r="F883" i="8" s="1"/>
  <c r="E903" i="8"/>
  <c r="F903" i="8" s="1"/>
  <c r="E909" i="8"/>
  <c r="F909" i="8" s="1"/>
  <c r="E846" i="8"/>
  <c r="F846" i="8" s="1"/>
  <c r="E959" i="8"/>
  <c r="F959" i="8" s="1"/>
  <c r="E1228" i="8"/>
  <c r="F1228" i="8" s="1"/>
  <c r="E964" i="8"/>
  <c r="F964" i="8" s="1"/>
  <c r="E970" i="8"/>
  <c r="F970" i="8" s="1"/>
  <c r="E976" i="8"/>
  <c r="F976" i="8" s="1"/>
  <c r="E1122" i="8"/>
  <c r="F1122" i="8" s="1"/>
  <c r="E1244" i="8"/>
  <c r="F1244" i="8" s="1"/>
  <c r="E54" i="8"/>
  <c r="F54" i="8" s="1"/>
  <c r="E58" i="8"/>
  <c r="F58" i="8" s="1"/>
  <c r="E62" i="8"/>
  <c r="F62" i="8" s="1"/>
  <c r="E66" i="8"/>
  <c r="F66" i="8" s="1"/>
  <c r="E70" i="8"/>
  <c r="F70" i="8" s="1"/>
  <c r="E74" i="8"/>
  <c r="F74" i="8" s="1"/>
  <c r="E1300" i="8"/>
  <c r="F1300" i="8" s="1"/>
  <c r="E78" i="8"/>
  <c r="F78" i="8" s="1"/>
  <c r="E8" i="8"/>
  <c r="F8" i="8" s="1"/>
  <c r="E24" i="8"/>
  <c r="F24" i="8" s="1"/>
  <c r="E40" i="8"/>
  <c r="F40" i="8" s="1"/>
  <c r="E125" i="8"/>
  <c r="F125" i="8" s="1"/>
  <c r="E141" i="8"/>
  <c r="F141" i="8" s="1"/>
  <c r="E157" i="8"/>
  <c r="F157" i="8" s="1"/>
  <c r="E173" i="8"/>
  <c r="F173" i="8" s="1"/>
  <c r="E189" i="8"/>
  <c r="F189" i="8" s="1"/>
  <c r="E803" i="8"/>
  <c r="F803" i="8" s="1"/>
  <c r="E824" i="8"/>
  <c r="F824" i="8" s="1"/>
  <c r="E839" i="8"/>
  <c r="F839" i="8" s="1"/>
  <c r="E247" i="8"/>
  <c r="F247" i="8" s="1"/>
  <c r="E263" i="8"/>
  <c r="F263" i="8" s="1"/>
  <c r="E279" i="8"/>
  <c r="F279" i="8" s="1"/>
  <c r="E295" i="8"/>
  <c r="F295" i="8" s="1"/>
  <c r="E108" i="8"/>
  <c r="F108" i="8" s="1"/>
  <c r="E306" i="8"/>
  <c r="F306" i="8" s="1"/>
  <c r="E322" i="8"/>
  <c r="F322" i="8" s="1"/>
  <c r="E338" i="8"/>
  <c r="F338" i="8" s="1"/>
  <c r="E354" i="8"/>
  <c r="F354" i="8" s="1"/>
  <c r="E378" i="8"/>
  <c r="F378" i="8" s="1"/>
  <c r="E117" i="8"/>
  <c r="F117" i="8" s="1"/>
  <c r="E133" i="8"/>
  <c r="F133" i="8" s="1"/>
  <c r="E149" i="8"/>
  <c r="F149" i="8" s="1"/>
  <c r="E165" i="8"/>
  <c r="F165" i="8" s="1"/>
  <c r="E181" i="8"/>
  <c r="F181" i="8" s="1"/>
  <c r="E197" i="8"/>
  <c r="F197" i="8" s="1"/>
  <c r="E314" i="8"/>
  <c r="F314" i="8" s="1"/>
  <c r="E362" i="8"/>
  <c r="F362" i="8" s="1"/>
  <c r="E368" i="8"/>
  <c r="F368" i="8" s="1"/>
  <c r="E436" i="8"/>
  <c r="F436" i="8" s="1"/>
  <c r="E867" i="8"/>
  <c r="F867" i="8" s="1"/>
  <c r="E887" i="8"/>
  <c r="F887" i="8" s="1"/>
  <c r="E893" i="8"/>
  <c r="F893" i="8" s="1"/>
  <c r="E899" i="8"/>
  <c r="F899" i="8" s="1"/>
  <c r="E931" i="8"/>
  <c r="F931" i="8" s="1"/>
  <c r="E987" i="8"/>
  <c r="F987" i="8" s="1"/>
  <c r="E1011" i="8"/>
  <c r="F1011" i="8" s="1"/>
  <c r="E1148" i="8"/>
  <c r="F1148" i="8" s="1"/>
  <c r="E1161" i="8"/>
  <c r="F1161" i="8" s="1"/>
  <c r="E1169" i="8"/>
  <c r="F1169" i="8" s="1"/>
  <c r="E1172" i="8"/>
  <c r="F1172" i="8" s="1"/>
  <c r="E1188" i="8"/>
  <c r="F1188" i="8" s="1"/>
  <c r="E1200" i="8"/>
  <c r="F1200" i="8" s="1"/>
  <c r="E1208" i="8"/>
  <c r="F1208" i="8" s="1"/>
  <c r="E1252" i="8"/>
  <c r="F1252" i="8" s="1"/>
  <c r="E1268" i="8"/>
  <c r="F1268" i="8" s="1"/>
  <c r="E1272" i="8"/>
  <c r="F1272" i="8" s="1"/>
  <c r="E112" i="8"/>
  <c r="F112" i="8" s="1"/>
  <c r="E128" i="8"/>
  <c r="F128" i="8" s="1"/>
  <c r="E144" i="8"/>
  <c r="F144" i="8" s="1"/>
  <c r="E160" i="8"/>
  <c r="F160" i="8" s="1"/>
  <c r="E176" i="8"/>
  <c r="F176" i="8" s="1"/>
  <c r="E192" i="8"/>
  <c r="F192" i="8" s="1"/>
  <c r="E1301" i="8"/>
  <c r="F1301" i="8" s="1"/>
  <c r="E205" i="8"/>
  <c r="F205" i="8" s="1"/>
  <c r="E221" i="8"/>
  <c r="F221" i="8" s="1"/>
  <c r="E237" i="8"/>
  <c r="F237" i="8" s="1"/>
  <c r="E253" i="8"/>
  <c r="F253" i="8" s="1"/>
  <c r="E269" i="8"/>
  <c r="F269" i="8" s="1"/>
  <c r="E285" i="8"/>
  <c r="F285" i="8" s="1"/>
  <c r="E301" i="8"/>
  <c r="F301" i="8" s="1"/>
  <c r="E317" i="8"/>
  <c r="F317" i="8" s="1"/>
  <c r="E333" i="8"/>
  <c r="F333" i="8" s="1"/>
  <c r="E349" i="8"/>
  <c r="F349" i="8" s="1"/>
  <c r="E365" i="8"/>
  <c r="F365" i="8" s="1"/>
  <c r="E385" i="8"/>
  <c r="F385" i="8" s="1"/>
  <c r="E1171" i="8"/>
  <c r="F1171" i="8" s="1"/>
  <c r="E1179" i="8"/>
  <c r="F1179" i="8" s="1"/>
  <c r="E1187" i="8"/>
  <c r="F1187" i="8" s="1"/>
  <c r="E1195" i="8"/>
  <c r="F1195" i="8" s="1"/>
  <c r="E80" i="8"/>
  <c r="F80" i="8" s="1"/>
  <c r="E84" i="8"/>
  <c r="F84" i="8" s="1"/>
  <c r="E88" i="8"/>
  <c r="F88" i="8" s="1"/>
  <c r="E92" i="8"/>
  <c r="F92" i="8" s="1"/>
  <c r="E96" i="8"/>
  <c r="F96" i="8" s="1"/>
  <c r="E100" i="8"/>
  <c r="F100" i="8" s="1"/>
  <c r="E104" i="8"/>
  <c r="F104" i="8" s="1"/>
  <c r="E109" i="8"/>
  <c r="F109" i="8" s="1"/>
  <c r="E136" i="8"/>
  <c r="F136" i="8" s="1"/>
  <c r="E259" i="8"/>
  <c r="F259" i="8" s="1"/>
  <c r="E275" i="8"/>
  <c r="F275" i="8" s="1"/>
  <c r="E323" i="8"/>
  <c r="F323" i="8" s="1"/>
  <c r="E339" i="8"/>
  <c r="F339" i="8" s="1"/>
  <c r="E413" i="8"/>
  <c r="F413" i="8" s="1"/>
  <c r="E380" i="8"/>
  <c r="F380" i="8" s="1"/>
  <c r="E386" i="8"/>
  <c r="F386" i="8" s="1"/>
  <c r="E400" i="8"/>
  <c r="F400" i="8" s="1"/>
  <c r="E420" i="8"/>
  <c r="F420" i="8" s="1"/>
  <c r="E472" i="8"/>
  <c r="F472" i="8" s="1"/>
  <c r="E327" i="8"/>
  <c r="F327" i="8" s="1"/>
  <c r="E426" i="8"/>
  <c r="F426" i="8" s="1"/>
  <c r="E434" i="8"/>
  <c r="F434" i="8" s="1"/>
  <c r="E442" i="8"/>
  <c r="F442" i="8" s="1"/>
  <c r="E690" i="8"/>
  <c r="F690" i="8" s="1"/>
  <c r="E935" i="8"/>
  <c r="F935" i="8" s="1"/>
  <c r="E1246" i="8"/>
  <c r="F1246" i="8" s="1"/>
  <c r="E1299" i="8"/>
  <c r="F1299" i="8" s="1"/>
  <c r="E417" i="8"/>
  <c r="F417" i="8" s="1"/>
  <c r="E473" i="8"/>
  <c r="F473" i="8" s="1"/>
  <c r="E730" i="8"/>
  <c r="F730" i="8" s="1"/>
  <c r="E737" i="8"/>
  <c r="F737" i="8" s="1"/>
  <c r="E975" i="8"/>
  <c r="F975" i="8" s="1"/>
  <c r="E1222" i="8"/>
  <c r="F1222" i="8" s="1"/>
  <c r="E1232" i="8"/>
  <c r="F1232" i="8" s="1"/>
  <c r="E1248" i="8"/>
  <c r="F1248" i="8" s="1"/>
  <c r="E1253" i="8"/>
  <c r="F1253" i="8" s="1"/>
  <c r="E1264" i="8"/>
  <c r="F1264" i="8" s="1"/>
  <c r="E1296" i="8"/>
  <c r="F1296" i="8" s="1"/>
  <c r="E103" i="8"/>
  <c r="F103" i="8" s="1"/>
  <c r="E124" i="8"/>
  <c r="F124" i="8" s="1"/>
  <c r="E140" i="8"/>
  <c r="F140" i="8" s="1"/>
  <c r="E156" i="8"/>
  <c r="F156" i="8" s="1"/>
  <c r="E172" i="8"/>
  <c r="F172" i="8" s="1"/>
  <c r="E188" i="8"/>
  <c r="F188" i="8" s="1"/>
  <c r="E204" i="8"/>
  <c r="F204" i="8" s="1"/>
  <c r="E220" i="8"/>
  <c r="F220" i="8" s="1"/>
  <c r="E236" i="8"/>
  <c r="F236" i="8" s="1"/>
  <c r="E252" i="8"/>
  <c r="F252" i="8" s="1"/>
  <c r="E268" i="8"/>
  <c r="F268" i="8" s="1"/>
  <c r="E284" i="8"/>
  <c r="F284" i="8" s="1"/>
  <c r="E300" i="8"/>
  <c r="F300" i="8" s="1"/>
  <c r="E311" i="8"/>
  <c r="F311" i="8" s="1"/>
  <c r="E316" i="8"/>
  <c r="F316" i="8" s="1"/>
  <c r="E404" i="8"/>
  <c r="F404" i="8" s="1"/>
  <c r="E432" i="8"/>
  <c r="F432" i="8" s="1"/>
  <c r="E714" i="8"/>
  <c r="F714" i="8" s="1"/>
  <c r="E800" i="8"/>
  <c r="F800" i="8" s="1"/>
  <c r="E1227" i="8"/>
  <c r="F1227" i="8" s="1"/>
  <c r="E1238" i="8"/>
  <c r="F1238" i="8" s="1"/>
  <c r="E1243" i="8"/>
  <c r="F1243" i="8" s="1"/>
  <c r="E1270" i="8"/>
  <c r="F1270" i="8" s="1"/>
  <c r="E1275" i="8"/>
  <c r="F1275" i="8" s="1"/>
  <c r="E1286" i="8"/>
  <c r="F1286" i="8" s="1"/>
  <c r="E1302" i="8"/>
  <c r="F1302" i="8" s="1"/>
  <c r="E248" i="8"/>
  <c r="F248" i="8" s="1"/>
  <c r="E312" i="8"/>
  <c r="F312" i="8" s="1"/>
  <c r="E328" i="8"/>
  <c r="F328" i="8" s="1"/>
  <c r="E431" i="8"/>
  <c r="F431" i="8" s="1"/>
  <c r="E439" i="8"/>
  <c r="F439" i="8" s="1"/>
  <c r="E451" i="8"/>
  <c r="F451" i="8" s="1"/>
  <c r="E458" i="8"/>
  <c r="F458" i="8" s="1"/>
  <c r="E483" i="8"/>
  <c r="F483" i="8" s="1"/>
  <c r="E686" i="8"/>
  <c r="F686" i="8" s="1"/>
  <c r="E702" i="8"/>
  <c r="F702" i="8" s="1"/>
  <c r="E950" i="8"/>
  <c r="F950" i="8" s="1"/>
  <c r="E955" i="8"/>
  <c r="F955" i="8" s="1"/>
  <c r="E1120" i="8"/>
  <c r="F1120" i="8" s="1"/>
  <c r="E1126" i="8"/>
  <c r="F1126" i="8" s="1"/>
  <c r="E851" i="8"/>
  <c r="F851" i="8" s="1"/>
  <c r="E982" i="8"/>
  <c r="F982" i="8" s="1"/>
  <c r="E990" i="8"/>
  <c r="F990" i="8" s="1"/>
  <c r="E120" i="8"/>
  <c r="F120" i="8" s="1"/>
  <c r="E152" i="8"/>
  <c r="F152" i="8" s="1"/>
  <c r="E264" i="8"/>
  <c r="F264" i="8" s="1"/>
  <c r="E291" i="8"/>
  <c r="F291" i="8" s="1"/>
  <c r="E307" i="8"/>
  <c r="F307" i="8" s="1"/>
  <c r="E355" i="8"/>
  <c r="F355" i="8" s="1"/>
  <c r="E372" i="8"/>
  <c r="F372" i="8" s="1"/>
  <c r="E474" i="8"/>
  <c r="F474" i="8" s="1"/>
  <c r="E507" i="8"/>
  <c r="F507" i="8" s="1"/>
  <c r="E523" i="8"/>
  <c r="F523" i="8" s="1"/>
  <c r="E539" i="8"/>
  <c r="F539" i="8" s="1"/>
  <c r="E555" i="8"/>
  <c r="F555" i="8" s="1"/>
  <c r="E571" i="8"/>
  <c r="F571" i="8" s="1"/>
  <c r="E1203" i="8"/>
  <c r="F1203" i="8" s="1"/>
  <c r="E297" i="8"/>
  <c r="F297" i="8" s="1"/>
  <c r="E313" i="8"/>
  <c r="F313" i="8" s="1"/>
  <c r="E904" i="8"/>
  <c r="F904" i="8" s="1"/>
  <c r="E1058" i="8"/>
  <c r="F1058" i="8" s="1"/>
  <c r="E1068" i="8"/>
  <c r="F1068" i="8" s="1"/>
  <c r="E1078" i="8"/>
  <c r="F1078" i="8" s="1"/>
  <c r="E1084" i="8"/>
  <c r="F1084" i="8" s="1"/>
  <c r="E15" i="8"/>
  <c r="F15" i="8" s="1"/>
  <c r="E31" i="8"/>
  <c r="F31" i="8" s="1"/>
  <c r="E47" i="8"/>
  <c r="F47" i="8" s="1"/>
  <c r="E69" i="8"/>
  <c r="F69" i="8" s="1"/>
  <c r="E77" i="8"/>
  <c r="F77" i="8" s="1"/>
  <c r="E303" i="8"/>
  <c r="F303" i="8" s="1"/>
  <c r="E308" i="8"/>
  <c r="F308" i="8" s="1"/>
  <c r="E319" i="8"/>
  <c r="F319" i="8" s="1"/>
  <c r="E324" i="8"/>
  <c r="F324" i="8" s="1"/>
  <c r="E335" i="8"/>
  <c r="F335" i="8" s="1"/>
  <c r="E374" i="8"/>
  <c r="F374" i="8" s="1"/>
  <c r="E394" i="8"/>
  <c r="F394" i="8" s="1"/>
  <c r="E741" i="8"/>
  <c r="F741" i="8" s="1"/>
  <c r="E759" i="8"/>
  <c r="F759" i="8" s="1"/>
  <c r="E775" i="8"/>
  <c r="F775" i="8" s="1"/>
  <c r="E859" i="8"/>
  <c r="F859" i="8" s="1"/>
  <c r="E879" i="8"/>
  <c r="F879" i="8" s="1"/>
  <c r="E885" i="8"/>
  <c r="F885" i="8" s="1"/>
  <c r="E891" i="8"/>
  <c r="F891" i="8" s="1"/>
  <c r="E911" i="8"/>
  <c r="F911" i="8" s="1"/>
  <c r="E917" i="8"/>
  <c r="F917" i="8" s="1"/>
  <c r="E954" i="8"/>
  <c r="F954" i="8" s="1"/>
  <c r="E1001" i="8"/>
  <c r="F1001" i="8" s="1"/>
  <c r="E1089" i="8"/>
  <c r="F1089" i="8" s="1"/>
  <c r="E168" i="8"/>
  <c r="F168" i="8" s="1"/>
  <c r="E200" i="8"/>
  <c r="F200" i="8" s="1"/>
  <c r="E280" i="8"/>
  <c r="F280" i="8" s="1"/>
  <c r="E296" i="8"/>
  <c r="F296" i="8" s="1"/>
  <c r="E344" i="8"/>
  <c r="F344" i="8" s="1"/>
  <c r="E360" i="8"/>
  <c r="F360" i="8" s="1"/>
  <c r="E682" i="8"/>
  <c r="F682" i="8" s="1"/>
  <c r="E944" i="8"/>
  <c r="F944" i="8" s="1"/>
  <c r="E951" i="8"/>
  <c r="F951" i="8" s="1"/>
  <c r="E997" i="8"/>
  <c r="F997" i="8" s="1"/>
  <c r="E1005" i="8"/>
  <c r="F1005" i="8" s="1"/>
  <c r="E1247" i="8"/>
  <c r="F1247" i="8" s="1"/>
  <c r="E1263" i="8"/>
  <c r="F1263" i="8" s="1"/>
  <c r="E1274" i="8"/>
  <c r="F1274" i="8" s="1"/>
  <c r="E1279" i="8"/>
  <c r="F1279" i="8" s="1"/>
  <c r="E64" i="8"/>
  <c r="F64" i="8" s="1"/>
  <c r="E85" i="8"/>
  <c r="F85" i="8" s="1"/>
  <c r="E93" i="8"/>
  <c r="F93" i="8" s="1"/>
  <c r="E351" i="8"/>
  <c r="F351" i="8" s="1"/>
  <c r="E330" i="8"/>
  <c r="F330" i="8" s="1"/>
  <c r="E346" i="8"/>
  <c r="F346" i="8" s="1"/>
  <c r="E747" i="8"/>
  <c r="F747" i="8" s="1"/>
  <c r="E1073" i="8"/>
  <c r="F1073" i="8" s="1"/>
  <c r="E1292" i="8"/>
  <c r="F1292" i="8" s="1"/>
  <c r="E94" i="8"/>
  <c r="F94" i="8" s="1"/>
  <c r="E923" i="8"/>
  <c r="F923" i="8" s="1"/>
  <c r="E1022" i="8"/>
  <c r="F1022" i="8" s="1"/>
  <c r="E1074" i="8"/>
  <c r="F1074" i="8" s="1"/>
  <c r="E1094" i="8"/>
  <c r="F1094" i="8" s="1"/>
  <c r="E1250" i="8"/>
  <c r="F1250" i="8" s="1"/>
  <c r="E1282" i="8"/>
  <c r="F1282" i="8" s="1"/>
  <c r="E13" i="8"/>
  <c r="F13" i="8" s="1"/>
  <c r="E29" i="8"/>
  <c r="F29" i="8" s="1"/>
  <c r="E45" i="8"/>
  <c r="F45" i="8" s="1"/>
  <c r="E55" i="8"/>
  <c r="F55" i="8" s="1"/>
  <c r="E59" i="8"/>
  <c r="F59" i="8" s="1"/>
  <c r="E79" i="8"/>
  <c r="F79" i="8" s="1"/>
  <c r="E395" i="8"/>
  <c r="F395" i="8" s="1"/>
  <c r="E706" i="8"/>
  <c r="F706" i="8" s="1"/>
  <c r="E765" i="8"/>
  <c r="F765" i="8" s="1"/>
  <c r="E797" i="8"/>
  <c r="F797" i="8" s="1"/>
  <c r="E808" i="8"/>
  <c r="F808" i="8" s="1"/>
  <c r="E972" i="8"/>
  <c r="F972" i="8" s="1"/>
  <c r="E986" i="8"/>
  <c r="F986" i="8" s="1"/>
  <c r="E1018" i="8"/>
  <c r="F1018" i="8" s="1"/>
  <c r="E1038" i="8"/>
  <c r="F1038" i="8" s="1"/>
  <c r="E1044" i="8"/>
  <c r="F1044" i="8" s="1"/>
  <c r="E1049" i="8"/>
  <c r="F1049" i="8" s="1"/>
  <c r="E1216" i="8"/>
  <c r="F1216" i="8" s="1"/>
  <c r="E1220" i="8"/>
  <c r="F1220" i="8" s="1"/>
  <c r="E1224" i="8"/>
  <c r="F1224" i="8" s="1"/>
  <c r="E1229" i="8"/>
  <c r="F1229" i="8" s="1"/>
  <c r="E1293" i="8"/>
  <c r="F1293" i="8" s="1"/>
  <c r="E184" i="8"/>
  <c r="F184" i="8" s="1"/>
  <c r="E216" i="8"/>
  <c r="F216" i="8" s="1"/>
  <c r="E232" i="8"/>
  <c r="F232" i="8" s="1"/>
  <c r="E398" i="8"/>
  <c r="F398" i="8" s="1"/>
  <c r="E405" i="8"/>
  <c r="F405" i="8" s="1"/>
  <c r="E460" i="8"/>
  <c r="F460" i="8" s="1"/>
  <c r="E687" i="8"/>
  <c r="F687" i="8" s="1"/>
  <c r="E727" i="8"/>
  <c r="F727" i="8" s="1"/>
  <c r="E791" i="8"/>
  <c r="F791" i="8" s="1"/>
  <c r="E847" i="8"/>
  <c r="F847" i="8" s="1"/>
  <c r="E1002" i="8"/>
  <c r="F1002" i="8" s="1"/>
  <c r="E1054" i="8"/>
  <c r="F1054" i="8" s="1"/>
  <c r="E1130" i="8"/>
  <c r="F1130" i="8" s="1"/>
  <c r="E1156" i="8"/>
  <c r="F1156" i="8" s="1"/>
  <c r="E1168" i="8"/>
  <c r="F1168" i="8" s="1"/>
  <c r="E466" i="8"/>
  <c r="F466" i="8" s="1"/>
  <c r="E670" i="8"/>
  <c r="F670" i="8" s="1"/>
  <c r="E19" i="8"/>
  <c r="F19" i="8" s="1"/>
  <c r="E35" i="8"/>
  <c r="F35" i="8" s="1"/>
  <c r="E51" i="8"/>
  <c r="F51" i="8" s="1"/>
  <c r="E63" i="8"/>
  <c r="F63" i="8" s="1"/>
  <c r="E587" i="8"/>
  <c r="F587" i="8" s="1"/>
  <c r="E603" i="8"/>
  <c r="F603" i="8" s="1"/>
  <c r="E619" i="8"/>
  <c r="F619" i="8" s="1"/>
  <c r="E635" i="8"/>
  <c r="F635" i="8" s="1"/>
  <c r="E651" i="8"/>
  <c r="F651" i="8" s="1"/>
  <c r="E667" i="8"/>
  <c r="F667" i="8" s="1"/>
  <c r="E823" i="8"/>
  <c r="F823" i="8" s="1"/>
  <c r="E963" i="8"/>
  <c r="F963" i="8" s="1"/>
  <c r="E988" i="8"/>
  <c r="F988" i="8" s="1"/>
  <c r="E1012" i="8"/>
  <c r="F1012" i="8" s="1"/>
  <c r="E1024" i="8"/>
  <c r="F1024" i="8" s="1"/>
  <c r="E1050" i="8"/>
  <c r="F1050" i="8" s="1"/>
  <c r="E1060" i="8"/>
  <c r="F1060" i="8" s="1"/>
  <c r="E1136" i="8"/>
  <c r="F1136" i="8" s="1"/>
  <c r="E1152" i="8"/>
  <c r="F1152" i="8" s="1"/>
  <c r="E1176" i="8"/>
  <c r="F1176" i="8" s="1"/>
  <c r="E1184" i="8"/>
  <c r="F1184" i="8" s="1"/>
  <c r="E56" i="8"/>
  <c r="F56" i="8" s="1"/>
  <c r="E60" i="8"/>
  <c r="F60" i="8" s="1"/>
  <c r="E71" i="8"/>
  <c r="F71" i="8" s="1"/>
  <c r="E75" i="8"/>
  <c r="F75" i="8" s="1"/>
  <c r="E82" i="8"/>
  <c r="F82" i="8" s="1"/>
  <c r="E86" i="8"/>
  <c r="F86" i="8" s="1"/>
  <c r="E90" i="8"/>
  <c r="F90" i="8" s="1"/>
  <c r="E101" i="8"/>
  <c r="F101" i="8" s="1"/>
  <c r="E340" i="8"/>
  <c r="F340" i="8" s="1"/>
  <c r="E356" i="8"/>
  <c r="F356" i="8" s="1"/>
  <c r="E468" i="8"/>
  <c r="F468" i="8" s="1"/>
  <c r="E630" i="8"/>
  <c r="F630" i="8" s="1"/>
  <c r="E646" i="8"/>
  <c r="F646" i="8" s="1"/>
  <c r="E678" i="8"/>
  <c r="F678" i="8" s="1"/>
  <c r="E698" i="8"/>
  <c r="F698" i="8" s="1"/>
  <c r="E718" i="8"/>
  <c r="F718" i="8" s="1"/>
  <c r="E743" i="8"/>
  <c r="F743" i="8" s="1"/>
  <c r="E838" i="8"/>
  <c r="F838" i="8" s="1"/>
  <c r="E952" i="8"/>
  <c r="F952" i="8" s="1"/>
  <c r="E1025" i="8"/>
  <c r="F1025" i="8" s="1"/>
  <c r="E1030" i="8"/>
  <c r="F1030" i="8" s="1"/>
  <c r="E1260" i="8"/>
  <c r="F1260" i="8" s="1"/>
  <c r="E213" i="8"/>
  <c r="F213" i="8" s="1"/>
  <c r="E229" i="8"/>
  <c r="F229" i="8" s="1"/>
  <c r="E245" i="8"/>
  <c r="F245" i="8" s="1"/>
  <c r="E261" i="8"/>
  <c r="F261" i="8" s="1"/>
  <c r="E277" i="8"/>
  <c r="F277" i="8" s="1"/>
  <c r="E293" i="8"/>
  <c r="F293" i="8" s="1"/>
  <c r="E462" i="8"/>
  <c r="F462" i="8" s="1"/>
  <c r="E699" i="8"/>
  <c r="F699" i="8" s="1"/>
  <c r="E719" i="8"/>
  <c r="F719" i="8" s="1"/>
  <c r="E1006" i="8"/>
  <c r="F1006" i="8" s="1"/>
  <c r="E1014" i="8"/>
  <c r="F1014" i="8" s="1"/>
  <c r="E1020" i="8"/>
  <c r="F1020" i="8" s="1"/>
  <c r="E1103" i="8"/>
  <c r="F1103" i="8" s="1"/>
  <c r="E1205" i="8"/>
  <c r="F1205" i="8" s="1"/>
  <c r="E21" i="8"/>
  <c r="F21" i="8" s="1"/>
  <c r="E37" i="8"/>
  <c r="F37" i="8" s="1"/>
  <c r="E53" i="8"/>
  <c r="F53" i="8" s="1"/>
  <c r="E61" i="8"/>
  <c r="F61" i="8" s="1"/>
  <c r="E68" i="8"/>
  <c r="F68" i="8" s="1"/>
  <c r="E72" i="8"/>
  <c r="F72" i="8" s="1"/>
  <c r="E76" i="8"/>
  <c r="F76" i="8" s="1"/>
  <c r="E87" i="8"/>
  <c r="F87" i="8" s="1"/>
  <c r="E91" i="8"/>
  <c r="F91" i="8" s="1"/>
  <c r="E98" i="8"/>
  <c r="F98" i="8" s="1"/>
  <c r="E102" i="8"/>
  <c r="F102" i="8" s="1"/>
  <c r="E106" i="8"/>
  <c r="F106" i="8" s="1"/>
  <c r="E208" i="8"/>
  <c r="F208" i="8" s="1"/>
  <c r="E224" i="8"/>
  <c r="F224" i="8" s="1"/>
  <c r="E240" i="8"/>
  <c r="F240" i="8" s="1"/>
  <c r="E251" i="8"/>
  <c r="F251" i="8" s="1"/>
  <c r="E256" i="8"/>
  <c r="F256" i="8" s="1"/>
  <c r="E267" i="8"/>
  <c r="F267" i="8" s="1"/>
  <c r="E272" i="8"/>
  <c r="F272" i="8" s="1"/>
  <c r="E283" i="8"/>
  <c r="F283" i="8" s="1"/>
  <c r="E288" i="8"/>
  <c r="F288" i="8" s="1"/>
  <c r="E464" i="8"/>
  <c r="F464" i="8" s="1"/>
  <c r="E471" i="8"/>
  <c r="F471" i="8" s="1"/>
  <c r="E477" i="8"/>
  <c r="F477" i="8" s="1"/>
  <c r="E487" i="8"/>
  <c r="F487" i="8" s="1"/>
  <c r="E498" i="8"/>
  <c r="F498" i="8" s="1"/>
  <c r="E514" i="8"/>
  <c r="F514" i="8" s="1"/>
  <c r="E530" i="8"/>
  <c r="F530" i="8" s="1"/>
  <c r="E546" i="8"/>
  <c r="F546" i="8" s="1"/>
  <c r="E562" i="8"/>
  <c r="F562" i="8" s="1"/>
  <c r="E573" i="8"/>
  <c r="F573" i="8" s="1"/>
  <c r="E578" i="8"/>
  <c r="F578" i="8" s="1"/>
  <c r="E589" i="8"/>
  <c r="F589" i="8" s="1"/>
  <c r="E594" i="8"/>
  <c r="F594" i="8" s="1"/>
  <c r="E605" i="8"/>
  <c r="F605" i="8" s="1"/>
  <c r="E610" i="8"/>
  <c r="F610" i="8" s="1"/>
  <c r="E621" i="8"/>
  <c r="F621" i="8" s="1"/>
  <c r="E626" i="8"/>
  <c r="F626" i="8" s="1"/>
  <c r="E637" i="8"/>
  <c r="F637" i="8" s="1"/>
  <c r="E642" i="8"/>
  <c r="F642" i="8" s="1"/>
  <c r="E653" i="8"/>
  <c r="F653" i="8" s="1"/>
  <c r="E669" i="8"/>
  <c r="F669" i="8" s="1"/>
  <c r="E674" i="8"/>
  <c r="F674" i="8" s="1"/>
  <c r="E731" i="8"/>
  <c r="F731" i="8" s="1"/>
  <c r="E751" i="8"/>
  <c r="F751" i="8" s="1"/>
  <c r="E799" i="8"/>
  <c r="F799" i="8" s="1"/>
  <c r="E804" i="8"/>
  <c r="F804" i="8" s="1"/>
  <c r="E809" i="8"/>
  <c r="F809" i="8" s="1"/>
  <c r="E925" i="8"/>
  <c r="F925" i="8" s="1"/>
  <c r="E943" i="8"/>
  <c r="F943" i="8" s="1"/>
  <c r="E960" i="8"/>
  <c r="F960" i="8" s="1"/>
  <c r="E991" i="8"/>
  <c r="F991" i="8" s="1"/>
  <c r="E1007" i="8"/>
  <c r="F1007" i="8" s="1"/>
  <c r="E1026" i="8"/>
  <c r="F1026" i="8" s="1"/>
  <c r="E1036" i="8"/>
  <c r="F1036" i="8" s="1"/>
  <c r="E1041" i="8"/>
  <c r="F1041" i="8" s="1"/>
  <c r="E1209" i="8"/>
  <c r="F1209" i="8" s="1"/>
  <c r="E1217" i="8"/>
  <c r="F1217" i="8" s="1"/>
  <c r="E1221" i="8"/>
  <c r="F1221" i="8" s="1"/>
  <c r="E1236" i="8"/>
  <c r="F1236" i="8" s="1"/>
  <c r="E1256" i="8"/>
  <c r="F1256" i="8" s="1"/>
  <c r="E1261" i="8"/>
  <c r="F1261" i="8" s="1"/>
  <c r="E1288" i="8"/>
  <c r="F1288" i="8" s="1"/>
  <c r="E5" i="8"/>
  <c r="F5" i="8" s="1"/>
  <c r="E11" i="8"/>
  <c r="F11" i="8" s="1"/>
  <c r="E16" i="8"/>
  <c r="F16" i="8" s="1"/>
  <c r="E27" i="8"/>
  <c r="F27" i="8" s="1"/>
  <c r="E32" i="8"/>
  <c r="F32" i="8" s="1"/>
  <c r="E43" i="8"/>
  <c r="F43" i="8" s="1"/>
  <c r="E48" i="8"/>
  <c r="F48" i="8" s="1"/>
  <c r="E95" i="8"/>
  <c r="F95" i="8" s="1"/>
  <c r="E465" i="8"/>
  <c r="F465" i="8" s="1"/>
  <c r="E695" i="8"/>
  <c r="F695" i="8" s="1"/>
  <c r="E710" i="8"/>
  <c r="F710" i="8" s="1"/>
  <c r="E768" i="8"/>
  <c r="F768" i="8" s="1"/>
  <c r="E773" i="8"/>
  <c r="F773" i="8" s="1"/>
  <c r="E784" i="8"/>
  <c r="F784" i="8" s="1"/>
  <c r="E789" i="8"/>
  <c r="F789" i="8" s="1"/>
  <c r="E978" i="8"/>
  <c r="F978" i="8" s="1"/>
  <c r="E985" i="8"/>
  <c r="F985" i="8" s="1"/>
  <c r="E992" i="8"/>
  <c r="F992" i="8" s="1"/>
  <c r="E1008" i="8"/>
  <c r="F1008" i="8" s="1"/>
  <c r="E1027" i="8"/>
  <c r="F1027" i="8" s="1"/>
  <c r="E1032" i="8"/>
  <c r="F1032" i="8" s="1"/>
  <c r="E1098" i="8"/>
  <c r="F1098" i="8" s="1"/>
  <c r="E1145" i="8"/>
  <c r="F1145" i="8" s="1"/>
  <c r="E1190" i="8"/>
  <c r="F1190" i="8" s="1"/>
  <c r="E1194" i="8"/>
  <c r="F1194" i="8" s="1"/>
  <c r="E1198" i="8"/>
  <c r="F1198" i="8" s="1"/>
  <c r="E1242" i="8"/>
  <c r="F1242" i="8" s="1"/>
  <c r="E1251" i="8"/>
  <c r="F1251" i="8" s="1"/>
  <c r="E1278" i="8"/>
  <c r="F1278" i="8" s="1"/>
  <c r="E1283" i="8"/>
  <c r="F1283" i="8" s="1"/>
  <c r="E1295" i="8"/>
  <c r="F1295" i="8" s="1"/>
  <c r="E1294" i="8"/>
  <c r="F1294" i="8" s="1"/>
  <c r="E14" i="8"/>
  <c r="F14" i="8" s="1"/>
  <c r="E20" i="8"/>
  <c r="F20" i="8" s="1"/>
  <c r="E30" i="8"/>
  <c r="F30" i="8" s="1"/>
  <c r="E36" i="8"/>
  <c r="F36" i="8" s="1"/>
  <c r="E46" i="8"/>
  <c r="F46" i="8" s="1"/>
  <c r="E52" i="8"/>
  <c r="F52" i="8" s="1"/>
  <c r="E65" i="8"/>
  <c r="F65" i="8" s="1"/>
  <c r="E81" i="8"/>
  <c r="F81" i="8" s="1"/>
  <c r="E97" i="8"/>
  <c r="F97" i="8" s="1"/>
  <c r="E113" i="8"/>
  <c r="F113" i="8" s="1"/>
  <c r="E129" i="8"/>
  <c r="F129" i="8" s="1"/>
  <c r="E145" i="8"/>
  <c r="F145" i="8" s="1"/>
  <c r="E161" i="8"/>
  <c r="F161" i="8" s="1"/>
  <c r="E177" i="8"/>
  <c r="F177" i="8" s="1"/>
  <c r="E193" i="8"/>
  <c r="F193" i="8" s="1"/>
  <c r="E209" i="8"/>
  <c r="F209" i="8" s="1"/>
  <c r="E225" i="8"/>
  <c r="F225" i="8" s="1"/>
  <c r="E241" i="8"/>
  <c r="F241" i="8" s="1"/>
  <c r="E257" i="8"/>
  <c r="F257" i="8" s="1"/>
  <c r="E273" i="8"/>
  <c r="F273" i="8" s="1"/>
  <c r="E289" i="8"/>
  <c r="F289" i="8" s="1"/>
  <c r="E438" i="8"/>
  <c r="F438" i="8" s="1"/>
  <c r="E445" i="8"/>
  <c r="F445" i="8" s="1"/>
  <c r="E694" i="8"/>
  <c r="F694" i="8" s="1"/>
  <c r="E783" i="8"/>
  <c r="F783" i="8" s="1"/>
  <c r="E948" i="8"/>
  <c r="F948" i="8" s="1"/>
  <c r="E947" i="8"/>
  <c r="F947" i="8" s="1"/>
  <c r="E1004" i="8"/>
  <c r="F1004" i="8" s="1"/>
  <c r="E1259" i="8"/>
  <c r="F1259" i="8" s="1"/>
  <c r="E1280" i="8"/>
  <c r="F1280" i="8" s="1"/>
  <c r="E481" i="8"/>
  <c r="F481" i="8" s="1"/>
  <c r="E480" i="8"/>
  <c r="F480" i="8" s="1"/>
  <c r="E1231" i="8"/>
  <c r="F1231" i="8" s="1"/>
  <c r="E1230" i="8"/>
  <c r="F1230" i="8" s="1"/>
  <c r="E411" i="8"/>
  <c r="F411" i="8" s="1"/>
  <c r="E412" i="8"/>
  <c r="F412" i="8" s="1"/>
  <c r="E821" i="8"/>
  <c r="F821" i="8" s="1"/>
  <c r="E820" i="8"/>
  <c r="F820" i="8" s="1"/>
  <c r="E6" i="8"/>
  <c r="F6" i="8" s="1"/>
  <c r="E12" i="8"/>
  <c r="F12" i="8" s="1"/>
  <c r="E22" i="8"/>
  <c r="F22" i="8" s="1"/>
  <c r="E28" i="8"/>
  <c r="F28" i="8" s="1"/>
  <c r="E38" i="8"/>
  <c r="F38" i="8" s="1"/>
  <c r="E44" i="8"/>
  <c r="F44" i="8" s="1"/>
  <c r="E57" i="8"/>
  <c r="F57" i="8" s="1"/>
  <c r="E73" i="8"/>
  <c r="F73" i="8" s="1"/>
  <c r="E89" i="8"/>
  <c r="F89" i="8" s="1"/>
  <c r="E105" i="8"/>
  <c r="F105" i="8" s="1"/>
  <c r="E110" i="8"/>
  <c r="F110" i="8" s="1"/>
  <c r="E121" i="8"/>
  <c r="F121" i="8" s="1"/>
  <c r="E137" i="8"/>
  <c r="F137" i="8" s="1"/>
  <c r="E153" i="8"/>
  <c r="F153" i="8" s="1"/>
  <c r="E169" i="8"/>
  <c r="F169" i="8" s="1"/>
  <c r="E185" i="8"/>
  <c r="F185" i="8" s="1"/>
  <c r="E201" i="8"/>
  <c r="F201" i="8" s="1"/>
  <c r="E217" i="8"/>
  <c r="F217" i="8" s="1"/>
  <c r="E233" i="8"/>
  <c r="F233" i="8" s="1"/>
  <c r="E249" i="8"/>
  <c r="F249" i="8" s="1"/>
  <c r="E265" i="8"/>
  <c r="F265" i="8" s="1"/>
  <c r="E281" i="8"/>
  <c r="F281" i="8" s="1"/>
  <c r="E485" i="8"/>
  <c r="F485" i="8" s="1"/>
  <c r="E484" i="8"/>
  <c r="F484" i="8" s="1"/>
  <c r="E1139" i="8"/>
  <c r="F1139" i="8" s="1"/>
  <c r="E1144" i="8"/>
  <c r="F1144" i="8" s="1"/>
  <c r="E1160" i="8"/>
  <c r="F1160" i="8" s="1"/>
  <c r="E1262" i="8"/>
  <c r="F1262" i="8" s="1"/>
  <c r="E67" i="8"/>
  <c r="F67" i="8" s="1"/>
  <c r="E83" i="8"/>
  <c r="F83" i="8" s="1"/>
  <c r="E99" i="8"/>
  <c r="F99" i="8" s="1"/>
  <c r="E116" i="8"/>
  <c r="F116" i="8" s="1"/>
  <c r="E132" i="8"/>
  <c r="F132" i="8" s="1"/>
  <c r="E148" i="8"/>
  <c r="F148" i="8" s="1"/>
  <c r="E164" i="8"/>
  <c r="F164" i="8" s="1"/>
  <c r="E180" i="8"/>
  <c r="F180" i="8" s="1"/>
  <c r="E196" i="8"/>
  <c r="F196" i="8" s="1"/>
  <c r="E212" i="8"/>
  <c r="F212" i="8" s="1"/>
  <c r="E228" i="8"/>
  <c r="F228" i="8" s="1"/>
  <c r="E244" i="8"/>
  <c r="F244" i="8" s="1"/>
  <c r="E255" i="8"/>
  <c r="F255" i="8" s="1"/>
  <c r="E260" i="8"/>
  <c r="F260" i="8" s="1"/>
  <c r="E271" i="8"/>
  <c r="F271" i="8" s="1"/>
  <c r="E276" i="8"/>
  <c r="F276" i="8" s="1"/>
  <c r="E287" i="8"/>
  <c r="F287" i="8" s="1"/>
  <c r="E292" i="8"/>
  <c r="F292" i="8" s="1"/>
  <c r="E577" i="8"/>
  <c r="F577" i="8" s="1"/>
  <c r="E593" i="8"/>
  <c r="F593" i="8" s="1"/>
  <c r="E609" i="8"/>
  <c r="F609" i="8" s="1"/>
  <c r="E625" i="8"/>
  <c r="F625" i="8" s="1"/>
  <c r="E641" i="8"/>
  <c r="F641" i="8" s="1"/>
  <c r="E657" i="8"/>
  <c r="F657" i="8" s="1"/>
  <c r="E735" i="8"/>
  <c r="F735" i="8" s="1"/>
  <c r="E968" i="8"/>
  <c r="F968" i="8" s="1"/>
  <c r="E1009" i="8"/>
  <c r="F1009" i="8" s="1"/>
  <c r="E1204" i="8"/>
  <c r="F1204" i="8" s="1"/>
  <c r="E1223" i="8"/>
  <c r="F1223" i="8" s="1"/>
  <c r="E302" i="8"/>
  <c r="F302" i="8" s="1"/>
  <c r="E318" i="8"/>
  <c r="F318" i="8" s="1"/>
  <c r="E329" i="8"/>
  <c r="F329" i="8" s="1"/>
  <c r="E334" i="8"/>
  <c r="F334" i="8" s="1"/>
  <c r="E345" i="8"/>
  <c r="F345" i="8" s="1"/>
  <c r="E350" i="8"/>
  <c r="F350" i="8" s="1"/>
  <c r="E361" i="8"/>
  <c r="F361" i="8" s="1"/>
  <c r="E366" i="8"/>
  <c r="F366" i="8" s="1"/>
  <c r="E373" i="8"/>
  <c r="F373" i="8" s="1"/>
  <c r="E379" i="8"/>
  <c r="F379" i="8" s="1"/>
  <c r="E406" i="8"/>
  <c r="F406" i="8" s="1"/>
  <c r="E418" i="8"/>
  <c r="F418" i="8" s="1"/>
  <c r="E440" i="8"/>
  <c r="F440" i="8" s="1"/>
  <c r="E452" i="8"/>
  <c r="F452" i="8" s="1"/>
  <c r="E503" i="8"/>
  <c r="F503" i="8" s="1"/>
  <c r="E519" i="8"/>
  <c r="F519" i="8" s="1"/>
  <c r="E535" i="8"/>
  <c r="F535" i="8" s="1"/>
  <c r="E551" i="8"/>
  <c r="F551" i="8" s="1"/>
  <c r="E567" i="8"/>
  <c r="F567" i="8" s="1"/>
  <c r="E583" i="8"/>
  <c r="F583" i="8" s="1"/>
  <c r="E599" i="8"/>
  <c r="F599" i="8" s="1"/>
  <c r="E615" i="8"/>
  <c r="F615" i="8" s="1"/>
  <c r="E631" i="8"/>
  <c r="F631" i="8" s="1"/>
  <c r="E647" i="8"/>
  <c r="F647" i="8" s="1"/>
  <c r="E652" i="8"/>
  <c r="F652" i="8" s="1"/>
  <c r="E663" i="8"/>
  <c r="F663" i="8" s="1"/>
  <c r="E668" i="8"/>
  <c r="F668" i="8" s="1"/>
  <c r="E691" i="8"/>
  <c r="F691" i="8" s="1"/>
  <c r="E749" i="8"/>
  <c r="F749" i="8" s="1"/>
  <c r="E818" i="8"/>
  <c r="F818" i="8" s="1"/>
  <c r="E828" i="8"/>
  <c r="F828" i="8" s="1"/>
  <c r="E833" i="8"/>
  <c r="F833" i="8" s="1"/>
  <c r="E853" i="8"/>
  <c r="F853" i="8" s="1"/>
  <c r="E865" i="8"/>
  <c r="F865" i="8" s="1"/>
  <c r="E872" i="8"/>
  <c r="F872" i="8" s="1"/>
  <c r="E878" i="8"/>
  <c r="F878" i="8" s="1"/>
  <c r="E897" i="8"/>
  <c r="F897" i="8" s="1"/>
  <c r="E910" i="8"/>
  <c r="F910" i="8" s="1"/>
  <c r="E915" i="8"/>
  <c r="F915" i="8" s="1"/>
  <c r="E926" i="8"/>
  <c r="F926" i="8" s="1"/>
  <c r="E938" i="8"/>
  <c r="F938" i="8" s="1"/>
  <c r="E974" i="8"/>
  <c r="F974" i="8" s="1"/>
  <c r="E998" i="8"/>
  <c r="F998" i="8" s="1"/>
  <c r="E1021" i="8"/>
  <c r="F1021" i="8" s="1"/>
  <c r="E1064" i="8"/>
  <c r="F1064" i="8" s="1"/>
  <c r="E1104" i="8"/>
  <c r="F1104" i="8" s="1"/>
  <c r="E1110" i="8"/>
  <c r="F1110" i="8" s="1"/>
  <c r="E1116" i="8"/>
  <c r="F1116" i="8" s="1"/>
  <c r="E1135" i="8"/>
  <c r="F1135" i="8" s="1"/>
  <c r="E1237" i="8"/>
  <c r="F1237" i="8" s="1"/>
  <c r="E1269" i="8"/>
  <c r="F1269" i="8" s="1"/>
  <c r="E309" i="8"/>
  <c r="F309" i="8" s="1"/>
  <c r="E325" i="8"/>
  <c r="F325" i="8" s="1"/>
  <c r="E341" i="8"/>
  <c r="F341" i="8" s="1"/>
  <c r="E357" i="8"/>
  <c r="F357" i="8" s="1"/>
  <c r="E381" i="8"/>
  <c r="F381" i="8" s="1"/>
  <c r="E401" i="8"/>
  <c r="F401" i="8" s="1"/>
  <c r="E448" i="8"/>
  <c r="F448" i="8" s="1"/>
  <c r="E499" i="8"/>
  <c r="F499" i="8" s="1"/>
  <c r="E515" i="8"/>
  <c r="F515" i="8" s="1"/>
  <c r="E531" i="8"/>
  <c r="F531" i="8" s="1"/>
  <c r="E547" i="8"/>
  <c r="F547" i="8" s="1"/>
  <c r="E563" i="8"/>
  <c r="F563" i="8" s="1"/>
  <c r="E579" i="8"/>
  <c r="F579" i="8" s="1"/>
  <c r="E595" i="8"/>
  <c r="F595" i="8" s="1"/>
  <c r="E611" i="8"/>
  <c r="F611" i="8" s="1"/>
  <c r="E627" i="8"/>
  <c r="F627" i="8" s="1"/>
  <c r="E643" i="8"/>
  <c r="F643" i="8" s="1"/>
  <c r="E659" i="8"/>
  <c r="F659" i="8" s="1"/>
  <c r="E683" i="8"/>
  <c r="F683" i="8" s="1"/>
  <c r="E715" i="8"/>
  <c r="F715" i="8" s="1"/>
  <c r="E725" i="8"/>
  <c r="F725" i="8" s="1"/>
  <c r="E760" i="8"/>
  <c r="F760" i="8" s="1"/>
  <c r="E844" i="8"/>
  <c r="F844" i="8" s="1"/>
  <c r="E849" i="8"/>
  <c r="F849" i="8" s="1"/>
  <c r="E1046" i="8"/>
  <c r="F1046" i="8" s="1"/>
  <c r="E1070" i="8"/>
  <c r="F1070" i="8" s="1"/>
  <c r="E1076" i="8"/>
  <c r="F1076" i="8" s="1"/>
  <c r="E1090" i="8"/>
  <c r="F1090" i="8" s="1"/>
  <c r="E1100" i="8"/>
  <c r="F1100" i="8" s="1"/>
  <c r="E1129" i="8"/>
  <c r="F1129" i="8" s="1"/>
  <c r="E1150" i="8"/>
  <c r="F1150" i="8" s="1"/>
  <c r="E299" i="8"/>
  <c r="F299" i="8" s="1"/>
  <c r="E304" i="8"/>
  <c r="F304" i="8" s="1"/>
  <c r="E315" i="8"/>
  <c r="F315" i="8" s="1"/>
  <c r="E320" i="8"/>
  <c r="F320" i="8" s="1"/>
  <c r="E331" i="8"/>
  <c r="F331" i="8" s="1"/>
  <c r="E336" i="8"/>
  <c r="F336" i="8" s="1"/>
  <c r="E347" i="8"/>
  <c r="F347" i="8" s="1"/>
  <c r="E352" i="8"/>
  <c r="F352" i="8" s="1"/>
  <c r="E363" i="8"/>
  <c r="F363" i="8" s="1"/>
  <c r="E369" i="8"/>
  <c r="F369" i="8" s="1"/>
  <c r="E388" i="8"/>
  <c r="F388" i="8" s="1"/>
  <c r="E414" i="8"/>
  <c r="F414" i="8" s="1"/>
  <c r="E421" i="8"/>
  <c r="F421" i="8" s="1"/>
  <c r="E427" i="8"/>
  <c r="F427" i="8" s="1"/>
  <c r="E479" i="8"/>
  <c r="F479" i="8" s="1"/>
  <c r="E494" i="8"/>
  <c r="F494" i="8" s="1"/>
  <c r="E505" i="8"/>
  <c r="F505" i="8" s="1"/>
  <c r="E510" i="8"/>
  <c r="F510" i="8" s="1"/>
  <c r="E521" i="8"/>
  <c r="F521" i="8" s="1"/>
  <c r="E526" i="8"/>
  <c r="F526" i="8" s="1"/>
  <c r="E537" i="8"/>
  <c r="F537" i="8" s="1"/>
  <c r="E542" i="8"/>
  <c r="F542" i="8" s="1"/>
  <c r="E553" i="8"/>
  <c r="F553" i="8" s="1"/>
  <c r="E558" i="8"/>
  <c r="F558" i="8" s="1"/>
  <c r="E569" i="8"/>
  <c r="F569" i="8" s="1"/>
  <c r="E574" i="8"/>
  <c r="F574" i="8" s="1"/>
  <c r="E585" i="8"/>
  <c r="F585" i="8" s="1"/>
  <c r="E590" i="8"/>
  <c r="F590" i="8" s="1"/>
  <c r="E601" i="8"/>
  <c r="F601" i="8" s="1"/>
  <c r="E606" i="8"/>
  <c r="F606" i="8" s="1"/>
  <c r="E617" i="8"/>
  <c r="F617" i="8" s="1"/>
  <c r="E622" i="8"/>
  <c r="F622" i="8" s="1"/>
  <c r="E633" i="8"/>
  <c r="F633" i="8" s="1"/>
  <c r="E638" i="8"/>
  <c r="F638" i="8" s="1"/>
  <c r="E649" i="8"/>
  <c r="F649" i="8" s="1"/>
  <c r="E665" i="8"/>
  <c r="F665" i="8" s="1"/>
  <c r="E679" i="8"/>
  <c r="F679" i="8" s="1"/>
  <c r="E711" i="8"/>
  <c r="F711" i="8" s="1"/>
  <c r="E776" i="8"/>
  <c r="F776" i="8" s="1"/>
  <c r="E781" i="8"/>
  <c r="F781" i="8" s="1"/>
  <c r="E810" i="8"/>
  <c r="F810" i="8" s="1"/>
  <c r="E825" i="8"/>
  <c r="F825" i="8" s="1"/>
  <c r="E861" i="8"/>
  <c r="F861" i="8" s="1"/>
  <c r="E929" i="8"/>
  <c r="F929" i="8" s="1"/>
  <c r="E946" i="8"/>
  <c r="F946" i="8" s="1"/>
  <c r="E993" i="8"/>
  <c r="F993" i="8" s="1"/>
  <c r="E1028" i="8"/>
  <c r="F1028" i="8" s="1"/>
  <c r="E1037" i="8"/>
  <c r="F1037" i="8" s="1"/>
  <c r="E1042" i="8"/>
  <c r="F1042" i="8" s="1"/>
  <c r="E1052" i="8"/>
  <c r="F1052" i="8" s="1"/>
  <c r="E1066" i="8"/>
  <c r="F1066" i="8" s="1"/>
  <c r="E1081" i="8"/>
  <c r="F1081" i="8" s="1"/>
  <c r="E1086" i="8"/>
  <c r="F1086" i="8" s="1"/>
  <c r="E1106" i="8"/>
  <c r="F1106" i="8" s="1"/>
  <c r="E1119" i="8"/>
  <c r="F1119" i="8" s="1"/>
  <c r="E1158" i="8"/>
  <c r="F1158" i="8" s="1"/>
  <c r="E1162" i="8"/>
  <c r="F1162" i="8" s="1"/>
  <c r="E1166" i="8"/>
  <c r="F1166" i="8" s="1"/>
  <c r="E1177" i="8"/>
  <c r="F1177" i="8" s="1"/>
  <c r="E1192" i="8"/>
  <c r="F1192" i="8" s="1"/>
  <c r="E1207" i="8"/>
  <c r="F1207" i="8" s="1"/>
  <c r="E1234" i="8"/>
  <c r="F1234" i="8" s="1"/>
  <c r="E1266" i="8"/>
  <c r="F1266" i="8" s="1"/>
  <c r="E1276" i="8"/>
  <c r="F1276" i="8" s="1"/>
  <c r="E1284" i="8"/>
  <c r="F1284" i="8" s="1"/>
  <c r="E305" i="8"/>
  <c r="F305" i="8" s="1"/>
  <c r="E310" i="8"/>
  <c r="F310" i="8" s="1"/>
  <c r="E321" i="8"/>
  <c r="F321" i="8" s="1"/>
  <c r="E326" i="8"/>
  <c r="F326" i="8" s="1"/>
  <c r="E337" i="8"/>
  <c r="F337" i="8" s="1"/>
  <c r="E342" i="8"/>
  <c r="F342" i="8" s="1"/>
  <c r="E353" i="8"/>
  <c r="F353" i="8" s="1"/>
  <c r="E358" i="8"/>
  <c r="F358" i="8" s="1"/>
  <c r="E382" i="8"/>
  <c r="F382" i="8" s="1"/>
  <c r="E389" i="8"/>
  <c r="F389" i="8" s="1"/>
  <c r="E402" i="8"/>
  <c r="F402" i="8" s="1"/>
  <c r="E422" i="8"/>
  <c r="F422" i="8" s="1"/>
  <c r="E456" i="8"/>
  <c r="F456" i="8" s="1"/>
  <c r="E489" i="8"/>
  <c r="F489" i="8" s="1"/>
  <c r="E495" i="8"/>
  <c r="F495" i="8" s="1"/>
  <c r="E500" i="8"/>
  <c r="F500" i="8" s="1"/>
  <c r="E511" i="8"/>
  <c r="F511" i="8" s="1"/>
  <c r="E516" i="8"/>
  <c r="F516" i="8" s="1"/>
  <c r="E527" i="8"/>
  <c r="F527" i="8" s="1"/>
  <c r="E532" i="8"/>
  <c r="F532" i="8" s="1"/>
  <c r="E543" i="8"/>
  <c r="F543" i="8" s="1"/>
  <c r="E548" i="8"/>
  <c r="F548" i="8" s="1"/>
  <c r="E559" i="8"/>
  <c r="F559" i="8" s="1"/>
  <c r="E564" i="8"/>
  <c r="F564" i="8" s="1"/>
  <c r="E575" i="8"/>
  <c r="F575" i="8" s="1"/>
  <c r="E580" i="8"/>
  <c r="F580" i="8" s="1"/>
  <c r="E591" i="8"/>
  <c r="F591" i="8" s="1"/>
  <c r="E596" i="8"/>
  <c r="F596" i="8" s="1"/>
  <c r="E607" i="8"/>
  <c r="F607" i="8" s="1"/>
  <c r="E612" i="8"/>
  <c r="F612" i="8" s="1"/>
  <c r="E623" i="8"/>
  <c r="F623" i="8" s="1"/>
  <c r="E628" i="8"/>
  <c r="F628" i="8" s="1"/>
  <c r="E639" i="8"/>
  <c r="F639" i="8" s="1"/>
  <c r="E644" i="8"/>
  <c r="F644" i="8" s="1"/>
  <c r="E655" i="8"/>
  <c r="F655" i="8" s="1"/>
  <c r="E660" i="8"/>
  <c r="F660" i="8" s="1"/>
  <c r="E675" i="8"/>
  <c r="F675" i="8" s="1"/>
  <c r="E707" i="8"/>
  <c r="F707" i="8" s="1"/>
  <c r="E721" i="8"/>
  <c r="F721" i="8" s="1"/>
  <c r="E733" i="8"/>
  <c r="F733" i="8" s="1"/>
  <c r="E792" i="8"/>
  <c r="F792" i="8" s="1"/>
  <c r="E816" i="8"/>
  <c r="F816" i="8" s="1"/>
  <c r="E856" i="8"/>
  <c r="F856" i="8" s="1"/>
  <c r="E862" i="8"/>
  <c r="F862" i="8" s="1"/>
  <c r="E881" i="8"/>
  <c r="F881" i="8" s="1"/>
  <c r="E888" i="8"/>
  <c r="F888" i="8" s="1"/>
  <c r="E894" i="8"/>
  <c r="F894" i="8" s="1"/>
  <c r="E913" i="8"/>
  <c r="F913" i="8" s="1"/>
  <c r="E919" i="8"/>
  <c r="F919" i="8" s="1"/>
  <c r="E924" i="8"/>
  <c r="F924" i="8" s="1"/>
  <c r="E930" i="8"/>
  <c r="F930" i="8" s="1"/>
  <c r="E957" i="8"/>
  <c r="F957" i="8" s="1"/>
  <c r="E1082" i="8"/>
  <c r="F1082" i="8" s="1"/>
  <c r="E1102" i="8"/>
  <c r="F1102" i="8" s="1"/>
  <c r="E1142" i="8"/>
  <c r="F1142" i="8" s="1"/>
  <c r="E1147" i="8"/>
  <c r="F1147" i="8" s="1"/>
  <c r="E1155" i="8"/>
  <c r="F1155" i="8" s="1"/>
  <c r="E1185" i="8"/>
  <c r="F1185" i="8" s="1"/>
  <c r="E1215" i="8"/>
  <c r="F1215" i="8" s="1"/>
  <c r="E1240" i="8"/>
  <c r="F1240" i="8" s="1"/>
  <c r="E1245" i="8"/>
  <c r="F1245" i="8" s="1"/>
  <c r="E1258" i="8"/>
  <c r="F1258" i="8" s="1"/>
  <c r="E1298" i="8"/>
  <c r="F1298" i="8" s="1"/>
  <c r="E332" i="8"/>
  <c r="F332" i="8" s="1"/>
  <c r="E343" i="8"/>
  <c r="F343" i="8" s="1"/>
  <c r="E348" i="8"/>
  <c r="F348" i="8" s="1"/>
  <c r="E359" i="8"/>
  <c r="F359" i="8" s="1"/>
  <c r="E364" i="8"/>
  <c r="F364" i="8" s="1"/>
  <c r="E370" i="8"/>
  <c r="F370" i="8" s="1"/>
  <c r="E390" i="8"/>
  <c r="F390" i="8" s="1"/>
  <c r="E397" i="8"/>
  <c r="F397" i="8" s="1"/>
  <c r="E410" i="8"/>
  <c r="F410" i="8" s="1"/>
  <c r="E469" i="8"/>
  <c r="F469" i="8" s="1"/>
  <c r="E476" i="8"/>
  <c r="F476" i="8" s="1"/>
  <c r="E490" i="8"/>
  <c r="F490" i="8" s="1"/>
  <c r="E501" i="8"/>
  <c r="F501" i="8" s="1"/>
  <c r="E506" i="8"/>
  <c r="F506" i="8" s="1"/>
  <c r="E517" i="8"/>
  <c r="F517" i="8" s="1"/>
  <c r="E522" i="8"/>
  <c r="F522" i="8" s="1"/>
  <c r="E533" i="8"/>
  <c r="F533" i="8" s="1"/>
  <c r="E538" i="8"/>
  <c r="F538" i="8" s="1"/>
  <c r="E549" i="8"/>
  <c r="F549" i="8" s="1"/>
  <c r="E554" i="8"/>
  <c r="F554" i="8" s="1"/>
  <c r="E565" i="8"/>
  <c r="F565" i="8" s="1"/>
  <c r="E570" i="8"/>
  <c r="F570" i="8" s="1"/>
  <c r="E581" i="8"/>
  <c r="F581" i="8" s="1"/>
  <c r="E586" i="8"/>
  <c r="F586" i="8" s="1"/>
  <c r="E597" i="8"/>
  <c r="F597" i="8" s="1"/>
  <c r="E602" i="8"/>
  <c r="F602" i="8" s="1"/>
  <c r="E613" i="8"/>
  <c r="F613" i="8" s="1"/>
  <c r="E618" i="8"/>
  <c r="F618" i="8" s="1"/>
  <c r="E629" i="8"/>
  <c r="F629" i="8" s="1"/>
  <c r="E634" i="8"/>
  <c r="F634" i="8" s="1"/>
  <c r="E645" i="8"/>
  <c r="F645" i="8" s="1"/>
  <c r="E661" i="8"/>
  <c r="F661" i="8" s="1"/>
  <c r="E671" i="8"/>
  <c r="F671" i="8" s="1"/>
  <c r="E703" i="8"/>
  <c r="F703" i="8" s="1"/>
  <c r="E739" i="8"/>
  <c r="F739" i="8" s="1"/>
  <c r="E746" i="8"/>
  <c r="F746" i="8" s="1"/>
  <c r="E752" i="8"/>
  <c r="F752" i="8" s="1"/>
  <c r="E757" i="8"/>
  <c r="F757" i="8" s="1"/>
  <c r="E767" i="8"/>
  <c r="F767" i="8" s="1"/>
  <c r="E802" i="8"/>
  <c r="F802" i="8" s="1"/>
  <c r="E836" i="8"/>
  <c r="F836" i="8" s="1"/>
  <c r="E841" i="8"/>
  <c r="F841" i="8" s="1"/>
  <c r="E863" i="8"/>
  <c r="F863" i="8" s="1"/>
  <c r="E869" i="8"/>
  <c r="F869" i="8" s="1"/>
  <c r="E875" i="8"/>
  <c r="F875" i="8" s="1"/>
  <c r="E895" i="8"/>
  <c r="F895" i="8" s="1"/>
  <c r="E901" i="8"/>
  <c r="F901" i="8" s="1"/>
  <c r="E907" i="8"/>
  <c r="F907" i="8" s="1"/>
  <c r="E920" i="8"/>
  <c r="F920" i="8" s="1"/>
  <c r="E958" i="8"/>
  <c r="F958" i="8" s="1"/>
  <c r="E962" i="8"/>
  <c r="F962" i="8" s="1"/>
  <c r="E967" i="8"/>
  <c r="F967" i="8" s="1"/>
  <c r="E984" i="8"/>
  <c r="F984" i="8" s="1"/>
  <c r="E1013" i="8"/>
  <c r="F1013" i="8" s="1"/>
  <c r="E1029" i="8"/>
  <c r="F1029" i="8" s="1"/>
  <c r="E1034" i="8"/>
  <c r="F1034" i="8" s="1"/>
  <c r="E1057" i="8"/>
  <c r="F1057" i="8" s="1"/>
  <c r="E1062" i="8"/>
  <c r="F1062" i="8" s="1"/>
  <c r="E1092" i="8"/>
  <c r="F1092" i="8" s="1"/>
  <c r="E1114" i="8"/>
  <c r="F1114" i="8" s="1"/>
  <c r="E1132" i="8"/>
  <c r="F1132" i="8" s="1"/>
  <c r="E1143" i="8"/>
  <c r="F1143" i="8" s="1"/>
  <c r="E1163" i="8"/>
  <c r="F1163" i="8" s="1"/>
  <c r="E1174" i="8"/>
  <c r="F1174" i="8" s="1"/>
  <c r="E1178" i="8"/>
  <c r="F1178" i="8" s="1"/>
  <c r="E1182" i="8"/>
  <c r="F1182" i="8" s="1"/>
  <c r="E1193" i="8"/>
  <c r="F1193" i="8" s="1"/>
  <c r="E1226" i="8"/>
  <c r="F1226" i="8" s="1"/>
  <c r="E1235" i="8"/>
  <c r="F1235" i="8" s="1"/>
  <c r="E1254" i="8"/>
  <c r="F1254" i="8" s="1"/>
  <c r="E1267" i="8"/>
  <c r="F1267" i="8" s="1"/>
  <c r="E1277" i="8"/>
  <c r="F1277" i="8" s="1"/>
  <c r="E1285" i="8"/>
  <c r="F1285" i="8" s="1"/>
  <c r="E1290" i="8"/>
  <c r="F1290" i="8" s="1"/>
  <c r="E10" i="8"/>
  <c r="F10" i="8" s="1"/>
  <c r="E9" i="8"/>
  <c r="F9" i="8" s="1"/>
  <c r="E26" i="8"/>
  <c r="F26" i="8" s="1"/>
  <c r="E25" i="8"/>
  <c r="F25" i="8" s="1"/>
  <c r="E42" i="8"/>
  <c r="F42" i="8" s="1"/>
  <c r="E41" i="8"/>
  <c r="F41" i="8" s="1"/>
  <c r="E423" i="8"/>
  <c r="F423" i="8" s="1"/>
  <c r="E424" i="8"/>
  <c r="F424" i="8" s="1"/>
  <c r="E391" i="8"/>
  <c r="F391" i="8" s="1"/>
  <c r="E392" i="8"/>
  <c r="F392" i="8" s="1"/>
  <c r="E7" i="8"/>
  <c r="F7" i="8" s="1"/>
  <c r="E18" i="8"/>
  <c r="F18" i="8" s="1"/>
  <c r="E17" i="8"/>
  <c r="F17" i="8" s="1"/>
  <c r="E23" i="8"/>
  <c r="F23" i="8" s="1"/>
  <c r="E34" i="8"/>
  <c r="F34" i="8" s="1"/>
  <c r="E33" i="8"/>
  <c r="F33" i="8" s="1"/>
  <c r="E39" i="8"/>
  <c r="F39" i="8" s="1"/>
  <c r="E50" i="8"/>
  <c r="F50" i="8" s="1"/>
  <c r="E49" i="8"/>
  <c r="F49" i="8" s="1"/>
  <c r="E407" i="8"/>
  <c r="F407" i="8" s="1"/>
  <c r="E408" i="8"/>
  <c r="F408" i="8" s="1"/>
  <c r="E375" i="8"/>
  <c r="F375" i="8" s="1"/>
  <c r="E376" i="8"/>
  <c r="F376" i="8" s="1"/>
  <c r="E107" i="8"/>
  <c r="F107" i="8" s="1"/>
  <c r="E428" i="8"/>
  <c r="F428" i="8" s="1"/>
  <c r="E387" i="8"/>
  <c r="F387" i="8" s="1"/>
  <c r="E419" i="8"/>
  <c r="F419" i="8" s="1"/>
  <c r="E444" i="8"/>
  <c r="F444" i="8" s="1"/>
  <c r="E396" i="8"/>
  <c r="F396" i="8" s="1"/>
  <c r="E383" i="8"/>
  <c r="F383" i="8" s="1"/>
  <c r="E393" i="8"/>
  <c r="F393" i="8" s="1"/>
  <c r="E415" i="8"/>
  <c r="F415" i="8" s="1"/>
  <c r="E425" i="8"/>
  <c r="F425" i="8" s="1"/>
  <c r="E429" i="8"/>
  <c r="F429" i="8" s="1"/>
  <c r="E435" i="8"/>
  <c r="F435" i="8" s="1"/>
  <c r="E433" i="8"/>
  <c r="F433" i="8" s="1"/>
  <c r="E794" i="8"/>
  <c r="F794" i="8" s="1"/>
  <c r="E793" i="8"/>
  <c r="F793" i="8" s="1"/>
  <c r="E384" i="8"/>
  <c r="F384" i="8" s="1"/>
  <c r="E416" i="8"/>
  <c r="F416" i="8" s="1"/>
  <c r="E430" i="8"/>
  <c r="F430" i="8" s="1"/>
  <c r="E441" i="8"/>
  <c r="F441" i="8" s="1"/>
  <c r="E450" i="8"/>
  <c r="F450" i="8" s="1"/>
  <c r="E693" i="8"/>
  <c r="F693" i="8" s="1"/>
  <c r="E692" i="8"/>
  <c r="F692" i="8" s="1"/>
  <c r="E455" i="8"/>
  <c r="F455" i="8" s="1"/>
  <c r="E454" i="8"/>
  <c r="F454" i="8" s="1"/>
  <c r="E114" i="8"/>
  <c r="F114" i="8" s="1"/>
  <c r="E118" i="8"/>
  <c r="F118" i="8" s="1"/>
  <c r="E122" i="8"/>
  <c r="F122" i="8" s="1"/>
  <c r="E126" i="8"/>
  <c r="F126" i="8" s="1"/>
  <c r="E130" i="8"/>
  <c r="F130" i="8" s="1"/>
  <c r="E134" i="8"/>
  <c r="F134" i="8" s="1"/>
  <c r="E138" i="8"/>
  <c r="F138" i="8" s="1"/>
  <c r="E142" i="8"/>
  <c r="F142" i="8" s="1"/>
  <c r="E146" i="8"/>
  <c r="F146" i="8" s="1"/>
  <c r="E150" i="8"/>
  <c r="F150" i="8" s="1"/>
  <c r="E154" i="8"/>
  <c r="F154" i="8" s="1"/>
  <c r="E158" i="8"/>
  <c r="F158" i="8" s="1"/>
  <c r="E162" i="8"/>
  <c r="F162" i="8" s="1"/>
  <c r="E166" i="8"/>
  <c r="F166" i="8" s="1"/>
  <c r="E170" i="8"/>
  <c r="F170" i="8" s="1"/>
  <c r="E174" i="8"/>
  <c r="F174" i="8" s="1"/>
  <c r="E178" i="8"/>
  <c r="F178" i="8" s="1"/>
  <c r="E182" i="8"/>
  <c r="F182" i="8" s="1"/>
  <c r="E186" i="8"/>
  <c r="F186" i="8" s="1"/>
  <c r="E190" i="8"/>
  <c r="F190" i="8" s="1"/>
  <c r="E194" i="8"/>
  <c r="F194" i="8" s="1"/>
  <c r="E198" i="8"/>
  <c r="F198" i="8" s="1"/>
  <c r="E202" i="8"/>
  <c r="F202" i="8" s="1"/>
  <c r="E206" i="8"/>
  <c r="F206" i="8" s="1"/>
  <c r="E210" i="8"/>
  <c r="F210" i="8" s="1"/>
  <c r="E214" i="8"/>
  <c r="F214" i="8" s="1"/>
  <c r="E218" i="8"/>
  <c r="F218" i="8" s="1"/>
  <c r="E222" i="8"/>
  <c r="F222" i="8" s="1"/>
  <c r="E226" i="8"/>
  <c r="F226" i="8" s="1"/>
  <c r="E230" i="8"/>
  <c r="F230" i="8" s="1"/>
  <c r="E234" i="8"/>
  <c r="F234" i="8" s="1"/>
  <c r="E238" i="8"/>
  <c r="F238" i="8" s="1"/>
  <c r="E242" i="8"/>
  <c r="F242" i="8" s="1"/>
  <c r="E246" i="8"/>
  <c r="F246" i="8" s="1"/>
  <c r="E250" i="8"/>
  <c r="F250" i="8" s="1"/>
  <c r="E254" i="8"/>
  <c r="F254" i="8" s="1"/>
  <c r="E258" i="8"/>
  <c r="F258" i="8" s="1"/>
  <c r="E262" i="8"/>
  <c r="F262" i="8" s="1"/>
  <c r="E266" i="8"/>
  <c r="F266" i="8" s="1"/>
  <c r="E270" i="8"/>
  <c r="F270" i="8" s="1"/>
  <c r="E274" i="8"/>
  <c r="F274" i="8" s="1"/>
  <c r="E278" i="8"/>
  <c r="F278" i="8" s="1"/>
  <c r="E282" i="8"/>
  <c r="F282" i="8" s="1"/>
  <c r="E286" i="8"/>
  <c r="F286" i="8" s="1"/>
  <c r="E290" i="8"/>
  <c r="F290" i="8" s="1"/>
  <c r="E294" i="8"/>
  <c r="F294" i="8" s="1"/>
  <c r="E298" i="8"/>
  <c r="F298" i="8" s="1"/>
  <c r="E689" i="8"/>
  <c r="F689" i="8" s="1"/>
  <c r="E688" i="8"/>
  <c r="F688" i="8" s="1"/>
  <c r="E371" i="8"/>
  <c r="F371" i="8" s="1"/>
  <c r="E403" i="8"/>
  <c r="F403" i="8" s="1"/>
  <c r="E111" i="8"/>
  <c r="F111" i="8" s="1"/>
  <c r="E115" i="8"/>
  <c r="F115" i="8" s="1"/>
  <c r="E119" i="8"/>
  <c r="F119" i="8" s="1"/>
  <c r="E123" i="8"/>
  <c r="F123" i="8" s="1"/>
  <c r="E127" i="8"/>
  <c r="F127" i="8" s="1"/>
  <c r="E131" i="8"/>
  <c r="F131" i="8" s="1"/>
  <c r="E135" i="8"/>
  <c r="F135" i="8" s="1"/>
  <c r="E139" i="8"/>
  <c r="F139" i="8" s="1"/>
  <c r="E143" i="8"/>
  <c r="F143" i="8" s="1"/>
  <c r="E147" i="8"/>
  <c r="F147" i="8" s="1"/>
  <c r="E151" i="8"/>
  <c r="F151" i="8" s="1"/>
  <c r="E155" i="8"/>
  <c r="F155" i="8" s="1"/>
  <c r="E159" i="8"/>
  <c r="F159" i="8" s="1"/>
  <c r="E163" i="8"/>
  <c r="F163" i="8" s="1"/>
  <c r="E167" i="8"/>
  <c r="F167" i="8" s="1"/>
  <c r="E171" i="8"/>
  <c r="F171" i="8" s="1"/>
  <c r="E175" i="8"/>
  <c r="F175" i="8" s="1"/>
  <c r="E179" i="8"/>
  <c r="F179" i="8" s="1"/>
  <c r="E183" i="8"/>
  <c r="F183" i="8" s="1"/>
  <c r="E187" i="8"/>
  <c r="F187" i="8" s="1"/>
  <c r="E191" i="8"/>
  <c r="F191" i="8" s="1"/>
  <c r="E195" i="8"/>
  <c r="F195" i="8" s="1"/>
  <c r="E199" i="8"/>
  <c r="F199" i="8" s="1"/>
  <c r="E203" i="8"/>
  <c r="F203" i="8" s="1"/>
  <c r="E207" i="8"/>
  <c r="F207" i="8" s="1"/>
  <c r="E211" i="8"/>
  <c r="F211" i="8" s="1"/>
  <c r="E215" i="8"/>
  <c r="F215" i="8" s="1"/>
  <c r="E219" i="8"/>
  <c r="F219" i="8" s="1"/>
  <c r="E223" i="8"/>
  <c r="F223" i="8" s="1"/>
  <c r="E227" i="8"/>
  <c r="F227" i="8" s="1"/>
  <c r="E231" i="8"/>
  <c r="F231" i="8" s="1"/>
  <c r="E235" i="8"/>
  <c r="F235" i="8" s="1"/>
  <c r="E239" i="8"/>
  <c r="F239" i="8" s="1"/>
  <c r="E243" i="8"/>
  <c r="F243" i="8" s="1"/>
  <c r="E367" i="8"/>
  <c r="F367" i="8" s="1"/>
  <c r="E377" i="8"/>
  <c r="F377" i="8" s="1"/>
  <c r="E399" i="8"/>
  <c r="F399" i="8" s="1"/>
  <c r="E409" i="8"/>
  <c r="F409" i="8" s="1"/>
  <c r="E437" i="8"/>
  <c r="F437" i="8" s="1"/>
  <c r="E447" i="8"/>
  <c r="F447" i="8" s="1"/>
  <c r="E446" i="8"/>
  <c r="F446" i="8" s="1"/>
  <c r="E685" i="8"/>
  <c r="F685" i="8" s="1"/>
  <c r="E684" i="8"/>
  <c r="F684" i="8" s="1"/>
  <c r="E717" i="8"/>
  <c r="F717" i="8" s="1"/>
  <c r="E716" i="8"/>
  <c r="F716" i="8" s="1"/>
  <c r="E461" i="8"/>
  <c r="F461" i="8" s="1"/>
  <c r="E491" i="8"/>
  <c r="F491" i="8" s="1"/>
  <c r="E496" i="8"/>
  <c r="F496" i="8" s="1"/>
  <c r="E512" i="8"/>
  <c r="F512" i="8" s="1"/>
  <c r="E528" i="8"/>
  <c r="F528" i="8" s="1"/>
  <c r="E544" i="8"/>
  <c r="F544" i="8" s="1"/>
  <c r="E560" i="8"/>
  <c r="F560" i="8" s="1"/>
  <c r="E576" i="8"/>
  <c r="F576" i="8" s="1"/>
  <c r="E592" i="8"/>
  <c r="F592" i="8" s="1"/>
  <c r="E608" i="8"/>
  <c r="F608" i="8" s="1"/>
  <c r="E624" i="8"/>
  <c r="F624" i="8" s="1"/>
  <c r="E640" i="8"/>
  <c r="F640" i="8" s="1"/>
  <c r="E656" i="8"/>
  <c r="F656" i="8" s="1"/>
  <c r="E681" i="8"/>
  <c r="F681" i="8" s="1"/>
  <c r="E680" i="8"/>
  <c r="F680" i="8" s="1"/>
  <c r="E713" i="8"/>
  <c r="F713" i="8" s="1"/>
  <c r="E712" i="8"/>
  <c r="F712" i="8" s="1"/>
  <c r="E786" i="8"/>
  <c r="F786" i="8" s="1"/>
  <c r="E785" i="8"/>
  <c r="F785" i="8" s="1"/>
  <c r="E933" i="8"/>
  <c r="F933" i="8" s="1"/>
  <c r="E932" i="8"/>
  <c r="F932" i="8" s="1"/>
  <c r="E443" i="8"/>
  <c r="F443" i="8" s="1"/>
  <c r="E449" i="8"/>
  <c r="F449" i="8" s="1"/>
  <c r="E453" i="8"/>
  <c r="F453" i="8" s="1"/>
  <c r="E457" i="8"/>
  <c r="F457" i="8" s="1"/>
  <c r="E470" i="8"/>
  <c r="F470" i="8" s="1"/>
  <c r="E478" i="8"/>
  <c r="F478" i="8" s="1"/>
  <c r="E486" i="8"/>
  <c r="F486" i="8" s="1"/>
  <c r="E497" i="8"/>
  <c r="F497" i="8" s="1"/>
  <c r="E502" i="8"/>
  <c r="F502" i="8" s="1"/>
  <c r="E513" i="8"/>
  <c r="F513" i="8" s="1"/>
  <c r="E518" i="8"/>
  <c r="F518" i="8" s="1"/>
  <c r="E529" i="8"/>
  <c r="F529" i="8" s="1"/>
  <c r="E534" i="8"/>
  <c r="F534" i="8" s="1"/>
  <c r="E545" i="8"/>
  <c r="F545" i="8" s="1"/>
  <c r="E550" i="8"/>
  <c r="F550" i="8" s="1"/>
  <c r="E561" i="8"/>
  <c r="F561" i="8" s="1"/>
  <c r="E566" i="8"/>
  <c r="F566" i="8" s="1"/>
  <c r="E582" i="8"/>
  <c r="F582" i="8" s="1"/>
  <c r="E598" i="8"/>
  <c r="F598" i="8" s="1"/>
  <c r="E614" i="8"/>
  <c r="F614" i="8" s="1"/>
  <c r="E677" i="8"/>
  <c r="F677" i="8" s="1"/>
  <c r="E676" i="8"/>
  <c r="F676" i="8" s="1"/>
  <c r="E709" i="8"/>
  <c r="F709" i="8" s="1"/>
  <c r="E708" i="8"/>
  <c r="F708" i="8" s="1"/>
  <c r="E928" i="8"/>
  <c r="F928" i="8" s="1"/>
  <c r="E475" i="8"/>
  <c r="F475" i="8" s="1"/>
  <c r="E482" i="8"/>
  <c r="F482" i="8" s="1"/>
  <c r="E492" i="8"/>
  <c r="F492" i="8" s="1"/>
  <c r="E508" i="8"/>
  <c r="F508" i="8" s="1"/>
  <c r="E524" i="8"/>
  <c r="F524" i="8" s="1"/>
  <c r="E540" i="8"/>
  <c r="F540" i="8" s="1"/>
  <c r="E556" i="8"/>
  <c r="F556" i="8" s="1"/>
  <c r="E572" i="8"/>
  <c r="F572" i="8" s="1"/>
  <c r="E588" i="8"/>
  <c r="F588" i="8" s="1"/>
  <c r="E604" i="8"/>
  <c r="F604" i="8" s="1"/>
  <c r="E620" i="8"/>
  <c r="F620" i="8" s="1"/>
  <c r="E636" i="8"/>
  <c r="F636" i="8" s="1"/>
  <c r="E673" i="8"/>
  <c r="F673" i="8" s="1"/>
  <c r="E672" i="8"/>
  <c r="F672" i="8" s="1"/>
  <c r="E705" i="8"/>
  <c r="F705" i="8" s="1"/>
  <c r="E704" i="8"/>
  <c r="F704" i="8" s="1"/>
  <c r="E467" i="8"/>
  <c r="F467" i="8" s="1"/>
  <c r="E493" i="8"/>
  <c r="F493" i="8" s="1"/>
  <c r="E509" i="8"/>
  <c r="F509" i="8" s="1"/>
  <c r="E525" i="8"/>
  <c r="F525" i="8" s="1"/>
  <c r="E541" i="8"/>
  <c r="F541" i="8" s="1"/>
  <c r="E557" i="8"/>
  <c r="F557" i="8" s="1"/>
  <c r="E701" i="8"/>
  <c r="F701" i="8" s="1"/>
  <c r="E700" i="8"/>
  <c r="F700" i="8" s="1"/>
  <c r="E459" i="8"/>
  <c r="F459" i="8" s="1"/>
  <c r="E463" i="8"/>
  <c r="F463" i="8" s="1"/>
  <c r="E488" i="8"/>
  <c r="F488" i="8" s="1"/>
  <c r="E504" i="8"/>
  <c r="F504" i="8" s="1"/>
  <c r="E520" i="8"/>
  <c r="F520" i="8" s="1"/>
  <c r="E536" i="8"/>
  <c r="F536" i="8" s="1"/>
  <c r="E552" i="8"/>
  <c r="F552" i="8" s="1"/>
  <c r="E568" i="8"/>
  <c r="F568" i="8" s="1"/>
  <c r="E584" i="8"/>
  <c r="F584" i="8" s="1"/>
  <c r="E600" i="8"/>
  <c r="F600" i="8" s="1"/>
  <c r="E616" i="8"/>
  <c r="F616" i="8" s="1"/>
  <c r="E632" i="8"/>
  <c r="F632" i="8" s="1"/>
  <c r="E648" i="8"/>
  <c r="F648" i="8" s="1"/>
  <c r="E664" i="8"/>
  <c r="F664" i="8" s="1"/>
  <c r="E697" i="8"/>
  <c r="F697" i="8" s="1"/>
  <c r="E696" i="8"/>
  <c r="F696" i="8" s="1"/>
  <c r="E812" i="8"/>
  <c r="F812" i="8" s="1"/>
  <c r="E811" i="8"/>
  <c r="F811" i="8" s="1"/>
  <c r="E806" i="8"/>
  <c r="F806" i="8" s="1"/>
  <c r="E805" i="8"/>
  <c r="F805" i="8" s="1"/>
  <c r="E778" i="8"/>
  <c r="F778" i="8" s="1"/>
  <c r="E777" i="8"/>
  <c r="F777" i="8" s="1"/>
  <c r="E650" i="8"/>
  <c r="F650" i="8" s="1"/>
  <c r="E654" i="8"/>
  <c r="F654" i="8" s="1"/>
  <c r="E658" i="8"/>
  <c r="F658" i="8" s="1"/>
  <c r="E662" i="8"/>
  <c r="F662" i="8" s="1"/>
  <c r="E666" i="8"/>
  <c r="F666" i="8" s="1"/>
  <c r="E770" i="8"/>
  <c r="F770" i="8" s="1"/>
  <c r="E769" i="8"/>
  <c r="F769" i="8" s="1"/>
  <c r="E723" i="8"/>
  <c r="F723" i="8" s="1"/>
  <c r="E738" i="8"/>
  <c r="F738" i="8" s="1"/>
  <c r="E762" i="8"/>
  <c r="F762" i="8" s="1"/>
  <c r="E761" i="8"/>
  <c r="F761" i="8" s="1"/>
  <c r="E724" i="8"/>
  <c r="F724" i="8" s="1"/>
  <c r="E754" i="8"/>
  <c r="F754" i="8" s="1"/>
  <c r="E753" i="8"/>
  <c r="F753" i="8" s="1"/>
  <c r="E720" i="8"/>
  <c r="F720" i="8" s="1"/>
  <c r="E729" i="8"/>
  <c r="F729" i="8" s="1"/>
  <c r="E745" i="8"/>
  <c r="F745" i="8" s="1"/>
  <c r="E722" i="8"/>
  <c r="F722" i="8" s="1"/>
  <c r="E732" i="8"/>
  <c r="F732" i="8" s="1"/>
  <c r="E740" i="8"/>
  <c r="F740" i="8" s="1"/>
  <c r="E748" i="8"/>
  <c r="F748" i="8" s="1"/>
  <c r="E756" i="8"/>
  <c r="F756" i="8" s="1"/>
  <c r="E764" i="8"/>
  <c r="F764" i="8" s="1"/>
  <c r="E772" i="8"/>
  <c r="F772" i="8" s="1"/>
  <c r="E780" i="8"/>
  <c r="F780" i="8" s="1"/>
  <c r="E788" i="8"/>
  <c r="F788" i="8" s="1"/>
  <c r="E796" i="8"/>
  <c r="F796" i="8" s="1"/>
  <c r="E832" i="8"/>
  <c r="F832" i="8" s="1"/>
  <c r="E981" i="8"/>
  <c r="F981" i="8" s="1"/>
  <c r="E999" i="8"/>
  <c r="F999" i="8" s="1"/>
  <c r="E1000" i="8"/>
  <c r="F1000" i="8" s="1"/>
  <c r="E728" i="8"/>
  <c r="F728" i="8" s="1"/>
  <c r="E736" i="8"/>
  <c r="F736" i="8" s="1"/>
  <c r="E744" i="8"/>
  <c r="F744" i="8" s="1"/>
  <c r="E807" i="8"/>
  <c r="F807" i="8" s="1"/>
  <c r="E814" i="8"/>
  <c r="F814" i="8" s="1"/>
  <c r="E822" i="8"/>
  <c r="F822" i="8" s="1"/>
  <c r="E830" i="8"/>
  <c r="F830" i="8" s="1"/>
  <c r="E939" i="8"/>
  <c r="F939" i="8" s="1"/>
  <c r="E940" i="8"/>
  <c r="F940" i="8" s="1"/>
  <c r="E726" i="8"/>
  <c r="F726" i="8" s="1"/>
  <c r="E734" i="8"/>
  <c r="F734" i="8" s="1"/>
  <c r="E742" i="8"/>
  <c r="F742" i="8" s="1"/>
  <c r="E750" i="8"/>
  <c r="F750" i="8" s="1"/>
  <c r="E755" i="8"/>
  <c r="F755" i="8" s="1"/>
  <c r="E758" i="8"/>
  <c r="F758" i="8" s="1"/>
  <c r="E763" i="8"/>
  <c r="F763" i="8" s="1"/>
  <c r="E766" i="8"/>
  <c r="F766" i="8" s="1"/>
  <c r="E771" i="8"/>
  <c r="F771" i="8" s="1"/>
  <c r="E774" i="8"/>
  <c r="F774" i="8" s="1"/>
  <c r="E779" i="8"/>
  <c r="F779" i="8" s="1"/>
  <c r="E782" i="8"/>
  <c r="F782" i="8" s="1"/>
  <c r="E787" i="8"/>
  <c r="F787" i="8" s="1"/>
  <c r="E790" i="8"/>
  <c r="F790" i="8" s="1"/>
  <c r="E795" i="8"/>
  <c r="F795" i="8" s="1"/>
  <c r="E798" i="8"/>
  <c r="F798" i="8" s="1"/>
  <c r="E801" i="8"/>
  <c r="F801" i="8" s="1"/>
  <c r="E815" i="8"/>
  <c r="F815" i="8" s="1"/>
  <c r="E831" i="8"/>
  <c r="F831" i="8" s="1"/>
  <c r="E840" i="8"/>
  <c r="F840" i="8" s="1"/>
  <c r="E936" i="8"/>
  <c r="F936" i="8" s="1"/>
  <c r="E980" i="8"/>
  <c r="F980" i="8" s="1"/>
  <c r="E850" i="8"/>
  <c r="F850" i="8" s="1"/>
  <c r="E866" i="8"/>
  <c r="F866" i="8" s="1"/>
  <c r="E882" i="8"/>
  <c r="F882" i="8" s="1"/>
  <c r="E898" i="8"/>
  <c r="F898" i="8" s="1"/>
  <c r="E914" i="8"/>
  <c r="F914" i="8" s="1"/>
  <c r="E937" i="8"/>
  <c r="F937" i="8" s="1"/>
  <c r="E995" i="8"/>
  <c r="F995" i="8" s="1"/>
  <c r="E994" i="8"/>
  <c r="F994" i="8" s="1"/>
  <c r="E860" i="8"/>
  <c r="F860" i="8" s="1"/>
  <c r="E876" i="8"/>
  <c r="F876" i="8" s="1"/>
  <c r="E892" i="8"/>
  <c r="F892" i="8" s="1"/>
  <c r="E908" i="8"/>
  <c r="F908" i="8" s="1"/>
  <c r="E934" i="8"/>
  <c r="F934" i="8" s="1"/>
  <c r="E941" i="8"/>
  <c r="F941" i="8" s="1"/>
  <c r="E945" i="8"/>
  <c r="F945" i="8" s="1"/>
  <c r="E971" i="8"/>
  <c r="F971" i="8" s="1"/>
  <c r="E983" i="8"/>
  <c r="F983" i="8" s="1"/>
  <c r="E1015" i="8"/>
  <c r="F1015" i="8" s="1"/>
  <c r="E1016" i="8"/>
  <c r="F1016" i="8" s="1"/>
  <c r="E819" i="8"/>
  <c r="F819" i="8" s="1"/>
  <c r="E826" i="8"/>
  <c r="F826" i="8" s="1"/>
  <c r="E834" i="8"/>
  <c r="F834" i="8" s="1"/>
  <c r="E842" i="8"/>
  <c r="F842" i="8" s="1"/>
  <c r="E854" i="8"/>
  <c r="F854" i="8" s="1"/>
  <c r="E857" i="8"/>
  <c r="F857" i="8" s="1"/>
  <c r="E870" i="8"/>
  <c r="F870" i="8" s="1"/>
  <c r="E873" i="8"/>
  <c r="F873" i="8" s="1"/>
  <c r="E886" i="8"/>
  <c r="F886" i="8" s="1"/>
  <c r="E889" i="8"/>
  <c r="F889" i="8" s="1"/>
  <c r="E902" i="8"/>
  <c r="F902" i="8" s="1"/>
  <c r="E905" i="8"/>
  <c r="F905" i="8" s="1"/>
  <c r="E918" i="8"/>
  <c r="F918" i="8" s="1"/>
  <c r="E921" i="8"/>
  <c r="F921" i="8" s="1"/>
  <c r="E927" i="8"/>
  <c r="F927" i="8" s="1"/>
  <c r="E942" i="8"/>
  <c r="F942" i="8" s="1"/>
  <c r="E949" i="8"/>
  <c r="F949" i="8" s="1"/>
  <c r="E953" i="8"/>
  <c r="F953" i="8" s="1"/>
  <c r="E956" i="8"/>
  <c r="F956" i="8" s="1"/>
  <c r="E979" i="8"/>
  <c r="F979" i="8" s="1"/>
  <c r="E996" i="8"/>
  <c r="F996" i="8" s="1"/>
  <c r="E1072" i="8"/>
  <c r="F1072" i="8" s="1"/>
  <c r="E1113" i="8"/>
  <c r="F1113" i="8" s="1"/>
  <c r="E817" i="8"/>
  <c r="F817" i="8" s="1"/>
  <c r="E829" i="8"/>
  <c r="F829" i="8" s="1"/>
  <c r="E837" i="8"/>
  <c r="F837" i="8" s="1"/>
  <c r="E845" i="8"/>
  <c r="F845" i="8" s="1"/>
  <c r="E848" i="8"/>
  <c r="F848" i="8" s="1"/>
  <c r="E864" i="8"/>
  <c r="F864" i="8" s="1"/>
  <c r="E880" i="8"/>
  <c r="F880" i="8" s="1"/>
  <c r="E896" i="8"/>
  <c r="F896" i="8" s="1"/>
  <c r="E912" i="8"/>
  <c r="F912" i="8" s="1"/>
  <c r="E961" i="8"/>
  <c r="F961" i="8" s="1"/>
  <c r="E858" i="8"/>
  <c r="F858" i="8" s="1"/>
  <c r="E874" i="8"/>
  <c r="F874" i="8" s="1"/>
  <c r="E890" i="8"/>
  <c r="F890" i="8" s="1"/>
  <c r="E906" i="8"/>
  <c r="F906" i="8" s="1"/>
  <c r="E922" i="8"/>
  <c r="F922" i="8" s="1"/>
  <c r="E965" i="8"/>
  <c r="F965" i="8" s="1"/>
  <c r="E969" i="8"/>
  <c r="F969" i="8" s="1"/>
  <c r="E989" i="8"/>
  <c r="F989" i="8" s="1"/>
  <c r="E1003" i="8"/>
  <c r="F1003" i="8" s="1"/>
  <c r="E1197" i="8"/>
  <c r="F1197" i="8" s="1"/>
  <c r="E1196" i="8"/>
  <c r="F1196" i="8" s="1"/>
  <c r="E813" i="8"/>
  <c r="F813" i="8" s="1"/>
  <c r="E827" i="8"/>
  <c r="F827" i="8" s="1"/>
  <c r="E835" i="8"/>
  <c r="F835" i="8" s="1"/>
  <c r="E843" i="8"/>
  <c r="F843" i="8" s="1"/>
  <c r="E852" i="8"/>
  <c r="F852" i="8" s="1"/>
  <c r="E855" i="8"/>
  <c r="F855" i="8" s="1"/>
  <c r="E868" i="8"/>
  <c r="F868" i="8" s="1"/>
  <c r="E884" i="8"/>
  <c r="F884" i="8" s="1"/>
  <c r="E900" i="8"/>
  <c r="F900" i="8" s="1"/>
  <c r="E916" i="8"/>
  <c r="F916" i="8" s="1"/>
  <c r="E966" i="8"/>
  <c r="F966" i="8" s="1"/>
  <c r="E973" i="8"/>
  <c r="F973" i="8" s="1"/>
  <c r="E977" i="8"/>
  <c r="F977" i="8" s="1"/>
  <c r="E1056" i="8"/>
  <c r="F1056" i="8" s="1"/>
  <c r="E1010" i="8"/>
  <c r="F1010" i="8" s="1"/>
  <c r="E1017" i="8"/>
  <c r="F1017" i="8" s="1"/>
  <c r="E1048" i="8"/>
  <c r="F1048" i="8" s="1"/>
  <c r="E1065" i="8"/>
  <c r="F1065" i="8" s="1"/>
  <c r="E1165" i="8"/>
  <c r="F1165" i="8" s="1"/>
  <c r="E1164" i="8"/>
  <c r="F1164" i="8" s="1"/>
  <c r="E1219" i="8"/>
  <c r="F1219" i="8" s="1"/>
  <c r="E1218" i="8"/>
  <c r="F1218" i="8" s="1"/>
  <c r="E1040" i="8"/>
  <c r="F1040" i="8" s="1"/>
  <c r="E1033" i="8"/>
  <c r="F1033" i="8" s="1"/>
  <c r="E1096" i="8"/>
  <c r="F1096" i="8" s="1"/>
  <c r="E1213" i="8"/>
  <c r="F1213" i="8" s="1"/>
  <c r="E1212" i="8"/>
  <c r="F1212" i="8" s="1"/>
  <c r="E1088" i="8"/>
  <c r="F1088" i="8" s="1"/>
  <c r="E1118" i="8"/>
  <c r="F1118" i="8" s="1"/>
  <c r="E1181" i="8"/>
  <c r="F1181" i="8" s="1"/>
  <c r="E1180" i="8"/>
  <c r="F1180" i="8" s="1"/>
  <c r="E1080" i="8"/>
  <c r="F1080" i="8" s="1"/>
  <c r="E1097" i="8"/>
  <c r="F1097" i="8" s="1"/>
  <c r="E1134" i="8"/>
  <c r="F1134" i="8" s="1"/>
  <c r="E1031" i="8"/>
  <c r="F1031" i="8" s="1"/>
  <c r="E1043" i="8"/>
  <c r="F1043" i="8" s="1"/>
  <c r="E1051" i="8"/>
  <c r="F1051" i="8" s="1"/>
  <c r="E1059" i="8"/>
  <c r="F1059" i="8" s="1"/>
  <c r="E1067" i="8"/>
  <c r="F1067" i="8" s="1"/>
  <c r="E1075" i="8"/>
  <c r="F1075" i="8" s="1"/>
  <c r="E1083" i="8"/>
  <c r="F1083" i="8" s="1"/>
  <c r="E1091" i="8"/>
  <c r="F1091" i="8" s="1"/>
  <c r="E1109" i="8"/>
  <c r="F1109" i="8" s="1"/>
  <c r="E1112" i="8"/>
  <c r="F1112" i="8" s="1"/>
  <c r="E1125" i="8"/>
  <c r="F1125" i="8" s="1"/>
  <c r="E1128" i="8"/>
  <c r="F1128" i="8" s="1"/>
  <c r="E1138" i="8"/>
  <c r="F1138" i="8" s="1"/>
  <c r="E1141" i="8"/>
  <c r="F1141" i="8" s="1"/>
  <c r="E1233" i="8"/>
  <c r="F1233" i="8" s="1"/>
  <c r="E1249" i="8"/>
  <c r="F1249" i="8" s="1"/>
  <c r="E1291" i="8"/>
  <c r="F1291" i="8" s="1"/>
  <c r="E1107" i="8"/>
  <c r="F1107" i="8" s="1"/>
  <c r="E1123" i="8"/>
  <c r="F1123" i="8" s="1"/>
  <c r="E1146" i="8"/>
  <c r="F1146" i="8" s="1"/>
  <c r="E1149" i="8"/>
  <c r="F1149" i="8" s="1"/>
  <c r="E1023" i="8"/>
  <c r="F1023" i="8" s="1"/>
  <c r="E1039" i="8"/>
  <c r="F1039" i="8" s="1"/>
  <c r="E1047" i="8"/>
  <c r="F1047" i="8" s="1"/>
  <c r="E1055" i="8"/>
  <c r="F1055" i="8" s="1"/>
  <c r="E1063" i="8"/>
  <c r="F1063" i="8" s="1"/>
  <c r="E1071" i="8"/>
  <c r="F1071" i="8" s="1"/>
  <c r="E1079" i="8"/>
  <c r="F1079" i="8" s="1"/>
  <c r="E1087" i="8"/>
  <c r="F1087" i="8" s="1"/>
  <c r="E1095" i="8"/>
  <c r="F1095" i="8" s="1"/>
  <c r="E1101" i="8"/>
  <c r="F1101" i="8" s="1"/>
  <c r="E1117" i="8"/>
  <c r="F1117" i="8" s="1"/>
  <c r="E1133" i="8"/>
  <c r="F1133" i="8" s="1"/>
  <c r="E1111" i="8"/>
  <c r="F1111" i="8" s="1"/>
  <c r="E1127" i="8"/>
  <c r="F1127" i="8" s="1"/>
  <c r="E1211" i="8"/>
  <c r="F1211" i="8" s="1"/>
  <c r="E1210" i="8"/>
  <c r="F1210" i="8" s="1"/>
  <c r="E1019" i="8"/>
  <c r="F1019" i="8" s="1"/>
  <c r="E1035" i="8"/>
  <c r="F1035" i="8" s="1"/>
  <c r="E1045" i="8"/>
  <c r="F1045" i="8" s="1"/>
  <c r="E1053" i="8"/>
  <c r="F1053" i="8" s="1"/>
  <c r="E1061" i="8"/>
  <c r="F1061" i="8" s="1"/>
  <c r="E1069" i="8"/>
  <c r="F1069" i="8" s="1"/>
  <c r="E1077" i="8"/>
  <c r="F1077" i="8" s="1"/>
  <c r="E1085" i="8"/>
  <c r="F1085" i="8" s="1"/>
  <c r="E1093" i="8"/>
  <c r="F1093" i="8" s="1"/>
  <c r="E1105" i="8"/>
  <c r="F1105" i="8" s="1"/>
  <c r="E1108" i="8"/>
  <c r="F1108" i="8" s="1"/>
  <c r="E1121" i="8"/>
  <c r="F1121" i="8" s="1"/>
  <c r="E1124" i="8"/>
  <c r="F1124" i="8" s="1"/>
  <c r="E1140" i="8"/>
  <c r="F1140" i="8" s="1"/>
  <c r="E1154" i="8"/>
  <c r="F1154" i="8" s="1"/>
  <c r="E1157" i="8"/>
  <c r="F1157" i="8" s="1"/>
  <c r="E1170" i="8"/>
  <c r="F1170" i="8" s="1"/>
  <c r="E1173" i="8"/>
  <c r="F1173" i="8" s="1"/>
  <c r="E1186" i="8"/>
  <c r="F1186" i="8" s="1"/>
  <c r="E1189" i="8"/>
  <c r="F1189" i="8" s="1"/>
  <c r="E1202" i="8"/>
  <c r="F1202" i="8" s="1"/>
  <c r="E1099" i="8"/>
  <c r="F1099" i="8" s="1"/>
  <c r="E1115" i="8"/>
  <c r="F1115" i="8" s="1"/>
  <c r="E1131" i="8"/>
  <c r="F1131" i="8" s="1"/>
  <c r="E1137" i="8"/>
  <c r="F1137" i="8" s="1"/>
  <c r="E1206" i="8"/>
  <c r="F1206" i="8" s="1"/>
  <c r="E1214" i="8"/>
  <c r="F1214" i="8" s="1"/>
  <c r="E1153" i="8"/>
  <c r="F1153" i="8" s="1"/>
  <c r="E1201" i="8"/>
  <c r="F1201" i="8" s="1"/>
  <c r="E1225" i="8"/>
  <c r="F1225" i="8" s="1"/>
  <c r="E1241" i="8"/>
  <c r="F1241" i="8" s="1"/>
  <c r="E1257" i="8"/>
  <c r="F1257" i="8" s="1"/>
  <c r="E1273" i="8"/>
  <c r="F1273" i="8" s="1"/>
  <c r="E1289" i="8"/>
  <c r="F1289" i="8" s="1"/>
  <c r="E1151" i="8"/>
  <c r="F1151" i="8" s="1"/>
  <c r="E1159" i="8"/>
  <c r="F1159" i="8" s="1"/>
  <c r="E1167" i="8"/>
  <c r="F1167" i="8" s="1"/>
  <c r="E1175" i="8"/>
  <c r="F1175" i="8" s="1"/>
  <c r="E1183" i="8"/>
  <c r="F1183" i="8" s="1"/>
  <c r="E1191" i="8"/>
  <c r="F1191" i="8" s="1"/>
  <c r="E1199" i="8"/>
  <c r="F1199" i="8" s="1"/>
  <c r="E1239" i="8"/>
  <c r="F1239" i="8" s="1"/>
  <c r="E1255" i="8"/>
  <c r="F1255" i="8" s="1"/>
  <c r="E1271" i="8"/>
  <c r="F1271" i="8" s="1"/>
  <c r="E1287" i="8"/>
  <c r="F1287" i="8" s="1"/>
  <c r="E1303" i="8"/>
  <c r="F1303" i="8" s="1"/>
  <c r="E1265" i="8"/>
  <c r="F1265" i="8" s="1"/>
  <c r="E1281" i="8"/>
  <c r="F1281" i="8" s="1"/>
  <c r="E1297" i="8"/>
  <c r="F1297" i="8" s="1"/>
  <c r="E844" i="5"/>
  <c r="F844" i="5" s="1"/>
  <c r="E1194" i="5"/>
  <c r="F1194" i="5" s="1"/>
  <c r="E856" i="5"/>
  <c r="F856" i="5" s="1"/>
  <c r="E929" i="5"/>
  <c r="F929" i="5" s="1"/>
  <c r="E736" i="5"/>
  <c r="F736" i="5" s="1"/>
  <c r="E64" i="5"/>
  <c r="F64" i="5" s="1"/>
  <c r="E248" i="5"/>
  <c r="F248" i="5" s="1"/>
  <c r="E512" i="5"/>
  <c r="F512" i="5" s="1"/>
  <c r="E693" i="5"/>
  <c r="F693" i="5" s="1"/>
  <c r="E703" i="5"/>
  <c r="F703" i="5" s="1"/>
  <c r="E725" i="5"/>
  <c r="F725" i="5" s="1"/>
  <c r="E735" i="5"/>
  <c r="F735" i="5" s="1"/>
  <c r="E917" i="5"/>
  <c r="F917" i="5" s="1"/>
  <c r="E1023" i="5"/>
  <c r="F1023" i="5" s="1"/>
  <c r="E1055" i="5"/>
  <c r="F1055" i="5" s="1"/>
  <c r="E1183" i="5"/>
  <c r="F1183" i="5" s="1"/>
  <c r="E1205" i="5"/>
  <c r="F1205" i="5" s="1"/>
  <c r="E1215" i="5"/>
  <c r="F1215" i="5" s="1"/>
  <c r="E165" i="5"/>
  <c r="F165" i="5" s="1"/>
  <c r="E765" i="5"/>
  <c r="F765" i="5" s="1"/>
  <c r="E848" i="5"/>
  <c r="F848" i="5" s="1"/>
  <c r="E812" i="5"/>
  <c r="F812" i="5" s="1"/>
  <c r="E740" i="5"/>
  <c r="F740" i="5" s="1"/>
  <c r="E893" i="5"/>
  <c r="F893" i="5" s="1"/>
  <c r="E941" i="5"/>
  <c r="F941" i="5" s="1"/>
  <c r="E900" i="5"/>
  <c r="F900" i="5" s="1"/>
  <c r="E860" i="5"/>
  <c r="F860" i="5" s="1"/>
  <c r="E901" i="5"/>
  <c r="F901" i="5" s="1"/>
  <c r="E776" i="5"/>
  <c r="F776" i="5" s="1"/>
  <c r="E871" i="5"/>
  <c r="F871" i="5" s="1"/>
  <c r="E757" i="5"/>
  <c r="F757" i="5" s="1"/>
  <c r="E821" i="5"/>
  <c r="F821" i="5" s="1"/>
  <c r="E841" i="5"/>
  <c r="F841" i="5" s="1"/>
  <c r="E853" i="5"/>
  <c r="F853" i="5" s="1"/>
  <c r="E664" i="5"/>
  <c r="F664" i="5" s="1"/>
  <c r="E877" i="5"/>
  <c r="F877" i="5" s="1"/>
  <c r="E896" i="5"/>
  <c r="F896" i="5" s="1"/>
  <c r="E1069" i="5"/>
  <c r="F1069" i="5" s="1"/>
  <c r="E8" i="5"/>
  <c r="F8" i="5" s="1"/>
  <c r="E705" i="5"/>
  <c r="F705" i="5" s="1"/>
  <c r="E727" i="5"/>
  <c r="F727" i="5" s="1"/>
  <c r="E767" i="5"/>
  <c r="F767" i="5" s="1"/>
  <c r="E840" i="5"/>
  <c r="F840" i="5" s="1"/>
  <c r="E921" i="5"/>
  <c r="F921" i="5" s="1"/>
  <c r="E953" i="5"/>
  <c r="F953" i="5" s="1"/>
  <c r="E965" i="5"/>
  <c r="F965" i="5" s="1"/>
  <c r="E985" i="5"/>
  <c r="F985" i="5" s="1"/>
  <c r="E1017" i="5"/>
  <c r="F1017" i="5" s="1"/>
  <c r="E1039" i="5"/>
  <c r="F1039" i="5" s="1"/>
  <c r="E1079" i="5"/>
  <c r="F1079" i="5" s="1"/>
  <c r="E38" i="5"/>
  <c r="F38" i="5" s="1"/>
  <c r="E88" i="5"/>
  <c r="F88" i="5" s="1"/>
  <c r="E1095" i="5"/>
  <c r="F1095" i="5" s="1"/>
  <c r="E1105" i="5"/>
  <c r="F1105" i="5" s="1"/>
  <c r="E1117" i="5"/>
  <c r="F1117" i="5" s="1"/>
  <c r="E1127" i="5"/>
  <c r="F1127" i="5" s="1"/>
  <c r="E1137" i="5"/>
  <c r="F1137" i="5" s="1"/>
  <c r="E1191" i="5"/>
  <c r="F1191" i="5" s="1"/>
  <c r="E805" i="5"/>
  <c r="F805" i="5" s="1"/>
  <c r="E772" i="5"/>
  <c r="F772" i="5" s="1"/>
  <c r="E22" i="5"/>
  <c r="F22" i="5" s="1"/>
  <c r="E121" i="5"/>
  <c r="F121" i="5" s="1"/>
  <c r="E184" i="5"/>
  <c r="F184" i="5" s="1"/>
  <c r="E204" i="5"/>
  <c r="F204" i="5" s="1"/>
  <c r="E223" i="5"/>
  <c r="F223" i="5" s="1"/>
  <c r="E233" i="5"/>
  <c r="F233" i="5" s="1"/>
  <c r="E497" i="5"/>
  <c r="F497" i="5" s="1"/>
  <c r="E509" i="5"/>
  <c r="F509" i="5" s="1"/>
  <c r="E624" i="5"/>
  <c r="F624" i="5" s="1"/>
  <c r="E656" i="5"/>
  <c r="F656" i="5" s="1"/>
  <c r="E688" i="5"/>
  <c r="F688" i="5" s="1"/>
  <c r="E73" i="5"/>
  <c r="F73" i="5" s="1"/>
  <c r="E85" i="5"/>
  <c r="F85" i="5" s="1"/>
  <c r="E125" i="5"/>
  <c r="F125" i="5" s="1"/>
  <c r="E166" i="5"/>
  <c r="F166" i="5" s="1"/>
  <c r="E565" i="5"/>
  <c r="F565" i="5" s="1"/>
  <c r="E837" i="5"/>
  <c r="F837" i="5" s="1"/>
  <c r="E892" i="5"/>
  <c r="F892" i="5" s="1"/>
  <c r="E852" i="5"/>
  <c r="F852" i="5" s="1"/>
  <c r="E788" i="5"/>
  <c r="F788" i="5" s="1"/>
  <c r="E748" i="5"/>
  <c r="F748" i="5" s="1"/>
  <c r="E732" i="5"/>
  <c r="F732" i="5" s="1"/>
  <c r="E524" i="5"/>
  <c r="F524" i="5" s="1"/>
  <c r="E42" i="5"/>
  <c r="F42" i="5" s="1"/>
  <c r="E585" i="5"/>
  <c r="F585" i="5" s="1"/>
  <c r="E815" i="5"/>
  <c r="F815" i="5" s="1"/>
  <c r="E982" i="5"/>
  <c r="F982" i="5" s="1"/>
  <c r="E1024" i="5"/>
  <c r="F1024" i="5" s="1"/>
  <c r="E1089" i="5"/>
  <c r="F1089" i="5" s="1"/>
  <c r="E1013" i="5"/>
  <c r="F1013" i="5" s="1"/>
  <c r="E1065" i="5"/>
  <c r="F1065" i="5" s="1"/>
  <c r="E312" i="5"/>
  <c r="F312" i="5" s="1"/>
  <c r="E544" i="5"/>
  <c r="F544" i="5" s="1"/>
  <c r="E888" i="5"/>
  <c r="F888" i="5" s="1"/>
  <c r="E909" i="5"/>
  <c r="F909" i="5" s="1"/>
  <c r="E1111" i="5"/>
  <c r="F1111" i="5" s="1"/>
  <c r="E356" i="5"/>
  <c r="F356" i="5" s="1"/>
  <c r="E431" i="5"/>
  <c r="F431" i="5" s="1"/>
  <c r="E504" i="5"/>
  <c r="F504" i="5" s="1"/>
  <c r="E10" i="5"/>
  <c r="F10" i="5" s="1"/>
  <c r="E264" i="5"/>
  <c r="F264" i="5" s="1"/>
  <c r="E328" i="5"/>
  <c r="F328" i="5" s="1"/>
  <c r="E528" i="5"/>
  <c r="F528" i="5" s="1"/>
  <c r="E560" i="5"/>
  <c r="F560" i="5" s="1"/>
  <c r="E592" i="5"/>
  <c r="F592" i="5" s="1"/>
  <c r="E697" i="5"/>
  <c r="F697" i="5" s="1"/>
  <c r="E719" i="5"/>
  <c r="F719" i="5" s="1"/>
  <c r="E800" i="5"/>
  <c r="F800" i="5" s="1"/>
  <c r="E822" i="5"/>
  <c r="F822" i="5" s="1"/>
  <c r="E1085" i="5"/>
  <c r="F1085" i="5" s="1"/>
  <c r="E1201" i="5"/>
  <c r="F1201" i="5" s="1"/>
  <c r="E1096" i="5"/>
  <c r="F1096" i="5" s="1"/>
  <c r="E885" i="5"/>
  <c r="F885" i="5" s="1"/>
  <c r="E420" i="5"/>
  <c r="F420" i="5" s="1"/>
  <c r="E388" i="5"/>
  <c r="F388" i="5" s="1"/>
  <c r="E107" i="5"/>
  <c r="F107" i="5" s="1"/>
  <c r="E616" i="5"/>
  <c r="F616" i="5" s="1"/>
  <c r="E792" i="5"/>
  <c r="F792" i="5" s="1"/>
  <c r="E869" i="5"/>
  <c r="F869" i="5" s="1"/>
  <c r="E399" i="5"/>
  <c r="F399" i="5" s="1"/>
  <c r="E482" i="5"/>
  <c r="F482" i="5" s="1"/>
  <c r="E7" i="5"/>
  <c r="F7" i="5" s="1"/>
  <c r="E26" i="5"/>
  <c r="F26" i="5" s="1"/>
  <c r="E77" i="5"/>
  <c r="F77" i="5" s="1"/>
  <c r="E137" i="5"/>
  <c r="F137" i="5" s="1"/>
  <c r="E208" i="5"/>
  <c r="F208" i="5" s="1"/>
  <c r="E239" i="5"/>
  <c r="F239" i="5" s="1"/>
  <c r="E271" i="5"/>
  <c r="F271" i="5" s="1"/>
  <c r="E303" i="5"/>
  <c r="F303" i="5" s="1"/>
  <c r="E481" i="5"/>
  <c r="F481" i="5" s="1"/>
  <c r="E493" i="5"/>
  <c r="F493" i="5" s="1"/>
  <c r="E640" i="5"/>
  <c r="F640" i="5" s="1"/>
  <c r="E672" i="5"/>
  <c r="F672" i="5" s="1"/>
  <c r="E53" i="5"/>
  <c r="F53" i="5" s="1"/>
  <c r="E72" i="5"/>
  <c r="F72" i="5" s="1"/>
  <c r="E93" i="5"/>
  <c r="F93" i="5" s="1"/>
  <c r="E103" i="5"/>
  <c r="F103" i="5" s="1"/>
  <c r="E153" i="5"/>
  <c r="F153" i="5" s="1"/>
  <c r="E185" i="5"/>
  <c r="F185" i="5" s="1"/>
  <c r="E287" i="5"/>
  <c r="F287" i="5" s="1"/>
  <c r="E329" i="5"/>
  <c r="F329" i="5" s="1"/>
  <c r="E750" i="5"/>
  <c r="F750" i="5" s="1"/>
  <c r="E759" i="5"/>
  <c r="F759" i="5" s="1"/>
  <c r="E781" i="5"/>
  <c r="F781" i="5" s="1"/>
  <c r="E1040" i="5"/>
  <c r="F1040" i="5" s="1"/>
  <c r="E996" i="5"/>
  <c r="F996" i="5" s="1"/>
  <c r="E1210" i="5"/>
  <c r="F1210" i="5" s="1"/>
  <c r="E144" i="5"/>
  <c r="F144" i="5" s="1"/>
  <c r="E247" i="5"/>
  <c r="F247" i="5" s="1"/>
  <c r="E320" i="5"/>
  <c r="F320" i="5" s="1"/>
  <c r="E351" i="5"/>
  <c r="F351" i="5" s="1"/>
  <c r="E468" i="5"/>
  <c r="F468" i="5" s="1"/>
  <c r="E478" i="5"/>
  <c r="F478" i="5" s="1"/>
  <c r="E488" i="5"/>
  <c r="F488" i="5" s="1"/>
  <c r="E584" i="5"/>
  <c r="F584" i="5" s="1"/>
  <c r="E791" i="5"/>
  <c r="F791" i="5" s="1"/>
  <c r="E1028" i="5"/>
  <c r="F1028" i="5" s="1"/>
  <c r="E1296" i="5"/>
  <c r="F1296" i="5" s="1"/>
  <c r="E1060" i="5"/>
  <c r="F1060" i="5" s="1"/>
  <c r="E1142" i="5"/>
  <c r="F1142" i="5" s="1"/>
  <c r="E1152" i="5"/>
  <c r="F1152" i="5" s="1"/>
  <c r="E1216" i="5"/>
  <c r="F1216" i="5" s="1"/>
  <c r="E1238" i="5"/>
  <c r="F1238" i="5" s="1"/>
  <c r="E484" i="5"/>
  <c r="F484" i="5" s="1"/>
  <c r="E281" i="5"/>
  <c r="F281" i="5" s="1"/>
  <c r="E335" i="5"/>
  <c r="F335" i="5" s="1"/>
  <c r="E1092" i="5"/>
  <c r="F1092" i="5" s="1"/>
  <c r="E317" i="5"/>
  <c r="F317" i="5" s="1"/>
  <c r="E21" i="5"/>
  <c r="F21" i="5" s="1"/>
  <c r="E40" i="5"/>
  <c r="F40" i="5" s="1"/>
  <c r="E48" i="5"/>
  <c r="F48" i="5" s="1"/>
  <c r="E69" i="5"/>
  <c r="F69" i="5" s="1"/>
  <c r="E139" i="5"/>
  <c r="F139" i="5" s="1"/>
  <c r="E525" i="5"/>
  <c r="F525" i="5" s="1"/>
  <c r="E621" i="5"/>
  <c r="F621" i="5" s="1"/>
  <c r="E797" i="5"/>
  <c r="F797" i="5" s="1"/>
  <c r="E1006" i="5"/>
  <c r="F1006" i="5" s="1"/>
  <c r="E1048" i="5"/>
  <c r="F1048" i="5" s="1"/>
  <c r="E391" i="5"/>
  <c r="F391" i="5" s="1"/>
  <c r="E205" i="5"/>
  <c r="F205" i="5" s="1"/>
  <c r="E1064" i="5"/>
  <c r="F1064" i="5" s="1"/>
  <c r="E423" i="5"/>
  <c r="F423" i="5" s="1"/>
  <c r="E775" i="5"/>
  <c r="F775" i="5" s="1"/>
  <c r="E806" i="5"/>
  <c r="F806" i="5" s="1"/>
  <c r="E816" i="5"/>
  <c r="F816" i="5" s="1"/>
  <c r="E918" i="5"/>
  <c r="F918" i="5" s="1"/>
  <c r="E1178" i="5"/>
  <c r="F1178" i="5" s="1"/>
  <c r="E112" i="5"/>
  <c r="F112" i="5" s="1"/>
  <c r="E517" i="5"/>
  <c r="F517" i="5" s="1"/>
  <c r="E569" i="5"/>
  <c r="F569" i="5" s="1"/>
  <c r="E829" i="5"/>
  <c r="F829" i="5" s="1"/>
  <c r="E39" i="5"/>
  <c r="F39" i="5" s="1"/>
  <c r="E46" i="5"/>
  <c r="F46" i="5" s="1"/>
  <c r="E56" i="5"/>
  <c r="F56" i="5" s="1"/>
  <c r="E65" i="5"/>
  <c r="F65" i="5" s="1"/>
  <c r="E105" i="5"/>
  <c r="F105" i="5" s="1"/>
  <c r="E279" i="5"/>
  <c r="F279" i="5" s="1"/>
  <c r="E343" i="5"/>
  <c r="F343" i="5" s="1"/>
  <c r="E448" i="5"/>
  <c r="F448" i="5" s="1"/>
  <c r="E510" i="5"/>
  <c r="F510" i="5" s="1"/>
  <c r="E552" i="5"/>
  <c r="F552" i="5" s="1"/>
  <c r="E623" i="5"/>
  <c r="F623" i="5" s="1"/>
  <c r="E633" i="5"/>
  <c r="F633" i="5" s="1"/>
  <c r="E655" i="5"/>
  <c r="F655" i="5" s="1"/>
  <c r="E665" i="5"/>
  <c r="F665" i="5" s="1"/>
  <c r="E687" i="5"/>
  <c r="F687" i="5" s="1"/>
  <c r="E696" i="5"/>
  <c r="F696" i="5" s="1"/>
  <c r="E749" i="5"/>
  <c r="F749" i="5" s="1"/>
  <c r="E768" i="5"/>
  <c r="F768" i="5" s="1"/>
  <c r="E789" i="5"/>
  <c r="F789" i="5" s="1"/>
  <c r="E838" i="5"/>
  <c r="F838" i="5" s="1"/>
  <c r="E974" i="5"/>
  <c r="F974" i="5" s="1"/>
  <c r="E984" i="5"/>
  <c r="F984" i="5" s="1"/>
  <c r="E992" i="5"/>
  <c r="F992" i="5" s="1"/>
  <c r="E1015" i="5"/>
  <c r="F1015" i="5" s="1"/>
  <c r="E1025" i="5"/>
  <c r="F1025" i="5" s="1"/>
  <c r="E1037" i="5"/>
  <c r="F1037" i="5" s="1"/>
  <c r="E1056" i="5"/>
  <c r="F1056" i="5" s="1"/>
  <c r="E1077" i="5"/>
  <c r="F1077" i="5" s="1"/>
  <c r="E1097" i="5"/>
  <c r="F1097" i="5" s="1"/>
  <c r="E1118" i="5"/>
  <c r="F1118" i="5" s="1"/>
  <c r="E1160" i="5"/>
  <c r="F1160" i="5" s="1"/>
  <c r="E397" i="5"/>
  <c r="F397" i="5" s="1"/>
  <c r="E407" i="5"/>
  <c r="F407" i="5" s="1"/>
  <c r="E429" i="5"/>
  <c r="F429" i="5" s="1"/>
  <c r="E461" i="5"/>
  <c r="F461" i="5" s="1"/>
  <c r="E32" i="5"/>
  <c r="F32" i="5" s="1"/>
  <c r="E41" i="5"/>
  <c r="F41" i="5" s="1"/>
  <c r="E109" i="5"/>
  <c r="F109" i="5" s="1"/>
  <c r="E129" i="5"/>
  <c r="F129" i="5" s="1"/>
  <c r="E181" i="5"/>
  <c r="F181" i="5" s="1"/>
  <c r="E201" i="5"/>
  <c r="F201" i="5" s="1"/>
  <c r="E261" i="5"/>
  <c r="F261" i="5" s="1"/>
  <c r="E304" i="5"/>
  <c r="F304" i="5" s="1"/>
  <c r="E576" i="5"/>
  <c r="F576" i="5" s="1"/>
  <c r="E597" i="5"/>
  <c r="F597" i="5" s="1"/>
  <c r="E648" i="5"/>
  <c r="F648" i="5" s="1"/>
  <c r="E680" i="5"/>
  <c r="F680" i="5" s="1"/>
  <c r="E711" i="5"/>
  <c r="F711" i="5" s="1"/>
  <c r="E721" i="5"/>
  <c r="F721" i="5" s="1"/>
  <c r="E742" i="5"/>
  <c r="F742" i="5" s="1"/>
  <c r="E773" i="5"/>
  <c r="F773" i="5" s="1"/>
  <c r="E783" i="5"/>
  <c r="F783" i="5" s="1"/>
  <c r="E832" i="5"/>
  <c r="F832" i="5" s="1"/>
  <c r="E864" i="5"/>
  <c r="F864" i="5" s="1"/>
  <c r="E873" i="5"/>
  <c r="F873" i="5" s="1"/>
  <c r="E925" i="5"/>
  <c r="F925" i="5" s="1"/>
  <c r="E957" i="5"/>
  <c r="F957" i="5" s="1"/>
  <c r="E977" i="5"/>
  <c r="F977" i="5" s="1"/>
  <c r="E1008" i="5"/>
  <c r="F1008" i="5" s="1"/>
  <c r="E1185" i="5"/>
  <c r="F1185" i="5" s="1"/>
  <c r="E1207" i="5"/>
  <c r="F1207" i="5" s="1"/>
  <c r="E1297" i="5"/>
  <c r="F1297" i="5" s="1"/>
  <c r="E14" i="5"/>
  <c r="F14" i="5" s="1"/>
  <c r="E24" i="5"/>
  <c r="F24" i="5" s="1"/>
  <c r="E80" i="5"/>
  <c r="F80" i="5" s="1"/>
  <c r="E101" i="5"/>
  <c r="F101" i="5" s="1"/>
  <c r="E151" i="5"/>
  <c r="F151" i="5" s="1"/>
  <c r="E161" i="5"/>
  <c r="F161" i="5" s="1"/>
  <c r="E183" i="5"/>
  <c r="F183" i="5" s="1"/>
  <c r="E193" i="5"/>
  <c r="F193" i="5" s="1"/>
  <c r="E263" i="5"/>
  <c r="F263" i="5" s="1"/>
  <c r="E273" i="5"/>
  <c r="F273" i="5" s="1"/>
  <c r="E337" i="5"/>
  <c r="F337" i="5" s="1"/>
  <c r="E464" i="5"/>
  <c r="F464" i="5" s="1"/>
  <c r="E473" i="5"/>
  <c r="F473" i="5" s="1"/>
  <c r="E536" i="5"/>
  <c r="F536" i="5" s="1"/>
  <c r="E608" i="5"/>
  <c r="F608" i="5" s="1"/>
  <c r="E629" i="5"/>
  <c r="F629" i="5" s="1"/>
  <c r="E784" i="5"/>
  <c r="F784" i="5" s="1"/>
  <c r="E824" i="5"/>
  <c r="F824" i="5" s="1"/>
  <c r="E845" i="5"/>
  <c r="F845" i="5" s="1"/>
  <c r="E904" i="5"/>
  <c r="F904" i="5" s="1"/>
  <c r="E936" i="5"/>
  <c r="F936" i="5" s="1"/>
  <c r="E968" i="5"/>
  <c r="F968" i="5" s="1"/>
  <c r="E1021" i="5"/>
  <c r="F1021" i="5" s="1"/>
  <c r="E1031" i="5"/>
  <c r="F1031" i="5" s="1"/>
  <c r="E1071" i="5"/>
  <c r="F1071" i="5" s="1"/>
  <c r="E1081" i="5"/>
  <c r="F1081" i="5" s="1"/>
  <c r="E1103" i="5"/>
  <c r="F1103" i="5" s="1"/>
  <c r="E1144" i="5"/>
  <c r="F1144" i="5" s="1"/>
  <c r="E1166" i="5"/>
  <c r="F1166" i="5" s="1"/>
  <c r="E1176" i="5"/>
  <c r="F1176" i="5" s="1"/>
  <c r="E1208" i="5"/>
  <c r="F1208" i="5" s="1"/>
  <c r="E1240" i="5"/>
  <c r="F1240" i="5" s="1"/>
  <c r="E1272" i="5"/>
  <c r="F1272" i="5" s="1"/>
  <c r="E937" i="5"/>
  <c r="F937" i="5" s="1"/>
  <c r="E1000" i="5"/>
  <c r="F1000" i="5" s="1"/>
  <c r="E1145" i="5"/>
  <c r="F1145" i="5" s="1"/>
  <c r="E1167" i="5"/>
  <c r="F1167" i="5" s="1"/>
  <c r="E1273" i="5"/>
  <c r="F1273" i="5" s="1"/>
  <c r="E1268" i="5"/>
  <c r="F1268" i="5" s="1"/>
  <c r="E1252" i="5"/>
  <c r="F1252" i="5" s="1"/>
  <c r="E1244" i="5"/>
  <c r="F1244" i="5" s="1"/>
  <c r="E1220" i="5"/>
  <c r="F1220" i="5" s="1"/>
  <c r="E1204" i="5"/>
  <c r="F1204" i="5" s="1"/>
  <c r="E1180" i="5"/>
  <c r="F1180" i="5" s="1"/>
  <c r="E1172" i="5"/>
  <c r="F1172" i="5" s="1"/>
  <c r="E1156" i="5"/>
  <c r="F1156" i="5" s="1"/>
  <c r="E1148" i="5"/>
  <c r="F1148" i="5" s="1"/>
  <c r="E1140" i="5"/>
  <c r="F1140" i="5" s="1"/>
  <c r="E1124" i="5"/>
  <c r="F1124" i="5" s="1"/>
  <c r="E1068" i="5"/>
  <c r="F1068" i="5" s="1"/>
  <c r="E1052" i="5"/>
  <c r="F1052" i="5" s="1"/>
  <c r="E1044" i="5"/>
  <c r="F1044" i="5" s="1"/>
  <c r="E980" i="5"/>
  <c r="F980" i="5" s="1"/>
  <c r="E972" i="5"/>
  <c r="F972" i="5" s="1"/>
  <c r="E964" i="5"/>
  <c r="F964" i="5" s="1"/>
  <c r="E948" i="5"/>
  <c r="F948" i="5" s="1"/>
  <c r="E940" i="5"/>
  <c r="F940" i="5" s="1"/>
  <c r="E932" i="5"/>
  <c r="F932" i="5" s="1"/>
  <c r="E916" i="5"/>
  <c r="F916" i="5" s="1"/>
  <c r="E908" i="5"/>
  <c r="F908" i="5" s="1"/>
  <c r="E868" i="5"/>
  <c r="F868" i="5" s="1"/>
  <c r="E836" i="5"/>
  <c r="F836" i="5" s="1"/>
  <c r="E828" i="5"/>
  <c r="F828" i="5" s="1"/>
  <c r="E820" i="5"/>
  <c r="F820" i="5" s="1"/>
  <c r="E796" i="5"/>
  <c r="F796" i="5" s="1"/>
  <c r="E780" i="5"/>
  <c r="F780" i="5" s="1"/>
  <c r="E764" i="5"/>
  <c r="F764" i="5" s="1"/>
  <c r="E756" i="5"/>
  <c r="F756" i="5" s="1"/>
  <c r="E724" i="5"/>
  <c r="F724" i="5" s="1"/>
  <c r="E540" i="5"/>
  <c r="F540" i="5" s="1"/>
  <c r="E532" i="5"/>
  <c r="F532" i="5" s="1"/>
  <c r="E508" i="5"/>
  <c r="F508" i="5" s="1"/>
  <c r="E460" i="5"/>
  <c r="F460" i="5" s="1"/>
  <c r="E444" i="5"/>
  <c r="F444" i="5" s="1"/>
  <c r="E436" i="5"/>
  <c r="F436" i="5" s="1"/>
  <c r="E428" i="5"/>
  <c r="F428" i="5" s="1"/>
  <c r="E412" i="5"/>
  <c r="F412" i="5" s="1"/>
  <c r="E404" i="5"/>
  <c r="F404" i="5" s="1"/>
  <c r="E396" i="5"/>
  <c r="F396" i="5" s="1"/>
  <c r="E380" i="5"/>
  <c r="F380" i="5" s="1"/>
  <c r="E372" i="5"/>
  <c r="F372" i="5" s="1"/>
  <c r="E364" i="5"/>
  <c r="F364" i="5" s="1"/>
  <c r="E348" i="5"/>
  <c r="F348" i="5" s="1"/>
  <c r="E332" i="5"/>
  <c r="F332" i="5" s="1"/>
  <c r="E324" i="5"/>
  <c r="F324" i="5" s="1"/>
  <c r="E316" i="5"/>
  <c r="F316" i="5" s="1"/>
  <c r="E308" i="5"/>
  <c r="F308" i="5" s="1"/>
  <c r="E300" i="5"/>
  <c r="F300" i="5" s="1"/>
  <c r="E284" i="5"/>
  <c r="F284" i="5" s="1"/>
  <c r="E276" i="5"/>
  <c r="F276" i="5" s="1"/>
  <c r="E268" i="5"/>
  <c r="F268" i="5" s="1"/>
  <c r="E260" i="5"/>
  <c r="F260" i="5" s="1"/>
  <c r="E252" i="5"/>
  <c r="F252" i="5" s="1"/>
  <c r="E244" i="5"/>
  <c r="F244" i="5" s="1"/>
  <c r="E236" i="5"/>
  <c r="F236" i="5" s="1"/>
  <c r="E228" i="5"/>
  <c r="F228" i="5" s="1"/>
  <c r="E212" i="5"/>
  <c r="F212" i="5" s="1"/>
  <c r="E196" i="5"/>
  <c r="F196" i="5" s="1"/>
  <c r="E188" i="5"/>
  <c r="F188" i="5" s="1"/>
  <c r="E180" i="5"/>
  <c r="F180" i="5" s="1"/>
  <c r="E172" i="5"/>
  <c r="F172" i="5" s="1"/>
  <c r="E164" i="5"/>
  <c r="F164" i="5" s="1"/>
  <c r="E156" i="5"/>
  <c r="F156" i="5" s="1"/>
  <c r="E148" i="5"/>
  <c r="F148" i="5" s="1"/>
  <c r="E140" i="5"/>
  <c r="F140" i="5" s="1"/>
  <c r="E132" i="5"/>
  <c r="F132" i="5" s="1"/>
  <c r="E124" i="5"/>
  <c r="F124" i="5" s="1"/>
  <c r="E116" i="5"/>
  <c r="F116" i="5" s="1"/>
  <c r="E100" i="5"/>
  <c r="F100" i="5" s="1"/>
  <c r="E84" i="5"/>
  <c r="F84" i="5" s="1"/>
  <c r="E76" i="5"/>
  <c r="F76" i="5" s="1"/>
  <c r="E68" i="5"/>
  <c r="F68" i="5" s="1"/>
  <c r="E60" i="5"/>
  <c r="F60" i="5" s="1"/>
  <c r="E52" i="5"/>
  <c r="F52" i="5" s="1"/>
  <c r="E36" i="5"/>
  <c r="F36" i="5" s="1"/>
  <c r="E28" i="5"/>
  <c r="F28" i="5" s="1"/>
  <c r="E12" i="5"/>
  <c r="F12" i="5" s="1"/>
  <c r="E1012" i="5"/>
  <c r="F1012" i="5" s="1"/>
  <c r="E92" i="5"/>
  <c r="F92" i="5" s="1"/>
  <c r="E371" i="5"/>
  <c r="F371" i="5" s="1"/>
  <c r="E323" i="5"/>
  <c r="F323" i="5" s="1"/>
  <c r="E171" i="5"/>
  <c r="F171" i="5" s="1"/>
  <c r="E23" i="5"/>
  <c r="F23" i="5" s="1"/>
  <c r="E30" i="5"/>
  <c r="F30" i="5" s="1"/>
  <c r="E57" i="5"/>
  <c r="F57" i="5" s="1"/>
  <c r="E94" i="5"/>
  <c r="F94" i="5" s="1"/>
  <c r="E141" i="5"/>
  <c r="F141" i="5" s="1"/>
  <c r="E152" i="5"/>
  <c r="F152" i="5" s="1"/>
  <c r="E253" i="5"/>
  <c r="F253" i="5" s="1"/>
  <c r="E293" i="5"/>
  <c r="F293" i="5" s="1"/>
  <c r="E426" i="5"/>
  <c r="F426" i="5" s="1"/>
  <c r="E537" i="5"/>
  <c r="F537" i="5" s="1"/>
  <c r="E1149" i="5"/>
  <c r="F1149" i="5" s="1"/>
  <c r="E1177" i="5"/>
  <c r="F1177" i="5" s="1"/>
  <c r="E956" i="5"/>
  <c r="F956" i="5" s="1"/>
  <c r="E924" i="5"/>
  <c r="F924" i="5" s="1"/>
  <c r="E1283" i="5"/>
  <c r="F1283" i="5" s="1"/>
  <c r="E1154" i="5"/>
  <c r="F1154" i="5" s="1"/>
  <c r="E307" i="5"/>
  <c r="F307" i="5" s="1"/>
  <c r="E195" i="5"/>
  <c r="F195" i="5" s="1"/>
  <c r="E255" i="5"/>
  <c r="F255" i="5" s="1"/>
  <c r="E285" i="5"/>
  <c r="F285" i="5" s="1"/>
  <c r="E333" i="5"/>
  <c r="F333" i="5" s="1"/>
  <c r="E449" i="5"/>
  <c r="F449" i="5" s="1"/>
  <c r="E480" i="5"/>
  <c r="F480" i="5" s="1"/>
  <c r="E502" i="5"/>
  <c r="F502" i="5" s="1"/>
  <c r="E519" i="5"/>
  <c r="F519" i="5" s="1"/>
  <c r="E529" i="5"/>
  <c r="F529" i="5" s="1"/>
  <c r="E559" i="5"/>
  <c r="F559" i="5" s="1"/>
  <c r="E589" i="5"/>
  <c r="F589" i="5" s="1"/>
  <c r="E617" i="5"/>
  <c r="F617" i="5" s="1"/>
  <c r="E657" i="5"/>
  <c r="F657" i="5" s="1"/>
  <c r="E689" i="5"/>
  <c r="F689" i="5" s="1"/>
  <c r="E720" i="5"/>
  <c r="F720" i="5" s="1"/>
  <c r="E741" i="5"/>
  <c r="F741" i="5" s="1"/>
  <c r="E751" i="5"/>
  <c r="F751" i="5" s="1"/>
  <c r="E760" i="5"/>
  <c r="F760" i="5" s="1"/>
  <c r="E807" i="5"/>
  <c r="F807" i="5" s="1"/>
  <c r="E861" i="5"/>
  <c r="F861" i="5" s="1"/>
  <c r="E880" i="5"/>
  <c r="F880" i="5" s="1"/>
  <c r="E928" i="5"/>
  <c r="F928" i="5" s="1"/>
  <c r="E960" i="5"/>
  <c r="F960" i="5" s="1"/>
  <c r="E969" i="5"/>
  <c r="F969" i="5" s="1"/>
  <c r="E990" i="5"/>
  <c r="F990" i="5" s="1"/>
  <c r="E997" i="5"/>
  <c r="F997" i="5" s="1"/>
  <c r="E1007" i="5"/>
  <c r="F1007" i="5" s="1"/>
  <c r="E1016" i="5"/>
  <c r="F1016" i="5" s="1"/>
  <c r="E1038" i="5"/>
  <c r="F1038" i="5" s="1"/>
  <c r="E1047" i="5"/>
  <c r="F1047" i="5" s="1"/>
  <c r="E1088" i="5"/>
  <c r="F1088" i="5" s="1"/>
  <c r="E1159" i="5"/>
  <c r="F1159" i="5" s="1"/>
  <c r="E1169" i="5"/>
  <c r="F1169" i="5" s="1"/>
  <c r="E1190" i="5"/>
  <c r="F1190" i="5" s="1"/>
  <c r="E1230" i="5"/>
  <c r="F1230" i="5" s="1"/>
  <c r="E1239" i="5"/>
  <c r="F1239" i="5" s="1"/>
  <c r="E1249" i="5"/>
  <c r="F1249" i="5" s="1"/>
  <c r="E1271" i="5"/>
  <c r="F1271" i="5" s="1"/>
  <c r="E1294" i="5"/>
  <c r="F1294" i="5" s="1"/>
  <c r="E1276" i="5"/>
  <c r="F1276" i="5" s="1"/>
  <c r="E1236" i="5"/>
  <c r="F1236" i="5" s="1"/>
  <c r="E340" i="5"/>
  <c r="F340" i="5" s="1"/>
  <c r="E44" i="5"/>
  <c r="F44" i="5" s="1"/>
  <c r="E1186" i="5"/>
  <c r="F1186" i="5" s="1"/>
  <c r="E97" i="5"/>
  <c r="F97" i="5" s="1"/>
  <c r="E354" i="5"/>
  <c r="F354" i="5" s="1"/>
  <c r="E1280" i="5"/>
  <c r="F1280" i="5" s="1"/>
  <c r="E1300" i="5"/>
  <c r="F1300" i="5" s="1"/>
  <c r="E20" i="5"/>
  <c r="F20" i="5" s="1"/>
  <c r="E341" i="5"/>
  <c r="F341" i="5" s="1"/>
  <c r="E993" i="5"/>
  <c r="F993" i="5" s="1"/>
  <c r="E1219" i="5"/>
  <c r="F1219" i="5" s="1"/>
  <c r="E267" i="5"/>
  <c r="F267" i="5" s="1"/>
  <c r="E227" i="5"/>
  <c r="F227" i="5" s="1"/>
  <c r="E16" i="5"/>
  <c r="F16" i="5" s="1"/>
  <c r="E25" i="5"/>
  <c r="F25" i="5" s="1"/>
  <c r="E78" i="5"/>
  <c r="F78" i="5" s="1"/>
  <c r="E89" i="5"/>
  <c r="F89" i="5" s="1"/>
  <c r="E108" i="5"/>
  <c r="F108" i="5" s="1"/>
  <c r="E126" i="5"/>
  <c r="F126" i="5" s="1"/>
  <c r="E136" i="5"/>
  <c r="F136" i="5" s="1"/>
  <c r="E145" i="5"/>
  <c r="F145" i="5" s="1"/>
  <c r="E177" i="5"/>
  <c r="F177" i="5" s="1"/>
  <c r="E207" i="5"/>
  <c r="F207" i="5" s="1"/>
  <c r="E216" i="5"/>
  <c r="F216" i="5" s="1"/>
  <c r="E237" i="5"/>
  <c r="F237" i="5" s="1"/>
  <c r="E297" i="5"/>
  <c r="F297" i="5" s="1"/>
  <c r="E327" i="5"/>
  <c r="F327" i="5" s="1"/>
  <c r="E367" i="5"/>
  <c r="F367" i="5" s="1"/>
  <c r="E441" i="5"/>
  <c r="F441" i="5" s="1"/>
  <c r="E494" i="5"/>
  <c r="F494" i="5" s="1"/>
  <c r="E533" i="5"/>
  <c r="F533" i="5" s="1"/>
  <c r="E541" i="5"/>
  <c r="F541" i="5" s="1"/>
  <c r="E591" i="5"/>
  <c r="F591" i="5" s="1"/>
  <c r="E649" i="5"/>
  <c r="F649" i="5" s="1"/>
  <c r="E671" i="5"/>
  <c r="F671" i="5" s="1"/>
  <c r="E701" i="5"/>
  <c r="F701" i="5" s="1"/>
  <c r="E712" i="5"/>
  <c r="F712" i="5" s="1"/>
  <c r="E743" i="5"/>
  <c r="F743" i="5" s="1"/>
  <c r="E752" i="5"/>
  <c r="F752" i="5" s="1"/>
  <c r="E809" i="5"/>
  <c r="F809" i="5" s="1"/>
  <c r="E872" i="5"/>
  <c r="F872" i="5" s="1"/>
  <c r="E920" i="5"/>
  <c r="F920" i="5" s="1"/>
  <c r="E952" i="5"/>
  <c r="F952" i="5" s="1"/>
  <c r="E999" i="5"/>
  <c r="F999" i="5" s="1"/>
  <c r="E1030" i="5"/>
  <c r="F1030" i="5" s="1"/>
  <c r="E1049" i="5"/>
  <c r="F1049" i="5" s="1"/>
  <c r="E1061" i="5"/>
  <c r="F1061" i="5" s="1"/>
  <c r="E1102" i="5"/>
  <c r="F1102" i="5" s="1"/>
  <c r="E1121" i="5"/>
  <c r="F1121" i="5" s="1"/>
  <c r="E1133" i="5"/>
  <c r="F1133" i="5" s="1"/>
  <c r="E1143" i="5"/>
  <c r="F1143" i="5" s="1"/>
  <c r="E1151" i="5"/>
  <c r="F1151" i="5" s="1"/>
  <c r="E1214" i="5"/>
  <c r="F1214" i="5" s="1"/>
  <c r="E1231" i="5"/>
  <c r="F1231" i="5" s="1"/>
  <c r="E1263" i="5"/>
  <c r="F1263" i="5" s="1"/>
  <c r="E211" i="5"/>
  <c r="F211" i="5" s="1"/>
  <c r="E1146" i="5"/>
  <c r="F1146" i="5" s="1"/>
  <c r="E1059" i="5"/>
  <c r="F1059" i="5" s="1"/>
  <c r="E347" i="5"/>
  <c r="F347" i="5" s="1"/>
  <c r="E1084" i="5"/>
  <c r="F1084" i="5" s="1"/>
  <c r="E876" i="5"/>
  <c r="F876" i="5" s="1"/>
  <c r="E804" i="5"/>
  <c r="F804" i="5" s="1"/>
  <c r="E292" i="5"/>
  <c r="F292" i="5" s="1"/>
  <c r="E37" i="5"/>
  <c r="F37" i="5" s="1"/>
  <c r="E81" i="5"/>
  <c r="F81" i="5" s="1"/>
  <c r="E102" i="5"/>
  <c r="F102" i="5" s="1"/>
  <c r="E191" i="5"/>
  <c r="F191" i="5" s="1"/>
  <c r="E200" i="5"/>
  <c r="F200" i="5" s="1"/>
  <c r="E229" i="5"/>
  <c r="F229" i="5" s="1"/>
  <c r="E249" i="5"/>
  <c r="F249" i="5" s="1"/>
  <c r="E280" i="5"/>
  <c r="F280" i="5" s="1"/>
  <c r="E311" i="5"/>
  <c r="F311" i="5" s="1"/>
  <c r="E359" i="5"/>
  <c r="F359" i="5" s="1"/>
  <c r="E465" i="5"/>
  <c r="F465" i="5" s="1"/>
  <c r="E553" i="5"/>
  <c r="F553" i="5" s="1"/>
  <c r="E593" i="5"/>
  <c r="F593" i="5" s="1"/>
  <c r="E673" i="5"/>
  <c r="F673" i="5" s="1"/>
  <c r="E704" i="5"/>
  <c r="F704" i="5" s="1"/>
  <c r="E793" i="5"/>
  <c r="F793" i="5" s="1"/>
  <c r="E813" i="5"/>
  <c r="F813" i="5" s="1"/>
  <c r="E839" i="5"/>
  <c r="F839" i="5" s="1"/>
  <c r="E846" i="5"/>
  <c r="F846" i="5" s="1"/>
  <c r="E854" i="5"/>
  <c r="F854" i="5" s="1"/>
  <c r="E912" i="5"/>
  <c r="F912" i="5" s="1"/>
  <c r="E944" i="5"/>
  <c r="F944" i="5" s="1"/>
  <c r="E966" i="5"/>
  <c r="F966" i="5" s="1"/>
  <c r="E1001" i="5"/>
  <c r="F1001" i="5" s="1"/>
  <c r="E1022" i="5"/>
  <c r="F1022" i="5" s="1"/>
  <c r="E1032" i="5"/>
  <c r="F1032" i="5" s="1"/>
  <c r="E1041" i="5"/>
  <c r="F1041" i="5" s="1"/>
  <c r="E1063" i="5"/>
  <c r="F1063" i="5" s="1"/>
  <c r="E1072" i="5"/>
  <c r="F1072" i="5" s="1"/>
  <c r="E1094" i="5"/>
  <c r="F1094" i="5" s="1"/>
  <c r="E1104" i="5"/>
  <c r="F1104" i="5" s="1"/>
  <c r="E1113" i="5"/>
  <c r="F1113" i="5" s="1"/>
  <c r="E1135" i="5"/>
  <c r="F1135" i="5" s="1"/>
  <c r="E1165" i="5"/>
  <c r="F1165" i="5" s="1"/>
  <c r="E1175" i="5"/>
  <c r="F1175" i="5" s="1"/>
  <c r="E1184" i="5"/>
  <c r="F1184" i="5" s="1"/>
  <c r="E1224" i="5"/>
  <c r="F1224" i="5" s="1"/>
  <c r="E1255" i="5"/>
  <c r="F1255" i="5" s="1"/>
  <c r="E1265" i="5"/>
  <c r="F1265" i="5" s="1"/>
  <c r="E1287" i="5"/>
  <c r="F1287" i="5" s="1"/>
  <c r="E531" i="5"/>
  <c r="F531" i="5" s="1"/>
  <c r="E530" i="5"/>
  <c r="F530" i="5" s="1"/>
  <c r="E419" i="5"/>
  <c r="F419" i="5" s="1"/>
  <c r="E387" i="5"/>
  <c r="F387" i="5" s="1"/>
  <c r="E251" i="5"/>
  <c r="F251" i="5" s="1"/>
  <c r="E147" i="5"/>
  <c r="F147" i="5" s="1"/>
  <c r="E131" i="5"/>
  <c r="F131" i="5" s="1"/>
  <c r="E123" i="5"/>
  <c r="F123" i="5" s="1"/>
  <c r="E115" i="5"/>
  <c r="F115" i="5" s="1"/>
  <c r="E99" i="5"/>
  <c r="F99" i="5" s="1"/>
  <c r="E83" i="5"/>
  <c r="F83" i="5" s="1"/>
  <c r="E75" i="5"/>
  <c r="F75" i="5" s="1"/>
  <c r="E67" i="5"/>
  <c r="F67" i="5" s="1"/>
  <c r="E35" i="5"/>
  <c r="F35" i="5" s="1"/>
  <c r="E19" i="5"/>
  <c r="F19" i="5" s="1"/>
  <c r="E452" i="5"/>
  <c r="F452" i="5" s="1"/>
  <c r="E451" i="5"/>
  <c r="F451" i="5" s="1"/>
  <c r="E50" i="5"/>
  <c r="F50" i="5" s="1"/>
  <c r="E51" i="5"/>
  <c r="F51" i="5" s="1"/>
  <c r="E34" i="5"/>
  <c r="F34" i="5" s="1"/>
  <c r="E18" i="5"/>
  <c r="F18" i="5" s="1"/>
  <c r="E787" i="5"/>
  <c r="F787" i="5" s="1"/>
  <c r="E1298" i="5"/>
  <c r="F1298" i="5" s="1"/>
  <c r="E1299" i="5"/>
  <c r="F1299" i="5" s="1"/>
  <c r="E1267" i="5"/>
  <c r="F1267" i="5" s="1"/>
  <c r="E1139" i="5"/>
  <c r="F1139" i="5" s="1"/>
  <c r="E1099" i="5"/>
  <c r="F1099" i="5" s="1"/>
  <c r="E1019" i="5"/>
  <c r="F1019" i="5" s="1"/>
  <c r="E947" i="5"/>
  <c r="F947" i="5" s="1"/>
  <c r="E907" i="5"/>
  <c r="F907" i="5" s="1"/>
  <c r="E851" i="5"/>
  <c r="F851" i="5" s="1"/>
  <c r="E819" i="5"/>
  <c r="F819" i="5" s="1"/>
  <c r="E747" i="5"/>
  <c r="F747" i="5" s="1"/>
  <c r="E443" i="5"/>
  <c r="F443" i="5" s="1"/>
  <c r="E403" i="5"/>
  <c r="F403" i="5" s="1"/>
  <c r="E291" i="5"/>
  <c r="F291" i="5" s="1"/>
  <c r="E259" i="5"/>
  <c r="F259" i="5" s="1"/>
  <c r="E203" i="5"/>
  <c r="F203" i="5" s="1"/>
  <c r="E155" i="5"/>
  <c r="F155" i="5" s="1"/>
  <c r="E5" i="5"/>
  <c r="F5" i="5" s="1"/>
  <c r="E17" i="5"/>
  <c r="F17" i="5" s="1"/>
  <c r="E33" i="5"/>
  <c r="F33" i="5" s="1"/>
  <c r="E49" i="5"/>
  <c r="F49" i="5" s="1"/>
  <c r="E54" i="5"/>
  <c r="F54" i="5" s="1"/>
  <c r="E61" i="5"/>
  <c r="F61" i="5" s="1"/>
  <c r="E86" i="5"/>
  <c r="F86" i="5" s="1"/>
  <c r="E127" i="5"/>
  <c r="F127" i="5" s="1"/>
  <c r="E134" i="5"/>
  <c r="F134" i="5" s="1"/>
  <c r="E257" i="5"/>
  <c r="F257" i="5" s="1"/>
  <c r="E272" i="5"/>
  <c r="F272" i="5" s="1"/>
  <c r="E289" i="5"/>
  <c r="F289" i="5" s="1"/>
  <c r="E462" i="5"/>
  <c r="F462" i="5" s="1"/>
  <c r="E489" i="5"/>
  <c r="F489" i="5" s="1"/>
  <c r="E522" i="5"/>
  <c r="F522" i="5" s="1"/>
  <c r="E1233" i="5"/>
  <c r="F1233" i="5" s="1"/>
  <c r="E1232" i="5"/>
  <c r="F1232" i="5" s="1"/>
  <c r="E59" i="5"/>
  <c r="F59" i="5" s="1"/>
  <c r="E43" i="5"/>
  <c r="F43" i="5" s="1"/>
  <c r="E1259" i="5"/>
  <c r="F1259" i="5" s="1"/>
  <c r="E1107" i="5"/>
  <c r="F1107" i="5" s="1"/>
  <c r="E1043" i="5"/>
  <c r="F1043" i="5" s="1"/>
  <c r="E971" i="5"/>
  <c r="F971" i="5" s="1"/>
  <c r="E931" i="5"/>
  <c r="F931" i="5" s="1"/>
  <c r="E835" i="5"/>
  <c r="F835" i="5" s="1"/>
  <c r="E779" i="5"/>
  <c r="F779" i="5" s="1"/>
  <c r="E539" i="5"/>
  <c r="F539" i="5" s="1"/>
  <c r="E379" i="5"/>
  <c r="F379" i="5" s="1"/>
  <c r="E315" i="5"/>
  <c r="F315" i="5" s="1"/>
  <c r="E243" i="5"/>
  <c r="F243" i="5" s="1"/>
  <c r="E122" i="5"/>
  <c r="F122" i="5" s="1"/>
  <c r="E170" i="5"/>
  <c r="F170" i="5" s="1"/>
  <c r="E290" i="5"/>
  <c r="F290" i="5" s="1"/>
  <c r="E394" i="5"/>
  <c r="F394" i="5" s="1"/>
  <c r="E538" i="5"/>
  <c r="F538" i="5" s="1"/>
  <c r="E546" i="5"/>
  <c r="F546" i="5" s="1"/>
  <c r="E556" i="5"/>
  <c r="F556" i="5" s="1"/>
  <c r="E858" i="5"/>
  <c r="F858" i="5" s="1"/>
  <c r="E91" i="5"/>
  <c r="F91" i="5" s="1"/>
  <c r="E1291" i="5"/>
  <c r="F1291" i="5" s="1"/>
  <c r="E1235" i="5"/>
  <c r="F1235" i="5" s="1"/>
  <c r="E1115" i="5"/>
  <c r="F1115" i="5" s="1"/>
  <c r="E1067" i="5"/>
  <c r="F1067" i="5" s="1"/>
  <c r="E1011" i="5"/>
  <c r="F1011" i="5" s="1"/>
  <c r="E963" i="5"/>
  <c r="F963" i="5" s="1"/>
  <c r="E915" i="5"/>
  <c r="F915" i="5" s="1"/>
  <c r="E867" i="5"/>
  <c r="F867" i="5" s="1"/>
  <c r="E803" i="5"/>
  <c r="F803" i="5" s="1"/>
  <c r="E755" i="5"/>
  <c r="F755" i="5" s="1"/>
  <c r="E507" i="5"/>
  <c r="F507" i="5" s="1"/>
  <c r="E467" i="5"/>
  <c r="F467" i="5" s="1"/>
  <c r="E411" i="5"/>
  <c r="F411" i="5" s="1"/>
  <c r="E355" i="5"/>
  <c r="F355" i="5" s="1"/>
  <c r="E299" i="5"/>
  <c r="F299" i="5" s="1"/>
  <c r="E219" i="5"/>
  <c r="F219" i="5" s="1"/>
  <c r="E13" i="5"/>
  <c r="F13" i="5" s="1"/>
  <c r="E29" i="5"/>
  <c r="F29" i="5" s="1"/>
  <c r="E45" i="5"/>
  <c r="F45" i="5" s="1"/>
  <c r="E62" i="5"/>
  <c r="F62" i="5" s="1"/>
  <c r="E199" i="5"/>
  <c r="F199" i="5" s="1"/>
  <c r="E198" i="5"/>
  <c r="F198" i="5" s="1"/>
  <c r="E430" i="5"/>
  <c r="F430" i="5" s="1"/>
  <c r="E557" i="5"/>
  <c r="F557" i="5" s="1"/>
  <c r="E762" i="5"/>
  <c r="F762" i="5" s="1"/>
  <c r="E808" i="5"/>
  <c r="F808" i="5" s="1"/>
  <c r="E1058" i="5"/>
  <c r="F1058" i="5" s="1"/>
  <c r="E1129" i="5"/>
  <c r="F1129" i="5" s="1"/>
  <c r="E1128" i="5"/>
  <c r="F1128" i="5" s="1"/>
  <c r="E365" i="5"/>
  <c r="F365" i="5" s="1"/>
  <c r="E366" i="5"/>
  <c r="F366" i="5" s="1"/>
  <c r="E11" i="5"/>
  <c r="F11" i="5" s="1"/>
  <c r="E306" i="5"/>
  <c r="F306" i="5" s="1"/>
  <c r="E883" i="5"/>
  <c r="F883" i="5" s="1"/>
  <c r="E1243" i="5"/>
  <c r="F1243" i="5" s="1"/>
  <c r="E1202" i="5"/>
  <c r="F1202" i="5" s="1"/>
  <c r="E1203" i="5"/>
  <c r="F1203" i="5" s="1"/>
  <c r="E1131" i="5"/>
  <c r="F1131" i="5" s="1"/>
  <c r="E1083" i="5"/>
  <c r="F1083" i="5" s="1"/>
  <c r="E1035" i="5"/>
  <c r="F1035" i="5" s="1"/>
  <c r="E995" i="5"/>
  <c r="F995" i="5" s="1"/>
  <c r="E939" i="5"/>
  <c r="F939" i="5" s="1"/>
  <c r="E899" i="5"/>
  <c r="F899" i="5" s="1"/>
  <c r="E859" i="5"/>
  <c r="F859" i="5" s="1"/>
  <c r="E811" i="5"/>
  <c r="F811" i="5" s="1"/>
  <c r="E763" i="5"/>
  <c r="F763" i="5" s="1"/>
  <c r="E547" i="5"/>
  <c r="F547" i="5" s="1"/>
  <c r="E499" i="5"/>
  <c r="F499" i="5" s="1"/>
  <c r="E459" i="5"/>
  <c r="F459" i="5" s="1"/>
  <c r="E363" i="5"/>
  <c r="F363" i="5" s="1"/>
  <c r="E275" i="5"/>
  <c r="F275" i="5" s="1"/>
  <c r="E235" i="5"/>
  <c r="F235" i="5" s="1"/>
  <c r="E187" i="5"/>
  <c r="F187" i="5" s="1"/>
  <c r="E318" i="5"/>
  <c r="F318" i="5" s="1"/>
  <c r="E1120" i="5"/>
  <c r="F1120" i="5" s="1"/>
  <c r="E1200" i="5"/>
  <c r="F1200" i="5" s="1"/>
  <c r="E521" i="5"/>
  <c r="F521" i="5" s="1"/>
  <c r="E520" i="5"/>
  <c r="F520" i="5" s="1"/>
  <c r="E1251" i="5"/>
  <c r="F1251" i="5" s="1"/>
  <c r="E1091" i="5"/>
  <c r="F1091" i="5" s="1"/>
  <c r="E1051" i="5"/>
  <c r="F1051" i="5" s="1"/>
  <c r="E1003" i="5"/>
  <c r="F1003" i="5" s="1"/>
  <c r="E955" i="5"/>
  <c r="F955" i="5" s="1"/>
  <c r="E891" i="5"/>
  <c r="F891" i="5" s="1"/>
  <c r="E843" i="5"/>
  <c r="F843" i="5" s="1"/>
  <c r="E795" i="5"/>
  <c r="F795" i="5" s="1"/>
  <c r="E739" i="5"/>
  <c r="F739" i="5" s="1"/>
  <c r="E475" i="5"/>
  <c r="F475" i="5" s="1"/>
  <c r="E435" i="5"/>
  <c r="F435" i="5" s="1"/>
  <c r="E395" i="5"/>
  <c r="F395" i="5" s="1"/>
  <c r="E331" i="5"/>
  <c r="F331" i="5" s="1"/>
  <c r="E283" i="5"/>
  <c r="F283" i="5" s="1"/>
  <c r="E163" i="5"/>
  <c r="F163" i="5" s="1"/>
  <c r="E9" i="5"/>
  <c r="F9" i="5" s="1"/>
  <c r="E70" i="5"/>
  <c r="F70" i="5" s="1"/>
  <c r="E110" i="5"/>
  <c r="F110" i="5" s="1"/>
  <c r="E117" i="5"/>
  <c r="F117" i="5" s="1"/>
  <c r="E142" i="5"/>
  <c r="F142" i="5" s="1"/>
  <c r="E245" i="5"/>
  <c r="F245" i="5" s="1"/>
  <c r="E262" i="5"/>
  <c r="F262" i="5" s="1"/>
  <c r="E398" i="5"/>
  <c r="F398" i="5" s="1"/>
  <c r="E457" i="5"/>
  <c r="F457" i="5" s="1"/>
  <c r="E485" i="5"/>
  <c r="F485" i="5" s="1"/>
  <c r="E906" i="5"/>
  <c r="F906" i="5" s="1"/>
  <c r="E1248" i="5"/>
  <c r="F1248" i="5" s="1"/>
  <c r="E1247" i="5"/>
  <c r="F1247" i="5" s="1"/>
  <c r="E220" i="5"/>
  <c r="F220" i="5" s="1"/>
  <c r="E27" i="5"/>
  <c r="F27" i="5" s="1"/>
  <c r="E588" i="5"/>
  <c r="F588" i="5" s="1"/>
  <c r="E1275" i="5"/>
  <c r="F1275" i="5" s="1"/>
  <c r="E1227" i="5"/>
  <c r="F1227" i="5" s="1"/>
  <c r="E1123" i="5"/>
  <c r="F1123" i="5" s="1"/>
  <c r="E1075" i="5"/>
  <c r="F1075" i="5" s="1"/>
  <c r="E1027" i="5"/>
  <c r="F1027" i="5" s="1"/>
  <c r="E979" i="5"/>
  <c r="F979" i="5" s="1"/>
  <c r="E923" i="5"/>
  <c r="F923" i="5" s="1"/>
  <c r="E875" i="5"/>
  <c r="F875" i="5" s="1"/>
  <c r="E827" i="5"/>
  <c r="F827" i="5" s="1"/>
  <c r="E771" i="5"/>
  <c r="F771" i="5" s="1"/>
  <c r="E523" i="5"/>
  <c r="F523" i="5" s="1"/>
  <c r="E427" i="5"/>
  <c r="F427" i="5" s="1"/>
  <c r="E339" i="5"/>
  <c r="F339" i="5" s="1"/>
  <c r="E179" i="5"/>
  <c r="F179" i="5" s="1"/>
  <c r="E15" i="5"/>
  <c r="F15" i="5" s="1"/>
  <c r="E31" i="5"/>
  <c r="F31" i="5" s="1"/>
  <c r="E47" i="5"/>
  <c r="F47" i="5" s="1"/>
  <c r="E119" i="5"/>
  <c r="F119" i="5" s="1"/>
  <c r="E143" i="5"/>
  <c r="F143" i="5" s="1"/>
  <c r="E150" i="5"/>
  <c r="F150" i="5" s="1"/>
  <c r="E278" i="5"/>
  <c r="F278" i="5" s="1"/>
  <c r="E458" i="5"/>
  <c r="F458" i="5" s="1"/>
  <c r="E601" i="5"/>
  <c r="F601" i="5" s="1"/>
  <c r="E620" i="5"/>
  <c r="F620" i="5" s="1"/>
  <c r="E157" i="5"/>
  <c r="F157" i="5" s="1"/>
  <c r="E178" i="5"/>
  <c r="F178" i="5" s="1"/>
  <c r="E189" i="5"/>
  <c r="F189" i="5" s="1"/>
  <c r="E217" i="5"/>
  <c r="F217" i="5" s="1"/>
  <c r="E221" i="5"/>
  <c r="F221" i="5" s="1"/>
  <c r="E234" i="5"/>
  <c r="F234" i="5" s="1"/>
  <c r="E295" i="5"/>
  <c r="F295" i="5" s="1"/>
  <c r="E313" i="5"/>
  <c r="F313" i="5" s="1"/>
  <c r="E319" i="5"/>
  <c r="F319" i="5" s="1"/>
  <c r="E378" i="5"/>
  <c r="F378" i="5" s="1"/>
  <c r="E381" i="5"/>
  <c r="F381" i="5" s="1"/>
  <c r="E410" i="5"/>
  <c r="F410" i="5" s="1"/>
  <c r="E413" i="5"/>
  <c r="F413" i="5" s="1"/>
  <c r="E442" i="5"/>
  <c r="F442" i="5" s="1"/>
  <c r="E445" i="5"/>
  <c r="F445" i="5" s="1"/>
  <c r="E474" i="5"/>
  <c r="F474" i="5" s="1"/>
  <c r="E486" i="5"/>
  <c r="F486" i="5" s="1"/>
  <c r="E505" i="5"/>
  <c r="F505" i="5" s="1"/>
  <c r="E564" i="5"/>
  <c r="F564" i="5" s="1"/>
  <c r="E577" i="5"/>
  <c r="F577" i="5" s="1"/>
  <c r="E583" i="5"/>
  <c r="F583" i="5" s="1"/>
  <c r="E596" i="5"/>
  <c r="F596" i="5" s="1"/>
  <c r="E609" i="5"/>
  <c r="F609" i="5" s="1"/>
  <c r="E615" i="5"/>
  <c r="F615" i="5" s="1"/>
  <c r="E628" i="5"/>
  <c r="F628" i="5" s="1"/>
  <c r="E641" i="5"/>
  <c r="F641" i="5" s="1"/>
  <c r="E647" i="5"/>
  <c r="F647" i="5" s="1"/>
  <c r="E810" i="5"/>
  <c r="F810" i="5" s="1"/>
  <c r="E986" i="5"/>
  <c r="F986" i="5" s="1"/>
  <c r="E1002" i="5"/>
  <c r="F1002" i="5" s="1"/>
  <c r="E1193" i="5"/>
  <c r="F1193" i="5" s="1"/>
  <c r="E1192" i="5"/>
  <c r="F1192" i="5" s="1"/>
  <c r="E1257" i="5"/>
  <c r="F1257" i="5" s="1"/>
  <c r="E1256" i="5"/>
  <c r="F1256" i="5" s="1"/>
  <c r="E1303" i="5"/>
  <c r="F1303" i="5" s="1"/>
  <c r="E190" i="5"/>
  <c r="F190" i="5" s="1"/>
  <c r="E241" i="5"/>
  <c r="F241" i="5" s="1"/>
  <c r="E301" i="5"/>
  <c r="F301" i="5" s="1"/>
  <c r="E362" i="5"/>
  <c r="F362" i="5" s="1"/>
  <c r="E886" i="5"/>
  <c r="F886" i="5" s="1"/>
  <c r="E887" i="5"/>
  <c r="F887" i="5" s="1"/>
  <c r="E910" i="5"/>
  <c r="F910" i="5" s="1"/>
  <c r="E911" i="5"/>
  <c r="F911" i="5" s="1"/>
  <c r="E961" i="5"/>
  <c r="F961" i="5" s="1"/>
  <c r="E1080" i="5"/>
  <c r="F1080" i="5" s="1"/>
  <c r="E202" i="5"/>
  <c r="F202" i="5" s="1"/>
  <c r="E242" i="5"/>
  <c r="F242" i="5" s="1"/>
  <c r="E325" i="5"/>
  <c r="F325" i="5" s="1"/>
  <c r="E338" i="5"/>
  <c r="F338" i="5" s="1"/>
  <c r="E383" i="5"/>
  <c r="F383" i="5" s="1"/>
  <c r="E415" i="5"/>
  <c r="F415" i="5" s="1"/>
  <c r="E500" i="5"/>
  <c r="F500" i="5" s="1"/>
  <c r="E572" i="5"/>
  <c r="F572" i="5" s="1"/>
  <c r="E604" i="5"/>
  <c r="F604" i="5" s="1"/>
  <c r="E636" i="5"/>
  <c r="F636" i="5" s="1"/>
  <c r="E660" i="5"/>
  <c r="F660" i="5" s="1"/>
  <c r="E167" i="5"/>
  <c r="F167" i="5" s="1"/>
  <c r="E213" i="5"/>
  <c r="F213" i="5" s="1"/>
  <c r="E225" i="5"/>
  <c r="F225" i="5" s="1"/>
  <c r="E254" i="5"/>
  <c r="F254" i="5" s="1"/>
  <c r="E265" i="5"/>
  <c r="F265" i="5" s="1"/>
  <c r="E269" i="5"/>
  <c r="F269" i="5" s="1"/>
  <c r="E286" i="5"/>
  <c r="F286" i="5" s="1"/>
  <c r="E298" i="5"/>
  <c r="F298" i="5" s="1"/>
  <c r="E309" i="5"/>
  <c r="F309" i="5" s="1"/>
  <c r="E321" i="5"/>
  <c r="F321" i="5" s="1"/>
  <c r="E326" i="5"/>
  <c r="F326" i="5" s="1"/>
  <c r="E349" i="5"/>
  <c r="F349" i="5" s="1"/>
  <c r="E373" i="5"/>
  <c r="F373" i="5" s="1"/>
  <c r="E389" i="5"/>
  <c r="F389" i="5" s="1"/>
  <c r="E402" i="5"/>
  <c r="F402" i="5" s="1"/>
  <c r="E405" i="5"/>
  <c r="F405" i="5" s="1"/>
  <c r="E421" i="5"/>
  <c r="F421" i="5" s="1"/>
  <c r="E434" i="5"/>
  <c r="F434" i="5" s="1"/>
  <c r="E437" i="5"/>
  <c r="F437" i="5" s="1"/>
  <c r="E453" i="5"/>
  <c r="F453" i="5" s="1"/>
  <c r="E466" i="5"/>
  <c r="F466" i="5" s="1"/>
  <c r="E469" i="5"/>
  <c r="F469" i="5" s="1"/>
  <c r="E573" i="5"/>
  <c r="F573" i="5" s="1"/>
  <c r="E605" i="5"/>
  <c r="F605" i="5" s="1"/>
  <c r="E637" i="5"/>
  <c r="F637" i="5" s="1"/>
  <c r="E661" i="5"/>
  <c r="F661" i="5" s="1"/>
  <c r="E1046" i="5"/>
  <c r="F1046" i="5" s="1"/>
  <c r="E1223" i="5"/>
  <c r="F1223" i="5" s="1"/>
  <c r="E1262" i="5"/>
  <c r="F1262" i="5" s="1"/>
  <c r="E162" i="5"/>
  <c r="F162" i="5" s="1"/>
  <c r="E173" i="5"/>
  <c r="F173" i="5" s="1"/>
  <c r="E197" i="5"/>
  <c r="F197" i="5" s="1"/>
  <c r="E214" i="5"/>
  <c r="F214" i="5" s="1"/>
  <c r="E226" i="5"/>
  <c r="F226" i="5" s="1"/>
  <c r="E266" i="5"/>
  <c r="F266" i="5" s="1"/>
  <c r="E322" i="5"/>
  <c r="F322" i="5" s="1"/>
  <c r="E370" i="5"/>
  <c r="F370" i="5" s="1"/>
  <c r="E374" i="5"/>
  <c r="F374" i="5" s="1"/>
  <c r="E386" i="5"/>
  <c r="F386" i="5" s="1"/>
  <c r="E406" i="5"/>
  <c r="F406" i="5" s="1"/>
  <c r="E418" i="5"/>
  <c r="F418" i="5" s="1"/>
  <c r="E438" i="5"/>
  <c r="F438" i="5" s="1"/>
  <c r="E450" i="5"/>
  <c r="F450" i="5" s="1"/>
  <c r="E470" i="5"/>
  <c r="F470" i="5" s="1"/>
  <c r="E513" i="5"/>
  <c r="F513" i="5" s="1"/>
  <c r="E548" i="5"/>
  <c r="F548" i="5" s="1"/>
  <c r="E561" i="5"/>
  <c r="F561" i="5" s="1"/>
  <c r="E580" i="5"/>
  <c r="F580" i="5" s="1"/>
  <c r="E612" i="5"/>
  <c r="F612" i="5" s="1"/>
  <c r="E625" i="5"/>
  <c r="F625" i="5" s="1"/>
  <c r="E631" i="5"/>
  <c r="F631" i="5" s="1"/>
  <c r="E644" i="5"/>
  <c r="F644" i="5" s="1"/>
  <c r="E728" i="5"/>
  <c r="F728" i="5" s="1"/>
  <c r="E930" i="5"/>
  <c r="F930" i="5" s="1"/>
  <c r="E1110" i="5"/>
  <c r="F1110" i="5" s="1"/>
  <c r="E169" i="5"/>
  <c r="F169" i="5" s="1"/>
  <c r="E175" i="5"/>
  <c r="F175" i="5" s="1"/>
  <c r="E209" i="5"/>
  <c r="F209" i="5" s="1"/>
  <c r="E215" i="5"/>
  <c r="F215" i="5" s="1"/>
  <c r="E231" i="5"/>
  <c r="F231" i="5" s="1"/>
  <c r="E277" i="5"/>
  <c r="F277" i="5" s="1"/>
  <c r="E305" i="5"/>
  <c r="F305" i="5" s="1"/>
  <c r="E346" i="5"/>
  <c r="F346" i="5" s="1"/>
  <c r="E357" i="5"/>
  <c r="F357" i="5" s="1"/>
  <c r="E375" i="5"/>
  <c r="F375" i="5" s="1"/>
  <c r="E477" i="5"/>
  <c r="F477" i="5" s="1"/>
  <c r="E496" i="5"/>
  <c r="F496" i="5" s="1"/>
  <c r="E545" i="5"/>
  <c r="F545" i="5" s="1"/>
  <c r="E549" i="5"/>
  <c r="F549" i="5" s="1"/>
  <c r="E568" i="5"/>
  <c r="F568" i="5" s="1"/>
  <c r="E575" i="5"/>
  <c r="F575" i="5" s="1"/>
  <c r="E581" i="5"/>
  <c r="F581" i="5" s="1"/>
  <c r="E600" i="5"/>
  <c r="F600" i="5" s="1"/>
  <c r="E607" i="5"/>
  <c r="F607" i="5" s="1"/>
  <c r="E613" i="5"/>
  <c r="F613" i="5" s="1"/>
  <c r="E632" i="5"/>
  <c r="F632" i="5" s="1"/>
  <c r="E639" i="5"/>
  <c r="F639" i="5" s="1"/>
  <c r="E645" i="5"/>
  <c r="F645" i="5" s="1"/>
  <c r="E692" i="5"/>
  <c r="F692" i="5" s="1"/>
  <c r="E729" i="5"/>
  <c r="F729" i="5" s="1"/>
  <c r="E823" i="5"/>
  <c r="F823" i="5" s="1"/>
  <c r="E882" i="5"/>
  <c r="F882" i="5" s="1"/>
  <c r="E933" i="5"/>
  <c r="F933" i="5" s="1"/>
  <c r="E949" i="5"/>
  <c r="F949" i="5" s="1"/>
  <c r="E1174" i="5"/>
  <c r="F1174" i="5" s="1"/>
  <c r="E668" i="5"/>
  <c r="F668" i="5" s="1"/>
  <c r="E681" i="5"/>
  <c r="F681" i="5" s="1"/>
  <c r="E700" i="5"/>
  <c r="F700" i="5" s="1"/>
  <c r="E713" i="5"/>
  <c r="F713" i="5" s="1"/>
  <c r="E754" i="5"/>
  <c r="F754" i="5" s="1"/>
  <c r="E758" i="5"/>
  <c r="F758" i="5" s="1"/>
  <c r="E801" i="5"/>
  <c r="F801" i="5" s="1"/>
  <c r="E862" i="5"/>
  <c r="F862" i="5" s="1"/>
  <c r="E898" i="5"/>
  <c r="F898" i="5" s="1"/>
  <c r="E934" i="5"/>
  <c r="F934" i="5" s="1"/>
  <c r="E950" i="5"/>
  <c r="F950" i="5" s="1"/>
  <c r="E975" i="5"/>
  <c r="F975" i="5" s="1"/>
  <c r="E981" i="5"/>
  <c r="F981" i="5" s="1"/>
  <c r="E998" i="5"/>
  <c r="F998" i="5" s="1"/>
  <c r="E1009" i="5"/>
  <c r="F1009" i="5" s="1"/>
  <c r="E1014" i="5"/>
  <c r="F1014" i="5" s="1"/>
  <c r="E1042" i="5"/>
  <c r="F1042" i="5" s="1"/>
  <c r="E1054" i="5"/>
  <c r="F1054" i="5" s="1"/>
  <c r="E1070" i="5"/>
  <c r="F1070" i="5" s="1"/>
  <c r="E1106" i="5"/>
  <c r="F1106" i="5" s="1"/>
  <c r="E1150" i="5"/>
  <c r="F1150" i="5" s="1"/>
  <c r="E1182" i="5"/>
  <c r="F1182" i="5" s="1"/>
  <c r="E1189" i="5"/>
  <c r="F1189" i="5" s="1"/>
  <c r="E1253" i="5"/>
  <c r="F1253" i="5" s="1"/>
  <c r="E1258" i="5"/>
  <c r="F1258" i="5" s="1"/>
  <c r="E1278" i="5"/>
  <c r="F1278" i="5" s="1"/>
  <c r="E669" i="5"/>
  <c r="F669" i="5" s="1"/>
  <c r="E746" i="5"/>
  <c r="F746" i="5" s="1"/>
  <c r="E802" i="5"/>
  <c r="F802" i="5" s="1"/>
  <c r="E850" i="5"/>
  <c r="F850" i="5" s="1"/>
  <c r="E902" i="5"/>
  <c r="F902" i="5" s="1"/>
  <c r="E935" i="5"/>
  <c r="F935" i="5" s="1"/>
  <c r="E946" i="5"/>
  <c r="F946" i="5" s="1"/>
  <c r="E1010" i="5"/>
  <c r="F1010" i="5" s="1"/>
  <c r="E663" i="5"/>
  <c r="F663" i="5" s="1"/>
  <c r="E676" i="5"/>
  <c r="F676" i="5" s="1"/>
  <c r="E708" i="5"/>
  <c r="F708" i="5" s="1"/>
  <c r="E855" i="5"/>
  <c r="F855" i="5" s="1"/>
  <c r="E874" i="5"/>
  <c r="F874" i="5" s="1"/>
  <c r="E878" i="5"/>
  <c r="F878" i="5" s="1"/>
  <c r="E903" i="5"/>
  <c r="F903" i="5" s="1"/>
  <c r="E922" i="5"/>
  <c r="F922" i="5" s="1"/>
  <c r="E983" i="5"/>
  <c r="F983" i="5" s="1"/>
  <c r="E994" i="5"/>
  <c r="F994" i="5" s="1"/>
  <c r="E1026" i="5"/>
  <c r="F1026" i="5" s="1"/>
  <c r="E1078" i="5"/>
  <c r="F1078" i="5" s="1"/>
  <c r="E1090" i="5"/>
  <c r="F1090" i="5" s="1"/>
  <c r="E1119" i="5"/>
  <c r="F1119" i="5" s="1"/>
  <c r="E1274" i="5"/>
  <c r="F1274" i="5" s="1"/>
  <c r="E1295" i="5"/>
  <c r="F1295" i="5" s="1"/>
  <c r="E677" i="5"/>
  <c r="F677" i="5" s="1"/>
  <c r="E709" i="5"/>
  <c r="F709" i="5" s="1"/>
  <c r="E738" i="5"/>
  <c r="F738" i="5" s="1"/>
  <c r="E865" i="5"/>
  <c r="F865" i="5" s="1"/>
  <c r="E926" i="5"/>
  <c r="F926" i="5" s="1"/>
  <c r="E958" i="5"/>
  <c r="F958" i="5" s="1"/>
  <c r="E1050" i="5"/>
  <c r="F1050" i="5" s="1"/>
  <c r="E1198" i="5"/>
  <c r="F1198" i="5" s="1"/>
  <c r="E1209" i="5"/>
  <c r="F1209" i="5" s="1"/>
  <c r="E1226" i="5"/>
  <c r="F1226" i="5" s="1"/>
  <c r="E1245" i="5"/>
  <c r="F1245" i="5" s="1"/>
  <c r="E1250" i="5"/>
  <c r="F1250" i="5" s="1"/>
  <c r="E1270" i="5"/>
  <c r="F1270" i="5" s="1"/>
  <c r="E652" i="5"/>
  <c r="F652" i="5" s="1"/>
  <c r="E684" i="5"/>
  <c r="F684" i="5" s="1"/>
  <c r="E716" i="5"/>
  <c r="F716" i="5" s="1"/>
  <c r="E794" i="5"/>
  <c r="F794" i="5" s="1"/>
  <c r="E842" i="5"/>
  <c r="F842" i="5" s="1"/>
  <c r="E866" i="5"/>
  <c r="F866" i="5" s="1"/>
  <c r="E890" i="5"/>
  <c r="F890" i="5" s="1"/>
  <c r="E914" i="5"/>
  <c r="F914" i="5" s="1"/>
  <c r="E991" i="5"/>
  <c r="F991" i="5" s="1"/>
  <c r="E1033" i="5"/>
  <c r="F1033" i="5" s="1"/>
  <c r="E1086" i="5"/>
  <c r="F1086" i="5" s="1"/>
  <c r="E1153" i="5"/>
  <c r="F1153" i="5" s="1"/>
  <c r="E1199" i="5"/>
  <c r="F1199" i="5" s="1"/>
  <c r="E1222" i="5"/>
  <c r="F1222" i="5" s="1"/>
  <c r="E1246" i="5"/>
  <c r="F1246" i="5" s="1"/>
  <c r="E1286" i="5"/>
  <c r="F1286" i="5" s="1"/>
  <c r="E653" i="5"/>
  <c r="F653" i="5" s="1"/>
  <c r="E685" i="5"/>
  <c r="F685" i="5" s="1"/>
  <c r="E717" i="5"/>
  <c r="F717" i="5" s="1"/>
  <c r="E786" i="5"/>
  <c r="F786" i="5" s="1"/>
  <c r="E790" i="5"/>
  <c r="F790" i="5" s="1"/>
  <c r="E799" i="5"/>
  <c r="F799" i="5" s="1"/>
  <c r="E847" i="5"/>
  <c r="F847" i="5" s="1"/>
  <c r="E857" i="5"/>
  <c r="F857" i="5" s="1"/>
  <c r="E870" i="5"/>
  <c r="F870" i="5" s="1"/>
  <c r="E905" i="5"/>
  <c r="F905" i="5" s="1"/>
  <c r="E919" i="5"/>
  <c r="F919" i="5" s="1"/>
  <c r="E938" i="5"/>
  <c r="F938" i="5" s="1"/>
  <c r="E942" i="5"/>
  <c r="F942" i="5" s="1"/>
  <c r="E954" i="5"/>
  <c r="F954" i="5" s="1"/>
  <c r="E967" i="5"/>
  <c r="F967" i="5" s="1"/>
  <c r="E1045" i="5"/>
  <c r="F1045" i="5" s="1"/>
  <c r="E1057" i="5"/>
  <c r="F1057" i="5" s="1"/>
  <c r="E1062" i="5"/>
  <c r="F1062" i="5" s="1"/>
  <c r="E1073" i="5"/>
  <c r="F1073" i="5" s="1"/>
  <c r="E1087" i="5"/>
  <c r="F1087" i="5" s="1"/>
  <c r="E1098" i="5"/>
  <c r="F1098" i="5" s="1"/>
  <c r="E1134" i="5"/>
  <c r="F1134" i="5" s="1"/>
  <c r="E1161" i="5"/>
  <c r="F1161" i="5" s="1"/>
  <c r="E1173" i="5"/>
  <c r="F1173" i="5" s="1"/>
  <c r="E1206" i="5"/>
  <c r="F1206" i="5" s="1"/>
  <c r="E1217" i="5"/>
  <c r="F1217" i="5" s="1"/>
  <c r="E1237" i="5"/>
  <c r="F1237" i="5" s="1"/>
  <c r="E1242" i="5"/>
  <c r="F1242" i="5" s="1"/>
  <c r="E1261" i="5"/>
  <c r="F1261" i="5" s="1"/>
  <c r="E1266" i="5"/>
  <c r="F1266" i="5" s="1"/>
  <c r="E1281" i="5"/>
  <c r="F1281" i="5" s="1"/>
  <c r="E55" i="5"/>
  <c r="F55" i="5" s="1"/>
  <c r="E63" i="5"/>
  <c r="F63" i="5" s="1"/>
  <c r="E71" i="5"/>
  <c r="F71" i="5" s="1"/>
  <c r="E79" i="5"/>
  <c r="F79" i="5" s="1"/>
  <c r="E87" i="5"/>
  <c r="F87" i="5" s="1"/>
  <c r="E118" i="5"/>
  <c r="F118" i="5" s="1"/>
  <c r="E158" i="5"/>
  <c r="F158" i="5" s="1"/>
  <c r="E174" i="5"/>
  <c r="F174" i="5" s="1"/>
  <c r="E238" i="5"/>
  <c r="F238" i="5" s="1"/>
  <c r="E302" i="5"/>
  <c r="F302" i="5" s="1"/>
  <c r="E352" i="5"/>
  <c r="F352" i="5" s="1"/>
  <c r="E353" i="5"/>
  <c r="F353" i="5" s="1"/>
  <c r="E543" i="5"/>
  <c r="F543" i="5" s="1"/>
  <c r="E542" i="5"/>
  <c r="F542" i="5" s="1"/>
  <c r="E58" i="5"/>
  <c r="F58" i="5" s="1"/>
  <c r="E66" i="5"/>
  <c r="F66" i="5" s="1"/>
  <c r="E74" i="5"/>
  <c r="F74" i="5" s="1"/>
  <c r="E82" i="5"/>
  <c r="F82" i="5" s="1"/>
  <c r="E90" i="5"/>
  <c r="F90" i="5" s="1"/>
  <c r="E96" i="5"/>
  <c r="F96" i="5" s="1"/>
  <c r="E106" i="5"/>
  <c r="F106" i="5" s="1"/>
  <c r="E130" i="5"/>
  <c r="F130" i="5" s="1"/>
  <c r="E133" i="5"/>
  <c r="F133" i="5" s="1"/>
  <c r="E159" i="5"/>
  <c r="F159" i="5" s="1"/>
  <c r="E192" i="5"/>
  <c r="F192" i="5" s="1"/>
  <c r="E218" i="5"/>
  <c r="F218" i="5" s="1"/>
  <c r="E230" i="5"/>
  <c r="F230" i="5" s="1"/>
  <c r="E256" i="5"/>
  <c r="F256" i="5" s="1"/>
  <c r="E282" i="5"/>
  <c r="F282" i="5" s="1"/>
  <c r="E294" i="5"/>
  <c r="F294" i="5" s="1"/>
  <c r="E330" i="5"/>
  <c r="F330" i="5" s="1"/>
  <c r="E334" i="5"/>
  <c r="F334" i="5" s="1"/>
  <c r="E358" i="5"/>
  <c r="F358" i="5" s="1"/>
  <c r="E382" i="5"/>
  <c r="F382" i="5" s="1"/>
  <c r="E400" i="5"/>
  <c r="F400" i="5" s="1"/>
  <c r="E401" i="5"/>
  <c r="F401" i="5" s="1"/>
  <c r="E414" i="5"/>
  <c r="F414" i="5" s="1"/>
  <c r="E432" i="5"/>
  <c r="F432" i="5" s="1"/>
  <c r="E433" i="5"/>
  <c r="F433" i="5" s="1"/>
  <c r="E446" i="5"/>
  <c r="F446" i="5" s="1"/>
  <c r="E456" i="5"/>
  <c r="F456" i="5" s="1"/>
  <c r="E501" i="5"/>
  <c r="F501" i="5" s="1"/>
  <c r="E535" i="5"/>
  <c r="F535" i="5" s="1"/>
  <c r="E534" i="5"/>
  <c r="F534" i="5" s="1"/>
  <c r="E210" i="5"/>
  <c r="F210" i="5" s="1"/>
  <c r="E222" i="5"/>
  <c r="F222" i="5" s="1"/>
  <c r="E274" i="5"/>
  <c r="F274" i="5" s="1"/>
  <c r="E368" i="5"/>
  <c r="F368" i="5" s="1"/>
  <c r="E369" i="5"/>
  <c r="F369" i="5" s="1"/>
  <c r="E491" i="5"/>
  <c r="F491" i="5" s="1"/>
  <c r="E490" i="5"/>
  <c r="F490" i="5" s="1"/>
  <c r="E567" i="5"/>
  <c r="F567" i="5" s="1"/>
  <c r="E695" i="5"/>
  <c r="F695" i="5" s="1"/>
  <c r="E515" i="5"/>
  <c r="F515" i="5" s="1"/>
  <c r="E514" i="5"/>
  <c r="F514" i="5" s="1"/>
  <c r="E113" i="5"/>
  <c r="F113" i="5" s="1"/>
  <c r="E120" i="5"/>
  <c r="F120" i="5" s="1"/>
  <c r="E138" i="5"/>
  <c r="F138" i="5" s="1"/>
  <c r="E160" i="5"/>
  <c r="F160" i="5" s="1"/>
  <c r="E176" i="5"/>
  <c r="F176" i="5" s="1"/>
  <c r="E240" i="5"/>
  <c r="F240" i="5" s="1"/>
  <c r="E344" i="5"/>
  <c r="F344" i="5" s="1"/>
  <c r="E345" i="5"/>
  <c r="F345" i="5" s="1"/>
  <c r="E392" i="5"/>
  <c r="F392" i="5" s="1"/>
  <c r="E393" i="5"/>
  <c r="F393" i="5" s="1"/>
  <c r="E424" i="5"/>
  <c r="F424" i="5" s="1"/>
  <c r="E425" i="5"/>
  <c r="F425" i="5" s="1"/>
  <c r="E527" i="5"/>
  <c r="F527" i="5" s="1"/>
  <c r="E526" i="5"/>
  <c r="F526" i="5" s="1"/>
  <c r="E6" i="5"/>
  <c r="F6" i="5" s="1"/>
  <c r="E95" i="5"/>
  <c r="F95" i="5" s="1"/>
  <c r="E111" i="5"/>
  <c r="F111" i="5" s="1"/>
  <c r="E182" i="5"/>
  <c r="F182" i="5" s="1"/>
  <c r="E310" i="5"/>
  <c r="F310" i="5" s="1"/>
  <c r="E342" i="5"/>
  <c r="F342" i="5" s="1"/>
  <c r="E408" i="5"/>
  <c r="F408" i="5" s="1"/>
  <c r="E409" i="5"/>
  <c r="F409" i="5" s="1"/>
  <c r="E422" i="5"/>
  <c r="F422" i="5" s="1"/>
  <c r="E454" i="5"/>
  <c r="F454" i="5" s="1"/>
  <c r="E146" i="5"/>
  <c r="F146" i="5" s="1"/>
  <c r="E149" i="5"/>
  <c r="F149" i="5" s="1"/>
  <c r="E168" i="5"/>
  <c r="F168" i="5" s="1"/>
  <c r="E194" i="5"/>
  <c r="F194" i="5" s="1"/>
  <c r="E206" i="5"/>
  <c r="F206" i="5" s="1"/>
  <c r="E232" i="5"/>
  <c r="F232" i="5" s="1"/>
  <c r="E258" i="5"/>
  <c r="F258" i="5" s="1"/>
  <c r="E270" i="5"/>
  <c r="F270" i="5" s="1"/>
  <c r="E296" i="5"/>
  <c r="F296" i="5" s="1"/>
  <c r="E336" i="5"/>
  <c r="F336" i="5" s="1"/>
  <c r="E350" i="5"/>
  <c r="F350" i="5" s="1"/>
  <c r="E518" i="5"/>
  <c r="F518" i="5" s="1"/>
  <c r="E599" i="5"/>
  <c r="F599" i="5" s="1"/>
  <c r="E246" i="5"/>
  <c r="F246" i="5" s="1"/>
  <c r="E376" i="5"/>
  <c r="F376" i="5" s="1"/>
  <c r="E377" i="5"/>
  <c r="F377" i="5" s="1"/>
  <c r="E390" i="5"/>
  <c r="F390" i="5" s="1"/>
  <c r="E98" i="5"/>
  <c r="F98" i="5" s="1"/>
  <c r="E104" i="5"/>
  <c r="F104" i="5" s="1"/>
  <c r="E114" i="5"/>
  <c r="F114" i="5" s="1"/>
  <c r="E128" i="5"/>
  <c r="F128" i="5" s="1"/>
  <c r="E135" i="5"/>
  <c r="F135" i="5" s="1"/>
  <c r="E154" i="5"/>
  <c r="F154" i="5" s="1"/>
  <c r="E186" i="5"/>
  <c r="F186" i="5" s="1"/>
  <c r="E224" i="5"/>
  <c r="F224" i="5" s="1"/>
  <c r="E250" i="5"/>
  <c r="F250" i="5" s="1"/>
  <c r="E288" i="5"/>
  <c r="F288" i="5" s="1"/>
  <c r="E314" i="5"/>
  <c r="F314" i="5" s="1"/>
  <c r="E360" i="5"/>
  <c r="F360" i="5" s="1"/>
  <c r="E361" i="5"/>
  <c r="F361" i="5" s="1"/>
  <c r="E384" i="5"/>
  <c r="F384" i="5" s="1"/>
  <c r="E385" i="5"/>
  <c r="F385" i="5" s="1"/>
  <c r="E416" i="5"/>
  <c r="F416" i="5" s="1"/>
  <c r="E417" i="5"/>
  <c r="F417" i="5" s="1"/>
  <c r="E440" i="5"/>
  <c r="F440" i="5" s="1"/>
  <c r="E472" i="5"/>
  <c r="F472" i="5" s="1"/>
  <c r="E551" i="5"/>
  <c r="F551" i="5" s="1"/>
  <c r="E679" i="5"/>
  <c r="F679" i="5" s="1"/>
  <c r="E479" i="5"/>
  <c r="F479" i="5" s="1"/>
  <c r="E495" i="5"/>
  <c r="F495" i="5" s="1"/>
  <c r="E498" i="5"/>
  <c r="F498" i="5" s="1"/>
  <c r="E562" i="5"/>
  <c r="F562" i="5" s="1"/>
  <c r="E563" i="5"/>
  <c r="F563" i="5" s="1"/>
  <c r="E578" i="5"/>
  <c r="F578" i="5" s="1"/>
  <c r="E579" i="5"/>
  <c r="F579" i="5" s="1"/>
  <c r="E594" i="5"/>
  <c r="F594" i="5" s="1"/>
  <c r="E595" i="5"/>
  <c r="F595" i="5" s="1"/>
  <c r="E610" i="5"/>
  <c r="F610" i="5" s="1"/>
  <c r="E611" i="5"/>
  <c r="F611" i="5" s="1"/>
  <c r="E626" i="5"/>
  <c r="F626" i="5" s="1"/>
  <c r="E627" i="5"/>
  <c r="F627" i="5" s="1"/>
  <c r="E642" i="5"/>
  <c r="F642" i="5" s="1"/>
  <c r="E643" i="5"/>
  <c r="F643" i="5" s="1"/>
  <c r="E658" i="5"/>
  <c r="F658" i="5" s="1"/>
  <c r="E659" i="5"/>
  <c r="F659" i="5" s="1"/>
  <c r="E674" i="5"/>
  <c r="F674" i="5" s="1"/>
  <c r="E675" i="5"/>
  <c r="F675" i="5" s="1"/>
  <c r="E690" i="5"/>
  <c r="F690" i="5" s="1"/>
  <c r="E691" i="5"/>
  <c r="F691" i="5" s="1"/>
  <c r="E706" i="5"/>
  <c r="F706" i="5" s="1"/>
  <c r="E707" i="5"/>
  <c r="F707" i="5" s="1"/>
  <c r="E722" i="5"/>
  <c r="F722" i="5" s="1"/>
  <c r="E723" i="5"/>
  <c r="F723" i="5" s="1"/>
  <c r="E476" i="5"/>
  <c r="F476" i="5" s="1"/>
  <c r="E492" i="5"/>
  <c r="F492" i="5" s="1"/>
  <c r="E516" i="5"/>
  <c r="F516" i="5" s="1"/>
  <c r="E894" i="5"/>
  <c r="F894" i="5" s="1"/>
  <c r="E895" i="5"/>
  <c r="F895" i="5" s="1"/>
  <c r="E951" i="5"/>
  <c r="F951" i="5" s="1"/>
  <c r="E1074" i="5"/>
  <c r="F1074" i="5" s="1"/>
  <c r="E439" i="5"/>
  <c r="F439" i="5" s="1"/>
  <c r="E447" i="5"/>
  <c r="F447" i="5" s="1"/>
  <c r="E455" i="5"/>
  <c r="F455" i="5" s="1"/>
  <c r="E463" i="5"/>
  <c r="F463" i="5" s="1"/>
  <c r="E471" i="5"/>
  <c r="F471" i="5" s="1"/>
  <c r="E483" i="5"/>
  <c r="F483" i="5" s="1"/>
  <c r="E506" i="5"/>
  <c r="F506" i="5" s="1"/>
  <c r="E503" i="5"/>
  <c r="F503" i="5" s="1"/>
  <c r="E734" i="5"/>
  <c r="F734" i="5" s="1"/>
  <c r="E733" i="5"/>
  <c r="F733" i="5" s="1"/>
  <c r="E825" i="5"/>
  <c r="F825" i="5" s="1"/>
  <c r="E826" i="5"/>
  <c r="F826" i="5" s="1"/>
  <c r="E830" i="5"/>
  <c r="F830" i="5" s="1"/>
  <c r="E831" i="5"/>
  <c r="F831" i="5" s="1"/>
  <c r="E1162" i="5"/>
  <c r="F1162" i="5" s="1"/>
  <c r="E1163" i="5"/>
  <c r="F1163" i="5" s="1"/>
  <c r="E487" i="5"/>
  <c r="F487" i="5" s="1"/>
  <c r="E554" i="5"/>
  <c r="F554" i="5" s="1"/>
  <c r="E555" i="5"/>
  <c r="F555" i="5" s="1"/>
  <c r="E570" i="5"/>
  <c r="F570" i="5" s="1"/>
  <c r="E571" i="5"/>
  <c r="F571" i="5" s="1"/>
  <c r="E586" i="5"/>
  <c r="F586" i="5" s="1"/>
  <c r="E587" i="5"/>
  <c r="F587" i="5" s="1"/>
  <c r="E602" i="5"/>
  <c r="F602" i="5" s="1"/>
  <c r="E603" i="5"/>
  <c r="F603" i="5" s="1"/>
  <c r="E618" i="5"/>
  <c r="F618" i="5" s="1"/>
  <c r="E619" i="5"/>
  <c r="F619" i="5" s="1"/>
  <c r="E634" i="5"/>
  <c r="F634" i="5" s="1"/>
  <c r="E635" i="5"/>
  <c r="F635" i="5" s="1"/>
  <c r="E650" i="5"/>
  <c r="F650" i="5" s="1"/>
  <c r="E651" i="5"/>
  <c r="F651" i="5" s="1"/>
  <c r="E666" i="5"/>
  <c r="F666" i="5" s="1"/>
  <c r="E667" i="5"/>
  <c r="F667" i="5" s="1"/>
  <c r="E682" i="5"/>
  <c r="F682" i="5" s="1"/>
  <c r="E683" i="5"/>
  <c r="F683" i="5" s="1"/>
  <c r="E698" i="5"/>
  <c r="F698" i="5" s="1"/>
  <c r="E699" i="5"/>
  <c r="F699" i="5" s="1"/>
  <c r="E714" i="5"/>
  <c r="F714" i="5" s="1"/>
  <c r="E715" i="5"/>
  <c r="F715" i="5" s="1"/>
  <c r="E511" i="5"/>
  <c r="F511" i="5" s="1"/>
  <c r="E730" i="5"/>
  <c r="F730" i="5" s="1"/>
  <c r="E731" i="5"/>
  <c r="F731" i="5" s="1"/>
  <c r="E766" i="5"/>
  <c r="F766" i="5" s="1"/>
  <c r="E817" i="5"/>
  <c r="F817" i="5" s="1"/>
  <c r="E818" i="5"/>
  <c r="F818" i="5" s="1"/>
  <c r="E814" i="5"/>
  <c r="F814" i="5" s="1"/>
  <c r="E978" i="5"/>
  <c r="F978" i="5" s="1"/>
  <c r="E550" i="5"/>
  <c r="F550" i="5" s="1"/>
  <c r="E558" i="5"/>
  <c r="F558" i="5" s="1"/>
  <c r="E566" i="5"/>
  <c r="F566" i="5" s="1"/>
  <c r="E574" i="5"/>
  <c r="F574" i="5" s="1"/>
  <c r="E582" i="5"/>
  <c r="F582" i="5" s="1"/>
  <c r="E590" i="5"/>
  <c r="F590" i="5" s="1"/>
  <c r="E598" i="5"/>
  <c r="F598" i="5" s="1"/>
  <c r="E606" i="5"/>
  <c r="F606" i="5" s="1"/>
  <c r="E614" i="5"/>
  <c r="F614" i="5" s="1"/>
  <c r="E622" i="5"/>
  <c r="F622" i="5" s="1"/>
  <c r="E630" i="5"/>
  <c r="F630" i="5" s="1"/>
  <c r="E638" i="5"/>
  <c r="F638" i="5" s="1"/>
  <c r="E646" i="5"/>
  <c r="F646" i="5" s="1"/>
  <c r="E654" i="5"/>
  <c r="F654" i="5" s="1"/>
  <c r="E662" i="5"/>
  <c r="F662" i="5" s="1"/>
  <c r="E670" i="5"/>
  <c r="F670" i="5" s="1"/>
  <c r="E678" i="5"/>
  <c r="F678" i="5" s="1"/>
  <c r="E686" i="5"/>
  <c r="F686" i="5" s="1"/>
  <c r="E694" i="5"/>
  <c r="F694" i="5" s="1"/>
  <c r="E702" i="5"/>
  <c r="F702" i="5" s="1"/>
  <c r="E710" i="5"/>
  <c r="F710" i="5" s="1"/>
  <c r="E718" i="5"/>
  <c r="F718" i="5" s="1"/>
  <c r="E726" i="5"/>
  <c r="F726" i="5" s="1"/>
  <c r="E785" i="5"/>
  <c r="F785" i="5" s="1"/>
  <c r="E849" i="5"/>
  <c r="F849" i="5" s="1"/>
  <c r="E913" i="5"/>
  <c r="F913" i="5" s="1"/>
  <c r="E798" i="5"/>
  <c r="F798" i="5" s="1"/>
  <c r="E879" i="5"/>
  <c r="F879" i="5" s="1"/>
  <c r="E943" i="5"/>
  <c r="F943" i="5" s="1"/>
  <c r="E1147" i="5"/>
  <c r="F1147" i="5" s="1"/>
  <c r="E897" i="5"/>
  <c r="F897" i="5" s="1"/>
  <c r="E737" i="5"/>
  <c r="F737" i="5" s="1"/>
  <c r="E745" i="5"/>
  <c r="F745" i="5" s="1"/>
  <c r="E753" i="5"/>
  <c r="F753" i="5" s="1"/>
  <c r="E761" i="5"/>
  <c r="F761" i="5" s="1"/>
  <c r="E777" i="5"/>
  <c r="F777" i="5" s="1"/>
  <c r="E778" i="5"/>
  <c r="F778" i="5" s="1"/>
  <c r="E782" i="5"/>
  <c r="F782" i="5" s="1"/>
  <c r="E863" i="5"/>
  <c r="F863" i="5" s="1"/>
  <c r="E889" i="5"/>
  <c r="F889" i="5" s="1"/>
  <c r="E927" i="5"/>
  <c r="F927" i="5" s="1"/>
  <c r="E959" i="5"/>
  <c r="F959" i="5" s="1"/>
  <c r="E987" i="5"/>
  <c r="F987" i="5" s="1"/>
  <c r="E769" i="5"/>
  <c r="F769" i="5" s="1"/>
  <c r="E770" i="5"/>
  <c r="F770" i="5" s="1"/>
  <c r="E774" i="5"/>
  <c r="F774" i="5" s="1"/>
  <c r="E833" i="5"/>
  <c r="F833" i="5" s="1"/>
  <c r="E834" i="5"/>
  <c r="F834" i="5" s="1"/>
  <c r="E881" i="5"/>
  <c r="F881" i="5" s="1"/>
  <c r="E945" i="5"/>
  <c r="F945" i="5" s="1"/>
  <c r="E962" i="5"/>
  <c r="F962" i="5" s="1"/>
  <c r="E970" i="5"/>
  <c r="F970" i="5" s="1"/>
  <c r="E989" i="5"/>
  <c r="F989" i="5" s="1"/>
  <c r="E1101" i="5"/>
  <c r="F1101" i="5" s="1"/>
  <c r="E1018" i="5"/>
  <c r="F1018" i="5" s="1"/>
  <c r="E1066" i="5"/>
  <c r="F1066" i="5" s="1"/>
  <c r="E1122" i="5"/>
  <c r="F1122" i="5" s="1"/>
  <c r="E1138" i="5"/>
  <c r="F1138" i="5" s="1"/>
  <c r="E1179" i="5"/>
  <c r="F1179" i="5" s="1"/>
  <c r="E1195" i="5"/>
  <c r="F1195" i="5" s="1"/>
  <c r="E1211" i="5"/>
  <c r="F1211" i="5" s="1"/>
  <c r="E1229" i="5"/>
  <c r="F1229" i="5" s="1"/>
  <c r="E1293" i="5"/>
  <c r="F1293" i="5" s="1"/>
  <c r="E1082" i="5"/>
  <c r="F1082" i="5" s="1"/>
  <c r="E1155" i="5"/>
  <c r="F1155" i="5" s="1"/>
  <c r="E1181" i="5"/>
  <c r="F1181" i="5" s="1"/>
  <c r="E1197" i="5"/>
  <c r="F1197" i="5" s="1"/>
  <c r="E1213" i="5"/>
  <c r="F1213" i="5" s="1"/>
  <c r="E1221" i="5"/>
  <c r="F1221" i="5" s="1"/>
  <c r="E1234" i="5"/>
  <c r="F1234" i="5" s="1"/>
  <c r="E1285" i="5"/>
  <c r="F1285" i="5" s="1"/>
  <c r="E1301" i="5"/>
  <c r="F1301" i="5" s="1"/>
  <c r="E1302" i="5"/>
  <c r="F1302" i="5" s="1"/>
  <c r="E973" i="5"/>
  <c r="F973" i="5" s="1"/>
  <c r="E1005" i="5"/>
  <c r="F1005" i="5" s="1"/>
  <c r="E1053" i="5"/>
  <c r="F1053" i="5" s="1"/>
  <c r="E1093" i="5"/>
  <c r="F1093" i="5" s="1"/>
  <c r="E1277" i="5"/>
  <c r="F1277" i="5" s="1"/>
  <c r="E1290" i="5"/>
  <c r="F1290" i="5" s="1"/>
  <c r="E1029" i="5"/>
  <c r="F1029" i="5" s="1"/>
  <c r="E1034" i="5"/>
  <c r="F1034" i="5" s="1"/>
  <c r="E1109" i="5"/>
  <c r="F1109" i="5" s="1"/>
  <c r="E1114" i="5"/>
  <c r="F1114" i="5" s="1"/>
  <c r="E1125" i="5"/>
  <c r="F1125" i="5" s="1"/>
  <c r="E1130" i="5"/>
  <c r="F1130" i="5" s="1"/>
  <c r="E1141" i="5"/>
  <c r="F1141" i="5" s="1"/>
  <c r="E1157" i="5"/>
  <c r="F1157" i="5" s="1"/>
  <c r="E1171" i="5"/>
  <c r="F1171" i="5" s="1"/>
  <c r="E1187" i="5"/>
  <c r="F1187" i="5" s="1"/>
  <c r="E1218" i="5"/>
  <c r="F1218" i="5" s="1"/>
  <c r="E1269" i="5"/>
  <c r="F1269" i="5" s="1"/>
  <c r="E1282" i="5"/>
  <c r="F1282" i="5" s="1"/>
  <c r="E1225" i="5"/>
  <c r="F1225" i="5" s="1"/>
  <c r="E1241" i="5"/>
  <c r="F1241" i="5" s="1"/>
  <c r="E1289" i="5"/>
  <c r="F1289" i="5" s="1"/>
  <c r="E1116" i="5"/>
  <c r="F1116" i="5" s="1"/>
  <c r="E1188" i="5"/>
  <c r="F1188" i="5" s="1"/>
  <c r="E1196" i="5"/>
  <c r="F1196" i="5" s="1"/>
  <c r="E1212" i="5"/>
  <c r="F1212" i="5" s="1"/>
  <c r="E1239" i="4"/>
  <c r="F1239" i="4" s="1"/>
  <c r="E1223" i="4"/>
  <c r="F1223" i="4" s="1"/>
  <c r="E17" i="4"/>
  <c r="F17" i="4" s="1"/>
  <c r="E233" i="4"/>
  <c r="F233" i="4" s="1"/>
  <c r="E497" i="4"/>
  <c r="F497" i="4" s="1"/>
  <c r="E601" i="4"/>
  <c r="F601" i="4" s="1"/>
  <c r="E617" i="4"/>
  <c r="F617" i="4" s="1"/>
  <c r="E1303" i="4"/>
  <c r="F1303" i="4" s="1"/>
  <c r="E254" i="4"/>
  <c r="F254" i="4" s="1"/>
  <c r="E1034" i="4"/>
  <c r="F1034" i="4" s="1"/>
  <c r="E1115" i="4"/>
  <c r="F1115" i="4" s="1"/>
  <c r="E1139" i="4"/>
  <c r="F1139" i="4" s="1"/>
  <c r="E1219" i="4"/>
  <c r="F1219" i="4" s="1"/>
  <c r="E1227" i="4"/>
  <c r="F1227" i="4" s="1"/>
  <c r="E85" i="4"/>
  <c r="F85" i="4" s="1"/>
  <c r="E143" i="4"/>
  <c r="F143" i="4" s="1"/>
  <c r="E151" i="4"/>
  <c r="F151" i="4" s="1"/>
  <c r="E159" i="4"/>
  <c r="F159" i="4" s="1"/>
  <c r="E175" i="4"/>
  <c r="F175" i="4" s="1"/>
  <c r="E383" i="4"/>
  <c r="F383" i="4" s="1"/>
  <c r="E1015" i="4"/>
  <c r="F1015" i="4" s="1"/>
  <c r="E1031" i="4"/>
  <c r="F1031" i="4" s="1"/>
  <c r="E1087" i="4"/>
  <c r="F1087" i="4" s="1"/>
  <c r="E1247" i="4"/>
  <c r="F1247" i="4" s="1"/>
  <c r="E766" i="4"/>
  <c r="F766" i="4" s="1"/>
  <c r="E240" i="4"/>
  <c r="F240" i="4" s="1"/>
  <c r="E272" i="4"/>
  <c r="F272" i="4" s="1"/>
  <c r="E280" i="4"/>
  <c r="F280" i="4" s="1"/>
  <c r="E936" i="4"/>
  <c r="F936" i="4" s="1"/>
  <c r="E944" i="4"/>
  <c r="F944" i="4" s="1"/>
  <c r="E960" i="4"/>
  <c r="F960" i="4" s="1"/>
  <c r="E976" i="4"/>
  <c r="F976" i="4" s="1"/>
  <c r="E984" i="4"/>
  <c r="F984" i="4" s="1"/>
  <c r="E1008" i="4"/>
  <c r="F1008" i="4" s="1"/>
  <c r="E1120" i="4"/>
  <c r="F1120" i="4" s="1"/>
  <c r="E125" i="4"/>
  <c r="F125" i="4" s="1"/>
  <c r="E325" i="4"/>
  <c r="F325" i="4" s="1"/>
  <c r="E333" i="4"/>
  <c r="F333" i="4" s="1"/>
  <c r="E838" i="4"/>
  <c r="F838" i="4" s="1"/>
  <c r="E38" i="4"/>
  <c r="F38" i="4" s="1"/>
  <c r="E46" i="4"/>
  <c r="F46" i="4" s="1"/>
  <c r="E625" i="4"/>
  <c r="F625" i="4" s="1"/>
  <c r="E1178" i="4"/>
  <c r="F1178" i="4" s="1"/>
  <c r="E15" i="4"/>
  <c r="F15" i="4" s="1"/>
  <c r="E93" i="4"/>
  <c r="F93" i="4" s="1"/>
  <c r="E141" i="4"/>
  <c r="F141" i="4" s="1"/>
  <c r="E149" i="4"/>
  <c r="F149" i="4" s="1"/>
  <c r="E157" i="4"/>
  <c r="F157" i="4" s="1"/>
  <c r="E165" i="4"/>
  <c r="F165" i="4" s="1"/>
  <c r="E173" i="4"/>
  <c r="F173" i="4" s="1"/>
  <c r="E181" i="4"/>
  <c r="F181" i="4" s="1"/>
  <c r="E229" i="4"/>
  <c r="F229" i="4" s="1"/>
  <c r="E260" i="4"/>
  <c r="F260" i="4" s="1"/>
  <c r="E268" i="4"/>
  <c r="F268" i="4" s="1"/>
  <c r="E276" i="4"/>
  <c r="F276" i="4" s="1"/>
  <c r="E284" i="4"/>
  <c r="F284" i="4" s="1"/>
  <c r="E292" i="4"/>
  <c r="F292" i="4" s="1"/>
  <c r="E300" i="4"/>
  <c r="F300" i="4" s="1"/>
  <c r="E308" i="4"/>
  <c r="F308" i="4" s="1"/>
  <c r="E324" i="4"/>
  <c r="F324" i="4" s="1"/>
  <c r="E764" i="4"/>
  <c r="F764" i="4" s="1"/>
  <c r="E772" i="4"/>
  <c r="F772" i="4" s="1"/>
  <c r="E836" i="4"/>
  <c r="F836" i="4" s="1"/>
  <c r="E844" i="4"/>
  <c r="F844" i="4" s="1"/>
  <c r="E876" i="4"/>
  <c r="F876" i="4" s="1"/>
  <c r="E1020" i="4"/>
  <c r="F1020" i="4" s="1"/>
  <c r="E1068" i="4"/>
  <c r="F1068" i="4" s="1"/>
  <c r="E1076" i="4"/>
  <c r="F1076" i="4" s="1"/>
  <c r="E1084" i="4"/>
  <c r="F1084" i="4" s="1"/>
  <c r="E1092" i="4"/>
  <c r="F1092" i="4" s="1"/>
  <c r="E1100" i="4"/>
  <c r="F1100" i="4" s="1"/>
  <c r="E1116" i="4"/>
  <c r="F1116" i="4" s="1"/>
  <c r="E1252" i="4"/>
  <c r="F1252" i="4" s="1"/>
  <c r="E1268" i="4"/>
  <c r="F1268" i="4" s="1"/>
  <c r="E1284" i="4"/>
  <c r="F1284" i="4" s="1"/>
  <c r="E1292" i="4"/>
  <c r="F1292" i="4" s="1"/>
  <c r="E1300" i="4"/>
  <c r="F1300" i="4" s="1"/>
  <c r="E477" i="4"/>
  <c r="F477" i="4" s="1"/>
  <c r="E493" i="4"/>
  <c r="F493" i="4" s="1"/>
  <c r="E509" i="4"/>
  <c r="F509" i="4" s="1"/>
  <c r="E653" i="4"/>
  <c r="F653" i="4" s="1"/>
  <c r="E1174" i="4"/>
  <c r="F1174" i="4" s="1"/>
  <c r="E494" i="4"/>
  <c r="F494" i="4" s="1"/>
  <c r="E1186" i="4"/>
  <c r="F1186" i="4" s="1"/>
  <c r="E1278" i="4"/>
  <c r="F1278" i="4" s="1"/>
  <c r="E543" i="4"/>
  <c r="F543" i="4" s="1"/>
  <c r="E528" i="4"/>
  <c r="F528" i="4" s="1"/>
  <c r="E245" i="4"/>
  <c r="F245" i="4" s="1"/>
  <c r="E261" i="4"/>
  <c r="F261" i="4" s="1"/>
  <c r="E277" i="4"/>
  <c r="F277" i="4" s="1"/>
  <c r="E443" i="4"/>
  <c r="F443" i="4" s="1"/>
  <c r="E451" i="4"/>
  <c r="F451" i="4" s="1"/>
  <c r="E459" i="4"/>
  <c r="F459" i="4" s="1"/>
  <c r="E809" i="4"/>
  <c r="F809" i="4" s="1"/>
  <c r="E817" i="4"/>
  <c r="F817" i="4" s="1"/>
  <c r="E833" i="4"/>
  <c r="F833" i="4" s="1"/>
  <c r="E849" i="4"/>
  <c r="F849" i="4" s="1"/>
  <c r="E865" i="4"/>
  <c r="F865" i="4" s="1"/>
  <c r="E961" i="4"/>
  <c r="F961" i="4" s="1"/>
  <c r="E1009" i="4"/>
  <c r="F1009" i="4" s="1"/>
  <c r="E1017" i="4"/>
  <c r="F1017" i="4" s="1"/>
  <c r="E1049" i="4"/>
  <c r="F1049" i="4" s="1"/>
  <c r="E1057" i="4"/>
  <c r="F1057" i="4" s="1"/>
  <c r="E1097" i="4"/>
  <c r="F1097" i="4" s="1"/>
  <c r="E1248" i="4"/>
  <c r="F1248" i="4" s="1"/>
  <c r="E349" i="4"/>
  <c r="F349" i="4" s="1"/>
  <c r="E357" i="4"/>
  <c r="F357" i="4" s="1"/>
  <c r="E365" i="4"/>
  <c r="F365" i="4" s="1"/>
  <c r="E373" i="4"/>
  <c r="F373" i="4" s="1"/>
  <c r="E396" i="4"/>
  <c r="F396" i="4" s="1"/>
  <c r="E460" i="4"/>
  <c r="F460" i="4" s="1"/>
  <c r="E595" i="4"/>
  <c r="F595" i="4" s="1"/>
  <c r="E643" i="4"/>
  <c r="F643" i="4" s="1"/>
  <c r="E667" i="4"/>
  <c r="F667" i="4" s="1"/>
  <c r="E10" i="4"/>
  <c r="F10" i="4" s="1"/>
  <c r="E34" i="4"/>
  <c r="F34" i="4" s="1"/>
  <c r="E81" i="4"/>
  <c r="F81" i="4" s="1"/>
  <c r="E105" i="4"/>
  <c r="F105" i="4" s="1"/>
  <c r="E121" i="4"/>
  <c r="F121" i="4" s="1"/>
  <c r="E397" i="4"/>
  <c r="F397" i="4" s="1"/>
  <c r="E476" i="4"/>
  <c r="F476" i="4" s="1"/>
  <c r="E500" i="4"/>
  <c r="F500" i="4" s="1"/>
  <c r="E508" i="4"/>
  <c r="F508" i="4" s="1"/>
  <c r="E524" i="4"/>
  <c r="F524" i="4" s="1"/>
  <c r="E540" i="4"/>
  <c r="F540" i="4" s="1"/>
  <c r="E548" i="4"/>
  <c r="F548" i="4" s="1"/>
  <c r="E556" i="4"/>
  <c r="F556" i="4" s="1"/>
  <c r="E564" i="4"/>
  <c r="F564" i="4" s="1"/>
  <c r="E572" i="4"/>
  <c r="F572" i="4" s="1"/>
  <c r="E588" i="4"/>
  <c r="F588" i="4" s="1"/>
  <c r="E636" i="4"/>
  <c r="F636" i="4" s="1"/>
  <c r="E684" i="4"/>
  <c r="F684" i="4" s="1"/>
  <c r="E692" i="4"/>
  <c r="F692" i="4" s="1"/>
  <c r="E708" i="4"/>
  <c r="F708" i="4" s="1"/>
  <c r="E724" i="4"/>
  <c r="F724" i="4" s="1"/>
  <c r="E740" i="4"/>
  <c r="F740" i="4" s="1"/>
  <c r="E178" i="4"/>
  <c r="F178" i="4" s="1"/>
  <c r="E186" i="4"/>
  <c r="F186" i="4" s="1"/>
  <c r="E194" i="4"/>
  <c r="F194" i="4" s="1"/>
  <c r="E297" i="4"/>
  <c r="F297" i="4" s="1"/>
  <c r="E313" i="4"/>
  <c r="F313" i="4" s="1"/>
  <c r="E376" i="4"/>
  <c r="F376" i="4" s="1"/>
  <c r="E415" i="4"/>
  <c r="F415" i="4" s="1"/>
  <c r="E471" i="4"/>
  <c r="F471" i="4" s="1"/>
  <c r="E542" i="4"/>
  <c r="F542" i="4" s="1"/>
  <c r="E574" i="4"/>
  <c r="F574" i="4" s="1"/>
  <c r="E590" i="4"/>
  <c r="F590" i="4" s="1"/>
  <c r="E638" i="4"/>
  <c r="F638" i="4" s="1"/>
  <c r="E646" i="4"/>
  <c r="F646" i="4" s="1"/>
  <c r="E900" i="4"/>
  <c r="F900" i="4" s="1"/>
  <c r="E1245" i="4"/>
  <c r="F1245" i="4" s="1"/>
  <c r="E440" i="4"/>
  <c r="F440" i="4" s="1"/>
  <c r="E456" i="4"/>
  <c r="F456" i="4" s="1"/>
  <c r="E472" i="4"/>
  <c r="F472" i="4" s="1"/>
  <c r="E479" i="4"/>
  <c r="F479" i="4" s="1"/>
  <c r="E527" i="4"/>
  <c r="F527" i="4" s="1"/>
  <c r="E774" i="4"/>
  <c r="F774" i="4" s="1"/>
  <c r="E782" i="4"/>
  <c r="F782" i="4" s="1"/>
  <c r="E806" i="4"/>
  <c r="F806" i="4" s="1"/>
  <c r="E902" i="4"/>
  <c r="F902" i="4" s="1"/>
  <c r="E934" i="4"/>
  <c r="F934" i="4" s="1"/>
  <c r="E974" i="4"/>
  <c r="F974" i="4" s="1"/>
  <c r="E1182" i="4"/>
  <c r="F1182" i="4" s="1"/>
  <c r="E251" i="4"/>
  <c r="F251" i="4" s="1"/>
  <c r="E259" i="4"/>
  <c r="F259" i="4" s="1"/>
  <c r="E275" i="4"/>
  <c r="F275" i="4" s="1"/>
  <c r="E401" i="4"/>
  <c r="F401" i="4" s="1"/>
  <c r="E409" i="4"/>
  <c r="F409" i="4" s="1"/>
  <c r="E608" i="4"/>
  <c r="F608" i="4" s="1"/>
  <c r="E616" i="4"/>
  <c r="F616" i="4" s="1"/>
  <c r="E632" i="4"/>
  <c r="F632" i="4" s="1"/>
  <c r="E672" i="4"/>
  <c r="F672" i="4" s="1"/>
  <c r="E680" i="4"/>
  <c r="F680" i="4" s="1"/>
  <c r="E712" i="4"/>
  <c r="F712" i="4" s="1"/>
  <c r="E720" i="4"/>
  <c r="F720" i="4" s="1"/>
  <c r="E744" i="4"/>
  <c r="F744" i="4" s="1"/>
  <c r="E752" i="4"/>
  <c r="F752" i="4" s="1"/>
  <c r="E815" i="4"/>
  <c r="F815" i="4" s="1"/>
  <c r="E14" i="4"/>
  <c r="F14" i="4" s="1"/>
  <c r="E30" i="4"/>
  <c r="F30" i="4" s="1"/>
  <c r="E180" i="4"/>
  <c r="F180" i="4" s="1"/>
  <c r="E196" i="4"/>
  <c r="F196" i="4" s="1"/>
  <c r="E266" i="4"/>
  <c r="F266" i="4" s="1"/>
  <c r="E288" i="4"/>
  <c r="F288" i="4" s="1"/>
  <c r="E320" i="4"/>
  <c r="F320" i="4" s="1"/>
  <c r="E413" i="4"/>
  <c r="F413" i="4" s="1"/>
  <c r="E421" i="4"/>
  <c r="F421" i="4" s="1"/>
  <c r="E429" i="4"/>
  <c r="F429" i="4" s="1"/>
  <c r="E453" i="4"/>
  <c r="F453" i="4" s="1"/>
  <c r="E555" i="4"/>
  <c r="F555" i="4" s="1"/>
  <c r="E729" i="4"/>
  <c r="F729" i="4" s="1"/>
  <c r="E745" i="4"/>
  <c r="F745" i="4" s="1"/>
  <c r="E792" i="4"/>
  <c r="F792" i="4" s="1"/>
  <c r="E808" i="4"/>
  <c r="F808" i="4" s="1"/>
  <c r="E832" i="4"/>
  <c r="F832" i="4" s="1"/>
  <c r="E840" i="4"/>
  <c r="F840" i="4" s="1"/>
  <c r="E1007" i="4"/>
  <c r="F1007" i="4" s="1"/>
  <c r="E1029" i="4"/>
  <c r="F1029" i="4" s="1"/>
  <c r="E1037" i="4"/>
  <c r="F1037" i="4" s="1"/>
  <c r="E1093" i="4"/>
  <c r="F1093" i="4" s="1"/>
  <c r="E1148" i="4"/>
  <c r="F1148" i="4" s="1"/>
  <c r="E1156" i="4"/>
  <c r="F1156" i="4" s="1"/>
  <c r="E1188" i="4"/>
  <c r="F1188" i="4" s="1"/>
  <c r="E1244" i="4"/>
  <c r="F1244" i="4" s="1"/>
  <c r="E992" i="4"/>
  <c r="F992" i="4" s="1"/>
  <c r="E32" i="4"/>
  <c r="F32" i="4" s="1"/>
  <c r="E47" i="4"/>
  <c r="F47" i="4" s="1"/>
  <c r="E205" i="4"/>
  <c r="F205" i="4" s="1"/>
  <c r="E237" i="4"/>
  <c r="F237" i="4" s="1"/>
  <c r="E244" i="4"/>
  <c r="F244" i="4" s="1"/>
  <c r="E399" i="4"/>
  <c r="F399" i="4" s="1"/>
  <c r="E461" i="4"/>
  <c r="F461" i="4" s="1"/>
  <c r="E619" i="4"/>
  <c r="F619" i="4" s="1"/>
  <c r="E28" i="4"/>
  <c r="F28" i="4" s="1"/>
  <c r="E1194" i="4"/>
  <c r="F1194" i="4" s="1"/>
  <c r="E323" i="4"/>
  <c r="F323" i="4" s="1"/>
  <c r="E1231" i="4"/>
  <c r="F1231" i="4" s="1"/>
  <c r="E1286" i="4"/>
  <c r="F1286" i="4" s="1"/>
  <c r="E96" i="4"/>
  <c r="F96" i="4" s="1"/>
  <c r="E112" i="4"/>
  <c r="F112" i="4" s="1"/>
  <c r="E1088" i="4"/>
  <c r="F1088" i="4" s="1"/>
  <c r="E1176" i="4"/>
  <c r="F1176" i="4" s="1"/>
  <c r="E1192" i="4"/>
  <c r="F1192" i="4" s="1"/>
  <c r="E1240" i="4"/>
  <c r="F1240" i="4" s="1"/>
  <c r="E648" i="4"/>
  <c r="F648" i="4" s="1"/>
  <c r="E11" i="4"/>
  <c r="F11" i="4" s="1"/>
  <c r="E26" i="4"/>
  <c r="F26" i="4" s="1"/>
  <c r="E82" i="4"/>
  <c r="F82" i="4" s="1"/>
  <c r="E98" i="4"/>
  <c r="F98" i="4" s="1"/>
  <c r="E114" i="4"/>
  <c r="F114" i="4" s="1"/>
  <c r="E129" i="4"/>
  <c r="F129" i="4" s="1"/>
  <c r="E209" i="4"/>
  <c r="F209" i="4" s="1"/>
  <c r="E262" i="4"/>
  <c r="F262" i="4" s="1"/>
  <c r="E418" i="4"/>
  <c r="F418" i="4" s="1"/>
  <c r="E426" i="4"/>
  <c r="F426" i="4" s="1"/>
  <c r="E442" i="4"/>
  <c r="F442" i="4" s="1"/>
  <c r="E458" i="4"/>
  <c r="F458" i="4" s="1"/>
  <c r="E465" i="4"/>
  <c r="F465" i="4" s="1"/>
  <c r="E488" i="4"/>
  <c r="F488" i="4" s="1"/>
  <c r="E552" i="4"/>
  <c r="F552" i="4" s="1"/>
  <c r="E591" i="4"/>
  <c r="F591" i="4" s="1"/>
  <c r="E623" i="4"/>
  <c r="F623" i="4" s="1"/>
  <c r="E710" i="4"/>
  <c r="F710" i="4" s="1"/>
  <c r="E821" i="4"/>
  <c r="F821" i="4" s="1"/>
  <c r="E893" i="4"/>
  <c r="F893" i="4" s="1"/>
  <c r="E908" i="4"/>
  <c r="F908" i="4" s="1"/>
  <c r="E924" i="4"/>
  <c r="F924" i="4" s="1"/>
  <c r="E932" i="4"/>
  <c r="F932" i="4" s="1"/>
  <c r="E948" i="4"/>
  <c r="F948" i="4" s="1"/>
  <c r="E956" i="4"/>
  <c r="F956" i="4" s="1"/>
  <c r="E964" i="4"/>
  <c r="F964" i="4" s="1"/>
  <c r="E980" i="4"/>
  <c r="F980" i="4" s="1"/>
  <c r="E996" i="4"/>
  <c r="F996" i="4" s="1"/>
  <c r="E1121" i="4"/>
  <c r="F1121" i="4" s="1"/>
  <c r="E1193" i="4"/>
  <c r="F1193" i="4" s="1"/>
  <c r="E1217" i="4"/>
  <c r="F1217" i="4" s="1"/>
  <c r="E1225" i="4"/>
  <c r="F1225" i="4" s="1"/>
  <c r="E1233" i="4"/>
  <c r="F1233" i="4" s="1"/>
  <c r="E1256" i="4"/>
  <c r="F1256" i="4" s="1"/>
  <c r="E1264" i="4"/>
  <c r="F1264" i="4" s="1"/>
  <c r="E1272" i="4"/>
  <c r="F1272" i="4" s="1"/>
  <c r="E1280" i="4"/>
  <c r="F1280" i="4" s="1"/>
  <c r="E1288" i="4"/>
  <c r="F1288" i="4" s="1"/>
  <c r="E1296" i="4"/>
  <c r="F1296" i="4" s="1"/>
  <c r="E27" i="4"/>
  <c r="F27" i="4" s="1"/>
  <c r="E41" i="4"/>
  <c r="F41" i="4" s="1"/>
  <c r="E95" i="4"/>
  <c r="F95" i="4" s="1"/>
  <c r="E111" i="4"/>
  <c r="F111" i="4" s="1"/>
  <c r="E197" i="4"/>
  <c r="F197" i="4" s="1"/>
  <c r="E506" i="4"/>
  <c r="F506" i="4" s="1"/>
  <c r="E545" i="4"/>
  <c r="F545" i="4" s="1"/>
  <c r="E629" i="4"/>
  <c r="F629" i="4" s="1"/>
  <c r="E644" i="4"/>
  <c r="F644" i="4" s="1"/>
  <c r="E737" i="4"/>
  <c r="F737" i="4" s="1"/>
  <c r="E751" i="4"/>
  <c r="F751" i="4" s="1"/>
  <c r="E789" i="4"/>
  <c r="F789" i="4" s="1"/>
  <c r="E812" i="4"/>
  <c r="F812" i="4" s="1"/>
  <c r="E873" i="4"/>
  <c r="F873" i="4" s="1"/>
  <c r="E896" i="4"/>
  <c r="F896" i="4" s="1"/>
  <c r="E943" i="4"/>
  <c r="F943" i="4" s="1"/>
  <c r="E959" i="4"/>
  <c r="F959" i="4" s="1"/>
  <c r="E1004" i="4"/>
  <c r="F1004" i="4" s="1"/>
  <c r="E1074" i="4"/>
  <c r="F1074" i="4" s="1"/>
  <c r="E1090" i="4"/>
  <c r="F1090" i="4" s="1"/>
  <c r="E1114" i="4"/>
  <c r="F1114" i="4" s="1"/>
  <c r="E1191" i="4"/>
  <c r="F1191" i="4" s="1"/>
  <c r="E1206" i="4"/>
  <c r="F1206" i="4" s="1"/>
  <c r="E1238" i="4"/>
  <c r="F1238" i="4" s="1"/>
  <c r="E1251" i="4"/>
  <c r="F1251" i="4" s="1"/>
  <c r="E1259" i="4"/>
  <c r="F1259" i="4" s="1"/>
  <c r="E1267" i="4"/>
  <c r="F1267" i="4" s="1"/>
  <c r="E1275" i="4"/>
  <c r="F1275" i="4" s="1"/>
  <c r="E1283" i="4"/>
  <c r="F1283" i="4" s="1"/>
  <c r="E1291" i="4"/>
  <c r="F1291" i="4" s="1"/>
  <c r="E12" i="4"/>
  <c r="F12" i="4" s="1"/>
  <c r="E21" i="4"/>
  <c r="F21" i="4" s="1"/>
  <c r="E43" i="4"/>
  <c r="F43" i="4" s="1"/>
  <c r="E48" i="4"/>
  <c r="F48" i="4" s="1"/>
  <c r="E88" i="4"/>
  <c r="F88" i="4" s="1"/>
  <c r="E120" i="4"/>
  <c r="F120" i="4" s="1"/>
  <c r="E127" i="4"/>
  <c r="F127" i="4" s="1"/>
  <c r="E135" i="4"/>
  <c r="F135" i="4" s="1"/>
  <c r="E142" i="4"/>
  <c r="F142" i="4" s="1"/>
  <c r="E158" i="4"/>
  <c r="F158" i="4" s="1"/>
  <c r="E174" i="4"/>
  <c r="F174" i="4" s="1"/>
  <c r="E213" i="4"/>
  <c r="F213" i="4" s="1"/>
  <c r="E221" i="4"/>
  <c r="F221" i="4" s="1"/>
  <c r="E250" i="4"/>
  <c r="F250" i="4" s="1"/>
  <c r="E265" i="4"/>
  <c r="F265" i="4" s="1"/>
  <c r="E278" i="4"/>
  <c r="F278" i="4" s="1"/>
  <c r="E380" i="4"/>
  <c r="F380" i="4" s="1"/>
  <c r="E395" i="4"/>
  <c r="F395" i="4" s="1"/>
  <c r="E410" i="4"/>
  <c r="F410" i="4" s="1"/>
  <c r="E433" i="4"/>
  <c r="F433" i="4" s="1"/>
  <c r="E484" i="4"/>
  <c r="F484" i="4" s="1"/>
  <c r="E531" i="4"/>
  <c r="F531" i="4" s="1"/>
  <c r="E539" i="4"/>
  <c r="F539" i="4" s="1"/>
  <c r="E584" i="4"/>
  <c r="F584" i="4" s="1"/>
  <c r="E622" i="4"/>
  <c r="F622" i="4" s="1"/>
  <c r="E881" i="4"/>
  <c r="F881" i="4" s="1"/>
  <c r="E701" i="4"/>
  <c r="F701" i="4" s="1"/>
  <c r="E717" i="4"/>
  <c r="F717" i="4" s="1"/>
  <c r="E767" i="4"/>
  <c r="F767" i="4" s="1"/>
  <c r="E791" i="4"/>
  <c r="F791" i="4" s="1"/>
  <c r="E830" i="4"/>
  <c r="F830" i="4" s="1"/>
  <c r="E852" i="4"/>
  <c r="F852" i="4" s="1"/>
  <c r="E913" i="4"/>
  <c r="F913" i="4" s="1"/>
  <c r="E921" i="4"/>
  <c r="F921" i="4" s="1"/>
  <c r="E929" i="4"/>
  <c r="F929" i="4" s="1"/>
  <c r="E937" i="4"/>
  <c r="F937" i="4" s="1"/>
  <c r="E945" i="4"/>
  <c r="F945" i="4" s="1"/>
  <c r="E1108" i="4"/>
  <c r="F1108" i="4" s="1"/>
  <c r="E1138" i="4"/>
  <c r="F1138" i="4" s="1"/>
  <c r="E1145" i="4"/>
  <c r="F1145" i="4" s="1"/>
  <c r="E1200" i="4"/>
  <c r="F1200" i="4" s="1"/>
  <c r="E1208" i="4"/>
  <c r="F1208" i="4" s="1"/>
  <c r="E7" i="4"/>
  <c r="F7" i="4" s="1"/>
  <c r="E22" i="4"/>
  <c r="F22" i="4" s="1"/>
  <c r="E44" i="4"/>
  <c r="F44" i="4" s="1"/>
  <c r="E411" i="4"/>
  <c r="F411" i="4" s="1"/>
  <c r="E24" i="4"/>
  <c r="F24" i="4" s="1"/>
  <c r="E45" i="4"/>
  <c r="F45" i="4" s="1"/>
  <c r="E144" i="4"/>
  <c r="F144" i="4" s="1"/>
  <c r="E160" i="4"/>
  <c r="F160" i="4" s="1"/>
  <c r="E176" i="4"/>
  <c r="F176" i="4" s="1"/>
  <c r="E223" i="4"/>
  <c r="F223" i="4" s="1"/>
  <c r="E296" i="4"/>
  <c r="F296" i="4" s="1"/>
  <c r="E487" i="4"/>
  <c r="F487" i="4" s="1"/>
  <c r="E640" i="4"/>
  <c r="F640" i="4" s="1"/>
  <c r="E695" i="4"/>
  <c r="F695" i="4" s="1"/>
  <c r="E726" i="4"/>
  <c r="F726" i="4" s="1"/>
  <c r="E839" i="4"/>
  <c r="F839" i="4" s="1"/>
  <c r="E854" i="4"/>
  <c r="F854" i="4" s="1"/>
  <c r="E869" i="4"/>
  <c r="F869" i="4" s="1"/>
  <c r="E884" i="4"/>
  <c r="F884" i="4" s="1"/>
  <c r="E993" i="4"/>
  <c r="F993" i="4" s="1"/>
  <c r="E1000" i="4"/>
  <c r="F1000" i="4" s="1"/>
  <c r="E1054" i="4"/>
  <c r="F1054" i="4" s="1"/>
  <c r="E1070" i="4"/>
  <c r="F1070" i="4" s="1"/>
  <c r="E1078" i="4"/>
  <c r="F1078" i="4" s="1"/>
  <c r="E1102" i="4"/>
  <c r="F1102" i="4" s="1"/>
  <c r="E1110" i="4"/>
  <c r="F1110" i="4" s="1"/>
  <c r="E1155" i="4"/>
  <c r="F1155" i="4" s="1"/>
  <c r="E1163" i="4"/>
  <c r="F1163" i="4" s="1"/>
  <c r="E1209" i="4"/>
  <c r="F1209" i="4" s="1"/>
  <c r="E734" i="4"/>
  <c r="F734" i="4" s="1"/>
  <c r="E40" i="4"/>
  <c r="F40" i="4" s="1"/>
  <c r="E132" i="4"/>
  <c r="F132" i="4" s="1"/>
  <c r="E255" i="4"/>
  <c r="F255" i="4" s="1"/>
  <c r="E291" i="4"/>
  <c r="F291" i="4" s="1"/>
  <c r="E329" i="4"/>
  <c r="F329" i="4" s="1"/>
  <c r="E392" i="4"/>
  <c r="F392" i="4" s="1"/>
  <c r="E511" i="4"/>
  <c r="F511" i="4" s="1"/>
  <c r="E689" i="4"/>
  <c r="F689" i="4" s="1"/>
  <c r="E697" i="4"/>
  <c r="F697" i="4" s="1"/>
  <c r="E713" i="4"/>
  <c r="F713" i="4" s="1"/>
  <c r="E743" i="4"/>
  <c r="F743" i="4" s="1"/>
  <c r="E749" i="4"/>
  <c r="F749" i="4" s="1"/>
  <c r="E856" i="4"/>
  <c r="F856" i="4" s="1"/>
  <c r="E864" i="4"/>
  <c r="F864" i="4" s="1"/>
  <c r="E886" i="4"/>
  <c r="F886" i="4" s="1"/>
  <c r="E917" i="4"/>
  <c r="F917" i="4" s="1"/>
  <c r="E940" i="4"/>
  <c r="F940" i="4" s="1"/>
  <c r="E949" i="4"/>
  <c r="F949" i="4" s="1"/>
  <c r="E995" i="4"/>
  <c r="F995" i="4" s="1"/>
  <c r="E1024" i="4"/>
  <c r="F1024" i="4" s="1"/>
  <c r="E1048" i="4"/>
  <c r="F1048" i="4" s="1"/>
  <c r="E1080" i="4"/>
  <c r="F1080" i="4" s="1"/>
  <c r="E1096" i="4"/>
  <c r="F1096" i="4" s="1"/>
  <c r="E1104" i="4"/>
  <c r="F1104" i="4" s="1"/>
  <c r="E1112" i="4"/>
  <c r="F1112" i="4" s="1"/>
  <c r="E1119" i="4"/>
  <c r="F1119" i="4" s="1"/>
  <c r="E1165" i="4"/>
  <c r="F1165" i="4" s="1"/>
  <c r="E1204" i="4"/>
  <c r="F1204" i="4" s="1"/>
  <c r="E1220" i="4"/>
  <c r="F1220" i="4" s="1"/>
  <c r="E1228" i="4"/>
  <c r="F1228" i="4" s="1"/>
  <c r="E1236" i="4"/>
  <c r="F1236" i="4" s="1"/>
  <c r="E1243" i="4"/>
  <c r="F1243" i="4" s="1"/>
  <c r="E1249" i="4"/>
  <c r="F1249" i="4" s="1"/>
  <c r="E1257" i="4"/>
  <c r="F1257" i="4" s="1"/>
  <c r="E1273" i="4"/>
  <c r="F1273" i="4" s="1"/>
  <c r="E1281" i="4"/>
  <c r="F1281" i="4" s="1"/>
  <c r="E29" i="4"/>
  <c r="F29" i="4" s="1"/>
  <c r="E89" i="4"/>
  <c r="F89" i="4" s="1"/>
  <c r="E302" i="4"/>
  <c r="F302" i="4" s="1"/>
  <c r="E310" i="4"/>
  <c r="F310" i="4" s="1"/>
  <c r="E381" i="4"/>
  <c r="F381" i="4" s="1"/>
  <c r="E18" i="4"/>
  <c r="F18" i="4" s="1"/>
  <c r="E25" i="4"/>
  <c r="F25" i="4" s="1"/>
  <c r="E37" i="4"/>
  <c r="F37" i="4" s="1"/>
  <c r="E55" i="4"/>
  <c r="F55" i="4" s="1"/>
  <c r="E72" i="4"/>
  <c r="F72" i="4" s="1"/>
  <c r="E79" i="4"/>
  <c r="F79" i="4" s="1"/>
  <c r="E92" i="4"/>
  <c r="F92" i="4" s="1"/>
  <c r="E100" i="4"/>
  <c r="F100" i="4" s="1"/>
  <c r="E137" i="4"/>
  <c r="F137" i="4" s="1"/>
  <c r="E152" i="4"/>
  <c r="F152" i="4" s="1"/>
  <c r="E168" i="4"/>
  <c r="F168" i="4" s="1"/>
  <c r="E241" i="4"/>
  <c r="F241" i="4" s="1"/>
  <c r="E269" i="4"/>
  <c r="F269" i="4" s="1"/>
  <c r="E283" i="4"/>
  <c r="F283" i="4" s="1"/>
  <c r="E439" i="4"/>
  <c r="F439" i="4" s="1"/>
  <c r="E469" i="4"/>
  <c r="F469" i="4" s="1"/>
  <c r="E481" i="4"/>
  <c r="F481" i="4" s="1"/>
  <c r="E495" i="4"/>
  <c r="F495" i="4" s="1"/>
  <c r="E559" i="4"/>
  <c r="F559" i="4" s="1"/>
  <c r="E567" i="4"/>
  <c r="F567" i="4" s="1"/>
  <c r="E596" i="4"/>
  <c r="F596" i="4" s="1"/>
  <c r="E627" i="4"/>
  <c r="F627" i="4" s="1"/>
  <c r="E664" i="4"/>
  <c r="F664" i="4" s="1"/>
  <c r="E857" i="4"/>
  <c r="F857" i="4" s="1"/>
  <c r="E872" i="4"/>
  <c r="F872" i="4" s="1"/>
  <c r="E963" i="4"/>
  <c r="F963" i="4" s="1"/>
  <c r="E1216" i="4"/>
  <c r="F1216" i="4" s="1"/>
  <c r="E286" i="4"/>
  <c r="F286" i="4" s="1"/>
  <c r="E287" i="4"/>
  <c r="F287" i="4" s="1"/>
  <c r="E31" i="4"/>
  <c r="F31" i="4" s="1"/>
  <c r="E49" i="4"/>
  <c r="F49" i="4" s="1"/>
  <c r="E65" i="4"/>
  <c r="F65" i="4" s="1"/>
  <c r="E80" i="4"/>
  <c r="F80" i="4" s="1"/>
  <c r="E101" i="4"/>
  <c r="F101" i="4" s="1"/>
  <c r="E109" i="4"/>
  <c r="F109" i="4" s="1"/>
  <c r="E116" i="4"/>
  <c r="F116" i="4" s="1"/>
  <c r="E130" i="4"/>
  <c r="F130" i="4" s="1"/>
  <c r="E153" i="4"/>
  <c r="F153" i="4" s="1"/>
  <c r="E169" i="4"/>
  <c r="F169" i="4" s="1"/>
  <c r="E242" i="4"/>
  <c r="F242" i="4" s="1"/>
  <c r="E249" i="4"/>
  <c r="F249" i="4" s="1"/>
  <c r="E568" i="4"/>
  <c r="F568" i="4" s="1"/>
  <c r="E605" i="4"/>
  <c r="F605" i="4" s="1"/>
  <c r="E612" i="4"/>
  <c r="F612" i="4" s="1"/>
  <c r="E628" i="4"/>
  <c r="F628" i="4" s="1"/>
  <c r="E688" i="4"/>
  <c r="F688" i="4" s="1"/>
  <c r="E777" i="4"/>
  <c r="F777" i="4" s="1"/>
  <c r="E816" i="4"/>
  <c r="F816" i="4" s="1"/>
  <c r="E888" i="4"/>
  <c r="F888" i="4" s="1"/>
  <c r="E958" i="4"/>
  <c r="F958" i="4" s="1"/>
  <c r="E1187" i="4"/>
  <c r="F1187" i="4" s="1"/>
  <c r="E5" i="4"/>
  <c r="F5" i="4" s="1"/>
  <c r="E83" i="4"/>
  <c r="F83" i="4" s="1"/>
  <c r="E430" i="4"/>
  <c r="F430" i="4" s="1"/>
  <c r="E431" i="4"/>
  <c r="F431" i="4" s="1"/>
  <c r="E8" i="4"/>
  <c r="F8" i="4" s="1"/>
  <c r="E13" i="4"/>
  <c r="F13" i="4" s="1"/>
  <c r="E50" i="4"/>
  <c r="F50" i="4" s="1"/>
  <c r="E58" i="4"/>
  <c r="F58" i="4" s="1"/>
  <c r="E74" i="4"/>
  <c r="F74" i="4" s="1"/>
  <c r="E110" i="4"/>
  <c r="F110" i="4" s="1"/>
  <c r="E117" i="4"/>
  <c r="F117" i="4" s="1"/>
  <c r="E146" i="4"/>
  <c r="F146" i="4" s="1"/>
  <c r="E162" i="4"/>
  <c r="F162" i="4" s="1"/>
  <c r="E177" i="4"/>
  <c r="F177" i="4" s="1"/>
  <c r="E185" i="4"/>
  <c r="F185" i="4" s="1"/>
  <c r="E201" i="4"/>
  <c r="F201" i="4" s="1"/>
  <c r="E412" i="4"/>
  <c r="F412" i="4" s="1"/>
  <c r="E889" i="4"/>
  <c r="F889" i="4" s="1"/>
  <c r="E113" i="4"/>
  <c r="F113" i="4" s="1"/>
  <c r="E61" i="4"/>
  <c r="F61" i="4" s="1"/>
  <c r="E128" i="4"/>
  <c r="F128" i="4" s="1"/>
  <c r="E9" i="4"/>
  <c r="F9" i="4" s="1"/>
  <c r="E33" i="4"/>
  <c r="F33" i="4" s="1"/>
  <c r="E67" i="4"/>
  <c r="F67" i="4" s="1"/>
  <c r="E75" i="4"/>
  <c r="F75" i="4" s="1"/>
  <c r="E126" i="4"/>
  <c r="F126" i="4" s="1"/>
  <c r="E133" i="4"/>
  <c r="F133" i="4" s="1"/>
  <c r="E148" i="4"/>
  <c r="F148" i="4" s="1"/>
  <c r="E164" i="4"/>
  <c r="F164" i="4" s="1"/>
  <c r="E187" i="4"/>
  <c r="F187" i="4" s="1"/>
  <c r="E203" i="4"/>
  <c r="F203" i="4" s="1"/>
  <c r="E210" i="4"/>
  <c r="F210" i="4" s="1"/>
  <c r="E224" i="4"/>
  <c r="F224" i="4" s="1"/>
  <c r="E238" i="4"/>
  <c r="F238" i="4" s="1"/>
  <c r="E293" i="4"/>
  <c r="F293" i="4" s="1"/>
  <c r="E332" i="4"/>
  <c r="F332" i="4" s="1"/>
  <c r="E355" i="4"/>
  <c r="F355" i="4" s="1"/>
  <c r="E363" i="4"/>
  <c r="F363" i="4" s="1"/>
  <c r="E386" i="4"/>
  <c r="F386" i="4" s="1"/>
  <c r="E600" i="4"/>
  <c r="F600" i="4" s="1"/>
  <c r="E615" i="4"/>
  <c r="F615" i="4" s="1"/>
  <c r="E699" i="4"/>
  <c r="F699" i="4" s="1"/>
  <c r="E736" i="4"/>
  <c r="F736" i="4" s="1"/>
  <c r="E780" i="4"/>
  <c r="F780" i="4" s="1"/>
  <c r="E905" i="4"/>
  <c r="F905" i="4" s="1"/>
  <c r="E1026" i="4"/>
  <c r="F1026" i="4" s="1"/>
  <c r="E1042" i="4"/>
  <c r="F1042" i="4" s="1"/>
  <c r="E1127" i="4"/>
  <c r="F1127" i="4" s="1"/>
  <c r="E1150" i="4"/>
  <c r="F1150" i="4" s="1"/>
  <c r="E1212" i="4"/>
  <c r="F1212" i="4" s="1"/>
  <c r="E478" i="4"/>
  <c r="F478" i="4" s="1"/>
  <c r="E492" i="4"/>
  <c r="F492" i="4" s="1"/>
  <c r="E507" i="4"/>
  <c r="F507" i="4" s="1"/>
  <c r="E513" i="4"/>
  <c r="F513" i="4" s="1"/>
  <c r="E535" i="4"/>
  <c r="F535" i="4" s="1"/>
  <c r="E561" i="4"/>
  <c r="F561" i="4" s="1"/>
  <c r="E576" i="4"/>
  <c r="F576" i="4" s="1"/>
  <c r="E583" i="4"/>
  <c r="F583" i="4" s="1"/>
  <c r="E631" i="4"/>
  <c r="F631" i="4" s="1"/>
  <c r="E650" i="4"/>
  <c r="F650" i="4" s="1"/>
  <c r="E681" i="4"/>
  <c r="F681" i="4" s="1"/>
  <c r="E702" i="4"/>
  <c r="F702" i="4" s="1"/>
  <c r="E750" i="4"/>
  <c r="F750" i="4" s="1"/>
  <c r="E756" i="4"/>
  <c r="F756" i="4" s="1"/>
  <c r="E800" i="4"/>
  <c r="F800" i="4" s="1"/>
  <c r="E846" i="4"/>
  <c r="F846" i="4" s="1"/>
  <c r="E880" i="4"/>
  <c r="F880" i="4" s="1"/>
  <c r="E887" i="4"/>
  <c r="F887" i="4" s="1"/>
  <c r="E892" i="4"/>
  <c r="F892" i="4" s="1"/>
  <c r="E928" i="4"/>
  <c r="F928" i="4" s="1"/>
  <c r="E953" i="4"/>
  <c r="F953" i="4" s="1"/>
  <c r="E988" i="4"/>
  <c r="F988" i="4" s="1"/>
  <c r="E1028" i="4"/>
  <c r="F1028" i="4" s="1"/>
  <c r="E1036" i="4"/>
  <c r="F1036" i="4" s="1"/>
  <c r="E1044" i="4"/>
  <c r="F1044" i="4" s="1"/>
  <c r="E1059" i="4"/>
  <c r="F1059" i="4" s="1"/>
  <c r="E1129" i="4"/>
  <c r="F1129" i="4" s="1"/>
  <c r="E1152" i="4"/>
  <c r="F1152" i="4" s="1"/>
  <c r="E1159" i="4"/>
  <c r="F1159" i="4" s="1"/>
  <c r="E1167" i="4"/>
  <c r="F1167" i="4" s="1"/>
  <c r="E1183" i="4"/>
  <c r="F1183" i="4" s="1"/>
  <c r="E1211" i="4"/>
  <c r="F1211" i="4" s="1"/>
  <c r="E1253" i="4"/>
  <c r="F1253" i="4" s="1"/>
  <c r="E1260" i="4"/>
  <c r="F1260" i="4" s="1"/>
  <c r="E1269" i="4"/>
  <c r="F1269" i="4" s="1"/>
  <c r="E1277" i="4"/>
  <c r="F1277" i="4" s="1"/>
  <c r="E801" i="4"/>
  <c r="F801" i="4" s="1"/>
  <c r="E190" i="4"/>
  <c r="F190" i="4" s="1"/>
  <c r="E219" i="4"/>
  <c r="F219" i="4" s="1"/>
  <c r="E267" i="4"/>
  <c r="F267" i="4" s="1"/>
  <c r="E285" i="4"/>
  <c r="F285" i="4" s="1"/>
  <c r="E306" i="4"/>
  <c r="F306" i="4" s="1"/>
  <c r="E334" i="4"/>
  <c r="F334" i="4" s="1"/>
  <c r="E374" i="4"/>
  <c r="F374" i="4" s="1"/>
  <c r="E475" i="4"/>
  <c r="F475" i="4" s="1"/>
  <c r="E515" i="4"/>
  <c r="F515" i="4" s="1"/>
  <c r="E523" i="4"/>
  <c r="F523" i="4" s="1"/>
  <c r="E530" i="4"/>
  <c r="F530" i="4" s="1"/>
  <c r="E551" i="4"/>
  <c r="F551" i="4" s="1"/>
  <c r="E563" i="4"/>
  <c r="F563" i="4" s="1"/>
  <c r="E570" i="4"/>
  <c r="F570" i="4" s="1"/>
  <c r="E578" i="4"/>
  <c r="F578" i="4" s="1"/>
  <c r="E639" i="4"/>
  <c r="F639" i="4" s="1"/>
  <c r="E660" i="4"/>
  <c r="F660" i="4" s="1"/>
  <c r="E674" i="4"/>
  <c r="F674" i="4" s="1"/>
  <c r="E704" i="4"/>
  <c r="F704" i="4" s="1"/>
  <c r="E718" i="4"/>
  <c r="F718" i="4" s="1"/>
  <c r="E758" i="4"/>
  <c r="F758" i="4" s="1"/>
  <c r="E814" i="4"/>
  <c r="F814" i="4" s="1"/>
  <c r="E820" i="4"/>
  <c r="F820" i="4" s="1"/>
  <c r="E828" i="4"/>
  <c r="F828" i="4" s="1"/>
  <c r="E841" i="4"/>
  <c r="F841" i="4" s="1"/>
  <c r="E848" i="4"/>
  <c r="F848" i="4" s="1"/>
  <c r="E862" i="4"/>
  <c r="F862" i="4" s="1"/>
  <c r="E942" i="4"/>
  <c r="F942" i="4" s="1"/>
  <c r="E990" i="4"/>
  <c r="F990" i="4" s="1"/>
  <c r="E1003" i="4"/>
  <c r="F1003" i="4" s="1"/>
  <c r="E1023" i="4"/>
  <c r="F1023" i="4" s="1"/>
  <c r="E1046" i="4"/>
  <c r="F1046" i="4" s="1"/>
  <c r="E1083" i="4"/>
  <c r="F1083" i="4" s="1"/>
  <c r="E1123" i="4"/>
  <c r="F1123" i="4" s="1"/>
  <c r="E1169" i="4"/>
  <c r="F1169" i="4" s="1"/>
  <c r="E1199" i="4"/>
  <c r="F1199" i="4" s="1"/>
  <c r="E1234" i="4"/>
  <c r="F1234" i="4" s="1"/>
  <c r="E1263" i="4"/>
  <c r="F1263" i="4" s="1"/>
  <c r="E1295" i="4"/>
  <c r="F1295" i="4" s="1"/>
  <c r="E753" i="4"/>
  <c r="F753" i="4" s="1"/>
  <c r="E877" i="4"/>
  <c r="F877" i="4" s="1"/>
  <c r="E925" i="4"/>
  <c r="F925" i="4" s="1"/>
  <c r="E235" i="4"/>
  <c r="F235" i="4" s="1"/>
  <c r="E301" i="4"/>
  <c r="F301" i="4" s="1"/>
  <c r="E338" i="4"/>
  <c r="F338" i="4" s="1"/>
  <c r="E378" i="4"/>
  <c r="F378" i="4" s="1"/>
  <c r="E405" i="4"/>
  <c r="F405" i="4" s="1"/>
  <c r="E449" i="4"/>
  <c r="F449" i="4" s="1"/>
  <c r="E490" i="4"/>
  <c r="F490" i="4" s="1"/>
  <c r="E504" i="4"/>
  <c r="F504" i="4" s="1"/>
  <c r="E510" i="4"/>
  <c r="F510" i="4" s="1"/>
  <c r="E525" i="4"/>
  <c r="F525" i="4" s="1"/>
  <c r="E532" i="4"/>
  <c r="F532" i="4" s="1"/>
  <c r="E553" i="4"/>
  <c r="F553" i="4" s="1"/>
  <c r="E566" i="4"/>
  <c r="F566" i="4" s="1"/>
  <c r="E581" i="4"/>
  <c r="F581" i="4" s="1"/>
  <c r="E587" i="4"/>
  <c r="F587" i="4" s="1"/>
  <c r="E607" i="4"/>
  <c r="F607" i="4" s="1"/>
  <c r="E641" i="4"/>
  <c r="F641" i="4" s="1"/>
  <c r="E655" i="4"/>
  <c r="F655" i="4" s="1"/>
  <c r="E663" i="4"/>
  <c r="F663" i="4" s="1"/>
  <c r="E678" i="4"/>
  <c r="F678" i="4" s="1"/>
  <c r="E686" i="4"/>
  <c r="F686" i="4" s="1"/>
  <c r="E728" i="4"/>
  <c r="F728" i="4" s="1"/>
  <c r="E761" i="4"/>
  <c r="F761" i="4" s="1"/>
  <c r="E776" i="4"/>
  <c r="F776" i="4" s="1"/>
  <c r="E783" i="4"/>
  <c r="F783" i="4" s="1"/>
  <c r="E797" i="4"/>
  <c r="F797" i="4" s="1"/>
  <c r="E804" i="4"/>
  <c r="F804" i="4" s="1"/>
  <c r="E823" i="4"/>
  <c r="F823" i="4" s="1"/>
  <c r="E831" i="4"/>
  <c r="F831" i="4" s="1"/>
  <c r="E837" i="4"/>
  <c r="F837" i="4" s="1"/>
  <c r="E871" i="4"/>
  <c r="F871" i="4" s="1"/>
  <c r="E897" i="4"/>
  <c r="F897" i="4" s="1"/>
  <c r="E904" i="4"/>
  <c r="F904" i="4" s="1"/>
  <c r="E911" i="4"/>
  <c r="F911" i="4" s="1"/>
  <c r="E919" i="4"/>
  <c r="F919" i="4" s="1"/>
  <c r="E970" i="4"/>
  <c r="F970" i="4" s="1"/>
  <c r="E978" i="4"/>
  <c r="F978" i="4" s="1"/>
  <c r="E985" i="4"/>
  <c r="F985" i="4" s="1"/>
  <c r="E998" i="4"/>
  <c r="F998" i="4" s="1"/>
  <c r="E1011" i="4"/>
  <c r="F1011" i="4" s="1"/>
  <c r="E1019" i="4"/>
  <c r="F1019" i="4" s="1"/>
  <c r="E1033" i="4"/>
  <c r="F1033" i="4" s="1"/>
  <c r="E1041" i="4"/>
  <c r="F1041" i="4" s="1"/>
  <c r="E1056" i="4"/>
  <c r="F1056" i="4" s="1"/>
  <c r="E1064" i="4"/>
  <c r="F1064" i="4" s="1"/>
  <c r="E1072" i="4"/>
  <c r="F1072" i="4" s="1"/>
  <c r="E1079" i="4"/>
  <c r="F1079" i="4" s="1"/>
  <c r="E1106" i="4"/>
  <c r="F1106" i="4" s="1"/>
  <c r="E1141" i="4"/>
  <c r="F1141" i="4" s="1"/>
  <c r="E1164" i="4"/>
  <c r="F1164" i="4" s="1"/>
  <c r="E1172" i="4"/>
  <c r="F1172" i="4" s="1"/>
  <c r="E1180" i="4"/>
  <c r="F1180" i="4" s="1"/>
  <c r="E1202" i="4"/>
  <c r="F1202" i="4" s="1"/>
  <c r="E1215" i="4"/>
  <c r="F1215" i="4" s="1"/>
  <c r="E1221" i="4"/>
  <c r="F1221" i="4" s="1"/>
  <c r="E1229" i="4"/>
  <c r="F1229" i="4" s="1"/>
  <c r="E1258" i="4"/>
  <c r="F1258" i="4" s="1"/>
  <c r="E1282" i="4"/>
  <c r="F1282" i="4" s="1"/>
  <c r="E1297" i="4"/>
  <c r="F1297" i="4" s="1"/>
  <c r="E35" i="4"/>
  <c r="F35" i="4" s="1"/>
  <c r="E36" i="4"/>
  <c r="F36" i="4" s="1"/>
  <c r="E42" i="4"/>
  <c r="F42" i="4" s="1"/>
  <c r="E226" i="4"/>
  <c r="F226" i="4" s="1"/>
  <c r="E225" i="4"/>
  <c r="F225" i="4" s="1"/>
  <c r="E231" i="4"/>
  <c r="F231" i="4" s="1"/>
  <c r="E232" i="4"/>
  <c r="F232" i="4" s="1"/>
  <c r="E341" i="4"/>
  <c r="F341" i="4" s="1"/>
  <c r="E340" i="4"/>
  <c r="F340" i="4" s="1"/>
  <c r="E1298" i="4"/>
  <c r="F1298" i="4" s="1"/>
  <c r="E1299" i="4"/>
  <c r="F1299" i="4" s="1"/>
  <c r="E16" i="4"/>
  <c r="F16" i="4" s="1"/>
  <c r="E51" i="4"/>
  <c r="F51" i="4" s="1"/>
  <c r="E52" i="4"/>
  <c r="F52" i="4" s="1"/>
  <c r="E73" i="4"/>
  <c r="F73" i="4" s="1"/>
  <c r="E136" i="4"/>
  <c r="F136" i="4" s="1"/>
  <c r="E191" i="4"/>
  <c r="F191" i="4" s="1"/>
  <c r="E192" i="4"/>
  <c r="F192" i="4" s="1"/>
  <c r="E253" i="4"/>
  <c r="F253" i="4" s="1"/>
  <c r="E389" i="4"/>
  <c r="F389" i="4" s="1"/>
  <c r="E388" i="4"/>
  <c r="F388" i="4" s="1"/>
  <c r="E444" i="4"/>
  <c r="F444" i="4" s="1"/>
  <c r="E445" i="4"/>
  <c r="F445" i="4" s="1"/>
  <c r="E536" i="4"/>
  <c r="F536" i="4" s="1"/>
  <c r="E602" i="4"/>
  <c r="F602" i="4" s="1"/>
  <c r="E603" i="4"/>
  <c r="F603" i="4" s="1"/>
  <c r="E19" i="4"/>
  <c r="F19" i="4" s="1"/>
  <c r="E20" i="4"/>
  <c r="F20" i="4" s="1"/>
  <c r="E56" i="4"/>
  <c r="F56" i="4" s="1"/>
  <c r="E57" i="4"/>
  <c r="F57" i="4" s="1"/>
  <c r="E183" i="4"/>
  <c r="F183" i="4" s="1"/>
  <c r="E184" i="4"/>
  <c r="F184" i="4" s="1"/>
  <c r="E520" i="4"/>
  <c r="F520" i="4" s="1"/>
  <c r="E519" i="4"/>
  <c r="F519" i="4" s="1"/>
  <c r="E247" i="4"/>
  <c r="F247" i="4" s="1"/>
  <c r="E248" i="4"/>
  <c r="F248" i="4" s="1"/>
  <c r="E39" i="4"/>
  <c r="F39" i="4" s="1"/>
  <c r="E103" i="4"/>
  <c r="F103" i="4" s="1"/>
  <c r="E145" i="4"/>
  <c r="F145" i="4" s="1"/>
  <c r="E167" i="4"/>
  <c r="F167" i="4" s="1"/>
  <c r="E218" i="4"/>
  <c r="F218" i="4" s="1"/>
  <c r="E217" i="4"/>
  <c r="F217" i="4" s="1"/>
  <c r="E318" i="4"/>
  <c r="F318" i="4" s="1"/>
  <c r="E319" i="4"/>
  <c r="F319" i="4" s="1"/>
  <c r="E23" i="4"/>
  <c r="F23" i="4" s="1"/>
  <c r="E207" i="4"/>
  <c r="F207" i="4" s="1"/>
  <c r="E208" i="4"/>
  <c r="F208" i="4" s="1"/>
  <c r="E104" i="4"/>
  <c r="F104" i="4" s="1"/>
  <c r="E316" i="4"/>
  <c r="F316" i="4" s="1"/>
  <c r="E317" i="4"/>
  <c r="F317" i="4" s="1"/>
  <c r="E462" i="4"/>
  <c r="F462" i="4" s="1"/>
  <c r="E463" i="4"/>
  <c r="F463" i="4" s="1"/>
  <c r="E1125" i="4"/>
  <c r="F1125" i="4" s="1"/>
  <c r="E1124" i="4"/>
  <c r="F1124" i="4" s="1"/>
  <c r="E350" i="4"/>
  <c r="F350" i="4" s="1"/>
  <c r="E351" i="4"/>
  <c r="F351" i="4" s="1"/>
  <c r="E446" i="4"/>
  <c r="F446" i="4" s="1"/>
  <c r="E447" i="4"/>
  <c r="F447" i="4" s="1"/>
  <c r="E63" i="4"/>
  <c r="F63" i="4" s="1"/>
  <c r="E64" i="4"/>
  <c r="F64" i="4" s="1"/>
  <c r="E97" i="4"/>
  <c r="F97" i="4" s="1"/>
  <c r="E119" i="4"/>
  <c r="F119" i="4" s="1"/>
  <c r="E161" i="4"/>
  <c r="F161" i="4" s="1"/>
  <c r="E189" i="4"/>
  <c r="F189" i="4" s="1"/>
  <c r="E420" i="4"/>
  <c r="F420" i="4" s="1"/>
  <c r="E769" i="4"/>
  <c r="F769" i="4" s="1"/>
  <c r="E768" i="4"/>
  <c r="F768" i="4" s="1"/>
  <c r="E356" i="4"/>
  <c r="F356" i="4" s="1"/>
  <c r="E452" i="4"/>
  <c r="F452" i="4" s="1"/>
  <c r="E1161" i="4"/>
  <c r="F1161" i="4" s="1"/>
  <c r="E1160" i="4"/>
  <c r="F1160" i="4" s="1"/>
  <c r="E1185" i="4"/>
  <c r="F1185" i="4" s="1"/>
  <c r="E1184" i="4"/>
  <c r="F1184" i="4" s="1"/>
  <c r="E69" i="4"/>
  <c r="F69" i="4" s="1"/>
  <c r="E87" i="4"/>
  <c r="F87" i="4" s="1"/>
  <c r="E99" i="4"/>
  <c r="F99" i="4" s="1"/>
  <c r="E115" i="4"/>
  <c r="F115" i="4" s="1"/>
  <c r="E131" i="4"/>
  <c r="F131" i="4" s="1"/>
  <c r="E147" i="4"/>
  <c r="F147" i="4" s="1"/>
  <c r="E163" i="4"/>
  <c r="F163" i="4" s="1"/>
  <c r="E179" i="4"/>
  <c r="F179" i="4" s="1"/>
  <c r="E202" i="4"/>
  <c r="F202" i="4" s="1"/>
  <c r="E270" i="4"/>
  <c r="F270" i="4" s="1"/>
  <c r="E342" i="4"/>
  <c r="F342" i="4" s="1"/>
  <c r="E364" i="4"/>
  <c r="F364" i="4" s="1"/>
  <c r="E372" i="4"/>
  <c r="F372" i="4" s="1"/>
  <c r="E390" i="4"/>
  <c r="F390" i="4" s="1"/>
  <c r="E391" i="4"/>
  <c r="F391" i="4" s="1"/>
  <c r="E408" i="4"/>
  <c r="F408" i="4" s="1"/>
  <c r="E427" i="4"/>
  <c r="F427" i="4" s="1"/>
  <c r="E428" i="4"/>
  <c r="F428" i="4" s="1"/>
  <c r="E483" i="4"/>
  <c r="F483" i="4" s="1"/>
  <c r="E501" i="4"/>
  <c r="F501" i="4" s="1"/>
  <c r="E547" i="4"/>
  <c r="F547" i="4" s="1"/>
  <c r="E558" i="4"/>
  <c r="F558" i="4" s="1"/>
  <c r="E571" i="4"/>
  <c r="F571" i="4" s="1"/>
  <c r="E577" i="4"/>
  <c r="F577" i="4" s="1"/>
  <c r="E614" i="4"/>
  <c r="F614" i="4" s="1"/>
  <c r="E620" i="4"/>
  <c r="F620" i="4" s="1"/>
  <c r="E652" i="4"/>
  <c r="F652" i="4" s="1"/>
  <c r="E651" i="4"/>
  <c r="F651" i="4" s="1"/>
  <c r="E659" i="4"/>
  <c r="F659" i="4" s="1"/>
  <c r="E861" i="4"/>
  <c r="F861" i="4" s="1"/>
  <c r="E860" i="4"/>
  <c r="F860" i="4" s="1"/>
  <c r="E927" i="4"/>
  <c r="F927" i="4" s="1"/>
  <c r="E952" i="4"/>
  <c r="F952" i="4" s="1"/>
  <c r="E1040" i="4"/>
  <c r="F1040" i="4" s="1"/>
  <c r="E1132" i="4"/>
  <c r="F1132" i="4" s="1"/>
  <c r="E1255" i="4"/>
  <c r="F1255" i="4" s="1"/>
  <c r="E53" i="4"/>
  <c r="F53" i="4" s="1"/>
  <c r="E403" i="4"/>
  <c r="F403" i="4" s="1"/>
  <c r="E404" i="4"/>
  <c r="F404" i="4" s="1"/>
  <c r="E59" i="4"/>
  <c r="F59" i="4" s="1"/>
  <c r="E77" i="4"/>
  <c r="F77" i="4" s="1"/>
  <c r="E106" i="4"/>
  <c r="F106" i="4" s="1"/>
  <c r="E122" i="4"/>
  <c r="F122" i="4" s="1"/>
  <c r="E138" i="4"/>
  <c r="F138" i="4" s="1"/>
  <c r="E154" i="4"/>
  <c r="F154" i="4" s="1"/>
  <c r="E170" i="4"/>
  <c r="F170" i="4" s="1"/>
  <c r="E215" i="4"/>
  <c r="F215" i="4" s="1"/>
  <c r="E216" i="4"/>
  <c r="F216" i="4" s="1"/>
  <c r="E222" i="4"/>
  <c r="F222" i="4" s="1"/>
  <c r="E228" i="4"/>
  <c r="F228" i="4" s="1"/>
  <c r="E239" i="4"/>
  <c r="F239" i="4" s="1"/>
  <c r="E274" i="4"/>
  <c r="F274" i="4" s="1"/>
  <c r="E309" i="4"/>
  <c r="F309" i="4" s="1"/>
  <c r="E366" i="4"/>
  <c r="F366" i="4" s="1"/>
  <c r="E422" i="4"/>
  <c r="F422" i="4" s="1"/>
  <c r="E467" i="4"/>
  <c r="F467" i="4" s="1"/>
  <c r="E485" i="4"/>
  <c r="F485" i="4" s="1"/>
  <c r="E503" i="4"/>
  <c r="F503" i="4" s="1"/>
  <c r="E516" i="4"/>
  <c r="F516" i="4" s="1"/>
  <c r="E522" i="4"/>
  <c r="F522" i="4" s="1"/>
  <c r="E560" i="4"/>
  <c r="F560" i="4" s="1"/>
  <c r="E580" i="4"/>
  <c r="F580" i="4" s="1"/>
  <c r="E677" i="4"/>
  <c r="F677" i="4" s="1"/>
  <c r="E676" i="4"/>
  <c r="F676" i="4" s="1"/>
  <c r="E785" i="4"/>
  <c r="F785" i="4" s="1"/>
  <c r="E784" i="4"/>
  <c r="F784" i="4" s="1"/>
  <c r="E1013" i="4"/>
  <c r="F1013" i="4" s="1"/>
  <c r="E1012" i="4"/>
  <c r="F1012" i="4" s="1"/>
  <c r="E435" i="4"/>
  <c r="F435" i="4" s="1"/>
  <c r="E436" i="4"/>
  <c r="F436" i="4" s="1"/>
  <c r="E669" i="4"/>
  <c r="F669" i="4" s="1"/>
  <c r="E668" i="4"/>
  <c r="F668" i="4" s="1"/>
  <c r="E66" i="4"/>
  <c r="F66" i="4" s="1"/>
  <c r="E107" i="4"/>
  <c r="F107" i="4" s="1"/>
  <c r="E123" i="4"/>
  <c r="F123" i="4" s="1"/>
  <c r="E139" i="4"/>
  <c r="F139" i="4" s="1"/>
  <c r="E155" i="4"/>
  <c r="F155" i="4" s="1"/>
  <c r="E171" i="4"/>
  <c r="F171" i="4" s="1"/>
  <c r="E193" i="4"/>
  <c r="F193" i="4" s="1"/>
  <c r="E234" i="4"/>
  <c r="F234" i="4" s="1"/>
  <c r="E258" i="4"/>
  <c r="F258" i="4" s="1"/>
  <c r="E360" i="4"/>
  <c r="F360" i="4" s="1"/>
  <c r="E437" i="4"/>
  <c r="F437" i="4" s="1"/>
  <c r="E455" i="4"/>
  <c r="F455" i="4" s="1"/>
  <c r="E468" i="4"/>
  <c r="F468" i="4" s="1"/>
  <c r="E474" i="4"/>
  <c r="F474" i="4" s="1"/>
  <c r="E544" i="4"/>
  <c r="F544" i="4" s="1"/>
  <c r="E592" i="4"/>
  <c r="F592" i="4" s="1"/>
  <c r="E604" i="4"/>
  <c r="F604" i="4" s="1"/>
  <c r="E610" i="4"/>
  <c r="F610" i="4" s="1"/>
  <c r="E1002" i="4"/>
  <c r="F1002" i="4" s="1"/>
  <c r="E1001" i="4"/>
  <c r="F1001" i="4" s="1"/>
  <c r="E71" i="4"/>
  <c r="F71" i="4" s="1"/>
  <c r="E90" i="4"/>
  <c r="F90" i="4" s="1"/>
  <c r="E102" i="4"/>
  <c r="F102" i="4" s="1"/>
  <c r="E108" i="4"/>
  <c r="F108" i="4" s="1"/>
  <c r="E118" i="4"/>
  <c r="F118" i="4" s="1"/>
  <c r="E124" i="4"/>
  <c r="F124" i="4" s="1"/>
  <c r="E134" i="4"/>
  <c r="F134" i="4" s="1"/>
  <c r="E140" i="4"/>
  <c r="F140" i="4" s="1"/>
  <c r="E150" i="4"/>
  <c r="F150" i="4" s="1"/>
  <c r="E156" i="4"/>
  <c r="F156" i="4" s="1"/>
  <c r="E166" i="4"/>
  <c r="F166" i="4" s="1"/>
  <c r="E172" i="4"/>
  <c r="F172" i="4" s="1"/>
  <c r="E199" i="4"/>
  <c r="F199" i="4" s="1"/>
  <c r="E200" i="4"/>
  <c r="F200" i="4" s="1"/>
  <c r="E206" i="4"/>
  <c r="F206" i="4" s="1"/>
  <c r="E212" i="4"/>
  <c r="F212" i="4" s="1"/>
  <c r="E328" i="4"/>
  <c r="F328" i="4" s="1"/>
  <c r="E348" i="4"/>
  <c r="F348" i="4" s="1"/>
  <c r="E499" i="4"/>
  <c r="F499" i="4" s="1"/>
  <c r="E517" i="4"/>
  <c r="F517" i="4" s="1"/>
  <c r="E534" i="4"/>
  <c r="F534" i="4" s="1"/>
  <c r="E599" i="4"/>
  <c r="F599" i="4" s="1"/>
  <c r="E611" i="4"/>
  <c r="F611" i="4" s="1"/>
  <c r="E700" i="4"/>
  <c r="F700" i="4" s="1"/>
  <c r="E733" i="4"/>
  <c r="F733" i="4" s="1"/>
  <c r="E732" i="4"/>
  <c r="F732" i="4" s="1"/>
  <c r="E825" i="4"/>
  <c r="F825" i="4" s="1"/>
  <c r="E969" i="4"/>
  <c r="F969" i="4" s="1"/>
  <c r="E1137" i="4"/>
  <c r="F1137" i="4" s="1"/>
  <c r="E1144" i="4"/>
  <c r="F1144" i="4" s="1"/>
  <c r="E1197" i="4"/>
  <c r="F1197" i="4" s="1"/>
  <c r="E1196" i="4"/>
  <c r="F1196" i="4" s="1"/>
  <c r="E182" i="4"/>
  <c r="F182" i="4" s="1"/>
  <c r="E188" i="4"/>
  <c r="F188" i="4" s="1"/>
  <c r="E198" i="4"/>
  <c r="F198" i="4" s="1"/>
  <c r="E204" i="4"/>
  <c r="F204" i="4" s="1"/>
  <c r="E214" i="4"/>
  <c r="F214" i="4" s="1"/>
  <c r="E220" i="4"/>
  <c r="F220" i="4" s="1"/>
  <c r="E230" i="4"/>
  <c r="F230" i="4" s="1"/>
  <c r="E236" i="4"/>
  <c r="F236" i="4" s="1"/>
  <c r="E246" i="4"/>
  <c r="F246" i="4" s="1"/>
  <c r="E252" i="4"/>
  <c r="F252" i="4" s="1"/>
  <c r="E257" i="4"/>
  <c r="F257" i="4" s="1"/>
  <c r="E290" i="4"/>
  <c r="F290" i="4" s="1"/>
  <c r="E294" i="4"/>
  <c r="F294" i="4" s="1"/>
  <c r="E307" i="4"/>
  <c r="F307" i="4" s="1"/>
  <c r="E312" i="4"/>
  <c r="F312" i="4" s="1"/>
  <c r="E322" i="4"/>
  <c r="F322" i="4" s="1"/>
  <c r="E326" i="4"/>
  <c r="F326" i="4" s="1"/>
  <c r="E339" i="4"/>
  <c r="F339" i="4" s="1"/>
  <c r="E344" i="4"/>
  <c r="F344" i="4" s="1"/>
  <c r="E362" i="4"/>
  <c r="F362" i="4" s="1"/>
  <c r="E368" i="4"/>
  <c r="F368" i="4" s="1"/>
  <c r="E387" i="4"/>
  <c r="F387" i="4" s="1"/>
  <c r="E402" i="4"/>
  <c r="F402" i="4" s="1"/>
  <c r="E406" i="4"/>
  <c r="F406" i="4" s="1"/>
  <c r="E419" i="4"/>
  <c r="F419" i="4" s="1"/>
  <c r="E424" i="4"/>
  <c r="F424" i="4" s="1"/>
  <c r="E549" i="4"/>
  <c r="F549" i="4" s="1"/>
  <c r="E554" i="4"/>
  <c r="F554" i="4" s="1"/>
  <c r="E582" i="4"/>
  <c r="F582" i="4" s="1"/>
  <c r="E598" i="4"/>
  <c r="F598" i="4" s="1"/>
  <c r="E609" i="4"/>
  <c r="F609" i="4" s="1"/>
  <c r="E621" i="4"/>
  <c r="F621" i="4" s="1"/>
  <c r="E633" i="4"/>
  <c r="F633" i="4" s="1"/>
  <c r="E665" i="4"/>
  <c r="F665" i="4" s="1"/>
  <c r="E671" i="4"/>
  <c r="F671" i="4" s="1"/>
  <c r="E696" i="4"/>
  <c r="F696" i="4" s="1"/>
  <c r="E757" i="4"/>
  <c r="F757" i="4" s="1"/>
  <c r="E796" i="4"/>
  <c r="F796" i="4" s="1"/>
  <c r="E916" i="4"/>
  <c r="F916" i="4" s="1"/>
  <c r="E972" i="4"/>
  <c r="F972" i="4" s="1"/>
  <c r="E1065" i="4"/>
  <c r="F1065" i="4" s="1"/>
  <c r="E1091" i="4"/>
  <c r="F1091" i="4" s="1"/>
  <c r="E1131" i="4"/>
  <c r="F1131" i="4" s="1"/>
  <c r="E1154" i="4"/>
  <c r="F1154" i="4" s="1"/>
  <c r="E1153" i="4"/>
  <c r="F1153" i="4" s="1"/>
  <c r="E1168" i="4"/>
  <c r="F1168" i="4" s="1"/>
  <c r="E1190" i="4"/>
  <c r="F1190" i="4" s="1"/>
  <c r="E1271" i="4"/>
  <c r="F1271" i="4" s="1"/>
  <c r="E195" i="4"/>
  <c r="F195" i="4" s="1"/>
  <c r="E211" i="4"/>
  <c r="F211" i="4" s="1"/>
  <c r="E227" i="4"/>
  <c r="F227" i="4" s="1"/>
  <c r="E243" i="4"/>
  <c r="F243" i="4" s="1"/>
  <c r="E264" i="4"/>
  <c r="F264" i="4" s="1"/>
  <c r="E298" i="4"/>
  <c r="F298" i="4" s="1"/>
  <c r="E314" i="4"/>
  <c r="F314" i="4" s="1"/>
  <c r="E330" i="4"/>
  <c r="F330" i="4" s="1"/>
  <c r="E347" i="4"/>
  <c r="F347" i="4" s="1"/>
  <c r="E352" i="4"/>
  <c r="F352" i="4" s="1"/>
  <c r="E371" i="4"/>
  <c r="F371" i="4" s="1"/>
  <c r="E377" i="4"/>
  <c r="F377" i="4" s="1"/>
  <c r="E382" i="4"/>
  <c r="F382" i="4" s="1"/>
  <c r="E394" i="4"/>
  <c r="F394" i="4" s="1"/>
  <c r="E398" i="4"/>
  <c r="F398" i="4" s="1"/>
  <c r="E414" i="4"/>
  <c r="F414" i="4" s="1"/>
  <c r="E432" i="4"/>
  <c r="F432" i="4" s="1"/>
  <c r="E448" i="4"/>
  <c r="F448" i="4" s="1"/>
  <c r="E464" i="4"/>
  <c r="F464" i="4" s="1"/>
  <c r="E480" i="4"/>
  <c r="F480" i="4" s="1"/>
  <c r="E491" i="4"/>
  <c r="F491" i="4" s="1"/>
  <c r="E496" i="4"/>
  <c r="F496" i="4" s="1"/>
  <c r="E512" i="4"/>
  <c r="F512" i="4" s="1"/>
  <c r="E546" i="4"/>
  <c r="F546" i="4" s="1"/>
  <c r="E562" i="4"/>
  <c r="F562" i="4" s="1"/>
  <c r="E573" i="4"/>
  <c r="F573" i="4" s="1"/>
  <c r="E579" i="4"/>
  <c r="F579" i="4" s="1"/>
  <c r="E606" i="4"/>
  <c r="F606" i="4" s="1"/>
  <c r="E624" i="4"/>
  <c r="F624" i="4" s="1"/>
  <c r="E630" i="4"/>
  <c r="F630" i="4" s="1"/>
  <c r="E654" i="4"/>
  <c r="F654" i="4" s="1"/>
  <c r="E691" i="4"/>
  <c r="F691" i="4" s="1"/>
  <c r="E705" i="4"/>
  <c r="F705" i="4" s="1"/>
  <c r="E716" i="4"/>
  <c r="F716" i="4" s="1"/>
  <c r="E760" i="4"/>
  <c r="F760" i="4" s="1"/>
  <c r="E773" i="4"/>
  <c r="F773" i="4" s="1"/>
  <c r="E799" i="4"/>
  <c r="F799" i="4" s="1"/>
  <c r="E824" i="4"/>
  <c r="F824" i="4" s="1"/>
  <c r="E912" i="4"/>
  <c r="F912" i="4" s="1"/>
  <c r="E968" i="4"/>
  <c r="F968" i="4" s="1"/>
  <c r="E1052" i="4"/>
  <c r="F1052" i="4" s="1"/>
  <c r="E1060" i="4"/>
  <c r="F1060" i="4" s="1"/>
  <c r="E1101" i="4"/>
  <c r="F1101" i="4" s="1"/>
  <c r="E1149" i="4"/>
  <c r="F1149" i="4" s="1"/>
  <c r="E1224" i="4"/>
  <c r="F1224" i="4" s="1"/>
  <c r="E1232" i="4"/>
  <c r="F1232" i="4" s="1"/>
  <c r="E793" i="4"/>
  <c r="F793" i="4" s="1"/>
  <c r="E299" i="4"/>
  <c r="F299" i="4" s="1"/>
  <c r="E304" i="4"/>
  <c r="F304" i="4" s="1"/>
  <c r="E315" i="4"/>
  <c r="F315" i="4" s="1"/>
  <c r="E331" i="4"/>
  <c r="F331" i="4" s="1"/>
  <c r="E336" i="4"/>
  <c r="F336" i="4" s="1"/>
  <c r="E354" i="4"/>
  <c r="F354" i="4" s="1"/>
  <c r="E358" i="4"/>
  <c r="F358" i="4" s="1"/>
  <c r="E379" i="4"/>
  <c r="F379" i="4" s="1"/>
  <c r="E384" i="4"/>
  <c r="F384" i="4" s="1"/>
  <c r="E400" i="4"/>
  <c r="F400" i="4" s="1"/>
  <c r="E416" i="4"/>
  <c r="F416" i="4" s="1"/>
  <c r="E434" i="4"/>
  <c r="F434" i="4" s="1"/>
  <c r="E438" i="4"/>
  <c r="F438" i="4" s="1"/>
  <c r="E450" i="4"/>
  <c r="F450" i="4" s="1"/>
  <c r="E454" i="4"/>
  <c r="F454" i="4" s="1"/>
  <c r="E466" i="4"/>
  <c r="F466" i="4" s="1"/>
  <c r="E470" i="4"/>
  <c r="F470" i="4" s="1"/>
  <c r="E482" i="4"/>
  <c r="F482" i="4" s="1"/>
  <c r="E486" i="4"/>
  <c r="F486" i="4" s="1"/>
  <c r="E498" i="4"/>
  <c r="F498" i="4" s="1"/>
  <c r="E502" i="4"/>
  <c r="F502" i="4" s="1"/>
  <c r="E514" i="4"/>
  <c r="F514" i="4" s="1"/>
  <c r="E518" i="4"/>
  <c r="F518" i="4" s="1"/>
  <c r="E538" i="4"/>
  <c r="F538" i="4" s="1"/>
  <c r="E557" i="4"/>
  <c r="F557" i="4" s="1"/>
  <c r="E569" i="4"/>
  <c r="F569" i="4" s="1"/>
  <c r="E575" i="4"/>
  <c r="F575" i="4" s="1"/>
  <c r="E585" i="4"/>
  <c r="F585" i="4" s="1"/>
  <c r="E642" i="4"/>
  <c r="F642" i="4" s="1"/>
  <c r="E649" i="4"/>
  <c r="F649" i="4" s="1"/>
  <c r="E656" i="4"/>
  <c r="F656" i="4" s="1"/>
  <c r="E742" i="4"/>
  <c r="F742" i="4" s="1"/>
  <c r="E748" i="4"/>
  <c r="F748" i="4" s="1"/>
  <c r="E788" i="4"/>
  <c r="F788" i="4" s="1"/>
  <c r="E845" i="4"/>
  <c r="F845" i="4" s="1"/>
  <c r="E977" i="4"/>
  <c r="F977" i="4" s="1"/>
  <c r="E1095" i="4"/>
  <c r="F1095" i="4" s="1"/>
  <c r="E1136" i="4"/>
  <c r="F1136" i="4" s="1"/>
  <c r="E1143" i="4"/>
  <c r="F1143" i="4" s="1"/>
  <c r="E1173" i="4"/>
  <c r="F1173" i="4" s="1"/>
  <c r="E1201" i="4"/>
  <c r="F1201" i="4" s="1"/>
  <c r="E1276" i="4"/>
  <c r="F1276" i="4" s="1"/>
  <c r="E703" i="4"/>
  <c r="F703" i="4" s="1"/>
  <c r="E759" i="4"/>
  <c r="F759" i="4" s="1"/>
  <c r="E775" i="4"/>
  <c r="F775" i="4" s="1"/>
  <c r="E790" i="4"/>
  <c r="F790" i="4" s="1"/>
  <c r="E805" i="4"/>
  <c r="F805" i="4" s="1"/>
  <c r="E847" i="4"/>
  <c r="F847" i="4" s="1"/>
  <c r="E903" i="4"/>
  <c r="F903" i="4" s="1"/>
  <c r="E918" i="4"/>
  <c r="F918" i="4" s="1"/>
  <c r="E933" i="4"/>
  <c r="F933" i="4" s="1"/>
  <c r="E975" i="4"/>
  <c r="F975" i="4" s="1"/>
  <c r="E979" i="4"/>
  <c r="F979" i="4" s="1"/>
  <c r="E989" i="4"/>
  <c r="F989" i="4" s="1"/>
  <c r="E994" i="4"/>
  <c r="F994" i="4" s="1"/>
  <c r="E999" i="4"/>
  <c r="F999" i="4" s="1"/>
  <c r="E1014" i="4"/>
  <c r="F1014" i="4" s="1"/>
  <c r="E1025" i="4"/>
  <c r="F1025" i="4" s="1"/>
  <c r="E1030" i="4"/>
  <c r="F1030" i="4" s="1"/>
  <c r="E1043" i="4"/>
  <c r="F1043" i="4" s="1"/>
  <c r="E1055" i="4"/>
  <c r="F1055" i="4" s="1"/>
  <c r="E1067" i="4"/>
  <c r="F1067" i="4" s="1"/>
  <c r="E1073" i="4"/>
  <c r="F1073" i="4" s="1"/>
  <c r="E1086" i="4"/>
  <c r="F1086" i="4" s="1"/>
  <c r="E1103" i="4"/>
  <c r="F1103" i="4" s="1"/>
  <c r="E1109" i="4"/>
  <c r="F1109" i="4" s="1"/>
  <c r="E1126" i="4"/>
  <c r="F1126" i="4" s="1"/>
  <c r="E1151" i="4"/>
  <c r="F1151" i="4" s="1"/>
  <c r="E1175" i="4"/>
  <c r="F1175" i="4" s="1"/>
  <c r="E1198" i="4"/>
  <c r="F1198" i="4" s="1"/>
  <c r="E1203" i="4"/>
  <c r="F1203" i="4" s="1"/>
  <c r="E1214" i="4"/>
  <c r="F1214" i="4" s="1"/>
  <c r="E1226" i="4"/>
  <c r="F1226" i="4" s="1"/>
  <c r="E1250" i="4"/>
  <c r="F1250" i="4" s="1"/>
  <c r="E1262" i="4"/>
  <c r="F1262" i="4" s="1"/>
  <c r="E1279" i="4"/>
  <c r="F1279" i="4" s="1"/>
  <c r="E1289" i="4"/>
  <c r="F1289" i="4" s="1"/>
  <c r="E635" i="4"/>
  <c r="F635" i="4" s="1"/>
  <c r="E662" i="4"/>
  <c r="F662" i="4" s="1"/>
  <c r="E673" i="4"/>
  <c r="F673" i="4" s="1"/>
  <c r="E679" i="4"/>
  <c r="F679" i="4" s="1"/>
  <c r="E694" i="4"/>
  <c r="F694" i="4" s="1"/>
  <c r="E698" i="4"/>
  <c r="F698" i="4" s="1"/>
  <c r="E709" i="4"/>
  <c r="F709" i="4" s="1"/>
  <c r="E719" i="4"/>
  <c r="F719" i="4" s="1"/>
  <c r="E725" i="4"/>
  <c r="F725" i="4" s="1"/>
  <c r="E735" i="4"/>
  <c r="F735" i="4" s="1"/>
  <c r="E765" i="4"/>
  <c r="F765" i="4" s="1"/>
  <c r="E781" i="4"/>
  <c r="F781" i="4" s="1"/>
  <c r="E807" i="4"/>
  <c r="F807" i="4" s="1"/>
  <c r="E822" i="4"/>
  <c r="F822" i="4" s="1"/>
  <c r="E853" i="4"/>
  <c r="F853" i="4" s="1"/>
  <c r="E863" i="4"/>
  <c r="F863" i="4" s="1"/>
  <c r="E878" i="4"/>
  <c r="F878" i="4" s="1"/>
  <c r="E894" i="4"/>
  <c r="F894" i="4" s="1"/>
  <c r="E909" i="4"/>
  <c r="F909" i="4" s="1"/>
  <c r="E935" i="4"/>
  <c r="F935" i="4" s="1"/>
  <c r="E950" i="4"/>
  <c r="F950" i="4" s="1"/>
  <c r="E955" i="4"/>
  <c r="F955" i="4" s="1"/>
  <c r="E966" i="4"/>
  <c r="F966" i="4" s="1"/>
  <c r="E991" i="4"/>
  <c r="F991" i="4" s="1"/>
  <c r="E1038" i="4"/>
  <c r="F1038" i="4" s="1"/>
  <c r="E1050" i="4"/>
  <c r="F1050" i="4" s="1"/>
  <c r="E1062" i="4"/>
  <c r="F1062" i="4" s="1"/>
  <c r="E1075" i="4"/>
  <c r="F1075" i="4" s="1"/>
  <c r="E1081" i="4"/>
  <c r="F1081" i="4" s="1"/>
  <c r="E1111" i="4"/>
  <c r="F1111" i="4" s="1"/>
  <c r="E1117" i="4"/>
  <c r="F1117" i="4" s="1"/>
  <c r="E1134" i="4"/>
  <c r="F1134" i="4" s="1"/>
  <c r="E1146" i="4"/>
  <c r="F1146" i="4" s="1"/>
  <c r="E1170" i="4"/>
  <c r="F1170" i="4" s="1"/>
  <c r="E868" i="4"/>
  <c r="F868" i="4" s="1"/>
  <c r="E879" i="4"/>
  <c r="F879" i="4" s="1"/>
  <c r="E895" i="4"/>
  <c r="F895" i="4" s="1"/>
  <c r="E910" i="4"/>
  <c r="F910" i="4" s="1"/>
  <c r="E920" i="4"/>
  <c r="F920" i="4" s="1"/>
  <c r="E951" i="4"/>
  <c r="F951" i="4" s="1"/>
  <c r="E967" i="4"/>
  <c r="F967" i="4" s="1"/>
  <c r="E971" i="4"/>
  <c r="F971" i="4" s="1"/>
  <c r="E981" i="4"/>
  <c r="F981" i="4" s="1"/>
  <c r="E1006" i="4"/>
  <c r="F1006" i="4" s="1"/>
  <c r="E1010" i="4"/>
  <c r="F1010" i="4" s="1"/>
  <c r="E1016" i="4"/>
  <c r="F1016" i="4" s="1"/>
  <c r="E1022" i="4"/>
  <c r="F1022" i="4" s="1"/>
  <c r="E1027" i="4"/>
  <c r="F1027" i="4" s="1"/>
  <c r="E1032" i="4"/>
  <c r="F1032" i="4" s="1"/>
  <c r="E1039" i="4"/>
  <c r="F1039" i="4" s="1"/>
  <c r="E1045" i="4"/>
  <c r="F1045" i="4" s="1"/>
  <c r="E1051" i="4"/>
  <c r="F1051" i="4" s="1"/>
  <c r="E1063" i="4"/>
  <c r="F1063" i="4" s="1"/>
  <c r="E1069" i="4"/>
  <c r="F1069" i="4" s="1"/>
  <c r="E1082" i="4"/>
  <c r="F1082" i="4" s="1"/>
  <c r="E1099" i="4"/>
  <c r="F1099" i="4" s="1"/>
  <c r="E1105" i="4"/>
  <c r="F1105" i="4" s="1"/>
  <c r="E1118" i="4"/>
  <c r="F1118" i="4" s="1"/>
  <c r="E1122" i="4"/>
  <c r="F1122" i="4" s="1"/>
  <c r="E1128" i="4"/>
  <c r="F1128" i="4" s="1"/>
  <c r="E1135" i="4"/>
  <c r="F1135" i="4" s="1"/>
  <c r="E1140" i="4"/>
  <c r="F1140" i="4" s="1"/>
  <c r="E1147" i="4"/>
  <c r="F1147" i="4" s="1"/>
  <c r="E1158" i="4"/>
  <c r="F1158" i="4" s="1"/>
  <c r="E1171" i="4"/>
  <c r="F1171" i="4" s="1"/>
  <c r="E1177" i="4"/>
  <c r="F1177" i="4" s="1"/>
  <c r="E1210" i="4"/>
  <c r="F1210" i="4" s="1"/>
  <c r="E1222" i="4"/>
  <c r="F1222" i="4" s="1"/>
  <c r="E1246" i="4"/>
  <c r="F1246" i="4" s="1"/>
  <c r="E741" i="4"/>
  <c r="F741" i="4" s="1"/>
  <c r="E813" i="4"/>
  <c r="F813" i="4" s="1"/>
  <c r="E941" i="4"/>
  <c r="F941" i="4" s="1"/>
  <c r="E1189" i="4"/>
  <c r="F1189" i="4" s="1"/>
  <c r="E626" i="4"/>
  <c r="F626" i="4" s="1"/>
  <c r="E647" i="4"/>
  <c r="F647" i="4" s="1"/>
  <c r="E658" i="4"/>
  <c r="F658" i="4" s="1"/>
  <c r="E670" i="4"/>
  <c r="F670" i="4" s="1"/>
  <c r="E687" i="4"/>
  <c r="F687" i="4" s="1"/>
  <c r="E690" i="4"/>
  <c r="F690" i="4" s="1"/>
  <c r="E711" i="4"/>
  <c r="F711" i="4" s="1"/>
  <c r="E721" i="4"/>
  <c r="F721" i="4" s="1"/>
  <c r="E727" i="4"/>
  <c r="F727" i="4" s="1"/>
  <c r="E798" i="4"/>
  <c r="F798" i="4" s="1"/>
  <c r="E829" i="4"/>
  <c r="F829" i="4" s="1"/>
  <c r="E855" i="4"/>
  <c r="F855" i="4" s="1"/>
  <c r="E870" i="4"/>
  <c r="F870" i="4" s="1"/>
  <c r="E885" i="4"/>
  <c r="F885" i="4" s="1"/>
  <c r="E901" i="4"/>
  <c r="F901" i="4" s="1"/>
  <c r="E926" i="4"/>
  <c r="F926" i="4" s="1"/>
  <c r="E957" i="4"/>
  <c r="F957" i="4" s="1"/>
  <c r="E962" i="4"/>
  <c r="F962" i="4" s="1"/>
  <c r="E983" i="4"/>
  <c r="F983" i="4" s="1"/>
  <c r="E987" i="4"/>
  <c r="F987" i="4" s="1"/>
  <c r="E997" i="4"/>
  <c r="F997" i="4" s="1"/>
  <c r="E1018" i="4"/>
  <c r="F1018" i="4" s="1"/>
  <c r="E1047" i="4"/>
  <c r="F1047" i="4" s="1"/>
  <c r="E1071" i="4"/>
  <c r="F1071" i="4" s="1"/>
  <c r="E1077" i="4"/>
  <c r="F1077" i="4" s="1"/>
  <c r="E1089" i="4"/>
  <c r="F1089" i="4" s="1"/>
  <c r="E1094" i="4"/>
  <c r="F1094" i="4" s="1"/>
  <c r="E1107" i="4"/>
  <c r="F1107" i="4" s="1"/>
  <c r="E1113" i="4"/>
  <c r="F1113" i="4" s="1"/>
  <c r="E1130" i="4"/>
  <c r="F1130" i="4" s="1"/>
  <c r="E1142" i="4"/>
  <c r="F1142" i="4" s="1"/>
  <c r="E1166" i="4"/>
  <c r="F1166" i="4" s="1"/>
  <c r="E1179" i="4"/>
  <c r="F1179" i="4" s="1"/>
  <c r="E1207" i="4"/>
  <c r="F1207" i="4" s="1"/>
  <c r="E1218" i="4"/>
  <c r="F1218" i="4" s="1"/>
  <c r="E1230" i="4"/>
  <c r="F1230" i="4" s="1"/>
  <c r="E1235" i="4"/>
  <c r="F1235" i="4" s="1"/>
  <c r="E1241" i="4"/>
  <c r="F1241" i="4" s="1"/>
  <c r="E1254" i="4"/>
  <c r="F1254" i="4" s="1"/>
  <c r="E1265" i="4"/>
  <c r="F1265" i="4" s="1"/>
  <c r="E1270" i="4"/>
  <c r="F1270" i="4" s="1"/>
  <c r="E1287" i="4"/>
  <c r="F1287" i="4" s="1"/>
  <c r="E91" i="4"/>
  <c r="F91" i="4" s="1"/>
  <c r="E54" i="4"/>
  <c r="F54" i="4" s="1"/>
  <c r="E62" i="4"/>
  <c r="F62" i="4" s="1"/>
  <c r="E70" i="4"/>
  <c r="F70" i="4" s="1"/>
  <c r="E78" i="4"/>
  <c r="F78" i="4" s="1"/>
  <c r="E86" i="4"/>
  <c r="F86" i="4" s="1"/>
  <c r="E94" i="4"/>
  <c r="F94" i="4" s="1"/>
  <c r="E279" i="4"/>
  <c r="F279" i="4" s="1"/>
  <c r="E289" i="4"/>
  <c r="F289" i="4" s="1"/>
  <c r="E311" i="4"/>
  <c r="F311" i="4" s="1"/>
  <c r="E321" i="4"/>
  <c r="F321" i="4" s="1"/>
  <c r="E343" i="4"/>
  <c r="F343" i="4" s="1"/>
  <c r="E393" i="4"/>
  <c r="F393" i="4" s="1"/>
  <c r="E407" i="4"/>
  <c r="F407" i="4" s="1"/>
  <c r="E682" i="4"/>
  <c r="F682" i="4" s="1"/>
  <c r="E683" i="4"/>
  <c r="F683" i="4" s="1"/>
  <c r="E6" i="4"/>
  <c r="F6" i="4" s="1"/>
  <c r="E60" i="4"/>
  <c r="F60" i="4" s="1"/>
  <c r="E68" i="4"/>
  <c r="F68" i="4" s="1"/>
  <c r="E76" i="4"/>
  <c r="F76" i="4" s="1"/>
  <c r="E84" i="4"/>
  <c r="F84" i="4" s="1"/>
  <c r="E271" i="4"/>
  <c r="F271" i="4" s="1"/>
  <c r="E303" i="4"/>
  <c r="F303" i="4" s="1"/>
  <c r="E335" i="4"/>
  <c r="F335" i="4" s="1"/>
  <c r="E359" i="4"/>
  <c r="F359" i="4" s="1"/>
  <c r="E423" i="4"/>
  <c r="F423" i="4" s="1"/>
  <c r="E882" i="4"/>
  <c r="F882" i="4" s="1"/>
  <c r="E883" i="4"/>
  <c r="F883" i="4" s="1"/>
  <c r="E369" i="4"/>
  <c r="F369" i="4" s="1"/>
  <c r="E370" i="4"/>
  <c r="F370" i="4" s="1"/>
  <c r="E385" i="4"/>
  <c r="F385" i="4" s="1"/>
  <c r="E754" i="4"/>
  <c r="F754" i="4" s="1"/>
  <c r="E755" i="4"/>
  <c r="F755" i="4" s="1"/>
  <c r="E263" i="4"/>
  <c r="F263" i="4" s="1"/>
  <c r="E273" i="4"/>
  <c r="F273" i="4" s="1"/>
  <c r="E281" i="4"/>
  <c r="F281" i="4" s="1"/>
  <c r="E282" i="4"/>
  <c r="F282" i="4" s="1"/>
  <c r="E295" i="4"/>
  <c r="F295" i="4" s="1"/>
  <c r="E305" i="4"/>
  <c r="F305" i="4" s="1"/>
  <c r="E327" i="4"/>
  <c r="F327" i="4" s="1"/>
  <c r="E337" i="4"/>
  <c r="F337" i="4" s="1"/>
  <c r="E345" i="4"/>
  <c r="F345" i="4" s="1"/>
  <c r="E346" i="4"/>
  <c r="F346" i="4" s="1"/>
  <c r="E361" i="4"/>
  <c r="F361" i="4" s="1"/>
  <c r="E375" i="4"/>
  <c r="F375" i="4" s="1"/>
  <c r="E425" i="4"/>
  <c r="F425" i="4" s="1"/>
  <c r="E256" i="4"/>
  <c r="F256" i="4" s="1"/>
  <c r="E441" i="4"/>
  <c r="F441" i="4" s="1"/>
  <c r="E457" i="4"/>
  <c r="F457" i="4" s="1"/>
  <c r="E473" i="4"/>
  <c r="F473" i="4" s="1"/>
  <c r="E489" i="4"/>
  <c r="F489" i="4" s="1"/>
  <c r="E505" i="4"/>
  <c r="F505" i="4" s="1"/>
  <c r="E521" i="4"/>
  <c r="F521" i="4" s="1"/>
  <c r="E818" i="4"/>
  <c r="F818" i="4" s="1"/>
  <c r="E819" i="4"/>
  <c r="F819" i="4" s="1"/>
  <c r="E946" i="4"/>
  <c r="F946" i="4" s="1"/>
  <c r="E947" i="4"/>
  <c r="F947" i="4" s="1"/>
  <c r="E353" i="4"/>
  <c r="F353" i="4" s="1"/>
  <c r="E367" i="4"/>
  <c r="F367" i="4" s="1"/>
  <c r="E417" i="4"/>
  <c r="F417" i="4" s="1"/>
  <c r="E586" i="4"/>
  <c r="F586" i="4" s="1"/>
  <c r="E634" i="4"/>
  <c r="F634" i="4" s="1"/>
  <c r="E778" i="4"/>
  <c r="F778" i="4" s="1"/>
  <c r="E779" i="4"/>
  <c r="F779" i="4" s="1"/>
  <c r="E842" i="4"/>
  <c r="F842" i="4" s="1"/>
  <c r="E843" i="4"/>
  <c r="F843" i="4" s="1"/>
  <c r="E906" i="4"/>
  <c r="F906" i="4" s="1"/>
  <c r="E907" i="4"/>
  <c r="F907" i="4" s="1"/>
  <c r="E714" i="4"/>
  <c r="F714" i="4" s="1"/>
  <c r="E715" i="4"/>
  <c r="F715" i="4" s="1"/>
  <c r="E730" i="4"/>
  <c r="F730" i="4" s="1"/>
  <c r="E731" i="4"/>
  <c r="F731" i="4" s="1"/>
  <c r="E794" i="4"/>
  <c r="F794" i="4" s="1"/>
  <c r="E795" i="4"/>
  <c r="F795" i="4" s="1"/>
  <c r="E858" i="4"/>
  <c r="F858" i="4" s="1"/>
  <c r="E859" i="4"/>
  <c r="F859" i="4" s="1"/>
  <c r="E922" i="4"/>
  <c r="F922" i="4" s="1"/>
  <c r="E923" i="4"/>
  <c r="F923" i="4" s="1"/>
  <c r="E770" i="4"/>
  <c r="F770" i="4" s="1"/>
  <c r="E771" i="4"/>
  <c r="F771" i="4" s="1"/>
  <c r="E834" i="4"/>
  <c r="F834" i="4" s="1"/>
  <c r="E835" i="4"/>
  <c r="F835" i="4" s="1"/>
  <c r="E898" i="4"/>
  <c r="F898" i="4" s="1"/>
  <c r="E899" i="4"/>
  <c r="F899" i="4" s="1"/>
  <c r="E529" i="4"/>
  <c r="F529" i="4" s="1"/>
  <c r="E533" i="4"/>
  <c r="F533" i="4" s="1"/>
  <c r="E537" i="4"/>
  <c r="F537" i="4" s="1"/>
  <c r="E541" i="4"/>
  <c r="F541" i="4" s="1"/>
  <c r="E597" i="4"/>
  <c r="F597" i="4" s="1"/>
  <c r="E645" i="4"/>
  <c r="F645" i="4" s="1"/>
  <c r="E693" i="4"/>
  <c r="F693" i="4" s="1"/>
  <c r="E746" i="4"/>
  <c r="F746" i="4" s="1"/>
  <c r="E747" i="4"/>
  <c r="F747" i="4" s="1"/>
  <c r="E810" i="4"/>
  <c r="F810" i="4" s="1"/>
  <c r="E811" i="4"/>
  <c r="F811" i="4" s="1"/>
  <c r="E874" i="4"/>
  <c r="F874" i="4" s="1"/>
  <c r="E875" i="4"/>
  <c r="F875" i="4" s="1"/>
  <c r="E938" i="4"/>
  <c r="F938" i="4" s="1"/>
  <c r="E939" i="4"/>
  <c r="F939" i="4" s="1"/>
  <c r="E526" i="4"/>
  <c r="F526" i="4" s="1"/>
  <c r="E550" i="4"/>
  <c r="F550" i="4" s="1"/>
  <c r="E637" i="4"/>
  <c r="F637" i="4" s="1"/>
  <c r="E675" i="4"/>
  <c r="F675" i="4" s="1"/>
  <c r="E685" i="4"/>
  <c r="F685" i="4" s="1"/>
  <c r="E706" i="4"/>
  <c r="F706" i="4" s="1"/>
  <c r="E707" i="4"/>
  <c r="F707" i="4" s="1"/>
  <c r="E722" i="4"/>
  <c r="F722" i="4" s="1"/>
  <c r="E723" i="4"/>
  <c r="F723" i="4" s="1"/>
  <c r="E786" i="4"/>
  <c r="F786" i="4" s="1"/>
  <c r="E787" i="4"/>
  <c r="F787" i="4" s="1"/>
  <c r="E850" i="4"/>
  <c r="F850" i="4" s="1"/>
  <c r="E851" i="4"/>
  <c r="F851" i="4" s="1"/>
  <c r="E914" i="4"/>
  <c r="F914" i="4" s="1"/>
  <c r="E915" i="4"/>
  <c r="F915" i="4" s="1"/>
  <c r="E954" i="4"/>
  <c r="F954" i="4" s="1"/>
  <c r="E565" i="4"/>
  <c r="F565" i="4" s="1"/>
  <c r="E589" i="4"/>
  <c r="F589" i="4" s="1"/>
  <c r="E613" i="4"/>
  <c r="F613" i="4" s="1"/>
  <c r="E618" i="4"/>
  <c r="F618" i="4" s="1"/>
  <c r="E661" i="4"/>
  <c r="F661" i="4" s="1"/>
  <c r="E666" i="4"/>
  <c r="F666" i="4" s="1"/>
  <c r="E762" i="4"/>
  <c r="F762" i="4" s="1"/>
  <c r="E763" i="4"/>
  <c r="F763" i="4" s="1"/>
  <c r="E826" i="4"/>
  <c r="F826" i="4" s="1"/>
  <c r="E827" i="4"/>
  <c r="F827" i="4" s="1"/>
  <c r="E890" i="4"/>
  <c r="F890" i="4" s="1"/>
  <c r="E891" i="4"/>
  <c r="F891" i="4" s="1"/>
  <c r="E594" i="4"/>
  <c r="F594" i="4" s="1"/>
  <c r="E738" i="4"/>
  <c r="F738" i="4" s="1"/>
  <c r="E739" i="4"/>
  <c r="F739" i="4" s="1"/>
  <c r="E802" i="4"/>
  <c r="F802" i="4" s="1"/>
  <c r="E803" i="4"/>
  <c r="F803" i="4" s="1"/>
  <c r="E866" i="4"/>
  <c r="F866" i="4" s="1"/>
  <c r="E867" i="4"/>
  <c r="F867" i="4" s="1"/>
  <c r="E930" i="4"/>
  <c r="F930" i="4" s="1"/>
  <c r="E931" i="4"/>
  <c r="F931" i="4" s="1"/>
  <c r="E1005" i="4"/>
  <c r="F1005" i="4" s="1"/>
  <c r="E1053" i="4"/>
  <c r="F1053" i="4" s="1"/>
  <c r="E1058" i="4"/>
  <c r="F1058" i="4" s="1"/>
  <c r="E593" i="4"/>
  <c r="F593" i="4" s="1"/>
  <c r="E657" i="4"/>
  <c r="F657" i="4" s="1"/>
  <c r="E1098" i="4"/>
  <c r="F1098" i="4" s="1"/>
  <c r="E1274" i="4"/>
  <c r="F1274" i="4" s="1"/>
  <c r="E1035" i="4"/>
  <c r="F1035" i="4" s="1"/>
  <c r="E1195" i="4"/>
  <c r="F1195" i="4" s="1"/>
  <c r="E1301" i="4"/>
  <c r="F1301" i="4" s="1"/>
  <c r="E1302" i="4"/>
  <c r="F1302" i="4" s="1"/>
  <c r="E965" i="4"/>
  <c r="F965" i="4" s="1"/>
  <c r="E973" i="4"/>
  <c r="F973" i="4" s="1"/>
  <c r="E1021" i="4"/>
  <c r="F1021" i="4" s="1"/>
  <c r="E1085" i="4"/>
  <c r="F1085" i="4" s="1"/>
  <c r="E1133" i="4"/>
  <c r="F1133" i="4" s="1"/>
  <c r="E1181" i="4"/>
  <c r="F1181" i="4" s="1"/>
  <c r="E1213" i="4"/>
  <c r="F1213" i="4" s="1"/>
  <c r="E1261" i="4"/>
  <c r="F1261" i="4" s="1"/>
  <c r="E1266" i="4"/>
  <c r="F1266" i="4" s="1"/>
  <c r="E1293" i="4"/>
  <c r="F1293" i="4" s="1"/>
  <c r="E1294" i="4"/>
  <c r="F1294" i="4" s="1"/>
  <c r="E982" i="4"/>
  <c r="F982" i="4" s="1"/>
  <c r="E986" i="4"/>
  <c r="F986" i="4" s="1"/>
  <c r="E1061" i="4"/>
  <c r="F1061" i="4" s="1"/>
  <c r="E1066" i="4"/>
  <c r="F1066" i="4" s="1"/>
  <c r="E1157" i="4"/>
  <c r="F1157" i="4" s="1"/>
  <c r="E1162" i="4"/>
  <c r="F1162" i="4" s="1"/>
  <c r="E1205" i="4"/>
  <c r="F1205" i="4" s="1"/>
  <c r="E1237" i="4"/>
  <c r="F1237" i="4" s="1"/>
  <c r="E1242" i="4"/>
  <c r="F1242" i="4" s="1"/>
  <c r="E1285" i="4"/>
  <c r="F1285" i="4" s="1"/>
  <c r="E1290" i="4"/>
  <c r="F1290" i="4" s="1"/>
  <c r="E1078" i="3"/>
  <c r="F1078" i="3" s="1"/>
  <c r="E401" i="3"/>
  <c r="F401" i="3" s="1"/>
  <c r="E425" i="3"/>
  <c r="F425" i="3" s="1"/>
  <c r="E553" i="3"/>
  <c r="F553" i="3" s="1"/>
  <c r="E26" i="3"/>
  <c r="F26" i="3" s="1"/>
  <c r="E107" i="3"/>
  <c r="F107" i="3" s="1"/>
  <c r="E170" i="3"/>
  <c r="F170" i="3" s="1"/>
  <c r="E20" i="3"/>
  <c r="F20" i="3" s="1"/>
  <c r="E84" i="3"/>
  <c r="F84" i="3" s="1"/>
  <c r="E103" i="3"/>
  <c r="F103" i="3" s="1"/>
  <c r="E368" i="3"/>
  <c r="F368" i="3" s="1"/>
  <c r="E432" i="3"/>
  <c r="F432" i="3" s="1"/>
  <c r="E459" i="3"/>
  <c r="F459" i="3" s="1"/>
  <c r="E587" i="3"/>
  <c r="F587" i="3" s="1"/>
  <c r="E624" i="3"/>
  <c r="F624" i="3" s="1"/>
  <c r="E635" i="3"/>
  <c r="F635" i="3" s="1"/>
  <c r="E931" i="3"/>
  <c r="F931" i="3" s="1"/>
  <c r="E127" i="3"/>
  <c r="F127" i="3" s="1"/>
  <c r="E191" i="3"/>
  <c r="F191" i="3" s="1"/>
  <c r="E255" i="3"/>
  <c r="F255" i="3" s="1"/>
  <c r="E344" i="3"/>
  <c r="F344" i="3" s="1"/>
  <c r="E370" i="3"/>
  <c r="F370" i="3" s="1"/>
  <c r="E408" i="3"/>
  <c r="F408" i="3" s="1"/>
  <c r="E499" i="3"/>
  <c r="F499" i="3" s="1"/>
  <c r="E536" i="3"/>
  <c r="F536" i="3" s="1"/>
  <c r="E600" i="3"/>
  <c r="F600" i="3" s="1"/>
  <c r="E23" i="3"/>
  <c r="F23" i="3" s="1"/>
  <c r="E87" i="3"/>
  <c r="F87" i="3" s="1"/>
  <c r="E151" i="3"/>
  <c r="F151" i="3" s="1"/>
  <c r="E215" i="3"/>
  <c r="F215" i="3" s="1"/>
  <c r="E261" i="3"/>
  <c r="F261" i="3" s="1"/>
  <c r="E279" i="3"/>
  <c r="F279" i="3" s="1"/>
  <c r="E576" i="3"/>
  <c r="F576" i="3" s="1"/>
  <c r="E627" i="3"/>
  <c r="F627" i="3" s="1"/>
  <c r="E693" i="3"/>
  <c r="F693" i="3" s="1"/>
  <c r="E757" i="3"/>
  <c r="F757" i="3" s="1"/>
  <c r="E28" i="3"/>
  <c r="F28" i="3" s="1"/>
  <c r="E47" i="3"/>
  <c r="F47" i="3" s="1"/>
  <c r="E220" i="3"/>
  <c r="F220" i="3" s="1"/>
  <c r="E348" i="3"/>
  <c r="F348" i="3" s="1"/>
  <c r="E360" i="3"/>
  <c r="F360" i="3" s="1"/>
  <c r="E424" i="3"/>
  <c r="F424" i="3" s="1"/>
  <c r="E488" i="3"/>
  <c r="F488" i="3" s="1"/>
  <c r="E515" i="3"/>
  <c r="F515" i="3" s="1"/>
  <c r="E552" i="3"/>
  <c r="F552" i="3" s="1"/>
  <c r="E616" i="3"/>
  <c r="F616" i="3" s="1"/>
  <c r="E727" i="3"/>
  <c r="F727" i="3" s="1"/>
  <c r="E7" i="3"/>
  <c r="F7" i="3" s="1"/>
  <c r="E52" i="3"/>
  <c r="F52" i="3" s="1"/>
  <c r="E71" i="3"/>
  <c r="F71" i="3" s="1"/>
  <c r="E135" i="3"/>
  <c r="F135" i="3" s="1"/>
  <c r="E199" i="3"/>
  <c r="F199" i="3" s="1"/>
  <c r="E244" i="3"/>
  <c r="F244" i="3" s="1"/>
  <c r="E263" i="3"/>
  <c r="F263" i="3" s="1"/>
  <c r="E308" i="3"/>
  <c r="F308" i="3" s="1"/>
  <c r="E336" i="3"/>
  <c r="F336" i="3" s="1"/>
  <c r="E388" i="3"/>
  <c r="F388" i="3" s="1"/>
  <c r="E400" i="3"/>
  <c r="F400" i="3" s="1"/>
  <c r="E464" i="3"/>
  <c r="F464" i="3" s="1"/>
  <c r="E528" i="3"/>
  <c r="F528" i="3" s="1"/>
  <c r="E555" i="3"/>
  <c r="F555" i="3" s="1"/>
  <c r="E592" i="3"/>
  <c r="F592" i="3" s="1"/>
  <c r="E629" i="3"/>
  <c r="F629" i="3" s="1"/>
  <c r="E759" i="3"/>
  <c r="F759" i="3" s="1"/>
  <c r="E12" i="3"/>
  <c r="F12" i="3" s="1"/>
  <c r="E31" i="3"/>
  <c r="F31" i="3" s="1"/>
  <c r="E76" i="3"/>
  <c r="F76" i="3" s="1"/>
  <c r="E95" i="3"/>
  <c r="F95" i="3" s="1"/>
  <c r="E117" i="3"/>
  <c r="F117" i="3" s="1"/>
  <c r="E140" i="3"/>
  <c r="F140" i="3" s="1"/>
  <c r="E159" i="3"/>
  <c r="F159" i="3" s="1"/>
  <c r="E223" i="3"/>
  <c r="F223" i="3" s="1"/>
  <c r="E61" i="3"/>
  <c r="F61" i="3" s="1"/>
  <c r="E143" i="3"/>
  <c r="F143" i="3" s="1"/>
  <c r="E340" i="3"/>
  <c r="F340" i="3" s="1"/>
  <c r="E443" i="3"/>
  <c r="F443" i="3" s="1"/>
  <c r="E610" i="3"/>
  <c r="F610" i="3" s="1"/>
  <c r="E908" i="3"/>
  <c r="F908" i="3" s="1"/>
  <c r="E164" i="3"/>
  <c r="F164" i="3" s="1"/>
  <c r="E247" i="3"/>
  <c r="F247" i="3" s="1"/>
  <c r="E379" i="3"/>
  <c r="F379" i="3" s="1"/>
  <c r="E444" i="3"/>
  <c r="F444" i="3" s="1"/>
  <c r="E546" i="3"/>
  <c r="F546" i="3" s="1"/>
  <c r="E643" i="3"/>
  <c r="F643" i="3" s="1"/>
  <c r="E688" i="3"/>
  <c r="F688" i="3" s="1"/>
  <c r="E801" i="3"/>
  <c r="F801" i="3" s="1"/>
  <c r="E922" i="3"/>
  <c r="F922" i="3" s="1"/>
  <c r="E166" i="3"/>
  <c r="F166" i="3" s="1"/>
  <c r="E252" i="3"/>
  <c r="F252" i="3" s="1"/>
  <c r="E380" i="3"/>
  <c r="F380" i="3" s="1"/>
  <c r="E416" i="3"/>
  <c r="F416" i="3" s="1"/>
  <c r="E787" i="3"/>
  <c r="F787" i="3" s="1"/>
  <c r="E803" i="3"/>
  <c r="F803" i="3" s="1"/>
  <c r="E851" i="3"/>
  <c r="F851" i="3" s="1"/>
  <c r="E924" i="3"/>
  <c r="F924" i="3" s="1"/>
  <c r="E1017" i="3"/>
  <c r="F1017" i="3" s="1"/>
  <c r="E1057" i="3"/>
  <c r="F1057" i="3" s="1"/>
  <c r="E1145" i="3"/>
  <c r="F1145" i="3" s="1"/>
  <c r="E268" i="3"/>
  <c r="F268" i="3" s="1"/>
  <c r="E418" i="3"/>
  <c r="F418" i="3" s="1"/>
  <c r="E595" i="3"/>
  <c r="F595" i="3" s="1"/>
  <c r="E623" i="3"/>
  <c r="F623" i="3" s="1"/>
  <c r="E691" i="3"/>
  <c r="F691" i="3" s="1"/>
  <c r="E755" i="3"/>
  <c r="F755" i="3" s="1"/>
  <c r="E773" i="3"/>
  <c r="F773" i="3" s="1"/>
  <c r="E788" i="3"/>
  <c r="F788" i="3" s="1"/>
  <c r="E805" i="3"/>
  <c r="F805" i="3" s="1"/>
  <c r="E820" i="3"/>
  <c r="F820" i="3" s="1"/>
  <c r="E869" i="3"/>
  <c r="F869" i="3" s="1"/>
  <c r="E884" i="3"/>
  <c r="F884" i="3" s="1"/>
  <c r="E926" i="3"/>
  <c r="F926" i="3" s="1"/>
  <c r="E1203" i="3"/>
  <c r="F1203" i="3" s="1"/>
  <c r="E188" i="3"/>
  <c r="F188" i="3" s="1"/>
  <c r="E271" i="3"/>
  <c r="F271" i="3" s="1"/>
  <c r="E467" i="3"/>
  <c r="F467" i="3" s="1"/>
  <c r="E656" i="3"/>
  <c r="F656" i="3" s="1"/>
  <c r="E739" i="3"/>
  <c r="F739" i="3" s="1"/>
  <c r="E762" i="3"/>
  <c r="F762" i="3" s="1"/>
  <c r="E916" i="3"/>
  <c r="F916" i="3" s="1"/>
  <c r="E930" i="3"/>
  <c r="F930" i="3" s="1"/>
  <c r="E955" i="3"/>
  <c r="F955" i="3" s="1"/>
  <c r="E979" i="3"/>
  <c r="F979" i="3" s="1"/>
  <c r="E1029" i="3"/>
  <c r="F1029" i="3" s="1"/>
  <c r="E1069" i="3"/>
  <c r="F1069" i="3" s="1"/>
  <c r="E1093" i="3"/>
  <c r="F1093" i="3" s="1"/>
  <c r="E1141" i="3"/>
  <c r="F1141" i="3" s="1"/>
  <c r="E1204" i="3"/>
  <c r="F1204" i="3" s="1"/>
  <c r="E429" i="3"/>
  <c r="F429" i="3" s="1"/>
  <c r="E507" i="3"/>
  <c r="F507" i="3" s="1"/>
  <c r="E606" i="3"/>
  <c r="F606" i="3" s="1"/>
  <c r="E674" i="3"/>
  <c r="F674" i="3" s="1"/>
  <c r="E723" i="3"/>
  <c r="F723" i="3" s="1"/>
  <c r="E779" i="3"/>
  <c r="F779" i="3" s="1"/>
  <c r="E861" i="3"/>
  <c r="F861" i="3" s="1"/>
  <c r="E1020" i="3"/>
  <c r="F1020" i="3" s="1"/>
  <c r="E1148" i="3"/>
  <c r="F1148" i="3" s="1"/>
  <c r="E1257" i="3"/>
  <c r="F1257" i="3" s="1"/>
  <c r="E38" i="3"/>
  <c r="F38" i="3" s="1"/>
  <c r="E431" i="3"/>
  <c r="F431" i="3" s="1"/>
  <c r="E531" i="3"/>
  <c r="F531" i="3" s="1"/>
  <c r="E780" i="3"/>
  <c r="F780" i="3" s="1"/>
  <c r="E827" i="3"/>
  <c r="F827" i="3" s="1"/>
  <c r="E872" i="3"/>
  <c r="F872" i="3" s="1"/>
  <c r="E907" i="3"/>
  <c r="F907" i="3" s="1"/>
  <c r="E970" i="3"/>
  <c r="F970" i="3" s="1"/>
  <c r="E1085" i="3"/>
  <c r="F1085" i="3" s="1"/>
  <c r="E1102" i="3"/>
  <c r="F1102" i="3" s="1"/>
  <c r="E1222" i="3"/>
  <c r="F1222" i="3" s="1"/>
  <c r="E339" i="3"/>
  <c r="F339" i="3" s="1"/>
  <c r="E440" i="3"/>
  <c r="F440" i="3" s="1"/>
  <c r="E534" i="3"/>
  <c r="F534" i="3" s="1"/>
  <c r="E744" i="3"/>
  <c r="F744" i="3" s="1"/>
  <c r="E829" i="3"/>
  <c r="F829" i="3" s="1"/>
  <c r="E915" i="3"/>
  <c r="F915" i="3" s="1"/>
  <c r="E971" i="3"/>
  <c r="F971" i="3" s="1"/>
  <c r="E1055" i="3"/>
  <c r="F1055" i="3" s="1"/>
  <c r="E1183" i="3"/>
  <c r="F1183" i="3" s="1"/>
  <c r="E1209" i="3"/>
  <c r="F1209" i="3" s="1"/>
  <c r="E1287" i="3"/>
  <c r="F1287" i="3" s="1"/>
  <c r="E124" i="3"/>
  <c r="F124" i="3" s="1"/>
  <c r="E543" i="3"/>
  <c r="F543" i="3" s="1"/>
  <c r="E634" i="3"/>
  <c r="F634" i="3" s="1"/>
  <c r="E697" i="3"/>
  <c r="F697" i="3" s="1"/>
  <c r="E746" i="3"/>
  <c r="F746" i="3" s="1"/>
  <c r="E795" i="3"/>
  <c r="F795" i="3" s="1"/>
  <c r="E947" i="3"/>
  <c r="F947" i="3" s="1"/>
  <c r="E972" i="3"/>
  <c r="F972" i="3" s="1"/>
  <c r="E992" i="3"/>
  <c r="F992" i="3" s="1"/>
  <c r="E1056" i="3"/>
  <c r="F1056" i="3" s="1"/>
  <c r="E1120" i="3"/>
  <c r="F1120" i="3" s="1"/>
  <c r="E1184" i="3"/>
  <c r="F1184" i="3" s="1"/>
  <c r="E367" i="3"/>
  <c r="F367" i="3" s="1"/>
  <c r="E559" i="3"/>
  <c r="F559" i="3" s="1"/>
  <c r="E641" i="3"/>
  <c r="F641" i="3" s="1"/>
  <c r="E699" i="3"/>
  <c r="F699" i="3" s="1"/>
  <c r="E843" i="3"/>
  <c r="F843" i="3" s="1"/>
  <c r="E921" i="3"/>
  <c r="F921" i="3" s="1"/>
  <c r="E978" i="3"/>
  <c r="F978" i="3" s="1"/>
  <c r="E1200" i="3"/>
  <c r="F1200" i="3" s="1"/>
  <c r="E1214" i="3"/>
  <c r="F1214" i="3" s="1"/>
  <c r="E1225" i="3"/>
  <c r="F1225" i="3" s="1"/>
  <c r="E1252" i="3"/>
  <c r="F1252" i="3" s="1"/>
  <c r="E1264" i="3"/>
  <c r="F1264" i="3" s="1"/>
  <c r="E1303" i="3"/>
  <c r="F1303" i="3" s="1"/>
  <c r="E287" i="3"/>
  <c r="F287" i="3" s="1"/>
  <c r="E597" i="3"/>
  <c r="F597" i="3" s="1"/>
  <c r="E659" i="3"/>
  <c r="F659" i="3" s="1"/>
  <c r="E813" i="3"/>
  <c r="F813" i="3" s="1"/>
  <c r="E859" i="3"/>
  <c r="F859" i="3" s="1"/>
  <c r="E902" i="3"/>
  <c r="F902" i="3" s="1"/>
  <c r="E983" i="3"/>
  <c r="F983" i="3" s="1"/>
  <c r="E1000" i="3"/>
  <c r="F1000" i="3" s="1"/>
  <c r="E1064" i="3"/>
  <c r="F1064" i="3" s="1"/>
  <c r="E1080" i="3"/>
  <c r="F1080" i="3" s="1"/>
  <c r="E1128" i="3"/>
  <c r="F1128" i="3" s="1"/>
  <c r="E1192" i="3"/>
  <c r="F1192" i="3" s="1"/>
  <c r="E1217" i="3"/>
  <c r="F1217" i="3" s="1"/>
  <c r="E1281" i="3"/>
  <c r="F1281" i="3" s="1"/>
  <c r="E1295" i="3"/>
  <c r="F1295" i="3" s="1"/>
  <c r="E1241" i="3"/>
  <c r="F1241" i="3" s="1"/>
  <c r="E1127" i="3"/>
  <c r="F1127" i="3" s="1"/>
  <c r="E892" i="3"/>
  <c r="F892" i="3" s="1"/>
  <c r="E715" i="3"/>
  <c r="F715" i="3" s="1"/>
  <c r="E403" i="3"/>
  <c r="F403" i="3" s="1"/>
  <c r="E1190" i="3"/>
  <c r="F1190" i="3" s="1"/>
  <c r="E891" i="3"/>
  <c r="F891" i="3" s="1"/>
  <c r="E1230" i="3"/>
  <c r="F1230" i="3" s="1"/>
  <c r="E1047" i="3"/>
  <c r="F1047" i="3" s="1"/>
  <c r="E982" i="3"/>
  <c r="F982" i="3" s="1"/>
  <c r="E229" i="3"/>
  <c r="F229" i="3" s="1"/>
  <c r="E1279" i="3"/>
  <c r="F1279" i="3" s="1"/>
  <c r="E980" i="3"/>
  <c r="F980" i="3" s="1"/>
  <c r="E651" i="3"/>
  <c r="F651" i="3" s="1"/>
  <c r="E207" i="3"/>
  <c r="F207" i="3" s="1"/>
  <c r="E956" i="3"/>
  <c r="F956" i="3" s="1"/>
  <c r="E764" i="3"/>
  <c r="F764" i="3" s="1"/>
  <c r="E1216" i="3"/>
  <c r="F1216" i="3" s="1"/>
  <c r="E957" i="3"/>
  <c r="F957" i="3" s="1"/>
  <c r="E572" i="3"/>
  <c r="F572" i="3" s="1"/>
  <c r="E917" i="3"/>
  <c r="F917" i="3" s="1"/>
  <c r="E909" i="3"/>
  <c r="F909" i="3" s="1"/>
  <c r="E765" i="3"/>
  <c r="F765" i="3" s="1"/>
  <c r="E741" i="3"/>
  <c r="F741" i="3" s="1"/>
  <c r="E645" i="3"/>
  <c r="F645" i="3" s="1"/>
  <c r="E581" i="3"/>
  <c r="F581" i="3" s="1"/>
  <c r="E445" i="3"/>
  <c r="F445" i="3" s="1"/>
  <c r="E341" i="3"/>
  <c r="F341" i="3" s="1"/>
  <c r="E1061" i="3"/>
  <c r="F1061" i="3" s="1"/>
  <c r="E421" i="3"/>
  <c r="F421" i="3" s="1"/>
  <c r="E701" i="3"/>
  <c r="F701" i="3" s="1"/>
  <c r="E677" i="3"/>
  <c r="F677" i="3" s="1"/>
  <c r="E301" i="3"/>
  <c r="F301" i="3" s="1"/>
  <c r="E941" i="3"/>
  <c r="F941" i="3" s="1"/>
  <c r="E837" i="3"/>
  <c r="F837" i="3" s="1"/>
  <c r="E1160" i="3"/>
  <c r="F1160" i="3" s="1"/>
  <c r="E735" i="3"/>
  <c r="F735" i="3" s="1"/>
  <c r="E1121" i="3"/>
  <c r="F1121" i="3" s="1"/>
  <c r="E1144" i="3"/>
  <c r="F1144" i="3" s="1"/>
  <c r="E993" i="3"/>
  <c r="F993" i="3" s="1"/>
  <c r="E1034" i="3"/>
  <c r="F1034" i="3" s="1"/>
  <c r="E905" i="3"/>
  <c r="F905" i="3" s="1"/>
  <c r="E898" i="3"/>
  <c r="F898" i="3" s="1"/>
  <c r="E894" i="3"/>
  <c r="F894" i="3" s="1"/>
  <c r="E807" i="3"/>
  <c r="F807" i="3" s="1"/>
  <c r="E712" i="3"/>
  <c r="F712" i="3" s="1"/>
  <c r="E637" i="3"/>
  <c r="F637" i="3" s="1"/>
  <c r="E638" i="3"/>
  <c r="F638" i="3" s="1"/>
  <c r="E950" i="3"/>
  <c r="F950" i="3" s="1"/>
  <c r="E936" i="3"/>
  <c r="F936" i="3" s="1"/>
  <c r="E897" i="3"/>
  <c r="F897" i="3" s="1"/>
  <c r="E760" i="3"/>
  <c r="F760" i="3" s="1"/>
  <c r="E878" i="3"/>
  <c r="F878" i="3" s="1"/>
  <c r="E743" i="3"/>
  <c r="F743" i="3" s="1"/>
  <c r="E679" i="3"/>
  <c r="F679" i="3" s="1"/>
  <c r="E792" i="3"/>
  <c r="F792" i="3" s="1"/>
  <c r="E664" i="3"/>
  <c r="F664" i="3" s="1"/>
  <c r="E593" i="3"/>
  <c r="F593" i="3" s="1"/>
  <c r="E537" i="3"/>
  <c r="F537" i="3" s="1"/>
  <c r="E538" i="3"/>
  <c r="F538" i="3" s="1"/>
  <c r="E506" i="3"/>
  <c r="F506" i="3" s="1"/>
  <c r="E489" i="3"/>
  <c r="F489" i="3" s="1"/>
  <c r="E473" i="3"/>
  <c r="F473" i="3" s="1"/>
  <c r="E409" i="3"/>
  <c r="F409" i="3" s="1"/>
  <c r="E410" i="3"/>
  <c r="F410" i="3" s="1"/>
  <c r="E361" i="3"/>
  <c r="F361" i="3" s="1"/>
  <c r="E605" i="3"/>
  <c r="F605" i="3" s="1"/>
  <c r="E601" i="3"/>
  <c r="F601" i="3" s="1"/>
  <c r="E602" i="3"/>
  <c r="F602" i="3" s="1"/>
  <c r="E614" i="3"/>
  <c r="F614" i="3" s="1"/>
  <c r="E115" i="3"/>
  <c r="F115" i="3" s="1"/>
  <c r="E114" i="3"/>
  <c r="F114" i="3" s="1"/>
  <c r="E51" i="3"/>
  <c r="F51" i="3" s="1"/>
  <c r="E50" i="3"/>
  <c r="F50" i="3" s="1"/>
  <c r="E617" i="3"/>
  <c r="F617" i="3" s="1"/>
  <c r="E625" i="3"/>
  <c r="F625" i="3" s="1"/>
  <c r="E626" i="3"/>
  <c r="F626" i="3" s="1"/>
  <c r="E561" i="3"/>
  <c r="F561" i="3" s="1"/>
  <c r="E497" i="3"/>
  <c r="F497" i="3" s="1"/>
  <c r="E498" i="3"/>
  <c r="F498" i="3" s="1"/>
  <c r="E481" i="3"/>
  <c r="F481" i="3" s="1"/>
  <c r="E482" i="3"/>
  <c r="F482" i="3" s="1"/>
  <c r="E433" i="3"/>
  <c r="F433" i="3" s="1"/>
  <c r="E434" i="3"/>
  <c r="F434" i="3" s="1"/>
  <c r="E369" i="3"/>
  <c r="F369" i="3" s="1"/>
  <c r="E354" i="3"/>
  <c r="F354" i="3" s="1"/>
  <c r="E346" i="3"/>
  <c r="F346" i="3" s="1"/>
  <c r="E90" i="3"/>
  <c r="F90" i="3" s="1"/>
  <c r="E75" i="3"/>
  <c r="F75" i="3" s="1"/>
  <c r="E11" i="3"/>
  <c r="F11" i="3" s="1"/>
  <c r="E27" i="3"/>
  <c r="F27" i="3" s="1"/>
  <c r="E251" i="3"/>
  <c r="F251" i="3" s="1"/>
  <c r="E250" i="3"/>
  <c r="F250" i="3" s="1"/>
  <c r="E147" i="3"/>
  <c r="F147" i="3" s="1"/>
  <c r="E146" i="3"/>
  <c r="F146" i="3" s="1"/>
  <c r="E582" i="3"/>
  <c r="F582" i="3" s="1"/>
  <c r="E510" i="3"/>
  <c r="F510" i="3" s="1"/>
  <c r="E502" i="3"/>
  <c r="F502" i="3" s="1"/>
  <c r="E470" i="3"/>
  <c r="F470" i="3" s="1"/>
  <c r="E454" i="3"/>
  <c r="F454" i="3" s="1"/>
  <c r="E430" i="3"/>
  <c r="F430" i="3" s="1"/>
  <c r="E422" i="3"/>
  <c r="F422" i="3" s="1"/>
  <c r="E414" i="3"/>
  <c r="F414" i="3" s="1"/>
  <c r="E398" i="3"/>
  <c r="F398" i="3" s="1"/>
  <c r="E382" i="3"/>
  <c r="F382" i="3" s="1"/>
  <c r="E366" i="3"/>
  <c r="F366" i="3" s="1"/>
  <c r="E187" i="3"/>
  <c r="F187" i="3" s="1"/>
  <c r="E186" i="3"/>
  <c r="F186" i="3" s="1"/>
  <c r="E123" i="3"/>
  <c r="F123" i="3" s="1"/>
  <c r="E122" i="3"/>
  <c r="F122" i="3" s="1"/>
  <c r="E243" i="3"/>
  <c r="F243" i="3" s="1"/>
  <c r="E242" i="3"/>
  <c r="F242" i="3" s="1"/>
  <c r="E211" i="3"/>
  <c r="F211" i="3" s="1"/>
  <c r="E83" i="3"/>
  <c r="F83" i="3" s="1"/>
  <c r="E19" i="3"/>
  <c r="F19" i="3" s="1"/>
  <c r="E139" i="3"/>
  <c r="F139" i="3" s="1"/>
  <c r="E59" i="3"/>
  <c r="F59" i="3" s="1"/>
  <c r="E58" i="3"/>
  <c r="F58" i="3" s="1"/>
  <c r="E203" i="3"/>
  <c r="F203" i="3" s="1"/>
  <c r="E179" i="3"/>
  <c r="F179" i="3" s="1"/>
  <c r="E178" i="3"/>
  <c r="F178" i="3" s="1"/>
  <c r="E333" i="3"/>
  <c r="F333" i="3" s="1"/>
  <c r="E317" i="3"/>
  <c r="F317" i="3" s="1"/>
  <c r="E309" i="3"/>
  <c r="F309" i="3" s="1"/>
  <c r="E285" i="3"/>
  <c r="F285" i="3" s="1"/>
  <c r="E197" i="3"/>
  <c r="F197" i="3" s="1"/>
  <c r="E173" i="3"/>
  <c r="F173" i="3" s="1"/>
  <c r="E149" i="3"/>
  <c r="F149" i="3" s="1"/>
  <c r="E109" i="3"/>
  <c r="F109" i="3" s="1"/>
  <c r="E93" i="3"/>
  <c r="F93" i="3" s="1"/>
  <c r="E53" i="3"/>
  <c r="F53" i="3" s="1"/>
  <c r="F1300" i="1"/>
  <c r="G1300" i="1" s="1"/>
  <c r="F1284" i="1"/>
  <c r="G1284" i="1" s="1"/>
  <c r="F1268" i="1"/>
  <c r="G1268" i="1" s="1"/>
  <c r="F1252" i="1"/>
  <c r="G1252" i="1" s="1"/>
  <c r="F1244" i="1"/>
  <c r="G1244" i="1" s="1"/>
  <c r="F1228" i="1"/>
  <c r="G1228" i="1" s="1"/>
  <c r="F1212" i="1"/>
  <c r="G1212" i="1" s="1"/>
  <c r="F1196" i="1"/>
  <c r="G1196" i="1" s="1"/>
  <c r="F1188" i="1"/>
  <c r="G1188" i="1" s="1"/>
  <c r="F1172" i="1"/>
  <c r="G1172" i="1" s="1"/>
  <c r="F1156" i="1"/>
  <c r="G1156" i="1" s="1"/>
  <c r="F1148" i="1"/>
  <c r="G1148" i="1" s="1"/>
  <c r="F1132" i="1"/>
  <c r="G1132" i="1" s="1"/>
  <c r="F1116" i="1"/>
  <c r="G1116" i="1" s="1"/>
  <c r="F1100" i="1"/>
  <c r="G1100" i="1" s="1"/>
  <c r="F1092" i="1"/>
  <c r="G1092" i="1" s="1"/>
  <c r="F1076" i="1"/>
  <c r="G1076" i="1" s="1"/>
  <c r="F1060" i="1"/>
  <c r="G1060" i="1" s="1"/>
  <c r="F1052" i="1"/>
  <c r="G1052" i="1" s="1"/>
  <c r="F1036" i="1"/>
  <c r="G1036" i="1" s="1"/>
  <c r="F1020" i="1"/>
  <c r="G1020" i="1" s="1"/>
  <c r="F1004" i="1"/>
  <c r="G1004" i="1" s="1"/>
  <c r="F980" i="1"/>
  <c r="G980" i="1" s="1"/>
  <c r="F1299" i="1"/>
  <c r="G1299" i="1" s="1"/>
  <c r="F1219" i="1"/>
  <c r="G1219" i="1" s="1"/>
  <c r="F1297" i="1"/>
  <c r="G1297" i="1" s="1"/>
  <c r="F1289" i="1"/>
  <c r="G1289" i="1" s="1"/>
  <c r="F1281" i="1"/>
  <c r="G1281" i="1" s="1"/>
  <c r="F1273" i="1"/>
  <c r="G1273" i="1" s="1"/>
  <c r="F1265" i="1"/>
  <c r="G1265" i="1" s="1"/>
  <c r="F1257" i="1"/>
  <c r="G1257" i="1" s="1"/>
  <c r="F1249" i="1"/>
  <c r="G1249" i="1" s="1"/>
  <c r="F1225" i="1"/>
  <c r="G1225" i="1" s="1"/>
  <c r="F1025" i="1"/>
  <c r="G1025" i="1" s="1"/>
  <c r="F1009" i="1"/>
  <c r="G1009" i="1" s="1"/>
  <c r="F1303" i="1"/>
  <c r="G1303" i="1" s="1"/>
  <c r="F1302" i="1"/>
  <c r="G1302" i="1" s="1"/>
  <c r="F1287" i="1"/>
  <c r="G1287" i="1" s="1"/>
  <c r="F1286" i="1"/>
  <c r="G1286" i="1" s="1"/>
  <c r="F1271" i="1"/>
  <c r="G1271" i="1" s="1"/>
  <c r="F1255" i="1"/>
  <c r="G1255" i="1" s="1"/>
  <c r="F1239" i="1"/>
  <c r="G1239" i="1" s="1"/>
  <c r="F1223" i="1"/>
  <c r="G1223" i="1" s="1"/>
  <c r="F1207" i="1"/>
  <c r="G1207" i="1" s="1"/>
  <c r="F1191" i="1"/>
  <c r="G1191" i="1" s="1"/>
  <c r="F1175" i="1"/>
  <c r="G1175" i="1" s="1"/>
  <c r="F1159" i="1"/>
  <c r="G1159" i="1" s="1"/>
  <c r="F1135" i="1"/>
  <c r="G1135" i="1" s="1"/>
  <c r="F1119" i="1"/>
  <c r="G1119" i="1" s="1"/>
  <c r="F1111" i="1"/>
  <c r="G1111" i="1" s="1"/>
  <c r="F1110" i="1"/>
  <c r="G1110" i="1" s="1"/>
  <c r="F1095" i="1"/>
  <c r="G1095" i="1" s="1"/>
  <c r="F1079" i="1"/>
  <c r="G1079" i="1" s="1"/>
  <c r="F1063" i="1"/>
  <c r="G1063" i="1" s="1"/>
  <c r="F1055" i="1"/>
  <c r="G1055" i="1" s="1"/>
  <c r="F1039" i="1"/>
  <c r="G1039" i="1" s="1"/>
  <c r="F1031" i="1"/>
  <c r="G1031" i="1" s="1"/>
  <c r="F1023" i="1"/>
  <c r="G1023" i="1" s="1"/>
  <c r="F1015" i="1"/>
  <c r="G1015" i="1" s="1"/>
  <c r="F1007" i="1"/>
  <c r="G1007" i="1" s="1"/>
  <c r="F999" i="1"/>
  <c r="G999" i="1" s="1"/>
  <c r="F991" i="1"/>
  <c r="G991" i="1" s="1"/>
  <c r="F983" i="1"/>
  <c r="G983" i="1" s="1"/>
  <c r="F975" i="1"/>
  <c r="G975" i="1" s="1"/>
  <c r="F967" i="1"/>
  <c r="G967" i="1" s="1"/>
  <c r="F959" i="1"/>
  <c r="G959" i="1" s="1"/>
  <c r="F958" i="1"/>
  <c r="G958" i="1" s="1"/>
  <c r="F951" i="1"/>
  <c r="G951" i="1" s="1"/>
  <c r="F943" i="1"/>
  <c r="G943" i="1" s="1"/>
  <c r="F935" i="1"/>
  <c r="G935" i="1" s="1"/>
  <c r="F927" i="1"/>
  <c r="G927" i="1" s="1"/>
  <c r="F919" i="1"/>
  <c r="G919" i="1" s="1"/>
  <c r="F911" i="1"/>
  <c r="G911" i="1" s="1"/>
  <c r="F903" i="1"/>
  <c r="G903" i="1" s="1"/>
  <c r="F895" i="1"/>
  <c r="G895" i="1" s="1"/>
  <c r="F887" i="1"/>
  <c r="G887" i="1" s="1"/>
  <c r="F879" i="1"/>
  <c r="G879" i="1" s="1"/>
  <c r="F871" i="1"/>
  <c r="G871" i="1" s="1"/>
  <c r="F863" i="1"/>
  <c r="G863" i="1" s="1"/>
  <c r="F855" i="1"/>
  <c r="G855" i="1" s="1"/>
  <c r="F847" i="1"/>
  <c r="G847" i="1" s="1"/>
  <c r="F839" i="1"/>
  <c r="G839" i="1" s="1"/>
  <c r="F1295" i="1"/>
  <c r="G1295" i="1" s="1"/>
  <c r="F1279" i="1"/>
  <c r="G1279" i="1" s="1"/>
  <c r="F1263" i="1"/>
  <c r="G1263" i="1" s="1"/>
  <c r="F1247" i="1"/>
  <c r="G1247" i="1" s="1"/>
  <c r="F1231" i="1"/>
  <c r="G1231" i="1" s="1"/>
  <c r="F1215" i="1"/>
  <c r="G1215" i="1" s="1"/>
  <c r="F1199" i="1"/>
  <c r="G1199" i="1" s="1"/>
  <c r="F1183" i="1"/>
  <c r="G1183" i="1" s="1"/>
  <c r="F1167" i="1"/>
  <c r="G1167" i="1" s="1"/>
  <c r="F1166" i="1"/>
  <c r="G1166" i="1" s="1"/>
  <c r="F1151" i="1"/>
  <c r="G1151" i="1" s="1"/>
  <c r="F1143" i="1"/>
  <c r="G1143" i="1" s="1"/>
  <c r="F1142" i="1"/>
  <c r="G1142" i="1" s="1"/>
  <c r="F1127" i="1"/>
  <c r="G1127" i="1" s="1"/>
  <c r="F1103" i="1"/>
  <c r="G1103" i="1" s="1"/>
  <c r="F1087" i="1"/>
  <c r="G1087" i="1" s="1"/>
  <c r="F1071" i="1"/>
  <c r="G1071" i="1" s="1"/>
  <c r="F1047" i="1"/>
  <c r="G1047" i="1" s="1"/>
  <c r="F1270" i="1"/>
  <c r="G1270" i="1" s="1"/>
  <c r="F1254" i="1"/>
  <c r="G1254" i="1" s="1"/>
  <c r="F1292" i="1"/>
  <c r="G1292" i="1" s="1"/>
  <c r="F1276" i="1"/>
  <c r="G1276" i="1" s="1"/>
  <c r="F1260" i="1"/>
  <c r="G1260" i="1" s="1"/>
  <c r="F1236" i="1"/>
  <c r="G1236" i="1" s="1"/>
  <c r="F1220" i="1"/>
  <c r="G1220" i="1" s="1"/>
  <c r="F1204" i="1"/>
  <c r="G1204" i="1" s="1"/>
  <c r="F1180" i="1"/>
  <c r="G1180" i="1" s="1"/>
  <c r="F1164" i="1"/>
  <c r="G1164" i="1" s="1"/>
  <c r="F1140" i="1"/>
  <c r="G1140" i="1" s="1"/>
  <c r="F1124" i="1"/>
  <c r="G1124" i="1" s="1"/>
  <c r="F1108" i="1"/>
  <c r="G1108" i="1" s="1"/>
  <c r="F1084" i="1"/>
  <c r="G1084" i="1" s="1"/>
  <c r="F1068" i="1"/>
  <c r="G1068" i="1" s="1"/>
  <c r="F1044" i="1"/>
  <c r="G1044" i="1" s="1"/>
  <c r="F1028" i="1"/>
  <c r="G1028" i="1" s="1"/>
  <c r="F1012" i="1"/>
  <c r="G1012" i="1" s="1"/>
  <c r="F996" i="1"/>
  <c r="G996" i="1" s="1"/>
  <c r="F988" i="1"/>
  <c r="G988" i="1" s="1"/>
  <c r="F972" i="1"/>
  <c r="G972" i="1" s="1"/>
  <c r="F964" i="1"/>
  <c r="G964" i="1" s="1"/>
  <c r="F956" i="1"/>
  <c r="G956" i="1" s="1"/>
  <c r="F831" i="1"/>
  <c r="G831" i="1" s="1"/>
  <c r="F823" i="1"/>
  <c r="G823" i="1" s="1"/>
  <c r="F815" i="1"/>
  <c r="G815" i="1" s="1"/>
  <c r="F807" i="1"/>
  <c r="G807" i="1" s="1"/>
  <c r="F799" i="1"/>
  <c r="G799" i="1" s="1"/>
  <c r="F791" i="1"/>
  <c r="G791" i="1" s="1"/>
  <c r="F783" i="1"/>
  <c r="G783" i="1" s="1"/>
  <c r="F775" i="1"/>
  <c r="G775" i="1" s="1"/>
  <c r="F767" i="1"/>
  <c r="G767" i="1" s="1"/>
  <c r="F759" i="1"/>
  <c r="G759" i="1" s="1"/>
  <c r="F751" i="1"/>
  <c r="G751" i="1" s="1"/>
  <c r="F743" i="1"/>
  <c r="G743" i="1" s="1"/>
  <c r="F735" i="1"/>
  <c r="G735" i="1" s="1"/>
  <c r="F727" i="1"/>
  <c r="G727" i="1" s="1"/>
  <c r="F719" i="1"/>
  <c r="G719" i="1" s="1"/>
  <c r="F711" i="1"/>
  <c r="G711" i="1" s="1"/>
  <c r="F703" i="1"/>
  <c r="G703" i="1" s="1"/>
  <c r="F695" i="1"/>
  <c r="G695" i="1" s="1"/>
  <c r="F694" i="1"/>
  <c r="G694" i="1" s="1"/>
  <c r="F687" i="1"/>
  <c r="G687" i="1" s="1"/>
  <c r="F679" i="1"/>
  <c r="G679" i="1" s="1"/>
  <c r="F671" i="1"/>
  <c r="G671" i="1" s="1"/>
  <c r="F663" i="1"/>
  <c r="G663" i="1" s="1"/>
  <c r="F655" i="1"/>
  <c r="G655" i="1" s="1"/>
  <c r="F647" i="1"/>
  <c r="G647" i="1" s="1"/>
  <c r="F639" i="1"/>
  <c r="G639" i="1" s="1"/>
  <c r="F631" i="1"/>
  <c r="G631" i="1" s="1"/>
  <c r="F623" i="1"/>
  <c r="G623" i="1" s="1"/>
  <c r="F615" i="1"/>
  <c r="G615" i="1" s="1"/>
  <c r="F607" i="1"/>
  <c r="G607" i="1" s="1"/>
  <c r="F599" i="1"/>
  <c r="G599" i="1" s="1"/>
  <c r="F591" i="1"/>
  <c r="G591" i="1" s="1"/>
  <c r="F583" i="1"/>
  <c r="G583" i="1" s="1"/>
  <c r="F575" i="1"/>
  <c r="G575" i="1" s="1"/>
  <c r="F567" i="1"/>
  <c r="G567" i="1" s="1"/>
  <c r="F559" i="1"/>
  <c r="G559" i="1" s="1"/>
  <c r="F447" i="1"/>
  <c r="G447" i="1" s="1"/>
  <c r="F415" i="1"/>
  <c r="G415" i="1" s="1"/>
  <c r="F383" i="1"/>
  <c r="G383" i="1" s="1"/>
  <c r="F351" i="1"/>
  <c r="G351" i="1" s="1"/>
  <c r="F758" i="1"/>
  <c r="G758" i="1" s="1"/>
  <c r="F1294" i="1"/>
  <c r="G1294" i="1" s="1"/>
  <c r="F1278" i="1"/>
  <c r="G1278" i="1" s="1"/>
  <c r="F1262" i="1"/>
  <c r="G1262" i="1" s="1"/>
  <c r="F1246" i="1"/>
  <c r="G1246" i="1" s="1"/>
  <c r="F1238" i="1"/>
  <c r="G1238" i="1" s="1"/>
  <c r="F1230" i="1"/>
  <c r="G1230" i="1" s="1"/>
  <c r="F1222" i="1"/>
  <c r="G1222" i="1" s="1"/>
  <c r="F1214" i="1"/>
  <c r="G1214" i="1" s="1"/>
  <c r="F1206" i="1"/>
  <c r="G1206" i="1" s="1"/>
  <c r="F1198" i="1"/>
  <c r="G1198" i="1" s="1"/>
  <c r="F1190" i="1"/>
  <c r="G1190" i="1" s="1"/>
  <c r="F1182" i="1"/>
  <c r="G1182" i="1" s="1"/>
  <c r="F1174" i="1"/>
  <c r="G1174" i="1" s="1"/>
  <c r="F1158" i="1"/>
  <c r="G1158" i="1" s="1"/>
  <c r="F1150" i="1"/>
  <c r="G1150" i="1" s="1"/>
  <c r="F1134" i="1"/>
  <c r="G1134" i="1" s="1"/>
  <c r="F1126" i="1"/>
  <c r="G1126" i="1" s="1"/>
  <c r="F1118" i="1"/>
  <c r="G1118" i="1" s="1"/>
  <c r="F1102" i="1"/>
  <c r="G1102" i="1" s="1"/>
  <c r="F1094" i="1"/>
  <c r="G1094" i="1" s="1"/>
  <c r="F1086" i="1"/>
  <c r="G1086" i="1" s="1"/>
  <c r="F1078" i="1"/>
  <c r="G1078" i="1" s="1"/>
  <c r="F1070" i="1"/>
  <c r="G1070" i="1" s="1"/>
  <c r="F1062" i="1"/>
  <c r="G1062" i="1" s="1"/>
  <c r="F1054" i="1"/>
  <c r="G1054" i="1" s="1"/>
  <c r="F1046" i="1"/>
  <c r="G1046" i="1" s="1"/>
  <c r="F1038" i="1"/>
  <c r="G1038" i="1" s="1"/>
  <c r="F1030" i="1"/>
  <c r="G1030" i="1" s="1"/>
  <c r="F1022" i="1"/>
  <c r="G1022" i="1" s="1"/>
  <c r="F1014" i="1"/>
  <c r="G1014" i="1" s="1"/>
  <c r="F998" i="1"/>
  <c r="G998" i="1" s="1"/>
  <c r="F822" i="1"/>
  <c r="G822" i="1" s="1"/>
  <c r="F790" i="1"/>
  <c r="G790" i="1" s="1"/>
  <c r="F726" i="1"/>
  <c r="G726" i="1" s="1"/>
  <c r="F662" i="1"/>
  <c r="G662" i="1" s="1"/>
  <c r="F1291" i="1"/>
  <c r="G1291" i="1" s="1"/>
  <c r="F1283" i="1"/>
  <c r="G1283" i="1" s="1"/>
  <c r="F1275" i="1"/>
  <c r="G1275" i="1" s="1"/>
  <c r="F1267" i="1"/>
  <c r="G1267" i="1" s="1"/>
  <c r="F1259" i="1"/>
  <c r="G1259" i="1" s="1"/>
  <c r="F1251" i="1"/>
  <c r="G1251" i="1" s="1"/>
  <c r="F1243" i="1"/>
  <c r="G1243" i="1" s="1"/>
  <c r="F1235" i="1"/>
  <c r="G1235" i="1" s="1"/>
  <c r="F1227" i="1"/>
  <c r="G1227" i="1" s="1"/>
  <c r="F1211" i="1"/>
  <c r="G1211" i="1" s="1"/>
  <c r="F1203" i="1"/>
  <c r="G1203" i="1" s="1"/>
  <c r="F1195" i="1"/>
  <c r="G1195" i="1" s="1"/>
  <c r="F1187" i="1"/>
  <c r="G1187" i="1" s="1"/>
  <c r="F1179" i="1"/>
  <c r="G1179" i="1" s="1"/>
  <c r="F1171" i="1"/>
  <c r="G1171" i="1" s="1"/>
  <c r="F1163" i="1"/>
  <c r="G1163" i="1" s="1"/>
  <c r="F1155" i="1"/>
  <c r="G1155" i="1" s="1"/>
  <c r="F1147" i="1"/>
  <c r="G1147" i="1" s="1"/>
  <c r="F1139" i="1"/>
  <c r="G1139" i="1" s="1"/>
  <c r="F1131" i="1"/>
  <c r="G1131" i="1" s="1"/>
  <c r="F1123" i="1"/>
  <c r="G1123" i="1" s="1"/>
  <c r="F1115" i="1"/>
  <c r="G1115" i="1" s="1"/>
  <c r="F1107" i="1"/>
  <c r="G1107" i="1" s="1"/>
  <c r="F1099" i="1"/>
  <c r="G1099" i="1" s="1"/>
  <c r="F1091" i="1"/>
  <c r="G1091" i="1" s="1"/>
  <c r="F1083" i="1"/>
  <c r="G1083" i="1" s="1"/>
  <c r="F1075" i="1"/>
  <c r="G1075" i="1" s="1"/>
  <c r="F1067" i="1"/>
  <c r="G1067" i="1" s="1"/>
  <c r="F1059" i="1"/>
  <c r="G1059" i="1" s="1"/>
  <c r="F1051" i="1"/>
  <c r="G1051" i="1" s="1"/>
  <c r="F1043" i="1"/>
  <c r="G1043" i="1" s="1"/>
  <c r="F1035" i="1"/>
  <c r="G1035" i="1" s="1"/>
  <c r="F1027" i="1"/>
  <c r="G1027" i="1" s="1"/>
  <c r="F1019" i="1"/>
  <c r="G1019" i="1" s="1"/>
  <c r="F1011" i="1"/>
  <c r="G1011" i="1" s="1"/>
  <c r="F1003" i="1"/>
  <c r="G1003" i="1" s="1"/>
  <c r="F995" i="1"/>
  <c r="G995" i="1" s="1"/>
  <c r="F987" i="1"/>
  <c r="G987" i="1" s="1"/>
  <c r="F979" i="1"/>
  <c r="G979" i="1" s="1"/>
  <c r="F971" i="1"/>
  <c r="G971" i="1" s="1"/>
  <c r="F963" i="1"/>
  <c r="G963" i="1" s="1"/>
  <c r="F955" i="1"/>
  <c r="G955" i="1" s="1"/>
  <c r="F947" i="1"/>
  <c r="G947" i="1" s="1"/>
  <c r="F939" i="1"/>
  <c r="G939" i="1" s="1"/>
  <c r="F931" i="1"/>
  <c r="G931" i="1" s="1"/>
  <c r="F923" i="1"/>
  <c r="G923" i="1" s="1"/>
  <c r="F915" i="1"/>
  <c r="G915" i="1" s="1"/>
  <c r="F907" i="1"/>
  <c r="G907" i="1" s="1"/>
  <c r="F899" i="1"/>
  <c r="G899" i="1" s="1"/>
  <c r="F891" i="1"/>
  <c r="G891" i="1" s="1"/>
  <c r="F883" i="1"/>
  <c r="G883" i="1" s="1"/>
  <c r="F875" i="1"/>
  <c r="G875" i="1" s="1"/>
  <c r="F867" i="1"/>
  <c r="G867" i="1" s="1"/>
  <c r="F859" i="1"/>
  <c r="G859" i="1" s="1"/>
  <c r="F851" i="1"/>
  <c r="G851" i="1" s="1"/>
  <c r="F843" i="1"/>
  <c r="G843" i="1" s="1"/>
  <c r="F835" i="1"/>
  <c r="G835" i="1" s="1"/>
  <c r="F827" i="1"/>
  <c r="G827" i="1" s="1"/>
  <c r="F819" i="1"/>
  <c r="G819" i="1" s="1"/>
  <c r="F811" i="1"/>
  <c r="G811" i="1" s="1"/>
  <c r="F803" i="1"/>
  <c r="G803" i="1" s="1"/>
  <c r="F795" i="1"/>
  <c r="G795" i="1" s="1"/>
  <c r="F787" i="1"/>
  <c r="G787" i="1" s="1"/>
  <c r="F779" i="1"/>
  <c r="G779" i="1" s="1"/>
  <c r="F771" i="1"/>
  <c r="G771" i="1" s="1"/>
  <c r="F763" i="1"/>
  <c r="G763" i="1" s="1"/>
  <c r="F755" i="1"/>
  <c r="G755" i="1" s="1"/>
  <c r="F747" i="1"/>
  <c r="G747" i="1" s="1"/>
  <c r="F739" i="1"/>
  <c r="G739" i="1" s="1"/>
  <c r="F731" i="1"/>
  <c r="G731" i="1" s="1"/>
  <c r="F723" i="1"/>
  <c r="G723" i="1" s="1"/>
  <c r="F715" i="1"/>
  <c r="G715" i="1" s="1"/>
  <c r="F699" i="1"/>
  <c r="G699" i="1" s="1"/>
  <c r="F691" i="1"/>
  <c r="G691" i="1" s="1"/>
  <c r="F683" i="1"/>
  <c r="G683" i="1" s="1"/>
  <c r="F675" i="1"/>
  <c r="G675" i="1" s="1"/>
  <c r="F667" i="1"/>
  <c r="G667" i="1" s="1"/>
  <c r="F659" i="1"/>
  <c r="G659" i="1" s="1"/>
  <c r="F651" i="1"/>
  <c r="G651" i="1" s="1"/>
  <c r="F643" i="1"/>
  <c r="G643" i="1" s="1"/>
  <c r="F635" i="1"/>
  <c r="G635" i="1" s="1"/>
  <c r="F627" i="1"/>
  <c r="G627" i="1" s="1"/>
  <c r="F619" i="1"/>
  <c r="G619" i="1" s="1"/>
  <c r="F611" i="1"/>
  <c r="G611" i="1" s="1"/>
  <c r="F603" i="1"/>
  <c r="G603" i="1" s="1"/>
  <c r="F595" i="1"/>
  <c r="G595" i="1" s="1"/>
  <c r="F587" i="1"/>
  <c r="G587" i="1" s="1"/>
  <c r="F579" i="1"/>
  <c r="G579" i="1" s="1"/>
  <c r="F571" i="1"/>
  <c r="G571" i="1" s="1"/>
  <c r="F563" i="1"/>
  <c r="G563" i="1" s="1"/>
  <c r="F555" i="1"/>
  <c r="G555" i="1" s="1"/>
  <c r="F547" i="1"/>
  <c r="G547" i="1" s="1"/>
  <c r="F539" i="1"/>
  <c r="G539" i="1" s="1"/>
  <c r="F531" i="1"/>
  <c r="G531" i="1" s="1"/>
  <c r="F523" i="1"/>
  <c r="G523" i="1" s="1"/>
  <c r="F515" i="1"/>
  <c r="G515" i="1" s="1"/>
  <c r="F1241" i="1"/>
  <c r="G1241" i="1" s="1"/>
  <c r="F1233" i="1"/>
  <c r="G1233" i="1" s="1"/>
  <c r="F1217" i="1"/>
  <c r="G1217" i="1" s="1"/>
  <c r="F1209" i="1"/>
  <c r="G1209" i="1" s="1"/>
  <c r="F1201" i="1"/>
  <c r="G1201" i="1" s="1"/>
  <c r="F1193" i="1"/>
  <c r="G1193" i="1" s="1"/>
  <c r="F1185" i="1"/>
  <c r="G1185" i="1" s="1"/>
  <c r="F1177" i="1"/>
  <c r="G1177" i="1" s="1"/>
  <c r="F1169" i="1"/>
  <c r="G1169" i="1" s="1"/>
  <c r="F1161" i="1"/>
  <c r="G1161" i="1" s="1"/>
  <c r="F1153" i="1"/>
  <c r="G1153" i="1" s="1"/>
  <c r="F1145" i="1"/>
  <c r="G1145" i="1" s="1"/>
  <c r="F1137" i="1"/>
  <c r="G1137" i="1" s="1"/>
  <c r="F1129" i="1"/>
  <c r="G1129" i="1" s="1"/>
  <c r="F1121" i="1"/>
  <c r="G1121" i="1" s="1"/>
  <c r="F1113" i="1"/>
  <c r="G1113" i="1" s="1"/>
  <c r="F1105" i="1"/>
  <c r="G1105" i="1" s="1"/>
  <c r="F1097" i="1"/>
  <c r="G1097" i="1" s="1"/>
  <c r="F1089" i="1"/>
  <c r="G1089" i="1" s="1"/>
  <c r="F1081" i="1"/>
  <c r="G1081" i="1" s="1"/>
  <c r="F1073" i="1"/>
  <c r="G1073" i="1" s="1"/>
  <c r="F1065" i="1"/>
  <c r="G1065" i="1" s="1"/>
  <c r="F1057" i="1"/>
  <c r="G1057" i="1" s="1"/>
  <c r="F1049" i="1"/>
  <c r="G1049" i="1" s="1"/>
  <c r="F1041" i="1"/>
  <c r="G1041" i="1" s="1"/>
  <c r="F1033" i="1"/>
  <c r="G1033" i="1" s="1"/>
  <c r="F1017" i="1"/>
  <c r="G1017" i="1" s="1"/>
  <c r="F985" i="1"/>
  <c r="G985" i="1" s="1"/>
  <c r="F905" i="1"/>
  <c r="G905" i="1" s="1"/>
  <c r="F857" i="1"/>
  <c r="G857" i="1" s="1"/>
  <c r="F849" i="1"/>
  <c r="G849" i="1" s="1"/>
  <c r="F1001" i="1"/>
  <c r="G1001" i="1" s="1"/>
  <c r="F993" i="1"/>
  <c r="G993" i="1" s="1"/>
  <c r="F977" i="1"/>
  <c r="G977" i="1" s="1"/>
  <c r="F969" i="1"/>
  <c r="G969" i="1" s="1"/>
  <c r="F961" i="1"/>
  <c r="G961" i="1" s="1"/>
  <c r="F953" i="1"/>
  <c r="G953" i="1" s="1"/>
  <c r="F945" i="1"/>
  <c r="G945" i="1" s="1"/>
  <c r="F937" i="1"/>
  <c r="G937" i="1" s="1"/>
  <c r="F929" i="1"/>
  <c r="G929" i="1" s="1"/>
  <c r="F921" i="1"/>
  <c r="G921" i="1" s="1"/>
  <c r="F913" i="1"/>
  <c r="G913" i="1" s="1"/>
  <c r="F897" i="1"/>
  <c r="G897" i="1" s="1"/>
  <c r="F889" i="1"/>
  <c r="G889" i="1" s="1"/>
  <c r="F881" i="1"/>
  <c r="G881" i="1" s="1"/>
  <c r="F873" i="1"/>
  <c r="G873" i="1" s="1"/>
  <c r="F865" i="1"/>
  <c r="G865" i="1" s="1"/>
  <c r="F841" i="1"/>
  <c r="G841" i="1" s="1"/>
  <c r="F833" i="1"/>
  <c r="G833" i="1" s="1"/>
  <c r="F825" i="1"/>
  <c r="G825" i="1" s="1"/>
  <c r="F817" i="1"/>
  <c r="G817" i="1" s="1"/>
  <c r="F809" i="1"/>
  <c r="G809" i="1" s="1"/>
  <c r="F801" i="1"/>
  <c r="G801" i="1" s="1"/>
  <c r="F793" i="1"/>
  <c r="G793" i="1" s="1"/>
  <c r="F785" i="1"/>
  <c r="G785" i="1" s="1"/>
  <c r="F777" i="1"/>
  <c r="G777" i="1" s="1"/>
  <c r="F769" i="1"/>
  <c r="G769" i="1" s="1"/>
  <c r="F761" i="1"/>
  <c r="G761" i="1" s="1"/>
  <c r="F753" i="1"/>
  <c r="G753" i="1" s="1"/>
  <c r="F745" i="1"/>
  <c r="G745" i="1" s="1"/>
  <c r="F737" i="1"/>
  <c r="G737" i="1" s="1"/>
  <c r="F729" i="1"/>
  <c r="G729" i="1" s="1"/>
  <c r="F721" i="1"/>
  <c r="G721" i="1" s="1"/>
  <c r="F713" i="1"/>
  <c r="G713" i="1" s="1"/>
  <c r="F705" i="1"/>
  <c r="G705" i="1" s="1"/>
  <c r="F697" i="1"/>
  <c r="G697" i="1" s="1"/>
  <c r="F689" i="1"/>
  <c r="G689" i="1" s="1"/>
  <c r="F681" i="1"/>
  <c r="G681" i="1" s="1"/>
  <c r="F673" i="1"/>
  <c r="G673" i="1" s="1"/>
  <c r="F665" i="1"/>
  <c r="G665" i="1" s="1"/>
  <c r="F657" i="1"/>
  <c r="G657" i="1" s="1"/>
  <c r="F649" i="1"/>
  <c r="G649" i="1" s="1"/>
  <c r="F641" i="1"/>
  <c r="G641" i="1" s="1"/>
  <c r="F633" i="1"/>
  <c r="G633" i="1" s="1"/>
  <c r="F625" i="1"/>
  <c r="G625" i="1" s="1"/>
  <c r="F617" i="1"/>
  <c r="G617" i="1" s="1"/>
  <c r="F609" i="1"/>
  <c r="G609" i="1" s="1"/>
  <c r="F601" i="1"/>
  <c r="G601" i="1" s="1"/>
  <c r="F593" i="1"/>
  <c r="G593" i="1" s="1"/>
  <c r="F585" i="1"/>
  <c r="G585" i="1" s="1"/>
  <c r="F577" i="1"/>
  <c r="G577" i="1" s="1"/>
  <c r="F569" i="1"/>
  <c r="G569" i="1" s="1"/>
  <c r="F561" i="1"/>
  <c r="G561" i="1" s="1"/>
  <c r="F553" i="1"/>
  <c r="G553" i="1" s="1"/>
  <c r="F545" i="1"/>
  <c r="G545" i="1" s="1"/>
  <c r="F537" i="1"/>
  <c r="G537" i="1" s="1"/>
  <c r="F529" i="1"/>
  <c r="G529" i="1" s="1"/>
  <c r="F521" i="1"/>
  <c r="G521" i="1" s="1"/>
  <c r="F513" i="1"/>
  <c r="G513" i="1" s="1"/>
  <c r="F505" i="1"/>
  <c r="G505" i="1" s="1"/>
  <c r="F497" i="1"/>
  <c r="G497" i="1" s="1"/>
  <c r="F489" i="1"/>
  <c r="G489" i="1" s="1"/>
  <c r="F481" i="1"/>
  <c r="G481" i="1" s="1"/>
  <c r="F473" i="1"/>
  <c r="G473" i="1" s="1"/>
  <c r="F465" i="1"/>
  <c r="G465" i="1" s="1"/>
  <c r="F457" i="1"/>
  <c r="G457" i="1" s="1"/>
  <c r="F449" i="1"/>
  <c r="G449" i="1" s="1"/>
  <c r="F441" i="1"/>
  <c r="G441" i="1" s="1"/>
  <c r="F433" i="1"/>
  <c r="G433" i="1" s="1"/>
  <c r="F425" i="1"/>
  <c r="G425" i="1" s="1"/>
  <c r="F417" i="1"/>
  <c r="G417" i="1" s="1"/>
  <c r="F409" i="1"/>
  <c r="G409" i="1" s="1"/>
  <c r="F401" i="1"/>
  <c r="G401" i="1" s="1"/>
  <c r="F393" i="1"/>
  <c r="G393" i="1" s="1"/>
  <c r="F385" i="1"/>
  <c r="G385" i="1" s="1"/>
  <c r="F377" i="1"/>
  <c r="G377" i="1" s="1"/>
  <c r="F369" i="1"/>
  <c r="G369" i="1" s="1"/>
  <c r="F361" i="1"/>
  <c r="G361" i="1" s="1"/>
  <c r="F353" i="1"/>
  <c r="G353" i="1" s="1"/>
  <c r="F345" i="1"/>
  <c r="G345" i="1" s="1"/>
  <c r="F337" i="1"/>
  <c r="G337" i="1" s="1"/>
  <c r="F329" i="1"/>
  <c r="G329" i="1" s="1"/>
  <c r="F321" i="1"/>
  <c r="G321" i="1" s="1"/>
  <c r="F313" i="1"/>
  <c r="G313" i="1" s="1"/>
  <c r="F305" i="1"/>
  <c r="G305" i="1" s="1"/>
  <c r="F297" i="1"/>
  <c r="G297" i="1" s="1"/>
  <c r="F289" i="1"/>
  <c r="G289" i="1" s="1"/>
  <c r="F281" i="1"/>
  <c r="G281" i="1" s="1"/>
  <c r="F273" i="1"/>
  <c r="G273" i="1" s="1"/>
  <c r="F257" i="1"/>
  <c r="G257" i="1" s="1"/>
  <c r="F249" i="1"/>
  <c r="G249" i="1" s="1"/>
  <c r="F241" i="1"/>
  <c r="G241" i="1" s="1"/>
  <c r="F233" i="1"/>
  <c r="G233" i="1" s="1"/>
  <c r="F225" i="1"/>
  <c r="G225" i="1" s="1"/>
  <c r="F217" i="1"/>
  <c r="G217" i="1" s="1"/>
  <c r="F209" i="1"/>
  <c r="G209" i="1" s="1"/>
  <c r="F201" i="1"/>
  <c r="G201" i="1" s="1"/>
  <c r="F193" i="1"/>
  <c r="G193" i="1" s="1"/>
  <c r="F185" i="1"/>
  <c r="G185" i="1" s="1"/>
  <c r="F177" i="1"/>
  <c r="G177" i="1" s="1"/>
  <c r="F169" i="1"/>
  <c r="G169" i="1" s="1"/>
  <c r="F161" i="1"/>
  <c r="G161" i="1" s="1"/>
  <c r="F153" i="1"/>
  <c r="G153" i="1" s="1"/>
  <c r="F145" i="1"/>
  <c r="G145" i="1" s="1"/>
  <c r="F137" i="1"/>
  <c r="G137" i="1" s="1"/>
  <c r="F129" i="1"/>
  <c r="G129" i="1" s="1"/>
  <c r="F121" i="1"/>
  <c r="G121" i="1" s="1"/>
  <c r="F113" i="1"/>
  <c r="G113" i="1" s="1"/>
  <c r="F105" i="1"/>
  <c r="G105" i="1" s="1"/>
  <c r="F89" i="1"/>
  <c r="G89" i="1" s="1"/>
  <c r="F81" i="1"/>
  <c r="G81" i="1" s="1"/>
  <c r="F73" i="1"/>
  <c r="G73" i="1" s="1"/>
  <c r="F65" i="1"/>
  <c r="G65" i="1" s="1"/>
  <c r="F57" i="1"/>
  <c r="G57" i="1" s="1"/>
  <c r="F49" i="1"/>
  <c r="G49" i="1" s="1"/>
  <c r="F41" i="1"/>
  <c r="G41" i="1" s="1"/>
  <c r="F33" i="1"/>
  <c r="G33" i="1" s="1"/>
  <c r="F25" i="1"/>
  <c r="G25" i="1" s="1"/>
  <c r="F17" i="1"/>
  <c r="G17" i="1" s="1"/>
  <c r="F9" i="1"/>
  <c r="G9" i="1" s="1"/>
  <c r="F551" i="1"/>
  <c r="G551" i="1" s="1"/>
  <c r="F543" i="1"/>
  <c r="G543" i="1" s="1"/>
  <c r="F535" i="1"/>
  <c r="G535" i="1" s="1"/>
  <c r="F527" i="1"/>
  <c r="G527" i="1" s="1"/>
  <c r="F519" i="1"/>
  <c r="G519" i="1" s="1"/>
  <c r="F511" i="1"/>
  <c r="G511" i="1" s="1"/>
  <c r="F503" i="1"/>
  <c r="G503" i="1" s="1"/>
  <c r="F495" i="1"/>
  <c r="G495" i="1" s="1"/>
  <c r="F487" i="1"/>
  <c r="G487" i="1" s="1"/>
  <c r="F479" i="1"/>
  <c r="G479" i="1" s="1"/>
  <c r="F471" i="1"/>
  <c r="G471" i="1" s="1"/>
  <c r="F463" i="1"/>
  <c r="G463" i="1" s="1"/>
  <c r="F455" i="1"/>
  <c r="G455" i="1" s="1"/>
  <c r="F439" i="1"/>
  <c r="G439" i="1" s="1"/>
  <c r="F431" i="1"/>
  <c r="G431" i="1" s="1"/>
  <c r="F423" i="1"/>
  <c r="G423" i="1" s="1"/>
  <c r="F407" i="1"/>
  <c r="G407" i="1" s="1"/>
  <c r="F399" i="1"/>
  <c r="G399" i="1" s="1"/>
  <c r="F391" i="1"/>
  <c r="G391" i="1" s="1"/>
  <c r="F375" i="1"/>
  <c r="G375" i="1" s="1"/>
  <c r="F367" i="1"/>
  <c r="G367" i="1" s="1"/>
  <c r="F359" i="1"/>
  <c r="G359" i="1" s="1"/>
  <c r="F343" i="1"/>
  <c r="G343" i="1" s="1"/>
  <c r="F335" i="1"/>
  <c r="G335" i="1" s="1"/>
  <c r="F327" i="1"/>
  <c r="G327" i="1" s="1"/>
  <c r="F319" i="1"/>
  <c r="G319" i="1" s="1"/>
  <c r="F311" i="1"/>
  <c r="G311" i="1" s="1"/>
  <c r="F303" i="1"/>
  <c r="G303" i="1" s="1"/>
  <c r="F295" i="1"/>
  <c r="G295" i="1" s="1"/>
  <c r="F287" i="1"/>
  <c r="G287" i="1" s="1"/>
  <c r="F279" i="1"/>
  <c r="G279" i="1" s="1"/>
  <c r="F271" i="1"/>
  <c r="G271" i="1" s="1"/>
  <c r="F263" i="1"/>
  <c r="G263" i="1" s="1"/>
  <c r="F255" i="1"/>
  <c r="G255" i="1" s="1"/>
  <c r="F247" i="1"/>
  <c r="G247" i="1" s="1"/>
  <c r="F239" i="1"/>
  <c r="G239" i="1" s="1"/>
  <c r="F231" i="1"/>
  <c r="G231" i="1" s="1"/>
  <c r="F223" i="1"/>
  <c r="G223" i="1" s="1"/>
  <c r="F215" i="1"/>
  <c r="G215" i="1" s="1"/>
  <c r="F207" i="1"/>
  <c r="G207" i="1" s="1"/>
  <c r="F199" i="1"/>
  <c r="G199" i="1" s="1"/>
  <c r="F191" i="1"/>
  <c r="G191" i="1" s="1"/>
  <c r="F183" i="1"/>
  <c r="G183" i="1" s="1"/>
  <c r="F175" i="1"/>
  <c r="G175" i="1" s="1"/>
  <c r="F167" i="1"/>
  <c r="G167" i="1" s="1"/>
  <c r="F159" i="1"/>
  <c r="G159" i="1" s="1"/>
  <c r="F151" i="1"/>
  <c r="G151" i="1" s="1"/>
  <c r="F143" i="1"/>
  <c r="G143" i="1" s="1"/>
  <c r="F135" i="1"/>
  <c r="G135" i="1" s="1"/>
  <c r="F127" i="1"/>
  <c r="G127" i="1" s="1"/>
  <c r="F119" i="1"/>
  <c r="G119" i="1" s="1"/>
  <c r="F111" i="1"/>
  <c r="G111" i="1" s="1"/>
  <c r="F103" i="1"/>
  <c r="G103" i="1" s="1"/>
  <c r="F95" i="1"/>
  <c r="G95" i="1" s="1"/>
  <c r="F87" i="1"/>
  <c r="G87" i="1" s="1"/>
  <c r="F79" i="1"/>
  <c r="G79" i="1" s="1"/>
  <c r="F71" i="1"/>
  <c r="G71" i="1" s="1"/>
  <c r="F63" i="1"/>
  <c r="G63" i="1" s="1"/>
  <c r="F55" i="1"/>
  <c r="G55" i="1" s="1"/>
  <c r="F47" i="1"/>
  <c r="G47" i="1" s="1"/>
  <c r="F39" i="1"/>
  <c r="G39" i="1" s="1"/>
  <c r="F31" i="1"/>
  <c r="G31" i="1" s="1"/>
  <c r="F23" i="1"/>
  <c r="G23" i="1" s="1"/>
  <c r="F15" i="1"/>
  <c r="G15" i="1" s="1"/>
  <c r="F7" i="1"/>
  <c r="G7" i="1" s="1"/>
  <c r="F1006" i="1"/>
  <c r="G1006" i="1" s="1"/>
  <c r="F990" i="1"/>
  <c r="G990" i="1" s="1"/>
  <c r="F982" i="1"/>
  <c r="G982" i="1" s="1"/>
  <c r="F974" i="1"/>
  <c r="G974" i="1" s="1"/>
  <c r="F966" i="1"/>
  <c r="G966" i="1" s="1"/>
  <c r="F950" i="1"/>
  <c r="G950" i="1" s="1"/>
  <c r="F942" i="1"/>
  <c r="G942" i="1" s="1"/>
  <c r="F934" i="1"/>
  <c r="G934" i="1" s="1"/>
  <c r="F926" i="1"/>
  <c r="G926" i="1" s="1"/>
  <c r="F918" i="1"/>
  <c r="G918" i="1" s="1"/>
  <c r="F910" i="1"/>
  <c r="G910" i="1" s="1"/>
  <c r="F902" i="1"/>
  <c r="G902" i="1" s="1"/>
  <c r="F894" i="1"/>
  <c r="G894" i="1" s="1"/>
  <c r="F886" i="1"/>
  <c r="G886" i="1" s="1"/>
  <c r="F878" i="1"/>
  <c r="G878" i="1" s="1"/>
  <c r="F870" i="1"/>
  <c r="G870" i="1" s="1"/>
  <c r="F862" i="1"/>
  <c r="G862" i="1" s="1"/>
  <c r="F854" i="1"/>
  <c r="G854" i="1" s="1"/>
  <c r="F846" i="1"/>
  <c r="G846" i="1" s="1"/>
  <c r="F838" i="1"/>
  <c r="G838" i="1" s="1"/>
  <c r="F830" i="1"/>
  <c r="G830" i="1" s="1"/>
  <c r="F814" i="1"/>
  <c r="G814" i="1" s="1"/>
  <c r="F806" i="1"/>
  <c r="G806" i="1" s="1"/>
  <c r="F798" i="1"/>
  <c r="G798" i="1" s="1"/>
  <c r="F782" i="1"/>
  <c r="G782" i="1" s="1"/>
  <c r="F774" i="1"/>
  <c r="G774" i="1" s="1"/>
  <c r="F766" i="1"/>
  <c r="G766" i="1" s="1"/>
  <c r="F750" i="1"/>
  <c r="G750" i="1" s="1"/>
  <c r="F742" i="1"/>
  <c r="G742" i="1" s="1"/>
  <c r="F734" i="1"/>
  <c r="G734" i="1" s="1"/>
  <c r="F718" i="1"/>
  <c r="G718" i="1" s="1"/>
  <c r="F710" i="1"/>
  <c r="G710" i="1" s="1"/>
  <c r="F702" i="1"/>
  <c r="G702" i="1" s="1"/>
  <c r="F686" i="1"/>
  <c r="G686" i="1" s="1"/>
  <c r="F678" i="1"/>
  <c r="G678" i="1" s="1"/>
  <c r="F670" i="1"/>
  <c r="G670" i="1" s="1"/>
  <c r="F654" i="1"/>
  <c r="G654" i="1" s="1"/>
  <c r="F646" i="1"/>
  <c r="G646" i="1" s="1"/>
  <c r="F638" i="1"/>
  <c r="G638" i="1" s="1"/>
  <c r="F630" i="1"/>
  <c r="G630" i="1" s="1"/>
  <c r="F622" i="1"/>
  <c r="G622" i="1" s="1"/>
  <c r="F614" i="1"/>
  <c r="G614" i="1" s="1"/>
  <c r="F606" i="1"/>
  <c r="G606" i="1" s="1"/>
  <c r="F598" i="1"/>
  <c r="G598" i="1" s="1"/>
  <c r="F590" i="1"/>
  <c r="G590" i="1" s="1"/>
  <c r="F582" i="1"/>
  <c r="G582" i="1" s="1"/>
  <c r="F574" i="1"/>
  <c r="G574" i="1" s="1"/>
  <c r="F566" i="1"/>
  <c r="G566" i="1" s="1"/>
  <c r="F558" i="1"/>
  <c r="G558" i="1" s="1"/>
  <c r="F550" i="1"/>
  <c r="G550" i="1" s="1"/>
  <c r="F542" i="1"/>
  <c r="G542" i="1" s="1"/>
  <c r="F526" i="1"/>
  <c r="G526" i="1" s="1"/>
  <c r="F518" i="1"/>
  <c r="G518" i="1" s="1"/>
  <c r="F510" i="1"/>
  <c r="G510" i="1" s="1"/>
  <c r="F494" i="1"/>
  <c r="G494" i="1" s="1"/>
  <c r="F486" i="1"/>
  <c r="G486" i="1" s="1"/>
  <c r="F478" i="1"/>
  <c r="G478" i="1" s="1"/>
  <c r="F462" i="1"/>
  <c r="G462" i="1" s="1"/>
  <c r="F454" i="1"/>
  <c r="G454" i="1" s="1"/>
  <c r="F446" i="1"/>
  <c r="G446" i="1" s="1"/>
  <c r="F438" i="1"/>
  <c r="G438" i="1" s="1"/>
  <c r="F430" i="1"/>
  <c r="G430" i="1" s="1"/>
  <c r="F422" i="1"/>
  <c r="G422" i="1" s="1"/>
  <c r="F414" i="1"/>
  <c r="G414" i="1" s="1"/>
  <c r="F406" i="1"/>
  <c r="G406" i="1" s="1"/>
  <c r="F398" i="1"/>
  <c r="G398" i="1" s="1"/>
  <c r="F390" i="1"/>
  <c r="G390" i="1" s="1"/>
  <c r="F382" i="1"/>
  <c r="G382" i="1" s="1"/>
  <c r="F374" i="1"/>
  <c r="G374" i="1" s="1"/>
  <c r="F366" i="1"/>
  <c r="G366" i="1" s="1"/>
  <c r="F358" i="1"/>
  <c r="G358" i="1" s="1"/>
  <c r="F350" i="1"/>
  <c r="G350" i="1" s="1"/>
  <c r="F342" i="1"/>
  <c r="G342" i="1" s="1"/>
  <c r="F334" i="1"/>
  <c r="G334" i="1" s="1"/>
  <c r="F326" i="1"/>
  <c r="G326" i="1" s="1"/>
  <c r="F318" i="1"/>
  <c r="G318" i="1" s="1"/>
  <c r="F310" i="1"/>
  <c r="G310" i="1" s="1"/>
  <c r="F302" i="1"/>
  <c r="G302" i="1" s="1"/>
  <c r="F294" i="1"/>
  <c r="G294" i="1" s="1"/>
  <c r="F286" i="1"/>
  <c r="G286" i="1" s="1"/>
  <c r="F278" i="1"/>
  <c r="G278" i="1" s="1"/>
  <c r="F270" i="1"/>
  <c r="G270" i="1" s="1"/>
  <c r="F262" i="1"/>
  <c r="G262" i="1" s="1"/>
  <c r="F254" i="1"/>
  <c r="G254" i="1" s="1"/>
  <c r="F246" i="1"/>
  <c r="G246" i="1" s="1"/>
  <c r="F238" i="1"/>
  <c r="G238" i="1" s="1"/>
  <c r="F230" i="1"/>
  <c r="G230" i="1" s="1"/>
  <c r="F222" i="1"/>
  <c r="G222" i="1" s="1"/>
  <c r="F214" i="1"/>
  <c r="G214" i="1" s="1"/>
  <c r="F206" i="1"/>
  <c r="G206" i="1" s="1"/>
  <c r="F198" i="1"/>
  <c r="G198" i="1" s="1"/>
  <c r="F190" i="1"/>
  <c r="G190" i="1" s="1"/>
  <c r="F182" i="1"/>
  <c r="G182" i="1" s="1"/>
  <c r="F174" i="1"/>
  <c r="G174" i="1" s="1"/>
  <c r="F166" i="1"/>
  <c r="G166" i="1" s="1"/>
  <c r="F158" i="1"/>
  <c r="G158" i="1" s="1"/>
  <c r="F150" i="1"/>
  <c r="G150" i="1" s="1"/>
  <c r="F142" i="1"/>
  <c r="G142" i="1" s="1"/>
  <c r="F134" i="1"/>
  <c r="G134" i="1" s="1"/>
  <c r="F126" i="1"/>
  <c r="G126" i="1" s="1"/>
  <c r="F118" i="1"/>
  <c r="G118" i="1" s="1"/>
  <c r="F110" i="1"/>
  <c r="G110" i="1" s="1"/>
  <c r="F102" i="1"/>
  <c r="G102" i="1" s="1"/>
  <c r="F94" i="1"/>
  <c r="G94" i="1" s="1"/>
  <c r="F86" i="1"/>
  <c r="G86" i="1" s="1"/>
  <c r="F78" i="1"/>
  <c r="G78" i="1" s="1"/>
  <c r="F70" i="1"/>
  <c r="G70" i="1" s="1"/>
  <c r="F62" i="1"/>
  <c r="G62" i="1" s="1"/>
  <c r="F54" i="1"/>
  <c r="G54" i="1" s="1"/>
  <c r="F46" i="1"/>
  <c r="G46" i="1" s="1"/>
  <c r="F38" i="1"/>
  <c r="G38" i="1" s="1"/>
  <c r="F30" i="1"/>
  <c r="G30" i="1" s="1"/>
  <c r="F22" i="1"/>
  <c r="G22" i="1" s="1"/>
  <c r="F14" i="1"/>
  <c r="G14" i="1" s="1"/>
  <c r="J16" i="1" s="1"/>
  <c r="F6" i="1"/>
  <c r="G6" i="1" s="1"/>
  <c r="F45" i="1"/>
  <c r="G45" i="1" s="1"/>
  <c r="F37" i="1"/>
  <c r="G37" i="1" s="1"/>
  <c r="F29" i="1"/>
  <c r="G29" i="1" s="1"/>
  <c r="F21" i="1"/>
  <c r="G21" i="1" s="1"/>
  <c r="F13" i="1"/>
  <c r="G13" i="1" s="1"/>
  <c r="F507" i="1"/>
  <c r="G507" i="1" s="1"/>
  <c r="F499" i="1"/>
  <c r="G499" i="1" s="1"/>
  <c r="F483" i="1"/>
  <c r="G483" i="1" s="1"/>
  <c r="F475" i="1"/>
  <c r="G475" i="1" s="1"/>
  <c r="F467" i="1"/>
  <c r="G467" i="1" s="1"/>
  <c r="J24" i="1"/>
  <c r="J17" i="1"/>
  <c r="J33" i="1"/>
  <c r="J18" i="1"/>
  <c r="J34" i="1"/>
  <c r="J35" i="1"/>
  <c r="J51" i="1"/>
  <c r="J21" i="1"/>
  <c r="J44" i="1"/>
  <c r="J52" i="1"/>
  <c r="J13" i="1"/>
  <c r="J45" i="1"/>
  <c r="J14" i="1"/>
  <c r="J30" i="1"/>
  <c r="J46" i="1"/>
  <c r="J47" i="1"/>
  <c r="I51" i="8" l="1"/>
  <c r="I37" i="8"/>
  <c r="I48" i="8"/>
  <c r="I7" i="8"/>
  <c r="I50" i="8"/>
  <c r="I18" i="8"/>
  <c r="I33" i="8"/>
  <c r="I30" i="8"/>
  <c r="I27" i="8"/>
  <c r="I24" i="8"/>
  <c r="I41" i="8"/>
  <c r="I38" i="8"/>
  <c r="I35" i="8"/>
  <c r="I32" i="8"/>
  <c r="I45" i="8"/>
  <c r="I49" i="8"/>
  <c r="I46" i="8"/>
  <c r="I43" i="8"/>
  <c r="I40" i="8"/>
  <c r="I10" i="8"/>
  <c r="I31" i="8"/>
  <c r="I47" i="8"/>
  <c r="I44" i="8"/>
  <c r="I39" i="8"/>
  <c r="I12" i="8"/>
  <c r="I23" i="8"/>
  <c r="I20" i="8"/>
  <c r="I26" i="8"/>
  <c r="I9" i="8"/>
  <c r="I28" i="8"/>
  <c r="I36" i="8"/>
  <c r="I52" i="8"/>
  <c r="I13" i="8"/>
  <c r="I15" i="8"/>
  <c r="I17" i="8"/>
  <c r="I14" i="8"/>
  <c r="I11" i="8"/>
  <c r="I8" i="8"/>
  <c r="I21" i="8"/>
  <c r="I42" i="8"/>
  <c r="I25" i="8"/>
  <c r="I22" i="8"/>
  <c r="I19" i="8"/>
  <c r="I16" i="8"/>
  <c r="I29" i="8"/>
  <c r="I42" i="5"/>
  <c r="I48" i="5"/>
  <c r="I28" i="5"/>
  <c r="I21" i="5"/>
  <c r="I25" i="5"/>
  <c r="I26" i="5"/>
  <c r="I49" i="5"/>
  <c r="I44" i="5"/>
  <c r="I17" i="5"/>
  <c r="I35" i="5"/>
  <c r="I51" i="5"/>
  <c r="I15" i="5"/>
  <c r="I33" i="5"/>
  <c r="I52" i="5"/>
  <c r="I50" i="5"/>
  <c r="I30" i="5"/>
  <c r="I19" i="5"/>
  <c r="I37" i="5"/>
  <c r="I8" i="5"/>
  <c r="I16" i="5"/>
  <c r="I24" i="5"/>
  <c r="I46" i="5"/>
  <c r="I14" i="5"/>
  <c r="I23" i="5"/>
  <c r="I41" i="5"/>
  <c r="I22" i="5"/>
  <c r="I39" i="5"/>
  <c r="I36" i="5"/>
  <c r="I10" i="5"/>
  <c r="I32" i="5"/>
  <c r="I27" i="5"/>
  <c r="I43" i="5"/>
  <c r="I9" i="5"/>
  <c r="I12" i="5"/>
  <c r="I38" i="5"/>
  <c r="I18" i="5"/>
  <c r="I7" i="5"/>
  <c r="I29" i="5"/>
  <c r="I45" i="5"/>
  <c r="I11" i="5"/>
  <c r="I40" i="5"/>
  <c r="I20" i="5"/>
  <c r="I13" i="5"/>
  <c r="I31" i="5"/>
  <c r="I47" i="5"/>
  <c r="I40" i="4"/>
  <c r="I38" i="4"/>
  <c r="I51" i="4"/>
  <c r="I13" i="4"/>
  <c r="I26" i="4"/>
  <c r="I29" i="4"/>
  <c r="I31" i="4"/>
  <c r="I30" i="4"/>
  <c r="I32" i="4"/>
  <c r="I10" i="4"/>
  <c r="I33" i="4"/>
  <c r="I27" i="4"/>
  <c r="I28" i="4"/>
  <c r="I42" i="4"/>
  <c r="I9" i="4"/>
  <c r="I43" i="4"/>
  <c r="I36" i="4"/>
  <c r="I18" i="4"/>
  <c r="I35" i="4"/>
  <c r="I47" i="4"/>
  <c r="I37" i="4"/>
  <c r="I15" i="4"/>
  <c r="I49" i="4"/>
  <c r="I46" i="4"/>
  <c r="I48" i="4"/>
  <c r="I7" i="4"/>
  <c r="I39" i="4"/>
  <c r="I17" i="4"/>
  <c r="I12" i="4"/>
  <c r="I52" i="4"/>
  <c r="I50" i="4"/>
  <c r="I11" i="4"/>
  <c r="I41" i="4"/>
  <c r="I44" i="4"/>
  <c r="I19" i="4"/>
  <c r="I14" i="4"/>
  <c r="I20" i="4"/>
  <c r="I8" i="4"/>
  <c r="I21" i="4"/>
  <c r="I45" i="4"/>
  <c r="I23" i="4"/>
  <c r="I22" i="4"/>
  <c r="I24" i="4"/>
  <c r="I16" i="4"/>
  <c r="I25" i="4"/>
  <c r="E1152" i="3"/>
  <c r="F1152" i="3" s="1"/>
  <c r="E1024" i="3"/>
  <c r="F1024" i="3" s="1"/>
  <c r="E954" i="3"/>
  <c r="F954" i="3" s="1"/>
  <c r="E1249" i="3"/>
  <c r="F1249" i="3" s="1"/>
  <c r="E841" i="3"/>
  <c r="F841" i="3" s="1"/>
  <c r="E808" i="3"/>
  <c r="F808" i="3" s="1"/>
  <c r="E722" i="3"/>
  <c r="F722" i="3" s="1"/>
  <c r="E142" i="3"/>
  <c r="F142" i="3" s="1"/>
  <c r="E1088" i="3"/>
  <c r="F1088" i="3" s="1"/>
  <c r="E1285" i="3"/>
  <c r="F1285" i="3" s="1"/>
  <c r="E328" i="3"/>
  <c r="F328" i="3" s="1"/>
  <c r="E809" i="3"/>
  <c r="F809" i="3" s="1"/>
  <c r="E392" i="3"/>
  <c r="F392" i="3" s="1"/>
  <c r="E1083" i="3"/>
  <c r="F1083" i="3" s="1"/>
  <c r="E939" i="3"/>
  <c r="F939" i="3" s="1"/>
  <c r="E785" i="3"/>
  <c r="F785" i="3" s="1"/>
  <c r="E928" i="3"/>
  <c r="F928" i="3" s="1"/>
  <c r="E943" i="3"/>
  <c r="F943" i="3" s="1"/>
  <c r="E879" i="3"/>
  <c r="F879" i="3" s="1"/>
  <c r="E815" i="3"/>
  <c r="F815" i="3" s="1"/>
  <c r="E751" i="3"/>
  <c r="F751" i="3" s="1"/>
  <c r="E298" i="3"/>
  <c r="F298" i="3" s="1"/>
  <c r="E234" i="3"/>
  <c r="F234" i="3" s="1"/>
  <c r="E106" i="3"/>
  <c r="F106" i="3" s="1"/>
  <c r="E42" i="3"/>
  <c r="F42" i="3" s="1"/>
  <c r="E1031" i="3"/>
  <c r="F1031" i="3" s="1"/>
  <c r="E1156" i="3"/>
  <c r="F1156" i="3" s="1"/>
  <c r="E1261" i="3"/>
  <c r="F1261" i="3" s="1"/>
  <c r="E230" i="3"/>
  <c r="F230" i="3" s="1"/>
  <c r="E148" i="3"/>
  <c r="F148" i="3" s="1"/>
  <c r="E933" i="3"/>
  <c r="F933" i="3" s="1"/>
  <c r="E900" i="3"/>
  <c r="F900" i="3" s="1"/>
  <c r="E772" i="3"/>
  <c r="F772" i="3" s="1"/>
  <c r="E819" i="3"/>
  <c r="F819" i="3" s="1"/>
  <c r="E508" i="3"/>
  <c r="F508" i="3" s="1"/>
  <c r="E63" i="3"/>
  <c r="F63" i="3" s="1"/>
  <c r="E1258" i="3"/>
  <c r="F1258" i="3" s="1"/>
  <c r="E1194" i="3"/>
  <c r="F1194" i="3" s="1"/>
  <c r="E833" i="3"/>
  <c r="F833" i="3" s="1"/>
  <c r="E709" i="3"/>
  <c r="F709" i="3" s="1"/>
  <c r="E37" i="3"/>
  <c r="F37" i="3" s="1"/>
  <c r="E466" i="3"/>
  <c r="F466" i="3" s="1"/>
  <c r="E883" i="3"/>
  <c r="F883" i="3" s="1"/>
  <c r="E116" i="3"/>
  <c r="F116" i="3" s="1"/>
  <c r="E628" i="3"/>
  <c r="F628" i="3" s="1"/>
  <c r="E1081" i="3"/>
  <c r="F1081" i="3" s="1"/>
  <c r="E937" i="3"/>
  <c r="F937" i="3" s="1"/>
  <c r="E1263" i="3"/>
  <c r="F1263" i="3" s="1"/>
  <c r="E1198" i="3"/>
  <c r="F1198" i="3" s="1"/>
  <c r="E1071" i="3"/>
  <c r="F1071" i="3" s="1"/>
  <c r="E1118" i="3"/>
  <c r="F1118" i="3" s="1"/>
  <c r="E990" i="3"/>
  <c r="F990" i="3" s="1"/>
  <c r="E681" i="3"/>
  <c r="F681" i="3" s="1"/>
  <c r="E1271" i="3"/>
  <c r="F1271" i="3" s="1"/>
  <c r="E1164" i="3"/>
  <c r="F1164" i="3" s="1"/>
  <c r="E825" i="3"/>
  <c r="F825" i="3" s="1"/>
  <c r="E1236" i="3"/>
  <c r="F1236" i="3" s="1"/>
  <c r="E1173" i="3"/>
  <c r="F1173" i="3" s="1"/>
  <c r="E1115" i="3"/>
  <c r="F1115" i="3" s="1"/>
  <c r="E987" i="3"/>
  <c r="F987" i="3" s="1"/>
  <c r="E1266" i="3"/>
  <c r="F1266" i="3" s="1"/>
  <c r="E1202" i="3"/>
  <c r="F1202" i="3" s="1"/>
  <c r="E1138" i="3"/>
  <c r="F1138" i="3" s="1"/>
  <c r="E1074" i="3"/>
  <c r="F1074" i="3" s="1"/>
  <c r="E1010" i="3"/>
  <c r="F1010" i="3" s="1"/>
  <c r="E649" i="3"/>
  <c r="F649" i="3" s="1"/>
  <c r="E517" i="3"/>
  <c r="F517" i="3" s="1"/>
  <c r="E896" i="3"/>
  <c r="F896" i="3" s="1"/>
  <c r="E768" i="3"/>
  <c r="F768" i="3" s="1"/>
  <c r="E541" i="3"/>
  <c r="F541" i="3" s="1"/>
  <c r="E438" i="3"/>
  <c r="F438" i="3" s="1"/>
  <c r="E847" i="3"/>
  <c r="F847" i="3" s="1"/>
  <c r="E783" i="3"/>
  <c r="F783" i="3" s="1"/>
  <c r="E719" i="3"/>
  <c r="F719" i="3" s="1"/>
  <c r="E655" i="3"/>
  <c r="F655" i="3" s="1"/>
  <c r="E566" i="3"/>
  <c r="F566" i="3" s="1"/>
  <c r="E463" i="3"/>
  <c r="F463" i="3" s="1"/>
  <c r="E475" i="3"/>
  <c r="F475" i="3" s="1"/>
  <c r="E652" i="3"/>
  <c r="F652" i="3" s="1"/>
  <c r="E563" i="3"/>
  <c r="F563" i="3" s="1"/>
  <c r="E357" i="3"/>
  <c r="F357" i="3" s="1"/>
  <c r="E496" i="3"/>
  <c r="F496" i="3" s="1"/>
  <c r="E395" i="3"/>
  <c r="F395" i="3" s="1"/>
  <c r="E290" i="3"/>
  <c r="F290" i="3" s="1"/>
  <c r="E162" i="3"/>
  <c r="F162" i="3" s="1"/>
  <c r="E202" i="3"/>
  <c r="F202" i="3" s="1"/>
  <c r="E304" i="3"/>
  <c r="F304" i="3" s="1"/>
  <c r="E1014" i="3"/>
  <c r="F1014" i="3" s="1"/>
  <c r="E550" i="3"/>
  <c r="F550" i="3" s="1"/>
  <c r="E447" i="3"/>
  <c r="F447" i="3" s="1"/>
  <c r="E569" i="3"/>
  <c r="F569" i="3" s="1"/>
  <c r="E505" i="3"/>
  <c r="F505" i="3" s="1"/>
  <c r="E1269" i="3"/>
  <c r="F1269" i="3" s="1"/>
  <c r="E687" i="3"/>
  <c r="F687" i="3" s="1"/>
  <c r="E413" i="3"/>
  <c r="F413" i="3" s="1"/>
  <c r="E134" i="3"/>
  <c r="F134" i="3" s="1"/>
  <c r="E526" i="3"/>
  <c r="F526" i="3" s="1"/>
  <c r="E1254" i="3"/>
  <c r="F1254" i="3" s="1"/>
  <c r="E573" i="3"/>
  <c r="F573" i="3" s="1"/>
  <c r="E752" i="3"/>
  <c r="F752" i="3" s="1"/>
  <c r="E660" i="3"/>
  <c r="F660" i="3" s="1"/>
  <c r="E574" i="3"/>
  <c r="F574" i="3" s="1"/>
  <c r="E910" i="3"/>
  <c r="F910" i="3" s="1"/>
  <c r="E599" i="3"/>
  <c r="F599" i="3" s="1"/>
  <c r="E560" i="3"/>
  <c r="F560" i="3" s="1"/>
  <c r="E212" i="3"/>
  <c r="F212" i="3" s="1"/>
  <c r="E749" i="3"/>
  <c r="F749" i="3" s="1"/>
  <c r="E685" i="3"/>
  <c r="F685" i="3" s="1"/>
  <c r="E446" i="3"/>
  <c r="F446" i="3" s="1"/>
  <c r="E1159" i="3"/>
  <c r="F1159" i="3" s="1"/>
  <c r="E1206" i="3"/>
  <c r="F1206" i="3" s="1"/>
  <c r="E1239" i="3"/>
  <c r="F1239" i="3" s="1"/>
  <c r="E293" i="3"/>
  <c r="F293" i="3" s="1"/>
  <c r="E1116" i="3"/>
  <c r="F1116" i="3" s="1"/>
  <c r="E101" i="3"/>
  <c r="F101" i="3" s="1"/>
  <c r="E1177" i="3"/>
  <c r="F1177" i="3" s="1"/>
  <c r="E1113" i="3"/>
  <c r="F1113" i="3" s="1"/>
  <c r="E1049" i="3"/>
  <c r="F1049" i="3" s="1"/>
  <c r="E985" i="3"/>
  <c r="F985" i="3" s="1"/>
  <c r="E728" i="3"/>
  <c r="F728" i="3" s="1"/>
  <c r="E711" i="3"/>
  <c r="F711" i="3" s="1"/>
  <c r="E452" i="3"/>
  <c r="F452" i="3" s="1"/>
  <c r="E349" i="3"/>
  <c r="F349" i="3" s="1"/>
  <c r="E579" i="3"/>
  <c r="F579" i="3" s="1"/>
  <c r="E862" i="3"/>
  <c r="F862" i="3" s="1"/>
  <c r="E589" i="3"/>
  <c r="F589" i="3" s="1"/>
  <c r="E472" i="3"/>
  <c r="F472" i="3" s="1"/>
  <c r="E371" i="3"/>
  <c r="F371" i="3" s="1"/>
  <c r="E529" i="3"/>
  <c r="F529" i="3" s="1"/>
  <c r="E465" i="3"/>
  <c r="F465" i="3" s="1"/>
  <c r="E929" i="3"/>
  <c r="F929" i="3" s="1"/>
  <c r="E1140" i="3"/>
  <c r="F1140" i="3" s="1"/>
  <c r="E1110" i="3"/>
  <c r="F1110" i="3" s="1"/>
  <c r="E998" i="3"/>
  <c r="F998" i="3" s="1"/>
  <c r="E1130" i="3"/>
  <c r="F1130" i="3" s="1"/>
  <c r="E1065" i="3"/>
  <c r="F1065" i="3" s="1"/>
  <c r="E1002" i="3"/>
  <c r="F1002" i="3" s="1"/>
  <c r="E913" i="3"/>
  <c r="F913" i="3" s="1"/>
  <c r="E621" i="3"/>
  <c r="F621" i="3" s="1"/>
  <c r="E351" i="3"/>
  <c r="F351" i="3" s="1"/>
  <c r="E934" i="3"/>
  <c r="F934" i="3" s="1"/>
  <c r="E636" i="3"/>
  <c r="F636" i="3" s="1"/>
  <c r="E435" i="3"/>
  <c r="F435" i="3" s="1"/>
  <c r="E1289" i="3"/>
  <c r="F1289" i="3" s="1"/>
  <c r="E793" i="3"/>
  <c r="F793" i="3" s="1"/>
  <c r="E756" i="3"/>
  <c r="F756" i="3" s="1"/>
  <c r="E692" i="3"/>
  <c r="F692" i="3" s="1"/>
  <c r="E511" i="3"/>
  <c r="F511" i="3" s="1"/>
  <c r="E658" i="3"/>
  <c r="F658" i="3" s="1"/>
  <c r="E631" i="3"/>
  <c r="F631" i="3" s="1"/>
  <c r="E1134" i="3"/>
  <c r="F1134" i="3" s="1"/>
  <c r="E1006" i="3"/>
  <c r="F1006" i="3" s="1"/>
  <c r="E1181" i="3"/>
  <c r="F1181" i="3" s="1"/>
  <c r="E1053" i="3"/>
  <c r="F1053" i="3" s="1"/>
  <c r="E904" i="3"/>
  <c r="F904" i="3" s="1"/>
  <c r="E776" i="3"/>
  <c r="F776" i="3" s="1"/>
  <c r="E919" i="3"/>
  <c r="F919" i="3" s="1"/>
  <c r="E855" i="3"/>
  <c r="F855" i="3" s="1"/>
  <c r="E791" i="3"/>
  <c r="F791" i="3" s="1"/>
  <c r="E663" i="3"/>
  <c r="F663" i="3" s="1"/>
  <c r="E477" i="3"/>
  <c r="F477" i="3" s="1"/>
  <c r="E374" i="3"/>
  <c r="F374" i="3" s="1"/>
  <c r="E70" i="3"/>
  <c r="F70" i="3" s="1"/>
  <c r="E798" i="3"/>
  <c r="F798" i="3" s="1"/>
  <c r="E734" i="3"/>
  <c r="F734" i="3" s="1"/>
  <c r="E670" i="3"/>
  <c r="F670" i="3" s="1"/>
  <c r="E487" i="3"/>
  <c r="F487" i="3" s="1"/>
  <c r="E613" i="3"/>
  <c r="F613" i="3" s="1"/>
  <c r="E407" i="3"/>
  <c r="F407" i="3" s="1"/>
  <c r="E126" i="3"/>
  <c r="F126" i="3" s="1"/>
  <c r="E235" i="3"/>
  <c r="F235" i="3" s="1"/>
  <c r="E171" i="3"/>
  <c r="F171" i="3" s="1"/>
  <c r="E43" i="3"/>
  <c r="F43" i="3" s="1"/>
  <c r="E594" i="3"/>
  <c r="F594" i="3" s="1"/>
  <c r="E402" i="3"/>
  <c r="F402" i="3" s="1"/>
  <c r="E274" i="3"/>
  <c r="F274" i="3" s="1"/>
  <c r="E210" i="3"/>
  <c r="F210" i="3" s="1"/>
  <c r="E82" i="3"/>
  <c r="F82" i="3" s="1"/>
  <c r="E18" i="3"/>
  <c r="F18" i="3" s="1"/>
  <c r="E958" i="3"/>
  <c r="F958" i="3" s="1"/>
  <c r="E1237" i="3"/>
  <c r="F1237" i="3" s="1"/>
  <c r="E1165" i="3"/>
  <c r="F1165" i="3" s="1"/>
  <c r="E1235" i="3"/>
  <c r="F1235" i="3" s="1"/>
  <c r="E1161" i="3"/>
  <c r="F1161" i="3" s="1"/>
  <c r="E1097" i="3"/>
  <c r="F1097" i="3" s="1"/>
  <c r="E1033" i="3"/>
  <c r="F1033" i="3" s="1"/>
  <c r="E962" i="3"/>
  <c r="F962" i="3" s="1"/>
  <c r="E850" i="3"/>
  <c r="F850" i="3" s="1"/>
  <c r="E78" i="3"/>
  <c r="F78" i="3" s="1"/>
  <c r="E158" i="3"/>
  <c r="F158" i="3" s="1"/>
  <c r="E22" i="3"/>
  <c r="F22" i="3" s="1"/>
  <c r="E485" i="3"/>
  <c r="F485" i="3" s="1"/>
  <c r="E254" i="3"/>
  <c r="F254" i="3" s="1"/>
  <c r="E441" i="3"/>
  <c r="F441" i="3" s="1"/>
  <c r="E377" i="3"/>
  <c r="F377" i="3" s="1"/>
  <c r="E893" i="3"/>
  <c r="F893" i="3" s="1"/>
  <c r="E269" i="3"/>
  <c r="F269" i="3" s="1"/>
  <c r="E1111" i="3"/>
  <c r="F1111" i="3" s="1"/>
  <c r="E1157" i="3"/>
  <c r="F1157" i="3" s="1"/>
  <c r="E493" i="3"/>
  <c r="F493" i="3" s="1"/>
  <c r="E700" i="3"/>
  <c r="F700" i="3" s="1"/>
  <c r="E1277" i="3"/>
  <c r="F1277" i="3" s="1"/>
  <c r="E1084" i="3"/>
  <c r="F1084" i="3" s="1"/>
  <c r="E826" i="3"/>
  <c r="F826" i="3" s="1"/>
  <c r="E830" i="3"/>
  <c r="F830" i="3" s="1"/>
  <c r="E766" i="3"/>
  <c r="F766" i="3" s="1"/>
  <c r="E702" i="3"/>
  <c r="F702" i="3" s="1"/>
  <c r="E334" i="3"/>
  <c r="F334" i="3" s="1"/>
  <c r="E174" i="3"/>
  <c r="F174" i="3" s="1"/>
  <c r="E570" i="3"/>
  <c r="F570" i="3" s="1"/>
  <c r="E1172" i="3"/>
  <c r="F1172" i="3" s="1"/>
  <c r="E672" i="3"/>
  <c r="F672" i="3" s="1"/>
  <c r="E885" i="3"/>
  <c r="F885" i="3" s="1"/>
  <c r="E964" i="3"/>
  <c r="F964" i="3" s="1"/>
  <c r="E342" i="3"/>
  <c r="F342" i="3" s="1"/>
  <c r="E189" i="3"/>
  <c r="F189" i="3" s="1"/>
  <c r="E259" i="3"/>
  <c r="F259" i="3" s="1"/>
  <c r="E195" i="3"/>
  <c r="F195" i="3" s="1"/>
  <c r="E131" i="3"/>
  <c r="F131" i="3" s="1"/>
  <c r="E67" i="3"/>
  <c r="F67" i="3" s="1"/>
  <c r="E618" i="3"/>
  <c r="F618" i="3" s="1"/>
  <c r="E490" i="3"/>
  <c r="F490" i="3" s="1"/>
  <c r="E362" i="3"/>
  <c r="F362" i="3" s="1"/>
  <c r="E609" i="3"/>
  <c r="F609" i="3" s="1"/>
  <c r="E545" i="3"/>
  <c r="F545" i="3" s="1"/>
  <c r="E417" i="3"/>
  <c r="F417" i="3" s="1"/>
  <c r="E353" i="3"/>
  <c r="F353" i="3" s="1"/>
  <c r="E1288" i="3"/>
  <c r="F1288" i="3" s="1"/>
  <c r="E1223" i="3"/>
  <c r="F1223" i="3" s="1"/>
  <c r="E1125" i="3"/>
  <c r="F1125" i="3" s="1"/>
  <c r="E1131" i="3"/>
  <c r="F1131" i="3" s="1"/>
  <c r="E1003" i="3"/>
  <c r="F1003" i="3" s="1"/>
  <c r="E1185" i="3"/>
  <c r="F1185" i="3" s="1"/>
  <c r="E770" i="3"/>
  <c r="F770" i="3" s="1"/>
  <c r="E583" i="3"/>
  <c r="F583" i="3" s="1"/>
  <c r="E310" i="3"/>
  <c r="F310" i="3" s="1"/>
  <c r="E222" i="3"/>
  <c r="F222" i="3" s="1"/>
  <c r="E870" i="3"/>
  <c r="F870" i="3" s="1"/>
  <c r="E806" i="3"/>
  <c r="F806" i="3" s="1"/>
  <c r="E742" i="3"/>
  <c r="F742" i="3" s="1"/>
  <c r="E678" i="3"/>
  <c r="F678" i="3" s="1"/>
  <c r="E110" i="3"/>
  <c r="F110" i="3" s="1"/>
  <c r="E316" i="3"/>
  <c r="F316" i="3" s="1"/>
  <c r="E491" i="3"/>
  <c r="F491" i="3" s="1"/>
  <c r="E406" i="3"/>
  <c r="F406" i="3" s="1"/>
  <c r="E486" i="3"/>
  <c r="F486" i="3" s="1"/>
  <c r="E590" i="3"/>
  <c r="F590" i="3" s="1"/>
  <c r="E378" i="3"/>
  <c r="F378" i="3" s="1"/>
  <c r="E1231" i="3"/>
  <c r="F1231" i="3" s="1"/>
  <c r="E1112" i="3"/>
  <c r="F1112" i="3" s="1"/>
  <c r="E1072" i="3"/>
  <c r="F1072" i="3" s="1"/>
  <c r="E456" i="3"/>
  <c r="F456" i="3" s="1"/>
  <c r="E940" i="3"/>
  <c r="F940" i="3" s="1"/>
  <c r="E963" i="3"/>
  <c r="F963" i="3" s="1"/>
  <c r="E79" i="3"/>
  <c r="F79" i="3" s="1"/>
  <c r="E620" i="3"/>
  <c r="F620" i="3" s="1"/>
  <c r="E294" i="3"/>
  <c r="F294" i="3" s="1"/>
  <c r="E580" i="3"/>
  <c r="F580" i="3" s="1"/>
  <c r="E132" i="3"/>
  <c r="F132" i="3" s="1"/>
  <c r="E571" i="3"/>
  <c r="F571" i="3" s="1"/>
  <c r="E886" i="3"/>
  <c r="F886" i="3" s="1"/>
  <c r="E389" i="3"/>
  <c r="F389" i="3" s="1"/>
  <c r="E1005" i="3"/>
  <c r="F1005" i="3" s="1"/>
  <c r="E391" i="3"/>
  <c r="F391" i="3" s="1"/>
  <c r="E1012" i="3"/>
  <c r="F1012" i="3" s="1"/>
  <c r="E761" i="3"/>
  <c r="F761" i="3" s="1"/>
  <c r="E876" i="3"/>
  <c r="F876" i="3" s="1"/>
  <c r="E1103" i="3"/>
  <c r="F1103" i="3" s="1"/>
  <c r="E1150" i="3"/>
  <c r="F1150" i="3" s="1"/>
  <c r="E1022" i="3"/>
  <c r="F1022" i="3" s="1"/>
  <c r="E1296" i="3"/>
  <c r="F1296" i="3" s="1"/>
  <c r="E906" i="3"/>
  <c r="F906" i="3" s="1"/>
  <c r="E1253" i="3"/>
  <c r="F1253" i="3" s="1"/>
  <c r="E1189" i="3"/>
  <c r="F1189" i="3" s="1"/>
  <c r="E1124" i="3"/>
  <c r="F1124" i="3" s="1"/>
  <c r="E1060" i="3"/>
  <c r="F1060" i="3" s="1"/>
  <c r="E996" i="3"/>
  <c r="F996" i="3" s="1"/>
  <c r="E327" i="3"/>
  <c r="F327" i="3" s="1"/>
  <c r="E1195" i="3"/>
  <c r="F1195" i="3" s="1"/>
  <c r="E352" i="3"/>
  <c r="F352" i="3" s="1"/>
  <c r="E1282" i="3"/>
  <c r="F1282" i="3" s="1"/>
  <c r="E1218" i="3"/>
  <c r="F1218" i="3" s="1"/>
  <c r="E1154" i="3"/>
  <c r="F1154" i="3" s="1"/>
  <c r="E1090" i="3"/>
  <c r="F1090" i="3" s="1"/>
  <c r="E1026" i="3"/>
  <c r="F1026" i="3" s="1"/>
  <c r="E835" i="3"/>
  <c r="F835" i="3" s="1"/>
  <c r="E690" i="3"/>
  <c r="F690" i="3" s="1"/>
  <c r="E881" i="3"/>
  <c r="F881" i="3" s="1"/>
  <c r="E747" i="3"/>
  <c r="F747" i="3" s="1"/>
  <c r="E544" i="3"/>
  <c r="F544" i="3" s="1"/>
  <c r="E363" i="3"/>
  <c r="F363" i="3" s="1"/>
  <c r="E387" i="3"/>
  <c r="F387" i="3" s="1"/>
  <c r="E1079" i="3"/>
  <c r="F1079" i="3" s="1"/>
  <c r="E426" i="3"/>
  <c r="F426" i="3" s="1"/>
  <c r="E554" i="3"/>
  <c r="F554" i="3" s="1"/>
  <c r="E942" i="3"/>
  <c r="F942" i="3" s="1"/>
  <c r="E797" i="3"/>
  <c r="F797" i="3" s="1"/>
  <c r="E453" i="3"/>
  <c r="F453" i="3" s="1"/>
  <c r="E1205" i="3"/>
  <c r="F1205" i="3" s="1"/>
  <c r="E1046" i="3"/>
  <c r="F1046" i="3" s="1"/>
  <c r="E1233" i="3"/>
  <c r="F1233" i="3" s="1"/>
  <c r="E1044" i="3"/>
  <c r="F1044" i="3" s="1"/>
  <c r="E874" i="3"/>
  <c r="F874" i="3" s="1"/>
  <c r="E206" i="3"/>
  <c r="F206" i="3" s="1"/>
  <c r="E15" i="3"/>
  <c r="F15" i="3" s="1"/>
  <c r="E1243" i="3"/>
  <c r="F1243" i="3" s="1"/>
  <c r="E1179" i="3"/>
  <c r="F1179" i="3" s="1"/>
  <c r="E1051" i="3"/>
  <c r="F1051" i="3" s="1"/>
  <c r="E558" i="3"/>
  <c r="F558" i="3" s="1"/>
  <c r="E1169" i="3"/>
  <c r="F1169" i="3" s="1"/>
  <c r="E1105" i="3"/>
  <c r="F1105" i="3" s="1"/>
  <c r="E1041" i="3"/>
  <c r="F1041" i="3" s="1"/>
  <c r="E974" i="3"/>
  <c r="F974" i="3" s="1"/>
  <c r="E866" i="3"/>
  <c r="F866" i="3" s="1"/>
  <c r="E730" i="3"/>
  <c r="F730" i="3" s="1"/>
  <c r="E849" i="3"/>
  <c r="F849" i="3" s="1"/>
  <c r="E706" i="3"/>
  <c r="F706" i="3" s="1"/>
  <c r="E479" i="3"/>
  <c r="F479" i="3" s="1"/>
  <c r="E960" i="3"/>
  <c r="F960" i="3" s="1"/>
  <c r="E832" i="3"/>
  <c r="F832" i="3" s="1"/>
  <c r="E704" i="3"/>
  <c r="F704" i="3" s="1"/>
  <c r="E181" i="3"/>
  <c r="F181" i="3" s="1"/>
  <c r="E854" i="3"/>
  <c r="F854" i="3" s="1"/>
  <c r="E790" i="3"/>
  <c r="F790" i="3" s="1"/>
  <c r="E726" i="3"/>
  <c r="F726" i="3" s="1"/>
  <c r="E662" i="3"/>
  <c r="F662" i="3" s="1"/>
  <c r="E238" i="3"/>
  <c r="F238" i="3" s="1"/>
  <c r="E68" i="3"/>
  <c r="F68" i="3" s="1"/>
  <c r="E717" i="3"/>
  <c r="F717" i="3" s="1"/>
  <c r="E461" i="3"/>
  <c r="F461" i="3" s="1"/>
  <c r="E214" i="3"/>
  <c r="F214" i="3" s="1"/>
  <c r="E44" i="3"/>
  <c r="F44" i="3" s="1"/>
  <c r="E804" i="3"/>
  <c r="F804" i="3" s="1"/>
  <c r="E163" i="3"/>
  <c r="F163" i="3" s="1"/>
  <c r="E99" i="3"/>
  <c r="F99" i="3" s="1"/>
  <c r="E35" i="3"/>
  <c r="F35" i="3" s="1"/>
  <c r="E586" i="3"/>
  <c r="F586" i="3" s="1"/>
  <c r="E521" i="3"/>
  <c r="F521" i="3" s="1"/>
  <c r="E457" i="3"/>
  <c r="F457" i="3" s="1"/>
  <c r="E393" i="3"/>
  <c r="F393" i="3" s="1"/>
  <c r="E330" i="3"/>
  <c r="F330" i="3" s="1"/>
  <c r="E266" i="3"/>
  <c r="F266" i="3" s="1"/>
  <c r="E138" i="3"/>
  <c r="F138" i="3" s="1"/>
  <c r="E74" i="3"/>
  <c r="F74" i="3" s="1"/>
  <c r="E10" i="3"/>
  <c r="F10" i="3" s="1"/>
  <c r="E577" i="3"/>
  <c r="F577" i="3" s="1"/>
  <c r="E513" i="3"/>
  <c r="F513" i="3" s="1"/>
  <c r="E449" i="3"/>
  <c r="F449" i="3" s="1"/>
  <c r="E385" i="3"/>
  <c r="F385" i="3" s="1"/>
  <c r="E321" i="3"/>
  <c r="F321" i="3" s="1"/>
  <c r="E257" i="3"/>
  <c r="F257" i="3" s="1"/>
  <c r="E193" i="3"/>
  <c r="F193" i="3" s="1"/>
  <c r="E129" i="3"/>
  <c r="F129" i="3" s="1"/>
  <c r="E65" i="3"/>
  <c r="F65" i="3" s="1"/>
  <c r="E240" i="3"/>
  <c r="F240" i="3" s="1"/>
  <c r="E176" i="3"/>
  <c r="F176" i="3" s="1"/>
  <c r="E112" i="3"/>
  <c r="F112" i="3" s="1"/>
  <c r="E48" i="3"/>
  <c r="F48" i="3" s="1"/>
  <c r="E125" i="3"/>
  <c r="F125" i="3" s="1"/>
  <c r="E821" i="3"/>
  <c r="F821" i="3" s="1"/>
  <c r="E1117" i="3"/>
  <c r="F1117" i="3" s="1"/>
  <c r="E1176" i="3"/>
  <c r="F1176" i="3" s="1"/>
  <c r="E1048" i="3"/>
  <c r="F1048" i="3" s="1"/>
  <c r="E1136" i="3"/>
  <c r="F1136" i="3" s="1"/>
  <c r="E1008" i="3"/>
  <c r="F1008" i="3" s="1"/>
  <c r="E875" i="3"/>
  <c r="F875" i="3" s="1"/>
  <c r="E608" i="3"/>
  <c r="F608" i="3" s="1"/>
  <c r="E1292" i="3"/>
  <c r="F1292" i="3" s="1"/>
  <c r="E1228" i="3"/>
  <c r="F1228" i="3" s="1"/>
  <c r="E1100" i="3"/>
  <c r="F1100" i="3" s="1"/>
  <c r="E858" i="3"/>
  <c r="F858" i="3" s="1"/>
  <c r="E721" i="3"/>
  <c r="F721" i="3" s="1"/>
  <c r="E119" i="3"/>
  <c r="F119" i="3" s="1"/>
  <c r="E1171" i="3"/>
  <c r="F1171" i="3" s="1"/>
  <c r="E1043" i="3"/>
  <c r="F1043" i="3" s="1"/>
  <c r="E977" i="3"/>
  <c r="F977" i="3" s="1"/>
  <c r="E737" i="3"/>
  <c r="F737" i="3" s="1"/>
  <c r="E520" i="3"/>
  <c r="F520" i="3" s="1"/>
  <c r="E183" i="3"/>
  <c r="F183" i="3" s="1"/>
  <c r="E707" i="3"/>
  <c r="F707" i="3" s="1"/>
  <c r="E480" i="3"/>
  <c r="F480" i="3" s="1"/>
  <c r="E683" i="3"/>
  <c r="F683" i="3" s="1"/>
  <c r="E246" i="3"/>
  <c r="F246" i="3" s="1"/>
  <c r="E952" i="3"/>
  <c r="F952" i="3" s="1"/>
  <c r="E888" i="3"/>
  <c r="F888" i="3" s="1"/>
  <c r="E824" i="3"/>
  <c r="F824" i="3" s="1"/>
  <c r="E696" i="3"/>
  <c r="F696" i="3" s="1"/>
  <c r="E427" i="3"/>
  <c r="F427" i="3" s="1"/>
  <c r="E325" i="3"/>
  <c r="F325" i="3" s="1"/>
  <c r="E967" i="3"/>
  <c r="F967" i="3" s="1"/>
  <c r="E903" i="3"/>
  <c r="F903" i="3" s="1"/>
  <c r="E839" i="3"/>
  <c r="F839" i="3" s="1"/>
  <c r="E775" i="3"/>
  <c r="F775" i="3" s="1"/>
  <c r="E647" i="3"/>
  <c r="F647" i="3" s="1"/>
  <c r="E451" i="3"/>
  <c r="F451" i="3" s="1"/>
  <c r="E198" i="3"/>
  <c r="F198" i="3" s="1"/>
  <c r="E846" i="3"/>
  <c r="F846" i="3" s="1"/>
  <c r="E462" i="3"/>
  <c r="F462" i="3" s="1"/>
  <c r="E644" i="3"/>
  <c r="F644" i="3" s="1"/>
  <c r="E219" i="3"/>
  <c r="F219" i="3" s="1"/>
  <c r="E155" i="3"/>
  <c r="F155" i="3" s="1"/>
  <c r="E91" i="3"/>
  <c r="F91" i="3" s="1"/>
  <c r="E578" i="3"/>
  <c r="F578" i="3" s="1"/>
  <c r="E514" i="3"/>
  <c r="F514" i="3" s="1"/>
  <c r="E450" i="3"/>
  <c r="F450" i="3" s="1"/>
  <c r="E386" i="3"/>
  <c r="F386" i="3" s="1"/>
  <c r="E322" i="3"/>
  <c r="F322" i="3" s="1"/>
  <c r="E258" i="3"/>
  <c r="F258" i="3" s="1"/>
  <c r="E194" i="3"/>
  <c r="F194" i="3" s="1"/>
  <c r="E66" i="3"/>
  <c r="F66" i="3" s="1"/>
  <c r="E633" i="3"/>
  <c r="F633" i="3" s="1"/>
  <c r="E313" i="3"/>
  <c r="F313" i="3" s="1"/>
  <c r="E249" i="3"/>
  <c r="F249" i="3" s="1"/>
  <c r="E185" i="3"/>
  <c r="F185" i="3" s="1"/>
  <c r="E121" i="3"/>
  <c r="F121" i="3" s="1"/>
  <c r="E57" i="3"/>
  <c r="F57" i="3" s="1"/>
  <c r="E296" i="3"/>
  <c r="F296" i="3" s="1"/>
  <c r="E232" i="3"/>
  <c r="F232" i="3" s="1"/>
  <c r="E168" i="3"/>
  <c r="F168" i="3" s="1"/>
  <c r="E104" i="3"/>
  <c r="F104" i="3" s="1"/>
  <c r="E40" i="3"/>
  <c r="F40" i="3" s="1"/>
  <c r="E13" i="3"/>
  <c r="F13" i="3" s="1"/>
  <c r="E133" i="3"/>
  <c r="F133" i="3" s="1"/>
  <c r="E130" i="3"/>
  <c r="F130" i="3" s="1"/>
  <c r="E671" i="3"/>
  <c r="F671" i="3" s="1"/>
  <c r="E1208" i="3"/>
  <c r="F1208" i="3" s="1"/>
  <c r="E509" i="3"/>
  <c r="F509" i="3" s="1"/>
  <c r="E141" i="3"/>
  <c r="F141" i="3" s="1"/>
  <c r="E530" i="3"/>
  <c r="F530" i="3" s="1"/>
  <c r="E784" i="3"/>
  <c r="F784" i="3" s="1"/>
  <c r="E918" i="3"/>
  <c r="F918" i="3" s="1"/>
  <c r="E669" i="3"/>
  <c r="F669" i="3" s="1"/>
  <c r="E1273" i="3"/>
  <c r="F1273" i="3" s="1"/>
  <c r="E55" i="3"/>
  <c r="F55" i="3" s="1"/>
  <c r="E899" i="3"/>
  <c r="F899" i="3" s="1"/>
  <c r="E771" i="3"/>
  <c r="F771" i="3" s="1"/>
  <c r="E584" i="3"/>
  <c r="F584" i="3" s="1"/>
  <c r="E619" i="3"/>
  <c r="F619" i="3" s="1"/>
  <c r="E516" i="3"/>
  <c r="F516" i="3" s="1"/>
  <c r="E196" i="3"/>
  <c r="F196" i="3" s="1"/>
  <c r="E1142" i="3"/>
  <c r="F1142" i="3" s="1"/>
  <c r="E811" i="3"/>
  <c r="F811" i="3" s="1"/>
  <c r="E1143" i="3"/>
  <c r="F1143" i="3" s="1"/>
  <c r="E889" i="3"/>
  <c r="F889" i="3" s="1"/>
  <c r="E1297" i="3"/>
  <c r="F1297" i="3" s="1"/>
  <c r="E836" i="3"/>
  <c r="F836" i="3" s="1"/>
  <c r="E642" i="3"/>
  <c r="F642" i="3" s="1"/>
  <c r="E525" i="3"/>
  <c r="F525" i="3" s="1"/>
  <c r="E318" i="3"/>
  <c r="F318" i="3" s="1"/>
  <c r="E150" i="3"/>
  <c r="F150" i="3" s="1"/>
  <c r="E396" i="3"/>
  <c r="F396" i="3" s="1"/>
  <c r="E306" i="3"/>
  <c r="F306" i="3" s="1"/>
  <c r="E297" i="3"/>
  <c r="F297" i="3" s="1"/>
  <c r="E233" i="3"/>
  <c r="F233" i="3" s="1"/>
  <c r="E169" i="3"/>
  <c r="F169" i="3" s="1"/>
  <c r="E105" i="3"/>
  <c r="F105" i="3" s="1"/>
  <c r="E41" i="3"/>
  <c r="F41" i="3" s="1"/>
  <c r="E280" i="3"/>
  <c r="F280" i="3" s="1"/>
  <c r="E216" i="3"/>
  <c r="F216" i="3" s="1"/>
  <c r="E152" i="3"/>
  <c r="F152" i="3" s="1"/>
  <c r="E88" i="3"/>
  <c r="F88" i="3" s="1"/>
  <c r="E24" i="3"/>
  <c r="F24" i="3" s="1"/>
  <c r="E372" i="3"/>
  <c r="F372" i="3" s="1"/>
  <c r="E373" i="3"/>
  <c r="F373" i="3" s="1"/>
  <c r="E911" i="3"/>
  <c r="F911" i="3" s="1"/>
  <c r="E981" i="3"/>
  <c r="F981" i="3" s="1"/>
  <c r="E654" i="3"/>
  <c r="F654" i="3" s="1"/>
  <c r="E77" i="3"/>
  <c r="F77" i="3" s="1"/>
  <c r="E221" i="3"/>
  <c r="F221" i="3" s="1"/>
  <c r="E390" i="3"/>
  <c r="F390" i="3" s="1"/>
  <c r="E518" i="3"/>
  <c r="F518" i="3" s="1"/>
  <c r="E218" i="3"/>
  <c r="F218" i="3" s="1"/>
  <c r="E562" i="3"/>
  <c r="F562" i="3" s="1"/>
  <c r="E442" i="3"/>
  <c r="F442" i="3" s="1"/>
  <c r="E585" i="3"/>
  <c r="F585" i="3" s="1"/>
  <c r="E720" i="3"/>
  <c r="F720" i="3" s="1"/>
  <c r="E823" i="3"/>
  <c r="F823" i="3" s="1"/>
  <c r="E1045" i="3"/>
  <c r="F1045" i="3" s="1"/>
  <c r="E653" i="3"/>
  <c r="F653" i="3" s="1"/>
  <c r="E381" i="3"/>
  <c r="F381" i="3" s="1"/>
  <c r="E716" i="3"/>
  <c r="F716" i="3" s="1"/>
  <c r="E989" i="3"/>
  <c r="F989" i="3" s="1"/>
  <c r="E1174" i="3"/>
  <c r="F1174" i="3" s="1"/>
  <c r="E1062" i="3"/>
  <c r="F1062" i="3" s="1"/>
  <c r="E999" i="3"/>
  <c r="F999" i="3" s="1"/>
  <c r="E1270" i="3"/>
  <c r="F1270" i="3" s="1"/>
  <c r="E1032" i="3"/>
  <c r="F1032" i="3" s="1"/>
  <c r="E468" i="3"/>
  <c r="F468" i="3" s="1"/>
  <c r="E469" i="3"/>
  <c r="F469" i="3" s="1"/>
  <c r="E1238" i="3"/>
  <c r="F1238" i="3" s="1"/>
  <c r="E1167" i="3"/>
  <c r="F1167" i="3" s="1"/>
  <c r="E1039" i="3"/>
  <c r="F1039" i="3" s="1"/>
  <c r="E1086" i="3"/>
  <c r="F1086" i="3" s="1"/>
  <c r="E945" i="3"/>
  <c r="F945" i="3" s="1"/>
  <c r="E1246" i="3"/>
  <c r="F1246" i="3" s="1"/>
  <c r="E1284" i="3"/>
  <c r="F1284" i="3" s="1"/>
  <c r="E1220" i="3"/>
  <c r="F1220" i="3" s="1"/>
  <c r="E1092" i="3"/>
  <c r="F1092" i="3" s="1"/>
  <c r="E1028" i="3"/>
  <c r="F1028" i="3" s="1"/>
  <c r="E842" i="3"/>
  <c r="F842" i="3" s="1"/>
  <c r="E698" i="3"/>
  <c r="F698" i="3" s="1"/>
  <c r="E36" i="3"/>
  <c r="F36" i="3" s="1"/>
  <c r="E1291" i="3"/>
  <c r="F1291" i="3" s="1"/>
  <c r="E1227" i="3"/>
  <c r="F1227" i="3" s="1"/>
  <c r="E1163" i="3"/>
  <c r="F1163" i="3" s="1"/>
  <c r="E1099" i="3"/>
  <c r="F1099" i="3" s="1"/>
  <c r="E1035" i="3"/>
  <c r="F1035" i="3" s="1"/>
  <c r="E965" i="3"/>
  <c r="F965" i="3" s="1"/>
  <c r="E852" i="3"/>
  <c r="F852" i="3" s="1"/>
  <c r="E853" i="3"/>
  <c r="F853" i="3" s="1"/>
  <c r="E714" i="3"/>
  <c r="F714" i="3" s="1"/>
  <c r="E100" i="3"/>
  <c r="F100" i="3" s="1"/>
  <c r="E1250" i="3"/>
  <c r="F1250" i="3" s="1"/>
  <c r="E1186" i="3"/>
  <c r="F1186" i="3" s="1"/>
  <c r="E1122" i="3"/>
  <c r="F1122" i="3" s="1"/>
  <c r="E1058" i="3"/>
  <c r="F1058" i="3" s="1"/>
  <c r="E994" i="3"/>
  <c r="F994" i="3" s="1"/>
  <c r="E311" i="3"/>
  <c r="F311" i="3" s="1"/>
  <c r="E1153" i="3"/>
  <c r="F1153" i="3" s="1"/>
  <c r="E1089" i="3"/>
  <c r="F1089" i="3" s="1"/>
  <c r="E1025" i="3"/>
  <c r="F1025" i="3" s="1"/>
  <c r="E949" i="3"/>
  <c r="F949" i="3" s="1"/>
  <c r="E834" i="3"/>
  <c r="F834" i="3" s="1"/>
  <c r="E689" i="3"/>
  <c r="F689" i="3" s="1"/>
  <c r="E817" i="3"/>
  <c r="F817" i="3" s="1"/>
  <c r="E665" i="3"/>
  <c r="F665" i="3" s="1"/>
  <c r="E54" i="3"/>
  <c r="F54" i="3" s="1"/>
  <c r="E944" i="3"/>
  <c r="F944" i="3" s="1"/>
  <c r="E880" i="3"/>
  <c r="F880" i="3" s="1"/>
  <c r="E816" i="3"/>
  <c r="F816" i="3" s="1"/>
  <c r="E959" i="3"/>
  <c r="F959" i="3" s="1"/>
  <c r="E895" i="3"/>
  <c r="F895" i="3" s="1"/>
  <c r="E831" i="3"/>
  <c r="F831" i="3" s="1"/>
  <c r="E639" i="3"/>
  <c r="F639" i="3" s="1"/>
  <c r="E540" i="3"/>
  <c r="F540" i="3" s="1"/>
  <c r="E335" i="3"/>
  <c r="F335" i="3" s="1"/>
  <c r="E175" i="3"/>
  <c r="F175" i="3" s="1"/>
  <c r="E6" i="3"/>
  <c r="F6" i="3" s="1"/>
  <c r="E774" i="3"/>
  <c r="F774" i="3" s="1"/>
  <c r="E710" i="3"/>
  <c r="F710" i="3" s="1"/>
  <c r="E646" i="3"/>
  <c r="F646" i="3" s="1"/>
  <c r="E551" i="3"/>
  <c r="F551" i="3" s="1"/>
  <c r="E448" i="3"/>
  <c r="F448" i="3" s="1"/>
  <c r="E347" i="3"/>
  <c r="F347" i="3" s="1"/>
  <c r="E332" i="3"/>
  <c r="F332" i="3" s="1"/>
  <c r="E172" i="3"/>
  <c r="F172" i="3" s="1"/>
  <c r="E471" i="3"/>
  <c r="F471" i="3" s="1"/>
  <c r="E231" i="3"/>
  <c r="F231" i="3" s="1"/>
  <c r="E62" i="3"/>
  <c r="F62" i="3" s="1"/>
  <c r="E596" i="3"/>
  <c r="F596" i="3" s="1"/>
  <c r="E275" i="3"/>
  <c r="F275" i="3" s="1"/>
  <c r="E314" i="3"/>
  <c r="F314" i="3" s="1"/>
  <c r="E305" i="3"/>
  <c r="F305" i="3" s="1"/>
  <c r="E241" i="3"/>
  <c r="F241" i="3" s="1"/>
  <c r="E177" i="3"/>
  <c r="F177" i="3" s="1"/>
  <c r="E113" i="3"/>
  <c r="F113" i="3" s="1"/>
  <c r="E49" i="3"/>
  <c r="F49" i="3" s="1"/>
  <c r="E288" i="3"/>
  <c r="F288" i="3" s="1"/>
  <c r="E224" i="3"/>
  <c r="F224" i="3" s="1"/>
  <c r="E160" i="3"/>
  <c r="F160" i="3" s="1"/>
  <c r="E96" i="3"/>
  <c r="F96" i="3" s="1"/>
  <c r="E32" i="3"/>
  <c r="F32" i="3" s="1"/>
  <c r="E5" i="3"/>
  <c r="F5" i="3" s="1"/>
  <c r="E404" i="3"/>
  <c r="F404" i="3" s="1"/>
  <c r="E405" i="3"/>
  <c r="F405" i="3" s="1"/>
  <c r="E1300" i="3"/>
  <c r="F1300" i="3" s="1"/>
  <c r="E640" i="3"/>
  <c r="F640" i="3" s="1"/>
  <c r="E227" i="3"/>
  <c r="F227" i="3" s="1"/>
  <c r="E1265" i="3"/>
  <c r="F1265" i="3" s="1"/>
  <c r="E969" i="3"/>
  <c r="F969" i="3" s="1"/>
  <c r="E1299" i="3"/>
  <c r="F1299" i="3" s="1"/>
  <c r="E868" i="3"/>
  <c r="F868" i="3" s="1"/>
  <c r="E283" i="3"/>
  <c r="F283" i="3" s="1"/>
  <c r="E21" i="3"/>
  <c r="F21" i="3" s="1"/>
  <c r="E85" i="3"/>
  <c r="F85" i="3" s="1"/>
  <c r="E245" i="3"/>
  <c r="F245" i="3" s="1"/>
  <c r="E226" i="3"/>
  <c r="F226" i="3" s="1"/>
  <c r="E154" i="3"/>
  <c r="F154" i="3" s="1"/>
  <c r="E873" i="3"/>
  <c r="F873" i="3" s="1"/>
  <c r="E1066" i="3"/>
  <c r="F1066" i="3" s="1"/>
  <c r="E1042" i="3"/>
  <c r="F1042" i="3" s="1"/>
  <c r="E1077" i="3"/>
  <c r="F1077" i="3" s="1"/>
  <c r="E877" i="3"/>
  <c r="F877" i="3" s="1"/>
  <c r="E781" i="3"/>
  <c r="F781" i="3" s="1"/>
  <c r="E973" i="3"/>
  <c r="F973" i="3" s="1"/>
  <c r="E997" i="3"/>
  <c r="F997" i="3" s="1"/>
  <c r="E1175" i="3"/>
  <c r="F1175" i="3" s="1"/>
  <c r="E1126" i="3"/>
  <c r="F1126" i="3" s="1"/>
  <c r="E1063" i="3"/>
  <c r="F1063" i="3" s="1"/>
  <c r="E1256" i="3"/>
  <c r="F1256" i="3" s="1"/>
  <c r="E1016" i="3"/>
  <c r="F1016" i="3" s="1"/>
  <c r="E1015" i="3"/>
  <c r="F1015" i="3" s="1"/>
  <c r="E777" i="3"/>
  <c r="F777" i="3" s="1"/>
  <c r="E1188" i="3"/>
  <c r="F1188" i="3" s="1"/>
  <c r="E1224" i="3"/>
  <c r="F1224" i="3" s="1"/>
  <c r="E1104" i="3"/>
  <c r="F1104" i="3" s="1"/>
  <c r="E1262" i="3"/>
  <c r="F1262" i="3" s="1"/>
  <c r="E1151" i="3"/>
  <c r="F1151" i="3" s="1"/>
  <c r="E1023" i="3"/>
  <c r="F1023" i="3" s="1"/>
  <c r="E1070" i="3"/>
  <c r="F1070" i="3" s="1"/>
  <c r="E1232" i="3"/>
  <c r="F1232" i="3" s="1"/>
  <c r="E1276" i="3"/>
  <c r="F1276" i="3" s="1"/>
  <c r="E1212" i="3"/>
  <c r="F1212" i="3" s="1"/>
  <c r="E1149" i="3"/>
  <c r="F1149" i="3" s="1"/>
  <c r="E1021" i="3"/>
  <c r="F1021" i="3" s="1"/>
  <c r="E675" i="3"/>
  <c r="F675" i="3" s="1"/>
  <c r="E355" i="3"/>
  <c r="F355" i="3" s="1"/>
  <c r="E1283" i="3"/>
  <c r="F1283" i="3" s="1"/>
  <c r="E1219" i="3"/>
  <c r="F1219" i="3" s="1"/>
  <c r="E1155" i="3"/>
  <c r="F1155" i="3" s="1"/>
  <c r="E1091" i="3"/>
  <c r="F1091" i="3" s="1"/>
  <c r="E1027" i="3"/>
  <c r="F1027" i="3" s="1"/>
  <c r="E953" i="3"/>
  <c r="F953" i="3" s="1"/>
  <c r="E455" i="3"/>
  <c r="F455" i="3" s="1"/>
  <c r="E14" i="3"/>
  <c r="F14" i="3" s="1"/>
  <c r="E1242" i="3"/>
  <c r="F1242" i="3" s="1"/>
  <c r="E1178" i="3"/>
  <c r="F1178" i="3" s="1"/>
  <c r="E986" i="3"/>
  <c r="F986" i="3" s="1"/>
  <c r="E754" i="3"/>
  <c r="F754" i="3" s="1"/>
  <c r="E557" i="3"/>
  <c r="F557" i="3" s="1"/>
  <c r="E818" i="3"/>
  <c r="F818" i="3" s="1"/>
  <c r="E666" i="3"/>
  <c r="F666" i="3" s="1"/>
  <c r="E415" i="3"/>
  <c r="F415" i="3" s="1"/>
  <c r="E376" i="3"/>
  <c r="F376" i="3" s="1"/>
  <c r="E205" i="3"/>
  <c r="F205" i="3" s="1"/>
  <c r="E503" i="3"/>
  <c r="F503" i="3" s="1"/>
  <c r="E286" i="3"/>
  <c r="F286" i="3" s="1"/>
  <c r="E951" i="3"/>
  <c r="F951" i="3" s="1"/>
  <c r="E887" i="3"/>
  <c r="F887" i="3" s="1"/>
  <c r="E527" i="3"/>
  <c r="F527" i="3" s="1"/>
  <c r="E320" i="3"/>
  <c r="F320" i="3" s="1"/>
  <c r="E156" i="3"/>
  <c r="F156" i="3" s="1"/>
  <c r="E539" i="3"/>
  <c r="F539" i="3" s="1"/>
  <c r="E436" i="3"/>
  <c r="F436" i="3" s="1"/>
  <c r="E437" i="3"/>
  <c r="F437" i="3" s="1"/>
  <c r="E844" i="3"/>
  <c r="F844" i="3" s="1"/>
  <c r="E356" i="3"/>
  <c r="F356" i="3" s="1"/>
  <c r="E39" i="3"/>
  <c r="F39" i="3" s="1"/>
  <c r="E524" i="3"/>
  <c r="F524" i="3" s="1"/>
  <c r="E460" i="3"/>
  <c r="F460" i="3" s="1"/>
  <c r="E204" i="3"/>
  <c r="F204" i="3" s="1"/>
  <c r="E267" i="3"/>
  <c r="F267" i="3" s="1"/>
  <c r="E1201" i="3"/>
  <c r="F1201" i="3" s="1"/>
  <c r="E1215" i="3"/>
  <c r="F1215" i="3" s="1"/>
  <c r="E69" i="3"/>
  <c r="F69" i="3" s="1"/>
  <c r="E1036" i="3"/>
  <c r="F1036" i="3" s="1"/>
  <c r="E782" i="3"/>
  <c r="F782" i="3" s="1"/>
  <c r="E29" i="3"/>
  <c r="F29" i="3" s="1"/>
  <c r="E157" i="3"/>
  <c r="F157" i="3" s="1"/>
  <c r="E253" i="3"/>
  <c r="F253" i="3" s="1"/>
  <c r="E34" i="3"/>
  <c r="F34" i="3" s="1"/>
  <c r="E282" i="3"/>
  <c r="F282" i="3" s="1"/>
  <c r="E394" i="3"/>
  <c r="F394" i="3" s="1"/>
  <c r="E458" i="3"/>
  <c r="F458" i="3" s="1"/>
  <c r="E522" i="3"/>
  <c r="F522" i="3" s="1"/>
  <c r="E703" i="3"/>
  <c r="F703" i="3" s="1"/>
  <c r="E838" i="3"/>
  <c r="F838" i="3" s="1"/>
  <c r="E865" i="3"/>
  <c r="F865" i="3" s="1"/>
  <c r="E789" i="3"/>
  <c r="F789" i="3" s="1"/>
  <c r="E549" i="3"/>
  <c r="F549" i="3" s="1"/>
  <c r="E1037" i="3"/>
  <c r="F1037" i="3" s="1"/>
  <c r="E1278" i="3"/>
  <c r="F1278" i="3" s="1"/>
  <c r="E1248" i="3"/>
  <c r="F1248" i="3" s="1"/>
  <c r="E1135" i="3"/>
  <c r="F1135" i="3" s="1"/>
  <c r="E1007" i="3"/>
  <c r="F1007" i="3" s="1"/>
  <c r="E745" i="3"/>
  <c r="F745" i="3" s="1"/>
  <c r="E1286" i="3"/>
  <c r="F1286" i="3" s="1"/>
  <c r="E1182" i="3"/>
  <c r="F1182" i="3" s="1"/>
  <c r="E1054" i="3"/>
  <c r="F1054" i="3" s="1"/>
  <c r="E966" i="3"/>
  <c r="F966" i="3" s="1"/>
  <c r="E607" i="3"/>
  <c r="F607" i="3" s="1"/>
  <c r="E1268" i="3"/>
  <c r="F1268" i="3" s="1"/>
  <c r="E1076" i="3"/>
  <c r="F1076" i="3" s="1"/>
  <c r="E1013" i="3"/>
  <c r="F1013" i="3" s="1"/>
  <c r="E810" i="3"/>
  <c r="F810" i="3" s="1"/>
  <c r="E657" i="3"/>
  <c r="F657" i="3" s="1"/>
  <c r="E326" i="3"/>
  <c r="F326" i="3" s="1"/>
  <c r="E1275" i="3"/>
  <c r="F1275" i="3" s="1"/>
  <c r="E1211" i="3"/>
  <c r="F1211" i="3" s="1"/>
  <c r="E1147" i="3"/>
  <c r="F1147" i="3" s="1"/>
  <c r="E1019" i="3"/>
  <c r="F1019" i="3" s="1"/>
  <c r="E673" i="3"/>
  <c r="F673" i="3" s="1"/>
  <c r="E419" i="3"/>
  <c r="F419" i="3" s="1"/>
  <c r="E1298" i="3"/>
  <c r="F1298" i="3" s="1"/>
  <c r="E1234" i="3"/>
  <c r="F1234" i="3" s="1"/>
  <c r="E1170" i="3"/>
  <c r="F1170" i="3" s="1"/>
  <c r="E975" i="3"/>
  <c r="F975" i="3" s="1"/>
  <c r="E867" i="3"/>
  <c r="F867" i="3" s="1"/>
  <c r="E731" i="3"/>
  <c r="F731" i="3" s="1"/>
  <c r="E519" i="3"/>
  <c r="F519" i="3" s="1"/>
  <c r="E1073" i="3"/>
  <c r="F1073" i="3" s="1"/>
  <c r="E1009" i="3"/>
  <c r="F1009" i="3" s="1"/>
  <c r="E923" i="3"/>
  <c r="F923" i="3" s="1"/>
  <c r="E802" i="3"/>
  <c r="F802" i="3" s="1"/>
  <c r="E611" i="3"/>
  <c r="F611" i="3" s="1"/>
  <c r="E182" i="3"/>
  <c r="F182" i="3" s="1"/>
  <c r="E864" i="3"/>
  <c r="F864" i="3" s="1"/>
  <c r="E800" i="3"/>
  <c r="F800" i="3" s="1"/>
  <c r="E94" i="3"/>
  <c r="F94" i="3" s="1"/>
  <c r="E412" i="3"/>
  <c r="F412" i="3" s="1"/>
  <c r="E303" i="3"/>
  <c r="F303" i="3" s="1"/>
  <c r="E822" i="3"/>
  <c r="F822" i="3" s="1"/>
  <c r="E758" i="3"/>
  <c r="F758" i="3" s="1"/>
  <c r="E694" i="3"/>
  <c r="F694" i="3" s="1"/>
  <c r="E423" i="3"/>
  <c r="F423" i="3" s="1"/>
  <c r="E319" i="3"/>
  <c r="F319" i="3" s="1"/>
  <c r="E748" i="3"/>
  <c r="F748" i="3" s="1"/>
  <c r="E684" i="3"/>
  <c r="F684" i="3" s="1"/>
  <c r="E300" i="3"/>
  <c r="F300" i="3" s="1"/>
  <c r="E708" i="3"/>
  <c r="F708" i="3" s="1"/>
  <c r="E548" i="3"/>
  <c r="F548" i="3" s="1"/>
  <c r="E343" i="3"/>
  <c r="F343" i="3" s="1"/>
  <c r="E190" i="3"/>
  <c r="F190" i="3" s="1"/>
  <c r="E324" i="3"/>
  <c r="F324" i="3" s="1"/>
  <c r="E260" i="3"/>
  <c r="F260" i="3" s="1"/>
  <c r="E323" i="3"/>
  <c r="F323" i="3" s="1"/>
  <c r="E289" i="3"/>
  <c r="F289" i="3" s="1"/>
  <c r="E225" i="3"/>
  <c r="F225" i="3" s="1"/>
  <c r="E161" i="3"/>
  <c r="F161" i="3" s="1"/>
  <c r="E97" i="3"/>
  <c r="F97" i="3" s="1"/>
  <c r="E33" i="3"/>
  <c r="F33" i="3" s="1"/>
  <c r="E272" i="3"/>
  <c r="F272" i="3" s="1"/>
  <c r="E208" i="3"/>
  <c r="F208" i="3" s="1"/>
  <c r="E144" i="3"/>
  <c r="F144" i="3" s="1"/>
  <c r="E80" i="3"/>
  <c r="F80" i="3" s="1"/>
  <c r="E16" i="3"/>
  <c r="F16" i="3" s="1"/>
  <c r="E276" i="3"/>
  <c r="F276" i="3" s="1"/>
  <c r="E277" i="3"/>
  <c r="F277" i="3" s="1"/>
  <c r="E213" i="3"/>
  <c r="F213" i="3" s="1"/>
  <c r="E1301" i="3"/>
  <c r="F1301" i="3" s="1"/>
  <c r="E495" i="3"/>
  <c r="F495" i="3" s="1"/>
  <c r="E359" i="3"/>
  <c r="F359" i="3" s="1"/>
  <c r="E484" i="3"/>
  <c r="F484" i="3" s="1"/>
  <c r="E165" i="3"/>
  <c r="F165" i="3" s="1"/>
  <c r="E350" i="3"/>
  <c r="F350" i="3" s="1"/>
  <c r="E478" i="3"/>
  <c r="F478" i="3" s="1"/>
  <c r="E542" i="3"/>
  <c r="F542" i="3" s="1"/>
  <c r="E695" i="3"/>
  <c r="F695" i="3" s="1"/>
  <c r="E925" i="3"/>
  <c r="F925" i="3" s="1"/>
  <c r="E1129" i="3"/>
  <c r="F1129" i="3" s="1"/>
  <c r="E736" i="3"/>
  <c r="F736" i="3" s="1"/>
  <c r="E1101" i="3"/>
  <c r="F1101" i="3" s="1"/>
  <c r="E1213" i="3"/>
  <c r="F1213" i="3" s="1"/>
  <c r="E228" i="3"/>
  <c r="F228" i="3" s="1"/>
  <c r="E1280" i="3"/>
  <c r="F1280" i="3" s="1"/>
  <c r="E1240" i="3"/>
  <c r="F1240" i="3" s="1"/>
  <c r="E1191" i="3"/>
  <c r="F1191" i="3" s="1"/>
  <c r="E796" i="3"/>
  <c r="F796" i="3" s="1"/>
  <c r="E1302" i="3"/>
  <c r="F1302" i="3" s="1"/>
  <c r="E1199" i="3"/>
  <c r="F1199" i="3" s="1"/>
  <c r="E1119" i="3"/>
  <c r="F1119" i="3" s="1"/>
  <c r="E991" i="3"/>
  <c r="F991" i="3" s="1"/>
  <c r="E682" i="3"/>
  <c r="F682" i="3" s="1"/>
  <c r="E1272" i="3"/>
  <c r="F1272" i="3" s="1"/>
  <c r="E1166" i="3"/>
  <c r="F1166" i="3" s="1"/>
  <c r="E1038" i="3"/>
  <c r="F1038" i="3" s="1"/>
  <c r="E1207" i="3"/>
  <c r="F1207" i="3" s="1"/>
  <c r="E1260" i="3"/>
  <c r="F1260" i="3" s="1"/>
  <c r="E1196" i="3"/>
  <c r="F1196" i="3" s="1"/>
  <c r="E1197" i="3"/>
  <c r="F1197" i="3" s="1"/>
  <c r="E1132" i="3"/>
  <c r="F1132" i="3" s="1"/>
  <c r="E1133" i="3"/>
  <c r="F1133" i="3" s="1"/>
  <c r="E1068" i="3"/>
  <c r="F1068" i="3" s="1"/>
  <c r="E1004" i="3"/>
  <c r="F1004" i="3" s="1"/>
  <c r="E794" i="3"/>
  <c r="F794" i="3" s="1"/>
  <c r="E632" i="3"/>
  <c r="F632" i="3" s="1"/>
  <c r="E365" i="3"/>
  <c r="F365" i="3" s="1"/>
  <c r="E270" i="3"/>
  <c r="F270" i="3" s="1"/>
  <c r="E1267" i="3"/>
  <c r="F1267" i="3" s="1"/>
  <c r="E1139" i="3"/>
  <c r="F1139" i="3" s="1"/>
  <c r="E1075" i="3"/>
  <c r="F1075" i="3" s="1"/>
  <c r="E1011" i="3"/>
  <c r="F1011" i="3" s="1"/>
  <c r="E650" i="3"/>
  <c r="F650" i="3" s="1"/>
  <c r="E1290" i="3"/>
  <c r="F1290" i="3" s="1"/>
  <c r="E1226" i="3"/>
  <c r="F1226" i="3" s="1"/>
  <c r="E1162" i="3"/>
  <c r="F1162" i="3" s="1"/>
  <c r="E1098" i="3"/>
  <c r="F1098" i="3" s="1"/>
  <c r="E713" i="3"/>
  <c r="F713" i="3" s="1"/>
  <c r="E483" i="3"/>
  <c r="F483" i="3" s="1"/>
  <c r="E786" i="3"/>
  <c r="F786" i="3" s="1"/>
  <c r="E769" i="3"/>
  <c r="F769" i="3" s="1"/>
  <c r="E984" i="3"/>
  <c r="F984" i="3" s="1"/>
  <c r="E920" i="3"/>
  <c r="F920" i="3" s="1"/>
  <c r="E856" i="3"/>
  <c r="F856" i="3" s="1"/>
  <c r="E375" i="3"/>
  <c r="F375" i="3" s="1"/>
  <c r="E935" i="3"/>
  <c r="F935" i="3" s="1"/>
  <c r="E871" i="3"/>
  <c r="F871" i="3" s="1"/>
  <c r="E604" i="3"/>
  <c r="F604" i="3" s="1"/>
  <c r="E399" i="3"/>
  <c r="F399" i="3" s="1"/>
  <c r="E284" i="3"/>
  <c r="F284" i="3" s="1"/>
  <c r="E111" i="3"/>
  <c r="F111" i="3" s="1"/>
  <c r="E814" i="3"/>
  <c r="F814" i="3" s="1"/>
  <c r="E750" i="3"/>
  <c r="F750" i="3" s="1"/>
  <c r="E686" i="3"/>
  <c r="F686" i="3" s="1"/>
  <c r="E615" i="3"/>
  <c r="F615" i="3" s="1"/>
  <c r="E512" i="3"/>
  <c r="F512" i="3" s="1"/>
  <c r="E411" i="3"/>
  <c r="F411" i="3" s="1"/>
  <c r="E302" i="3"/>
  <c r="F302" i="3" s="1"/>
  <c r="E740" i="3"/>
  <c r="F740" i="3" s="1"/>
  <c r="E676" i="3"/>
  <c r="F676" i="3" s="1"/>
  <c r="E397" i="3"/>
  <c r="F397" i="3" s="1"/>
  <c r="E278" i="3"/>
  <c r="F278" i="3" s="1"/>
  <c r="E108" i="3"/>
  <c r="F108" i="3" s="1"/>
  <c r="E828" i="3"/>
  <c r="F828" i="3" s="1"/>
  <c r="E535" i="3"/>
  <c r="F535" i="3" s="1"/>
  <c r="E331" i="3"/>
  <c r="F331" i="3" s="1"/>
  <c r="E167" i="3"/>
  <c r="F167" i="3" s="1"/>
  <c r="E60" i="3"/>
  <c r="F60" i="3" s="1"/>
  <c r="E315" i="3"/>
  <c r="F315" i="3" s="1"/>
  <c r="E345" i="3"/>
  <c r="F345" i="3" s="1"/>
  <c r="E281" i="3"/>
  <c r="F281" i="3" s="1"/>
  <c r="E217" i="3"/>
  <c r="F217" i="3" s="1"/>
  <c r="E153" i="3"/>
  <c r="F153" i="3" s="1"/>
  <c r="E89" i="3"/>
  <c r="F89" i="3" s="1"/>
  <c r="E25" i="3"/>
  <c r="F25" i="3" s="1"/>
  <c r="E264" i="3"/>
  <c r="F264" i="3" s="1"/>
  <c r="E200" i="3"/>
  <c r="F200" i="3" s="1"/>
  <c r="E136" i="3"/>
  <c r="F136" i="3" s="1"/>
  <c r="E72" i="3"/>
  <c r="F72" i="3" s="1"/>
  <c r="E8" i="3"/>
  <c r="F8" i="3" s="1"/>
  <c r="E1108" i="3"/>
  <c r="F1108" i="3" s="1"/>
  <c r="E532" i="3"/>
  <c r="F532" i="3" s="1"/>
  <c r="E533" i="3"/>
  <c r="F533" i="3" s="1"/>
  <c r="E439" i="3"/>
  <c r="F439" i="3" s="1"/>
  <c r="E718" i="3"/>
  <c r="F718" i="3" s="1"/>
  <c r="E45" i="3"/>
  <c r="F45" i="3" s="1"/>
  <c r="E358" i="3"/>
  <c r="F358" i="3" s="1"/>
  <c r="E98" i="3"/>
  <c r="F98" i="3" s="1"/>
  <c r="E630" i="3"/>
  <c r="F630" i="3" s="1"/>
  <c r="E622" i="3"/>
  <c r="F622" i="3" s="1"/>
  <c r="E474" i="3"/>
  <c r="F474" i="3" s="1"/>
  <c r="E598" i="3"/>
  <c r="F598" i="3" s="1"/>
  <c r="E767" i="3"/>
  <c r="F767" i="3" s="1"/>
  <c r="E680" i="3"/>
  <c r="F680" i="3" s="1"/>
  <c r="E901" i="3"/>
  <c r="F901" i="3" s="1"/>
  <c r="E1137" i="3"/>
  <c r="F1137" i="3" s="1"/>
  <c r="E1050" i="3"/>
  <c r="F1050" i="3" s="1"/>
  <c r="E661" i="3"/>
  <c r="F661" i="3" s="1"/>
  <c r="E1221" i="3"/>
  <c r="F1221" i="3" s="1"/>
  <c r="E1229" i="3"/>
  <c r="F1229" i="3" s="1"/>
  <c r="E1095" i="3"/>
  <c r="F1095" i="3" s="1"/>
  <c r="E1094" i="3"/>
  <c r="F1094" i="3" s="1"/>
  <c r="E845" i="3"/>
  <c r="F845" i="3" s="1"/>
  <c r="E1096" i="3"/>
  <c r="F1096" i="3" s="1"/>
  <c r="E961" i="3"/>
  <c r="F961" i="3" s="1"/>
  <c r="E1193" i="3"/>
  <c r="F1193" i="3" s="1"/>
  <c r="E778" i="3"/>
  <c r="F778" i="3" s="1"/>
  <c r="E1259" i="3"/>
  <c r="F1259" i="3" s="1"/>
  <c r="E1067" i="3"/>
  <c r="F1067" i="3" s="1"/>
  <c r="E914" i="3"/>
  <c r="F914" i="3" s="1"/>
  <c r="E976" i="3"/>
  <c r="F976" i="3" s="1"/>
  <c r="E912" i="3"/>
  <c r="F912" i="3" s="1"/>
  <c r="E848" i="3"/>
  <c r="F848" i="3" s="1"/>
  <c r="E567" i="3"/>
  <c r="F567" i="3" s="1"/>
  <c r="E927" i="3"/>
  <c r="F927" i="3" s="1"/>
  <c r="E863" i="3"/>
  <c r="F863" i="3" s="1"/>
  <c r="E799" i="3"/>
  <c r="F799" i="3" s="1"/>
  <c r="E591" i="3"/>
  <c r="F591" i="3" s="1"/>
  <c r="E262" i="3"/>
  <c r="F262" i="3" s="1"/>
  <c r="E92" i="3"/>
  <c r="F92" i="3" s="1"/>
  <c r="E603" i="3"/>
  <c r="F603" i="3" s="1"/>
  <c r="E500" i="3"/>
  <c r="F500" i="3" s="1"/>
  <c r="E501" i="3"/>
  <c r="F501" i="3" s="1"/>
  <c r="E732" i="3"/>
  <c r="F732" i="3" s="1"/>
  <c r="E733" i="3"/>
  <c r="F733" i="3" s="1"/>
  <c r="E668" i="3"/>
  <c r="F668" i="3" s="1"/>
  <c r="E588" i="3"/>
  <c r="F588" i="3" s="1"/>
  <c r="E383" i="3"/>
  <c r="F383" i="3" s="1"/>
  <c r="E86" i="3"/>
  <c r="F86" i="3" s="1"/>
  <c r="E948" i="3"/>
  <c r="F948" i="3" s="1"/>
  <c r="E523" i="3"/>
  <c r="F523" i="3" s="1"/>
  <c r="E420" i="3"/>
  <c r="F420" i="3" s="1"/>
  <c r="E180" i="3"/>
  <c r="F180" i="3" s="1"/>
  <c r="E307" i="3"/>
  <c r="F307" i="3" s="1"/>
  <c r="E337" i="3"/>
  <c r="F337" i="3" s="1"/>
  <c r="E273" i="3"/>
  <c r="F273" i="3" s="1"/>
  <c r="E209" i="3"/>
  <c r="F209" i="3" s="1"/>
  <c r="E145" i="3"/>
  <c r="F145" i="3" s="1"/>
  <c r="E81" i="3"/>
  <c r="F81" i="3" s="1"/>
  <c r="E17" i="3"/>
  <c r="F17" i="3" s="1"/>
  <c r="E256" i="3"/>
  <c r="F256" i="3" s="1"/>
  <c r="E192" i="3"/>
  <c r="F192" i="3" s="1"/>
  <c r="E128" i="3"/>
  <c r="F128" i="3" s="1"/>
  <c r="E64" i="3"/>
  <c r="F64" i="3" s="1"/>
  <c r="E763" i="3"/>
  <c r="F763" i="3" s="1"/>
  <c r="E1158" i="3"/>
  <c r="F1158" i="3" s="1"/>
  <c r="E291" i="3"/>
  <c r="F291" i="3" s="1"/>
  <c r="E1107" i="3"/>
  <c r="F1107" i="3" s="1"/>
  <c r="E564" i="3"/>
  <c r="F564" i="3" s="1"/>
  <c r="E565" i="3"/>
  <c r="F565" i="3" s="1"/>
  <c r="E46" i="3"/>
  <c r="F46" i="3" s="1"/>
  <c r="E494" i="3"/>
  <c r="F494" i="3" s="1"/>
  <c r="E890" i="3"/>
  <c r="F890" i="3" s="1"/>
  <c r="E648" i="3"/>
  <c r="F648" i="3" s="1"/>
  <c r="E1001" i="3"/>
  <c r="F1001" i="3" s="1"/>
  <c r="E1114" i="3"/>
  <c r="F1114" i="3" s="1"/>
  <c r="E1106" i="3"/>
  <c r="F1106" i="3" s="1"/>
  <c r="E1109" i="3"/>
  <c r="F1109" i="3" s="1"/>
  <c r="E1293" i="3"/>
  <c r="F1293" i="3" s="1"/>
  <c r="E857" i="3"/>
  <c r="F857" i="3" s="1"/>
  <c r="E705" i="3"/>
  <c r="F705" i="3" s="1"/>
  <c r="E1294" i="3"/>
  <c r="F1294" i="3" s="1"/>
  <c r="E932" i="3"/>
  <c r="F932" i="3" s="1"/>
  <c r="E504" i="3"/>
  <c r="F504" i="3" s="1"/>
  <c r="E1168" i="3"/>
  <c r="F1168" i="3" s="1"/>
  <c r="E1040" i="3"/>
  <c r="F1040" i="3" s="1"/>
  <c r="E1087" i="3"/>
  <c r="F1087" i="3" s="1"/>
  <c r="E946" i="3"/>
  <c r="F946" i="3" s="1"/>
  <c r="E1247" i="3"/>
  <c r="F1247" i="3" s="1"/>
  <c r="E738" i="3"/>
  <c r="F738" i="3" s="1"/>
  <c r="E860" i="3"/>
  <c r="F860" i="3" s="1"/>
  <c r="E292" i="3"/>
  <c r="F292" i="3" s="1"/>
  <c r="E1244" i="3"/>
  <c r="F1244" i="3" s="1"/>
  <c r="E1245" i="3"/>
  <c r="F1245" i="3" s="1"/>
  <c r="E1180" i="3"/>
  <c r="F1180" i="3" s="1"/>
  <c r="E1052" i="3"/>
  <c r="F1052" i="3" s="1"/>
  <c r="E988" i="3"/>
  <c r="F988" i="3" s="1"/>
  <c r="E568" i="3"/>
  <c r="F568" i="3" s="1"/>
  <c r="E102" i="3"/>
  <c r="F102" i="3" s="1"/>
  <c r="E1251" i="3"/>
  <c r="F1251" i="3" s="1"/>
  <c r="E1187" i="3"/>
  <c r="F1187" i="3" s="1"/>
  <c r="E1123" i="3"/>
  <c r="F1123" i="3" s="1"/>
  <c r="E1059" i="3"/>
  <c r="F1059" i="3" s="1"/>
  <c r="E995" i="3"/>
  <c r="F995" i="3" s="1"/>
  <c r="E312" i="3"/>
  <c r="F312" i="3" s="1"/>
  <c r="E1274" i="3"/>
  <c r="F1274" i="3" s="1"/>
  <c r="E1210" i="3"/>
  <c r="F1210" i="3" s="1"/>
  <c r="E1146" i="3"/>
  <c r="F1146" i="3" s="1"/>
  <c r="E1082" i="3"/>
  <c r="F1082" i="3" s="1"/>
  <c r="E1018" i="3"/>
  <c r="F1018" i="3" s="1"/>
  <c r="E938" i="3"/>
  <c r="F938" i="3" s="1"/>
  <c r="E667" i="3"/>
  <c r="F667" i="3" s="1"/>
  <c r="E882" i="3"/>
  <c r="F882" i="3" s="1"/>
  <c r="E753" i="3"/>
  <c r="F753" i="3" s="1"/>
  <c r="E547" i="3"/>
  <c r="F547" i="3" s="1"/>
  <c r="E729" i="3"/>
  <c r="F729" i="3" s="1"/>
  <c r="E118" i="3"/>
  <c r="F118" i="3" s="1"/>
  <c r="E968" i="3"/>
  <c r="F968" i="3" s="1"/>
  <c r="E840" i="3"/>
  <c r="F840" i="3" s="1"/>
  <c r="E30" i="3"/>
  <c r="F30" i="3" s="1"/>
  <c r="E476" i="3"/>
  <c r="F476" i="3" s="1"/>
  <c r="E239" i="3"/>
  <c r="F239" i="3" s="1"/>
  <c r="E384" i="3"/>
  <c r="F384" i="3" s="1"/>
  <c r="E724" i="3"/>
  <c r="F724" i="3" s="1"/>
  <c r="E725" i="3"/>
  <c r="F725" i="3" s="1"/>
  <c r="E575" i="3"/>
  <c r="F575" i="3" s="1"/>
  <c r="E237" i="3"/>
  <c r="F237" i="3" s="1"/>
  <c r="E812" i="3"/>
  <c r="F812" i="3" s="1"/>
  <c r="E612" i="3"/>
  <c r="F612" i="3" s="1"/>
  <c r="E295" i="3"/>
  <c r="F295" i="3" s="1"/>
  <c r="E556" i="3"/>
  <c r="F556" i="3" s="1"/>
  <c r="E492" i="3"/>
  <c r="F492" i="3" s="1"/>
  <c r="E428" i="3"/>
  <c r="F428" i="3" s="1"/>
  <c r="E364" i="3"/>
  <c r="F364" i="3" s="1"/>
  <c r="E236" i="3"/>
  <c r="F236" i="3" s="1"/>
  <c r="E299" i="3"/>
  <c r="F299" i="3" s="1"/>
  <c r="E338" i="3"/>
  <c r="F338" i="3" s="1"/>
  <c r="E329" i="3"/>
  <c r="F329" i="3" s="1"/>
  <c r="E265" i="3"/>
  <c r="F265" i="3" s="1"/>
  <c r="E201" i="3"/>
  <c r="F201" i="3" s="1"/>
  <c r="E137" i="3"/>
  <c r="F137" i="3" s="1"/>
  <c r="E73" i="3"/>
  <c r="F73" i="3" s="1"/>
  <c r="E9" i="3"/>
  <c r="F9" i="3" s="1"/>
  <c r="E248" i="3"/>
  <c r="F248" i="3" s="1"/>
  <c r="E184" i="3"/>
  <c r="F184" i="3" s="1"/>
  <c r="E120" i="3"/>
  <c r="F120" i="3" s="1"/>
  <c r="E56" i="3"/>
  <c r="F56" i="3" s="1"/>
  <c r="E1030" i="3"/>
  <c r="F1030" i="3" s="1"/>
  <c r="E1255" i="3"/>
  <c r="F1255" i="3" s="1"/>
  <c r="J38" i="1"/>
  <c r="J36" i="1"/>
  <c r="J27" i="1"/>
  <c r="J10" i="1"/>
  <c r="J9" i="1"/>
  <c r="J31" i="1"/>
  <c r="J19" i="1"/>
  <c r="J39" i="1"/>
  <c r="J29" i="1"/>
  <c r="J23" i="1"/>
  <c r="J28" i="1"/>
  <c r="J22" i="1"/>
  <c r="J20" i="1"/>
  <c r="J11" i="1"/>
  <c r="J50" i="1"/>
  <c r="J48" i="1"/>
  <c r="J15" i="1"/>
  <c r="J12" i="1"/>
  <c r="J37" i="1"/>
  <c r="J49" i="1"/>
  <c r="J40" i="1"/>
  <c r="J8" i="1"/>
  <c r="J42" i="1"/>
  <c r="J41" i="1"/>
  <c r="J32" i="1"/>
  <c r="J43" i="1"/>
  <c r="J26" i="1"/>
  <c r="J25" i="1"/>
  <c r="I34" i="3" l="1"/>
  <c r="I8" i="3"/>
  <c r="I16" i="3"/>
  <c r="I24" i="3"/>
  <c r="I32" i="3"/>
  <c r="I40" i="3"/>
  <c r="I48" i="3"/>
  <c r="I9" i="3"/>
  <c r="I17" i="3"/>
  <c r="I25" i="3"/>
  <c r="I33" i="3"/>
  <c r="I41" i="3"/>
  <c r="I49" i="3"/>
  <c r="I10" i="3"/>
  <c r="I18" i="3"/>
  <c r="I26" i="3"/>
  <c r="I42" i="3"/>
  <c r="I50" i="3"/>
  <c r="I11" i="3"/>
  <c r="I19" i="3"/>
  <c r="I27" i="3"/>
  <c r="I35" i="3"/>
  <c r="I43" i="3"/>
  <c r="I51" i="3"/>
  <c r="I12" i="3"/>
  <c r="I20" i="3"/>
  <c r="I28" i="3"/>
  <c r="I36" i="3"/>
  <c r="I44" i="3"/>
  <c r="I52" i="3"/>
  <c r="I13" i="3"/>
  <c r="I21" i="3"/>
  <c r="I29" i="3"/>
  <c r="I37" i="3"/>
  <c r="I45" i="3"/>
  <c r="I7" i="3"/>
  <c r="I14" i="3"/>
  <c r="I46" i="3"/>
  <c r="I15" i="3"/>
  <c r="I47" i="3"/>
  <c r="I22" i="3"/>
  <c r="I23" i="3"/>
  <c r="I30" i="3"/>
  <c r="I31" i="3"/>
  <c r="I38" i="3"/>
  <c r="I3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F897A74D-0DE4-4B22-A86D-A1730885A78A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3B6B6BAB-A368-4A90-AEEC-DE36373E8C17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75B9C571-0CB9-4979-BDAC-8F1E172E6EBB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53E033D0-AA2D-4D82-BAEF-89EE08F49013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DB640A76-0612-47AE-8841-ABF4CAF412BF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BDA4E5BA-94B6-4D1C-8133-B6A46625A3BB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<sst xmlns="http://schemas.openxmlformats.org/spreadsheetml/2006/main" count="112" uniqueCount="49">
  <si>
    <t>End</t>
  </si>
  <si>
    <t>Frequency</t>
  </si>
  <si>
    <t>D</t>
  </si>
  <si>
    <t>Name</t>
  </si>
  <si>
    <t>APPLE</t>
  </si>
  <si>
    <t>AMAZON.COM</t>
  </si>
  <si>
    <t>FACEBOOK CLASS A</t>
  </si>
  <si>
    <t>GAIN</t>
  </si>
  <si>
    <t>LOSS</t>
  </si>
  <si>
    <t>Portfolio Value [50 2 -20]</t>
  </si>
  <si>
    <t>Probability Loss is greater than</t>
  </si>
  <si>
    <t>VaR 95%</t>
  </si>
  <si>
    <t>VaR 99%</t>
  </si>
  <si>
    <t>In realtà è 114 perché è primo più piccolo di 5%</t>
  </si>
  <si>
    <t>In realtà è 246</t>
  </si>
  <si>
    <t>Portfolio Value [a,1-a]</t>
  </si>
  <si>
    <t>a</t>
  </si>
  <si>
    <t>Loss</t>
  </si>
  <si>
    <t>Rend Apple</t>
  </si>
  <si>
    <t>Rend Amazon.com</t>
  </si>
  <si>
    <t>Rend Facebook</t>
  </si>
  <si>
    <t>Var=</t>
  </si>
  <si>
    <t>e=</t>
  </si>
  <si>
    <t>wMVP=</t>
  </si>
  <si>
    <t>ones</t>
  </si>
  <si>
    <t>Valore di portafoglio</t>
  </si>
  <si>
    <t>Gain</t>
  </si>
  <si>
    <t>Probability loss bigger than</t>
  </si>
  <si>
    <t>VAR a 1%</t>
  </si>
  <si>
    <t>Portafoglio</t>
  </si>
  <si>
    <t>Expected shortfall</t>
  </si>
  <si>
    <t>Apple</t>
  </si>
  <si>
    <t>Amazon</t>
  </si>
  <si>
    <t>Facebook</t>
  </si>
  <si>
    <t>Numero di numeri più grandi</t>
  </si>
  <si>
    <t xml:space="preserve">Numero di numeri più grandi </t>
  </si>
  <si>
    <t>Salti dal precedente</t>
  </si>
  <si>
    <t>Probabilità salto</t>
  </si>
  <si>
    <t>E[salto]</t>
  </si>
  <si>
    <t>p</t>
  </si>
  <si>
    <t>1/p*E[salti]</t>
  </si>
  <si>
    <t>Rendimento</t>
  </si>
  <si>
    <t>Rendimento previsto</t>
  </si>
  <si>
    <t>rendimento previsto</t>
  </si>
  <si>
    <t>Rendimenti</t>
  </si>
  <si>
    <t>P1</t>
  </si>
  <si>
    <t>P2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</si>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</sst>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00%"/>
    <numFmt numFmtId="165" formatCode="0.0000%"/>
    <numFmt numFmtId="166" formatCode="_-* #,##0_-;\-* #,##0_-;_-* &quot;-&quot;??_-;_-@_-"/>
    <numFmt numFmtId="167" formatCode="_-* #,##0.000_-;\-* #,##0.000_-;_-* &quot;-&quot;??_-;_-@_-"/>
    <numFmt numFmtId="168" formatCode="_-* #,##0.0000000_-;\-* #,##0.0000000_-;_-* &quot;-&quot;??_-;_-@_-"/>
    <numFmt numFmtId="169" formatCode="0.0000000%"/>
    <numFmt numFmtId="170" formatCode="0.00000000%"/>
    <numFmt numFmtId="171" formatCode="_-* #,##0.00000_-;\-* #,##0.00000_-;_-* &quot;-&quot;??_-;_-@_-"/>
    <numFmt numFmtId="175" formatCode="0.00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0" xfId="0" applyFill="1"/>
    <xf numFmtId="10" fontId="0" fillId="0" borderId="0" xfId="0" applyNumberFormat="1"/>
    <xf numFmtId="0" fontId="1" fillId="3" borderId="0" xfId="0" applyFont="1" applyFill="1"/>
    <xf numFmtId="0" fontId="0" fillId="4" borderId="0" xfId="0" applyFill="1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5" borderId="0" xfId="0" applyFill="1"/>
    <xf numFmtId="10" fontId="0" fillId="5" borderId="0" xfId="0" applyNumberFormat="1" applyFill="1"/>
    <xf numFmtId="0" fontId="3" fillId="5" borderId="0" xfId="0" applyFont="1" applyFill="1"/>
    <xf numFmtId="0" fontId="6" fillId="5" borderId="0" xfId="0" applyFont="1" applyFill="1"/>
    <xf numFmtId="0" fontId="1" fillId="0" borderId="0" xfId="0" applyFont="1" applyAlignment="1">
      <alignment horizontal="center"/>
    </xf>
    <xf numFmtId="10" fontId="0" fillId="2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166" fontId="3" fillId="4" borderId="0" xfId="1" applyNumberFormat="1" applyFont="1" applyFill="1"/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0" fontId="0" fillId="6" borderId="0" xfId="0" applyNumberFormat="1" applyFill="1"/>
    <xf numFmtId="0" fontId="0" fillId="6" borderId="0" xfId="0" applyFill="1"/>
    <xf numFmtId="43" fontId="0" fillId="0" borderId="0" xfId="0" applyNumberFormat="1"/>
    <xf numFmtId="167" fontId="0" fillId="0" borderId="0" xfId="0" applyNumberFormat="1"/>
    <xf numFmtId="0" fontId="1" fillId="0" borderId="0" xfId="0" applyFont="1"/>
    <xf numFmtId="166" fontId="3" fillId="0" borderId="0" xfId="1" applyNumberFormat="1" applyFont="1" applyFill="1"/>
    <xf numFmtId="0" fontId="6" fillId="0" borderId="0" xfId="0" applyFont="1"/>
    <xf numFmtId="165" fontId="0" fillId="0" borderId="0" xfId="0" applyNumberFormat="1"/>
    <xf numFmtId="0" fontId="3" fillId="0" borderId="0" xfId="0" applyFont="1"/>
    <xf numFmtId="168" fontId="0" fillId="0" borderId="0" xfId="1" applyNumberFormat="1" applyFont="1" applyFill="1"/>
    <xf numFmtId="0" fontId="2" fillId="0" borderId="0" xfId="0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64" fontId="6" fillId="0" borderId="0" xfId="2" applyNumberFormat="1" applyFont="1" applyFill="1" applyAlignment="1">
      <alignment horizontal="center"/>
    </xf>
    <xf numFmtId="0" fontId="0" fillId="0" borderId="0" xfId="1" applyNumberFormat="1" applyFont="1" applyFill="1" applyAlignment="1">
      <alignment vertical="center"/>
    </xf>
    <xf numFmtId="43" fontId="0" fillId="6" borderId="0" xfId="1" applyFont="1" applyFill="1"/>
    <xf numFmtId="43" fontId="0" fillId="0" borderId="0" xfId="1" applyFont="1"/>
    <xf numFmtId="9" fontId="0" fillId="0" borderId="0" xfId="2" applyFont="1"/>
    <xf numFmtId="10" fontId="0" fillId="0" borderId="0" xfId="2" applyNumberFormat="1" applyFont="1"/>
    <xf numFmtId="170" fontId="0" fillId="5" borderId="0" xfId="0" applyNumberFormat="1" applyFill="1"/>
    <xf numFmtId="10" fontId="0" fillId="5" borderId="0" xfId="2" applyNumberFormat="1" applyFont="1" applyFill="1"/>
    <xf numFmtId="169" fontId="0" fillId="0" borderId="0" xfId="2" applyNumberFormat="1" applyFont="1"/>
    <xf numFmtId="0" fontId="8" fillId="5" borderId="0" xfId="0" applyFont="1" applyFill="1"/>
    <xf numFmtId="0" fontId="0" fillId="7" borderId="0" xfId="0" applyFill="1"/>
    <xf numFmtId="10" fontId="0" fillId="7" borderId="0" xfId="0" applyNumberFormat="1" applyFill="1"/>
    <xf numFmtId="0" fontId="0" fillId="8" borderId="0" xfId="0" applyFill="1"/>
    <xf numFmtId="0" fontId="6" fillId="6" borderId="0" xfId="0" applyFont="1" applyFill="1"/>
    <xf numFmtId="10" fontId="6" fillId="6" borderId="0" xfId="2" applyNumberFormat="1" applyFont="1" applyFill="1"/>
    <xf numFmtId="166" fontId="0" fillId="0" borderId="0" xfId="0" applyNumberFormat="1"/>
    <xf numFmtId="171" fontId="0" fillId="0" borderId="0" xfId="1" applyNumberFormat="1" applyFont="1"/>
    <xf numFmtId="10" fontId="0" fillId="2" borderId="0" xfId="2" applyNumberFormat="1" applyFont="1" applyFill="1"/>
    <xf numFmtId="2" fontId="0" fillId="0" borderId="0" xfId="0" applyNumberFormat="1"/>
    <xf numFmtId="0" fontId="1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2" fontId="0" fillId="0" borderId="0" xfId="1" applyNumberFormat="1" applyFont="1"/>
    <xf numFmtId="175" fontId="0" fillId="9" borderId="0" xfId="0" applyNumberFormat="1" applyFill="1"/>
    <xf numFmtId="0" fontId="0" fillId="5" borderId="1" xfId="0" applyFill="1" applyBorder="1"/>
    <xf numFmtId="164" fontId="0" fillId="10" borderId="1" xfId="2" applyNumberFormat="1" applyFont="1" applyFill="1" applyBorder="1"/>
    <xf numFmtId="165" fontId="0" fillId="0" borderId="0" xfId="2" applyNumberFormat="1" applyFont="1"/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B335-B947-4DC3-A863-06FC7F2CCE2E}">
  <dimension ref="A1:AE1304"/>
  <sheetViews>
    <sheetView zoomScale="55" zoomScaleNormal="55" workbookViewId="0">
      <selection activeCell="U29" sqref="U29"/>
    </sheetView>
  </sheetViews>
  <sheetFormatPr defaultColWidth="8.77734375" defaultRowHeight="14.4" x14ac:dyDescent="0.3"/>
  <cols>
    <col min="1" max="4" width="18.6640625" style="1" customWidth="1"/>
    <col min="5" max="5" width="28.6640625" style="6" customWidth="1"/>
    <col min="6" max="6" width="18.33203125" style="4" customWidth="1"/>
    <col min="7" max="7" width="10.44140625" style="4" customWidth="1"/>
    <col min="9" max="10" width="13.6640625" customWidth="1"/>
    <col min="14" max="14" width="9.88671875" bestFit="1" customWidth="1"/>
    <col min="22" max="22" width="12.6640625" bestFit="1" customWidth="1"/>
    <col min="23" max="23" width="6.77734375" customWidth="1"/>
    <col min="24" max="24" width="9" bestFit="1" customWidth="1"/>
    <col min="25" max="25" width="10.77734375" bestFit="1" customWidth="1"/>
    <col min="29" max="29" width="7.21875" bestFit="1" customWidth="1"/>
    <col min="30" max="30" width="9" bestFit="1" customWidth="1"/>
    <col min="31" max="31" width="10.77734375" bestFit="1" customWidth="1"/>
  </cols>
  <sheetData>
    <row r="1" spans="1:31" x14ac:dyDescent="0.3">
      <c r="A1" s="1" t="e">
        <f ca="1">_xll.Thomson.Reuters.AFOSpreadsheetFormulas.DSGRID("@AAPL,@AMZN,@FB"," ","-5Y","","D","RowHeader=true;ColHeader=true;Heading=true;LatestFirstValue=true;DispSeriesDescription=false;YearlyTSFormat=false;QuarterlyTSFormat=false","")</f>
        <v>#NAME?</v>
      </c>
      <c r="B1" s="2">
        <v>42283</v>
      </c>
    </row>
    <row r="2" spans="1:31" x14ac:dyDescent="0.3">
      <c r="A2" s="1" t="s">
        <v>0</v>
      </c>
      <c r="B2" s="2">
        <v>44110</v>
      </c>
    </row>
    <row r="3" spans="1:31" x14ac:dyDescent="0.3">
      <c r="A3" s="1" t="s">
        <v>1</v>
      </c>
      <c r="B3" s="1" t="s">
        <v>2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31" x14ac:dyDescent="0.3">
      <c r="A4" s="10" t="s">
        <v>3</v>
      </c>
      <c r="B4" s="10" t="s">
        <v>4</v>
      </c>
      <c r="C4" s="10" t="s">
        <v>5</v>
      </c>
      <c r="D4" s="10" t="s">
        <v>6</v>
      </c>
      <c r="E4" s="11" t="s">
        <v>9</v>
      </c>
      <c r="F4" s="12" t="s">
        <v>7</v>
      </c>
      <c r="G4" s="12" t="s">
        <v>8</v>
      </c>
      <c r="V4" t="s">
        <v>41</v>
      </c>
      <c r="W4" t="s">
        <v>31</v>
      </c>
      <c r="X4" t="s">
        <v>32</v>
      </c>
      <c r="Y4" t="s">
        <v>33</v>
      </c>
      <c r="AC4" s="25" t="s">
        <v>31</v>
      </c>
      <c r="AD4" s="25" t="s">
        <v>32</v>
      </c>
      <c r="AE4" s="25" t="s">
        <v>33</v>
      </c>
    </row>
    <row r="5" spans="1:31" x14ac:dyDescent="0.3">
      <c r="A5" s="2">
        <v>44110</v>
      </c>
      <c r="B5" s="1">
        <v>113.16</v>
      </c>
      <c r="C5" s="1">
        <v>3099.96</v>
      </c>
      <c r="D5" s="1">
        <v>258.65989999999999</v>
      </c>
      <c r="E5" s="3">
        <f>50*B5+2*C5-20*D5</f>
        <v>6684.7219999999998</v>
      </c>
      <c r="F5" s="4">
        <f>E5-E6</f>
        <v>-245.68000000000029</v>
      </c>
      <c r="G5" s="4">
        <f>-F5</f>
        <v>245.68000000000029</v>
      </c>
      <c r="H5" s="13"/>
      <c r="I5" s="14"/>
      <c r="J5" s="14"/>
      <c r="K5" s="1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59">
        <f>LN(B5/B6)</f>
        <v>-2.9088526572388838E-2</v>
      </c>
      <c r="X5" s="59">
        <f t="shared" ref="X5:Y5" si="0">LN(C5/C6)</f>
        <v>-3.1511570368424655E-2</v>
      </c>
      <c r="Y5" s="59">
        <f t="shared" si="0"/>
        <v>-2.2893749067256237E-2</v>
      </c>
      <c r="Z5" s="7"/>
      <c r="AA5" s="7"/>
      <c r="AB5" s="7"/>
      <c r="AC5" s="60">
        <f>AVERAGE(W5:W1303)</f>
        <v>1.0798906897984005E-3</v>
      </c>
      <c r="AD5" s="60">
        <f t="shared" ref="AD5:AE5" si="1">AVERAGE(X5:X1303)</f>
        <v>1.3489245089738104E-3</v>
      </c>
      <c r="AE5" s="60">
        <f t="shared" si="1"/>
        <v>7.8912042462430049E-4</v>
      </c>
    </row>
    <row r="6" spans="1:31" x14ac:dyDescent="0.3">
      <c r="A6" s="2">
        <v>44109</v>
      </c>
      <c r="B6" s="1">
        <v>116.5</v>
      </c>
      <c r="C6" s="1">
        <v>3199.2</v>
      </c>
      <c r="D6" s="1">
        <v>264.6499</v>
      </c>
      <c r="E6" s="3">
        <f t="shared" ref="E6:E69" si="2">50*B6+2*C6-20*D6</f>
        <v>6930.402</v>
      </c>
      <c r="F6" s="4">
        <f t="shared" ref="F6:F69" si="3">E6-E7</f>
        <v>228.20000000000073</v>
      </c>
      <c r="G6" s="4">
        <f t="shared" ref="G6:G69" si="4">-F6</f>
        <v>-228.20000000000073</v>
      </c>
      <c r="H6" s="13"/>
      <c r="I6" s="56" t="s">
        <v>10</v>
      </c>
      <c r="J6" s="56"/>
      <c r="K6" s="13"/>
      <c r="W6" s="59">
        <f t="shared" ref="W6:W69" si="5">LN(B6/B7)</f>
        <v>3.0326478804057942E-2</v>
      </c>
      <c r="X6" s="59">
        <f t="shared" ref="X6:X69" si="6">LN(C6/C7)</f>
        <v>2.346649536210672E-2</v>
      </c>
      <c r="Y6" s="59">
        <f t="shared" ref="Y6:Y69" si="7">LN(D6/D7)</f>
        <v>1.7957369997171464E-2</v>
      </c>
    </row>
    <row r="7" spans="1:31" x14ac:dyDescent="0.3">
      <c r="A7" s="2">
        <v>44106</v>
      </c>
      <c r="B7" s="1">
        <v>113.02</v>
      </c>
      <c r="C7" s="1">
        <v>3125</v>
      </c>
      <c r="D7" s="1">
        <v>259.93990000000002</v>
      </c>
      <c r="E7" s="3">
        <f t="shared" si="2"/>
        <v>6702.2019999999993</v>
      </c>
      <c r="F7" s="4">
        <f t="shared" si="3"/>
        <v>-247.22000000000116</v>
      </c>
      <c r="G7" s="4">
        <f t="shared" si="4"/>
        <v>247.22000000000116</v>
      </c>
      <c r="H7" s="13"/>
      <c r="I7" s="13">
        <v>0</v>
      </c>
      <c r="J7" s="14">
        <f>COUNTIF($G:$G,"&gt;"&amp;I7)/COUNT(G:G)</f>
        <v>0.46959199384141648</v>
      </c>
      <c r="K7" s="13"/>
      <c r="W7" s="59">
        <f t="shared" si="5"/>
        <v>-3.2812656088776926E-2</v>
      </c>
      <c r="X7" s="59">
        <f t="shared" si="6"/>
        <v>-3.0338304176198167E-2</v>
      </c>
      <c r="Y7" s="59">
        <f t="shared" si="7"/>
        <v>-2.5411104044980166E-2</v>
      </c>
    </row>
    <row r="8" spans="1:31" x14ac:dyDescent="0.3">
      <c r="A8" s="2">
        <v>44105</v>
      </c>
      <c r="B8" s="1">
        <v>116.79</v>
      </c>
      <c r="C8" s="1">
        <v>3221.26</v>
      </c>
      <c r="D8" s="1">
        <v>266.62990000000002</v>
      </c>
      <c r="E8" s="3">
        <f t="shared" si="2"/>
        <v>6949.4220000000005</v>
      </c>
      <c r="F8" s="4">
        <f t="shared" si="3"/>
        <v>99.460000000000946</v>
      </c>
      <c r="G8" s="4">
        <f t="shared" si="4"/>
        <v>-99.460000000000946</v>
      </c>
      <c r="H8" s="13"/>
      <c r="I8" s="13">
        <v>10</v>
      </c>
      <c r="J8" s="14">
        <f>COUNTIF($G:$G,"&gt;"&amp;I8)/COUNT(G:G)</f>
        <v>0.34026173979984603</v>
      </c>
      <c r="K8" s="13"/>
      <c r="W8" s="59">
        <f t="shared" si="5"/>
        <v>8.4265330941876888E-3</v>
      </c>
      <c r="X8" s="59">
        <f t="shared" si="6"/>
        <v>2.2773390426928015E-2</v>
      </c>
      <c r="Y8" s="59">
        <f t="shared" si="7"/>
        <v>1.7899184805716801E-2</v>
      </c>
    </row>
    <row r="9" spans="1:31" x14ac:dyDescent="0.3">
      <c r="A9" s="2">
        <v>44104</v>
      </c>
      <c r="B9" s="1">
        <v>115.81</v>
      </c>
      <c r="C9" s="1">
        <v>3148.73</v>
      </c>
      <c r="D9" s="1">
        <v>261.8999</v>
      </c>
      <c r="E9" s="3">
        <f t="shared" si="2"/>
        <v>6849.9619999999995</v>
      </c>
      <c r="F9" s="4">
        <f t="shared" si="3"/>
        <v>91.501999999999498</v>
      </c>
      <c r="G9" s="4">
        <f t="shared" si="4"/>
        <v>-91.501999999999498</v>
      </c>
      <c r="H9" s="13"/>
      <c r="I9" s="13">
        <v>20</v>
      </c>
      <c r="J9" s="14">
        <f t="shared" ref="J9:J52" si="8">COUNTIF($G:$G,"&gt;"&amp;I9)/COUNT(G:G)</f>
        <v>0.26712856043110084</v>
      </c>
      <c r="K9" s="13"/>
      <c r="W9" s="59">
        <f t="shared" si="5"/>
        <v>1.4963306588008254E-2</v>
      </c>
      <c r="X9" s="59">
        <f t="shared" si="6"/>
        <v>1.2234633160437428E-3</v>
      </c>
      <c r="Y9" s="59">
        <f t="shared" si="7"/>
        <v>4.1971403921796071E-4</v>
      </c>
    </row>
    <row r="10" spans="1:31" x14ac:dyDescent="0.3">
      <c r="A10" s="2">
        <v>44103</v>
      </c>
      <c r="B10" s="1">
        <v>114.09</v>
      </c>
      <c r="C10" s="1">
        <v>3144.88</v>
      </c>
      <c r="D10" s="1">
        <v>261.79000000000002</v>
      </c>
      <c r="E10" s="3">
        <f t="shared" si="2"/>
        <v>6758.46</v>
      </c>
      <c r="F10" s="4">
        <f t="shared" si="3"/>
        <v>-201.23800000000028</v>
      </c>
      <c r="G10" s="4">
        <f t="shared" si="4"/>
        <v>201.23800000000028</v>
      </c>
      <c r="H10" s="13"/>
      <c r="I10" s="13">
        <v>30</v>
      </c>
      <c r="J10" s="14">
        <f t="shared" si="8"/>
        <v>0.20477290223248654</v>
      </c>
      <c r="K10" s="13"/>
      <c r="W10" s="59">
        <f t="shared" si="5"/>
        <v>-7.5966311624914452E-3</v>
      </c>
      <c r="X10" s="59">
        <f t="shared" si="6"/>
        <v>-9.2326413516179689E-3</v>
      </c>
      <c r="Y10" s="59">
        <f t="shared" si="7"/>
        <v>1.916681586842487E-2</v>
      </c>
    </row>
    <row r="11" spans="1:31" x14ac:dyDescent="0.3">
      <c r="A11" s="2">
        <v>44102</v>
      </c>
      <c r="B11" s="1">
        <v>114.96</v>
      </c>
      <c r="C11" s="1">
        <v>3174.05</v>
      </c>
      <c r="D11" s="1">
        <v>256.82010000000002</v>
      </c>
      <c r="E11" s="3">
        <f t="shared" si="2"/>
        <v>6959.6980000000003</v>
      </c>
      <c r="F11" s="4">
        <f t="shared" si="3"/>
        <v>251.83799999999974</v>
      </c>
      <c r="G11" s="4">
        <f t="shared" si="4"/>
        <v>-251.83799999999974</v>
      </c>
      <c r="H11" s="13"/>
      <c r="I11" s="13">
        <v>40</v>
      </c>
      <c r="J11" s="14">
        <f t="shared" si="8"/>
        <v>0.16551193225558122</v>
      </c>
      <c r="K11" s="13"/>
      <c r="W11" s="59">
        <f t="shared" si="5"/>
        <v>2.358849027708761E-2</v>
      </c>
      <c r="X11" s="59">
        <f t="shared" si="6"/>
        <v>2.5178466487742825E-2</v>
      </c>
      <c r="Y11" s="59">
        <f t="shared" si="7"/>
        <v>7.8184262275917404E-3</v>
      </c>
    </row>
    <row r="12" spans="1:31" x14ac:dyDescent="0.3">
      <c r="A12" s="2">
        <v>44099</v>
      </c>
      <c r="B12" s="1">
        <v>112.28</v>
      </c>
      <c r="C12" s="1">
        <v>3095.13</v>
      </c>
      <c r="D12" s="1">
        <v>254.82</v>
      </c>
      <c r="E12" s="3">
        <f t="shared" si="2"/>
        <v>6707.8600000000006</v>
      </c>
      <c r="F12" s="4">
        <f t="shared" si="3"/>
        <v>247.88000000000102</v>
      </c>
      <c r="G12" s="4">
        <f t="shared" si="4"/>
        <v>-247.88000000000102</v>
      </c>
      <c r="H12" s="13"/>
      <c r="I12" s="13">
        <v>50</v>
      </c>
      <c r="J12" s="14">
        <f t="shared" si="8"/>
        <v>0.13163972286374134</v>
      </c>
      <c r="K12" s="13"/>
      <c r="W12" s="59">
        <f t="shared" si="5"/>
        <v>3.6829559279092587E-2</v>
      </c>
      <c r="X12" s="59">
        <f t="shared" si="6"/>
        <v>2.4642615940298155E-2</v>
      </c>
      <c r="Y12" s="59">
        <f t="shared" si="7"/>
        <v>2.0978265109006675E-2</v>
      </c>
    </row>
    <row r="13" spans="1:31" x14ac:dyDescent="0.3">
      <c r="A13" s="2">
        <v>44098</v>
      </c>
      <c r="B13" s="1">
        <v>108.22</v>
      </c>
      <c r="C13" s="1">
        <v>3019.79</v>
      </c>
      <c r="D13" s="1">
        <v>249.53</v>
      </c>
      <c r="E13" s="3">
        <f t="shared" si="2"/>
        <v>6459.98</v>
      </c>
      <c r="F13" s="4">
        <f t="shared" si="3"/>
        <v>84.659999999998945</v>
      </c>
      <c r="G13" s="4">
        <f t="shared" si="4"/>
        <v>-84.659999999998945</v>
      </c>
      <c r="H13" s="13"/>
      <c r="I13" s="13">
        <v>60</v>
      </c>
      <c r="J13" s="14">
        <f t="shared" si="8"/>
        <v>0.1077752117013087</v>
      </c>
      <c r="K13" s="13"/>
      <c r="W13" s="59">
        <f t="shared" si="5"/>
        <v>1.0216490831672094E-2</v>
      </c>
      <c r="X13" s="59">
        <f t="shared" si="6"/>
        <v>6.6216716326476929E-3</v>
      </c>
      <c r="Y13" s="59">
        <f t="shared" si="7"/>
        <v>2.0459339199614826E-3</v>
      </c>
    </row>
    <row r="14" spans="1:31" x14ac:dyDescent="0.3">
      <c r="A14" s="2">
        <v>44097</v>
      </c>
      <c r="B14" s="1">
        <v>107.12</v>
      </c>
      <c r="C14" s="1">
        <v>2999.86</v>
      </c>
      <c r="D14" s="1">
        <v>249.02</v>
      </c>
      <c r="E14" s="3">
        <f t="shared" si="2"/>
        <v>6375.3200000000006</v>
      </c>
      <c r="F14" s="4">
        <f t="shared" si="3"/>
        <v>-378.15999999999894</v>
      </c>
      <c r="G14" s="4">
        <f t="shared" si="4"/>
        <v>378.15999999999894</v>
      </c>
      <c r="H14" s="13"/>
      <c r="I14" s="13">
        <v>70</v>
      </c>
      <c r="J14" s="14">
        <f t="shared" si="8"/>
        <v>9.5458044649730567E-2</v>
      </c>
      <c r="K14" s="13"/>
      <c r="W14" s="59">
        <f t="shared" si="5"/>
        <v>-4.2851300776359645E-2</v>
      </c>
      <c r="X14" s="59">
        <f t="shared" si="6"/>
        <v>-4.2144647859881659E-2</v>
      </c>
      <c r="Y14" s="59">
        <f t="shared" si="7"/>
        <v>-2.2749457578567733E-2</v>
      </c>
    </row>
    <row r="15" spans="1:31" x14ac:dyDescent="0.3">
      <c r="A15" s="2">
        <v>44096</v>
      </c>
      <c r="B15" s="1">
        <v>111.81</v>
      </c>
      <c r="C15" s="1">
        <v>3128.99</v>
      </c>
      <c r="D15" s="1">
        <v>254.75</v>
      </c>
      <c r="E15" s="3">
        <f t="shared" si="2"/>
        <v>6753.48</v>
      </c>
      <c r="F15" s="4">
        <f t="shared" si="3"/>
        <v>291.54000000000087</v>
      </c>
      <c r="G15" s="4">
        <f t="shared" si="4"/>
        <v>-291.54000000000087</v>
      </c>
      <c r="H15" s="13"/>
      <c r="I15" s="13">
        <v>80</v>
      </c>
      <c r="J15" s="14">
        <f t="shared" si="8"/>
        <v>8.9299461123941493E-2</v>
      </c>
      <c r="K15" s="13"/>
      <c r="W15" s="59">
        <f t="shared" si="5"/>
        <v>1.5593627974243187E-2</v>
      </c>
      <c r="X15" s="59">
        <f t="shared" si="6"/>
        <v>5.5362229257460004E-2</v>
      </c>
      <c r="Y15" s="59">
        <f t="shared" si="7"/>
        <v>2.6249270069384375E-2</v>
      </c>
    </row>
    <row r="16" spans="1:31" x14ac:dyDescent="0.3">
      <c r="A16" s="2">
        <v>44095</v>
      </c>
      <c r="B16" s="1">
        <v>110.08</v>
      </c>
      <c r="C16" s="1">
        <v>2960.47</v>
      </c>
      <c r="D16" s="1">
        <v>248.15</v>
      </c>
      <c r="E16" s="3">
        <f t="shared" si="2"/>
        <v>6461.9399999999987</v>
      </c>
      <c r="F16" s="4">
        <f t="shared" si="3"/>
        <v>260.71999999999935</v>
      </c>
      <c r="G16" s="4">
        <f t="shared" si="4"/>
        <v>-260.71999999999935</v>
      </c>
      <c r="H16" s="13"/>
      <c r="I16" s="13">
        <v>90</v>
      </c>
      <c r="J16" s="14">
        <f t="shared" si="8"/>
        <v>7.3903002309468821E-2</v>
      </c>
      <c r="K16" s="13"/>
      <c r="M16" s="5" t="s">
        <v>11</v>
      </c>
      <c r="N16" s="8">
        <f>MIN(I20:I21)</f>
        <v>112</v>
      </c>
      <c r="O16" t="s">
        <v>13</v>
      </c>
      <c r="W16" s="59">
        <f t="shared" si="5"/>
        <v>2.9874985943273268E-2</v>
      </c>
      <c r="X16" s="59">
        <f t="shared" si="6"/>
        <v>1.8798459734918509E-3</v>
      </c>
      <c r="Y16" s="59">
        <f t="shared" si="7"/>
        <v>-1.7496651505580205E-2</v>
      </c>
    </row>
    <row r="17" spans="1:25" x14ac:dyDescent="0.3">
      <c r="A17" s="2">
        <v>44092</v>
      </c>
      <c r="B17" s="1">
        <v>106.84</v>
      </c>
      <c r="C17" s="1">
        <v>2954.91</v>
      </c>
      <c r="D17" s="1">
        <v>252.53</v>
      </c>
      <c r="E17" s="3">
        <f t="shared" si="2"/>
        <v>6201.2199999999993</v>
      </c>
      <c r="F17" s="4">
        <f t="shared" si="3"/>
        <v>-236.84000000000015</v>
      </c>
      <c r="G17" s="4">
        <f t="shared" si="4"/>
        <v>236.84000000000015</v>
      </c>
      <c r="H17" s="13"/>
      <c r="I17" s="13">
        <v>100</v>
      </c>
      <c r="J17" s="14">
        <f t="shared" si="8"/>
        <v>6.1585835257890686E-2</v>
      </c>
      <c r="K17" s="13"/>
      <c r="M17" s="9" t="s">
        <v>12</v>
      </c>
      <c r="N17" s="21">
        <f>MIN(I42:I45)</f>
        <v>242</v>
      </c>
      <c r="O17" t="s">
        <v>14</v>
      </c>
      <c r="W17" s="59">
        <f t="shared" si="5"/>
        <v>-3.2234119602524557E-2</v>
      </c>
      <c r="X17" s="59">
        <f t="shared" si="6"/>
        <v>-1.8049869272830928E-2</v>
      </c>
      <c r="Y17" s="59">
        <f t="shared" si="7"/>
        <v>-9.0273600142046738E-3</v>
      </c>
    </row>
    <row r="18" spans="1:25" x14ac:dyDescent="0.3">
      <c r="A18" s="2">
        <v>44091</v>
      </c>
      <c r="B18" s="1">
        <v>110.34</v>
      </c>
      <c r="C18" s="1">
        <v>3008.73</v>
      </c>
      <c r="D18" s="1">
        <v>254.82</v>
      </c>
      <c r="E18" s="3">
        <f t="shared" si="2"/>
        <v>6438.0599999999995</v>
      </c>
      <c r="F18" s="4">
        <f t="shared" si="3"/>
        <v>-54.240000000001601</v>
      </c>
      <c r="G18" s="4">
        <f t="shared" si="4"/>
        <v>54.240000000001601</v>
      </c>
      <c r="H18" s="13"/>
      <c r="I18" s="16">
        <v>110</v>
      </c>
      <c r="J18" s="14">
        <f t="shared" si="8"/>
        <v>5.2347959969207082E-2</v>
      </c>
      <c r="K18" s="13"/>
      <c r="W18" s="59">
        <f t="shared" si="5"/>
        <v>-1.6092404628504513E-2</v>
      </c>
      <c r="X18" s="59">
        <f t="shared" si="6"/>
        <v>-2.2794460703642067E-2</v>
      </c>
      <c r="Y18" s="59">
        <f t="shared" si="7"/>
        <v>-3.3571852876095369E-2</v>
      </c>
    </row>
    <row r="19" spans="1:25" x14ac:dyDescent="0.3">
      <c r="A19" s="2">
        <v>44090</v>
      </c>
      <c r="B19" s="1">
        <v>112.13</v>
      </c>
      <c r="C19" s="1">
        <v>3078.1</v>
      </c>
      <c r="D19" s="1">
        <v>263.52</v>
      </c>
      <c r="E19" s="3">
        <f t="shared" si="2"/>
        <v>6492.3000000000011</v>
      </c>
      <c r="F19" s="4">
        <f t="shared" si="3"/>
        <v>-148.5619999999999</v>
      </c>
      <c r="G19" s="4">
        <f t="shared" si="4"/>
        <v>148.5619999999999</v>
      </c>
      <c r="H19" s="13"/>
      <c r="I19" s="16">
        <v>111</v>
      </c>
      <c r="J19" s="14">
        <f t="shared" si="8"/>
        <v>5.0808314087759814E-2</v>
      </c>
      <c r="K19" s="13"/>
      <c r="W19" s="59">
        <f t="shared" si="5"/>
        <v>-2.9957877880330188E-2</v>
      </c>
      <c r="X19" s="59">
        <f t="shared" si="6"/>
        <v>-2.5034069998858526E-2</v>
      </c>
      <c r="Y19" s="59">
        <f t="shared" si="7"/>
        <v>-3.3215359509554315E-2</v>
      </c>
    </row>
    <row r="20" spans="1:25" x14ac:dyDescent="0.3">
      <c r="A20" s="2">
        <v>44089</v>
      </c>
      <c r="B20" s="1">
        <v>115.54</v>
      </c>
      <c r="C20" s="1">
        <v>3156.13</v>
      </c>
      <c r="D20" s="1">
        <v>272.41989999999998</v>
      </c>
      <c r="E20" s="3">
        <f t="shared" si="2"/>
        <v>6640.862000000001</v>
      </c>
      <c r="F20" s="4">
        <f t="shared" si="3"/>
        <v>-9.8299999999981083</v>
      </c>
      <c r="G20" s="4">
        <f t="shared" si="4"/>
        <v>9.8299999999981083</v>
      </c>
      <c r="H20" s="13"/>
      <c r="I20" s="16">
        <v>112</v>
      </c>
      <c r="J20" s="18">
        <f t="shared" si="8"/>
        <v>5.0038491147036179E-2</v>
      </c>
      <c r="K20" s="20">
        <f>J20</f>
        <v>5.0038491147036179E-2</v>
      </c>
      <c r="W20" s="59">
        <f t="shared" si="5"/>
        <v>1.6024603355476621E-3</v>
      </c>
      <c r="X20" s="59">
        <f t="shared" si="6"/>
        <v>1.6986876160439368E-2</v>
      </c>
      <c r="Y20" s="59">
        <f t="shared" si="7"/>
        <v>2.3284942048161599E-2</v>
      </c>
    </row>
    <row r="21" spans="1:25" x14ac:dyDescent="0.3">
      <c r="A21" s="2">
        <v>44088</v>
      </c>
      <c r="B21" s="1">
        <v>115.355</v>
      </c>
      <c r="C21" s="1">
        <v>3102.97</v>
      </c>
      <c r="D21" s="1">
        <v>266.1499</v>
      </c>
      <c r="E21" s="3">
        <f t="shared" si="2"/>
        <v>6650.6919999999991</v>
      </c>
      <c r="F21" s="4">
        <f t="shared" si="3"/>
        <v>150.45399999999972</v>
      </c>
      <c r="G21" s="4">
        <f t="shared" si="4"/>
        <v>-150.45399999999972</v>
      </c>
      <c r="H21" s="13"/>
      <c r="I21" s="16">
        <v>113</v>
      </c>
      <c r="J21" s="18">
        <f t="shared" si="8"/>
        <v>5.0038491147036179E-2</v>
      </c>
      <c r="K21" s="20">
        <f>J21</f>
        <v>5.0038491147036179E-2</v>
      </c>
      <c r="W21" s="59">
        <f t="shared" si="5"/>
        <v>2.9515458722477402E-2</v>
      </c>
      <c r="X21" s="59">
        <f t="shared" si="6"/>
        <v>-4.2610114974733614E-3</v>
      </c>
      <c r="Y21" s="59">
        <f t="shared" si="7"/>
        <v>-1.7276076074047575E-3</v>
      </c>
    </row>
    <row r="22" spans="1:25" x14ac:dyDescent="0.3">
      <c r="A22" s="2">
        <v>44085</v>
      </c>
      <c r="B22" s="1">
        <v>112</v>
      </c>
      <c r="C22" s="1">
        <v>3116.22</v>
      </c>
      <c r="D22" s="1">
        <v>266.61009999999999</v>
      </c>
      <c r="E22" s="3">
        <f t="shared" si="2"/>
        <v>6500.2379999999994</v>
      </c>
      <c r="F22" s="4">
        <f t="shared" si="3"/>
        <v>-162.68000000000211</v>
      </c>
      <c r="G22" s="4">
        <f t="shared" si="4"/>
        <v>162.68000000000211</v>
      </c>
      <c r="H22" s="13"/>
      <c r="I22" s="16">
        <v>114</v>
      </c>
      <c r="J22" s="14">
        <f t="shared" si="8"/>
        <v>4.9268668206312545E-2</v>
      </c>
      <c r="K22" s="13"/>
      <c r="W22" s="59">
        <f t="shared" si="5"/>
        <v>-1.3215856017952983E-2</v>
      </c>
      <c r="X22" s="59">
        <f t="shared" si="6"/>
        <v>-1.8721548559983224E-2</v>
      </c>
      <c r="Y22" s="59">
        <f t="shared" si="7"/>
        <v>-5.5358265420301497E-3</v>
      </c>
    </row>
    <row r="23" spans="1:25" x14ac:dyDescent="0.3">
      <c r="A23" s="2">
        <v>44084</v>
      </c>
      <c r="B23" s="1">
        <v>113.49</v>
      </c>
      <c r="C23" s="1">
        <v>3175.11</v>
      </c>
      <c r="D23" s="1">
        <v>268.09010000000001</v>
      </c>
      <c r="E23" s="3">
        <f t="shared" si="2"/>
        <v>6662.9180000000015</v>
      </c>
      <c r="F23" s="4">
        <f t="shared" si="3"/>
        <v>-265.90199999999913</v>
      </c>
      <c r="G23" s="4">
        <f t="shared" si="4"/>
        <v>265.90199999999913</v>
      </c>
      <c r="H23" s="13"/>
      <c r="I23" s="16">
        <v>115</v>
      </c>
      <c r="J23" s="14">
        <f t="shared" si="8"/>
        <v>4.8498845265588918E-2</v>
      </c>
      <c r="K23" s="13"/>
      <c r="W23" s="59">
        <f t="shared" si="5"/>
        <v>-3.3190516796202683E-2</v>
      </c>
      <c r="X23" s="59">
        <f t="shared" si="6"/>
        <v>-2.9022540672157836E-2</v>
      </c>
      <c r="Y23" s="59">
        <f t="shared" si="7"/>
        <v>-2.0782568044139405E-2</v>
      </c>
    </row>
    <row r="24" spans="1:25" x14ac:dyDescent="0.3">
      <c r="A24" s="2">
        <v>44083</v>
      </c>
      <c r="B24" s="1">
        <v>117.32</v>
      </c>
      <c r="C24" s="1">
        <v>3268.61</v>
      </c>
      <c r="D24" s="1">
        <v>273.72000000000003</v>
      </c>
      <c r="E24" s="3">
        <f t="shared" si="2"/>
        <v>6928.8200000000006</v>
      </c>
      <c r="F24" s="4">
        <f t="shared" si="3"/>
        <v>411.33800000000065</v>
      </c>
      <c r="G24" s="4">
        <f t="shared" si="4"/>
        <v>-411.33800000000065</v>
      </c>
      <c r="H24" s="13"/>
      <c r="I24" s="13">
        <v>116</v>
      </c>
      <c r="J24" s="14">
        <f t="shared" si="8"/>
        <v>4.7729022324865283E-2</v>
      </c>
      <c r="K24" s="13"/>
      <c r="W24" s="59">
        <f t="shared" si="5"/>
        <v>3.9111615797420202E-2</v>
      </c>
      <c r="X24" s="59">
        <f t="shared" si="6"/>
        <v>3.7013160189250015E-2</v>
      </c>
      <c r="Y24" s="59">
        <f t="shared" si="7"/>
        <v>9.3970023075568808E-3</v>
      </c>
    </row>
    <row r="25" spans="1:25" x14ac:dyDescent="0.3">
      <c r="A25" s="2">
        <v>44082</v>
      </c>
      <c r="B25" s="1">
        <v>112.82</v>
      </c>
      <c r="C25" s="1">
        <v>3149.84</v>
      </c>
      <c r="D25" s="1">
        <v>271.15989999999999</v>
      </c>
      <c r="E25" s="3">
        <f t="shared" si="2"/>
        <v>6517.482</v>
      </c>
      <c r="F25" s="4">
        <f t="shared" si="3"/>
        <v>-465.15799999999945</v>
      </c>
      <c r="G25" s="4">
        <f t="shared" si="4"/>
        <v>465.15799999999945</v>
      </c>
      <c r="H25" s="13"/>
      <c r="I25" s="13">
        <v>117</v>
      </c>
      <c r="J25" s="14">
        <f t="shared" si="8"/>
        <v>4.6959199384141649E-2</v>
      </c>
      <c r="K25" s="13"/>
      <c r="W25" s="59">
        <f t="shared" si="5"/>
        <v>-6.9666284119392893E-2</v>
      </c>
      <c r="X25" s="59">
        <f t="shared" si="6"/>
        <v>-4.4939177155283283E-2</v>
      </c>
      <c r="Y25" s="59">
        <f t="shared" si="7"/>
        <v>-4.1783694853894708E-2</v>
      </c>
    </row>
    <row r="26" spans="1:25" x14ac:dyDescent="0.3">
      <c r="A26" s="2">
        <v>44078</v>
      </c>
      <c r="B26" s="1">
        <v>120.96</v>
      </c>
      <c r="C26" s="1">
        <v>3294.62</v>
      </c>
      <c r="D26" s="1">
        <v>282.73</v>
      </c>
      <c r="E26" s="3">
        <f t="shared" si="2"/>
        <v>6982.6399999999994</v>
      </c>
      <c r="F26" s="4">
        <f t="shared" si="3"/>
        <v>25.041999999999462</v>
      </c>
      <c r="G26" s="4">
        <f t="shared" si="4"/>
        <v>-25.041999999999462</v>
      </c>
      <c r="H26" s="13"/>
      <c r="I26" s="13">
        <v>118</v>
      </c>
      <c r="J26" s="14">
        <f t="shared" si="8"/>
        <v>4.6959199384141649E-2</v>
      </c>
      <c r="K26" s="13"/>
      <c r="W26" s="59">
        <f t="shared" si="5"/>
        <v>6.6159446673871847E-4</v>
      </c>
      <c r="X26" s="59">
        <f t="shared" si="6"/>
        <v>-2.2028261328090111E-2</v>
      </c>
      <c r="Y26" s="59">
        <f t="shared" si="7"/>
        <v>-2.9243518174172308E-2</v>
      </c>
    </row>
    <row r="27" spans="1:25" x14ac:dyDescent="0.3">
      <c r="A27" s="2">
        <v>44077</v>
      </c>
      <c r="B27" s="1">
        <v>120.88</v>
      </c>
      <c r="C27" s="1">
        <v>3368</v>
      </c>
      <c r="D27" s="1">
        <v>291.12009999999998</v>
      </c>
      <c r="E27" s="3">
        <f t="shared" si="2"/>
        <v>6957.598</v>
      </c>
      <c r="F27" s="4">
        <f t="shared" si="3"/>
        <v>-625.30199999999968</v>
      </c>
      <c r="G27" s="4">
        <f t="shared" si="4"/>
        <v>625.30199999999968</v>
      </c>
      <c r="H27" s="13"/>
      <c r="I27" s="13">
        <v>119</v>
      </c>
      <c r="J27" s="14">
        <f t="shared" si="8"/>
        <v>4.6189376443418015E-2</v>
      </c>
      <c r="K27" s="13"/>
      <c r="W27" s="59">
        <f t="shared" si="5"/>
        <v>-8.3447788086026042E-2</v>
      </c>
      <c r="X27" s="59">
        <f t="shared" si="6"/>
        <v>-4.7389455096851441E-2</v>
      </c>
      <c r="Y27" s="59">
        <f t="shared" si="7"/>
        <v>-3.8345380666089036E-2</v>
      </c>
    </row>
    <row r="28" spans="1:25" x14ac:dyDescent="0.3">
      <c r="A28" s="2">
        <v>44076</v>
      </c>
      <c r="B28" s="1">
        <v>131.4</v>
      </c>
      <c r="C28" s="1">
        <v>3531.45</v>
      </c>
      <c r="D28" s="1">
        <v>302.5</v>
      </c>
      <c r="E28" s="3">
        <f t="shared" si="2"/>
        <v>7582.9</v>
      </c>
      <c r="F28" s="4">
        <f t="shared" si="3"/>
        <v>-215.54199999999946</v>
      </c>
      <c r="G28" s="4">
        <f t="shared" si="4"/>
        <v>215.54199999999946</v>
      </c>
      <c r="H28" s="13"/>
      <c r="I28" s="13">
        <v>120</v>
      </c>
      <c r="J28" s="14">
        <f t="shared" si="8"/>
        <v>4.6189376443418015E-2</v>
      </c>
      <c r="K28" s="13"/>
      <c r="W28" s="59">
        <f t="shared" si="5"/>
        <v>-2.0936076084231873E-2</v>
      </c>
      <c r="X28" s="59">
        <f t="shared" si="6"/>
        <v>9.1970431664546437E-3</v>
      </c>
      <c r="Y28" s="59">
        <f t="shared" si="7"/>
        <v>2.3615845404847517E-2</v>
      </c>
    </row>
    <row r="29" spans="1:25" x14ac:dyDescent="0.3">
      <c r="A29" s="2">
        <v>44075</v>
      </c>
      <c r="B29" s="1">
        <v>134.18</v>
      </c>
      <c r="C29" s="1">
        <v>3499.12</v>
      </c>
      <c r="D29" s="1">
        <v>295.43990000000002</v>
      </c>
      <c r="E29" s="3">
        <f t="shared" si="2"/>
        <v>7798.4419999999991</v>
      </c>
      <c r="F29" s="4">
        <f t="shared" si="3"/>
        <v>308.52199999999903</v>
      </c>
      <c r="G29" s="4">
        <f t="shared" si="4"/>
        <v>-308.52199999999903</v>
      </c>
      <c r="H29" s="13"/>
      <c r="I29" s="13">
        <v>130</v>
      </c>
      <c r="J29" s="14">
        <f t="shared" si="8"/>
        <v>4.0030792917628948E-2</v>
      </c>
      <c r="K29" s="13"/>
      <c r="W29" s="59">
        <f t="shared" si="5"/>
        <v>3.9059748317788613E-2</v>
      </c>
      <c r="X29" s="59">
        <f t="shared" si="6"/>
        <v>1.3859055105018739E-2</v>
      </c>
      <c r="Y29" s="59">
        <f t="shared" si="7"/>
        <v>7.6104620535521602E-3</v>
      </c>
    </row>
    <row r="30" spans="1:25" x14ac:dyDescent="0.3">
      <c r="A30" s="2">
        <v>44074</v>
      </c>
      <c r="B30" s="1">
        <v>129.04</v>
      </c>
      <c r="C30" s="1">
        <v>3450.96</v>
      </c>
      <c r="D30" s="1">
        <v>293.2</v>
      </c>
      <c r="E30" s="3">
        <f t="shared" si="2"/>
        <v>7489.92</v>
      </c>
      <c r="F30" s="4">
        <f t="shared" si="3"/>
        <v>319.14300000000003</v>
      </c>
      <c r="G30" s="4">
        <f t="shared" si="4"/>
        <v>-319.14300000000003</v>
      </c>
      <c r="H30" s="13"/>
      <c r="I30" s="13">
        <v>140</v>
      </c>
      <c r="J30" s="14">
        <f t="shared" si="8"/>
        <v>3.7721324095458045E-2</v>
      </c>
      <c r="K30" s="13"/>
      <c r="W30" s="59">
        <f t="shared" si="5"/>
        <v>3.3349883533481332E-2</v>
      </c>
      <c r="X30" s="59">
        <f t="shared" si="6"/>
        <v>1.4347749907603886E-2</v>
      </c>
      <c r="Y30" s="59">
        <f t="shared" si="7"/>
        <v>-1.5673249923726024E-3</v>
      </c>
    </row>
    <row r="31" spans="1:25" x14ac:dyDescent="0.3">
      <c r="A31" s="2">
        <v>44071</v>
      </c>
      <c r="B31" s="1">
        <v>124.8075</v>
      </c>
      <c r="C31" s="1">
        <v>3401.8</v>
      </c>
      <c r="D31" s="1">
        <v>293.65989999999999</v>
      </c>
      <c r="E31" s="3">
        <f t="shared" si="2"/>
        <v>7170.777</v>
      </c>
      <c r="F31" s="4">
        <f t="shared" si="3"/>
        <v>-15.322999999999411</v>
      </c>
      <c r="G31" s="4">
        <f t="shared" si="4"/>
        <v>15.322999999999411</v>
      </c>
      <c r="H31" s="13"/>
      <c r="I31" s="13">
        <v>150</v>
      </c>
      <c r="J31" s="14">
        <f t="shared" si="8"/>
        <v>3.3872209391839873E-2</v>
      </c>
      <c r="K31" s="13"/>
      <c r="W31" s="59">
        <f t="shared" si="5"/>
        <v>-1.6211838189998278E-3</v>
      </c>
      <c r="X31" s="59">
        <f t="shared" si="6"/>
        <v>5.2927167573856904E-4</v>
      </c>
      <c r="Y31" s="59">
        <f t="shared" si="7"/>
        <v>1.4991144947505291E-3</v>
      </c>
    </row>
    <row r="32" spans="1:25" x14ac:dyDescent="0.3">
      <c r="A32" s="2">
        <v>44070</v>
      </c>
      <c r="B32" s="1">
        <v>125.01</v>
      </c>
      <c r="C32" s="1">
        <v>3400</v>
      </c>
      <c r="D32" s="1">
        <v>293.22000000000003</v>
      </c>
      <c r="E32" s="3">
        <f t="shared" si="2"/>
        <v>7186.0999999999995</v>
      </c>
      <c r="F32" s="4">
        <f t="shared" si="3"/>
        <v>54.472999999999047</v>
      </c>
      <c r="G32" s="4">
        <f t="shared" si="4"/>
        <v>-54.472999999999047</v>
      </c>
      <c r="H32" s="13"/>
      <c r="I32" s="13">
        <v>160</v>
      </c>
      <c r="J32" s="14">
        <f t="shared" si="8"/>
        <v>3.2332563510392612E-2</v>
      </c>
      <c r="K32" s="13"/>
      <c r="W32" s="59">
        <f t="shared" si="5"/>
        <v>-1.2026423861538555E-2</v>
      </c>
      <c r="X32" s="59">
        <f t="shared" si="6"/>
        <v>-1.2233685903273882E-2</v>
      </c>
      <c r="Y32" s="59">
        <f t="shared" si="7"/>
        <v>-3.5808095387455441E-2</v>
      </c>
    </row>
    <row r="33" spans="1:25" x14ac:dyDescent="0.3">
      <c r="A33" s="2">
        <v>44069</v>
      </c>
      <c r="B33" s="1">
        <v>126.52249999999999</v>
      </c>
      <c r="C33" s="1">
        <v>3441.85</v>
      </c>
      <c r="D33" s="1">
        <v>303.90989999999999</v>
      </c>
      <c r="E33" s="3">
        <f t="shared" si="2"/>
        <v>7131.6270000000004</v>
      </c>
      <c r="F33" s="4">
        <f t="shared" si="3"/>
        <v>-186.20099999999911</v>
      </c>
      <c r="G33" s="4">
        <f t="shared" si="4"/>
        <v>186.20099999999911</v>
      </c>
      <c r="H33" s="13"/>
      <c r="I33" s="13">
        <v>170</v>
      </c>
      <c r="J33" s="14">
        <f t="shared" si="8"/>
        <v>2.6173979984603541E-2</v>
      </c>
      <c r="K33" s="13"/>
      <c r="W33" s="59">
        <f t="shared" si="5"/>
        <v>1.350740157733734E-2</v>
      </c>
      <c r="X33" s="59">
        <f t="shared" si="6"/>
        <v>2.8097082167917869E-2</v>
      </c>
      <c r="Y33" s="59">
        <f t="shared" si="7"/>
        <v>7.9017025111148248E-2</v>
      </c>
    </row>
    <row r="34" spans="1:25" x14ac:dyDescent="0.3">
      <c r="A34" s="2">
        <v>44068</v>
      </c>
      <c r="B34" s="1">
        <v>124.825</v>
      </c>
      <c r="C34" s="1">
        <v>3346.49</v>
      </c>
      <c r="D34" s="1">
        <v>280.82010000000002</v>
      </c>
      <c r="E34" s="3">
        <f t="shared" si="2"/>
        <v>7317.8279999999995</v>
      </c>
      <c r="F34" s="4">
        <f t="shared" si="3"/>
        <v>-162.16899999999987</v>
      </c>
      <c r="G34" s="4">
        <f t="shared" si="4"/>
        <v>162.16899999999987</v>
      </c>
      <c r="H34" s="13"/>
      <c r="I34" s="13">
        <v>180</v>
      </c>
      <c r="J34" s="14">
        <f t="shared" si="8"/>
        <v>2.2324865280985373E-2</v>
      </c>
      <c r="K34" s="13"/>
      <c r="W34" s="59">
        <f t="shared" si="5"/>
        <v>-8.2375581746164991E-3</v>
      </c>
      <c r="X34" s="59">
        <f t="shared" si="6"/>
        <v>1.1731512150007223E-2</v>
      </c>
      <c r="Y34" s="59">
        <f t="shared" si="7"/>
        <v>3.4157718521757169E-2</v>
      </c>
    </row>
    <row r="35" spans="1:25" x14ac:dyDescent="0.3">
      <c r="A35" s="2">
        <v>44067</v>
      </c>
      <c r="B35" s="1">
        <v>125.8575</v>
      </c>
      <c r="C35" s="1">
        <v>3307.46</v>
      </c>
      <c r="D35" s="1">
        <v>271.38990000000001</v>
      </c>
      <c r="E35" s="3">
        <f t="shared" si="2"/>
        <v>7479.9969999999994</v>
      </c>
      <c r="F35" s="4">
        <f t="shared" si="3"/>
        <v>32.257000000000517</v>
      </c>
      <c r="G35" s="4">
        <f t="shared" si="4"/>
        <v>-32.257000000000517</v>
      </c>
      <c r="H35" s="13"/>
      <c r="I35" s="13">
        <v>190</v>
      </c>
      <c r="J35" s="14">
        <f t="shared" si="8"/>
        <v>2.0015396458814474E-2</v>
      </c>
      <c r="K35" s="13"/>
      <c r="W35" s="59">
        <f t="shared" si="5"/>
        <v>1.1889320895639802E-2</v>
      </c>
      <c r="X35" s="59">
        <f t="shared" si="6"/>
        <v>6.8991108245307197E-3</v>
      </c>
      <c r="Y35" s="59">
        <f t="shared" si="7"/>
        <v>1.6270421382251488E-2</v>
      </c>
    </row>
    <row r="36" spans="1:25" x14ac:dyDescent="0.3">
      <c r="A36" s="2">
        <v>44064</v>
      </c>
      <c r="B36" s="1">
        <v>124.37</v>
      </c>
      <c r="C36" s="1">
        <v>3284.72</v>
      </c>
      <c r="D36" s="1">
        <v>267.01</v>
      </c>
      <c r="E36" s="3">
        <f t="shared" si="2"/>
        <v>7447.7399999999989</v>
      </c>
      <c r="F36" s="4">
        <f t="shared" si="3"/>
        <v>319.44999999999891</v>
      </c>
      <c r="G36" s="4">
        <f t="shared" si="4"/>
        <v>-319.44999999999891</v>
      </c>
      <c r="H36" s="13"/>
      <c r="I36" s="13">
        <v>200</v>
      </c>
      <c r="J36" s="14">
        <f t="shared" si="8"/>
        <v>1.7705927636643571E-2</v>
      </c>
      <c r="K36" s="13"/>
      <c r="W36" s="59">
        <f t="shared" si="5"/>
        <v>5.0248572148437892E-2</v>
      </c>
      <c r="X36" s="59">
        <f t="shared" si="6"/>
        <v>-3.8437686433464668E-3</v>
      </c>
      <c r="Y36" s="59">
        <f t="shared" si="7"/>
        <v>-7.4624427496486822E-3</v>
      </c>
    </row>
    <row r="37" spans="1:25" x14ac:dyDescent="0.3">
      <c r="A37" s="2">
        <v>44063</v>
      </c>
      <c r="B37" s="1">
        <v>118.27500000000001</v>
      </c>
      <c r="C37" s="1">
        <v>3297.37</v>
      </c>
      <c r="D37" s="1">
        <v>269.01</v>
      </c>
      <c r="E37" s="3">
        <f t="shared" si="2"/>
        <v>7128.29</v>
      </c>
      <c r="F37" s="4">
        <f t="shared" si="3"/>
        <v>73.757000000000517</v>
      </c>
      <c r="G37" s="4">
        <f t="shared" si="4"/>
        <v>-73.757000000000517</v>
      </c>
      <c r="H37" s="13"/>
      <c r="I37" s="13">
        <v>210</v>
      </c>
      <c r="J37" s="14">
        <f t="shared" si="8"/>
        <v>1.6166281755196306E-2</v>
      </c>
      <c r="K37" s="13"/>
      <c r="W37" s="59">
        <f t="shared" si="5"/>
        <v>2.1946966600857144E-2</v>
      </c>
      <c r="X37" s="59">
        <f t="shared" si="6"/>
        <v>1.1250757222496834E-2</v>
      </c>
      <c r="Y37" s="59">
        <f t="shared" si="7"/>
        <v>2.4154292397868593E-2</v>
      </c>
    </row>
    <row r="38" spans="1:25" x14ac:dyDescent="0.3">
      <c r="A38" s="2">
        <v>44062</v>
      </c>
      <c r="B38" s="1">
        <v>115.7075</v>
      </c>
      <c r="C38" s="1">
        <v>3260.48</v>
      </c>
      <c r="D38" s="1">
        <v>262.59010000000001</v>
      </c>
      <c r="E38" s="3">
        <f t="shared" si="2"/>
        <v>7054.5329999999994</v>
      </c>
      <c r="F38" s="4">
        <f t="shared" si="3"/>
        <v>-101.77000000000044</v>
      </c>
      <c r="G38" s="4">
        <f t="shared" si="4"/>
        <v>101.77000000000044</v>
      </c>
      <c r="H38" s="13"/>
      <c r="I38" s="13">
        <v>220</v>
      </c>
      <c r="J38" s="14">
        <f t="shared" si="8"/>
        <v>1.3086989992301771E-2</v>
      </c>
      <c r="K38" s="13"/>
      <c r="W38" s="59">
        <f t="shared" si="5"/>
        <v>1.2539457690109346E-3</v>
      </c>
      <c r="X38" s="59">
        <f t="shared" si="6"/>
        <v>-1.5825748636075759E-2</v>
      </c>
      <c r="Y38" s="59">
        <f t="shared" si="7"/>
        <v>9.525076625481767E-4</v>
      </c>
    </row>
    <row r="39" spans="1:25" x14ac:dyDescent="0.3">
      <c r="A39" s="2">
        <v>44061</v>
      </c>
      <c r="B39" s="1">
        <v>115.5625</v>
      </c>
      <c r="C39" s="1">
        <v>3312.49</v>
      </c>
      <c r="D39" s="1">
        <v>262.34010000000001</v>
      </c>
      <c r="E39" s="3">
        <f t="shared" si="2"/>
        <v>7156.3029999999999</v>
      </c>
      <c r="F39" s="4">
        <f t="shared" si="3"/>
        <v>284.30600000000049</v>
      </c>
      <c r="G39" s="4">
        <f t="shared" si="4"/>
        <v>-284.30600000000049</v>
      </c>
      <c r="H39" s="13"/>
      <c r="I39" s="13">
        <v>230</v>
      </c>
      <c r="J39" s="14">
        <f t="shared" si="8"/>
        <v>1.3086989992301771E-2</v>
      </c>
      <c r="K39" s="13"/>
      <c r="W39" s="59">
        <f t="shared" si="5"/>
        <v>8.2982619819586424E-3</v>
      </c>
      <c r="X39" s="59">
        <f t="shared" si="6"/>
        <v>4.0061401044671471E-2</v>
      </c>
      <c r="Y39" s="59">
        <f t="shared" si="7"/>
        <v>4.5088901603198665E-3</v>
      </c>
    </row>
    <row r="40" spans="1:25" x14ac:dyDescent="0.3">
      <c r="A40" s="2">
        <v>44060</v>
      </c>
      <c r="B40" s="1">
        <v>114.6075</v>
      </c>
      <c r="C40" s="1">
        <v>3182.41</v>
      </c>
      <c r="D40" s="1">
        <v>261.15989999999999</v>
      </c>
      <c r="E40" s="3">
        <f t="shared" si="2"/>
        <v>6871.9969999999994</v>
      </c>
      <c r="F40" s="4">
        <f t="shared" si="3"/>
        <v>55.381999999998698</v>
      </c>
      <c r="G40" s="4">
        <f t="shared" si="4"/>
        <v>-55.381999999998698</v>
      </c>
      <c r="H40" s="13"/>
      <c r="I40" s="13">
        <v>240</v>
      </c>
      <c r="J40" s="14">
        <f t="shared" si="8"/>
        <v>1.0777521170130869E-2</v>
      </c>
      <c r="K40" s="13"/>
      <c r="W40" s="59">
        <f t="shared" si="5"/>
        <v>-2.614209710496362E-3</v>
      </c>
      <c r="X40" s="59">
        <f t="shared" si="6"/>
        <v>1.0865087620060195E-2</v>
      </c>
      <c r="Y40" s="59">
        <f t="shared" si="7"/>
        <v>-3.0666162312722154E-4</v>
      </c>
    </row>
    <row r="41" spans="1:25" x14ac:dyDescent="0.3">
      <c r="A41" s="2">
        <v>44057</v>
      </c>
      <c r="B41" s="1">
        <v>114.9075</v>
      </c>
      <c r="C41" s="1">
        <v>3148.02</v>
      </c>
      <c r="D41" s="1">
        <v>261.24</v>
      </c>
      <c r="E41" s="3">
        <f t="shared" si="2"/>
        <v>6816.6150000000007</v>
      </c>
      <c r="F41" s="4">
        <f t="shared" si="3"/>
        <v>-29.925000000000182</v>
      </c>
      <c r="G41" s="4">
        <f t="shared" si="4"/>
        <v>29.925000000000182</v>
      </c>
      <c r="H41" s="13"/>
      <c r="I41" s="13">
        <v>241</v>
      </c>
      <c r="J41" s="14">
        <f t="shared" si="8"/>
        <v>1.0777521170130869E-2</v>
      </c>
      <c r="K41" s="13"/>
      <c r="W41" s="59">
        <f t="shared" si="5"/>
        <v>-8.9162422860878841E-4</v>
      </c>
      <c r="X41" s="59">
        <f t="shared" si="6"/>
        <v>-4.121076550010626E-3</v>
      </c>
      <c r="Y41" s="59">
        <f t="shared" si="7"/>
        <v>-2.2964749211048377E-4</v>
      </c>
    </row>
    <row r="42" spans="1:25" x14ac:dyDescent="0.3">
      <c r="A42" s="2">
        <v>44056</v>
      </c>
      <c r="B42" s="1">
        <v>115.01</v>
      </c>
      <c r="C42" s="1">
        <v>3161.02</v>
      </c>
      <c r="D42" s="1">
        <v>261.3</v>
      </c>
      <c r="E42" s="3">
        <f t="shared" si="2"/>
        <v>6846.5400000000009</v>
      </c>
      <c r="F42" s="4">
        <f t="shared" si="3"/>
        <v>69.358000000001994</v>
      </c>
      <c r="G42" s="4">
        <f t="shared" si="4"/>
        <v>-69.358000000001994</v>
      </c>
      <c r="H42" s="13"/>
      <c r="I42" s="15">
        <v>242</v>
      </c>
      <c r="J42" s="14">
        <f t="shared" si="8"/>
        <v>1.0007698229407237E-2</v>
      </c>
      <c r="K42" s="20">
        <f>J42</f>
        <v>1.0007698229407237E-2</v>
      </c>
      <c r="W42" s="59">
        <f t="shared" si="5"/>
        <v>1.754277073243065E-2</v>
      </c>
      <c r="X42" s="59">
        <f t="shared" si="6"/>
        <v>-3.858769100553148E-4</v>
      </c>
      <c r="Y42" s="59">
        <f t="shared" si="7"/>
        <v>5.4110927346576838E-3</v>
      </c>
    </row>
    <row r="43" spans="1:25" x14ac:dyDescent="0.3">
      <c r="A43" s="2">
        <v>44055</v>
      </c>
      <c r="B43" s="1">
        <v>113.01</v>
      </c>
      <c r="C43" s="1">
        <v>3162.24</v>
      </c>
      <c r="D43" s="1">
        <v>259.88990000000001</v>
      </c>
      <c r="E43" s="3">
        <f t="shared" si="2"/>
        <v>6777.1819999999989</v>
      </c>
      <c r="F43" s="4">
        <f t="shared" si="3"/>
        <v>269.68999999999869</v>
      </c>
      <c r="G43" s="4">
        <f t="shared" si="4"/>
        <v>-269.68999999999869</v>
      </c>
      <c r="H43" s="13"/>
      <c r="I43" s="15">
        <v>243</v>
      </c>
      <c r="J43" s="14">
        <f t="shared" si="8"/>
        <v>1.0007698229407237E-2</v>
      </c>
      <c r="K43" s="20">
        <f t="shared" ref="K43:K45" si="9">J43</f>
        <v>1.0007698229407237E-2</v>
      </c>
      <c r="W43" s="59">
        <f t="shared" si="5"/>
        <v>3.2693965694280944E-2</v>
      </c>
      <c r="X43" s="59">
        <f t="shared" si="6"/>
        <v>2.6133531438934432E-2</v>
      </c>
      <c r="Y43" s="59">
        <f t="shared" si="7"/>
        <v>1.4573342132293172E-2</v>
      </c>
    </row>
    <row r="44" spans="1:25" x14ac:dyDescent="0.3">
      <c r="A44" s="2">
        <v>44054</v>
      </c>
      <c r="B44" s="1">
        <v>109.375</v>
      </c>
      <c r="C44" s="1">
        <v>3080.67</v>
      </c>
      <c r="D44" s="1">
        <v>256.12990000000002</v>
      </c>
      <c r="E44" s="3">
        <f t="shared" si="2"/>
        <v>6507.4920000000002</v>
      </c>
      <c r="F44" s="4">
        <f t="shared" si="3"/>
        <v>-165.1979999999985</v>
      </c>
      <c r="G44" s="4">
        <f t="shared" si="4"/>
        <v>165.1979999999985</v>
      </c>
      <c r="H44" s="13"/>
      <c r="I44" s="15">
        <v>244</v>
      </c>
      <c r="J44" s="14">
        <f t="shared" si="8"/>
        <v>1.0007698229407237E-2</v>
      </c>
      <c r="K44" s="20">
        <f t="shared" si="9"/>
        <v>1.0007698229407237E-2</v>
      </c>
      <c r="W44" s="59">
        <f t="shared" si="5"/>
        <v>-3.0190170154554181E-2</v>
      </c>
      <c r="X44" s="59">
        <f t="shared" si="6"/>
        <v>-2.16710493885241E-2</v>
      </c>
      <c r="Y44" s="59">
        <f t="shared" si="7"/>
        <v>-2.6469294518148334E-2</v>
      </c>
    </row>
    <row r="45" spans="1:25" x14ac:dyDescent="0.3">
      <c r="A45" s="2">
        <v>44053</v>
      </c>
      <c r="B45" s="1">
        <v>112.7274</v>
      </c>
      <c r="C45" s="1">
        <v>3148.16</v>
      </c>
      <c r="D45" s="1">
        <v>263</v>
      </c>
      <c r="E45" s="3">
        <f t="shared" si="2"/>
        <v>6672.6899999999987</v>
      </c>
      <c r="F45" s="4">
        <f t="shared" si="3"/>
        <v>150.9429999999993</v>
      </c>
      <c r="G45" s="4">
        <f t="shared" si="4"/>
        <v>-150.9429999999993</v>
      </c>
      <c r="H45" s="13"/>
      <c r="I45" s="15">
        <v>245</v>
      </c>
      <c r="J45" s="14">
        <f t="shared" si="8"/>
        <v>1.0007698229407237E-2</v>
      </c>
      <c r="K45" s="20">
        <f t="shared" si="9"/>
        <v>1.0007698229407237E-2</v>
      </c>
      <c r="W45" s="59">
        <f t="shared" si="5"/>
        <v>1.4429313264539379E-2</v>
      </c>
      <c r="X45" s="59">
        <f t="shared" si="6"/>
        <v>-6.1118496929146102E-3</v>
      </c>
      <c r="Y45" s="59">
        <f t="shared" si="7"/>
        <v>-2.0473020589480757E-2</v>
      </c>
    </row>
    <row r="46" spans="1:25" x14ac:dyDescent="0.3">
      <c r="A46" s="2">
        <v>44050</v>
      </c>
      <c r="B46" s="1">
        <v>111.1125</v>
      </c>
      <c r="C46" s="1">
        <v>3167.46</v>
      </c>
      <c r="D46" s="1">
        <v>268.43990000000002</v>
      </c>
      <c r="E46" s="3">
        <f t="shared" si="2"/>
        <v>6521.7469999999994</v>
      </c>
      <c r="F46" s="4">
        <f t="shared" si="3"/>
        <v>-317.77800000000116</v>
      </c>
      <c r="G46" s="4">
        <f t="shared" si="4"/>
        <v>317.77800000000116</v>
      </c>
      <c r="H46" s="13"/>
      <c r="I46" s="13">
        <v>246</v>
      </c>
      <c r="J46" s="14">
        <f t="shared" si="8"/>
        <v>9.2378752886836026E-3</v>
      </c>
      <c r="K46" s="13"/>
      <c r="W46" s="59">
        <f t="shared" si="5"/>
        <v>-2.4799617722604427E-2</v>
      </c>
      <c r="X46" s="59">
        <f t="shared" si="6"/>
        <v>-1.8002945370038003E-2</v>
      </c>
      <c r="Y46" s="59">
        <f t="shared" si="7"/>
        <v>1.1841180820315373E-2</v>
      </c>
    </row>
    <row r="47" spans="1:25" x14ac:dyDescent="0.3">
      <c r="A47" s="2">
        <v>44049</v>
      </c>
      <c r="B47" s="1">
        <v>113.9025</v>
      </c>
      <c r="C47" s="1">
        <v>3225</v>
      </c>
      <c r="D47" s="1">
        <v>265.27999999999997</v>
      </c>
      <c r="E47" s="3">
        <f t="shared" si="2"/>
        <v>6839.5250000000005</v>
      </c>
      <c r="F47" s="4">
        <f t="shared" si="3"/>
        <v>-91.260000000001128</v>
      </c>
      <c r="G47" s="4">
        <f t="shared" si="4"/>
        <v>91.260000000001128</v>
      </c>
      <c r="H47" s="13"/>
      <c r="I47" s="13">
        <v>247</v>
      </c>
      <c r="J47" s="14">
        <f t="shared" si="8"/>
        <v>8.4680523479599683E-3</v>
      </c>
      <c r="K47" s="13"/>
      <c r="W47" s="59">
        <f t="shared" si="5"/>
        <v>3.4294433033972706E-2</v>
      </c>
      <c r="X47" s="59">
        <f t="shared" si="6"/>
        <v>6.2114995444954206E-3</v>
      </c>
      <c r="Y47" s="59">
        <f t="shared" si="7"/>
        <v>6.2851163861241816E-2</v>
      </c>
    </row>
    <row r="48" spans="1:25" x14ac:dyDescent="0.3">
      <c r="A48" s="2">
        <v>44048</v>
      </c>
      <c r="B48" s="1">
        <v>110.0625</v>
      </c>
      <c r="C48" s="1">
        <v>3205.03</v>
      </c>
      <c r="D48" s="1">
        <v>249.12</v>
      </c>
      <c r="E48" s="3">
        <f t="shared" si="2"/>
        <v>6930.7850000000017</v>
      </c>
      <c r="F48" s="4">
        <f t="shared" si="3"/>
        <v>166.47500000000218</v>
      </c>
      <c r="G48" s="4">
        <f t="shared" si="4"/>
        <v>-166.47500000000218</v>
      </c>
      <c r="H48" s="13"/>
      <c r="I48" s="13">
        <v>248</v>
      </c>
      <c r="J48" s="14">
        <f t="shared" si="8"/>
        <v>7.6982294072363358E-3</v>
      </c>
      <c r="K48" s="13"/>
      <c r="W48" s="59">
        <f t="shared" si="5"/>
        <v>3.6181218430358332E-3</v>
      </c>
      <c r="X48" s="59">
        <f t="shared" si="6"/>
        <v>2.0871331684947609E-2</v>
      </c>
      <c r="Y48" s="59">
        <f t="shared" si="7"/>
        <v>-2.84597847169407E-3</v>
      </c>
    </row>
    <row r="49" spans="1:25" x14ac:dyDescent="0.3">
      <c r="A49" s="2">
        <v>44047</v>
      </c>
      <c r="B49" s="1">
        <v>109.66500000000001</v>
      </c>
      <c r="C49" s="1">
        <v>3138.83</v>
      </c>
      <c r="D49" s="1">
        <v>249.83</v>
      </c>
      <c r="E49" s="3">
        <f t="shared" si="2"/>
        <v>6764.3099999999995</v>
      </c>
      <c r="F49" s="4">
        <f t="shared" si="3"/>
        <v>132.85500000000047</v>
      </c>
      <c r="G49" s="4">
        <f t="shared" si="4"/>
        <v>-132.85500000000047</v>
      </c>
      <c r="H49" s="13"/>
      <c r="I49" s="13">
        <v>249</v>
      </c>
      <c r="J49" s="14">
        <f t="shared" si="8"/>
        <v>7.6982294072363358E-3</v>
      </c>
      <c r="K49" s="13"/>
      <c r="W49" s="59">
        <f t="shared" si="5"/>
        <v>6.6559411331492133E-3</v>
      </c>
      <c r="X49" s="59">
        <f t="shared" si="6"/>
        <v>8.6198603705709073E-3</v>
      </c>
      <c r="Y49" s="59">
        <f t="shared" si="7"/>
        <v>-8.4896581963459714E-3</v>
      </c>
    </row>
    <row r="50" spans="1:25" x14ac:dyDescent="0.3">
      <c r="A50" s="2">
        <v>44046</v>
      </c>
      <c r="B50" s="1">
        <v>108.9375</v>
      </c>
      <c r="C50" s="1">
        <v>3111.89</v>
      </c>
      <c r="D50" s="1">
        <v>251.96</v>
      </c>
      <c r="E50" s="3">
        <f t="shared" si="2"/>
        <v>6631.454999999999</v>
      </c>
      <c r="F50" s="4">
        <f t="shared" si="3"/>
        <v>62.494999999998072</v>
      </c>
      <c r="G50" s="4">
        <f t="shared" si="4"/>
        <v>-62.494999999998072</v>
      </c>
      <c r="H50" s="13"/>
      <c r="I50" s="13">
        <v>250</v>
      </c>
      <c r="J50" s="14">
        <f t="shared" si="8"/>
        <v>7.6982294072363358E-3</v>
      </c>
      <c r="K50" s="13"/>
      <c r="W50" s="59">
        <f t="shared" si="5"/>
        <v>2.488540225744253E-2</v>
      </c>
      <c r="X50" s="59">
        <f t="shared" si="6"/>
        <v>-1.682168599169542E-2</v>
      </c>
      <c r="Y50" s="59">
        <f t="shared" si="7"/>
        <v>-6.763864957978598E-3</v>
      </c>
    </row>
    <row r="51" spans="1:25" x14ac:dyDescent="0.3">
      <c r="A51" s="2">
        <v>44043</v>
      </c>
      <c r="B51" s="1">
        <v>106.26</v>
      </c>
      <c r="C51" s="1">
        <v>3164.68</v>
      </c>
      <c r="D51" s="1">
        <v>253.67</v>
      </c>
      <c r="E51" s="3">
        <f t="shared" si="2"/>
        <v>6568.9600000000009</v>
      </c>
      <c r="F51" s="4">
        <f t="shared" si="3"/>
        <v>345.70000000000073</v>
      </c>
      <c r="G51" s="4">
        <f t="shared" si="4"/>
        <v>-345.70000000000073</v>
      </c>
      <c r="H51" s="13"/>
      <c r="I51" s="13">
        <v>260</v>
      </c>
      <c r="J51" s="14">
        <f t="shared" si="8"/>
        <v>6.9284064665127024E-3</v>
      </c>
      <c r="K51" s="13"/>
      <c r="W51" s="59">
        <f t="shared" si="5"/>
        <v>9.9563518858273095E-2</v>
      </c>
      <c r="X51" s="59">
        <f t="shared" si="6"/>
        <v>3.629415046988383E-2</v>
      </c>
      <c r="Y51" s="59">
        <f t="shared" si="7"/>
        <v>7.8578621825372827E-2</v>
      </c>
    </row>
    <row r="52" spans="1:25" x14ac:dyDescent="0.3">
      <c r="A52" s="2">
        <v>44042</v>
      </c>
      <c r="B52" s="1">
        <v>96.19</v>
      </c>
      <c r="C52" s="1">
        <v>3051.88</v>
      </c>
      <c r="D52" s="1">
        <v>234.5</v>
      </c>
      <c r="E52" s="3">
        <f t="shared" si="2"/>
        <v>6223.26</v>
      </c>
      <c r="F52" s="4">
        <f t="shared" si="3"/>
        <v>69.999999999999091</v>
      </c>
      <c r="G52" s="4">
        <f t="shared" si="4"/>
        <v>-69.999999999999091</v>
      </c>
      <c r="H52" s="13"/>
      <c r="I52" s="13">
        <v>270</v>
      </c>
      <c r="J52" s="14">
        <f t="shared" si="8"/>
        <v>6.1585835257890681E-3</v>
      </c>
      <c r="K52" s="13"/>
      <c r="W52" s="59">
        <f t="shared" si="5"/>
        <v>1.2027546550189306E-2</v>
      </c>
      <c r="X52" s="59">
        <f t="shared" si="6"/>
        <v>6.0308362517120569E-3</v>
      </c>
      <c r="Y52" s="59">
        <f t="shared" si="7"/>
        <v>5.1732730437867181E-3</v>
      </c>
    </row>
    <row r="53" spans="1:25" x14ac:dyDescent="0.3">
      <c r="A53" s="2">
        <v>44041</v>
      </c>
      <c r="B53" s="1">
        <v>95.04</v>
      </c>
      <c r="C53" s="1">
        <v>3033.53</v>
      </c>
      <c r="D53" s="1">
        <v>233.29</v>
      </c>
      <c r="E53" s="3">
        <f t="shared" si="2"/>
        <v>6153.2600000000011</v>
      </c>
      <c r="F53" s="4">
        <f t="shared" si="3"/>
        <v>92.375000000000909</v>
      </c>
      <c r="G53" s="4">
        <f t="shared" si="4"/>
        <v>-92.375000000000909</v>
      </c>
      <c r="H53" s="13"/>
      <c r="I53" s="13"/>
      <c r="J53" s="13"/>
      <c r="K53" s="13"/>
      <c r="W53" s="59">
        <f t="shared" si="5"/>
        <v>1.8986987798307715E-2</v>
      </c>
      <c r="X53" s="59">
        <f t="shared" si="6"/>
        <v>1.1004675299268098E-2</v>
      </c>
      <c r="Y53" s="59">
        <f t="shared" si="7"/>
        <v>1.3681402847454699E-2</v>
      </c>
    </row>
    <row r="54" spans="1:25" x14ac:dyDescent="0.3">
      <c r="A54" s="2">
        <v>44040</v>
      </c>
      <c r="B54" s="1">
        <v>93.252499999999998</v>
      </c>
      <c r="C54" s="1">
        <v>3000.33</v>
      </c>
      <c r="D54" s="1">
        <v>230.12</v>
      </c>
      <c r="E54" s="3">
        <f t="shared" si="2"/>
        <v>6060.8850000000002</v>
      </c>
      <c r="F54" s="4">
        <f t="shared" si="3"/>
        <v>-120.03499999999985</v>
      </c>
      <c r="G54" s="4">
        <f t="shared" si="4"/>
        <v>120.03499999999985</v>
      </c>
      <c r="W54" s="59">
        <f t="shared" si="5"/>
        <v>-1.6564021113840633E-2</v>
      </c>
      <c r="X54" s="59">
        <f t="shared" si="6"/>
        <v>-1.812604741340295E-2</v>
      </c>
      <c r="Y54" s="59">
        <f t="shared" si="7"/>
        <v>-1.4581165113859327E-2</v>
      </c>
    </row>
    <row r="55" spans="1:25" x14ac:dyDescent="0.3">
      <c r="A55" s="2">
        <v>44039</v>
      </c>
      <c r="B55" s="1">
        <v>94.81</v>
      </c>
      <c r="C55" s="1">
        <v>3055.21</v>
      </c>
      <c r="D55" s="1">
        <v>233.5</v>
      </c>
      <c r="E55" s="3">
        <f t="shared" si="2"/>
        <v>6180.92</v>
      </c>
      <c r="F55" s="4">
        <f t="shared" si="3"/>
        <v>146.55000000000018</v>
      </c>
      <c r="G55" s="4">
        <f t="shared" si="4"/>
        <v>-146.55000000000018</v>
      </c>
      <c r="W55" s="59">
        <f t="shared" si="5"/>
        <v>2.34237733551814E-2</v>
      </c>
      <c r="X55" s="59">
        <f t="shared" si="6"/>
        <v>1.5270443100561594E-2</v>
      </c>
      <c r="Y55" s="59">
        <f t="shared" si="7"/>
        <v>1.2020566531434769E-2</v>
      </c>
    </row>
    <row r="56" spans="1:25" x14ac:dyDescent="0.3">
      <c r="A56" s="2">
        <v>44036</v>
      </c>
      <c r="B56" s="1">
        <v>92.614999999999995</v>
      </c>
      <c r="C56" s="1">
        <v>3008.91</v>
      </c>
      <c r="D56" s="1">
        <v>230.71</v>
      </c>
      <c r="E56" s="3">
        <f t="shared" si="2"/>
        <v>6034.37</v>
      </c>
      <c r="F56" s="4">
        <f t="shared" si="3"/>
        <v>71.019999999999527</v>
      </c>
      <c r="G56" s="4">
        <f t="shared" si="4"/>
        <v>-71.019999999999527</v>
      </c>
      <c r="W56" s="59">
        <f t="shared" si="5"/>
        <v>-2.4803204778725985E-3</v>
      </c>
      <c r="X56" s="59">
        <f t="shared" si="6"/>
        <v>7.4590118756245726E-3</v>
      </c>
      <c r="Y56" s="59">
        <f t="shared" si="7"/>
        <v>-8.1587295070468611E-3</v>
      </c>
    </row>
    <row r="57" spans="1:25" x14ac:dyDescent="0.3">
      <c r="A57" s="2">
        <v>44035</v>
      </c>
      <c r="B57" s="1">
        <v>92.844999999999999</v>
      </c>
      <c r="C57" s="1">
        <v>2986.55</v>
      </c>
      <c r="D57" s="1">
        <v>232.6</v>
      </c>
      <c r="E57" s="3">
        <f t="shared" si="2"/>
        <v>5963.35</v>
      </c>
      <c r="F57" s="4">
        <f t="shared" si="3"/>
        <v>-302.69499999999971</v>
      </c>
      <c r="G57" s="4">
        <f t="shared" si="4"/>
        <v>302.69499999999971</v>
      </c>
      <c r="W57" s="59">
        <f t="shared" si="5"/>
        <v>-4.6584882153694669E-2</v>
      </c>
      <c r="X57" s="59">
        <f t="shared" si="6"/>
        <v>-3.7254203755821634E-2</v>
      </c>
      <c r="Y57" s="59">
        <f t="shared" si="7"/>
        <v>-3.0776869836374704E-2</v>
      </c>
    </row>
    <row r="58" spans="1:25" x14ac:dyDescent="0.3">
      <c r="A58" s="2">
        <v>44034</v>
      </c>
      <c r="B58" s="1">
        <v>97.272499999999994</v>
      </c>
      <c r="C58" s="1">
        <v>3099.91</v>
      </c>
      <c r="D58" s="1">
        <v>239.87</v>
      </c>
      <c r="E58" s="3">
        <f t="shared" si="2"/>
        <v>6266.0450000000001</v>
      </c>
      <c r="F58" s="4">
        <f t="shared" si="3"/>
        <v>-25.534999999999854</v>
      </c>
      <c r="G58" s="4">
        <f t="shared" si="4"/>
        <v>25.534999999999854</v>
      </c>
      <c r="W58" s="59">
        <f t="shared" si="5"/>
        <v>2.8053397028707616E-3</v>
      </c>
      <c r="X58" s="59">
        <f t="shared" si="6"/>
        <v>-1.230498678050157E-2</v>
      </c>
      <c r="Y58" s="59">
        <f t="shared" si="7"/>
        <v>-7.8070244124649746E-3</v>
      </c>
    </row>
    <row r="59" spans="1:25" x14ac:dyDescent="0.3">
      <c r="A59" s="2">
        <v>44033</v>
      </c>
      <c r="B59" s="1">
        <v>97</v>
      </c>
      <c r="C59" s="1">
        <v>3138.29</v>
      </c>
      <c r="D59" s="1">
        <v>241.75</v>
      </c>
      <c r="E59" s="3">
        <f t="shared" si="2"/>
        <v>6291.58</v>
      </c>
      <c r="F59" s="4">
        <f t="shared" si="3"/>
        <v>-111.57500000000073</v>
      </c>
      <c r="G59" s="4">
        <f t="shared" si="4"/>
        <v>111.57500000000073</v>
      </c>
      <c r="W59" s="59">
        <f t="shared" si="5"/>
        <v>-1.3897821685483569E-2</v>
      </c>
      <c r="X59" s="59">
        <f t="shared" si="6"/>
        <v>-1.8484756314235684E-2</v>
      </c>
      <c r="Y59" s="59">
        <f t="shared" si="7"/>
        <v>-1.5066894214998005E-2</v>
      </c>
    </row>
    <row r="60" spans="1:25" x14ac:dyDescent="0.3">
      <c r="A60" s="2">
        <v>44032</v>
      </c>
      <c r="B60" s="1">
        <v>98.357500000000002</v>
      </c>
      <c r="C60" s="1">
        <v>3196.84</v>
      </c>
      <c r="D60" s="1">
        <v>245.42</v>
      </c>
      <c r="E60" s="3">
        <f t="shared" si="2"/>
        <v>6403.1550000000007</v>
      </c>
      <c r="F60" s="4">
        <f t="shared" si="3"/>
        <v>503.44000000000233</v>
      </c>
      <c r="G60" s="4">
        <f t="shared" si="4"/>
        <v>-503.44000000000233</v>
      </c>
      <c r="W60" s="59">
        <f t="shared" si="5"/>
        <v>2.0854956211207188E-2</v>
      </c>
      <c r="X60" s="59">
        <f t="shared" si="6"/>
        <v>7.6308234403708347E-2</v>
      </c>
      <c r="Y60" s="59">
        <f t="shared" si="7"/>
        <v>1.3909343132832834E-2</v>
      </c>
    </row>
    <row r="61" spans="1:25" x14ac:dyDescent="0.3">
      <c r="A61" s="2">
        <v>44029</v>
      </c>
      <c r="B61" s="1">
        <v>96.327500000000001</v>
      </c>
      <c r="C61" s="1">
        <v>2961.97</v>
      </c>
      <c r="D61" s="1">
        <v>242.03</v>
      </c>
      <c r="E61" s="3">
        <f t="shared" si="2"/>
        <v>5899.7149999999983</v>
      </c>
      <c r="F61" s="4">
        <f t="shared" si="3"/>
        <v>-107.61000000000058</v>
      </c>
      <c r="G61" s="4">
        <f t="shared" si="4"/>
        <v>107.61000000000058</v>
      </c>
      <c r="W61" s="59">
        <f t="shared" si="5"/>
        <v>-2.0222978113292392E-3</v>
      </c>
      <c r="X61" s="59">
        <f t="shared" si="6"/>
        <v>-1.2724367276587762E-2</v>
      </c>
      <c r="Y61" s="59">
        <f t="shared" si="7"/>
        <v>4.5552505470882786E-3</v>
      </c>
    </row>
    <row r="62" spans="1:25" x14ac:dyDescent="0.3">
      <c r="A62" s="2">
        <v>44028</v>
      </c>
      <c r="B62" s="1">
        <v>96.522499999999994</v>
      </c>
      <c r="C62" s="1">
        <v>2999.9</v>
      </c>
      <c r="D62" s="1">
        <v>240.93</v>
      </c>
      <c r="E62" s="3">
        <f t="shared" si="2"/>
        <v>6007.3249999999989</v>
      </c>
      <c r="F62" s="4">
        <f t="shared" si="3"/>
        <v>-91.065000000000509</v>
      </c>
      <c r="G62" s="4">
        <f t="shared" si="4"/>
        <v>91.065000000000509</v>
      </c>
      <c r="W62" s="59">
        <f t="shared" si="5"/>
        <v>-1.2381269890029981E-2</v>
      </c>
      <c r="X62" s="59">
        <f t="shared" si="6"/>
        <v>-2.9856382132251464E-3</v>
      </c>
      <c r="Y62" s="59">
        <f t="shared" si="7"/>
        <v>2.7015248865199736E-3</v>
      </c>
    </row>
    <row r="63" spans="1:25" x14ac:dyDescent="0.3">
      <c r="A63" s="2">
        <v>44027</v>
      </c>
      <c r="B63" s="1">
        <v>97.724999999999994</v>
      </c>
      <c r="C63" s="1">
        <v>3008.87</v>
      </c>
      <c r="D63" s="1">
        <v>240.28</v>
      </c>
      <c r="E63" s="3">
        <f t="shared" si="2"/>
        <v>6098.3899999999994</v>
      </c>
      <c r="F63" s="4">
        <f t="shared" si="3"/>
        <v>-127.88500000000113</v>
      </c>
      <c r="G63" s="4">
        <f t="shared" si="4"/>
        <v>127.88500000000113</v>
      </c>
      <c r="W63" s="59">
        <f t="shared" si="5"/>
        <v>6.853825297220578E-3</v>
      </c>
      <c r="X63" s="59">
        <f t="shared" si="6"/>
        <v>-2.4662862708649407E-2</v>
      </c>
      <c r="Y63" s="59">
        <f t="shared" si="7"/>
        <v>2.2916199274797032E-3</v>
      </c>
    </row>
    <row r="64" spans="1:25" x14ac:dyDescent="0.3">
      <c r="A64" s="2">
        <v>44026</v>
      </c>
      <c r="B64" s="1">
        <v>97.057500000000005</v>
      </c>
      <c r="C64" s="1">
        <v>3084</v>
      </c>
      <c r="D64" s="1">
        <v>239.73</v>
      </c>
      <c r="E64" s="3">
        <f t="shared" si="2"/>
        <v>6226.2750000000005</v>
      </c>
      <c r="F64" s="4">
        <f t="shared" si="3"/>
        <v>24.400000000000546</v>
      </c>
      <c r="G64" s="4">
        <f t="shared" si="4"/>
        <v>-24.400000000000546</v>
      </c>
      <c r="W64" s="59">
        <f t="shared" si="5"/>
        <v>1.6412968747887519E-2</v>
      </c>
      <c r="X64" s="59">
        <f t="shared" si="6"/>
        <v>-6.4641466198892376E-3</v>
      </c>
      <c r="Y64" s="59">
        <f t="shared" si="7"/>
        <v>3.0497381229703372E-3</v>
      </c>
    </row>
    <row r="65" spans="1:25" x14ac:dyDescent="0.3">
      <c r="A65" s="2">
        <v>44025</v>
      </c>
      <c r="B65" s="1">
        <v>95.477500000000006</v>
      </c>
      <c r="C65" s="1">
        <v>3104</v>
      </c>
      <c r="D65" s="1">
        <v>239</v>
      </c>
      <c r="E65" s="3">
        <f t="shared" si="2"/>
        <v>6201.875</v>
      </c>
      <c r="F65" s="4">
        <f t="shared" si="3"/>
        <v>-92.725000000000364</v>
      </c>
      <c r="G65" s="4">
        <f t="shared" si="4"/>
        <v>92.725000000000364</v>
      </c>
      <c r="W65" s="59">
        <f t="shared" si="5"/>
        <v>-4.6238930853484649E-3</v>
      </c>
      <c r="X65" s="59">
        <f t="shared" si="6"/>
        <v>-3.0459207484708574E-2</v>
      </c>
      <c r="Y65" s="59">
        <f t="shared" si="7"/>
        <v>-2.508033209037697E-2</v>
      </c>
    </row>
    <row r="66" spans="1:25" x14ac:dyDescent="0.3">
      <c r="A66" s="2">
        <v>44022</v>
      </c>
      <c r="B66" s="1">
        <v>95.92</v>
      </c>
      <c r="C66" s="1">
        <v>3200</v>
      </c>
      <c r="D66" s="1">
        <v>245.07</v>
      </c>
      <c r="E66" s="3">
        <f t="shared" si="2"/>
        <v>6294.6</v>
      </c>
      <c r="F66" s="4">
        <f t="shared" si="3"/>
        <v>35.215000000000146</v>
      </c>
      <c r="G66" s="4">
        <f t="shared" si="4"/>
        <v>-35.215000000000146</v>
      </c>
      <c r="W66" s="59">
        <f t="shared" si="5"/>
        <v>2.4790920957454355E-3</v>
      </c>
      <c r="X66" s="59">
        <f t="shared" si="6"/>
        <v>5.4429108008981998E-3</v>
      </c>
      <c r="Y66" s="59">
        <f t="shared" si="7"/>
        <v>2.3285751069608389E-3</v>
      </c>
    </row>
    <row r="67" spans="1:25" x14ac:dyDescent="0.3">
      <c r="A67" s="2">
        <v>44021</v>
      </c>
      <c r="B67" s="1">
        <v>95.682500000000005</v>
      </c>
      <c r="C67" s="1">
        <v>3182.63</v>
      </c>
      <c r="D67" s="1">
        <v>244.5</v>
      </c>
      <c r="E67" s="3">
        <f t="shared" si="2"/>
        <v>6259.3850000000002</v>
      </c>
      <c r="F67" s="4">
        <f t="shared" si="3"/>
        <v>201.63999999999942</v>
      </c>
      <c r="G67" s="4">
        <f t="shared" si="4"/>
        <v>-201.63999999999942</v>
      </c>
      <c r="W67" s="59">
        <f t="shared" si="5"/>
        <v>3.5597472481012906E-3</v>
      </c>
      <c r="X67" s="59">
        <f t="shared" si="6"/>
        <v>3.2417977333647062E-2</v>
      </c>
      <c r="Y67" s="59">
        <f t="shared" si="7"/>
        <v>3.7698782559621911E-3</v>
      </c>
    </row>
    <row r="68" spans="1:25" x14ac:dyDescent="0.3">
      <c r="A68" s="2">
        <v>44020</v>
      </c>
      <c r="B68" s="1">
        <v>95.342500000000001</v>
      </c>
      <c r="C68" s="1">
        <v>3081.11</v>
      </c>
      <c r="D68" s="1">
        <v>243.58</v>
      </c>
      <c r="E68" s="3">
        <f t="shared" si="2"/>
        <v>6057.7450000000008</v>
      </c>
      <c r="F68" s="4">
        <f t="shared" si="3"/>
        <v>216.08000000000175</v>
      </c>
      <c r="G68" s="4">
        <f t="shared" si="4"/>
        <v>-216.08000000000175</v>
      </c>
      <c r="W68" s="59">
        <f t="shared" si="5"/>
        <v>2.3023057601607385E-2</v>
      </c>
      <c r="X68" s="59">
        <f t="shared" si="6"/>
        <v>2.6637633803004469E-2</v>
      </c>
      <c r="Y68" s="59">
        <f t="shared" si="7"/>
        <v>1.1229578826630686E-2</v>
      </c>
    </row>
    <row r="69" spans="1:25" x14ac:dyDescent="0.3">
      <c r="A69" s="2">
        <v>44019</v>
      </c>
      <c r="B69" s="1">
        <v>93.172499999999999</v>
      </c>
      <c r="C69" s="1">
        <v>3000.12</v>
      </c>
      <c r="D69" s="1">
        <v>240.86</v>
      </c>
      <c r="E69" s="3">
        <f t="shared" si="2"/>
        <v>5841.6649999999991</v>
      </c>
      <c r="F69" s="4">
        <f t="shared" si="3"/>
        <v>-139.94000000000051</v>
      </c>
      <c r="G69" s="4">
        <f t="shared" si="4"/>
        <v>139.94000000000051</v>
      </c>
      <c r="W69" s="59">
        <f t="shared" si="5"/>
        <v>-3.1076725522293748E-3</v>
      </c>
      <c r="X69" s="59">
        <f t="shared" si="6"/>
        <v>-1.8794839678547413E-2</v>
      </c>
      <c r="Y69" s="59">
        <f t="shared" si="7"/>
        <v>2.4109418503733028E-3</v>
      </c>
    </row>
    <row r="70" spans="1:25" x14ac:dyDescent="0.3">
      <c r="A70" s="2">
        <v>44018</v>
      </c>
      <c r="B70" s="1">
        <v>93.462500000000006</v>
      </c>
      <c r="C70" s="1">
        <v>3057.04</v>
      </c>
      <c r="D70" s="1">
        <v>240.28</v>
      </c>
      <c r="E70" s="3">
        <f t="shared" ref="E70:E133" si="10">50*B70+2*C70-20*D70</f>
        <v>5981.6049999999996</v>
      </c>
      <c r="F70" s="4">
        <f t="shared" ref="F70:F133" si="11">E70-E71</f>
        <v>318.02999999999884</v>
      </c>
      <c r="G70" s="4">
        <f t="shared" ref="G70:G133" si="12">-F70</f>
        <v>-318.02999999999884</v>
      </c>
      <c r="W70" s="59">
        <f t="shared" ref="W70:W133" si="13">LN(B70/B71)</f>
        <v>2.639862765954477E-2</v>
      </c>
      <c r="X70" s="59">
        <f t="shared" ref="X70:X133" si="14">LN(C70/C71)</f>
        <v>5.6086824581457556E-2</v>
      </c>
      <c r="Y70" s="59">
        <f t="shared" ref="Y70:Y133" si="15">LN(D70/D71)</f>
        <v>2.8965503997753151E-2</v>
      </c>
    </row>
    <row r="71" spans="1:25" x14ac:dyDescent="0.3">
      <c r="A71" s="2">
        <v>44014</v>
      </c>
      <c r="B71" s="1">
        <v>91.027500000000003</v>
      </c>
      <c r="C71" s="1">
        <v>2890.3</v>
      </c>
      <c r="D71" s="1">
        <v>233.42</v>
      </c>
      <c r="E71" s="3">
        <f t="shared" si="10"/>
        <v>5663.5750000000007</v>
      </c>
      <c r="F71" s="4">
        <f t="shared" si="11"/>
        <v>105.80000000000109</v>
      </c>
      <c r="G71" s="4">
        <f t="shared" si="12"/>
        <v>-105.80000000000109</v>
      </c>
      <c r="W71" s="59">
        <f t="shared" si="13"/>
        <v>0</v>
      </c>
      <c r="X71" s="59">
        <f t="shared" si="14"/>
        <v>4.0214996128872344E-3</v>
      </c>
      <c r="Y71" s="59">
        <f t="shared" si="15"/>
        <v>-1.753872164872284E-2</v>
      </c>
    </row>
    <row r="72" spans="1:25" x14ac:dyDescent="0.3">
      <c r="A72" s="2">
        <v>44013</v>
      </c>
      <c r="B72" s="1">
        <v>91.027500000000003</v>
      </c>
      <c r="C72" s="1">
        <v>2878.7</v>
      </c>
      <c r="D72" s="1">
        <v>237.55</v>
      </c>
      <c r="E72" s="3">
        <f t="shared" si="10"/>
        <v>5557.7749999999996</v>
      </c>
      <c r="F72" s="4">
        <f t="shared" si="11"/>
        <v>21.534999999999854</v>
      </c>
      <c r="G72" s="4">
        <f t="shared" si="12"/>
        <v>-21.534999999999854</v>
      </c>
      <c r="W72" s="59">
        <f t="shared" si="13"/>
        <v>-1.8932384137965272E-3</v>
      </c>
      <c r="X72" s="59">
        <f t="shared" si="14"/>
        <v>4.2535751274831425E-2</v>
      </c>
      <c r="Y72" s="59">
        <f t="shared" si="15"/>
        <v>4.511978764374474E-2</v>
      </c>
    </row>
    <row r="73" spans="1:25" x14ac:dyDescent="0.3">
      <c r="A73" s="2">
        <v>44012</v>
      </c>
      <c r="B73" s="1">
        <v>91.2</v>
      </c>
      <c r="C73" s="1">
        <v>2758.82</v>
      </c>
      <c r="D73" s="1">
        <v>227.07</v>
      </c>
      <c r="E73" s="3">
        <f t="shared" si="10"/>
        <v>5536.24</v>
      </c>
      <c r="F73" s="4">
        <f t="shared" si="11"/>
        <v>66.029999999998836</v>
      </c>
      <c r="G73" s="4">
        <f t="shared" si="12"/>
        <v>-66.029999999998836</v>
      </c>
      <c r="W73" s="59">
        <f t="shared" si="13"/>
        <v>8.3129659266875273E-3</v>
      </c>
      <c r="X73" s="59">
        <f t="shared" si="14"/>
        <v>2.8844476561360733E-2</v>
      </c>
      <c r="Y73" s="59">
        <f t="shared" si="15"/>
        <v>2.8725925944194167E-2</v>
      </c>
    </row>
    <row r="74" spans="1:25" x14ac:dyDescent="0.3">
      <c r="A74" s="2">
        <v>44011</v>
      </c>
      <c r="B74" s="1">
        <v>90.444999999999993</v>
      </c>
      <c r="C74" s="1">
        <v>2680.38</v>
      </c>
      <c r="D74" s="1">
        <v>220.64</v>
      </c>
      <c r="E74" s="3">
        <f t="shared" si="10"/>
        <v>5470.2100000000009</v>
      </c>
      <c r="F74" s="4">
        <f t="shared" si="11"/>
        <v>-14.304999999998472</v>
      </c>
      <c r="G74" s="4">
        <f t="shared" si="12"/>
        <v>14.304999999998472</v>
      </c>
      <c r="W74" s="59">
        <f t="shared" si="13"/>
        <v>2.2785123479888664E-2</v>
      </c>
      <c r="X74" s="59">
        <f t="shared" si="14"/>
        <v>-4.6489638469759259E-3</v>
      </c>
      <c r="Y74" s="59">
        <f t="shared" si="15"/>
        <v>2.0883704560631326E-2</v>
      </c>
    </row>
    <row r="75" spans="1:25" x14ac:dyDescent="0.3">
      <c r="A75" s="2">
        <v>44008</v>
      </c>
      <c r="B75" s="1">
        <v>88.407499999999999</v>
      </c>
      <c r="C75" s="1">
        <v>2692.87</v>
      </c>
      <c r="D75" s="1">
        <v>216.08</v>
      </c>
      <c r="E75" s="3">
        <f t="shared" si="10"/>
        <v>5484.5149999999994</v>
      </c>
      <c r="F75" s="4">
        <f t="shared" si="11"/>
        <v>128.45499999999993</v>
      </c>
      <c r="G75" s="4">
        <f t="shared" si="12"/>
        <v>-128.45499999999993</v>
      </c>
      <c r="W75" s="59">
        <f t="shared" si="13"/>
        <v>-3.1207732518357401E-2</v>
      </c>
      <c r="X75" s="59">
        <f t="shared" si="14"/>
        <v>-2.2657441529320064E-2</v>
      </c>
      <c r="Y75" s="59">
        <f t="shared" si="15"/>
        <v>-8.6826243229959979E-2</v>
      </c>
    </row>
    <row r="76" spans="1:25" x14ac:dyDescent="0.3">
      <c r="A76" s="2">
        <v>44007</v>
      </c>
      <c r="B76" s="1">
        <v>91.21</v>
      </c>
      <c r="C76" s="1">
        <v>2754.58</v>
      </c>
      <c r="D76" s="1">
        <v>235.68</v>
      </c>
      <c r="E76" s="3">
        <f t="shared" si="10"/>
        <v>5356.0599999999995</v>
      </c>
      <c r="F76" s="4">
        <f t="shared" si="11"/>
        <v>66.910000000000764</v>
      </c>
      <c r="G76" s="4">
        <f t="shared" si="12"/>
        <v>-66.910000000000764</v>
      </c>
      <c r="W76" s="59">
        <f t="shared" si="13"/>
        <v>1.3188217082481208E-2</v>
      </c>
      <c r="X76" s="59">
        <f t="shared" si="14"/>
        <v>7.3529475132480537E-3</v>
      </c>
      <c r="Y76" s="59">
        <f t="shared" si="15"/>
        <v>7.0683709235083427E-3</v>
      </c>
    </row>
    <row r="77" spans="1:25" x14ac:dyDescent="0.3">
      <c r="A77" s="2">
        <v>44006</v>
      </c>
      <c r="B77" s="1">
        <v>90.015000000000001</v>
      </c>
      <c r="C77" s="1">
        <v>2734.4</v>
      </c>
      <c r="D77" s="1">
        <v>234.02</v>
      </c>
      <c r="E77" s="3">
        <f t="shared" si="10"/>
        <v>5289.1499999999987</v>
      </c>
      <c r="F77" s="4">
        <f t="shared" si="11"/>
        <v>23.5049999999992</v>
      </c>
      <c r="G77" s="4">
        <f t="shared" si="12"/>
        <v>-23.5049999999992</v>
      </c>
      <c r="W77" s="59">
        <f t="shared" si="13"/>
        <v>-1.7809689136073188E-2</v>
      </c>
      <c r="X77" s="59">
        <f t="shared" si="14"/>
        <v>-1.0915197270871804E-2</v>
      </c>
      <c r="Y77" s="59">
        <f t="shared" si="15"/>
        <v>-3.452238845827213E-2</v>
      </c>
    </row>
    <row r="78" spans="1:25" x14ac:dyDescent="0.3">
      <c r="A78" s="2">
        <v>44005</v>
      </c>
      <c r="B78" s="1">
        <v>91.632499999999993</v>
      </c>
      <c r="C78" s="1">
        <v>2764.41</v>
      </c>
      <c r="D78" s="1">
        <v>242.24</v>
      </c>
      <c r="E78" s="3">
        <f t="shared" si="10"/>
        <v>5265.6449999999995</v>
      </c>
      <c r="F78" s="4">
        <f t="shared" si="11"/>
        <v>136.52999999999975</v>
      </c>
      <c r="G78" s="4">
        <f t="shared" si="12"/>
        <v>-136.52999999999975</v>
      </c>
      <c r="W78" s="59">
        <f t="shared" si="13"/>
        <v>2.1120167449104374E-2</v>
      </c>
      <c r="X78" s="59">
        <f t="shared" si="14"/>
        <v>1.8469994207653922E-2</v>
      </c>
      <c r="Y78" s="59">
        <f t="shared" si="15"/>
        <v>1.2545339627765287E-2</v>
      </c>
    </row>
    <row r="79" spans="1:25" x14ac:dyDescent="0.3">
      <c r="A79" s="2">
        <v>44004</v>
      </c>
      <c r="B79" s="1">
        <v>89.717500000000001</v>
      </c>
      <c r="C79" s="1">
        <v>2713.82</v>
      </c>
      <c r="D79" s="1">
        <v>239.22</v>
      </c>
      <c r="E79" s="3">
        <f t="shared" si="10"/>
        <v>5129.1149999999998</v>
      </c>
      <c r="F79" s="4">
        <f t="shared" si="11"/>
        <v>183.39499999999953</v>
      </c>
      <c r="G79" s="4">
        <f t="shared" si="12"/>
        <v>-183.39499999999953</v>
      </c>
      <c r="W79" s="59">
        <f t="shared" si="13"/>
        <v>2.5827371603755051E-2</v>
      </c>
      <c r="X79" s="59">
        <f t="shared" si="14"/>
        <v>1.440411778366788E-2</v>
      </c>
      <c r="Y79" s="59">
        <f t="shared" si="15"/>
        <v>1.7991260265989625E-3</v>
      </c>
    </row>
    <row r="80" spans="1:25" x14ac:dyDescent="0.3">
      <c r="A80" s="2">
        <v>44001</v>
      </c>
      <c r="B80" s="1">
        <v>87.43</v>
      </c>
      <c r="C80" s="1">
        <v>2675.01</v>
      </c>
      <c r="D80" s="1">
        <v>238.79</v>
      </c>
      <c r="E80" s="3">
        <f t="shared" si="10"/>
        <v>4945.72</v>
      </c>
      <c r="F80" s="4">
        <f t="shared" si="11"/>
        <v>-40.06499999999869</v>
      </c>
      <c r="G80" s="4">
        <f t="shared" si="12"/>
        <v>40.06499999999869</v>
      </c>
      <c r="W80" s="59">
        <f t="shared" si="13"/>
        <v>-5.7310015009774829E-3</v>
      </c>
      <c r="X80" s="59">
        <f t="shared" si="14"/>
        <v>7.8927185721442868E-3</v>
      </c>
      <c r="Y80" s="59">
        <f t="shared" si="15"/>
        <v>1.200696918102335E-2</v>
      </c>
    </row>
    <row r="81" spans="1:25" x14ac:dyDescent="0.3">
      <c r="A81" s="2">
        <v>44000</v>
      </c>
      <c r="B81" s="1">
        <v>87.932500000000005</v>
      </c>
      <c r="C81" s="1">
        <v>2653.98</v>
      </c>
      <c r="D81" s="1">
        <v>235.94</v>
      </c>
      <c r="E81" s="3">
        <f t="shared" si="10"/>
        <v>4985.7849999999989</v>
      </c>
      <c r="F81" s="4">
        <f t="shared" si="11"/>
        <v>19.550000000000182</v>
      </c>
      <c r="G81" s="4">
        <f t="shared" si="12"/>
        <v>-19.550000000000182</v>
      </c>
      <c r="W81" s="59">
        <f t="shared" si="13"/>
        <v>3.981118178045245E-4</v>
      </c>
      <c r="X81" s="59">
        <f t="shared" si="14"/>
        <v>4.9103396893316244E-3</v>
      </c>
      <c r="Y81" s="59">
        <f t="shared" si="15"/>
        <v>1.7392415354225597E-3</v>
      </c>
    </row>
    <row r="82" spans="1:25" x14ac:dyDescent="0.3">
      <c r="A82" s="2">
        <v>43999</v>
      </c>
      <c r="B82" s="1">
        <v>87.897499999999994</v>
      </c>
      <c r="C82" s="1">
        <v>2640.98</v>
      </c>
      <c r="D82" s="1">
        <v>235.53</v>
      </c>
      <c r="E82" s="3">
        <f t="shared" si="10"/>
        <v>4966.2349999999988</v>
      </c>
      <c r="F82" s="4">
        <f t="shared" si="11"/>
        <v>47.69499999999789</v>
      </c>
      <c r="G82" s="4">
        <f t="shared" si="12"/>
        <v>-47.69499999999789</v>
      </c>
      <c r="W82" s="59">
        <f t="shared" si="13"/>
        <v>-1.3926985069725745E-3</v>
      </c>
      <c r="X82" s="59">
        <f t="shared" si="14"/>
        <v>9.7827177323296655E-3</v>
      </c>
      <c r="Y82" s="59">
        <f t="shared" si="15"/>
        <v>-5.0935949146599347E-4</v>
      </c>
    </row>
    <row r="83" spans="1:25" x14ac:dyDescent="0.3">
      <c r="A83" s="2">
        <v>43998</v>
      </c>
      <c r="B83" s="1">
        <v>88.02</v>
      </c>
      <c r="C83" s="1">
        <v>2615.27</v>
      </c>
      <c r="D83" s="1">
        <v>235.65</v>
      </c>
      <c r="E83" s="3">
        <f t="shared" si="10"/>
        <v>4918.5400000000009</v>
      </c>
      <c r="F83" s="4">
        <f t="shared" si="11"/>
        <v>135.80500000000029</v>
      </c>
      <c r="G83" s="4">
        <f t="shared" si="12"/>
        <v>-135.80500000000029</v>
      </c>
      <c r="W83" s="59">
        <f t="shared" si="13"/>
        <v>2.6157130280847624E-2</v>
      </c>
      <c r="X83" s="59">
        <f t="shared" si="14"/>
        <v>1.6419185541230837E-2</v>
      </c>
      <c r="Y83" s="59">
        <f t="shared" si="15"/>
        <v>1.3457428342328962E-2</v>
      </c>
    </row>
    <row r="84" spans="1:25" x14ac:dyDescent="0.3">
      <c r="A84" s="2">
        <v>43997</v>
      </c>
      <c r="B84" s="1">
        <v>85.747500000000002</v>
      </c>
      <c r="C84" s="1">
        <v>2572.6799999999998</v>
      </c>
      <c r="D84" s="1">
        <v>232.5</v>
      </c>
      <c r="E84" s="3">
        <f t="shared" si="10"/>
        <v>4782.7350000000006</v>
      </c>
      <c r="F84" s="4">
        <f t="shared" si="11"/>
        <v>29.295000000000073</v>
      </c>
      <c r="G84" s="4">
        <f t="shared" si="12"/>
        <v>-29.295000000000073</v>
      </c>
      <c r="W84" s="59">
        <f t="shared" si="13"/>
        <v>1.2291329444088814E-2</v>
      </c>
      <c r="X84" s="59">
        <f t="shared" si="14"/>
        <v>1.0809648605926373E-2</v>
      </c>
      <c r="Y84" s="59">
        <f t="shared" si="15"/>
        <v>1.7003966557958963E-2</v>
      </c>
    </row>
    <row r="85" spans="1:25" x14ac:dyDescent="0.3">
      <c r="A85" s="2">
        <v>43994</v>
      </c>
      <c r="B85" s="1">
        <v>84.7</v>
      </c>
      <c r="C85" s="1">
        <v>2545.02</v>
      </c>
      <c r="D85" s="1">
        <v>228.58</v>
      </c>
      <c r="E85" s="3">
        <f t="shared" si="10"/>
        <v>4753.4400000000005</v>
      </c>
      <c r="F85" s="4">
        <f t="shared" si="11"/>
        <v>-72.6299999999992</v>
      </c>
      <c r="G85" s="4">
        <f t="shared" si="12"/>
        <v>72.6299999999992</v>
      </c>
      <c r="W85" s="59">
        <f t="shared" si="13"/>
        <v>8.5964661596524723E-3</v>
      </c>
      <c r="X85" s="59">
        <f t="shared" si="14"/>
        <v>-5.0715573000361903E-3</v>
      </c>
      <c r="Y85" s="59">
        <f t="shared" si="15"/>
        <v>1.8322403917028759E-2</v>
      </c>
    </row>
    <row r="86" spans="1:25" x14ac:dyDescent="0.3">
      <c r="A86" s="2">
        <v>43993</v>
      </c>
      <c r="B86" s="1">
        <v>83.974999999999994</v>
      </c>
      <c r="C86" s="1">
        <v>2557.96</v>
      </c>
      <c r="D86" s="1">
        <v>224.43</v>
      </c>
      <c r="E86" s="3">
        <f t="shared" si="10"/>
        <v>4826.07</v>
      </c>
      <c r="F86" s="4">
        <f t="shared" si="11"/>
        <v>-144.73000000000047</v>
      </c>
      <c r="G86" s="4">
        <f t="shared" si="12"/>
        <v>144.73000000000047</v>
      </c>
      <c r="W86" s="59">
        <f t="shared" si="13"/>
        <v>-4.9201199772319078E-2</v>
      </c>
      <c r="X86" s="59">
        <f t="shared" si="14"/>
        <v>-3.4386846756008234E-2</v>
      </c>
      <c r="Y86" s="59">
        <f t="shared" si="15"/>
        <v>-5.3356396648629976E-2</v>
      </c>
    </row>
    <row r="87" spans="1:25" x14ac:dyDescent="0.3">
      <c r="A87" s="2">
        <v>43992</v>
      </c>
      <c r="B87" s="1">
        <v>88.21</v>
      </c>
      <c r="C87" s="1">
        <v>2647.45</v>
      </c>
      <c r="D87" s="1">
        <v>236.73</v>
      </c>
      <c r="E87" s="3">
        <f t="shared" si="10"/>
        <v>4970.8</v>
      </c>
      <c r="F87" s="4">
        <f t="shared" si="11"/>
        <v>242.60499999999865</v>
      </c>
      <c r="G87" s="4">
        <f t="shared" si="12"/>
        <v>-242.60499999999865</v>
      </c>
      <c r="W87" s="59">
        <f t="shared" si="13"/>
        <v>2.5402109207143461E-2</v>
      </c>
      <c r="X87" s="59">
        <f t="shared" si="14"/>
        <v>1.7754753007697566E-2</v>
      </c>
      <c r="Y87" s="59">
        <f t="shared" si="15"/>
        <v>-8.1615934743991501E-3</v>
      </c>
    </row>
    <row r="88" spans="1:25" x14ac:dyDescent="0.3">
      <c r="A88" s="2">
        <v>43991</v>
      </c>
      <c r="B88" s="1">
        <v>85.997500000000002</v>
      </c>
      <c r="C88" s="1">
        <v>2600.86</v>
      </c>
      <c r="D88" s="1">
        <v>238.67</v>
      </c>
      <c r="E88" s="3">
        <f t="shared" si="10"/>
        <v>4728.1950000000015</v>
      </c>
      <c r="F88" s="4">
        <f t="shared" si="11"/>
        <v>139.82500000000255</v>
      </c>
      <c r="G88" s="4">
        <f t="shared" si="12"/>
        <v>-139.82500000000255</v>
      </c>
      <c r="W88" s="59">
        <f t="shared" si="13"/>
        <v>3.1089669051109898E-2</v>
      </c>
      <c r="X88" s="59">
        <f t="shared" si="14"/>
        <v>2.9973443378893249E-2</v>
      </c>
      <c r="Y88" s="59">
        <f t="shared" si="15"/>
        <v>3.0934029915876148E-2</v>
      </c>
    </row>
    <row r="89" spans="1:25" x14ac:dyDescent="0.3">
      <c r="A89" s="2">
        <v>43990</v>
      </c>
      <c r="B89" s="1">
        <v>83.364999999999995</v>
      </c>
      <c r="C89" s="1">
        <v>2524.06</v>
      </c>
      <c r="D89" s="1">
        <v>231.4</v>
      </c>
      <c r="E89" s="3">
        <f t="shared" si="10"/>
        <v>4588.369999999999</v>
      </c>
      <c r="F89" s="4">
        <f t="shared" si="11"/>
        <v>94.019999999999527</v>
      </c>
      <c r="G89" s="4">
        <f t="shared" si="12"/>
        <v>-94.019999999999527</v>
      </c>
      <c r="W89" s="59">
        <f t="shared" si="13"/>
        <v>5.8951085063955527E-3</v>
      </c>
      <c r="X89" s="59">
        <f t="shared" si="14"/>
        <v>1.6401209661200747E-2</v>
      </c>
      <c r="Y89" s="59">
        <f t="shared" si="15"/>
        <v>2.7262712430883018E-3</v>
      </c>
    </row>
    <row r="90" spans="1:25" x14ac:dyDescent="0.3">
      <c r="A90" s="2">
        <v>43987</v>
      </c>
      <c r="B90" s="1">
        <v>82.875</v>
      </c>
      <c r="C90" s="1">
        <v>2483</v>
      </c>
      <c r="D90" s="1">
        <v>230.77</v>
      </c>
      <c r="E90" s="3">
        <f t="shared" si="10"/>
        <v>4494.3499999999995</v>
      </c>
      <c r="F90" s="4">
        <f t="shared" si="11"/>
        <v>69.949999999998909</v>
      </c>
      <c r="G90" s="4">
        <f t="shared" si="12"/>
        <v>-69.949999999998909</v>
      </c>
      <c r="W90" s="59">
        <f t="shared" si="13"/>
        <v>2.8082968742825305E-2</v>
      </c>
      <c r="X90" s="59">
        <f t="shared" si="14"/>
        <v>9.0622838820981801E-3</v>
      </c>
      <c r="Y90" s="59">
        <f t="shared" si="15"/>
        <v>1.9604180982838573E-2</v>
      </c>
    </row>
    <row r="91" spans="1:25" x14ac:dyDescent="0.3">
      <c r="A91" s="2">
        <v>43986</v>
      </c>
      <c r="B91" s="1">
        <v>80.58</v>
      </c>
      <c r="C91" s="1">
        <v>2460.6</v>
      </c>
      <c r="D91" s="1">
        <v>226.29</v>
      </c>
      <c r="E91" s="3">
        <f t="shared" si="10"/>
        <v>4424.4000000000005</v>
      </c>
      <c r="F91" s="4">
        <f t="shared" si="11"/>
        <v>6.8000000000010914</v>
      </c>
      <c r="G91" s="4">
        <f t="shared" si="12"/>
        <v>-6.8000000000010914</v>
      </c>
      <c r="W91" s="59">
        <f t="shared" si="13"/>
        <v>-8.6495040669705946E-3</v>
      </c>
      <c r="X91" s="59">
        <f t="shared" si="14"/>
        <v>-7.2079680365357201E-3</v>
      </c>
      <c r="Y91" s="59">
        <f t="shared" si="15"/>
        <v>-1.6957356709643327E-2</v>
      </c>
    </row>
    <row r="92" spans="1:25" x14ac:dyDescent="0.3">
      <c r="A92" s="2">
        <v>43985</v>
      </c>
      <c r="B92" s="1">
        <v>81.28</v>
      </c>
      <c r="C92" s="1">
        <v>2478.4</v>
      </c>
      <c r="D92" s="1">
        <v>230.16</v>
      </c>
      <c r="E92" s="3">
        <f t="shared" si="10"/>
        <v>4417.5999999999995</v>
      </c>
      <c r="F92" s="4">
        <f t="shared" si="11"/>
        <v>85.429999999999382</v>
      </c>
      <c r="G92" s="4">
        <f t="shared" si="12"/>
        <v>-85.429999999999382</v>
      </c>
      <c r="W92" s="59">
        <f t="shared" si="13"/>
        <v>5.4899437766020584E-3</v>
      </c>
      <c r="X92" s="59">
        <f t="shared" si="14"/>
        <v>2.4198072326968405E-3</v>
      </c>
      <c r="Y92" s="59">
        <f t="shared" si="15"/>
        <v>-1.1061294943653746E-2</v>
      </c>
    </row>
    <row r="93" spans="1:25" x14ac:dyDescent="0.3">
      <c r="A93" s="2">
        <v>43984</v>
      </c>
      <c r="B93" s="1">
        <v>80.834999999999994</v>
      </c>
      <c r="C93" s="1">
        <v>2472.41</v>
      </c>
      <c r="D93" s="1">
        <v>232.72</v>
      </c>
      <c r="E93" s="3">
        <f t="shared" si="10"/>
        <v>4332.17</v>
      </c>
      <c r="F93" s="4">
        <f t="shared" si="11"/>
        <v>5.1649999999999636</v>
      </c>
      <c r="G93" s="4">
        <f t="shared" si="12"/>
        <v>-5.1649999999999636</v>
      </c>
      <c r="W93" s="59">
        <f t="shared" si="13"/>
        <v>4.6188026748352805E-3</v>
      </c>
      <c r="X93" s="59">
        <f t="shared" si="14"/>
        <v>5.5426879409044424E-4</v>
      </c>
      <c r="Y93" s="59">
        <f t="shared" si="15"/>
        <v>3.4866488198283304E-3</v>
      </c>
    </row>
    <row r="94" spans="1:25" x14ac:dyDescent="0.3">
      <c r="A94" s="2">
        <v>43983</v>
      </c>
      <c r="B94" s="1">
        <v>80.462500000000006</v>
      </c>
      <c r="C94" s="1">
        <v>2471.04</v>
      </c>
      <c r="D94" s="1">
        <v>231.91</v>
      </c>
      <c r="E94" s="3">
        <f t="shared" si="10"/>
        <v>4327.0050000000001</v>
      </c>
      <c r="F94" s="4">
        <f t="shared" si="11"/>
        <v>-30.184999999999491</v>
      </c>
      <c r="G94" s="4">
        <f t="shared" si="12"/>
        <v>30.184999999999491</v>
      </c>
      <c r="W94" s="59">
        <f t="shared" si="13"/>
        <v>1.2222912765899315E-2</v>
      </c>
      <c r="X94" s="59">
        <f t="shared" si="14"/>
        <v>1.1670235290912953E-2</v>
      </c>
      <c r="Y94" s="59">
        <f t="shared" si="15"/>
        <v>2.9849043141370747E-2</v>
      </c>
    </row>
    <row r="95" spans="1:25" x14ac:dyDescent="0.3">
      <c r="A95" s="2">
        <v>43980</v>
      </c>
      <c r="B95" s="1">
        <v>79.484999999999999</v>
      </c>
      <c r="C95" s="1">
        <v>2442.37</v>
      </c>
      <c r="D95" s="1">
        <v>225.09</v>
      </c>
      <c r="E95" s="3">
        <f t="shared" si="10"/>
        <v>4357.1899999999996</v>
      </c>
      <c r="F95" s="4">
        <f t="shared" si="11"/>
        <v>86.06499999999869</v>
      </c>
      <c r="G95" s="4">
        <f t="shared" si="12"/>
        <v>-86.06499999999869</v>
      </c>
      <c r="W95" s="59">
        <f t="shared" si="13"/>
        <v>-9.7455170479014295E-4</v>
      </c>
      <c r="X95" s="59">
        <f t="shared" si="14"/>
        <v>1.7041913678172808E-2</v>
      </c>
      <c r="Y95" s="59">
        <f t="shared" si="15"/>
        <v>-1.6424373906382417E-3</v>
      </c>
    </row>
    <row r="96" spans="1:25" x14ac:dyDescent="0.3">
      <c r="A96" s="2">
        <v>43979</v>
      </c>
      <c r="B96" s="1">
        <v>79.5625</v>
      </c>
      <c r="C96" s="1">
        <v>2401.1</v>
      </c>
      <c r="D96" s="1">
        <v>225.46</v>
      </c>
      <c r="E96" s="3">
        <f t="shared" si="10"/>
        <v>4271.1250000000009</v>
      </c>
      <c r="F96" s="4">
        <f t="shared" si="11"/>
        <v>56.770000000001346</v>
      </c>
      <c r="G96" s="4">
        <f t="shared" si="12"/>
        <v>-56.770000000001346</v>
      </c>
      <c r="W96" s="59">
        <f t="shared" si="13"/>
        <v>4.4000252139874237E-4</v>
      </c>
      <c r="X96" s="59">
        <f t="shared" si="14"/>
        <v>-3.8615944517403698E-3</v>
      </c>
      <c r="Y96" s="59">
        <f t="shared" si="15"/>
        <v>-1.6190410849094547E-2</v>
      </c>
    </row>
    <row r="97" spans="1:25" x14ac:dyDescent="0.3">
      <c r="A97" s="2">
        <v>43978</v>
      </c>
      <c r="B97" s="1">
        <v>79.527500000000003</v>
      </c>
      <c r="C97" s="1">
        <v>2410.39</v>
      </c>
      <c r="D97" s="1">
        <v>229.14</v>
      </c>
      <c r="E97" s="3">
        <f t="shared" si="10"/>
        <v>4214.3549999999996</v>
      </c>
      <c r="F97" s="4">
        <f t="shared" si="11"/>
        <v>55.509999999998399</v>
      </c>
      <c r="G97" s="4">
        <f t="shared" si="12"/>
        <v>-55.509999999998399</v>
      </c>
      <c r="W97" s="59">
        <f t="shared" si="13"/>
        <v>4.3475589869739579E-3</v>
      </c>
      <c r="X97" s="59">
        <f t="shared" si="14"/>
        <v>-4.7472798556733179E-3</v>
      </c>
      <c r="Y97" s="59">
        <f t="shared" si="15"/>
        <v>-1.3265898798311257E-2</v>
      </c>
    </row>
    <row r="98" spans="1:25" x14ac:dyDescent="0.3">
      <c r="A98" s="2">
        <v>43977</v>
      </c>
      <c r="B98" s="1">
        <v>79.182500000000005</v>
      </c>
      <c r="C98" s="1">
        <v>2421.86</v>
      </c>
      <c r="D98" s="1">
        <v>232.2</v>
      </c>
      <c r="E98" s="3">
        <f t="shared" si="10"/>
        <v>4158.8450000000012</v>
      </c>
      <c r="F98" s="4">
        <f t="shared" si="11"/>
        <v>-2.839999999999236</v>
      </c>
      <c r="G98" s="4">
        <f t="shared" si="12"/>
        <v>2.839999999999236</v>
      </c>
      <c r="W98" s="59">
        <f t="shared" si="13"/>
        <v>-6.7965398027914452E-3</v>
      </c>
      <c r="X98" s="59">
        <f t="shared" si="14"/>
        <v>-6.1826925687681654E-3</v>
      </c>
      <c r="Y98" s="59">
        <f t="shared" si="15"/>
        <v>-1.1603392801882795E-2</v>
      </c>
    </row>
    <row r="99" spans="1:25" x14ac:dyDescent="0.3">
      <c r="A99" s="2">
        <v>43973</v>
      </c>
      <c r="B99" s="1">
        <v>79.722499999999997</v>
      </c>
      <c r="C99" s="1">
        <v>2436.88</v>
      </c>
      <c r="D99" s="1">
        <v>234.91</v>
      </c>
      <c r="E99" s="3">
        <f t="shared" si="10"/>
        <v>4161.6850000000004</v>
      </c>
      <c r="F99" s="4">
        <f t="shared" si="11"/>
        <v>-64.619999999999891</v>
      </c>
      <c r="G99" s="4">
        <f t="shared" si="12"/>
        <v>64.619999999999891</v>
      </c>
      <c r="W99" s="59">
        <f t="shared" si="13"/>
        <v>6.4177399624085968E-3</v>
      </c>
      <c r="X99" s="59">
        <f t="shared" si="14"/>
        <v>-4.037993700408307E-3</v>
      </c>
      <c r="Y99" s="59">
        <f t="shared" si="15"/>
        <v>1.5097863451656464E-2</v>
      </c>
    </row>
    <row r="100" spans="1:25" x14ac:dyDescent="0.3">
      <c r="A100" s="2">
        <v>43972</v>
      </c>
      <c r="B100" s="1">
        <v>79.212500000000006</v>
      </c>
      <c r="C100" s="1">
        <v>2446.7399999999998</v>
      </c>
      <c r="D100" s="1">
        <v>231.39</v>
      </c>
      <c r="E100" s="3">
        <f t="shared" si="10"/>
        <v>4226.3050000000003</v>
      </c>
      <c r="F100" s="4">
        <f t="shared" si="11"/>
        <v>-160.55000000000109</v>
      </c>
      <c r="G100" s="4">
        <f t="shared" si="12"/>
        <v>160.55000000000109</v>
      </c>
      <c r="W100" s="59">
        <f t="shared" si="13"/>
        <v>-7.4833703522239024E-3</v>
      </c>
      <c r="X100" s="59">
        <f t="shared" si="14"/>
        <v>-2.0709865938363593E-2</v>
      </c>
      <c r="Y100" s="59">
        <f t="shared" si="15"/>
        <v>6.1557329807867206E-3</v>
      </c>
    </row>
    <row r="101" spans="1:25" x14ac:dyDescent="0.3">
      <c r="A101" s="2">
        <v>43971</v>
      </c>
      <c r="B101" s="1">
        <v>79.807500000000005</v>
      </c>
      <c r="C101" s="1">
        <v>2497.94</v>
      </c>
      <c r="D101" s="1">
        <v>229.97</v>
      </c>
      <c r="E101" s="3">
        <f t="shared" si="10"/>
        <v>4386.8550000000014</v>
      </c>
      <c r="F101" s="4">
        <f t="shared" si="11"/>
        <v>-88.454999999998108</v>
      </c>
      <c r="G101" s="4">
        <f t="shared" si="12"/>
        <v>88.454999999998108</v>
      </c>
      <c r="W101" s="59">
        <f t="shared" si="13"/>
        <v>1.9261471238373101E-2</v>
      </c>
      <c r="X101" s="59">
        <f t="shared" si="14"/>
        <v>1.9651874430238726E-2</v>
      </c>
      <c r="Y101" s="59">
        <f t="shared" si="15"/>
        <v>5.8604660442820651E-2</v>
      </c>
    </row>
    <row r="102" spans="1:25" x14ac:dyDescent="0.3">
      <c r="A102" s="2">
        <v>43970</v>
      </c>
      <c r="B102" s="1">
        <v>78.284999999999997</v>
      </c>
      <c r="C102" s="1">
        <v>2449.33</v>
      </c>
      <c r="D102" s="1">
        <v>216.88</v>
      </c>
      <c r="E102" s="3">
        <f t="shared" si="10"/>
        <v>4475.3099999999995</v>
      </c>
      <c r="F102" s="4">
        <f t="shared" si="11"/>
        <v>-50.410000000000764</v>
      </c>
      <c r="G102" s="4">
        <f t="shared" si="12"/>
        <v>50.410000000000764</v>
      </c>
      <c r="W102" s="59">
        <f t="shared" si="13"/>
        <v>-5.7952717521052343E-3</v>
      </c>
      <c r="X102" s="59">
        <f t="shared" si="14"/>
        <v>9.4635406899086453E-3</v>
      </c>
      <c r="Y102" s="59">
        <f t="shared" si="15"/>
        <v>1.7160418313959439E-2</v>
      </c>
    </row>
    <row r="103" spans="1:25" x14ac:dyDescent="0.3">
      <c r="A103" s="2">
        <v>43969</v>
      </c>
      <c r="B103" s="1">
        <v>78.739999999999995</v>
      </c>
      <c r="C103" s="1">
        <v>2426.2600000000002</v>
      </c>
      <c r="D103" s="1">
        <v>213.19</v>
      </c>
      <c r="E103" s="3">
        <f t="shared" si="10"/>
        <v>4525.72</v>
      </c>
      <c r="F103" s="4">
        <f t="shared" si="11"/>
        <v>77.385000000001128</v>
      </c>
      <c r="G103" s="4">
        <f t="shared" si="12"/>
        <v>-77.385000000001128</v>
      </c>
      <c r="W103" s="59">
        <f t="shared" si="13"/>
        <v>2.3287865648052835E-2</v>
      </c>
      <c r="X103" s="59">
        <f t="shared" si="14"/>
        <v>6.8155200507390651E-3</v>
      </c>
      <c r="Y103" s="59">
        <f t="shared" si="15"/>
        <v>1.0894535562308393E-2</v>
      </c>
    </row>
    <row r="104" spans="1:25" x14ac:dyDescent="0.3">
      <c r="A104" s="2">
        <v>43966</v>
      </c>
      <c r="B104" s="1">
        <v>76.927499999999995</v>
      </c>
      <c r="C104" s="1">
        <v>2409.7800000000002</v>
      </c>
      <c r="D104" s="1">
        <v>210.88</v>
      </c>
      <c r="E104" s="3">
        <f t="shared" si="10"/>
        <v>4448.3349999999991</v>
      </c>
      <c r="F104" s="4">
        <f t="shared" si="11"/>
        <v>-62.415000000001783</v>
      </c>
      <c r="G104" s="4">
        <f t="shared" si="12"/>
        <v>62.415000000001783</v>
      </c>
      <c r="W104" s="59">
        <f t="shared" si="13"/>
        <v>-5.9295434971843638E-3</v>
      </c>
      <c r="X104" s="59">
        <f t="shared" si="14"/>
        <v>8.7233784335364467E-3</v>
      </c>
      <c r="Y104" s="59">
        <f t="shared" si="15"/>
        <v>1.9488753949557382E-2</v>
      </c>
    </row>
    <row r="105" spans="1:25" x14ac:dyDescent="0.3">
      <c r="A105" s="2">
        <v>43965</v>
      </c>
      <c r="B105" s="1">
        <v>77.385000000000005</v>
      </c>
      <c r="C105" s="1">
        <v>2388.85</v>
      </c>
      <c r="D105" s="1">
        <v>206.81</v>
      </c>
      <c r="E105" s="3">
        <f t="shared" si="10"/>
        <v>4510.7500000000009</v>
      </c>
      <c r="F105" s="4">
        <f t="shared" si="11"/>
        <v>31.285000000000764</v>
      </c>
      <c r="G105" s="4">
        <f t="shared" si="12"/>
        <v>-31.285000000000764</v>
      </c>
      <c r="W105" s="59">
        <f t="shared" si="13"/>
        <v>6.1245512981143672E-3</v>
      </c>
      <c r="X105" s="59">
        <f t="shared" si="14"/>
        <v>8.8001459278341503E-3</v>
      </c>
      <c r="Y105" s="59">
        <f t="shared" si="15"/>
        <v>8.302832286250077E-3</v>
      </c>
    </row>
    <row r="106" spans="1:25" x14ac:dyDescent="0.3">
      <c r="A106" s="2">
        <v>43964</v>
      </c>
      <c r="B106" s="1">
        <v>76.912499999999994</v>
      </c>
      <c r="C106" s="1">
        <v>2367.92</v>
      </c>
      <c r="D106" s="1">
        <v>205.1</v>
      </c>
      <c r="E106" s="3">
        <f t="shared" si="10"/>
        <v>4479.4650000000001</v>
      </c>
      <c r="F106" s="4">
        <f t="shared" si="11"/>
        <v>74.940000000000509</v>
      </c>
      <c r="G106" s="4">
        <f t="shared" si="12"/>
        <v>-74.940000000000509</v>
      </c>
      <c r="W106" s="59">
        <f t="shared" si="13"/>
        <v>-1.2147598735679586E-2</v>
      </c>
      <c r="X106" s="59">
        <f t="shared" si="14"/>
        <v>4.6435223451772468E-3</v>
      </c>
      <c r="Y106" s="59">
        <f t="shared" si="15"/>
        <v>-2.4085942772619759E-2</v>
      </c>
    </row>
    <row r="107" spans="1:25" x14ac:dyDescent="0.3">
      <c r="A107" s="2">
        <v>43963</v>
      </c>
      <c r="B107" s="1">
        <v>77.852500000000006</v>
      </c>
      <c r="C107" s="1">
        <v>2356.9499999999998</v>
      </c>
      <c r="D107" s="1">
        <v>210.1</v>
      </c>
      <c r="E107" s="3">
        <f t="shared" si="10"/>
        <v>4404.5249999999996</v>
      </c>
      <c r="F107" s="4">
        <f t="shared" si="11"/>
        <v>-87.5</v>
      </c>
      <c r="G107" s="4">
        <f t="shared" si="12"/>
        <v>87.5</v>
      </c>
      <c r="W107" s="59">
        <f t="shared" si="13"/>
        <v>-1.1494012431305609E-2</v>
      </c>
      <c r="X107" s="59">
        <f t="shared" si="14"/>
        <v>-2.1843313310621025E-2</v>
      </c>
      <c r="Y107" s="59">
        <f t="shared" si="15"/>
        <v>-1.4553271410036003E-2</v>
      </c>
    </row>
    <row r="108" spans="1:25" x14ac:dyDescent="0.3">
      <c r="A108" s="2">
        <v>43962</v>
      </c>
      <c r="B108" s="1">
        <v>78.752499999999998</v>
      </c>
      <c r="C108" s="1">
        <v>2409</v>
      </c>
      <c r="D108" s="1">
        <v>213.18</v>
      </c>
      <c r="E108" s="3">
        <f t="shared" si="10"/>
        <v>4492.0249999999996</v>
      </c>
      <c r="F108" s="4">
        <f t="shared" si="11"/>
        <v>103.18499999999949</v>
      </c>
      <c r="G108" s="4">
        <f t="shared" si="12"/>
        <v>-103.18499999999949</v>
      </c>
      <c r="W108" s="59">
        <f t="shared" si="13"/>
        <v>1.5614109722784894E-2</v>
      </c>
      <c r="X108" s="59">
        <f t="shared" si="14"/>
        <v>1.2275114922994934E-2</v>
      </c>
      <c r="Y108" s="59">
        <f t="shared" si="15"/>
        <v>3.9010225017105308E-3</v>
      </c>
    </row>
    <row r="109" spans="1:25" x14ac:dyDescent="0.3">
      <c r="A109" s="2">
        <v>43959</v>
      </c>
      <c r="B109" s="1">
        <v>77.532399999999996</v>
      </c>
      <c r="C109" s="1">
        <v>2379.61</v>
      </c>
      <c r="D109" s="1">
        <v>212.35</v>
      </c>
      <c r="E109" s="3">
        <f t="shared" si="10"/>
        <v>4388.84</v>
      </c>
      <c r="F109" s="4">
        <f t="shared" si="11"/>
        <v>82.069999999998799</v>
      </c>
      <c r="G109" s="4">
        <f t="shared" si="12"/>
        <v>-82.069999999998799</v>
      </c>
      <c r="W109" s="59">
        <f t="shared" si="13"/>
        <v>2.0818202328575709E-2</v>
      </c>
      <c r="X109" s="59">
        <f t="shared" si="14"/>
        <v>5.0556011977925756E-3</v>
      </c>
      <c r="Y109" s="59">
        <f t="shared" si="15"/>
        <v>5.1462543642640341E-3</v>
      </c>
    </row>
    <row r="110" spans="1:25" x14ac:dyDescent="0.3">
      <c r="A110" s="2">
        <v>43958</v>
      </c>
      <c r="B110" s="1">
        <v>75.935000000000002</v>
      </c>
      <c r="C110" s="1">
        <v>2367.61</v>
      </c>
      <c r="D110" s="1">
        <v>211.26</v>
      </c>
      <c r="E110" s="3">
        <f t="shared" si="10"/>
        <v>4306.7700000000013</v>
      </c>
      <c r="F110" s="4">
        <f t="shared" si="11"/>
        <v>15.775000000000546</v>
      </c>
      <c r="G110" s="4">
        <f t="shared" si="12"/>
        <v>-15.775000000000546</v>
      </c>
      <c r="W110" s="59">
        <f t="shared" si="13"/>
        <v>1.0291799563776667E-2</v>
      </c>
      <c r="X110" s="59">
        <f t="shared" si="14"/>
        <v>6.9296528310032381E-3</v>
      </c>
      <c r="Y110" s="59">
        <f t="shared" si="15"/>
        <v>1.3294456400670326E-2</v>
      </c>
    </row>
    <row r="111" spans="1:25" x14ac:dyDescent="0.3">
      <c r="A111" s="2">
        <v>43957</v>
      </c>
      <c r="B111" s="1">
        <v>75.157499999999999</v>
      </c>
      <c r="C111" s="1">
        <v>2351.2600000000002</v>
      </c>
      <c r="D111" s="1">
        <v>208.47</v>
      </c>
      <c r="E111" s="3">
        <f t="shared" si="10"/>
        <v>4290.9950000000008</v>
      </c>
      <c r="F111" s="4">
        <f t="shared" si="11"/>
        <v>77.295000000000073</v>
      </c>
      <c r="G111" s="4">
        <f t="shared" si="12"/>
        <v>-77.295000000000073</v>
      </c>
      <c r="W111" s="59">
        <f t="shared" si="13"/>
        <v>1.0264387415206463E-2</v>
      </c>
      <c r="X111" s="59">
        <f t="shared" si="14"/>
        <v>1.4332894762789958E-2</v>
      </c>
      <c r="Y111" s="59">
        <f t="shared" si="15"/>
        <v>6.7382456424121976E-3</v>
      </c>
    </row>
    <row r="112" spans="1:25" x14ac:dyDescent="0.3">
      <c r="A112" s="2">
        <v>43956</v>
      </c>
      <c r="B112" s="1">
        <v>74.39</v>
      </c>
      <c r="C112" s="1">
        <v>2317.8000000000002</v>
      </c>
      <c r="D112" s="1">
        <v>207.07</v>
      </c>
      <c r="E112" s="3">
        <f t="shared" si="10"/>
        <v>4213.7000000000007</v>
      </c>
      <c r="F112" s="4">
        <f t="shared" si="11"/>
        <v>22.420000000000982</v>
      </c>
      <c r="G112" s="4">
        <f t="shared" si="12"/>
        <v>-22.420000000000982</v>
      </c>
      <c r="W112" s="59">
        <f t="shared" si="13"/>
        <v>1.4897350265491036E-2</v>
      </c>
      <c r="X112" s="59">
        <f t="shared" si="14"/>
        <v>7.8121800601847248E-4</v>
      </c>
      <c r="Y112" s="59">
        <f t="shared" si="15"/>
        <v>8.7794321343652067E-3</v>
      </c>
    </row>
    <row r="113" spans="1:25" x14ac:dyDescent="0.3">
      <c r="A113" s="2">
        <v>43955</v>
      </c>
      <c r="B113" s="1">
        <v>73.290000000000006</v>
      </c>
      <c r="C113" s="1">
        <v>2315.9899999999998</v>
      </c>
      <c r="D113" s="1">
        <v>205.26</v>
      </c>
      <c r="E113" s="3">
        <f t="shared" si="10"/>
        <v>4191.28</v>
      </c>
      <c r="F113" s="4">
        <f t="shared" si="11"/>
        <v>51.224999999999454</v>
      </c>
      <c r="G113" s="4">
        <f t="shared" si="12"/>
        <v>-51.224999999999454</v>
      </c>
      <c r="W113" s="59">
        <f t="shared" si="13"/>
        <v>1.4049661741549393E-2</v>
      </c>
      <c r="X113" s="59">
        <f t="shared" si="14"/>
        <v>1.3016178879827771E-2</v>
      </c>
      <c r="Y113" s="59">
        <f t="shared" si="15"/>
        <v>1.4674029652564063E-2</v>
      </c>
    </row>
    <row r="114" spans="1:25" x14ac:dyDescent="0.3">
      <c r="A114" s="2">
        <v>43952</v>
      </c>
      <c r="B114" s="1">
        <v>72.267499999999998</v>
      </c>
      <c r="C114" s="1">
        <v>2286.04</v>
      </c>
      <c r="D114" s="1">
        <v>202.27</v>
      </c>
      <c r="E114" s="3">
        <f t="shared" si="10"/>
        <v>4140.0550000000003</v>
      </c>
      <c r="F114" s="4">
        <f t="shared" si="11"/>
        <v>-386.24499999999898</v>
      </c>
      <c r="G114" s="4">
        <f t="shared" si="12"/>
        <v>386.24499999999898</v>
      </c>
      <c r="W114" s="59">
        <f t="shared" si="13"/>
        <v>-1.6230390423676997E-2</v>
      </c>
      <c r="X114" s="59">
        <f t="shared" si="14"/>
        <v>-7.9015210937988828E-2</v>
      </c>
      <c r="Y114" s="59">
        <f t="shared" si="15"/>
        <v>-1.1990904887525737E-2</v>
      </c>
    </row>
    <row r="115" spans="1:25" x14ac:dyDescent="0.3">
      <c r="A115" s="2">
        <v>43951</v>
      </c>
      <c r="B115" s="1">
        <v>73.45</v>
      </c>
      <c r="C115" s="1">
        <v>2474</v>
      </c>
      <c r="D115" s="1">
        <v>204.71</v>
      </c>
      <c r="E115" s="3">
        <f t="shared" si="10"/>
        <v>4526.2999999999993</v>
      </c>
      <c r="F115" s="4">
        <f t="shared" si="11"/>
        <v>68.054999999999382</v>
      </c>
      <c r="G115" s="4">
        <f t="shared" si="12"/>
        <v>-68.054999999999382</v>
      </c>
      <c r="W115" s="59">
        <f t="shared" si="13"/>
        <v>2.0876723331807501E-2</v>
      </c>
      <c r="X115" s="59">
        <f t="shared" si="14"/>
        <v>4.1803512160002651E-2</v>
      </c>
      <c r="Y115" s="59">
        <f t="shared" si="15"/>
        <v>5.2757282227001386E-2</v>
      </c>
    </row>
    <row r="116" spans="1:25" x14ac:dyDescent="0.3">
      <c r="A116" s="2">
        <v>43950</v>
      </c>
      <c r="B116" s="1">
        <v>71.932500000000005</v>
      </c>
      <c r="C116" s="1">
        <v>2372.71</v>
      </c>
      <c r="D116" s="1">
        <v>194.19</v>
      </c>
      <c r="E116" s="3">
        <f t="shared" si="10"/>
        <v>4458.2449999999999</v>
      </c>
      <c r="F116" s="4">
        <f t="shared" si="11"/>
        <v>6.0349999999998545</v>
      </c>
      <c r="G116" s="4">
        <f t="shared" si="12"/>
        <v>-6.0349999999998545</v>
      </c>
      <c r="W116" s="59">
        <f t="shared" si="13"/>
        <v>3.2317269148084193E-2</v>
      </c>
      <c r="X116" s="59">
        <f t="shared" si="14"/>
        <v>2.502056146700873E-2</v>
      </c>
      <c r="Y116" s="59">
        <f t="shared" si="15"/>
        <v>5.9842832637694181E-2</v>
      </c>
    </row>
    <row r="117" spans="1:25" x14ac:dyDescent="0.3">
      <c r="A117" s="2">
        <v>43949</v>
      </c>
      <c r="B117" s="1">
        <v>69.644999999999996</v>
      </c>
      <c r="C117" s="1">
        <v>2314.08</v>
      </c>
      <c r="D117" s="1">
        <v>182.91</v>
      </c>
      <c r="E117" s="3">
        <f t="shared" si="10"/>
        <v>4452.21</v>
      </c>
      <c r="F117" s="4">
        <f t="shared" si="11"/>
        <v>-89.414999999999964</v>
      </c>
      <c r="G117" s="4">
        <f t="shared" si="12"/>
        <v>89.414999999999964</v>
      </c>
      <c r="W117" s="59">
        <f t="shared" si="13"/>
        <v>-1.6342152745077457E-2</v>
      </c>
      <c r="X117" s="59">
        <f t="shared" si="14"/>
        <v>-2.6406201157113767E-2</v>
      </c>
      <c r="Y117" s="59">
        <f t="shared" si="15"/>
        <v>-2.4784616822631139E-2</v>
      </c>
    </row>
    <row r="118" spans="1:25" x14ac:dyDescent="0.3">
      <c r="A118" s="2">
        <v>43948</v>
      </c>
      <c r="B118" s="1">
        <v>70.792500000000004</v>
      </c>
      <c r="C118" s="1">
        <v>2376</v>
      </c>
      <c r="D118" s="1">
        <v>187.5</v>
      </c>
      <c r="E118" s="3">
        <f t="shared" si="10"/>
        <v>4541.625</v>
      </c>
      <c r="F118" s="4">
        <f t="shared" si="11"/>
        <v>-14.540000000000873</v>
      </c>
      <c r="G118" s="4">
        <f t="shared" si="12"/>
        <v>14.540000000000873</v>
      </c>
      <c r="W118" s="59">
        <f t="shared" si="13"/>
        <v>7.0653904800923651E-4</v>
      </c>
      <c r="X118" s="59">
        <f t="shared" si="14"/>
        <v>-1.4299628142877573E-2</v>
      </c>
      <c r="Y118" s="59">
        <f t="shared" si="15"/>
        <v>-1.3613579952280658E-2</v>
      </c>
    </row>
    <row r="119" spans="1:25" x14ac:dyDescent="0.3">
      <c r="A119" s="2">
        <v>43945</v>
      </c>
      <c r="B119" s="1">
        <v>70.742500000000007</v>
      </c>
      <c r="C119" s="1">
        <v>2410.2199999999998</v>
      </c>
      <c r="D119" s="1">
        <v>190.07</v>
      </c>
      <c r="E119" s="3">
        <f t="shared" si="10"/>
        <v>4556.1650000000009</v>
      </c>
      <c r="F119" s="4">
        <f t="shared" si="11"/>
        <v>21.990000000001601</v>
      </c>
      <c r="G119" s="4">
        <f t="shared" si="12"/>
        <v>-21.990000000001601</v>
      </c>
      <c r="W119" s="59">
        <f t="shared" si="13"/>
        <v>2.8460702331272025E-2</v>
      </c>
      <c r="X119" s="59">
        <f t="shared" si="14"/>
        <v>4.478485218735808E-3</v>
      </c>
      <c r="Y119" s="59">
        <f t="shared" si="15"/>
        <v>2.6334144361660969E-2</v>
      </c>
    </row>
    <row r="120" spans="1:25" x14ac:dyDescent="0.3">
      <c r="A120" s="2">
        <v>43944</v>
      </c>
      <c r="B120" s="1">
        <v>68.757499999999993</v>
      </c>
      <c r="C120" s="1">
        <v>2399.4499999999998</v>
      </c>
      <c r="D120" s="1">
        <v>185.13</v>
      </c>
      <c r="E120" s="3">
        <f t="shared" si="10"/>
        <v>4534.1749999999993</v>
      </c>
      <c r="F120" s="4">
        <f t="shared" si="11"/>
        <v>1.5450000000000728</v>
      </c>
      <c r="G120" s="4">
        <f t="shared" si="12"/>
        <v>-1.5450000000000728</v>
      </c>
      <c r="W120" s="59">
        <f t="shared" si="13"/>
        <v>-3.8829363104271753E-3</v>
      </c>
      <c r="X120" s="59">
        <f t="shared" si="14"/>
        <v>1.510020419566468E-2</v>
      </c>
      <c r="Y120" s="59">
        <f t="shared" si="15"/>
        <v>1.5514314605403291E-2</v>
      </c>
    </row>
    <row r="121" spans="1:25" x14ac:dyDescent="0.3">
      <c r="A121" s="2">
        <v>43943</v>
      </c>
      <c r="B121" s="1">
        <v>69.025000000000006</v>
      </c>
      <c r="C121" s="1">
        <v>2363.4899999999998</v>
      </c>
      <c r="D121" s="1">
        <v>182.28</v>
      </c>
      <c r="E121" s="3">
        <f t="shared" si="10"/>
        <v>4532.6299999999992</v>
      </c>
      <c r="F121" s="4">
        <f t="shared" si="11"/>
        <v>-62.235000000000582</v>
      </c>
      <c r="G121" s="4">
        <f t="shared" si="12"/>
        <v>62.235000000000582</v>
      </c>
      <c r="W121" s="59">
        <f t="shared" si="13"/>
        <v>2.839649355813148E-2</v>
      </c>
      <c r="X121" s="59">
        <f t="shared" si="14"/>
        <v>1.5078265296401095E-2</v>
      </c>
      <c r="Y121" s="59">
        <f t="shared" si="15"/>
        <v>6.5050685041212156E-2</v>
      </c>
    </row>
    <row r="122" spans="1:25" x14ac:dyDescent="0.3">
      <c r="A122" s="2">
        <v>43942</v>
      </c>
      <c r="B122" s="1">
        <v>67.092500000000001</v>
      </c>
      <c r="C122" s="1">
        <v>2328.12</v>
      </c>
      <c r="D122" s="1">
        <v>170.8</v>
      </c>
      <c r="E122" s="3">
        <f t="shared" si="10"/>
        <v>4594.8649999999998</v>
      </c>
      <c r="F122" s="4">
        <f t="shared" si="11"/>
        <v>-89.180000000001201</v>
      </c>
      <c r="G122" s="4">
        <f t="shared" si="12"/>
        <v>89.180000000001201</v>
      </c>
      <c r="W122" s="59">
        <f t="shared" si="13"/>
        <v>-3.1398141292192448E-2</v>
      </c>
      <c r="X122" s="59">
        <f t="shared" si="14"/>
        <v>-2.7741611664306384E-2</v>
      </c>
      <c r="Y122" s="59">
        <f t="shared" si="15"/>
        <v>-4.2637675384449743E-2</v>
      </c>
    </row>
    <row r="123" spans="1:25" x14ac:dyDescent="0.3">
      <c r="A123" s="2">
        <v>43941</v>
      </c>
      <c r="B123" s="1">
        <v>69.232500000000002</v>
      </c>
      <c r="C123" s="1">
        <v>2393.61</v>
      </c>
      <c r="D123" s="1">
        <v>178.24</v>
      </c>
      <c r="E123" s="3">
        <f t="shared" si="10"/>
        <v>4684.045000000001</v>
      </c>
      <c r="F123" s="4">
        <f t="shared" si="11"/>
        <v>-16.154999999998836</v>
      </c>
      <c r="G123" s="4">
        <f t="shared" si="12"/>
        <v>16.154999999998836</v>
      </c>
      <c r="W123" s="59">
        <f t="shared" si="13"/>
        <v>-2.0975167352247834E-2</v>
      </c>
      <c r="X123" s="59">
        <f t="shared" si="14"/>
        <v>7.8052491101761696E-3</v>
      </c>
      <c r="Y123" s="59">
        <f t="shared" si="15"/>
        <v>-5.5947331790231012E-3</v>
      </c>
    </row>
    <row r="124" spans="1:25" x14ac:dyDescent="0.3">
      <c r="A124" s="2">
        <v>43938</v>
      </c>
      <c r="B124" s="1">
        <v>70.7</v>
      </c>
      <c r="C124" s="1">
        <v>2375</v>
      </c>
      <c r="D124" s="1">
        <v>179.24</v>
      </c>
      <c r="E124" s="3">
        <f t="shared" si="10"/>
        <v>4700.2</v>
      </c>
      <c r="F124" s="4">
        <f t="shared" si="11"/>
        <v>-174.8050000000012</v>
      </c>
      <c r="G124" s="4">
        <f t="shared" si="12"/>
        <v>174.8050000000012</v>
      </c>
      <c r="W124" s="59">
        <f t="shared" si="13"/>
        <v>-1.3661558593441493E-2</v>
      </c>
      <c r="X124" s="59">
        <f t="shared" si="14"/>
        <v>-1.3877990501725517E-2</v>
      </c>
      <c r="Y124" s="59">
        <f t="shared" si="15"/>
        <v>1.6822248225564315E-2</v>
      </c>
    </row>
    <row r="125" spans="1:25" x14ac:dyDescent="0.3">
      <c r="A125" s="2">
        <v>43937</v>
      </c>
      <c r="B125" s="1">
        <v>71.672499999999999</v>
      </c>
      <c r="C125" s="1">
        <v>2408.19</v>
      </c>
      <c r="D125" s="1">
        <v>176.25</v>
      </c>
      <c r="E125" s="3">
        <f t="shared" si="10"/>
        <v>4875.005000000001</v>
      </c>
      <c r="F125" s="4">
        <f t="shared" si="11"/>
        <v>243.67000000000189</v>
      </c>
      <c r="G125" s="4">
        <f t="shared" si="12"/>
        <v>-243.67000000000189</v>
      </c>
      <c r="W125" s="59">
        <f t="shared" si="13"/>
        <v>7.9143150178817567E-3</v>
      </c>
      <c r="X125" s="59">
        <f t="shared" si="14"/>
        <v>4.2632737135267128E-2</v>
      </c>
      <c r="Y125" s="59">
        <f t="shared" si="15"/>
        <v>-4.0767849907155027E-3</v>
      </c>
    </row>
    <row r="126" spans="1:25" x14ac:dyDescent="0.3">
      <c r="A126" s="2">
        <v>43936</v>
      </c>
      <c r="B126" s="1">
        <v>71.107500000000002</v>
      </c>
      <c r="C126" s="1">
        <v>2307.6799999999998</v>
      </c>
      <c r="D126" s="1">
        <v>176.97</v>
      </c>
      <c r="E126" s="3">
        <f t="shared" si="10"/>
        <v>4631.3349999999991</v>
      </c>
      <c r="F126" s="4">
        <f t="shared" si="11"/>
        <v>39.969999999998436</v>
      </c>
      <c r="G126" s="4">
        <f t="shared" si="12"/>
        <v>-39.969999999998436</v>
      </c>
      <c r="W126" s="59">
        <f t="shared" si="13"/>
        <v>-9.1692390156684084E-3</v>
      </c>
      <c r="X126" s="59">
        <f t="shared" si="14"/>
        <v>1.0612166680146555E-2</v>
      </c>
      <c r="Y126" s="59">
        <f t="shared" si="15"/>
        <v>-6.7579240127848281E-3</v>
      </c>
    </row>
    <row r="127" spans="1:25" x14ac:dyDescent="0.3">
      <c r="A127" s="2">
        <v>43935</v>
      </c>
      <c r="B127" s="1">
        <v>71.762500000000003</v>
      </c>
      <c r="C127" s="1">
        <v>2283.3200000000002</v>
      </c>
      <c r="D127" s="1">
        <v>178.17</v>
      </c>
      <c r="E127" s="3">
        <f t="shared" si="10"/>
        <v>4591.3650000000007</v>
      </c>
      <c r="F127" s="4">
        <f t="shared" si="11"/>
        <v>333.80000000000018</v>
      </c>
      <c r="G127" s="4">
        <f t="shared" si="12"/>
        <v>-333.80000000000018</v>
      </c>
      <c r="W127" s="59">
        <f t="shared" si="13"/>
        <v>4.9269289556997879E-2</v>
      </c>
      <c r="X127" s="59">
        <f t="shared" si="14"/>
        <v>5.142422957850671E-2</v>
      </c>
      <c r="Y127" s="59">
        <f t="shared" si="15"/>
        <v>1.9152897348883303E-2</v>
      </c>
    </row>
    <row r="128" spans="1:25" x14ac:dyDescent="0.3">
      <c r="A128" s="2">
        <v>43934</v>
      </c>
      <c r="B128" s="1">
        <v>68.3125</v>
      </c>
      <c r="C128" s="1">
        <v>2168.87</v>
      </c>
      <c r="D128" s="1">
        <v>174.79</v>
      </c>
      <c r="E128" s="3">
        <f t="shared" si="10"/>
        <v>4257.5650000000005</v>
      </c>
      <c r="F128" s="4">
        <f t="shared" si="11"/>
        <v>325.97000000000025</v>
      </c>
      <c r="G128" s="4">
        <f t="shared" si="12"/>
        <v>-325.97000000000025</v>
      </c>
      <c r="W128" s="59">
        <f t="shared" si="13"/>
        <v>1.9437460674790529E-2</v>
      </c>
      <c r="X128" s="59">
        <f t="shared" si="14"/>
        <v>5.9904459962067468E-2</v>
      </c>
      <c r="Y128" s="59">
        <f t="shared" si="15"/>
        <v>-2.2858459007355021E-3</v>
      </c>
    </row>
    <row r="129" spans="1:25" x14ac:dyDescent="0.3">
      <c r="A129" s="2">
        <v>43930</v>
      </c>
      <c r="B129" s="1">
        <v>66.997500000000002</v>
      </c>
      <c r="C129" s="1">
        <v>2042.76</v>
      </c>
      <c r="D129" s="1">
        <v>175.19</v>
      </c>
      <c r="E129" s="3">
        <f t="shared" si="10"/>
        <v>3931.5950000000003</v>
      </c>
      <c r="F129" s="4">
        <f t="shared" si="11"/>
        <v>5.3200000000001637</v>
      </c>
      <c r="G129" s="4">
        <f t="shared" si="12"/>
        <v>-5.3200000000001637</v>
      </c>
      <c r="W129" s="59">
        <f t="shared" si="13"/>
        <v>7.1902343253867421E-3</v>
      </c>
      <c r="X129" s="59">
        <f t="shared" si="14"/>
        <v>-1.1748120314262327E-4</v>
      </c>
      <c r="Y129" s="59">
        <f t="shared" si="15"/>
        <v>5.2078979984893472E-3</v>
      </c>
    </row>
    <row r="130" spans="1:25" x14ac:dyDescent="0.3">
      <c r="A130" s="2">
        <v>43929</v>
      </c>
      <c r="B130" s="1">
        <v>66.517499999999998</v>
      </c>
      <c r="C130" s="1">
        <v>2043</v>
      </c>
      <c r="D130" s="1">
        <v>174.28</v>
      </c>
      <c r="E130" s="3">
        <f t="shared" si="10"/>
        <v>3926.2750000000001</v>
      </c>
      <c r="F130" s="4">
        <f t="shared" si="11"/>
        <v>36.800000000000637</v>
      </c>
      <c r="G130" s="4">
        <f t="shared" si="12"/>
        <v>-36.800000000000637</v>
      </c>
      <c r="W130" s="59">
        <f t="shared" si="13"/>
        <v>2.5272515357777109E-2</v>
      </c>
      <c r="X130" s="59">
        <f t="shared" si="14"/>
        <v>1.5488890519812445E-2</v>
      </c>
      <c r="Y130" s="59">
        <f t="shared" si="15"/>
        <v>3.1770909760139028E-2</v>
      </c>
    </row>
    <row r="131" spans="1:25" x14ac:dyDescent="0.3">
      <c r="A131" s="2">
        <v>43928</v>
      </c>
      <c r="B131" s="1">
        <v>64.857500000000002</v>
      </c>
      <c r="C131" s="1">
        <v>2011.6</v>
      </c>
      <c r="D131" s="1">
        <v>168.83</v>
      </c>
      <c r="E131" s="3">
        <f t="shared" si="10"/>
        <v>3889.4749999999995</v>
      </c>
      <c r="F131" s="4">
        <f t="shared" si="11"/>
        <v>-75.580000000000837</v>
      </c>
      <c r="G131" s="4">
        <f t="shared" si="12"/>
        <v>75.580000000000837</v>
      </c>
      <c r="W131" s="59">
        <f t="shared" si="13"/>
        <v>-1.164987308758943E-2</v>
      </c>
      <c r="X131" s="59">
        <f t="shared" si="14"/>
        <v>6.9889713519850419E-3</v>
      </c>
      <c r="Y131" s="59">
        <f t="shared" si="15"/>
        <v>1.9619027495847027E-2</v>
      </c>
    </row>
    <row r="132" spans="1:25" x14ac:dyDescent="0.3">
      <c r="A132" s="2">
        <v>43927</v>
      </c>
      <c r="B132" s="1">
        <v>65.617500000000007</v>
      </c>
      <c r="C132" s="1">
        <v>1997.59</v>
      </c>
      <c r="D132" s="1">
        <v>165.55</v>
      </c>
      <c r="E132" s="3">
        <f t="shared" si="10"/>
        <v>3965.0550000000003</v>
      </c>
      <c r="F132" s="4">
        <f t="shared" si="11"/>
        <v>217.85000000000036</v>
      </c>
      <c r="G132" s="4">
        <f t="shared" si="12"/>
        <v>-217.85000000000036</v>
      </c>
      <c r="W132" s="59">
        <f t="shared" si="13"/>
        <v>8.3640056960131812E-2</v>
      </c>
      <c r="X132" s="59">
        <f t="shared" si="14"/>
        <v>4.6625147838735906E-2</v>
      </c>
      <c r="Y132" s="59">
        <f t="shared" si="15"/>
        <v>7.115251296213923E-2</v>
      </c>
    </row>
    <row r="133" spans="1:25" x14ac:dyDescent="0.3">
      <c r="A133" s="2">
        <v>43924</v>
      </c>
      <c r="B133" s="1">
        <v>60.352499999999999</v>
      </c>
      <c r="C133" s="1">
        <v>1906.59</v>
      </c>
      <c r="D133" s="1">
        <v>154.18</v>
      </c>
      <c r="E133" s="3">
        <f t="shared" si="10"/>
        <v>3747.2049999999999</v>
      </c>
      <c r="F133" s="4">
        <f t="shared" si="11"/>
        <v>11.720000000000255</v>
      </c>
      <c r="G133" s="4">
        <f t="shared" si="12"/>
        <v>-11.720000000000255</v>
      </c>
      <c r="W133" s="59">
        <f t="shared" si="13"/>
        <v>-1.4475722608758856E-2</v>
      </c>
      <c r="X133" s="59">
        <f t="shared" si="14"/>
        <v>-6.3993191703306451E-3</v>
      </c>
      <c r="Y133" s="59">
        <f t="shared" si="15"/>
        <v>-2.5676091179371884E-2</v>
      </c>
    </row>
    <row r="134" spans="1:25" x14ac:dyDescent="0.3">
      <c r="A134" s="2">
        <v>43923</v>
      </c>
      <c r="B134" s="1">
        <v>61.232500000000002</v>
      </c>
      <c r="C134" s="1">
        <v>1918.83</v>
      </c>
      <c r="D134" s="1">
        <v>158.19</v>
      </c>
      <c r="E134" s="3">
        <f t="shared" ref="E134:E197" si="16">50*B134+2*C134-20*D134</f>
        <v>3735.4849999999997</v>
      </c>
      <c r="F134" s="4">
        <f t="shared" ref="F134:F197" si="17">E134-E135</f>
        <v>100.71000000000004</v>
      </c>
      <c r="G134" s="4">
        <f t="shared" ref="G134:G197" si="18">-F134</f>
        <v>-100.71000000000004</v>
      </c>
      <c r="W134" s="59">
        <f t="shared" ref="W134:W197" si="19">LN(B134/B135)</f>
        <v>1.6549035675227041E-2</v>
      </c>
      <c r="X134" s="59">
        <f t="shared" ref="X134:X197" si="20">LN(C134/C135)</f>
        <v>5.8172973359475267E-3</v>
      </c>
      <c r="Y134" s="59">
        <f t="shared" ref="Y134:Y197" si="21">LN(D134/D135)</f>
        <v>-8.8738428052202896E-3</v>
      </c>
    </row>
    <row r="135" spans="1:25" x14ac:dyDescent="0.3">
      <c r="A135" s="2">
        <v>43922</v>
      </c>
      <c r="B135" s="1">
        <v>60.227499999999999</v>
      </c>
      <c r="C135" s="1">
        <v>1907.7</v>
      </c>
      <c r="D135" s="1">
        <v>159.6</v>
      </c>
      <c r="E135" s="3">
        <f t="shared" si="16"/>
        <v>3634.7749999999996</v>
      </c>
      <c r="F135" s="4">
        <f t="shared" si="17"/>
        <v>-107.29000000000087</v>
      </c>
      <c r="G135" s="4">
        <f t="shared" si="18"/>
        <v>107.29000000000087</v>
      </c>
      <c r="W135" s="59">
        <f t="shared" si="19"/>
        <v>-5.4051928261692854E-2</v>
      </c>
      <c r="X135" s="59">
        <f t="shared" si="20"/>
        <v>-2.1787444562736753E-2</v>
      </c>
      <c r="Y135" s="59">
        <f t="shared" si="21"/>
        <v>-4.412480490893806E-2</v>
      </c>
    </row>
    <row r="136" spans="1:25" x14ac:dyDescent="0.3">
      <c r="A136" s="2">
        <v>43921</v>
      </c>
      <c r="B136" s="1">
        <v>63.572499999999998</v>
      </c>
      <c r="C136" s="1">
        <v>1949.72</v>
      </c>
      <c r="D136" s="1">
        <v>166.8</v>
      </c>
      <c r="E136" s="3">
        <f t="shared" si="16"/>
        <v>3742.0650000000005</v>
      </c>
      <c r="F136" s="4">
        <f t="shared" si="17"/>
        <v>-51.959999999999127</v>
      </c>
      <c r="G136" s="4">
        <f t="shared" si="18"/>
        <v>51.959999999999127</v>
      </c>
      <c r="W136" s="59">
        <f t="shared" si="19"/>
        <v>-2.042821374327881E-3</v>
      </c>
      <c r="X136" s="59">
        <f t="shared" si="20"/>
        <v>-7.2719788376634648E-3</v>
      </c>
      <c r="Y136" s="59">
        <f t="shared" si="21"/>
        <v>5.1089517586628509E-3</v>
      </c>
    </row>
    <row r="137" spans="1:25" x14ac:dyDescent="0.3">
      <c r="A137" s="2">
        <v>43920</v>
      </c>
      <c r="B137" s="1">
        <v>63.702500000000001</v>
      </c>
      <c r="C137" s="1">
        <v>1963.95</v>
      </c>
      <c r="D137" s="1">
        <v>165.95</v>
      </c>
      <c r="E137" s="3">
        <f t="shared" si="16"/>
        <v>3794.0249999999996</v>
      </c>
      <c r="F137" s="4">
        <f t="shared" si="17"/>
        <v>32.874999999999545</v>
      </c>
      <c r="G137" s="4">
        <f t="shared" si="18"/>
        <v>-32.874999999999545</v>
      </c>
      <c r="W137" s="59">
        <f t="shared" si="19"/>
        <v>2.8138360269649835E-2</v>
      </c>
      <c r="X137" s="59">
        <f t="shared" si="20"/>
        <v>3.3051234993385914E-2</v>
      </c>
      <c r="Y137" s="59">
        <f t="shared" si="21"/>
        <v>5.6779207793624491E-2</v>
      </c>
    </row>
    <row r="138" spans="1:25" x14ac:dyDescent="0.3">
      <c r="A138" s="2">
        <v>43917</v>
      </c>
      <c r="B138" s="1">
        <v>61.935000000000002</v>
      </c>
      <c r="C138" s="1">
        <v>1900.1</v>
      </c>
      <c r="D138" s="1">
        <v>156.79</v>
      </c>
      <c r="E138" s="3">
        <f t="shared" si="16"/>
        <v>3761.15</v>
      </c>
      <c r="F138" s="4">
        <f t="shared" si="17"/>
        <v>-113.52999999999929</v>
      </c>
      <c r="G138" s="4">
        <f t="shared" si="18"/>
        <v>113.52999999999929</v>
      </c>
      <c r="W138" s="59">
        <f t="shared" si="19"/>
        <v>-4.2283749563910837E-2</v>
      </c>
      <c r="X138" s="59">
        <f t="shared" si="20"/>
        <v>-2.8734285052365686E-2</v>
      </c>
      <c r="Y138" s="59">
        <f t="shared" si="21"/>
        <v>-4.0926587557770615E-2</v>
      </c>
    </row>
    <row r="139" spans="1:25" x14ac:dyDescent="0.3">
      <c r="A139" s="2">
        <v>43916</v>
      </c>
      <c r="B139" s="1">
        <v>64.61</v>
      </c>
      <c r="C139" s="1">
        <v>1955.49</v>
      </c>
      <c r="D139" s="1">
        <v>163.34</v>
      </c>
      <c r="E139" s="3">
        <f t="shared" si="16"/>
        <v>3874.6799999999994</v>
      </c>
      <c r="F139" s="4">
        <f t="shared" si="17"/>
        <v>158.19999999999936</v>
      </c>
      <c r="G139" s="4">
        <f t="shared" si="18"/>
        <v>-158.19999999999936</v>
      </c>
      <c r="W139" s="59">
        <f t="shared" si="19"/>
        <v>5.1285148378484004E-2</v>
      </c>
      <c r="X139" s="59">
        <f t="shared" si="20"/>
        <v>3.6267456437159833E-2</v>
      </c>
      <c r="Y139" s="59">
        <f t="shared" si="21"/>
        <v>4.4632662087212088E-2</v>
      </c>
    </row>
    <row r="140" spans="1:25" x14ac:dyDescent="0.3">
      <c r="A140" s="2">
        <v>43915</v>
      </c>
      <c r="B140" s="1">
        <v>61.38</v>
      </c>
      <c r="C140" s="1">
        <v>1885.84</v>
      </c>
      <c r="D140" s="1">
        <v>156.21</v>
      </c>
      <c r="E140" s="3">
        <f t="shared" si="16"/>
        <v>3716.48</v>
      </c>
      <c r="F140" s="4">
        <f t="shared" si="17"/>
        <v>-30.119999999999891</v>
      </c>
      <c r="G140" s="4">
        <f t="shared" si="18"/>
        <v>30.119999999999891</v>
      </c>
      <c r="W140" s="59">
        <f t="shared" si="19"/>
        <v>-5.5239783033699009E-3</v>
      </c>
      <c r="X140" s="59">
        <f t="shared" si="20"/>
        <v>-2.836617315696471E-2</v>
      </c>
      <c r="Y140" s="59">
        <f t="shared" si="21"/>
        <v>-3.0078877822670231E-2</v>
      </c>
    </row>
    <row r="141" spans="1:25" x14ac:dyDescent="0.3">
      <c r="A141" s="2">
        <v>43914</v>
      </c>
      <c r="B141" s="1">
        <v>61.72</v>
      </c>
      <c r="C141" s="1">
        <v>1940.1</v>
      </c>
      <c r="D141" s="1">
        <v>160.97999999999999</v>
      </c>
      <c r="E141" s="3">
        <f t="shared" si="16"/>
        <v>3746.6</v>
      </c>
      <c r="F141" s="4">
        <f t="shared" si="17"/>
        <v>98.315000000000055</v>
      </c>
      <c r="G141" s="4">
        <f t="shared" si="18"/>
        <v>-98.315000000000055</v>
      </c>
      <c r="W141" s="59">
        <f t="shared" si="19"/>
        <v>9.5605913743164753E-2</v>
      </c>
      <c r="X141" s="59">
        <f t="shared" si="20"/>
        <v>1.9397266447589826E-2</v>
      </c>
      <c r="Y141" s="59">
        <f t="shared" si="21"/>
        <v>8.3392412391834744E-2</v>
      </c>
    </row>
    <row r="142" spans="1:25" x14ac:dyDescent="0.3">
      <c r="A142" s="2">
        <v>43913</v>
      </c>
      <c r="B142" s="1">
        <v>56.092500000000001</v>
      </c>
      <c r="C142" s="1">
        <v>1902.83</v>
      </c>
      <c r="D142" s="1">
        <v>148.1</v>
      </c>
      <c r="E142" s="3">
        <f t="shared" si="16"/>
        <v>3648.2849999999999</v>
      </c>
      <c r="F142" s="4">
        <f t="shared" si="17"/>
        <v>85.204999999999472</v>
      </c>
      <c r="G142" s="4">
        <f t="shared" si="18"/>
        <v>-85.204999999999472</v>
      </c>
      <c r="W142" s="59">
        <f t="shared" si="19"/>
        <v>-2.1473014811850877E-2</v>
      </c>
      <c r="X142" s="59">
        <f t="shared" si="20"/>
        <v>3.0272362735871593E-2</v>
      </c>
      <c r="Y142" s="59">
        <f t="shared" si="21"/>
        <v>-1.0945950875874459E-2</v>
      </c>
    </row>
    <row r="143" spans="1:25" x14ac:dyDescent="0.3">
      <c r="A143" s="2">
        <v>43910</v>
      </c>
      <c r="B143" s="1">
        <v>57.31</v>
      </c>
      <c r="C143" s="1">
        <v>1846.09</v>
      </c>
      <c r="D143" s="1">
        <v>149.72999999999999</v>
      </c>
      <c r="E143" s="3">
        <f t="shared" si="16"/>
        <v>3563.0800000000004</v>
      </c>
      <c r="F143" s="4">
        <f t="shared" si="17"/>
        <v>-195.93000000000029</v>
      </c>
      <c r="G143" s="4">
        <f t="shared" si="18"/>
        <v>195.93000000000029</v>
      </c>
      <c r="W143" s="59">
        <f t="shared" si="19"/>
        <v>-6.5590358270655694E-2</v>
      </c>
      <c r="X143" s="59">
        <f t="shared" si="20"/>
        <v>-1.8696446423627236E-2</v>
      </c>
      <c r="Y143" s="59">
        <f t="shared" si="21"/>
        <v>-2.2453561677488843E-2</v>
      </c>
    </row>
    <row r="144" spans="1:25" x14ac:dyDescent="0.3">
      <c r="A144" s="2">
        <v>43909</v>
      </c>
      <c r="B144" s="1">
        <v>61.195</v>
      </c>
      <c r="C144" s="1">
        <v>1880.93</v>
      </c>
      <c r="D144" s="1">
        <v>153.13</v>
      </c>
      <c r="E144" s="3">
        <f t="shared" si="16"/>
        <v>3759.0100000000007</v>
      </c>
      <c r="F144" s="4">
        <f t="shared" si="17"/>
        <v>-45.164999999999054</v>
      </c>
      <c r="G144" s="4">
        <f t="shared" si="18"/>
        <v>45.164999999999054</v>
      </c>
      <c r="W144" s="59">
        <f t="shared" si="19"/>
        <v>-7.6915629981200691E-3</v>
      </c>
      <c r="X144" s="59">
        <f t="shared" si="20"/>
        <v>2.7450368525355873E-2</v>
      </c>
      <c r="Y144" s="59">
        <f t="shared" si="21"/>
        <v>4.1126792920246111E-2</v>
      </c>
    </row>
    <row r="145" spans="1:25" x14ac:dyDescent="0.3">
      <c r="A145" s="2">
        <v>43908</v>
      </c>
      <c r="B145" s="1">
        <v>61.667499999999997</v>
      </c>
      <c r="C145" s="1">
        <v>1830</v>
      </c>
      <c r="D145" s="1">
        <v>146.96</v>
      </c>
      <c r="E145" s="3">
        <f t="shared" si="16"/>
        <v>3804.1749999999997</v>
      </c>
      <c r="F145" s="4">
        <f t="shared" si="17"/>
        <v>16.144999999999072</v>
      </c>
      <c r="G145" s="4">
        <f t="shared" si="18"/>
        <v>-16.144999999999072</v>
      </c>
      <c r="W145" s="59">
        <f t="shared" si="19"/>
        <v>-2.4784564931439157E-2</v>
      </c>
      <c r="X145" s="59">
        <f t="shared" si="20"/>
        <v>1.2183204374530625E-2</v>
      </c>
      <c r="Y145" s="59">
        <f t="shared" si="21"/>
        <v>-1.6600691640784794E-2</v>
      </c>
    </row>
    <row r="146" spans="1:25" x14ac:dyDescent="0.3">
      <c r="A146" s="2">
        <v>43907</v>
      </c>
      <c r="B146" s="1">
        <v>63.215000000000003</v>
      </c>
      <c r="C146" s="1">
        <v>1807.84</v>
      </c>
      <c r="D146" s="1">
        <v>149.41999999999999</v>
      </c>
      <c r="E146" s="3">
        <f t="shared" si="16"/>
        <v>3788.0300000000007</v>
      </c>
      <c r="F146" s="4">
        <f t="shared" si="17"/>
        <v>302.30500000000029</v>
      </c>
      <c r="G146" s="4">
        <f t="shared" si="18"/>
        <v>-302.30500000000029</v>
      </c>
      <c r="W146" s="59">
        <f t="shared" si="19"/>
        <v>4.3030857425516565E-2</v>
      </c>
      <c r="X146" s="59">
        <f t="shared" si="20"/>
        <v>6.7907318649791673E-2</v>
      </c>
      <c r="Y146" s="59">
        <f t="shared" si="21"/>
        <v>2.3086020034182551E-2</v>
      </c>
    </row>
    <row r="147" spans="1:25" x14ac:dyDescent="0.3">
      <c r="A147" s="2">
        <v>43906</v>
      </c>
      <c r="B147" s="1">
        <v>60.552500000000002</v>
      </c>
      <c r="C147" s="1">
        <v>1689.15</v>
      </c>
      <c r="D147" s="1">
        <v>146.01</v>
      </c>
      <c r="E147" s="3">
        <f t="shared" si="16"/>
        <v>3485.7250000000004</v>
      </c>
      <c r="F147" s="4">
        <f t="shared" si="17"/>
        <v>-153.29999999999973</v>
      </c>
      <c r="G147" s="4">
        <f t="shared" si="18"/>
        <v>153.29999999999973</v>
      </c>
      <c r="W147" s="59">
        <f t="shared" si="19"/>
        <v>-0.13770807574023833</v>
      </c>
      <c r="X147" s="59">
        <f t="shared" si="20"/>
        <v>-5.5192971402595152E-2</v>
      </c>
      <c r="Y147" s="59">
        <f t="shared" si="21"/>
        <v>-0.15376902844647902</v>
      </c>
    </row>
    <row r="148" spans="1:25" x14ac:dyDescent="0.3">
      <c r="A148" s="2">
        <v>43903</v>
      </c>
      <c r="B148" s="1">
        <v>69.492500000000007</v>
      </c>
      <c r="C148" s="1">
        <v>1785</v>
      </c>
      <c r="D148" s="1">
        <v>170.28</v>
      </c>
      <c r="E148" s="3">
        <f t="shared" si="16"/>
        <v>3639.0250000000001</v>
      </c>
      <c r="F148" s="4">
        <f t="shared" si="17"/>
        <v>272.33000000000084</v>
      </c>
      <c r="G148" s="4">
        <f t="shared" si="18"/>
        <v>-272.33000000000084</v>
      </c>
      <c r="W148" s="59">
        <f t="shared" si="19"/>
        <v>0.11315745846627409</v>
      </c>
      <c r="X148" s="59">
        <f t="shared" si="20"/>
        <v>6.2644517575902864E-2</v>
      </c>
      <c r="Y148" s="59">
        <f t="shared" si="21"/>
        <v>9.7444238233791877E-2</v>
      </c>
    </row>
    <row r="149" spans="1:25" x14ac:dyDescent="0.3">
      <c r="A149" s="2">
        <v>43902</v>
      </c>
      <c r="B149" s="1">
        <v>62.057499999999997</v>
      </c>
      <c r="C149" s="1">
        <v>1676.61</v>
      </c>
      <c r="D149" s="1">
        <v>154.47</v>
      </c>
      <c r="E149" s="3">
        <f t="shared" si="16"/>
        <v>3366.6949999999993</v>
      </c>
      <c r="F149" s="4">
        <f t="shared" si="17"/>
        <v>-313.09999999999991</v>
      </c>
      <c r="G149" s="4">
        <f t="shared" si="18"/>
        <v>313.09999999999991</v>
      </c>
      <c r="W149" s="59">
        <f t="shared" si="19"/>
        <v>-0.10397777709151899</v>
      </c>
      <c r="X149" s="59">
        <f t="shared" si="20"/>
        <v>-8.2535019299582346E-2</v>
      </c>
      <c r="Y149" s="59">
        <f t="shared" si="21"/>
        <v>-9.720930342711992E-2</v>
      </c>
    </row>
    <row r="150" spans="1:25" x14ac:dyDescent="0.3">
      <c r="A150" s="2">
        <v>43901</v>
      </c>
      <c r="B150" s="1">
        <v>68.857500000000002</v>
      </c>
      <c r="C150" s="1">
        <v>1820.86</v>
      </c>
      <c r="D150" s="1">
        <v>170.24</v>
      </c>
      <c r="E150" s="3">
        <f t="shared" si="16"/>
        <v>3679.7949999999992</v>
      </c>
      <c r="F150" s="4">
        <f t="shared" si="17"/>
        <v>-106.79500000000007</v>
      </c>
      <c r="G150" s="4">
        <f t="shared" si="18"/>
        <v>106.79500000000007</v>
      </c>
      <c r="W150" s="59">
        <f t="shared" si="19"/>
        <v>-3.5347938862949943E-2</v>
      </c>
      <c r="X150" s="59">
        <f t="shared" si="20"/>
        <v>-3.8230411727834403E-2</v>
      </c>
      <c r="Y150" s="59">
        <f t="shared" si="21"/>
        <v>-4.5641190586043705E-2</v>
      </c>
    </row>
    <row r="151" spans="1:25" x14ac:dyDescent="0.3">
      <c r="A151" s="2">
        <v>43900</v>
      </c>
      <c r="B151" s="1">
        <v>71.334999999999994</v>
      </c>
      <c r="C151" s="1">
        <v>1891.82</v>
      </c>
      <c r="D151" s="1">
        <v>178.19</v>
      </c>
      <c r="E151" s="3">
        <f t="shared" si="16"/>
        <v>3786.5899999999992</v>
      </c>
      <c r="F151" s="4">
        <f t="shared" si="17"/>
        <v>248.24999999999909</v>
      </c>
      <c r="G151" s="4">
        <f t="shared" si="18"/>
        <v>-248.24999999999909</v>
      </c>
      <c r="W151" s="59">
        <f t="shared" si="19"/>
        <v>6.954775209669338E-2</v>
      </c>
      <c r="X151" s="59">
        <f t="shared" si="20"/>
        <v>4.9413832301977857E-2</v>
      </c>
      <c r="Y151" s="59">
        <f t="shared" si="21"/>
        <v>4.9997469918818351E-2</v>
      </c>
    </row>
    <row r="152" spans="1:25" x14ac:dyDescent="0.3">
      <c r="A152" s="2">
        <v>43899</v>
      </c>
      <c r="B152" s="1">
        <v>66.542400000000001</v>
      </c>
      <c r="C152" s="1">
        <v>1800.61</v>
      </c>
      <c r="D152" s="1">
        <v>169.5</v>
      </c>
      <c r="E152" s="3">
        <f t="shared" si="16"/>
        <v>3538.34</v>
      </c>
      <c r="F152" s="4">
        <f t="shared" si="17"/>
        <v>-254.91499999999905</v>
      </c>
      <c r="G152" s="4">
        <f t="shared" si="18"/>
        <v>254.91499999999905</v>
      </c>
      <c r="W152" s="59">
        <f t="shared" si="19"/>
        <v>-8.2396789363337122E-2</v>
      </c>
      <c r="X152" s="59">
        <f t="shared" si="20"/>
        <v>-5.43019095079047E-2</v>
      </c>
      <c r="Y152" s="59">
        <f t="shared" si="21"/>
        <v>-6.6141218432746104E-2</v>
      </c>
    </row>
    <row r="153" spans="1:25" x14ac:dyDescent="0.3">
      <c r="A153" s="2">
        <v>43896</v>
      </c>
      <c r="B153" s="1">
        <v>72.257499999999993</v>
      </c>
      <c r="C153" s="1">
        <v>1901.09</v>
      </c>
      <c r="D153" s="1">
        <v>181.09</v>
      </c>
      <c r="E153" s="3">
        <f t="shared" si="16"/>
        <v>3793.2549999999992</v>
      </c>
      <c r="F153" s="4">
        <f t="shared" si="17"/>
        <v>-12.905000000000655</v>
      </c>
      <c r="G153" s="4">
        <f t="shared" si="18"/>
        <v>12.905000000000655</v>
      </c>
      <c r="W153" s="59">
        <f t="shared" si="19"/>
        <v>-1.3369045239556957E-2</v>
      </c>
      <c r="X153" s="59">
        <f t="shared" si="20"/>
        <v>-1.1994538748502254E-2</v>
      </c>
      <c r="Y153" s="59">
        <f t="shared" si="21"/>
        <v>-2.2280176796473438E-2</v>
      </c>
    </row>
    <row r="154" spans="1:25" x14ac:dyDescent="0.3">
      <c r="A154" s="2">
        <v>43895</v>
      </c>
      <c r="B154" s="1">
        <v>73.23</v>
      </c>
      <c r="C154" s="1">
        <v>1924.03</v>
      </c>
      <c r="D154" s="1">
        <v>185.17</v>
      </c>
      <c r="E154" s="3">
        <f t="shared" si="16"/>
        <v>3806.16</v>
      </c>
      <c r="F154" s="4">
        <f t="shared" si="17"/>
        <v>-94.550000000000182</v>
      </c>
      <c r="G154" s="4">
        <f t="shared" si="18"/>
        <v>94.550000000000182</v>
      </c>
      <c r="W154" s="59">
        <f t="shared" si="19"/>
        <v>-3.2974817141550067E-2</v>
      </c>
      <c r="X154" s="59">
        <f t="shared" si="20"/>
        <v>-2.6566618598468612E-2</v>
      </c>
      <c r="Y154" s="59">
        <f t="shared" si="21"/>
        <v>-3.4970268076404347E-2</v>
      </c>
    </row>
    <row r="155" spans="1:25" x14ac:dyDescent="0.3">
      <c r="A155" s="2">
        <v>43894</v>
      </c>
      <c r="B155" s="1">
        <v>75.685000000000002</v>
      </c>
      <c r="C155" s="1">
        <v>1975.83</v>
      </c>
      <c r="D155" s="1">
        <v>191.76</v>
      </c>
      <c r="E155" s="3">
        <f t="shared" si="16"/>
        <v>3900.71</v>
      </c>
      <c r="F155" s="4">
        <f t="shared" si="17"/>
        <v>184.0300000000002</v>
      </c>
      <c r="G155" s="4">
        <f t="shared" si="18"/>
        <v>-184.0300000000002</v>
      </c>
      <c r="W155" s="59">
        <f t="shared" si="19"/>
        <v>4.5341009353339227E-2</v>
      </c>
      <c r="X155" s="59">
        <f t="shared" si="20"/>
        <v>3.4414256850806645E-2</v>
      </c>
      <c r="Y155" s="59">
        <f t="shared" si="21"/>
        <v>3.1089489207076208E-2</v>
      </c>
    </row>
    <row r="156" spans="1:25" x14ac:dyDescent="0.3">
      <c r="A156" s="2">
        <v>43893</v>
      </c>
      <c r="B156" s="1">
        <v>72.33</v>
      </c>
      <c r="C156" s="1">
        <v>1908.99</v>
      </c>
      <c r="D156" s="1">
        <v>185.89</v>
      </c>
      <c r="E156" s="3">
        <f t="shared" si="16"/>
        <v>3716.68</v>
      </c>
      <c r="F156" s="4">
        <f t="shared" si="17"/>
        <v>2.455000000000382</v>
      </c>
      <c r="G156" s="4">
        <f t="shared" si="18"/>
        <v>-2.455000000000382</v>
      </c>
      <c r="W156" s="59">
        <f t="shared" si="19"/>
        <v>-3.2274577919709828E-2</v>
      </c>
      <c r="X156" s="59">
        <f t="shared" si="20"/>
        <v>-2.3278658371655856E-2</v>
      </c>
      <c r="Y156" s="59">
        <f t="shared" si="21"/>
        <v>-5.5201940251991218E-2</v>
      </c>
    </row>
    <row r="157" spans="1:25" x14ac:dyDescent="0.3">
      <c r="A157" s="2">
        <v>43892</v>
      </c>
      <c r="B157" s="1">
        <v>74.702500000000001</v>
      </c>
      <c r="C157" s="1">
        <v>1953.95</v>
      </c>
      <c r="D157" s="1">
        <v>196.44</v>
      </c>
      <c r="E157" s="3">
        <f t="shared" si="16"/>
        <v>3714.2249999999995</v>
      </c>
      <c r="F157" s="4">
        <f t="shared" si="17"/>
        <v>379.12499999999955</v>
      </c>
      <c r="G157" s="4">
        <f t="shared" si="18"/>
        <v>-379.12499999999955</v>
      </c>
      <c r="W157" s="59">
        <f t="shared" si="19"/>
        <v>8.9018312093753493E-2</v>
      </c>
      <c r="X157" s="59">
        <f t="shared" si="20"/>
        <v>3.6588493798295041E-2</v>
      </c>
      <c r="Y157" s="59">
        <f t="shared" si="21"/>
        <v>2.041674374401127E-2</v>
      </c>
    </row>
    <row r="158" spans="1:25" x14ac:dyDescent="0.3">
      <c r="A158" s="2">
        <v>43889</v>
      </c>
      <c r="B158" s="1">
        <v>68.34</v>
      </c>
      <c r="C158" s="1">
        <v>1883.75</v>
      </c>
      <c r="D158" s="1">
        <v>192.47</v>
      </c>
      <c r="E158" s="3">
        <f t="shared" si="16"/>
        <v>3335.1</v>
      </c>
      <c r="F158" s="4">
        <f t="shared" si="17"/>
        <v>-57.500000000000455</v>
      </c>
      <c r="G158" s="4">
        <f t="shared" si="18"/>
        <v>57.500000000000455</v>
      </c>
      <c r="W158" s="59">
        <f t="shared" si="19"/>
        <v>-5.8513752400935826E-4</v>
      </c>
      <c r="X158" s="59">
        <f t="shared" si="20"/>
        <v>-2.9192818773949404E-4</v>
      </c>
      <c r="Y158" s="59">
        <f t="shared" si="21"/>
        <v>1.4232881151293142E-2</v>
      </c>
    </row>
    <row r="159" spans="1:25" x14ac:dyDescent="0.3">
      <c r="A159" s="2">
        <v>43888</v>
      </c>
      <c r="B159" s="1">
        <v>68.38</v>
      </c>
      <c r="C159" s="1">
        <v>1884.3</v>
      </c>
      <c r="D159" s="1">
        <v>189.75</v>
      </c>
      <c r="E159" s="3">
        <f t="shared" si="16"/>
        <v>3392.6000000000004</v>
      </c>
      <c r="F159" s="4">
        <f t="shared" si="17"/>
        <v>-280.69999999999982</v>
      </c>
      <c r="G159" s="4">
        <f t="shared" si="18"/>
        <v>280.69999999999982</v>
      </c>
      <c r="W159" s="59">
        <f t="shared" si="19"/>
        <v>-6.7601243584816076E-2</v>
      </c>
      <c r="X159" s="59">
        <f t="shared" si="20"/>
        <v>-4.9333353410966528E-2</v>
      </c>
      <c r="Y159" s="59">
        <f t="shared" si="21"/>
        <v>-3.8511025892795633E-2</v>
      </c>
    </row>
    <row r="160" spans="1:25" x14ac:dyDescent="0.3">
      <c r="A160" s="2">
        <v>43887</v>
      </c>
      <c r="B160" s="1">
        <v>73.162400000000005</v>
      </c>
      <c r="C160" s="1">
        <v>1979.59</v>
      </c>
      <c r="D160" s="1">
        <v>197.2</v>
      </c>
      <c r="E160" s="3">
        <f t="shared" si="16"/>
        <v>3673.3</v>
      </c>
      <c r="F160" s="4">
        <f t="shared" si="17"/>
        <v>62.220000000000709</v>
      </c>
      <c r="G160" s="4">
        <f t="shared" si="18"/>
        <v>-62.220000000000709</v>
      </c>
      <c r="W160" s="59">
        <f t="shared" si="19"/>
        <v>1.573776957524221E-2</v>
      </c>
      <c r="X160" s="59">
        <f t="shared" si="20"/>
        <v>3.4663132171392766E-3</v>
      </c>
      <c r="Y160" s="59">
        <f t="shared" si="21"/>
        <v>2.1829081947810809E-3</v>
      </c>
    </row>
    <row r="161" spans="1:25" x14ac:dyDescent="0.3">
      <c r="A161" s="2">
        <v>43886</v>
      </c>
      <c r="B161" s="1">
        <v>72.02</v>
      </c>
      <c r="C161" s="1">
        <v>1972.74</v>
      </c>
      <c r="D161" s="1">
        <v>196.77</v>
      </c>
      <c r="E161" s="3">
        <f t="shared" si="16"/>
        <v>3611.0799999999995</v>
      </c>
      <c r="F161" s="4">
        <f t="shared" si="17"/>
        <v>-120.35000000000036</v>
      </c>
      <c r="G161" s="4">
        <f t="shared" si="18"/>
        <v>120.35000000000036</v>
      </c>
      <c r="W161" s="59">
        <f t="shared" si="19"/>
        <v>-3.4459111659633314E-2</v>
      </c>
      <c r="X161" s="59">
        <f t="shared" si="20"/>
        <v>-1.8357986498238575E-2</v>
      </c>
      <c r="Y161" s="59">
        <f t="shared" si="21"/>
        <v>-1.9875368084412939E-2</v>
      </c>
    </row>
    <row r="162" spans="1:25" x14ac:dyDescent="0.3">
      <c r="A162" s="2">
        <v>43885</v>
      </c>
      <c r="B162" s="1">
        <v>74.545000000000002</v>
      </c>
      <c r="C162" s="1">
        <v>2009.29</v>
      </c>
      <c r="D162" s="1">
        <v>200.72</v>
      </c>
      <c r="E162" s="3">
        <f t="shared" si="16"/>
        <v>3731.43</v>
      </c>
      <c r="F162" s="4">
        <f t="shared" si="17"/>
        <v>-170.0349999999994</v>
      </c>
      <c r="G162" s="4">
        <f t="shared" si="18"/>
        <v>170.0349999999994</v>
      </c>
      <c r="W162" s="59">
        <f t="shared" si="19"/>
        <v>-4.8665591191066455E-2</v>
      </c>
      <c r="X162" s="59">
        <f t="shared" si="20"/>
        <v>-4.2235027540891187E-2</v>
      </c>
      <c r="Y162" s="59">
        <f t="shared" si="21"/>
        <v>-4.6053404379283618E-2</v>
      </c>
    </row>
    <row r="163" spans="1:25" x14ac:dyDescent="0.3">
      <c r="A163" s="2">
        <v>43882</v>
      </c>
      <c r="B163" s="1">
        <v>78.262500000000003</v>
      </c>
      <c r="C163" s="1">
        <v>2095.9699999999998</v>
      </c>
      <c r="D163" s="1">
        <v>210.18</v>
      </c>
      <c r="E163" s="3">
        <f t="shared" si="16"/>
        <v>3901.4649999999992</v>
      </c>
      <c r="F163" s="4">
        <f t="shared" si="17"/>
        <v>-116.88500000000113</v>
      </c>
      <c r="G163" s="4">
        <f t="shared" si="18"/>
        <v>116.88500000000113</v>
      </c>
      <c r="W163" s="59">
        <f t="shared" si="19"/>
        <v>-2.289513442379297E-2</v>
      </c>
      <c r="X163" s="59">
        <f t="shared" si="20"/>
        <v>-2.689221074273403E-2</v>
      </c>
      <c r="Y163" s="59">
        <f t="shared" si="21"/>
        <v>-2.071832277114978E-2</v>
      </c>
    </row>
    <row r="164" spans="1:25" x14ac:dyDescent="0.3">
      <c r="A164" s="2">
        <v>43881</v>
      </c>
      <c r="B164" s="1">
        <v>80.075000000000003</v>
      </c>
      <c r="C164" s="1">
        <v>2153.1</v>
      </c>
      <c r="D164" s="1">
        <v>214.58</v>
      </c>
      <c r="E164" s="3">
        <f t="shared" si="16"/>
        <v>4018.3500000000004</v>
      </c>
      <c r="F164" s="4">
        <f t="shared" si="17"/>
        <v>-17.539999999998145</v>
      </c>
      <c r="G164" s="4">
        <f t="shared" si="18"/>
        <v>17.539999999998145</v>
      </c>
      <c r="W164" s="59">
        <f t="shared" si="19"/>
        <v>-1.0311931356549493E-2</v>
      </c>
      <c r="X164" s="59">
        <f t="shared" si="20"/>
        <v>-7.9198807799913899E-3</v>
      </c>
      <c r="Y164" s="59">
        <f t="shared" si="21"/>
        <v>-1.347024325166918E-2</v>
      </c>
    </row>
    <row r="165" spans="1:25" x14ac:dyDescent="0.3">
      <c r="A165" s="2">
        <v>43880</v>
      </c>
      <c r="B165" s="1">
        <v>80.905000000000001</v>
      </c>
      <c r="C165" s="1">
        <v>2170.2199999999998</v>
      </c>
      <c r="D165" s="1">
        <v>217.49</v>
      </c>
      <c r="E165" s="3">
        <f t="shared" si="16"/>
        <v>4035.8899999999985</v>
      </c>
      <c r="F165" s="4">
        <f t="shared" si="17"/>
        <v>93.049999999998363</v>
      </c>
      <c r="G165" s="4">
        <f t="shared" si="18"/>
        <v>-93.049999999998363</v>
      </c>
      <c r="W165" s="59">
        <f t="shared" si="19"/>
        <v>1.4378885186817483E-2</v>
      </c>
      <c r="X165" s="59">
        <f t="shared" si="20"/>
        <v>6.7269647947939886E-3</v>
      </c>
      <c r="Y165" s="59">
        <f t="shared" si="21"/>
        <v>-1.4243380385907502E-3</v>
      </c>
    </row>
    <row r="166" spans="1:25" x14ac:dyDescent="0.3">
      <c r="A166" s="2">
        <v>43879</v>
      </c>
      <c r="B166" s="1">
        <v>79.75</v>
      </c>
      <c r="C166" s="1">
        <v>2155.67</v>
      </c>
      <c r="D166" s="1">
        <v>217.8</v>
      </c>
      <c r="E166" s="3">
        <f t="shared" si="16"/>
        <v>3942.84</v>
      </c>
      <c r="F166" s="4">
        <f t="shared" si="17"/>
        <v>-105.17499999999927</v>
      </c>
      <c r="G166" s="4">
        <f t="shared" si="18"/>
        <v>105.17499999999927</v>
      </c>
      <c r="W166" s="59">
        <f t="shared" si="19"/>
        <v>-1.8480221555513314E-2</v>
      </c>
      <c r="X166" s="59">
        <f t="shared" si="20"/>
        <v>9.6958252102178188E-3</v>
      </c>
      <c r="Y166" s="59">
        <f t="shared" si="21"/>
        <v>1.6760427526131189E-2</v>
      </c>
    </row>
    <row r="167" spans="1:25" x14ac:dyDescent="0.3">
      <c r="A167" s="2">
        <v>43875</v>
      </c>
      <c r="B167" s="1">
        <v>81.237499999999997</v>
      </c>
      <c r="C167" s="1">
        <v>2134.87</v>
      </c>
      <c r="D167" s="1">
        <v>214.18</v>
      </c>
      <c r="E167" s="3">
        <f t="shared" si="16"/>
        <v>4048.0149999999994</v>
      </c>
      <c r="F167" s="4">
        <f t="shared" si="17"/>
        <v>-49.800000000001091</v>
      </c>
      <c r="G167" s="4">
        <f t="shared" si="18"/>
        <v>49.800000000001091</v>
      </c>
      <c r="W167" s="59">
        <f t="shared" si="19"/>
        <v>2.4622203195997903E-4</v>
      </c>
      <c r="X167" s="59">
        <f t="shared" si="20"/>
        <v>-7.0016202982250524E-3</v>
      </c>
      <c r="Y167" s="59">
        <f t="shared" si="21"/>
        <v>4.8675561799190453E-3</v>
      </c>
    </row>
    <row r="168" spans="1:25" x14ac:dyDescent="0.3">
      <c r="A168" s="2">
        <v>43874</v>
      </c>
      <c r="B168" s="1">
        <v>81.217500000000001</v>
      </c>
      <c r="C168" s="1">
        <v>2149.87</v>
      </c>
      <c r="D168" s="1">
        <v>213.14</v>
      </c>
      <c r="E168" s="3">
        <f t="shared" si="16"/>
        <v>4097.8150000000005</v>
      </c>
      <c r="F168" s="4">
        <f t="shared" si="17"/>
        <v>-96.984999999999673</v>
      </c>
      <c r="G168" s="4">
        <f t="shared" si="18"/>
        <v>96.984999999999673</v>
      </c>
      <c r="W168" s="59">
        <f t="shared" si="19"/>
        <v>-7.146502420194204E-3</v>
      </c>
      <c r="X168" s="59">
        <f t="shared" si="20"/>
        <v>-4.7008465008701907E-3</v>
      </c>
      <c r="Y168" s="59">
        <f t="shared" si="21"/>
        <v>1.122918145172503E-2</v>
      </c>
    </row>
    <row r="169" spans="1:25" x14ac:dyDescent="0.3">
      <c r="A169" s="2">
        <v>43873</v>
      </c>
      <c r="B169" s="1">
        <v>81.8</v>
      </c>
      <c r="C169" s="1">
        <v>2160</v>
      </c>
      <c r="D169" s="1">
        <v>210.76</v>
      </c>
      <c r="E169" s="3">
        <f t="shared" si="16"/>
        <v>4194.8</v>
      </c>
      <c r="F169" s="4">
        <f t="shared" si="17"/>
        <v>41.875</v>
      </c>
      <c r="G169" s="4">
        <f t="shared" si="18"/>
        <v>-41.875</v>
      </c>
      <c r="W169" s="59">
        <f t="shared" si="19"/>
        <v>2.3470102214577199E-2</v>
      </c>
      <c r="X169" s="59">
        <f t="shared" si="20"/>
        <v>4.2683557426876741E-3</v>
      </c>
      <c r="Y169" s="59">
        <f t="shared" si="21"/>
        <v>1.7083798668693816E-2</v>
      </c>
    </row>
    <row r="170" spans="1:25" x14ac:dyDescent="0.3">
      <c r="A170" s="2">
        <v>43872</v>
      </c>
      <c r="B170" s="1">
        <v>79.902500000000003</v>
      </c>
      <c r="C170" s="1">
        <v>2150.8000000000002</v>
      </c>
      <c r="D170" s="1">
        <v>207.19</v>
      </c>
      <c r="E170" s="3">
        <f t="shared" si="16"/>
        <v>4152.9250000000002</v>
      </c>
      <c r="F170" s="4">
        <f t="shared" si="17"/>
        <v>126.93000000000029</v>
      </c>
      <c r="G170" s="4">
        <f t="shared" si="18"/>
        <v>-126.93000000000029</v>
      </c>
      <c r="W170" s="59">
        <f t="shared" si="19"/>
        <v>-6.0515500668573263E-3</v>
      </c>
      <c r="X170" s="59">
        <f t="shared" si="20"/>
        <v>7.8838882837109336E-3</v>
      </c>
      <c r="Y170" s="59">
        <f t="shared" si="21"/>
        <v>-2.7937569510660301E-2</v>
      </c>
    </row>
    <row r="171" spans="1:25" x14ac:dyDescent="0.3">
      <c r="A171" s="2">
        <v>43871</v>
      </c>
      <c r="B171" s="1">
        <v>80.387500000000003</v>
      </c>
      <c r="C171" s="1">
        <v>2133.91</v>
      </c>
      <c r="D171" s="1">
        <v>213.06</v>
      </c>
      <c r="E171" s="3">
        <f t="shared" si="16"/>
        <v>4025.9949999999999</v>
      </c>
      <c r="F171" s="4">
        <f t="shared" si="17"/>
        <v>113.66000000000076</v>
      </c>
      <c r="G171" s="4">
        <f t="shared" si="18"/>
        <v>-113.66000000000076</v>
      </c>
      <c r="W171" s="59">
        <f t="shared" si="19"/>
        <v>4.7383111813566131E-3</v>
      </c>
      <c r="X171" s="59">
        <f t="shared" si="20"/>
        <v>2.5934297727674048E-2</v>
      </c>
      <c r="Y171" s="59">
        <f t="shared" si="21"/>
        <v>3.4321479893490029E-3</v>
      </c>
    </row>
    <row r="172" spans="1:25" x14ac:dyDescent="0.3">
      <c r="A172" s="2">
        <v>43868</v>
      </c>
      <c r="B172" s="1">
        <v>80.007499999999993</v>
      </c>
      <c r="C172" s="1">
        <v>2079.2800000000002</v>
      </c>
      <c r="D172" s="1">
        <v>212.33</v>
      </c>
      <c r="E172" s="3">
        <f t="shared" si="16"/>
        <v>3912.3349999999991</v>
      </c>
      <c r="F172" s="4">
        <f t="shared" si="17"/>
        <v>-36.25</v>
      </c>
      <c r="G172" s="4">
        <f t="shared" si="18"/>
        <v>36.25</v>
      </c>
      <c r="W172" s="59">
        <f t="shared" si="19"/>
        <v>-1.6056386108862043E-2</v>
      </c>
      <c r="X172" s="59">
        <f t="shared" si="20"/>
        <v>1.4069697963134923E-2</v>
      </c>
      <c r="Y172" s="59">
        <f t="shared" si="21"/>
        <v>6.9946880011335106E-3</v>
      </c>
    </row>
    <row r="173" spans="1:25" x14ac:dyDescent="0.3">
      <c r="A173" s="2">
        <v>43867</v>
      </c>
      <c r="B173" s="1">
        <v>81.302499999999995</v>
      </c>
      <c r="C173" s="1">
        <v>2050.23</v>
      </c>
      <c r="D173" s="1">
        <v>210.85</v>
      </c>
      <c r="E173" s="3">
        <f t="shared" si="16"/>
        <v>3948.5849999999991</v>
      </c>
      <c r="F173" s="4">
        <f t="shared" si="17"/>
        <v>52.920000000000073</v>
      </c>
      <c r="G173" s="4">
        <f t="shared" si="18"/>
        <v>-52.920000000000073</v>
      </c>
      <c r="W173" s="59">
        <f t="shared" si="19"/>
        <v>1.162911692068175E-2</v>
      </c>
      <c r="X173" s="59">
        <f t="shared" si="20"/>
        <v>5.0659016434923985E-3</v>
      </c>
      <c r="Y173" s="59">
        <f t="shared" si="21"/>
        <v>3.5157770916109323E-3</v>
      </c>
    </row>
    <row r="174" spans="1:25" x14ac:dyDescent="0.3">
      <c r="A174" s="2">
        <v>43866</v>
      </c>
      <c r="B174" s="1">
        <v>80.362499999999997</v>
      </c>
      <c r="C174" s="1">
        <v>2039.87</v>
      </c>
      <c r="D174" s="1">
        <v>210.11</v>
      </c>
      <c r="E174" s="3">
        <f t="shared" si="16"/>
        <v>3895.6649999999991</v>
      </c>
      <c r="F174" s="4">
        <f t="shared" si="17"/>
        <v>7.2999999999992724</v>
      </c>
      <c r="G174" s="4">
        <f t="shared" si="18"/>
        <v>-7.2999999999992724</v>
      </c>
      <c r="W174" s="59">
        <f t="shared" si="19"/>
        <v>8.1212378264149867E-3</v>
      </c>
      <c r="X174" s="59">
        <f t="shared" si="20"/>
        <v>-4.7927242472230848E-3</v>
      </c>
      <c r="Y174" s="59">
        <f t="shared" si="21"/>
        <v>1.333524034354161E-3</v>
      </c>
    </row>
    <row r="175" spans="1:25" x14ac:dyDescent="0.3">
      <c r="A175" s="2">
        <v>43865</v>
      </c>
      <c r="B175" s="1">
        <v>79.712500000000006</v>
      </c>
      <c r="C175" s="1">
        <v>2049.67</v>
      </c>
      <c r="D175" s="1">
        <v>209.83</v>
      </c>
      <c r="E175" s="3">
        <f t="shared" si="16"/>
        <v>3888.3649999999998</v>
      </c>
      <c r="F175" s="4">
        <f t="shared" si="17"/>
        <v>105.51499999999942</v>
      </c>
      <c r="G175" s="4">
        <f t="shared" si="18"/>
        <v>-105.51499999999942</v>
      </c>
      <c r="W175" s="59">
        <f t="shared" si="19"/>
        <v>3.2480425288595127E-2</v>
      </c>
      <c r="X175" s="59">
        <f t="shared" si="20"/>
        <v>2.2433825940505216E-2</v>
      </c>
      <c r="Y175" s="59">
        <f t="shared" si="21"/>
        <v>2.7246746131660411E-2</v>
      </c>
    </row>
    <row r="176" spans="1:25" x14ac:dyDescent="0.3">
      <c r="A176" s="2">
        <v>43864</v>
      </c>
      <c r="B176" s="1">
        <v>77.165000000000006</v>
      </c>
      <c r="C176" s="1">
        <v>2004.2</v>
      </c>
      <c r="D176" s="1">
        <v>204.19</v>
      </c>
      <c r="E176" s="3">
        <f t="shared" si="16"/>
        <v>3782.8500000000004</v>
      </c>
      <c r="F176" s="4">
        <f t="shared" si="17"/>
        <v>-65.265000000000327</v>
      </c>
      <c r="G176" s="4">
        <f t="shared" si="18"/>
        <v>65.265000000000327</v>
      </c>
      <c r="W176" s="59">
        <f t="shared" si="19"/>
        <v>-2.7500543077087192E-3</v>
      </c>
      <c r="X176" s="59">
        <f t="shared" si="20"/>
        <v>-2.2527246551119549E-3</v>
      </c>
      <c r="Y176" s="59">
        <f t="shared" si="21"/>
        <v>1.1228879372660488E-2</v>
      </c>
    </row>
    <row r="177" spans="1:25" x14ac:dyDescent="0.3">
      <c r="A177" s="2">
        <v>43861</v>
      </c>
      <c r="B177" s="1">
        <v>77.377499999999998</v>
      </c>
      <c r="C177" s="1">
        <v>2008.72</v>
      </c>
      <c r="D177" s="1">
        <v>201.91</v>
      </c>
      <c r="E177" s="3">
        <f t="shared" si="16"/>
        <v>3848.1150000000007</v>
      </c>
      <c r="F177" s="4">
        <f t="shared" si="17"/>
        <v>248.98000000000047</v>
      </c>
      <c r="G177" s="4">
        <f t="shared" si="18"/>
        <v>-248.98000000000047</v>
      </c>
      <c r="W177" s="59">
        <f t="shared" si="19"/>
        <v>-4.5351798927906729E-2</v>
      </c>
      <c r="X177" s="59">
        <f t="shared" si="20"/>
        <v>7.1195702166750516E-2</v>
      </c>
      <c r="Y177" s="59">
        <f t="shared" si="21"/>
        <v>-3.7044873638733884E-2</v>
      </c>
    </row>
    <row r="178" spans="1:25" x14ac:dyDescent="0.3">
      <c r="A178" s="2">
        <v>43860</v>
      </c>
      <c r="B178" s="1">
        <v>80.967500000000001</v>
      </c>
      <c r="C178" s="1">
        <v>1870.68</v>
      </c>
      <c r="D178" s="1">
        <v>209.53</v>
      </c>
      <c r="E178" s="3">
        <f t="shared" si="16"/>
        <v>3599.1350000000002</v>
      </c>
      <c r="F178" s="4">
        <f t="shared" si="17"/>
        <v>293.48499999999967</v>
      </c>
      <c r="G178" s="4">
        <f t="shared" si="18"/>
        <v>-293.48499999999967</v>
      </c>
      <c r="W178" s="59">
        <f t="shared" si="19"/>
        <v>-1.4501475829272309E-3</v>
      </c>
      <c r="X178" s="59">
        <f t="shared" si="20"/>
        <v>6.801360738806158E-3</v>
      </c>
      <c r="Y178" s="59">
        <f t="shared" si="21"/>
        <v>-6.3335702876262917E-2</v>
      </c>
    </row>
    <row r="179" spans="1:25" x14ac:dyDescent="0.3">
      <c r="A179" s="2">
        <v>43859</v>
      </c>
      <c r="B179" s="1">
        <v>81.084999999999994</v>
      </c>
      <c r="C179" s="1">
        <v>1858</v>
      </c>
      <c r="D179" s="1">
        <v>223.23</v>
      </c>
      <c r="E179" s="3">
        <f t="shared" si="16"/>
        <v>3305.6500000000005</v>
      </c>
      <c r="F179" s="4">
        <f t="shared" si="17"/>
        <v>-16.174999999999272</v>
      </c>
      <c r="G179" s="4">
        <f t="shared" si="18"/>
        <v>16.174999999999272</v>
      </c>
      <c r="W179" s="59">
        <f t="shared" si="19"/>
        <v>2.0716283746587138E-2</v>
      </c>
      <c r="X179" s="59">
        <f t="shared" si="20"/>
        <v>2.5597858369547214E-3</v>
      </c>
      <c r="Y179" s="59">
        <f t="shared" si="21"/>
        <v>2.4671334314762244E-2</v>
      </c>
    </row>
    <row r="180" spans="1:25" x14ac:dyDescent="0.3">
      <c r="A180" s="2">
        <v>43858</v>
      </c>
      <c r="B180" s="1">
        <v>79.422499999999999</v>
      </c>
      <c r="C180" s="1">
        <v>1853.25</v>
      </c>
      <c r="D180" s="1">
        <v>217.79</v>
      </c>
      <c r="E180" s="3">
        <f t="shared" si="16"/>
        <v>3321.8249999999998</v>
      </c>
      <c r="F180" s="4">
        <f t="shared" si="17"/>
        <v>100.66999999999916</v>
      </c>
      <c r="G180" s="4">
        <f t="shared" si="18"/>
        <v>-100.66999999999916</v>
      </c>
      <c r="W180" s="59">
        <f t="shared" si="19"/>
        <v>2.7896613037652646E-2</v>
      </c>
      <c r="X180" s="59">
        <f t="shared" si="20"/>
        <v>1.3532403194143021E-2</v>
      </c>
      <c r="Y180" s="59">
        <f t="shared" si="21"/>
        <v>1.3498101672880335E-2</v>
      </c>
    </row>
    <row r="181" spans="1:25" x14ac:dyDescent="0.3">
      <c r="A181" s="2">
        <v>43857</v>
      </c>
      <c r="B181" s="1">
        <v>77.237499999999997</v>
      </c>
      <c r="C181" s="1">
        <v>1828.34</v>
      </c>
      <c r="D181" s="1">
        <v>214.87</v>
      </c>
      <c r="E181" s="3">
        <f t="shared" si="16"/>
        <v>3221.1550000000007</v>
      </c>
      <c r="F181" s="4">
        <f t="shared" si="17"/>
        <v>-122.19999999999982</v>
      </c>
      <c r="G181" s="4">
        <f t="shared" si="18"/>
        <v>122.19999999999982</v>
      </c>
      <c r="W181" s="59">
        <f t="shared" si="19"/>
        <v>-2.9846299189851485E-2</v>
      </c>
      <c r="X181" s="59">
        <f t="shared" si="20"/>
        <v>-1.8049368307551179E-2</v>
      </c>
      <c r="Y181" s="59">
        <f t="shared" si="21"/>
        <v>-1.4186601459103112E-2</v>
      </c>
    </row>
    <row r="182" spans="1:25" x14ac:dyDescent="0.3">
      <c r="A182" s="2">
        <v>43854</v>
      </c>
      <c r="B182" s="1">
        <v>79.577500000000001</v>
      </c>
      <c r="C182" s="1">
        <v>1861.64</v>
      </c>
      <c r="D182" s="1">
        <v>217.94</v>
      </c>
      <c r="E182" s="3">
        <f t="shared" si="16"/>
        <v>3343.3550000000005</v>
      </c>
      <c r="F182" s="4">
        <f t="shared" si="17"/>
        <v>-20.979999999999563</v>
      </c>
      <c r="G182" s="4">
        <f t="shared" si="18"/>
        <v>20.979999999999563</v>
      </c>
      <c r="W182" s="59">
        <f t="shared" si="19"/>
        <v>-2.8860954249098963E-3</v>
      </c>
      <c r="X182" s="59">
        <f t="shared" si="20"/>
        <v>-1.2247164734578044E-2</v>
      </c>
      <c r="Y182" s="59">
        <f t="shared" si="21"/>
        <v>-8.3162462382783721E-3</v>
      </c>
    </row>
    <row r="183" spans="1:25" x14ac:dyDescent="0.3">
      <c r="A183" s="2">
        <v>43853</v>
      </c>
      <c r="B183" s="1">
        <v>79.807500000000005</v>
      </c>
      <c r="C183" s="1">
        <v>1884.58</v>
      </c>
      <c r="D183" s="1">
        <v>219.76</v>
      </c>
      <c r="E183" s="3">
        <f t="shared" si="16"/>
        <v>3364.335</v>
      </c>
      <c r="F183" s="4">
        <f t="shared" si="17"/>
        <v>44.5649999999996</v>
      </c>
      <c r="G183" s="4">
        <f t="shared" si="18"/>
        <v>-44.5649999999996</v>
      </c>
      <c r="W183" s="59">
        <f t="shared" si="19"/>
        <v>4.804304846279475E-3</v>
      </c>
      <c r="X183" s="59">
        <f t="shared" si="20"/>
        <v>-1.5270254608295748E-3</v>
      </c>
      <c r="Y183" s="59">
        <f t="shared" si="21"/>
        <v>-7.0735762428905972E-3</v>
      </c>
    </row>
    <row r="184" spans="1:25" x14ac:dyDescent="0.3">
      <c r="A184" s="2">
        <v>43852</v>
      </c>
      <c r="B184" s="1">
        <v>79.424999999999997</v>
      </c>
      <c r="C184" s="1">
        <v>1887.46</v>
      </c>
      <c r="D184" s="1">
        <v>221.32</v>
      </c>
      <c r="E184" s="3">
        <f t="shared" si="16"/>
        <v>3319.7700000000004</v>
      </c>
      <c r="F184" s="4">
        <f t="shared" si="17"/>
        <v>7.4450000000006185</v>
      </c>
      <c r="G184" s="4">
        <f t="shared" si="18"/>
        <v>-7.4450000000006185</v>
      </c>
      <c r="W184" s="59">
        <f t="shared" si="19"/>
        <v>3.5631551091704003E-3</v>
      </c>
      <c r="X184" s="59">
        <f t="shared" si="20"/>
        <v>-2.4024607661786456E-3</v>
      </c>
      <c r="Y184" s="59">
        <f t="shared" si="21"/>
        <v>-5.4205439939581095E-4</v>
      </c>
    </row>
    <row r="185" spans="1:25" x14ac:dyDescent="0.3">
      <c r="A185" s="2">
        <v>43851</v>
      </c>
      <c r="B185" s="1">
        <v>79.142499999999998</v>
      </c>
      <c r="C185" s="1">
        <v>1892</v>
      </c>
      <c r="D185" s="1">
        <v>221.44</v>
      </c>
      <c r="E185" s="3">
        <f t="shared" si="16"/>
        <v>3312.3249999999998</v>
      </c>
      <c r="F185" s="4">
        <f t="shared" si="17"/>
        <v>41.559999999998581</v>
      </c>
      <c r="G185" s="4">
        <f t="shared" si="18"/>
        <v>-41.559999999998581</v>
      </c>
      <c r="W185" s="59">
        <f t="shared" si="19"/>
        <v>-6.7999632397407039E-3</v>
      </c>
      <c r="X185" s="59">
        <f t="shared" si="20"/>
        <v>1.4523562853409481E-2</v>
      </c>
      <c r="Y185" s="59">
        <f t="shared" si="21"/>
        <v>-3.1561413096691257E-3</v>
      </c>
    </row>
    <row r="186" spans="1:25" x14ac:dyDescent="0.3">
      <c r="A186" s="2">
        <v>43847</v>
      </c>
      <c r="B186" s="1">
        <v>79.682500000000005</v>
      </c>
      <c r="C186" s="1">
        <v>1864.72</v>
      </c>
      <c r="D186" s="1">
        <v>222.14</v>
      </c>
      <c r="E186" s="3">
        <f t="shared" si="16"/>
        <v>3270.7650000000012</v>
      </c>
      <c r="F186" s="4">
        <f t="shared" si="17"/>
        <v>9.7850000000016735</v>
      </c>
      <c r="G186" s="4">
        <f t="shared" si="18"/>
        <v>-9.7850000000016735</v>
      </c>
      <c r="W186" s="59">
        <f t="shared" si="19"/>
        <v>1.1010095920591972E-2</v>
      </c>
      <c r="X186" s="59">
        <f t="shared" si="20"/>
        <v>-7.0645236176285044E-3</v>
      </c>
      <c r="Y186" s="59">
        <f t="shared" si="21"/>
        <v>1.6670049590363307E-3</v>
      </c>
    </row>
    <row r="187" spans="1:25" x14ac:dyDescent="0.3">
      <c r="A187" s="2">
        <v>43846</v>
      </c>
      <c r="B187" s="1">
        <v>78.81</v>
      </c>
      <c r="C187" s="1">
        <v>1877.94</v>
      </c>
      <c r="D187" s="1">
        <v>221.77</v>
      </c>
      <c r="E187" s="3">
        <f t="shared" si="16"/>
        <v>3260.9799999999996</v>
      </c>
      <c r="F187" s="4">
        <f t="shared" si="17"/>
        <v>68.190000000000509</v>
      </c>
      <c r="G187" s="4">
        <f t="shared" si="18"/>
        <v>-68.190000000000509</v>
      </c>
      <c r="W187" s="59">
        <f t="shared" si="19"/>
        <v>1.2448690877745642E-2</v>
      </c>
      <c r="X187" s="59">
        <f t="shared" si="20"/>
        <v>8.5135114581552651E-3</v>
      </c>
      <c r="Y187" s="59">
        <f t="shared" si="21"/>
        <v>2.7996044656018867E-3</v>
      </c>
    </row>
    <row r="188" spans="1:25" x14ac:dyDescent="0.3">
      <c r="A188" s="2">
        <v>43845</v>
      </c>
      <c r="B188" s="1">
        <v>77.834999999999994</v>
      </c>
      <c r="C188" s="1">
        <v>1862.02</v>
      </c>
      <c r="D188" s="1">
        <v>221.15</v>
      </c>
      <c r="E188" s="3">
        <f t="shared" si="16"/>
        <v>3192.7899999999991</v>
      </c>
      <c r="F188" s="4">
        <f t="shared" si="17"/>
        <v>-73.390000000001237</v>
      </c>
      <c r="G188" s="4">
        <f t="shared" si="18"/>
        <v>73.390000000001237</v>
      </c>
      <c r="W188" s="59">
        <f t="shared" si="19"/>
        <v>-4.2947407444264936E-3</v>
      </c>
      <c r="X188" s="59">
        <f t="shared" si="20"/>
        <v>-3.9770008414340445E-3</v>
      </c>
      <c r="Y188" s="59">
        <f t="shared" si="21"/>
        <v>9.4955394187353596E-3</v>
      </c>
    </row>
    <row r="189" spans="1:25" x14ac:dyDescent="0.3">
      <c r="A189" s="2">
        <v>43844</v>
      </c>
      <c r="B189" s="1">
        <v>78.17</v>
      </c>
      <c r="C189" s="1">
        <v>1869.44</v>
      </c>
      <c r="D189" s="1">
        <v>219.06</v>
      </c>
      <c r="E189" s="3">
        <f t="shared" si="16"/>
        <v>3266.1800000000003</v>
      </c>
      <c r="F189" s="4">
        <f t="shared" si="17"/>
        <v>-40.219999999999345</v>
      </c>
      <c r="G189" s="4">
        <f t="shared" si="18"/>
        <v>40.219999999999345</v>
      </c>
      <c r="W189" s="59">
        <f t="shared" si="19"/>
        <v>-1.3595279598111076E-2</v>
      </c>
      <c r="X189" s="59">
        <f t="shared" si="20"/>
        <v>-1.1625502535087139E-2</v>
      </c>
      <c r="Y189" s="59">
        <f t="shared" si="21"/>
        <v>-1.2926229372285459E-2</v>
      </c>
    </row>
    <row r="190" spans="1:25" x14ac:dyDescent="0.3">
      <c r="A190" s="2">
        <v>43843</v>
      </c>
      <c r="B190" s="1">
        <v>79.239999999999995</v>
      </c>
      <c r="C190" s="1">
        <v>1891.3</v>
      </c>
      <c r="D190" s="1">
        <v>221.91</v>
      </c>
      <c r="E190" s="3">
        <f t="shared" si="16"/>
        <v>3306.3999999999996</v>
      </c>
      <c r="F190" s="4">
        <f t="shared" si="17"/>
        <v>22.154999999999745</v>
      </c>
      <c r="G190" s="4">
        <f t="shared" si="18"/>
        <v>-22.154999999999745</v>
      </c>
      <c r="W190" s="59">
        <f t="shared" si="19"/>
        <v>2.1139335537530484E-2</v>
      </c>
      <c r="X190" s="59">
        <f t="shared" si="20"/>
        <v>4.313206455778912E-3</v>
      </c>
      <c r="Y190" s="59">
        <f t="shared" si="21"/>
        <v>1.7501639989650319E-2</v>
      </c>
    </row>
    <row r="191" spans="1:25" x14ac:dyDescent="0.3">
      <c r="A191" s="2">
        <v>43840</v>
      </c>
      <c r="B191" s="1">
        <v>77.582499999999996</v>
      </c>
      <c r="C191" s="1">
        <v>1883.16</v>
      </c>
      <c r="D191" s="1">
        <v>218.06</v>
      </c>
      <c r="E191" s="3">
        <f t="shared" si="16"/>
        <v>3284.2449999999999</v>
      </c>
      <c r="F191" s="4">
        <f t="shared" si="17"/>
        <v>-22.230000000000473</v>
      </c>
      <c r="G191" s="4">
        <f t="shared" si="18"/>
        <v>22.230000000000473</v>
      </c>
      <c r="W191" s="59">
        <f t="shared" si="19"/>
        <v>2.2582111667585961E-3</v>
      </c>
      <c r="X191" s="59">
        <f t="shared" si="20"/>
        <v>-9.4551482502532626E-3</v>
      </c>
      <c r="Y191" s="59">
        <f t="shared" si="21"/>
        <v>-1.1000092776625857E-3</v>
      </c>
    </row>
    <row r="192" spans="1:25" x14ac:dyDescent="0.3">
      <c r="A192" s="2">
        <v>43839</v>
      </c>
      <c r="B192" s="1">
        <v>77.407499999999999</v>
      </c>
      <c r="C192" s="1">
        <v>1901.05</v>
      </c>
      <c r="D192" s="1">
        <v>218.3</v>
      </c>
      <c r="E192" s="3">
        <f t="shared" si="16"/>
        <v>3306.4750000000004</v>
      </c>
      <c r="F192" s="4">
        <f t="shared" si="17"/>
        <v>37.059999999999491</v>
      </c>
      <c r="G192" s="4">
        <f t="shared" si="18"/>
        <v>-37.059999999999491</v>
      </c>
      <c r="W192" s="59">
        <f t="shared" si="19"/>
        <v>2.1018364551980692E-2</v>
      </c>
      <c r="X192" s="59">
        <f t="shared" si="20"/>
        <v>4.787750839557332E-3</v>
      </c>
      <c r="Y192" s="59">
        <f t="shared" si="21"/>
        <v>1.4209502783652156E-2</v>
      </c>
    </row>
    <row r="193" spans="1:25" x14ac:dyDescent="0.3">
      <c r="A193" s="2">
        <v>43838</v>
      </c>
      <c r="B193" s="1">
        <v>75.797499999999999</v>
      </c>
      <c r="C193" s="1">
        <v>1891.97</v>
      </c>
      <c r="D193" s="1">
        <v>215.22</v>
      </c>
      <c r="E193" s="3">
        <f t="shared" si="16"/>
        <v>3269.4150000000009</v>
      </c>
      <c r="F193" s="4">
        <f t="shared" si="17"/>
        <v>-12.979999999998654</v>
      </c>
      <c r="G193" s="4">
        <f t="shared" si="18"/>
        <v>12.979999999998654</v>
      </c>
      <c r="W193" s="59">
        <f t="shared" si="19"/>
        <v>1.595831599025016E-2</v>
      </c>
      <c r="X193" s="59">
        <f t="shared" si="20"/>
        <v>-7.8392959173160665E-3</v>
      </c>
      <c r="Y193" s="59">
        <f t="shared" si="21"/>
        <v>1.0086944589194562E-2</v>
      </c>
    </row>
    <row r="194" spans="1:25" x14ac:dyDescent="0.3">
      <c r="A194" s="2">
        <v>43837</v>
      </c>
      <c r="B194" s="1">
        <v>74.597499999999997</v>
      </c>
      <c r="C194" s="1">
        <v>1906.86</v>
      </c>
      <c r="D194" s="1">
        <v>213.06</v>
      </c>
      <c r="E194" s="3">
        <f t="shared" si="16"/>
        <v>3282.3949999999995</v>
      </c>
      <c r="F194" s="4">
        <f t="shared" si="17"/>
        <v>-18.865000000000691</v>
      </c>
      <c r="G194" s="4">
        <f t="shared" si="18"/>
        <v>18.865000000000691</v>
      </c>
      <c r="W194" s="59">
        <f t="shared" si="19"/>
        <v>-4.714229964776516E-3</v>
      </c>
      <c r="X194" s="59">
        <f t="shared" si="20"/>
        <v>2.0893821877064908E-3</v>
      </c>
      <c r="Y194" s="59">
        <f t="shared" si="21"/>
        <v>2.1613502752039172E-3</v>
      </c>
    </row>
    <row r="195" spans="1:25" x14ac:dyDescent="0.3">
      <c r="A195" s="2">
        <v>43836</v>
      </c>
      <c r="B195" s="1">
        <v>74.95</v>
      </c>
      <c r="C195" s="1">
        <v>1902.88</v>
      </c>
      <c r="D195" s="1">
        <v>212.6</v>
      </c>
      <c r="E195" s="3">
        <f t="shared" si="16"/>
        <v>3301.26</v>
      </c>
      <c r="F195" s="4">
        <f t="shared" si="17"/>
        <v>6.8449999999993452</v>
      </c>
      <c r="G195" s="4">
        <f t="shared" si="18"/>
        <v>-6.8449999999993452</v>
      </c>
      <c r="W195" s="59">
        <f t="shared" si="19"/>
        <v>7.9366824864639061E-3</v>
      </c>
      <c r="X195" s="59">
        <f t="shared" si="20"/>
        <v>1.4775868702425381E-2</v>
      </c>
      <c r="Y195" s="59">
        <f t="shared" si="21"/>
        <v>1.8658409162554283E-2</v>
      </c>
    </row>
    <row r="196" spans="1:25" x14ac:dyDescent="0.3">
      <c r="A196" s="2">
        <v>43833</v>
      </c>
      <c r="B196" s="1">
        <v>74.357500000000002</v>
      </c>
      <c r="C196" s="1">
        <v>1874.97</v>
      </c>
      <c r="D196" s="1">
        <v>208.67</v>
      </c>
      <c r="E196" s="3">
        <f t="shared" si="16"/>
        <v>3294.4150000000009</v>
      </c>
      <c r="F196" s="4">
        <f t="shared" si="17"/>
        <v>-60.3799999999992</v>
      </c>
      <c r="G196" s="4">
        <f t="shared" si="18"/>
        <v>60.3799999999992</v>
      </c>
      <c r="W196" s="59">
        <f t="shared" si="19"/>
        <v>-9.7695581141369284E-3</v>
      </c>
      <c r="X196" s="59">
        <f t="shared" si="20"/>
        <v>-1.221330958338258E-2</v>
      </c>
      <c r="Y196" s="59">
        <f t="shared" si="21"/>
        <v>-5.3053057881644822E-3</v>
      </c>
    </row>
    <row r="197" spans="1:25" x14ac:dyDescent="0.3">
      <c r="A197" s="2">
        <v>43832</v>
      </c>
      <c r="B197" s="1">
        <v>75.087500000000006</v>
      </c>
      <c r="C197" s="1">
        <v>1898.01</v>
      </c>
      <c r="D197" s="1">
        <v>209.78</v>
      </c>
      <c r="E197" s="3">
        <f t="shared" si="16"/>
        <v>3354.7950000000001</v>
      </c>
      <c r="F197" s="4">
        <f t="shared" si="17"/>
        <v>93.490000000000691</v>
      </c>
      <c r="G197" s="4">
        <f t="shared" si="18"/>
        <v>-93.490000000000691</v>
      </c>
      <c r="W197" s="59">
        <f t="shared" si="19"/>
        <v>2.2559879327641991E-2</v>
      </c>
      <c r="X197" s="59">
        <f t="shared" si="20"/>
        <v>2.6788579493115187E-2</v>
      </c>
      <c r="Y197" s="59">
        <f t="shared" si="21"/>
        <v>2.1830614200920171E-2</v>
      </c>
    </row>
    <row r="198" spans="1:25" x14ac:dyDescent="0.3">
      <c r="A198" s="2">
        <v>43831</v>
      </c>
      <c r="B198" s="1">
        <v>73.412499999999994</v>
      </c>
      <c r="C198" s="1">
        <v>1847.84</v>
      </c>
      <c r="D198" s="1">
        <v>205.25</v>
      </c>
      <c r="E198" s="3">
        <f t="shared" ref="E198:E261" si="22">50*B198+2*C198-20*D198</f>
        <v>3261.3049999999994</v>
      </c>
      <c r="F198" s="4">
        <f t="shared" ref="F198:F261" si="23">E198-E199</f>
        <v>0</v>
      </c>
      <c r="G198" s="4">
        <f t="shared" ref="G198:G261" si="24">-F198</f>
        <v>0</v>
      </c>
      <c r="W198" s="59">
        <f t="shared" ref="W198:W261" si="25">LN(B198/B199)</f>
        <v>0</v>
      </c>
      <c r="X198" s="59">
        <f t="shared" ref="X198:X261" si="26">LN(C198/C199)</f>
        <v>0</v>
      </c>
      <c r="Y198" s="59">
        <f t="shared" ref="Y198:Y261" si="27">LN(D198/D199)</f>
        <v>0</v>
      </c>
    </row>
    <row r="199" spans="1:25" x14ac:dyDescent="0.3">
      <c r="A199" s="2">
        <v>43830</v>
      </c>
      <c r="B199" s="1">
        <v>73.412499999999994</v>
      </c>
      <c r="C199" s="1">
        <v>1847.84</v>
      </c>
      <c r="D199" s="1">
        <v>205.25</v>
      </c>
      <c r="E199" s="3">
        <f t="shared" si="22"/>
        <v>3261.3049999999994</v>
      </c>
      <c r="F199" s="4">
        <f t="shared" si="23"/>
        <v>11.724999999998545</v>
      </c>
      <c r="G199" s="4">
        <f t="shared" si="24"/>
        <v>-11.724999999998545</v>
      </c>
      <c r="W199" s="59">
        <f t="shared" si="25"/>
        <v>7.2799678969350549E-3</v>
      </c>
      <c r="X199" s="59">
        <f t="shared" si="26"/>
        <v>5.1424597788499984E-4</v>
      </c>
      <c r="Y199" s="59">
        <f t="shared" si="27"/>
        <v>4.1009675206517176E-3</v>
      </c>
    </row>
    <row r="200" spans="1:25" x14ac:dyDescent="0.3">
      <c r="A200" s="2">
        <v>43829</v>
      </c>
      <c r="B200" s="1">
        <v>72.88</v>
      </c>
      <c r="C200" s="1">
        <v>1846.89</v>
      </c>
      <c r="D200" s="1">
        <v>204.41</v>
      </c>
      <c r="E200" s="3">
        <f t="shared" si="22"/>
        <v>3249.5800000000008</v>
      </c>
      <c r="F200" s="4">
        <f t="shared" si="23"/>
        <v>49.480000000000473</v>
      </c>
      <c r="G200" s="4">
        <f t="shared" si="24"/>
        <v>-49.480000000000473</v>
      </c>
      <c r="W200" s="59">
        <f t="shared" si="25"/>
        <v>5.9175841850114654E-3</v>
      </c>
      <c r="X200" s="59">
        <f t="shared" si="26"/>
        <v>-1.2328329868322897E-2</v>
      </c>
      <c r="Y200" s="59">
        <f t="shared" si="27"/>
        <v>-1.7890952587702815E-2</v>
      </c>
    </row>
    <row r="201" spans="1:25" x14ac:dyDescent="0.3">
      <c r="A201" s="2">
        <v>43826</v>
      </c>
      <c r="B201" s="1">
        <v>72.45</v>
      </c>
      <c r="C201" s="1">
        <v>1869.8</v>
      </c>
      <c r="D201" s="1">
        <v>208.1</v>
      </c>
      <c r="E201" s="3">
        <f t="shared" si="22"/>
        <v>3200.1000000000004</v>
      </c>
      <c r="F201" s="4">
        <f t="shared" si="23"/>
        <v>-5.5150000000003274</v>
      </c>
      <c r="G201" s="4">
        <f t="shared" si="24"/>
        <v>5.5150000000003274</v>
      </c>
      <c r="W201" s="59">
        <f t="shared" si="25"/>
        <v>-3.7950009942974369E-4</v>
      </c>
      <c r="X201" s="59">
        <f t="shared" si="26"/>
        <v>5.5101283435124264E-4</v>
      </c>
      <c r="Y201" s="59">
        <f t="shared" si="27"/>
        <v>1.4907790878000999E-3</v>
      </c>
    </row>
    <row r="202" spans="1:25" x14ac:dyDescent="0.3">
      <c r="A202" s="2">
        <v>43825</v>
      </c>
      <c r="B202" s="1">
        <v>72.477500000000006</v>
      </c>
      <c r="C202" s="1">
        <v>1868.77</v>
      </c>
      <c r="D202" s="1">
        <v>207.79</v>
      </c>
      <c r="E202" s="3">
        <f t="shared" si="22"/>
        <v>3205.6150000000007</v>
      </c>
      <c r="F202" s="4">
        <f t="shared" si="23"/>
        <v>176.22000000000025</v>
      </c>
      <c r="G202" s="4">
        <f t="shared" si="24"/>
        <v>-176.22000000000025</v>
      </c>
      <c r="W202" s="59">
        <f t="shared" si="25"/>
        <v>1.9646039232492037E-2</v>
      </c>
      <c r="X202" s="59">
        <f t="shared" si="26"/>
        <v>4.3506278789693771E-2</v>
      </c>
      <c r="Y202" s="59">
        <f t="shared" si="27"/>
        <v>1.2932780579483525E-2</v>
      </c>
    </row>
    <row r="203" spans="1:25" x14ac:dyDescent="0.3">
      <c r="A203" s="2">
        <v>43824</v>
      </c>
      <c r="B203" s="1">
        <v>71.067499999999995</v>
      </c>
      <c r="C203" s="1">
        <v>1789.21</v>
      </c>
      <c r="D203" s="1">
        <v>205.12</v>
      </c>
      <c r="E203" s="3">
        <f t="shared" si="22"/>
        <v>3029.3950000000004</v>
      </c>
      <c r="F203" s="4">
        <f t="shared" si="23"/>
        <v>0</v>
      </c>
      <c r="G203" s="4">
        <f t="shared" si="24"/>
        <v>0</v>
      </c>
      <c r="W203" s="59">
        <f t="shared" si="25"/>
        <v>0</v>
      </c>
      <c r="X203" s="59">
        <f t="shared" si="26"/>
        <v>0</v>
      </c>
      <c r="Y203" s="59">
        <f t="shared" si="27"/>
        <v>0</v>
      </c>
    </row>
    <row r="204" spans="1:25" x14ac:dyDescent="0.3">
      <c r="A204" s="2">
        <v>43823</v>
      </c>
      <c r="B204" s="1">
        <v>71.067499999999995</v>
      </c>
      <c r="C204" s="1">
        <v>1789.21</v>
      </c>
      <c r="D204" s="1">
        <v>205.12</v>
      </c>
      <c r="E204" s="3">
        <f t="shared" si="22"/>
        <v>3029.3950000000004</v>
      </c>
      <c r="F204" s="4">
        <f t="shared" si="23"/>
        <v>16.9950000000008</v>
      </c>
      <c r="G204" s="4">
        <f t="shared" si="24"/>
        <v>-16.9950000000008</v>
      </c>
      <c r="W204" s="59">
        <f t="shared" si="25"/>
        <v>9.5025259231361358E-4</v>
      </c>
      <c r="X204" s="59">
        <f t="shared" si="26"/>
        <v>-2.1160129719625729E-3</v>
      </c>
      <c r="Y204" s="59">
        <f t="shared" si="27"/>
        <v>-5.1543999359333998E-3</v>
      </c>
    </row>
    <row r="205" spans="1:25" x14ac:dyDescent="0.3">
      <c r="A205" s="2">
        <v>43822</v>
      </c>
      <c r="B205" s="1">
        <v>71</v>
      </c>
      <c r="C205" s="1">
        <v>1793</v>
      </c>
      <c r="D205" s="1">
        <v>206.18</v>
      </c>
      <c r="E205" s="3">
        <f t="shared" si="22"/>
        <v>3012.3999999999996</v>
      </c>
      <c r="F205" s="4">
        <f t="shared" si="23"/>
        <v>72.399999999999636</v>
      </c>
      <c r="G205" s="4">
        <f t="shared" si="24"/>
        <v>-72.399999999999636</v>
      </c>
      <c r="W205" s="59">
        <f t="shared" si="25"/>
        <v>1.6186637662629479E-2</v>
      </c>
      <c r="X205" s="59">
        <f t="shared" si="26"/>
        <v>3.631796141668333E-3</v>
      </c>
      <c r="Y205" s="59">
        <f t="shared" si="27"/>
        <v>-5.8184640896749096E-4</v>
      </c>
    </row>
    <row r="206" spans="1:25" x14ac:dyDescent="0.3">
      <c r="A206" s="2">
        <v>43819</v>
      </c>
      <c r="B206" s="1">
        <v>69.86</v>
      </c>
      <c r="C206" s="1">
        <v>1786.5</v>
      </c>
      <c r="D206" s="1">
        <v>206.3</v>
      </c>
      <c r="E206" s="3">
        <f t="shared" si="22"/>
        <v>2940</v>
      </c>
      <c r="F206" s="4">
        <f t="shared" si="23"/>
        <v>-23.609999999999673</v>
      </c>
      <c r="G206" s="4">
        <f t="shared" si="24"/>
        <v>23.609999999999673</v>
      </c>
      <c r="W206" s="59">
        <f t="shared" si="25"/>
        <v>-2.0734286912026429E-3</v>
      </c>
      <c r="X206" s="59">
        <f t="shared" si="26"/>
        <v>-3.2301538656514485E-3</v>
      </c>
      <c r="Y206" s="59">
        <f t="shared" si="27"/>
        <v>1.1640315602841364E-3</v>
      </c>
    </row>
    <row r="207" spans="1:25" x14ac:dyDescent="0.3">
      <c r="A207" s="2">
        <v>43818</v>
      </c>
      <c r="B207" s="1">
        <v>70.004999999999995</v>
      </c>
      <c r="C207" s="1">
        <v>1792.28</v>
      </c>
      <c r="D207" s="1">
        <v>206.06</v>
      </c>
      <c r="E207" s="3">
        <f t="shared" si="22"/>
        <v>2963.6099999999997</v>
      </c>
      <c r="F207" s="4">
        <f t="shared" si="23"/>
        <v>-51.199999999999818</v>
      </c>
      <c r="G207" s="4">
        <f t="shared" si="24"/>
        <v>51.199999999999818</v>
      </c>
      <c r="W207" s="59">
        <f t="shared" si="25"/>
        <v>1.0004288386213317E-3</v>
      </c>
      <c r="X207" s="59">
        <f t="shared" si="26"/>
        <v>4.6137021870532981E-3</v>
      </c>
      <c r="Y207" s="59">
        <f t="shared" si="27"/>
        <v>1.7427501970328076E-2</v>
      </c>
    </row>
    <row r="208" spans="1:25" x14ac:dyDescent="0.3">
      <c r="A208" s="2">
        <v>43817</v>
      </c>
      <c r="B208" s="1">
        <v>69.935000000000002</v>
      </c>
      <c r="C208" s="1">
        <v>1784.03</v>
      </c>
      <c r="D208" s="1">
        <v>202.5</v>
      </c>
      <c r="E208" s="3">
        <f t="shared" si="22"/>
        <v>3014.8099999999995</v>
      </c>
      <c r="F208" s="4">
        <f t="shared" si="23"/>
        <v>-103.8350000000014</v>
      </c>
      <c r="G208" s="4">
        <f t="shared" si="24"/>
        <v>103.8350000000014</v>
      </c>
      <c r="W208" s="59">
        <f t="shared" si="25"/>
        <v>-2.3922175114439001E-3</v>
      </c>
      <c r="X208" s="59">
        <f t="shared" si="26"/>
        <v>-3.7094168178348737E-3</v>
      </c>
      <c r="Y208" s="59">
        <f t="shared" si="27"/>
        <v>2.0505096191913125E-2</v>
      </c>
    </row>
    <row r="209" spans="1:25" x14ac:dyDescent="0.3">
      <c r="A209" s="2">
        <v>43816</v>
      </c>
      <c r="B209" s="1">
        <v>70.102500000000006</v>
      </c>
      <c r="C209" s="1">
        <v>1790.66</v>
      </c>
      <c r="D209" s="1">
        <v>198.39</v>
      </c>
      <c r="E209" s="3">
        <f t="shared" si="22"/>
        <v>3118.6450000000009</v>
      </c>
      <c r="F209" s="4">
        <f t="shared" si="23"/>
        <v>40.375000000000455</v>
      </c>
      <c r="G209" s="4">
        <f t="shared" si="24"/>
        <v>-40.375000000000455</v>
      </c>
      <c r="W209" s="59">
        <f t="shared" si="25"/>
        <v>1.9633397350343859E-3</v>
      </c>
      <c r="X209" s="59">
        <f t="shared" si="26"/>
        <v>1.2051147709486315E-2</v>
      </c>
      <c r="Y209" s="59">
        <f t="shared" si="27"/>
        <v>2.3718817105028551E-3</v>
      </c>
    </row>
    <row r="210" spans="1:25" x14ac:dyDescent="0.3">
      <c r="A210" s="2">
        <v>43815</v>
      </c>
      <c r="B210" s="1">
        <v>69.965000000000003</v>
      </c>
      <c r="C210" s="1">
        <v>1769.21</v>
      </c>
      <c r="D210" s="1">
        <v>197.92</v>
      </c>
      <c r="E210" s="3">
        <f t="shared" si="22"/>
        <v>3078.2700000000004</v>
      </c>
      <c r="F210" s="4">
        <f t="shared" si="23"/>
        <v>-0.78499999999849024</v>
      </c>
      <c r="G210" s="4">
        <f t="shared" si="24"/>
        <v>0.78499999999849024</v>
      </c>
      <c r="W210" s="59">
        <f t="shared" si="25"/>
        <v>1.697307462179971E-2</v>
      </c>
      <c r="X210" s="59">
        <f t="shared" si="26"/>
        <v>4.6853618849088891E-3</v>
      </c>
      <c r="Y210" s="59">
        <f t="shared" si="27"/>
        <v>1.9437899961177708E-2</v>
      </c>
    </row>
    <row r="211" spans="1:25" x14ac:dyDescent="0.3">
      <c r="A211" s="2">
        <v>43812</v>
      </c>
      <c r="B211" s="1">
        <v>68.787499999999994</v>
      </c>
      <c r="C211" s="1">
        <v>1760.94</v>
      </c>
      <c r="D211" s="1">
        <v>194.11</v>
      </c>
      <c r="E211" s="3">
        <f t="shared" si="22"/>
        <v>3079.0549999999989</v>
      </c>
      <c r="F211" s="4">
        <f t="shared" si="23"/>
        <v>100.14499999999907</v>
      </c>
      <c r="G211" s="4">
        <f t="shared" si="24"/>
        <v>-100.14499999999907</v>
      </c>
      <c r="W211" s="59">
        <f t="shared" si="25"/>
        <v>1.3501604635948721E-2</v>
      </c>
      <c r="X211" s="59">
        <f t="shared" si="26"/>
        <v>3.464659092327355E-4</v>
      </c>
      <c r="Y211" s="59">
        <f t="shared" si="27"/>
        <v>-1.3508878614512589E-2</v>
      </c>
    </row>
    <row r="212" spans="1:25" x14ac:dyDescent="0.3">
      <c r="A212" s="2">
        <v>43811</v>
      </c>
      <c r="B212" s="1">
        <v>67.864999999999995</v>
      </c>
      <c r="C212" s="1">
        <v>1760.33</v>
      </c>
      <c r="D212" s="1">
        <v>196.75</v>
      </c>
      <c r="E212" s="3">
        <f t="shared" si="22"/>
        <v>2978.91</v>
      </c>
      <c r="F212" s="4">
        <f t="shared" si="23"/>
        <v>142.04499999999916</v>
      </c>
      <c r="G212" s="4">
        <f t="shared" si="24"/>
        <v>-142.04499999999916</v>
      </c>
      <c r="W212" s="59">
        <f t="shared" si="25"/>
        <v>2.5450468341574129E-3</v>
      </c>
      <c r="X212" s="59">
        <f t="shared" si="26"/>
        <v>6.6171997345225598E-3</v>
      </c>
      <c r="Y212" s="59">
        <f t="shared" si="27"/>
        <v>-2.7620111176511742E-2</v>
      </c>
    </row>
    <row r="213" spans="1:25" x14ac:dyDescent="0.3">
      <c r="A213" s="2">
        <v>43810</v>
      </c>
      <c r="B213" s="1">
        <v>67.692499999999995</v>
      </c>
      <c r="C213" s="1">
        <v>1748.72</v>
      </c>
      <c r="D213" s="1">
        <v>202.26</v>
      </c>
      <c r="E213" s="3">
        <f t="shared" si="22"/>
        <v>2836.8650000000007</v>
      </c>
      <c r="F213" s="4">
        <f t="shared" si="23"/>
        <v>19.845000000000709</v>
      </c>
      <c r="G213" s="4">
        <f t="shared" si="24"/>
        <v>-19.845000000000709</v>
      </c>
      <c r="W213" s="59">
        <f t="shared" si="25"/>
        <v>8.4933287568201184E-3</v>
      </c>
      <c r="X213" s="59">
        <f t="shared" si="26"/>
        <v>5.4531046013224678E-3</v>
      </c>
      <c r="Y213" s="59">
        <f t="shared" si="27"/>
        <v>6.8960658275674857E-3</v>
      </c>
    </row>
    <row r="214" spans="1:25" x14ac:dyDescent="0.3">
      <c r="A214" s="2">
        <v>43809</v>
      </c>
      <c r="B214" s="1">
        <v>67.12</v>
      </c>
      <c r="C214" s="1">
        <v>1739.21</v>
      </c>
      <c r="D214" s="1">
        <v>200.87</v>
      </c>
      <c r="E214" s="3">
        <f t="shared" si="22"/>
        <v>2817.02</v>
      </c>
      <c r="F214" s="4">
        <f t="shared" si="23"/>
        <v>8.2999999999997272</v>
      </c>
      <c r="G214" s="4">
        <f t="shared" si="24"/>
        <v>-8.2999999999997272</v>
      </c>
      <c r="W214" s="59">
        <f t="shared" si="25"/>
        <v>5.8274352434354547E-3</v>
      </c>
      <c r="X214" s="59">
        <f t="shared" si="26"/>
        <v>-5.9047615898165304E-3</v>
      </c>
      <c r="Y214" s="59">
        <f t="shared" si="27"/>
        <v>-2.3370886548204745E-3</v>
      </c>
    </row>
    <row r="215" spans="1:25" x14ac:dyDescent="0.3">
      <c r="A215" s="2">
        <v>43808</v>
      </c>
      <c r="B215" s="1">
        <v>66.73</v>
      </c>
      <c r="C215" s="1">
        <v>1749.51</v>
      </c>
      <c r="D215" s="1">
        <v>201.34</v>
      </c>
      <c r="E215" s="3">
        <f t="shared" si="22"/>
        <v>2808.7200000000003</v>
      </c>
      <c r="F215" s="4">
        <f t="shared" si="23"/>
        <v>-57.354999999998654</v>
      </c>
      <c r="G215" s="4">
        <f t="shared" si="24"/>
        <v>57.354999999998654</v>
      </c>
      <c r="W215" s="59">
        <f t="shared" si="25"/>
        <v>-1.4099149165929161E-2</v>
      </c>
      <c r="X215" s="59">
        <f t="shared" si="26"/>
        <v>-1.1939072170024094E-3</v>
      </c>
      <c r="Y215" s="59">
        <f t="shared" si="27"/>
        <v>1.4413879579940852E-3</v>
      </c>
    </row>
    <row r="216" spans="1:25" x14ac:dyDescent="0.3">
      <c r="A216" s="2">
        <v>43805</v>
      </c>
      <c r="B216" s="1">
        <v>67.677499999999995</v>
      </c>
      <c r="C216" s="1">
        <v>1751.6</v>
      </c>
      <c r="D216" s="1">
        <v>201.05</v>
      </c>
      <c r="E216" s="3">
        <f t="shared" si="22"/>
        <v>2866.0749999999989</v>
      </c>
      <c r="F216" s="4">
        <f t="shared" si="23"/>
        <v>52.564999999999145</v>
      </c>
      <c r="G216" s="4">
        <f t="shared" si="24"/>
        <v>-52.564999999999145</v>
      </c>
      <c r="W216" s="59">
        <f t="shared" si="25"/>
        <v>1.9132023639153513E-2</v>
      </c>
      <c r="X216" s="59">
        <f t="shared" si="26"/>
        <v>6.3687186926472406E-3</v>
      </c>
      <c r="Y216" s="59">
        <f t="shared" si="27"/>
        <v>8.441397744194605E-3</v>
      </c>
    </row>
    <row r="217" spans="1:25" x14ac:dyDescent="0.3">
      <c r="A217" s="2">
        <v>43804</v>
      </c>
      <c r="B217" s="1">
        <v>66.394999999999996</v>
      </c>
      <c r="C217" s="1">
        <v>1740.48</v>
      </c>
      <c r="D217" s="1">
        <v>199.36</v>
      </c>
      <c r="E217" s="3">
        <f t="shared" si="22"/>
        <v>2813.5099999999998</v>
      </c>
      <c r="F217" s="4">
        <f t="shared" si="23"/>
        <v>-5.4200000000000728</v>
      </c>
      <c r="G217" s="4">
        <f t="shared" si="24"/>
        <v>5.4200000000000728</v>
      </c>
      <c r="W217" s="59">
        <f t="shared" si="25"/>
        <v>1.4564468934846784E-2</v>
      </c>
      <c r="X217" s="59">
        <f t="shared" si="26"/>
        <v>-1.1544840422407608E-2</v>
      </c>
      <c r="Y217" s="59">
        <f t="shared" si="27"/>
        <v>3.2657601813635253E-3</v>
      </c>
    </row>
    <row r="218" spans="1:25" x14ac:dyDescent="0.3">
      <c r="A218" s="2">
        <v>43803</v>
      </c>
      <c r="B218" s="1">
        <v>65.435000000000002</v>
      </c>
      <c r="C218" s="1">
        <v>1760.69</v>
      </c>
      <c r="D218" s="1">
        <v>198.71</v>
      </c>
      <c r="E218" s="3">
        <f t="shared" si="22"/>
        <v>2818.93</v>
      </c>
      <c r="F218" s="4">
        <f t="shared" si="23"/>
        <v>12.2849999999994</v>
      </c>
      <c r="G218" s="4">
        <f t="shared" si="24"/>
        <v>-12.2849999999994</v>
      </c>
      <c r="W218" s="59">
        <f t="shared" si="25"/>
        <v>8.7876388135858883E-3</v>
      </c>
      <c r="X218" s="59">
        <f t="shared" si="26"/>
        <v>-5.2511697854564238E-3</v>
      </c>
      <c r="Y218" s="59">
        <f t="shared" si="27"/>
        <v>-5.5341736627412058E-4</v>
      </c>
    </row>
    <row r="219" spans="1:25" x14ac:dyDescent="0.3">
      <c r="A219" s="2">
        <v>43802</v>
      </c>
      <c r="B219" s="1">
        <v>64.862499999999997</v>
      </c>
      <c r="C219" s="1">
        <v>1769.96</v>
      </c>
      <c r="D219" s="1">
        <v>198.82</v>
      </c>
      <c r="E219" s="3">
        <f t="shared" si="22"/>
        <v>2806.6450000000004</v>
      </c>
      <c r="F219" s="4">
        <f t="shared" si="23"/>
        <v>-64.555000000000291</v>
      </c>
      <c r="G219" s="4">
        <f t="shared" si="24"/>
        <v>64.555000000000291</v>
      </c>
      <c r="W219" s="59">
        <f t="shared" si="25"/>
        <v>-1.7990974358069328E-2</v>
      </c>
      <c r="X219" s="59">
        <f t="shared" si="26"/>
        <v>-6.5548895006978265E-3</v>
      </c>
      <c r="Y219" s="59">
        <f t="shared" si="27"/>
        <v>-4.4163476377704469E-3</v>
      </c>
    </row>
    <row r="220" spans="1:25" x14ac:dyDescent="0.3">
      <c r="A220" s="2">
        <v>43801</v>
      </c>
      <c r="B220" s="1">
        <v>66.040000000000006</v>
      </c>
      <c r="C220" s="1">
        <v>1781.6</v>
      </c>
      <c r="D220" s="1">
        <v>199.7</v>
      </c>
      <c r="E220" s="3">
        <f t="shared" si="22"/>
        <v>2871.2000000000007</v>
      </c>
      <c r="F220" s="4">
        <f t="shared" si="23"/>
        <v>-38.224999999999909</v>
      </c>
      <c r="G220" s="4">
        <f t="shared" si="24"/>
        <v>38.224999999999909</v>
      </c>
      <c r="W220" s="59">
        <f t="shared" si="25"/>
        <v>-1.1629569733336675E-2</v>
      </c>
      <c r="X220" s="59">
        <f t="shared" si="26"/>
        <v>-1.071917364936468E-2</v>
      </c>
      <c r="Y220" s="59">
        <f t="shared" si="27"/>
        <v>-9.6676887926605264E-3</v>
      </c>
    </row>
    <row r="221" spans="1:25" x14ac:dyDescent="0.3">
      <c r="A221" s="2">
        <v>43798</v>
      </c>
      <c r="B221" s="1">
        <v>66.8125</v>
      </c>
      <c r="C221" s="1">
        <v>1800.8</v>
      </c>
      <c r="D221" s="1">
        <v>201.64</v>
      </c>
      <c r="E221" s="3">
        <f t="shared" si="22"/>
        <v>2909.4250000000006</v>
      </c>
      <c r="F221" s="4">
        <f t="shared" si="23"/>
        <v>-35.59499999999889</v>
      </c>
      <c r="G221" s="4">
        <f t="shared" si="24"/>
        <v>35.59499999999889</v>
      </c>
      <c r="W221" s="59">
        <f t="shared" si="25"/>
        <v>-2.2052373959558008E-3</v>
      </c>
      <c r="X221" s="59">
        <f t="shared" si="26"/>
        <v>-9.7864738570699657E-3</v>
      </c>
      <c r="Y221" s="59">
        <f t="shared" si="27"/>
        <v>-1.7837681867747797E-3</v>
      </c>
    </row>
    <row r="222" spans="1:25" x14ac:dyDescent="0.3">
      <c r="A222" s="2">
        <v>43797</v>
      </c>
      <c r="B222" s="1">
        <v>66.959999999999994</v>
      </c>
      <c r="C222" s="1">
        <v>1818.51</v>
      </c>
      <c r="D222" s="1">
        <v>202</v>
      </c>
      <c r="E222" s="3">
        <f t="shared" si="22"/>
        <v>2945.0199999999995</v>
      </c>
      <c r="F222" s="4">
        <f t="shared" si="23"/>
        <v>0</v>
      </c>
      <c r="G222" s="4">
        <f t="shared" si="24"/>
        <v>0</v>
      </c>
      <c r="W222" s="59">
        <f t="shared" si="25"/>
        <v>0</v>
      </c>
      <c r="X222" s="59">
        <f t="shared" si="26"/>
        <v>0</v>
      </c>
      <c r="Y222" s="59">
        <f t="shared" si="27"/>
        <v>0</v>
      </c>
    </row>
    <row r="223" spans="1:25" x14ac:dyDescent="0.3">
      <c r="A223" s="2">
        <v>43796</v>
      </c>
      <c r="B223" s="1">
        <v>66.959999999999994</v>
      </c>
      <c r="C223" s="1">
        <v>1818.51</v>
      </c>
      <c r="D223" s="1">
        <v>202</v>
      </c>
      <c r="E223" s="3">
        <f t="shared" si="22"/>
        <v>2945.0199999999995</v>
      </c>
      <c r="F223" s="4">
        <f t="shared" si="23"/>
        <v>26.914999999998599</v>
      </c>
      <c r="G223" s="4">
        <f t="shared" si="24"/>
        <v>-26.914999999998599</v>
      </c>
      <c r="W223" s="59">
        <f t="shared" si="25"/>
        <v>1.3342802199318405E-2</v>
      </c>
      <c r="X223" s="59">
        <f t="shared" si="26"/>
        <v>1.1932266205093953E-2</v>
      </c>
      <c r="Y223" s="59">
        <f t="shared" si="27"/>
        <v>1.5113637810048106E-2</v>
      </c>
    </row>
    <row r="224" spans="1:25" x14ac:dyDescent="0.3">
      <c r="A224" s="2">
        <v>43795</v>
      </c>
      <c r="B224" s="1">
        <v>66.072500000000005</v>
      </c>
      <c r="C224" s="1">
        <v>1796.94</v>
      </c>
      <c r="D224" s="1">
        <v>198.97</v>
      </c>
      <c r="E224" s="3">
        <f t="shared" si="22"/>
        <v>2918.1050000000009</v>
      </c>
      <c r="F224" s="4">
        <f t="shared" si="23"/>
        <v>36.600000000000364</v>
      </c>
      <c r="G224" s="4">
        <f t="shared" si="24"/>
        <v>-36.600000000000364</v>
      </c>
      <c r="W224" s="59">
        <f t="shared" si="25"/>
        <v>-7.8393346105530091E-3</v>
      </c>
      <c r="X224" s="59">
        <f t="shared" si="26"/>
        <v>1.2938530099757513E-2</v>
      </c>
      <c r="Y224" s="59">
        <f t="shared" si="27"/>
        <v>-4.112755320700886E-3</v>
      </c>
    </row>
    <row r="225" spans="1:25" x14ac:dyDescent="0.3">
      <c r="A225" s="2">
        <v>43794</v>
      </c>
      <c r="B225" s="1">
        <v>66.592500000000001</v>
      </c>
      <c r="C225" s="1">
        <v>1773.84</v>
      </c>
      <c r="D225" s="1">
        <v>199.79</v>
      </c>
      <c r="E225" s="3">
        <f t="shared" si="22"/>
        <v>2881.5050000000006</v>
      </c>
      <c r="F225" s="4">
        <f t="shared" si="23"/>
        <v>94.2150000000006</v>
      </c>
      <c r="G225" s="4">
        <f t="shared" si="24"/>
        <v>-94.2150000000006</v>
      </c>
      <c r="W225" s="59">
        <f t="shared" si="25"/>
        <v>1.7381863348771995E-2</v>
      </c>
      <c r="X225" s="59">
        <f t="shared" si="26"/>
        <v>1.597961015740303E-2</v>
      </c>
      <c r="Y225" s="59">
        <f t="shared" si="27"/>
        <v>4.8669221278583854E-3</v>
      </c>
    </row>
    <row r="226" spans="1:25" x14ac:dyDescent="0.3">
      <c r="A226" s="2">
        <v>43791</v>
      </c>
      <c r="B226" s="1">
        <v>65.444999999999993</v>
      </c>
      <c r="C226" s="1">
        <v>1745.72</v>
      </c>
      <c r="D226" s="1">
        <v>198.82</v>
      </c>
      <c r="E226" s="3">
        <f t="shared" si="22"/>
        <v>2787.29</v>
      </c>
      <c r="F226" s="4">
        <f t="shared" si="23"/>
        <v>1.3450000000002547</v>
      </c>
      <c r="G226" s="4">
        <f t="shared" si="24"/>
        <v>-1.3450000000002547</v>
      </c>
      <c r="W226" s="59">
        <f t="shared" si="25"/>
        <v>-8.782146080777689E-4</v>
      </c>
      <c r="X226" s="59">
        <f t="shared" si="26"/>
        <v>6.3268255510539806E-3</v>
      </c>
      <c r="Y226" s="59">
        <f t="shared" si="27"/>
        <v>4.4864599513552558E-3</v>
      </c>
    </row>
    <row r="227" spans="1:25" x14ac:dyDescent="0.3">
      <c r="A227" s="2">
        <v>43790</v>
      </c>
      <c r="B227" s="1">
        <v>65.502499999999998</v>
      </c>
      <c r="C227" s="1">
        <v>1734.71</v>
      </c>
      <c r="D227" s="1">
        <v>197.93</v>
      </c>
      <c r="E227" s="3">
        <f t="shared" si="22"/>
        <v>2785.9449999999997</v>
      </c>
      <c r="F227" s="4">
        <f t="shared" si="23"/>
        <v>-44.789999999999964</v>
      </c>
      <c r="G227" s="4">
        <f t="shared" si="24"/>
        <v>44.789999999999964</v>
      </c>
      <c r="W227" s="59">
        <f t="shared" si="25"/>
        <v>-4.4935338367513402E-3</v>
      </c>
      <c r="X227" s="59">
        <f t="shared" si="26"/>
        <v>-6.2179820135316232E-3</v>
      </c>
      <c r="Y227" s="59">
        <f t="shared" si="27"/>
        <v>2.1242168618775155E-3</v>
      </c>
    </row>
    <row r="228" spans="1:25" x14ac:dyDescent="0.3">
      <c r="A228" s="2">
        <v>43789</v>
      </c>
      <c r="B228" s="1">
        <v>65.797499999999999</v>
      </c>
      <c r="C228" s="1">
        <v>1745.53</v>
      </c>
      <c r="D228" s="1">
        <v>197.51</v>
      </c>
      <c r="E228" s="3">
        <f t="shared" si="22"/>
        <v>2830.7349999999997</v>
      </c>
      <c r="F228" s="4">
        <f t="shared" si="23"/>
        <v>-17.070000000000618</v>
      </c>
      <c r="G228" s="4">
        <f t="shared" si="24"/>
        <v>17.070000000000618</v>
      </c>
      <c r="W228" s="59">
        <f t="shared" si="25"/>
        <v>-1.1709735672908094E-2</v>
      </c>
      <c r="X228" s="59">
        <f t="shared" si="26"/>
        <v>-4.1505696577043994E-3</v>
      </c>
      <c r="Y228" s="59">
        <f t="shared" si="27"/>
        <v>-9.1223574424374523E-3</v>
      </c>
    </row>
    <row r="229" spans="1:25" x14ac:dyDescent="0.3">
      <c r="A229" s="2">
        <v>43788</v>
      </c>
      <c r="B229" s="1">
        <v>66.572500000000005</v>
      </c>
      <c r="C229" s="1">
        <v>1752.79</v>
      </c>
      <c r="D229" s="1">
        <v>199.32</v>
      </c>
      <c r="E229" s="3">
        <f t="shared" si="22"/>
        <v>2847.8050000000003</v>
      </c>
      <c r="F229" s="4">
        <f t="shared" si="23"/>
        <v>-48.005000000000109</v>
      </c>
      <c r="G229" s="4">
        <f t="shared" si="24"/>
        <v>48.005000000000109</v>
      </c>
      <c r="W229" s="59">
        <f t="shared" si="25"/>
        <v>-3.037179634604965E-3</v>
      </c>
      <c r="X229" s="59">
        <f t="shared" si="26"/>
        <v>1.4834594301040089E-4</v>
      </c>
      <c r="Y229" s="59">
        <f t="shared" si="27"/>
        <v>9.679446413822651E-3</v>
      </c>
    </row>
    <row r="230" spans="1:25" x14ac:dyDescent="0.3">
      <c r="A230" s="2">
        <v>43787</v>
      </c>
      <c r="B230" s="1">
        <v>66.775000000000006</v>
      </c>
      <c r="C230" s="1">
        <v>1752.53</v>
      </c>
      <c r="D230" s="1">
        <v>197.4</v>
      </c>
      <c r="E230" s="3">
        <f t="shared" si="22"/>
        <v>2895.8100000000004</v>
      </c>
      <c r="F230" s="4">
        <f t="shared" si="23"/>
        <v>-3.1699999999991633</v>
      </c>
      <c r="G230" s="4">
        <f t="shared" si="24"/>
        <v>3.1699999999991633</v>
      </c>
      <c r="W230" s="59">
        <f t="shared" si="25"/>
        <v>5.0294742509306009E-3</v>
      </c>
      <c r="X230" s="59">
        <f t="shared" si="26"/>
        <v>7.4684913674214629E-3</v>
      </c>
      <c r="Y230" s="59">
        <f t="shared" si="27"/>
        <v>1.171987937031576E-2</v>
      </c>
    </row>
    <row r="231" spans="1:25" x14ac:dyDescent="0.3">
      <c r="A231" s="2">
        <v>43784</v>
      </c>
      <c r="B231" s="1">
        <v>66.44</v>
      </c>
      <c r="C231" s="1">
        <v>1739.49</v>
      </c>
      <c r="D231" s="1">
        <v>195.1</v>
      </c>
      <c r="E231" s="3">
        <f t="shared" si="22"/>
        <v>2898.9799999999996</v>
      </c>
      <c r="F231" s="4">
        <f t="shared" si="23"/>
        <v>-30.220000000000255</v>
      </c>
      <c r="G231" s="4">
        <f t="shared" si="24"/>
        <v>30.220000000000255</v>
      </c>
      <c r="W231" s="59">
        <f t="shared" si="25"/>
        <v>1.1809372671647542E-2</v>
      </c>
      <c r="X231" s="59">
        <f t="shared" si="26"/>
        <v>-8.6489438971956555E-3</v>
      </c>
      <c r="Y231" s="59">
        <f t="shared" si="27"/>
        <v>1.0045158516775104E-2</v>
      </c>
    </row>
    <row r="232" spans="1:25" x14ac:dyDescent="0.3">
      <c r="A232" s="2">
        <v>43783</v>
      </c>
      <c r="B232" s="1">
        <v>65.66</v>
      </c>
      <c r="C232" s="1">
        <v>1754.6</v>
      </c>
      <c r="D232" s="1">
        <v>193.15</v>
      </c>
      <c r="E232" s="3">
        <f t="shared" si="22"/>
        <v>2929.2</v>
      </c>
      <c r="F232" s="4">
        <f t="shared" si="23"/>
        <v>-19.095000000000255</v>
      </c>
      <c r="G232" s="4">
        <f t="shared" si="24"/>
        <v>19.095000000000255</v>
      </c>
      <c r="W232" s="59">
        <f t="shared" si="25"/>
        <v>-6.9435501222121065E-3</v>
      </c>
      <c r="X232" s="59">
        <f t="shared" si="26"/>
        <v>8.4955716955914908E-4</v>
      </c>
      <c r="Y232" s="59">
        <f t="shared" si="27"/>
        <v>-2.0707149217231063E-4</v>
      </c>
    </row>
    <row r="233" spans="1:25" x14ac:dyDescent="0.3">
      <c r="A233" s="2">
        <v>43782</v>
      </c>
      <c r="B233" s="1">
        <v>66.117500000000007</v>
      </c>
      <c r="C233" s="1">
        <v>1753.11</v>
      </c>
      <c r="D233" s="1">
        <v>193.19</v>
      </c>
      <c r="E233" s="3">
        <f t="shared" si="22"/>
        <v>2948.2950000000001</v>
      </c>
      <c r="F233" s="4">
        <f t="shared" si="23"/>
        <v>7.1950000000001637</v>
      </c>
      <c r="G233" s="4">
        <f t="shared" si="24"/>
        <v>-7.1950000000001637</v>
      </c>
      <c r="W233" s="59">
        <f t="shared" si="25"/>
        <v>9.5360029656964742E-3</v>
      </c>
      <c r="X233" s="59">
        <f t="shared" si="26"/>
        <v>-1.4097783549125498E-2</v>
      </c>
      <c r="Y233" s="59">
        <f t="shared" si="27"/>
        <v>-6.6037489123283053E-3</v>
      </c>
    </row>
    <row r="234" spans="1:25" x14ac:dyDescent="0.3">
      <c r="A234" s="2">
        <v>43781</v>
      </c>
      <c r="B234" s="1">
        <v>65.489999999999995</v>
      </c>
      <c r="C234" s="1">
        <v>1778</v>
      </c>
      <c r="D234" s="1">
        <v>194.47</v>
      </c>
      <c r="E234" s="3">
        <f t="shared" si="22"/>
        <v>2941.1</v>
      </c>
      <c r="F234" s="4">
        <f t="shared" si="23"/>
        <v>-87.5</v>
      </c>
      <c r="G234" s="4">
        <f t="shared" si="24"/>
        <v>87.5</v>
      </c>
      <c r="W234" s="59">
        <f t="shared" si="25"/>
        <v>-9.1575097974667193E-4</v>
      </c>
      <c r="X234" s="59">
        <f t="shared" si="26"/>
        <v>3.5778213478839024E-3</v>
      </c>
      <c r="Y234" s="59">
        <f t="shared" si="27"/>
        <v>2.5308578470678463E-2</v>
      </c>
    </row>
    <row r="235" spans="1:25" x14ac:dyDescent="0.3">
      <c r="A235" s="2">
        <v>43780</v>
      </c>
      <c r="B235" s="1">
        <v>65.55</v>
      </c>
      <c r="C235" s="1">
        <v>1771.65</v>
      </c>
      <c r="D235" s="1">
        <v>189.61</v>
      </c>
      <c r="E235" s="3">
        <f t="shared" si="22"/>
        <v>3028.6</v>
      </c>
      <c r="F235" s="4">
        <f t="shared" si="23"/>
        <v>21.889999999999873</v>
      </c>
      <c r="G235" s="4">
        <f t="shared" si="24"/>
        <v>-21.889999999999873</v>
      </c>
      <c r="W235" s="59">
        <f t="shared" si="25"/>
        <v>7.8876236940047841E-3</v>
      </c>
      <c r="X235" s="59">
        <f t="shared" si="26"/>
        <v>-7.999975203459686E-3</v>
      </c>
      <c r="Y235" s="59">
        <f t="shared" si="27"/>
        <v>-6.4660496017939157E-3</v>
      </c>
    </row>
    <row r="236" spans="1:25" x14ac:dyDescent="0.3">
      <c r="A236" s="2">
        <v>43777</v>
      </c>
      <c r="B236" s="1">
        <v>65.034999999999997</v>
      </c>
      <c r="C236" s="1">
        <v>1785.88</v>
      </c>
      <c r="D236" s="1">
        <v>190.84</v>
      </c>
      <c r="E236" s="3">
        <f t="shared" si="22"/>
        <v>3006.71</v>
      </c>
      <c r="F236" s="4">
        <f t="shared" si="23"/>
        <v>-4.1649999999999636</v>
      </c>
      <c r="G236" s="4">
        <f t="shared" si="24"/>
        <v>4.1649999999999636</v>
      </c>
      <c r="W236" s="59">
        <f t="shared" si="25"/>
        <v>2.7330309369011079E-3</v>
      </c>
      <c r="X236" s="59">
        <f t="shared" si="26"/>
        <v>-1.2982363717920389E-3</v>
      </c>
      <c r="Y236" s="59">
        <f t="shared" si="27"/>
        <v>2.2032217903609659E-3</v>
      </c>
    </row>
    <row r="237" spans="1:25" x14ac:dyDescent="0.3">
      <c r="A237" s="2">
        <v>43776</v>
      </c>
      <c r="B237" s="1">
        <v>64.857500000000002</v>
      </c>
      <c r="C237" s="1">
        <v>1788.2</v>
      </c>
      <c r="D237" s="1">
        <v>190.42</v>
      </c>
      <c r="E237" s="3">
        <f t="shared" si="22"/>
        <v>3010.875</v>
      </c>
      <c r="F237" s="4">
        <f t="shared" si="23"/>
        <v>34.835000000000036</v>
      </c>
      <c r="G237" s="4">
        <f t="shared" si="24"/>
        <v>-34.835000000000036</v>
      </c>
      <c r="W237" s="59">
        <f t="shared" si="25"/>
        <v>8.4774154320310414E-3</v>
      </c>
      <c r="X237" s="59">
        <f t="shared" si="26"/>
        <v>-4.2243719994411845E-3</v>
      </c>
      <c r="Y237" s="59">
        <f t="shared" si="27"/>
        <v>-5.9167122891127695E-3</v>
      </c>
    </row>
    <row r="238" spans="1:25" x14ac:dyDescent="0.3">
      <c r="A238" s="2">
        <v>43775</v>
      </c>
      <c r="B238" s="1">
        <v>64.31</v>
      </c>
      <c r="C238" s="1">
        <v>1795.77</v>
      </c>
      <c r="D238" s="1">
        <v>191.55</v>
      </c>
      <c r="E238" s="3">
        <f t="shared" si="22"/>
        <v>2976.04</v>
      </c>
      <c r="F238" s="4">
        <f t="shared" si="23"/>
        <v>44.894999999999527</v>
      </c>
      <c r="G238" s="4">
        <f t="shared" si="24"/>
        <v>-44.894999999999527</v>
      </c>
      <c r="W238" s="59">
        <f t="shared" si="25"/>
        <v>4.2770768776131507E-4</v>
      </c>
      <c r="X238" s="59">
        <f t="shared" si="26"/>
        <v>-3.302314619185434E-3</v>
      </c>
      <c r="Y238" s="59">
        <f t="shared" si="27"/>
        <v>-1.4357413547258996E-2</v>
      </c>
    </row>
    <row r="239" spans="1:25" x14ac:dyDescent="0.3">
      <c r="A239" s="2">
        <v>43774</v>
      </c>
      <c r="B239" s="1">
        <v>64.282499999999999</v>
      </c>
      <c r="C239" s="1">
        <v>1801.71</v>
      </c>
      <c r="D239" s="1">
        <v>194.32</v>
      </c>
      <c r="E239" s="3">
        <f t="shared" si="22"/>
        <v>2931.1450000000004</v>
      </c>
      <c r="F239" s="4">
        <f t="shared" si="23"/>
        <v>-2.5249999999991815</v>
      </c>
      <c r="G239" s="4">
        <f t="shared" si="24"/>
        <v>2.5249999999991815</v>
      </c>
      <c r="W239" s="59">
        <f t="shared" si="25"/>
        <v>-1.4379265248897698E-3</v>
      </c>
      <c r="X239" s="59">
        <f t="shared" si="26"/>
        <v>-1.6359944531301488E-3</v>
      </c>
      <c r="Y239" s="59">
        <f t="shared" si="27"/>
        <v>-2.0563445453000316E-3</v>
      </c>
    </row>
    <row r="240" spans="1:25" x14ac:dyDescent="0.3">
      <c r="A240" s="2">
        <v>43773</v>
      </c>
      <c r="B240" s="1">
        <v>64.375</v>
      </c>
      <c r="C240" s="1">
        <v>1804.66</v>
      </c>
      <c r="D240" s="1">
        <v>194.72</v>
      </c>
      <c r="E240" s="3">
        <f t="shared" si="22"/>
        <v>2933.6699999999996</v>
      </c>
      <c r="F240" s="4">
        <f t="shared" si="23"/>
        <v>25.4399999999996</v>
      </c>
      <c r="G240" s="4">
        <f t="shared" si="24"/>
        <v>-25.4399999999996</v>
      </c>
      <c r="W240" s="59">
        <f t="shared" si="25"/>
        <v>6.5456479325438485E-3</v>
      </c>
      <c r="X240" s="59">
        <f t="shared" si="26"/>
        <v>7.3524426763984388E-3</v>
      </c>
      <c r="Y240" s="59">
        <f t="shared" si="27"/>
        <v>5.6651539472915699E-3</v>
      </c>
    </row>
    <row r="241" spans="1:25" x14ac:dyDescent="0.3">
      <c r="A241" s="2">
        <v>43770</v>
      </c>
      <c r="B241" s="1">
        <v>63.954999999999998</v>
      </c>
      <c r="C241" s="1">
        <v>1791.44</v>
      </c>
      <c r="D241" s="1">
        <v>193.62</v>
      </c>
      <c r="E241" s="3">
        <f t="shared" si="22"/>
        <v>2908.23</v>
      </c>
      <c r="F241" s="4">
        <f t="shared" si="23"/>
        <v>78.410000000000309</v>
      </c>
      <c r="G241" s="4">
        <f t="shared" si="24"/>
        <v>-78.410000000000309</v>
      </c>
      <c r="W241" s="59">
        <f t="shared" si="25"/>
        <v>2.7985495935558668E-2</v>
      </c>
      <c r="X241" s="59">
        <f t="shared" si="26"/>
        <v>8.2845685570511422E-3</v>
      </c>
      <c r="Y241" s="59">
        <f t="shared" si="27"/>
        <v>1.0226683465361453E-2</v>
      </c>
    </row>
    <row r="242" spans="1:25" x14ac:dyDescent="0.3">
      <c r="A242" s="2">
        <v>43769</v>
      </c>
      <c r="B242" s="1">
        <v>62.19</v>
      </c>
      <c r="C242" s="1">
        <v>1776.66</v>
      </c>
      <c r="D242" s="1">
        <v>191.65</v>
      </c>
      <c r="E242" s="3">
        <f t="shared" si="22"/>
        <v>2829.8199999999997</v>
      </c>
      <c r="F242" s="4">
        <f t="shared" si="23"/>
        <v>-5.9099999999998545</v>
      </c>
      <c r="G242" s="4">
        <f t="shared" si="24"/>
        <v>5.9099999999998545</v>
      </c>
      <c r="W242" s="59">
        <f t="shared" si="25"/>
        <v>2.2357746045398162E-2</v>
      </c>
      <c r="X242" s="59">
        <f t="shared" si="26"/>
        <v>-1.8725491532971385E-3</v>
      </c>
      <c r="Y242" s="59">
        <f t="shared" si="27"/>
        <v>1.7899925146561253E-2</v>
      </c>
    </row>
    <row r="243" spans="1:25" x14ac:dyDescent="0.3">
      <c r="A243" s="2">
        <v>43768</v>
      </c>
      <c r="B243" s="1">
        <v>60.814999999999998</v>
      </c>
      <c r="C243" s="1">
        <v>1779.99</v>
      </c>
      <c r="D243" s="1">
        <v>188.25</v>
      </c>
      <c r="E243" s="3">
        <f t="shared" si="22"/>
        <v>2835.7299999999996</v>
      </c>
      <c r="F243" s="4">
        <f t="shared" si="23"/>
        <v>55.384999999999309</v>
      </c>
      <c r="G243" s="4">
        <f t="shared" si="24"/>
        <v>-55.384999999999309</v>
      </c>
      <c r="W243" s="59">
        <f t="shared" si="25"/>
        <v>-1.2331723373965468E-4</v>
      </c>
      <c r="X243" s="59">
        <f t="shared" si="26"/>
        <v>9.7553487678986514E-3</v>
      </c>
      <c r="Y243" s="59">
        <f t="shared" si="27"/>
        <v>-5.6150163418156361E-3</v>
      </c>
    </row>
    <row r="244" spans="1:25" x14ac:dyDescent="0.3">
      <c r="A244" s="2">
        <v>43767</v>
      </c>
      <c r="B244" s="1">
        <v>60.822499999999998</v>
      </c>
      <c r="C244" s="1">
        <v>1762.71</v>
      </c>
      <c r="D244" s="1">
        <v>189.31</v>
      </c>
      <c r="E244" s="3">
        <f t="shared" si="22"/>
        <v>2780.3450000000003</v>
      </c>
      <c r="F244" s="4">
        <f t="shared" si="23"/>
        <v>-98.9399999999996</v>
      </c>
      <c r="G244" s="4">
        <f t="shared" si="24"/>
        <v>98.9399999999996</v>
      </c>
      <c r="W244" s="59">
        <f t="shared" si="25"/>
        <v>-2.3399532095262503E-2</v>
      </c>
      <c r="X244" s="59">
        <f t="shared" si="26"/>
        <v>-8.1191703124889551E-3</v>
      </c>
      <c r="Y244" s="59">
        <f t="shared" si="27"/>
        <v>-4.7529773015927724E-4</v>
      </c>
    </row>
    <row r="245" spans="1:25" x14ac:dyDescent="0.3">
      <c r="A245" s="2">
        <v>43766</v>
      </c>
      <c r="B245" s="1">
        <v>62.262500000000003</v>
      </c>
      <c r="C245" s="1">
        <v>1777.08</v>
      </c>
      <c r="D245" s="1">
        <v>189.4</v>
      </c>
      <c r="E245" s="3">
        <f t="shared" si="22"/>
        <v>2879.2849999999999</v>
      </c>
      <c r="F245" s="4">
        <f t="shared" si="23"/>
        <v>32.174999999999727</v>
      </c>
      <c r="G245" s="4">
        <f t="shared" si="24"/>
        <v>-32.174999999999727</v>
      </c>
      <c r="W245" s="59">
        <f t="shared" si="25"/>
        <v>9.9671950788857641E-3</v>
      </c>
      <c r="X245" s="59">
        <f t="shared" si="26"/>
        <v>8.9023623707742503E-3</v>
      </c>
      <c r="Y245" s="59">
        <f t="shared" si="27"/>
        <v>8.0044955465468429E-3</v>
      </c>
    </row>
    <row r="246" spans="1:25" x14ac:dyDescent="0.3">
      <c r="A246" s="2">
        <v>43763</v>
      </c>
      <c r="B246" s="1">
        <v>61.645000000000003</v>
      </c>
      <c r="C246" s="1">
        <v>1761.33</v>
      </c>
      <c r="D246" s="1">
        <v>187.89</v>
      </c>
      <c r="E246" s="3">
        <f t="shared" si="22"/>
        <v>2847.11</v>
      </c>
      <c r="F246" s="4">
        <f t="shared" si="23"/>
        <v>-31.599999999999454</v>
      </c>
      <c r="G246" s="4">
        <f t="shared" si="24"/>
        <v>31.599999999999454</v>
      </c>
      <c r="W246" s="59">
        <f t="shared" si="25"/>
        <v>1.2241053781442197E-2</v>
      </c>
      <c r="X246" s="59">
        <f t="shared" si="26"/>
        <v>-1.0982265084117995E-2</v>
      </c>
      <c r="Y246" s="59">
        <f t="shared" si="27"/>
        <v>8.0690848479217005E-3</v>
      </c>
    </row>
    <row r="247" spans="1:25" x14ac:dyDescent="0.3">
      <c r="A247" s="2">
        <v>43762</v>
      </c>
      <c r="B247" s="1">
        <v>60.895000000000003</v>
      </c>
      <c r="C247" s="1">
        <v>1780.78</v>
      </c>
      <c r="D247" s="1">
        <v>186.38</v>
      </c>
      <c r="E247" s="3">
        <f t="shared" si="22"/>
        <v>2878.7099999999996</v>
      </c>
      <c r="F247" s="4">
        <f t="shared" si="23"/>
        <v>37.619999999999436</v>
      </c>
      <c r="G247" s="4">
        <f t="shared" si="24"/>
        <v>-37.619999999999436</v>
      </c>
      <c r="W247" s="59">
        <f t="shared" si="25"/>
        <v>1.643520790692368E-3</v>
      </c>
      <c r="X247" s="59">
        <f t="shared" si="26"/>
        <v>1.0505466437367007E-2</v>
      </c>
      <c r="Y247" s="59">
        <f t="shared" si="27"/>
        <v>1.2348000387834232E-3</v>
      </c>
    </row>
    <row r="248" spans="1:25" x14ac:dyDescent="0.3">
      <c r="A248" s="2">
        <v>43761</v>
      </c>
      <c r="B248" s="1">
        <v>60.795000000000002</v>
      </c>
      <c r="C248" s="1">
        <v>1762.17</v>
      </c>
      <c r="D248" s="1">
        <v>186.15</v>
      </c>
      <c r="E248" s="3">
        <f t="shared" si="22"/>
        <v>2841.09</v>
      </c>
      <c r="F248" s="4">
        <f t="shared" si="23"/>
        <v>-43.069999999999709</v>
      </c>
      <c r="G248" s="4">
        <f t="shared" si="24"/>
        <v>43.069999999999709</v>
      </c>
      <c r="W248" s="59">
        <f t="shared" si="25"/>
        <v>1.3329667083379933E-2</v>
      </c>
      <c r="X248" s="59">
        <f t="shared" si="26"/>
        <v>-2.0181984797529562E-3</v>
      </c>
      <c r="Y248" s="59">
        <f t="shared" si="27"/>
        <v>2.0679724161969133E-2</v>
      </c>
    </row>
    <row r="249" spans="1:25" x14ac:dyDescent="0.3">
      <c r="A249" s="2">
        <v>43760</v>
      </c>
      <c r="B249" s="1">
        <v>59.99</v>
      </c>
      <c r="C249" s="1">
        <v>1765.73</v>
      </c>
      <c r="D249" s="1">
        <v>182.34</v>
      </c>
      <c r="E249" s="3">
        <f t="shared" si="22"/>
        <v>2884.16</v>
      </c>
      <c r="F249" s="4">
        <f t="shared" si="23"/>
        <v>101.66499999999996</v>
      </c>
      <c r="G249" s="4">
        <f t="shared" si="24"/>
        <v>-101.66499999999996</v>
      </c>
      <c r="W249" s="59">
        <f t="shared" si="25"/>
        <v>-2.289425938077481E-3</v>
      </c>
      <c r="X249" s="59">
        <f t="shared" si="26"/>
        <v>-1.1223892179847879E-2</v>
      </c>
      <c r="Y249" s="59">
        <f t="shared" si="27"/>
        <v>-3.9887039652603866E-2</v>
      </c>
    </row>
    <row r="250" spans="1:25" x14ac:dyDescent="0.3">
      <c r="A250" s="2">
        <v>43759</v>
      </c>
      <c r="B250" s="1">
        <v>60.127499999999998</v>
      </c>
      <c r="C250" s="1">
        <v>1785.66</v>
      </c>
      <c r="D250" s="1">
        <v>189.76</v>
      </c>
      <c r="E250" s="3">
        <f t="shared" si="22"/>
        <v>2782.4949999999999</v>
      </c>
      <c r="F250" s="4">
        <f t="shared" si="23"/>
        <v>29.349999999999454</v>
      </c>
      <c r="G250" s="4">
        <f t="shared" si="24"/>
        <v>-29.349999999999454</v>
      </c>
      <c r="W250" s="59">
        <f t="shared" si="25"/>
        <v>1.7194082901263532E-2</v>
      </c>
      <c r="X250" s="59">
        <f t="shared" si="26"/>
        <v>1.5890060203930641E-2</v>
      </c>
      <c r="Y250" s="59">
        <f t="shared" si="27"/>
        <v>2.0820219066099526E-2</v>
      </c>
    </row>
    <row r="251" spans="1:25" x14ac:dyDescent="0.3">
      <c r="A251" s="2">
        <v>43756</v>
      </c>
      <c r="B251" s="1">
        <v>59.102499999999999</v>
      </c>
      <c r="C251" s="1">
        <v>1757.51</v>
      </c>
      <c r="D251" s="1">
        <v>185.85</v>
      </c>
      <c r="E251" s="3">
        <f t="shared" si="22"/>
        <v>2753.1450000000004</v>
      </c>
      <c r="F251" s="4">
        <f t="shared" si="23"/>
        <v>44.985000000000127</v>
      </c>
      <c r="G251" s="4">
        <f t="shared" si="24"/>
        <v>-44.985000000000127</v>
      </c>
      <c r="W251" s="59">
        <f t="shared" si="25"/>
        <v>4.7912915759668736E-3</v>
      </c>
      <c r="X251" s="59">
        <f t="shared" si="26"/>
        <v>-1.6908772125319407E-2</v>
      </c>
      <c r="Y251" s="59">
        <f t="shared" si="27"/>
        <v>-2.4134703226323884E-2</v>
      </c>
    </row>
    <row r="252" spans="1:25" x14ac:dyDescent="0.3">
      <c r="A252" s="2">
        <v>43755</v>
      </c>
      <c r="B252" s="1">
        <v>58.82</v>
      </c>
      <c r="C252" s="1">
        <v>1787.48</v>
      </c>
      <c r="D252" s="1">
        <v>190.39</v>
      </c>
      <c r="E252" s="3">
        <f t="shared" si="22"/>
        <v>2708.1600000000003</v>
      </c>
      <c r="F252" s="4">
        <f t="shared" si="23"/>
        <v>14.674999999999727</v>
      </c>
      <c r="G252" s="4">
        <f t="shared" si="24"/>
        <v>-14.674999999999727</v>
      </c>
      <c r="W252" s="59">
        <f t="shared" si="25"/>
        <v>3.8752310819564484E-3</v>
      </c>
      <c r="X252" s="59">
        <f t="shared" si="26"/>
        <v>5.6383059457459257E-3</v>
      </c>
      <c r="Y252" s="59">
        <f t="shared" si="27"/>
        <v>4.4217580072411274E-3</v>
      </c>
    </row>
    <row r="253" spans="1:25" x14ac:dyDescent="0.3">
      <c r="A253" s="2">
        <v>43754</v>
      </c>
      <c r="B253" s="1">
        <v>58.592500000000001</v>
      </c>
      <c r="C253" s="1">
        <v>1777.43</v>
      </c>
      <c r="D253" s="1">
        <v>189.55</v>
      </c>
      <c r="E253" s="3">
        <f t="shared" si="22"/>
        <v>2693.4850000000006</v>
      </c>
      <c r="F253" s="4">
        <f t="shared" si="23"/>
        <v>-4.9749999999999091</v>
      </c>
      <c r="G253" s="4">
        <f t="shared" si="24"/>
        <v>4.9749999999999091</v>
      </c>
      <c r="W253" s="59">
        <f t="shared" si="25"/>
        <v>-4.0452268324719948E-3</v>
      </c>
      <c r="X253" s="59">
        <f t="shared" si="26"/>
        <v>5.6702767862413933E-3</v>
      </c>
      <c r="Y253" s="59">
        <f t="shared" si="27"/>
        <v>3.4880069186157088E-3</v>
      </c>
    </row>
    <row r="254" spans="1:25" x14ac:dyDescent="0.3">
      <c r="A254" s="2">
        <v>43753</v>
      </c>
      <c r="B254" s="1">
        <v>58.83</v>
      </c>
      <c r="C254" s="1">
        <v>1767.38</v>
      </c>
      <c r="D254" s="1">
        <v>188.89</v>
      </c>
      <c r="E254" s="3">
        <f t="shared" si="22"/>
        <v>2698.4600000000005</v>
      </c>
      <c r="F254" s="4">
        <f t="shared" si="23"/>
        <v>-57.175000000000182</v>
      </c>
      <c r="G254" s="4">
        <f t="shared" si="24"/>
        <v>57.175000000000182</v>
      </c>
      <c r="W254" s="59">
        <f t="shared" si="25"/>
        <v>-2.334515799528931E-3</v>
      </c>
      <c r="X254" s="59">
        <f t="shared" si="26"/>
        <v>1.7666942561114455E-2</v>
      </c>
      <c r="Y254" s="59">
        <f t="shared" si="27"/>
        <v>3.0149796898488103E-2</v>
      </c>
    </row>
    <row r="255" spans="1:25" x14ac:dyDescent="0.3">
      <c r="A255" s="2">
        <v>43752</v>
      </c>
      <c r="B255" s="1">
        <v>58.967500000000001</v>
      </c>
      <c r="C255" s="1">
        <v>1736.43</v>
      </c>
      <c r="D255" s="1">
        <v>183.28</v>
      </c>
      <c r="E255" s="3">
        <f t="shared" si="22"/>
        <v>2755.6350000000007</v>
      </c>
      <c r="F255" s="4">
        <f t="shared" si="23"/>
        <v>22.970000000000709</v>
      </c>
      <c r="G255" s="4">
        <f t="shared" si="24"/>
        <v>-22.970000000000709</v>
      </c>
      <c r="W255" s="59">
        <f t="shared" si="25"/>
        <v>-1.4404340738325713E-3</v>
      </c>
      <c r="X255" s="59">
        <f t="shared" si="26"/>
        <v>2.6006617221020572E-3</v>
      </c>
      <c r="Y255" s="59">
        <f t="shared" si="27"/>
        <v>-4.9527953857714047E-3</v>
      </c>
    </row>
    <row r="256" spans="1:25" x14ac:dyDescent="0.3">
      <c r="A256" s="2">
        <v>43749</v>
      </c>
      <c r="B256" s="1">
        <v>59.052500000000002</v>
      </c>
      <c r="C256" s="1">
        <v>1731.92</v>
      </c>
      <c r="D256" s="1">
        <v>184.19</v>
      </c>
      <c r="E256" s="3">
        <f t="shared" si="22"/>
        <v>2732.665</v>
      </c>
      <c r="F256" s="4">
        <f t="shared" si="23"/>
        <v>16.619999999999436</v>
      </c>
      <c r="G256" s="4">
        <f t="shared" si="24"/>
        <v>-16.619999999999436</v>
      </c>
      <c r="W256" s="59">
        <f t="shared" si="25"/>
        <v>2.6250703138175204E-2</v>
      </c>
      <c r="X256" s="59">
        <f t="shared" si="26"/>
        <v>6.7551775049220714E-3</v>
      </c>
      <c r="Y256" s="59">
        <f t="shared" si="27"/>
        <v>2.2844329861480273E-2</v>
      </c>
    </row>
    <row r="257" spans="1:25" x14ac:dyDescent="0.3">
      <c r="A257" s="2">
        <v>43748</v>
      </c>
      <c r="B257" s="1">
        <v>57.522500000000001</v>
      </c>
      <c r="C257" s="1">
        <v>1720.26</v>
      </c>
      <c r="D257" s="1">
        <v>180.03</v>
      </c>
      <c r="E257" s="3">
        <f t="shared" si="22"/>
        <v>2716.0450000000005</v>
      </c>
      <c r="F257" s="4">
        <f t="shared" si="23"/>
        <v>31.190000000000964</v>
      </c>
      <c r="G257" s="4">
        <f t="shared" si="24"/>
        <v>-31.190000000000964</v>
      </c>
      <c r="W257" s="59">
        <f t="shared" si="25"/>
        <v>1.3388369391907559E-2</v>
      </c>
      <c r="X257" s="59">
        <f t="shared" si="26"/>
        <v>-1.0051565956321086E-3</v>
      </c>
      <c r="Y257" s="59">
        <f t="shared" si="27"/>
        <v>1.0003335278981984E-3</v>
      </c>
    </row>
    <row r="258" spans="1:25" x14ac:dyDescent="0.3">
      <c r="A258" s="2">
        <v>43747</v>
      </c>
      <c r="B258" s="1">
        <v>56.7575</v>
      </c>
      <c r="C258" s="1">
        <v>1721.99</v>
      </c>
      <c r="D258" s="1">
        <v>179.85</v>
      </c>
      <c r="E258" s="3">
        <f t="shared" si="22"/>
        <v>2684.8549999999996</v>
      </c>
      <c r="F258" s="4">
        <f t="shared" si="23"/>
        <v>23.834999999999127</v>
      </c>
      <c r="G258" s="4">
        <f t="shared" si="24"/>
        <v>-23.834999999999127</v>
      </c>
      <c r="W258" s="59">
        <f t="shared" si="25"/>
        <v>1.1651993690992643E-2</v>
      </c>
      <c r="X258" s="59">
        <f t="shared" si="26"/>
        <v>9.6164125452020983E-3</v>
      </c>
      <c r="Y258" s="59">
        <f t="shared" si="27"/>
        <v>1.1745101458282673E-2</v>
      </c>
    </row>
    <row r="259" spans="1:25" x14ac:dyDescent="0.3">
      <c r="A259" s="2">
        <v>43746</v>
      </c>
      <c r="B259" s="1">
        <v>56.1</v>
      </c>
      <c r="C259" s="1">
        <v>1705.51</v>
      </c>
      <c r="D259" s="1">
        <v>177.75</v>
      </c>
      <c r="E259" s="3">
        <f t="shared" si="22"/>
        <v>2661.0200000000004</v>
      </c>
      <c r="F259" s="4">
        <f t="shared" si="23"/>
        <v>-48.949999999998909</v>
      </c>
      <c r="G259" s="4">
        <f t="shared" si="24"/>
        <v>48.949999999998909</v>
      </c>
      <c r="W259" s="59">
        <f t="shared" si="25"/>
        <v>-1.1784126087846273E-2</v>
      </c>
      <c r="X259" s="59">
        <f t="shared" si="26"/>
        <v>-1.5793613667535501E-2</v>
      </c>
      <c r="Y259" s="59">
        <f t="shared" si="27"/>
        <v>-1.0799422306782797E-2</v>
      </c>
    </row>
    <row r="260" spans="1:25" x14ac:dyDescent="0.3">
      <c r="A260" s="2">
        <v>43745</v>
      </c>
      <c r="B260" s="1">
        <v>56.765000000000001</v>
      </c>
      <c r="C260" s="1">
        <v>1732.66</v>
      </c>
      <c r="D260" s="1">
        <v>179.68</v>
      </c>
      <c r="E260" s="3">
        <f t="shared" si="22"/>
        <v>2709.9699999999993</v>
      </c>
      <c r="F260" s="4">
        <f t="shared" si="23"/>
        <v>2.0449999999991633</v>
      </c>
      <c r="G260" s="4">
        <f t="shared" si="24"/>
        <v>-2.0449999999991633</v>
      </c>
      <c r="W260" s="59">
        <f t="shared" si="25"/>
        <v>2.2023036184768487E-4</v>
      </c>
      <c r="X260" s="59">
        <f t="shared" si="26"/>
        <v>-4.0261436578099491E-3</v>
      </c>
      <c r="Y260" s="59">
        <f t="shared" si="27"/>
        <v>-4.2762400986644765E-3</v>
      </c>
    </row>
    <row r="261" spans="1:25" x14ac:dyDescent="0.3">
      <c r="A261" s="2">
        <v>43742</v>
      </c>
      <c r="B261" s="1">
        <v>56.752499999999998</v>
      </c>
      <c r="C261" s="1">
        <v>1739.65</v>
      </c>
      <c r="D261" s="1">
        <v>180.45</v>
      </c>
      <c r="E261" s="3">
        <f t="shared" si="22"/>
        <v>2707.9250000000002</v>
      </c>
      <c r="F261" s="4">
        <f t="shared" si="23"/>
        <v>86.434999999999945</v>
      </c>
      <c r="G261" s="4">
        <f t="shared" si="24"/>
        <v>-86.434999999999945</v>
      </c>
      <c r="W261" s="59">
        <f t="shared" si="25"/>
        <v>2.7646179363548958E-2</v>
      </c>
      <c r="X261" s="59">
        <f t="shared" si="26"/>
        <v>8.7931815072399382E-3</v>
      </c>
      <c r="Y261" s="59">
        <f t="shared" si="27"/>
        <v>5.9472703989405058E-3</v>
      </c>
    </row>
    <row r="262" spans="1:25" x14ac:dyDescent="0.3">
      <c r="A262" s="2">
        <v>43741</v>
      </c>
      <c r="B262" s="1">
        <v>55.204999999999998</v>
      </c>
      <c r="C262" s="1">
        <v>1724.42</v>
      </c>
      <c r="D262" s="1">
        <v>179.38</v>
      </c>
      <c r="E262" s="3">
        <f t="shared" ref="E262:E325" si="28">50*B262+2*C262-20*D262</f>
        <v>2621.4900000000002</v>
      </c>
      <c r="F262" s="4">
        <f t="shared" ref="F262:F325" si="29">E262-E263</f>
        <v>-49.9699999999998</v>
      </c>
      <c r="G262" s="4">
        <f t="shared" ref="G262:G325" si="30">-F262</f>
        <v>49.9699999999998</v>
      </c>
      <c r="W262" s="59">
        <f t="shared" ref="W262:W325" si="31">LN(B262/B263)</f>
        <v>8.4588252785671274E-3</v>
      </c>
      <c r="X262" s="59">
        <f t="shared" ref="X262:X325" si="32">LN(C262/C263)</f>
        <v>6.5102843645327485E-3</v>
      </c>
      <c r="Y262" s="59">
        <f t="shared" ref="Y262:Y325" si="33">LN(D262/D263)</f>
        <v>2.7008817284355106E-2</v>
      </c>
    </row>
    <row r="263" spans="1:25" x14ac:dyDescent="0.3">
      <c r="A263" s="2">
        <v>43740</v>
      </c>
      <c r="B263" s="1">
        <v>54.74</v>
      </c>
      <c r="C263" s="1">
        <v>1713.23</v>
      </c>
      <c r="D263" s="1">
        <v>174.6</v>
      </c>
      <c r="E263" s="3">
        <f t="shared" si="28"/>
        <v>2671.46</v>
      </c>
      <c r="F263" s="4">
        <f t="shared" si="29"/>
        <v>-91.015000000000327</v>
      </c>
      <c r="G263" s="4">
        <f t="shared" si="30"/>
        <v>91.015000000000327</v>
      </c>
      <c r="W263" s="59">
        <f t="shared" si="31"/>
        <v>-2.5387452983207721E-2</v>
      </c>
      <c r="X263" s="59">
        <f t="shared" si="32"/>
        <v>-1.3001505312200477E-2</v>
      </c>
      <c r="Y263" s="59">
        <f t="shared" si="33"/>
        <v>-6.9062230491964086E-3</v>
      </c>
    </row>
    <row r="264" spans="1:25" x14ac:dyDescent="0.3">
      <c r="A264" s="2">
        <v>43739</v>
      </c>
      <c r="B264" s="1">
        <v>56.147500000000001</v>
      </c>
      <c r="C264" s="1">
        <v>1735.65</v>
      </c>
      <c r="D264" s="1">
        <v>175.81</v>
      </c>
      <c r="E264" s="3">
        <f t="shared" si="28"/>
        <v>2762.4750000000004</v>
      </c>
      <c r="F264" s="4">
        <f t="shared" si="29"/>
        <v>52.630000000001019</v>
      </c>
      <c r="G264" s="4">
        <f t="shared" si="30"/>
        <v>-52.630000000001019</v>
      </c>
      <c r="W264" s="59">
        <f t="shared" si="31"/>
        <v>2.7644034012519973E-3</v>
      </c>
      <c r="X264" s="59">
        <f t="shared" si="32"/>
        <v>-1.4978856795571022E-4</v>
      </c>
      <c r="Y264" s="59">
        <f t="shared" si="33"/>
        <v>-1.282902107253648E-2</v>
      </c>
    </row>
    <row r="265" spans="1:25" x14ac:dyDescent="0.3">
      <c r="A265" s="2">
        <v>43738</v>
      </c>
      <c r="B265" s="1">
        <v>55.9925</v>
      </c>
      <c r="C265" s="1">
        <v>1735.91</v>
      </c>
      <c r="D265" s="1">
        <v>178.08</v>
      </c>
      <c r="E265" s="3">
        <f t="shared" si="28"/>
        <v>2709.8449999999993</v>
      </c>
      <c r="F265" s="4">
        <f t="shared" si="29"/>
        <v>65.694999999999709</v>
      </c>
      <c r="G265" s="4">
        <f t="shared" si="30"/>
        <v>-65.694999999999709</v>
      </c>
      <c r="W265" s="59">
        <f t="shared" si="31"/>
        <v>2.3262640265735535E-2</v>
      </c>
      <c r="X265" s="59">
        <f t="shared" si="32"/>
        <v>6.0438855482828849E-3</v>
      </c>
      <c r="Y265" s="59">
        <f t="shared" si="33"/>
        <v>5.5183427384470334E-3</v>
      </c>
    </row>
    <row r="266" spans="1:25" x14ac:dyDescent="0.3">
      <c r="A266" s="2">
        <v>43735</v>
      </c>
      <c r="B266" s="1">
        <v>54.704999999999998</v>
      </c>
      <c r="C266" s="1">
        <v>1725.45</v>
      </c>
      <c r="D266" s="1">
        <v>177.1</v>
      </c>
      <c r="E266" s="3">
        <f t="shared" si="28"/>
        <v>2644.1499999999996</v>
      </c>
      <c r="F266" s="4">
        <f t="shared" si="29"/>
        <v>18.044999999999618</v>
      </c>
      <c r="G266" s="4">
        <f t="shared" si="30"/>
        <v>-18.044999999999618</v>
      </c>
      <c r="W266" s="59">
        <f t="shared" si="31"/>
        <v>-4.8779472620353002E-3</v>
      </c>
      <c r="X266" s="59">
        <f t="shared" si="32"/>
        <v>-8.3052689474267631E-3</v>
      </c>
      <c r="Y266" s="59">
        <f t="shared" si="33"/>
        <v>-1.685323056017831E-2</v>
      </c>
    </row>
    <row r="267" spans="1:25" x14ac:dyDescent="0.3">
      <c r="A267" s="2">
        <v>43734</v>
      </c>
      <c r="B267" s="1">
        <v>54.972499999999997</v>
      </c>
      <c r="C267" s="1">
        <v>1739.84</v>
      </c>
      <c r="D267" s="1">
        <v>180.11</v>
      </c>
      <c r="E267" s="3">
        <f t="shared" si="28"/>
        <v>2626.105</v>
      </c>
      <c r="F267" s="4">
        <f t="shared" si="29"/>
        <v>-17.429999999999836</v>
      </c>
      <c r="G267" s="4">
        <f t="shared" si="30"/>
        <v>17.429999999999836</v>
      </c>
      <c r="W267" s="59">
        <f t="shared" si="31"/>
        <v>-5.1710176006716808E-3</v>
      </c>
      <c r="X267" s="59">
        <f t="shared" si="32"/>
        <v>-1.6242443406503684E-2</v>
      </c>
      <c r="Y267" s="59">
        <f t="shared" si="33"/>
        <v>-1.482488367108355E-2</v>
      </c>
    </row>
    <row r="268" spans="1:25" x14ac:dyDescent="0.3">
      <c r="A268" s="2">
        <v>43733</v>
      </c>
      <c r="B268" s="1">
        <v>55.2575</v>
      </c>
      <c r="C268" s="1">
        <v>1768.33</v>
      </c>
      <c r="D268" s="1">
        <v>182.8</v>
      </c>
      <c r="E268" s="3">
        <f t="shared" si="28"/>
        <v>2643.5349999999999</v>
      </c>
      <c r="F268" s="4">
        <f t="shared" si="29"/>
        <v>64.915000000000418</v>
      </c>
      <c r="G268" s="4">
        <f t="shared" si="30"/>
        <v>-64.915000000000418</v>
      </c>
      <c r="W268" s="59">
        <f t="shared" si="31"/>
        <v>1.5272344436359988E-2</v>
      </c>
      <c r="X268" s="59">
        <f t="shared" si="32"/>
        <v>1.5225625613628455E-2</v>
      </c>
      <c r="Y268" s="59">
        <f t="shared" si="33"/>
        <v>8.3498617403534054E-3</v>
      </c>
    </row>
    <row r="269" spans="1:25" x14ac:dyDescent="0.3">
      <c r="A269" s="2">
        <v>43732</v>
      </c>
      <c r="B269" s="1">
        <v>54.42</v>
      </c>
      <c r="C269" s="1">
        <v>1741.61</v>
      </c>
      <c r="D269" s="1">
        <v>181.28</v>
      </c>
      <c r="E269" s="3">
        <f t="shared" si="28"/>
        <v>2578.6199999999994</v>
      </c>
      <c r="F269" s="4">
        <f t="shared" si="29"/>
        <v>10.419999999998709</v>
      </c>
      <c r="G269" s="4">
        <f t="shared" si="30"/>
        <v>-10.419999999998709</v>
      </c>
      <c r="W269" s="59">
        <f t="shared" si="31"/>
        <v>-4.7662785006485648E-3</v>
      </c>
      <c r="X269" s="59">
        <f t="shared" si="32"/>
        <v>-2.4776495568484869E-2</v>
      </c>
      <c r="Y269" s="59">
        <f t="shared" si="33"/>
        <v>-3.0102789165006475E-2</v>
      </c>
    </row>
    <row r="270" spans="1:25" x14ac:dyDescent="0.3">
      <c r="A270" s="2">
        <v>43731</v>
      </c>
      <c r="B270" s="1">
        <v>54.68</v>
      </c>
      <c r="C270" s="1">
        <v>1785.3</v>
      </c>
      <c r="D270" s="1">
        <v>186.82</v>
      </c>
      <c r="E270" s="3">
        <f t="shared" si="28"/>
        <v>2568.2000000000007</v>
      </c>
      <c r="F270" s="4">
        <f t="shared" si="29"/>
        <v>56.855000000001382</v>
      </c>
      <c r="G270" s="4">
        <f t="shared" si="30"/>
        <v>-56.855000000001382</v>
      </c>
      <c r="W270" s="59">
        <f t="shared" si="31"/>
        <v>4.5366099114118562E-3</v>
      </c>
      <c r="X270" s="59">
        <f t="shared" si="32"/>
        <v>-4.9504774991176006E-3</v>
      </c>
      <c r="Y270" s="59">
        <f t="shared" si="33"/>
        <v>-1.6509996779442222E-2</v>
      </c>
    </row>
    <row r="271" spans="1:25" x14ac:dyDescent="0.3">
      <c r="A271" s="2">
        <v>43728</v>
      </c>
      <c r="B271" s="1">
        <v>54.432499999999997</v>
      </c>
      <c r="C271" s="1">
        <v>1794.16</v>
      </c>
      <c r="D271" s="1">
        <v>189.93</v>
      </c>
      <c r="E271" s="3">
        <f t="shared" si="28"/>
        <v>2511.3449999999993</v>
      </c>
      <c r="F271" s="4">
        <f t="shared" si="29"/>
        <v>-90.855000000000928</v>
      </c>
      <c r="G271" s="4">
        <f t="shared" si="30"/>
        <v>90.855000000000928</v>
      </c>
      <c r="W271" s="59">
        <f t="shared" si="31"/>
        <v>-1.4725926596754473E-2</v>
      </c>
      <c r="X271" s="59">
        <f t="shared" si="32"/>
        <v>-1.5123391630584857E-2</v>
      </c>
      <c r="Y271" s="59">
        <f t="shared" si="33"/>
        <v>-1.1050597067394535E-3</v>
      </c>
    </row>
    <row r="272" spans="1:25" x14ac:dyDescent="0.3">
      <c r="A272" s="2">
        <v>43727</v>
      </c>
      <c r="B272" s="1">
        <v>55.24</v>
      </c>
      <c r="C272" s="1">
        <v>1821.5</v>
      </c>
      <c r="D272" s="1">
        <v>190.14</v>
      </c>
      <c r="E272" s="3">
        <f t="shared" si="28"/>
        <v>2602.2000000000003</v>
      </c>
      <c r="F272" s="4">
        <f t="shared" si="29"/>
        <v>-54.545000000000073</v>
      </c>
      <c r="G272" s="4">
        <f t="shared" si="30"/>
        <v>54.545000000000073</v>
      </c>
      <c r="W272" s="59">
        <f t="shared" si="31"/>
        <v>-8.1581594158005397E-3</v>
      </c>
      <c r="X272" s="59">
        <f t="shared" si="32"/>
        <v>2.2204155362240481E-3</v>
      </c>
      <c r="Y272" s="59">
        <f t="shared" si="33"/>
        <v>1.0574276387078974E-2</v>
      </c>
    </row>
    <row r="273" spans="1:25" x14ac:dyDescent="0.3">
      <c r="A273" s="2">
        <v>43726</v>
      </c>
      <c r="B273" s="1">
        <v>55.692500000000003</v>
      </c>
      <c r="C273" s="1">
        <v>1817.46</v>
      </c>
      <c r="D273" s="1">
        <v>188.14</v>
      </c>
      <c r="E273" s="3">
        <f t="shared" si="28"/>
        <v>2656.7450000000003</v>
      </c>
      <c r="F273" s="4">
        <f t="shared" si="29"/>
        <v>14.495000000000346</v>
      </c>
      <c r="G273" s="4">
        <f t="shared" si="30"/>
        <v>-14.495000000000346</v>
      </c>
      <c r="W273" s="59">
        <f t="shared" si="31"/>
        <v>9.3355358140919369E-3</v>
      </c>
      <c r="X273" s="59">
        <f t="shared" si="32"/>
        <v>-2.7966974363400391E-3</v>
      </c>
      <c r="Y273" s="59">
        <f t="shared" si="33"/>
        <v>3.1896231199108287E-4</v>
      </c>
    </row>
    <row r="274" spans="1:25" x14ac:dyDescent="0.3">
      <c r="A274" s="2">
        <v>43725</v>
      </c>
      <c r="B274" s="1">
        <v>55.174999999999997</v>
      </c>
      <c r="C274" s="1">
        <v>1822.55</v>
      </c>
      <c r="D274" s="1">
        <v>188.08</v>
      </c>
      <c r="E274" s="3">
        <f t="shared" si="28"/>
        <v>2642.25</v>
      </c>
      <c r="F274" s="4">
        <f t="shared" si="29"/>
        <v>2.2199999999997999</v>
      </c>
      <c r="G274" s="4">
        <f t="shared" si="30"/>
        <v>-2.2199999999997999</v>
      </c>
      <c r="W274" s="59">
        <f t="shared" si="31"/>
        <v>3.6314157019752399E-3</v>
      </c>
      <c r="X274" s="59">
        <f t="shared" si="32"/>
        <v>8.1038568877982997E-3</v>
      </c>
      <c r="Y274" s="59">
        <f t="shared" si="33"/>
        <v>9.9386337714303732E-3</v>
      </c>
    </row>
    <row r="275" spans="1:25" x14ac:dyDescent="0.3">
      <c r="A275" s="2">
        <v>43724</v>
      </c>
      <c r="B275" s="1">
        <v>54.975000000000001</v>
      </c>
      <c r="C275" s="1">
        <v>1807.84</v>
      </c>
      <c r="D275" s="1">
        <v>186.22</v>
      </c>
      <c r="E275" s="3">
        <f t="shared" si="28"/>
        <v>2640.03</v>
      </c>
      <c r="F275" s="4">
        <f t="shared" si="29"/>
        <v>-29.224999999999909</v>
      </c>
      <c r="G275" s="4">
        <f t="shared" si="30"/>
        <v>29.224999999999909</v>
      </c>
      <c r="W275" s="59">
        <f t="shared" si="31"/>
        <v>5.2433723229916816E-3</v>
      </c>
      <c r="X275" s="59">
        <f t="shared" si="32"/>
        <v>-1.7274049143248069E-2</v>
      </c>
      <c r="Y275" s="59">
        <f t="shared" si="33"/>
        <v>-5.1953733528539827E-3</v>
      </c>
    </row>
    <row r="276" spans="1:25" x14ac:dyDescent="0.3">
      <c r="A276" s="2">
        <v>43721</v>
      </c>
      <c r="B276" s="1">
        <v>54.6875</v>
      </c>
      <c r="C276" s="1">
        <v>1839.34</v>
      </c>
      <c r="D276" s="1">
        <v>187.19</v>
      </c>
      <c r="E276" s="3">
        <f t="shared" si="28"/>
        <v>2669.2550000000001</v>
      </c>
      <c r="F276" s="4">
        <f t="shared" si="29"/>
        <v>-57.004999999999654</v>
      </c>
      <c r="G276" s="4">
        <f t="shared" si="30"/>
        <v>57.004999999999654</v>
      </c>
      <c r="W276" s="59">
        <f t="shared" si="31"/>
        <v>-1.9622442996736846E-2</v>
      </c>
      <c r="X276" s="59">
        <f t="shared" si="32"/>
        <v>-2.2862490238822245E-3</v>
      </c>
      <c r="Y276" s="59">
        <f t="shared" si="33"/>
        <v>-1.4946887958622167E-3</v>
      </c>
    </row>
    <row r="277" spans="1:25" x14ac:dyDescent="0.3">
      <c r="A277" s="2">
        <v>43720</v>
      </c>
      <c r="B277" s="1">
        <v>55.7712</v>
      </c>
      <c r="C277" s="1">
        <v>1843.55</v>
      </c>
      <c r="D277" s="1">
        <v>187.47</v>
      </c>
      <c r="E277" s="3">
        <f t="shared" si="28"/>
        <v>2726.2599999999998</v>
      </c>
      <c r="F277" s="4">
        <f t="shared" si="29"/>
        <v>55.205000000000382</v>
      </c>
      <c r="G277" s="4">
        <f t="shared" si="30"/>
        <v>-55.205000000000382</v>
      </c>
      <c r="W277" s="59">
        <f t="shared" si="31"/>
        <v>-2.2620493272514958E-3</v>
      </c>
      <c r="X277" s="59">
        <f t="shared" si="32"/>
        <v>1.1215050427970243E-2</v>
      </c>
      <c r="Y277" s="59">
        <f t="shared" si="33"/>
        <v>-5.4261224738654272E-3</v>
      </c>
    </row>
    <row r="278" spans="1:25" x14ac:dyDescent="0.3">
      <c r="A278" s="2">
        <v>43719</v>
      </c>
      <c r="B278" s="1">
        <v>55.897500000000001</v>
      </c>
      <c r="C278" s="1">
        <v>1822.99</v>
      </c>
      <c r="D278" s="1">
        <v>188.49</v>
      </c>
      <c r="E278" s="3">
        <f t="shared" si="28"/>
        <v>2671.0549999999994</v>
      </c>
      <c r="F278" s="4">
        <f t="shared" si="29"/>
        <v>44.604999999998654</v>
      </c>
      <c r="G278" s="4">
        <f t="shared" si="30"/>
        <v>-44.604999999998654</v>
      </c>
      <c r="W278" s="59">
        <f t="shared" si="31"/>
        <v>3.1300109019398815E-2</v>
      </c>
      <c r="X278" s="59">
        <f t="shared" si="32"/>
        <v>1.3393569796161071E-3</v>
      </c>
      <c r="Y278" s="59">
        <f t="shared" si="33"/>
        <v>1.2384720299159775E-2</v>
      </c>
    </row>
    <row r="279" spans="1:25" x14ac:dyDescent="0.3">
      <c r="A279" s="2">
        <v>43718</v>
      </c>
      <c r="B279" s="1">
        <v>54.174999999999997</v>
      </c>
      <c r="C279" s="1">
        <v>1820.55</v>
      </c>
      <c r="D279" s="1">
        <v>186.17</v>
      </c>
      <c r="E279" s="3">
        <f t="shared" si="28"/>
        <v>2626.4500000000007</v>
      </c>
      <c r="F279" s="4">
        <f t="shared" si="29"/>
        <v>61.825000000000728</v>
      </c>
      <c r="G279" s="4">
        <f t="shared" si="30"/>
        <v>-61.825000000000728</v>
      </c>
      <c r="W279" s="59">
        <f t="shared" si="31"/>
        <v>1.1743816359834488E-2</v>
      </c>
      <c r="X279" s="59">
        <f t="shared" si="32"/>
        <v>-5.9147465624939163E-3</v>
      </c>
      <c r="Y279" s="59">
        <f t="shared" si="33"/>
        <v>-1.3816132074381145E-2</v>
      </c>
    </row>
    <row r="280" spans="1:25" x14ac:dyDescent="0.3">
      <c r="A280" s="2">
        <v>43717</v>
      </c>
      <c r="B280" s="1">
        <v>53.542499999999997</v>
      </c>
      <c r="C280" s="1">
        <v>1831.35</v>
      </c>
      <c r="D280" s="1">
        <v>188.76</v>
      </c>
      <c r="E280" s="3">
        <f t="shared" si="28"/>
        <v>2564.625</v>
      </c>
      <c r="F280" s="4">
        <f t="shared" si="29"/>
        <v>-18.345000000000255</v>
      </c>
      <c r="G280" s="4">
        <f t="shared" si="30"/>
        <v>18.345000000000255</v>
      </c>
      <c r="W280" s="59">
        <f t="shared" si="31"/>
        <v>4.2580135924454414E-3</v>
      </c>
      <c r="X280" s="59">
        <f t="shared" si="32"/>
        <v>-1.1787627631651659E-3</v>
      </c>
      <c r="Y280" s="59">
        <f t="shared" si="33"/>
        <v>6.7508562033273432E-3</v>
      </c>
    </row>
    <row r="281" spans="1:25" x14ac:dyDescent="0.3">
      <c r="A281" s="2">
        <v>43714</v>
      </c>
      <c r="B281" s="1">
        <v>53.314999999999998</v>
      </c>
      <c r="C281" s="1">
        <v>1833.51</v>
      </c>
      <c r="D281" s="1">
        <v>187.49</v>
      </c>
      <c r="E281" s="3">
        <f t="shared" si="28"/>
        <v>2582.9700000000003</v>
      </c>
      <c r="F281" s="4">
        <f t="shared" si="29"/>
        <v>53.529999999999745</v>
      </c>
      <c r="G281" s="4">
        <f t="shared" si="30"/>
        <v>-53.529999999999745</v>
      </c>
      <c r="W281" s="59">
        <f t="shared" si="31"/>
        <v>-9.3777840365146266E-5</v>
      </c>
      <c r="X281" s="59">
        <f t="shared" si="32"/>
        <v>-3.9246368651380649E-3</v>
      </c>
      <c r="Y281" s="59">
        <f t="shared" si="33"/>
        <v>-1.8024220076842512E-2</v>
      </c>
    </row>
    <row r="282" spans="1:25" x14ac:dyDescent="0.3">
      <c r="A282" s="2">
        <v>43713</v>
      </c>
      <c r="B282" s="1">
        <v>53.32</v>
      </c>
      <c r="C282" s="1">
        <v>1840.72</v>
      </c>
      <c r="D282" s="1">
        <v>190.9</v>
      </c>
      <c r="E282" s="3">
        <f t="shared" si="28"/>
        <v>2529.4400000000005</v>
      </c>
      <c r="F282" s="4">
        <f t="shared" si="29"/>
        <v>56.125000000000455</v>
      </c>
      <c r="G282" s="4">
        <f t="shared" si="30"/>
        <v>-56.125000000000455</v>
      </c>
      <c r="W282" s="59">
        <f t="shared" si="31"/>
        <v>1.9362926529369578E-2</v>
      </c>
      <c r="X282" s="59">
        <f t="shared" si="32"/>
        <v>2.202574938994618E-2</v>
      </c>
      <c r="Y282" s="59">
        <f t="shared" si="33"/>
        <v>1.9892730883935159E-2</v>
      </c>
    </row>
    <row r="283" spans="1:25" x14ac:dyDescent="0.3">
      <c r="A283" s="2">
        <v>43712</v>
      </c>
      <c r="B283" s="1">
        <v>52.297499999999999</v>
      </c>
      <c r="C283" s="1">
        <v>1800.62</v>
      </c>
      <c r="D283" s="1">
        <v>187.14</v>
      </c>
      <c r="E283" s="3">
        <f t="shared" si="28"/>
        <v>2473.3150000000001</v>
      </c>
      <c r="F283" s="4">
        <f t="shared" si="29"/>
        <v>-29.815000000000509</v>
      </c>
      <c r="G283" s="4">
        <f t="shared" si="30"/>
        <v>29.815000000000509</v>
      </c>
      <c r="W283" s="59">
        <f t="shared" si="31"/>
        <v>1.6824133242117543E-2</v>
      </c>
      <c r="X283" s="59">
        <f t="shared" si="32"/>
        <v>6.0048196565104482E-3</v>
      </c>
      <c r="Y283" s="59">
        <f t="shared" si="33"/>
        <v>2.5709748271860559E-2</v>
      </c>
    </row>
    <row r="284" spans="1:25" x14ac:dyDescent="0.3">
      <c r="A284" s="2">
        <v>43711</v>
      </c>
      <c r="B284" s="1">
        <v>51.424999999999997</v>
      </c>
      <c r="C284" s="1">
        <v>1789.84</v>
      </c>
      <c r="D284" s="1">
        <v>182.39</v>
      </c>
      <c r="E284" s="3">
        <f t="shared" si="28"/>
        <v>2503.1300000000006</v>
      </c>
      <c r="F284" s="4">
        <f t="shared" si="29"/>
        <v>54.700000000000273</v>
      </c>
      <c r="G284" s="4">
        <f t="shared" si="30"/>
        <v>-54.700000000000273</v>
      </c>
      <c r="W284" s="59">
        <f t="shared" si="31"/>
        <v>-1.467066173299424E-2</v>
      </c>
      <c r="X284" s="59">
        <f t="shared" si="32"/>
        <v>7.5993108544985767E-3</v>
      </c>
      <c r="Y284" s="59">
        <f t="shared" si="33"/>
        <v>-1.7823652843473488E-2</v>
      </c>
    </row>
    <row r="285" spans="1:25" x14ac:dyDescent="0.3">
      <c r="A285" s="2">
        <v>43710</v>
      </c>
      <c r="B285" s="1">
        <v>52.185000000000002</v>
      </c>
      <c r="C285" s="1">
        <v>1776.29</v>
      </c>
      <c r="D285" s="1">
        <v>185.67</v>
      </c>
      <c r="E285" s="3">
        <f t="shared" si="28"/>
        <v>2448.4300000000003</v>
      </c>
      <c r="F285" s="4">
        <f t="shared" si="29"/>
        <v>0</v>
      </c>
      <c r="G285" s="4">
        <f t="shared" si="30"/>
        <v>0</v>
      </c>
      <c r="W285" s="59">
        <f t="shared" si="31"/>
        <v>0</v>
      </c>
      <c r="X285" s="59">
        <f t="shared" si="32"/>
        <v>0</v>
      </c>
      <c r="Y285" s="59">
        <f t="shared" si="33"/>
        <v>0</v>
      </c>
    </row>
    <row r="286" spans="1:25" x14ac:dyDescent="0.3">
      <c r="A286" s="2">
        <v>43707</v>
      </c>
      <c r="B286" s="1">
        <v>52.185000000000002</v>
      </c>
      <c r="C286" s="1">
        <v>1776.29</v>
      </c>
      <c r="D286" s="1">
        <v>185.67</v>
      </c>
      <c r="E286" s="3">
        <f t="shared" si="28"/>
        <v>2448.4300000000003</v>
      </c>
      <c r="F286" s="4">
        <f t="shared" si="29"/>
        <v>-25.595000000000255</v>
      </c>
      <c r="G286" s="4">
        <f t="shared" si="30"/>
        <v>25.595000000000255</v>
      </c>
      <c r="W286" s="59">
        <f t="shared" si="31"/>
        <v>-1.2926393182315016E-3</v>
      </c>
      <c r="X286" s="59">
        <f t="shared" si="32"/>
        <v>-5.6755020156260428E-3</v>
      </c>
      <c r="Y286" s="59">
        <f t="shared" si="33"/>
        <v>5.387350631322988E-4</v>
      </c>
    </row>
    <row r="287" spans="1:25" x14ac:dyDescent="0.3">
      <c r="A287" s="2">
        <v>43706</v>
      </c>
      <c r="B287" s="1">
        <v>52.252499999999998</v>
      </c>
      <c r="C287" s="1">
        <v>1786.4</v>
      </c>
      <c r="D287" s="1">
        <v>185.57</v>
      </c>
      <c r="E287" s="3">
        <f t="shared" si="28"/>
        <v>2474.0250000000005</v>
      </c>
      <c r="F287" s="4">
        <f t="shared" si="29"/>
        <v>11.600000000000364</v>
      </c>
      <c r="G287" s="4">
        <f t="shared" si="30"/>
        <v>-11.600000000000364</v>
      </c>
      <c r="W287" s="59">
        <f t="shared" si="31"/>
        <v>1.6790089027219835E-2</v>
      </c>
      <c r="X287" s="59">
        <f t="shared" si="32"/>
        <v>1.2476750645008533E-2</v>
      </c>
      <c r="Y287" s="59">
        <f t="shared" si="33"/>
        <v>2.0745033823461059E-2</v>
      </c>
    </row>
    <row r="288" spans="1:25" x14ac:dyDescent="0.3">
      <c r="A288" s="2">
        <v>43705</v>
      </c>
      <c r="B288" s="1">
        <v>51.3825</v>
      </c>
      <c r="C288" s="1">
        <v>1764.25</v>
      </c>
      <c r="D288" s="1">
        <v>181.76</v>
      </c>
      <c r="E288" s="3">
        <f t="shared" si="28"/>
        <v>2462.4250000000002</v>
      </c>
      <c r="F288" s="4">
        <f t="shared" si="29"/>
        <v>12.765000000000327</v>
      </c>
      <c r="G288" s="4">
        <f t="shared" si="30"/>
        <v>-12.765000000000327</v>
      </c>
      <c r="W288" s="59">
        <f t="shared" si="31"/>
        <v>6.6880085264923173E-3</v>
      </c>
      <c r="X288" s="59">
        <f t="shared" si="32"/>
        <v>1.3726293107147616E-3</v>
      </c>
      <c r="Y288" s="59">
        <f t="shared" si="33"/>
        <v>2.5340177719810329E-3</v>
      </c>
    </row>
    <row r="289" spans="1:25" x14ac:dyDescent="0.3">
      <c r="A289" s="2">
        <v>43704</v>
      </c>
      <c r="B289" s="1">
        <v>51.04</v>
      </c>
      <c r="C289" s="1">
        <v>1761.83</v>
      </c>
      <c r="D289" s="1">
        <v>181.3</v>
      </c>
      <c r="E289" s="3">
        <f t="shared" si="28"/>
        <v>2449.66</v>
      </c>
      <c r="F289" s="4">
        <f t="shared" si="29"/>
        <v>-62.004999999999654</v>
      </c>
      <c r="G289" s="4">
        <f t="shared" si="30"/>
        <v>62.004999999999654</v>
      </c>
      <c r="W289" s="59">
        <f t="shared" si="31"/>
        <v>-1.1347984921957514E-2</v>
      </c>
      <c r="X289" s="59">
        <f t="shared" si="32"/>
        <v>-3.9878830429554155E-3</v>
      </c>
      <c r="Y289" s="59">
        <f t="shared" si="33"/>
        <v>5.1982642079218908E-3</v>
      </c>
    </row>
    <row r="290" spans="1:25" x14ac:dyDescent="0.3">
      <c r="A290" s="2">
        <v>43703</v>
      </c>
      <c r="B290" s="1">
        <v>51.622500000000002</v>
      </c>
      <c r="C290" s="1">
        <v>1768.87</v>
      </c>
      <c r="D290" s="1">
        <v>180.36</v>
      </c>
      <c r="E290" s="3">
        <f t="shared" si="28"/>
        <v>2511.6649999999995</v>
      </c>
      <c r="F290" s="4">
        <f t="shared" si="29"/>
        <v>34.424999999999727</v>
      </c>
      <c r="G290" s="4">
        <f t="shared" si="30"/>
        <v>-34.424999999999727</v>
      </c>
      <c r="W290" s="59">
        <f t="shared" si="31"/>
        <v>1.8820979384962869E-2</v>
      </c>
      <c r="X290" s="59">
        <f t="shared" si="32"/>
        <v>1.0942303131687122E-2</v>
      </c>
      <c r="Y290" s="59">
        <f t="shared" si="33"/>
        <v>1.4576784869533295E-2</v>
      </c>
    </row>
    <row r="291" spans="1:25" x14ac:dyDescent="0.3">
      <c r="A291" s="2">
        <v>43700</v>
      </c>
      <c r="B291" s="1">
        <v>50.66</v>
      </c>
      <c r="C291" s="1">
        <v>1749.62</v>
      </c>
      <c r="D291" s="1">
        <v>177.75</v>
      </c>
      <c r="E291" s="3">
        <f t="shared" si="28"/>
        <v>2477.2399999999998</v>
      </c>
      <c r="F291" s="4">
        <f t="shared" si="29"/>
        <v>-148.91000000000031</v>
      </c>
      <c r="G291" s="4">
        <f t="shared" si="30"/>
        <v>148.91000000000031</v>
      </c>
      <c r="W291" s="59">
        <f t="shared" si="31"/>
        <v>-4.7322729658447658E-2</v>
      </c>
      <c r="X291" s="59">
        <f t="shared" si="32"/>
        <v>-3.1494325021832657E-2</v>
      </c>
      <c r="Y291" s="59">
        <f t="shared" si="33"/>
        <v>-2.3848374465090909E-2</v>
      </c>
    </row>
    <row r="292" spans="1:25" x14ac:dyDescent="0.3">
      <c r="A292" s="2">
        <v>43699</v>
      </c>
      <c r="B292" s="1">
        <v>53.115000000000002</v>
      </c>
      <c r="C292" s="1">
        <v>1805.6</v>
      </c>
      <c r="D292" s="1">
        <v>182.04</v>
      </c>
      <c r="E292" s="3">
        <f t="shared" si="28"/>
        <v>2626.15</v>
      </c>
      <c r="F292" s="4">
        <f t="shared" si="29"/>
        <v>-7.9299999999998363</v>
      </c>
      <c r="G292" s="4">
        <f t="shared" si="30"/>
        <v>7.9299999999998363</v>
      </c>
      <c r="W292" s="59">
        <f t="shared" si="31"/>
        <v>-8.4685961306768163E-4</v>
      </c>
      <c r="X292" s="59">
        <f t="shared" si="32"/>
        <v>-9.8867203424968537E-3</v>
      </c>
      <c r="Y292" s="59">
        <f t="shared" si="33"/>
        <v>-8.2606667944021949E-3</v>
      </c>
    </row>
    <row r="293" spans="1:25" x14ac:dyDescent="0.3">
      <c r="A293" s="2">
        <v>43698</v>
      </c>
      <c r="B293" s="1">
        <v>53.16</v>
      </c>
      <c r="C293" s="1">
        <v>1823.54</v>
      </c>
      <c r="D293" s="1">
        <v>183.55</v>
      </c>
      <c r="E293" s="3">
        <f t="shared" si="28"/>
        <v>2634.08</v>
      </c>
      <c r="F293" s="4">
        <f t="shared" si="29"/>
        <v>78.019999999999527</v>
      </c>
      <c r="G293" s="4">
        <f t="shared" si="30"/>
        <v>-78.019999999999527</v>
      </c>
      <c r="W293" s="59">
        <f t="shared" si="31"/>
        <v>1.0780246243791704E-2</v>
      </c>
      <c r="X293" s="59">
        <f t="shared" si="32"/>
        <v>1.2226629033665211E-2</v>
      </c>
      <c r="Y293" s="59">
        <f t="shared" si="33"/>
        <v>-1.4155054628294899E-3</v>
      </c>
    </row>
    <row r="294" spans="1:25" x14ac:dyDescent="0.3">
      <c r="A294" s="2">
        <v>43697</v>
      </c>
      <c r="B294" s="1">
        <v>52.59</v>
      </c>
      <c r="C294" s="1">
        <v>1801.38</v>
      </c>
      <c r="D294" s="1">
        <v>183.81</v>
      </c>
      <c r="E294" s="3">
        <f t="shared" si="28"/>
        <v>2556.0600000000004</v>
      </c>
      <c r="F294" s="4">
        <f t="shared" si="29"/>
        <v>17.845000000000255</v>
      </c>
      <c r="G294" s="4">
        <f t="shared" si="30"/>
        <v>-17.845000000000255</v>
      </c>
      <c r="W294" s="59">
        <f t="shared" si="31"/>
        <v>4.7538684613537089E-5</v>
      </c>
      <c r="X294" s="59">
        <f t="shared" si="32"/>
        <v>-8.1493194610948189E-3</v>
      </c>
      <c r="Y294" s="59">
        <f t="shared" si="33"/>
        <v>-1.2757619378132631E-2</v>
      </c>
    </row>
    <row r="295" spans="1:25" x14ac:dyDescent="0.3">
      <c r="A295" s="2">
        <v>43696</v>
      </c>
      <c r="B295" s="1">
        <v>52.587499999999999</v>
      </c>
      <c r="C295" s="1">
        <v>1816.12</v>
      </c>
      <c r="D295" s="1">
        <v>186.17</v>
      </c>
      <c r="E295" s="3">
        <f t="shared" si="28"/>
        <v>2538.2150000000001</v>
      </c>
      <c r="F295" s="4">
        <f t="shared" si="29"/>
        <v>45.825000000000728</v>
      </c>
      <c r="G295" s="4">
        <f t="shared" si="30"/>
        <v>-45.825000000000728</v>
      </c>
      <c r="W295" s="59">
        <f t="shared" si="31"/>
        <v>1.8472397635442481E-2</v>
      </c>
      <c r="X295" s="59">
        <f t="shared" si="32"/>
        <v>1.3052012958065667E-2</v>
      </c>
      <c r="Y295" s="59">
        <f t="shared" si="33"/>
        <v>1.3356242562725542E-2</v>
      </c>
    </row>
    <row r="296" spans="1:25" x14ac:dyDescent="0.3">
      <c r="A296" s="2">
        <v>43693</v>
      </c>
      <c r="B296" s="1">
        <v>51.625</v>
      </c>
      <c r="C296" s="1">
        <v>1792.57</v>
      </c>
      <c r="D296" s="1">
        <v>183.7</v>
      </c>
      <c r="E296" s="3">
        <f t="shared" si="28"/>
        <v>2492.3899999999994</v>
      </c>
      <c r="F296" s="4">
        <f t="shared" si="29"/>
        <v>70.199999999999818</v>
      </c>
      <c r="G296" s="4">
        <f t="shared" si="30"/>
        <v>-70.199999999999818</v>
      </c>
      <c r="W296" s="59">
        <f t="shared" si="31"/>
        <v>2.332067277439805E-2</v>
      </c>
      <c r="X296" s="59">
        <f t="shared" si="32"/>
        <v>9.2191344780888102E-3</v>
      </c>
      <c r="Y296" s="59">
        <f t="shared" si="33"/>
        <v>6.0607900724383868E-3</v>
      </c>
    </row>
    <row r="297" spans="1:25" x14ac:dyDescent="0.3">
      <c r="A297" s="2">
        <v>43692</v>
      </c>
      <c r="B297" s="1">
        <v>50.435000000000002</v>
      </c>
      <c r="C297" s="1">
        <v>1776.12</v>
      </c>
      <c r="D297" s="1">
        <v>182.59</v>
      </c>
      <c r="E297" s="3">
        <f t="shared" si="28"/>
        <v>2422.1899999999996</v>
      </c>
      <c r="F297" s="4">
        <f t="shared" si="29"/>
        <v>-43.9050000000002</v>
      </c>
      <c r="G297" s="4">
        <f t="shared" si="30"/>
        <v>43.9050000000002</v>
      </c>
      <c r="W297" s="59">
        <f t="shared" si="31"/>
        <v>-4.9939533688328677E-3</v>
      </c>
      <c r="X297" s="59">
        <f t="shared" si="32"/>
        <v>7.4369952955964476E-3</v>
      </c>
      <c r="Y297" s="59">
        <f t="shared" si="33"/>
        <v>1.5898761604710862E-2</v>
      </c>
    </row>
    <row r="298" spans="1:25" x14ac:dyDescent="0.3">
      <c r="A298" s="2">
        <v>43691</v>
      </c>
      <c r="B298" s="1">
        <v>50.6875</v>
      </c>
      <c r="C298" s="1">
        <v>1762.96</v>
      </c>
      <c r="D298" s="1">
        <v>179.71</v>
      </c>
      <c r="E298" s="3">
        <f t="shared" si="28"/>
        <v>2466.0949999999998</v>
      </c>
      <c r="F298" s="4">
        <f t="shared" si="29"/>
        <v>-25.710000000000491</v>
      </c>
      <c r="G298" s="4">
        <f t="shared" si="30"/>
        <v>25.710000000000491</v>
      </c>
      <c r="W298" s="59">
        <f t="shared" si="31"/>
        <v>-3.0217007996484326E-2</v>
      </c>
      <c r="X298" s="59">
        <f t="shared" si="32"/>
        <v>-3.4224063230572158E-2</v>
      </c>
      <c r="Y298" s="59">
        <f t="shared" si="33"/>
        <v>-4.7488279169213582E-2</v>
      </c>
    </row>
    <row r="299" spans="1:25" x14ac:dyDescent="0.3">
      <c r="A299" s="2">
        <v>43690</v>
      </c>
      <c r="B299" s="1">
        <v>52.2425</v>
      </c>
      <c r="C299" s="1">
        <v>1824.34</v>
      </c>
      <c r="D299" s="1">
        <v>188.45</v>
      </c>
      <c r="E299" s="3">
        <f t="shared" si="28"/>
        <v>2491.8050000000003</v>
      </c>
      <c r="F299" s="4">
        <f t="shared" si="29"/>
        <v>123.36500000000024</v>
      </c>
      <c r="G299" s="4">
        <f t="shared" si="30"/>
        <v>-123.36500000000024</v>
      </c>
      <c r="W299" s="59">
        <f t="shared" si="31"/>
        <v>4.1476209844248525E-2</v>
      </c>
      <c r="X299" s="59">
        <f t="shared" si="32"/>
        <v>2.1844681489857892E-2</v>
      </c>
      <c r="Y299" s="59">
        <f t="shared" si="33"/>
        <v>1.6478891972146411E-2</v>
      </c>
    </row>
    <row r="300" spans="1:25" x14ac:dyDescent="0.3">
      <c r="A300" s="2">
        <v>43689</v>
      </c>
      <c r="B300" s="1">
        <v>50.12</v>
      </c>
      <c r="C300" s="1">
        <v>1784.92</v>
      </c>
      <c r="D300" s="1">
        <v>185.37</v>
      </c>
      <c r="E300" s="3">
        <f t="shared" si="28"/>
        <v>2368.44</v>
      </c>
      <c r="F300" s="4">
        <f t="shared" si="29"/>
        <v>-2.0949999999997999</v>
      </c>
      <c r="G300" s="4">
        <f t="shared" si="30"/>
        <v>2.0949999999997999</v>
      </c>
      <c r="W300" s="59">
        <f t="shared" si="31"/>
        <v>-2.5406644299024541E-3</v>
      </c>
      <c r="X300" s="59">
        <f t="shared" si="32"/>
        <v>-1.261533779892076E-2</v>
      </c>
      <c r="Y300" s="59">
        <f t="shared" si="33"/>
        <v>-1.3289944278979948E-2</v>
      </c>
    </row>
    <row r="301" spans="1:25" x14ac:dyDescent="0.3">
      <c r="A301" s="2">
        <v>43686</v>
      </c>
      <c r="B301" s="1">
        <v>50.247500000000002</v>
      </c>
      <c r="C301" s="1">
        <v>1807.58</v>
      </c>
      <c r="D301" s="1">
        <v>187.85</v>
      </c>
      <c r="E301" s="3">
        <f t="shared" si="28"/>
        <v>2370.5349999999999</v>
      </c>
      <c r="F301" s="4">
        <f t="shared" si="29"/>
        <v>-34.920000000000982</v>
      </c>
      <c r="G301" s="4">
        <f t="shared" si="30"/>
        <v>34.920000000000982</v>
      </c>
      <c r="W301" s="59">
        <f t="shared" si="31"/>
        <v>-1.2066809786199935E-2</v>
      </c>
      <c r="X301" s="59">
        <f t="shared" si="32"/>
        <v>-1.3905022046767468E-2</v>
      </c>
      <c r="Y301" s="59">
        <f t="shared" si="33"/>
        <v>-1.2222051031960598E-2</v>
      </c>
    </row>
    <row r="302" spans="1:25" x14ac:dyDescent="0.3">
      <c r="A302" s="2">
        <v>43685</v>
      </c>
      <c r="B302" s="1">
        <v>50.857500000000002</v>
      </c>
      <c r="C302" s="1">
        <v>1832.89</v>
      </c>
      <c r="D302" s="1">
        <v>190.16</v>
      </c>
      <c r="E302" s="3">
        <f t="shared" si="28"/>
        <v>2405.4550000000008</v>
      </c>
      <c r="F302" s="4">
        <f t="shared" si="29"/>
        <v>33.655000000000655</v>
      </c>
      <c r="G302" s="4">
        <f t="shared" si="30"/>
        <v>-33.655000000000655</v>
      </c>
      <c r="W302" s="59">
        <f t="shared" si="31"/>
        <v>2.1816155813045975E-2</v>
      </c>
      <c r="X302" s="59">
        <f t="shared" si="32"/>
        <v>2.1780696609956279E-2</v>
      </c>
      <c r="Y302" s="59">
        <f t="shared" si="33"/>
        <v>2.6699515692316635E-2</v>
      </c>
    </row>
    <row r="303" spans="1:25" x14ac:dyDescent="0.3">
      <c r="A303" s="2">
        <v>43684</v>
      </c>
      <c r="B303" s="1">
        <v>49.76</v>
      </c>
      <c r="C303" s="1">
        <v>1793.4</v>
      </c>
      <c r="D303" s="1">
        <v>185.15</v>
      </c>
      <c r="E303" s="3">
        <f t="shared" si="28"/>
        <v>2371.8000000000002</v>
      </c>
      <c r="F303" s="4">
        <f t="shared" si="29"/>
        <v>23.840000000000146</v>
      </c>
      <c r="G303" s="4">
        <f t="shared" si="30"/>
        <v>-23.840000000000146</v>
      </c>
      <c r="W303" s="59">
        <f t="shared" si="31"/>
        <v>1.0302080812826029E-2</v>
      </c>
      <c r="X303" s="59">
        <f t="shared" si="32"/>
        <v>3.110665604492237E-3</v>
      </c>
      <c r="Y303" s="59">
        <f t="shared" si="33"/>
        <v>3.4626448058306921E-3</v>
      </c>
    </row>
    <row r="304" spans="1:25" x14ac:dyDescent="0.3">
      <c r="A304" s="2">
        <v>43683</v>
      </c>
      <c r="B304" s="1">
        <v>49.25</v>
      </c>
      <c r="C304" s="1">
        <v>1787.83</v>
      </c>
      <c r="D304" s="1">
        <v>184.51</v>
      </c>
      <c r="E304" s="3">
        <f t="shared" si="28"/>
        <v>2347.96</v>
      </c>
      <c r="F304" s="4">
        <f t="shared" si="29"/>
        <v>35.549999999999727</v>
      </c>
      <c r="G304" s="4">
        <f t="shared" si="30"/>
        <v>-35.549999999999727</v>
      </c>
      <c r="W304" s="59">
        <f t="shared" si="31"/>
        <v>1.8753431701529048E-2</v>
      </c>
      <c r="X304" s="59">
        <f t="shared" si="32"/>
        <v>1.2778251867474588E-2</v>
      </c>
      <c r="Y304" s="59">
        <f t="shared" si="33"/>
        <v>1.5181593460621109E-2</v>
      </c>
    </row>
    <row r="305" spans="1:25" x14ac:dyDescent="0.3">
      <c r="A305" s="2">
        <v>43682</v>
      </c>
      <c r="B305" s="1">
        <v>48.335000000000001</v>
      </c>
      <c r="C305" s="1">
        <v>1765.13</v>
      </c>
      <c r="D305" s="1">
        <v>181.73</v>
      </c>
      <c r="E305" s="3">
        <f t="shared" si="28"/>
        <v>2312.4100000000003</v>
      </c>
      <c r="F305" s="4">
        <f t="shared" si="29"/>
        <v>-103.91999999999916</v>
      </c>
      <c r="G305" s="4">
        <f t="shared" si="30"/>
        <v>103.91999999999916</v>
      </c>
      <c r="W305" s="59">
        <f t="shared" si="31"/>
        <v>-5.3767731217913485E-2</v>
      </c>
      <c r="X305" s="59">
        <f t="shared" si="32"/>
        <v>-3.2390796091953757E-2</v>
      </c>
      <c r="Y305" s="59">
        <f t="shared" si="33"/>
        <v>-3.9330760473740206E-2</v>
      </c>
    </row>
    <row r="306" spans="1:25" x14ac:dyDescent="0.3">
      <c r="A306" s="2">
        <v>43679</v>
      </c>
      <c r="B306" s="1">
        <v>51.005000000000003</v>
      </c>
      <c r="C306" s="1">
        <v>1823.24</v>
      </c>
      <c r="D306" s="1">
        <v>189.02</v>
      </c>
      <c r="E306" s="3">
        <f t="shared" si="28"/>
        <v>2416.3299999999995</v>
      </c>
      <c r="F306" s="4">
        <f t="shared" si="29"/>
        <v>-45.085000000000036</v>
      </c>
      <c r="G306" s="4">
        <f t="shared" si="30"/>
        <v>45.085000000000036</v>
      </c>
      <c r="W306" s="59">
        <f t="shared" si="31"/>
        <v>-2.1385225199206482E-2</v>
      </c>
      <c r="X306" s="59">
        <f t="shared" si="32"/>
        <v>-1.7442049764569166E-2</v>
      </c>
      <c r="Y306" s="59">
        <f t="shared" si="33"/>
        <v>-1.9437416144049962E-2</v>
      </c>
    </row>
    <row r="307" spans="1:25" x14ac:dyDescent="0.3">
      <c r="A307" s="2">
        <v>43678</v>
      </c>
      <c r="B307" s="1">
        <v>52.107500000000002</v>
      </c>
      <c r="C307" s="1">
        <v>1855.32</v>
      </c>
      <c r="D307" s="1">
        <v>192.73</v>
      </c>
      <c r="E307" s="3">
        <f t="shared" si="28"/>
        <v>2461.4149999999995</v>
      </c>
      <c r="F307" s="4">
        <f t="shared" si="29"/>
        <v>-50.545000000000073</v>
      </c>
      <c r="G307" s="4">
        <f t="shared" si="30"/>
        <v>50.545000000000073</v>
      </c>
      <c r="W307" s="59">
        <f t="shared" si="31"/>
        <v>-2.1876688052097398E-2</v>
      </c>
      <c r="X307" s="59">
        <f t="shared" si="32"/>
        <v>-6.1578335953040905E-3</v>
      </c>
      <c r="Y307" s="59">
        <f t="shared" si="33"/>
        <v>-7.7527781330813551E-3</v>
      </c>
    </row>
    <row r="308" spans="1:25" x14ac:dyDescent="0.3">
      <c r="A308" s="2">
        <v>43677</v>
      </c>
      <c r="B308" s="1">
        <v>53.26</v>
      </c>
      <c r="C308" s="1">
        <v>1866.78</v>
      </c>
      <c r="D308" s="1">
        <v>194.23</v>
      </c>
      <c r="E308" s="3">
        <f t="shared" si="28"/>
        <v>2511.9599999999996</v>
      </c>
      <c r="F308" s="4">
        <f t="shared" si="29"/>
        <v>45.949999999999818</v>
      </c>
      <c r="G308" s="4">
        <f t="shared" si="30"/>
        <v>-45.949999999999818</v>
      </c>
      <c r="W308" s="59">
        <f t="shared" si="31"/>
        <v>2.0198875525524452E-2</v>
      </c>
      <c r="X308" s="59">
        <f t="shared" si="32"/>
        <v>-1.6864880998106981E-2</v>
      </c>
      <c r="Y308" s="59">
        <f t="shared" si="33"/>
        <v>-1.4363729968241062E-2</v>
      </c>
    </row>
    <row r="309" spans="1:25" x14ac:dyDescent="0.3">
      <c r="A309" s="2">
        <v>43676</v>
      </c>
      <c r="B309" s="1">
        <v>52.195</v>
      </c>
      <c r="C309" s="1">
        <v>1898.53</v>
      </c>
      <c r="D309" s="1">
        <v>197.04</v>
      </c>
      <c r="E309" s="3">
        <f t="shared" si="28"/>
        <v>2466.0099999999998</v>
      </c>
      <c r="F309" s="4">
        <f t="shared" si="29"/>
        <v>-61.089999999999691</v>
      </c>
      <c r="G309" s="4">
        <f t="shared" si="30"/>
        <v>61.089999999999691</v>
      </c>
      <c r="W309" s="59">
        <f t="shared" si="31"/>
        <v>-4.3014930349985717E-3</v>
      </c>
      <c r="X309" s="59">
        <f t="shared" si="32"/>
        <v>-7.3052400721718485E-3</v>
      </c>
      <c r="Y309" s="59">
        <f t="shared" si="33"/>
        <v>5.5982638957863002E-3</v>
      </c>
    </row>
    <row r="310" spans="1:25" x14ac:dyDescent="0.3">
      <c r="A310" s="2">
        <v>43675</v>
      </c>
      <c r="B310" s="1">
        <v>52.42</v>
      </c>
      <c r="C310" s="1">
        <v>1912.45</v>
      </c>
      <c r="D310" s="1">
        <v>195.94</v>
      </c>
      <c r="E310" s="3">
        <f t="shared" si="28"/>
        <v>2527.0999999999995</v>
      </c>
      <c r="F310" s="4">
        <f t="shared" si="29"/>
        <v>39.249999999999091</v>
      </c>
      <c r="G310" s="4">
        <f t="shared" si="30"/>
        <v>-39.249999999999091</v>
      </c>
      <c r="W310" s="59">
        <f t="shared" si="31"/>
        <v>9.2952612154856042E-3</v>
      </c>
      <c r="X310" s="59">
        <f t="shared" si="32"/>
        <v>-1.5873760880211044E-2</v>
      </c>
      <c r="Y310" s="59">
        <f t="shared" si="33"/>
        <v>-1.9258094729887799E-2</v>
      </c>
    </row>
    <row r="311" spans="1:25" x14ac:dyDescent="0.3">
      <c r="A311" s="2">
        <v>43672</v>
      </c>
      <c r="B311" s="1">
        <v>51.935000000000002</v>
      </c>
      <c r="C311" s="1">
        <v>1943.05</v>
      </c>
      <c r="D311" s="1">
        <v>199.75</v>
      </c>
      <c r="E311" s="3">
        <f t="shared" si="28"/>
        <v>2487.8500000000004</v>
      </c>
      <c r="F311" s="4">
        <f t="shared" si="29"/>
        <v>-33.339999999998781</v>
      </c>
      <c r="G311" s="4">
        <f t="shared" si="30"/>
        <v>33.339999999998781</v>
      </c>
      <c r="W311" s="59">
        <f t="shared" si="31"/>
        <v>3.4718908440613287E-3</v>
      </c>
      <c r="X311" s="59">
        <f t="shared" si="32"/>
        <v>-1.5711847977152776E-2</v>
      </c>
      <c r="Y311" s="59">
        <f t="shared" si="33"/>
        <v>-4.7944955250177291E-3</v>
      </c>
    </row>
    <row r="312" spans="1:25" x14ac:dyDescent="0.3">
      <c r="A312" s="2">
        <v>43671</v>
      </c>
      <c r="B312" s="1">
        <v>51.755000000000003</v>
      </c>
      <c r="C312" s="1">
        <v>1973.82</v>
      </c>
      <c r="D312" s="1">
        <v>200.71</v>
      </c>
      <c r="E312" s="3">
        <f t="shared" si="28"/>
        <v>2521.1899999999991</v>
      </c>
      <c r="F312" s="4">
        <f t="shared" si="29"/>
        <v>4.3949999999990723</v>
      </c>
      <c r="G312" s="4">
        <f t="shared" si="30"/>
        <v>-4.3949999999990723</v>
      </c>
      <c r="W312" s="59">
        <f t="shared" si="31"/>
        <v>-7.9386497896891048E-3</v>
      </c>
      <c r="X312" s="59">
        <f t="shared" si="32"/>
        <v>-1.35813471262688E-2</v>
      </c>
      <c r="Y312" s="59">
        <f t="shared" si="33"/>
        <v>-1.9488985487207566E-2</v>
      </c>
    </row>
    <row r="313" spans="1:25" x14ac:dyDescent="0.3">
      <c r="A313" s="2">
        <v>43670</v>
      </c>
      <c r="B313" s="1">
        <v>52.167499999999997</v>
      </c>
      <c r="C313" s="1">
        <v>2000.81</v>
      </c>
      <c r="D313" s="1">
        <v>204.66</v>
      </c>
      <c r="E313" s="3">
        <f t="shared" si="28"/>
        <v>2516.7950000000001</v>
      </c>
      <c r="F313" s="4">
        <f t="shared" si="29"/>
        <v>-35.484999999999218</v>
      </c>
      <c r="G313" s="4">
        <f t="shared" si="30"/>
        <v>35.484999999999218</v>
      </c>
      <c r="W313" s="59">
        <f t="shared" si="31"/>
        <v>-8.1435179705833594E-4</v>
      </c>
      <c r="X313" s="59">
        <f t="shared" si="32"/>
        <v>3.1637200067435533E-3</v>
      </c>
      <c r="Y313" s="59">
        <f t="shared" si="33"/>
        <v>1.1301776234874021E-2</v>
      </c>
    </row>
    <row r="314" spans="1:25" x14ac:dyDescent="0.3">
      <c r="A314" s="2">
        <v>43669</v>
      </c>
      <c r="B314" s="1">
        <v>52.21</v>
      </c>
      <c r="C314" s="1">
        <v>1994.49</v>
      </c>
      <c r="D314" s="1">
        <v>202.36</v>
      </c>
      <c r="E314" s="3">
        <f t="shared" si="28"/>
        <v>2552.2799999999993</v>
      </c>
      <c r="F314" s="4">
        <f t="shared" si="29"/>
        <v>37.169999999998709</v>
      </c>
      <c r="G314" s="4">
        <f t="shared" si="30"/>
        <v>-37.169999999998709</v>
      </c>
      <c r="W314" s="59">
        <f t="shared" si="31"/>
        <v>7.7873777187458899E-3</v>
      </c>
      <c r="X314" s="59">
        <f t="shared" si="32"/>
        <v>4.4521344255298119E-3</v>
      </c>
      <c r="Y314" s="59">
        <f t="shared" si="33"/>
        <v>1.9768706202576516E-4</v>
      </c>
    </row>
    <row r="315" spans="1:25" x14ac:dyDescent="0.3">
      <c r="A315" s="2">
        <v>43668</v>
      </c>
      <c r="B315" s="1">
        <v>51.805</v>
      </c>
      <c r="C315" s="1">
        <v>1985.63</v>
      </c>
      <c r="D315" s="1">
        <v>202.32</v>
      </c>
      <c r="E315" s="3">
        <f t="shared" si="28"/>
        <v>2515.1100000000006</v>
      </c>
      <c r="F315" s="4">
        <f t="shared" si="29"/>
        <v>20.895000000000891</v>
      </c>
      <c r="G315" s="4">
        <f t="shared" si="30"/>
        <v>-20.895000000000891</v>
      </c>
      <c r="W315" s="59">
        <f t="shared" si="31"/>
        <v>2.2596798568745524E-2</v>
      </c>
      <c r="X315" s="59">
        <f t="shared" si="32"/>
        <v>1.0688303465195049E-2</v>
      </c>
      <c r="Y315" s="59">
        <f t="shared" si="33"/>
        <v>1.9767040740776582E-2</v>
      </c>
    </row>
    <row r="316" spans="1:25" x14ac:dyDescent="0.3">
      <c r="A316" s="2">
        <v>43665</v>
      </c>
      <c r="B316" s="1">
        <v>50.647500000000001</v>
      </c>
      <c r="C316" s="1">
        <v>1964.52</v>
      </c>
      <c r="D316" s="1">
        <v>198.36</v>
      </c>
      <c r="E316" s="3">
        <f t="shared" si="28"/>
        <v>2494.2149999999997</v>
      </c>
      <c r="F316" s="4">
        <f t="shared" si="29"/>
        <v>-16.735000000000582</v>
      </c>
      <c r="G316" s="4">
        <f t="shared" si="30"/>
        <v>16.735000000000582</v>
      </c>
      <c r="W316" s="59">
        <f t="shared" si="31"/>
        <v>-1.5040087546184295E-2</v>
      </c>
      <c r="X316" s="59">
        <f t="shared" si="32"/>
        <v>-6.7877351331131304E-3</v>
      </c>
      <c r="Y316" s="59">
        <f t="shared" si="33"/>
        <v>-1.2126219642447289E-2</v>
      </c>
    </row>
    <row r="317" spans="1:25" x14ac:dyDescent="0.3">
      <c r="A317" s="2">
        <v>43664</v>
      </c>
      <c r="B317" s="1">
        <v>51.414999999999999</v>
      </c>
      <c r="C317" s="1">
        <v>1977.9</v>
      </c>
      <c r="D317" s="1">
        <v>200.78</v>
      </c>
      <c r="E317" s="3">
        <f t="shared" si="28"/>
        <v>2510.9500000000003</v>
      </c>
      <c r="F317" s="4">
        <f t="shared" si="29"/>
        <v>21.015000000000782</v>
      </c>
      <c r="G317" s="4">
        <f t="shared" si="30"/>
        <v>-21.015000000000782</v>
      </c>
      <c r="W317" s="59">
        <f t="shared" si="31"/>
        <v>1.129568744781095E-2</v>
      </c>
      <c r="X317" s="59">
        <f t="shared" si="32"/>
        <v>-7.1185434847394089E-3</v>
      </c>
      <c r="Y317" s="59">
        <f t="shared" si="33"/>
        <v>-5.0673266561280716E-3</v>
      </c>
    </row>
    <row r="318" spans="1:25" x14ac:dyDescent="0.3">
      <c r="A318" s="2">
        <v>43663</v>
      </c>
      <c r="B318" s="1">
        <v>50.837499999999999</v>
      </c>
      <c r="C318" s="1">
        <v>1992.03</v>
      </c>
      <c r="D318" s="1">
        <v>201.8</v>
      </c>
      <c r="E318" s="3">
        <f t="shared" si="28"/>
        <v>2489.9349999999995</v>
      </c>
      <c r="F318" s="4">
        <f t="shared" si="29"/>
        <v>-9.3150000000005093</v>
      </c>
      <c r="G318" s="4">
        <f t="shared" si="30"/>
        <v>9.3150000000005093</v>
      </c>
      <c r="W318" s="59">
        <f t="shared" si="31"/>
        <v>-5.6393431296228721E-3</v>
      </c>
      <c r="X318" s="59">
        <f t="shared" si="32"/>
        <v>-8.930750299603064E-3</v>
      </c>
      <c r="Y318" s="59">
        <f t="shared" si="33"/>
        <v>-1.0058264464289939E-2</v>
      </c>
    </row>
    <row r="319" spans="1:25" x14ac:dyDescent="0.3">
      <c r="A319" s="2">
        <v>43662</v>
      </c>
      <c r="B319" s="1">
        <v>51.125</v>
      </c>
      <c r="C319" s="1">
        <v>2009.9</v>
      </c>
      <c r="D319" s="1">
        <v>203.84</v>
      </c>
      <c r="E319" s="3">
        <f t="shared" si="28"/>
        <v>2499.25</v>
      </c>
      <c r="F319" s="4">
        <f t="shared" si="29"/>
        <v>-29.654999999999745</v>
      </c>
      <c r="G319" s="4">
        <f t="shared" si="30"/>
        <v>29.654999999999745</v>
      </c>
      <c r="W319" s="59">
        <f t="shared" si="31"/>
        <v>-3.4658695698165896E-3</v>
      </c>
      <c r="X319" s="59">
        <f t="shared" si="32"/>
        <v>-5.502520774151148E-3</v>
      </c>
      <c r="Y319" s="59">
        <f t="shared" si="33"/>
        <v>-3.4334764285801625E-4</v>
      </c>
    </row>
    <row r="320" spans="1:25" x14ac:dyDescent="0.3">
      <c r="A320" s="2">
        <v>43661</v>
      </c>
      <c r="B320" s="1">
        <v>51.302500000000002</v>
      </c>
      <c r="C320" s="1">
        <v>2020.99</v>
      </c>
      <c r="D320" s="1">
        <v>203.91</v>
      </c>
      <c r="E320" s="3">
        <f t="shared" si="28"/>
        <v>2528.9049999999997</v>
      </c>
      <c r="F320" s="4">
        <f t="shared" si="29"/>
        <v>63.054999999999382</v>
      </c>
      <c r="G320" s="4">
        <f t="shared" si="30"/>
        <v>-63.054999999999382</v>
      </c>
      <c r="W320" s="59">
        <f t="shared" si="31"/>
        <v>9.351124418371954E-3</v>
      </c>
      <c r="X320" s="59">
        <f t="shared" si="32"/>
        <v>4.955379573205426E-3</v>
      </c>
      <c r="Y320" s="59">
        <f t="shared" si="33"/>
        <v>-4.6969116144510402E-3</v>
      </c>
    </row>
    <row r="321" spans="1:25" x14ac:dyDescent="0.3">
      <c r="A321" s="2">
        <v>43658</v>
      </c>
      <c r="B321" s="1">
        <v>50.825000000000003</v>
      </c>
      <c r="C321" s="1">
        <v>2011</v>
      </c>
      <c r="D321" s="1">
        <v>204.87</v>
      </c>
      <c r="E321" s="3">
        <f t="shared" si="28"/>
        <v>2465.8500000000004</v>
      </c>
      <c r="F321" s="4">
        <f t="shared" si="29"/>
        <v>-33.564999999999145</v>
      </c>
      <c r="G321" s="4">
        <f t="shared" si="30"/>
        <v>33.564999999999145</v>
      </c>
      <c r="W321" s="59">
        <f t="shared" si="31"/>
        <v>7.6534134842428025E-3</v>
      </c>
      <c r="X321" s="59">
        <f t="shared" si="32"/>
        <v>4.9500732920467845E-3</v>
      </c>
      <c r="Y321" s="59">
        <f t="shared" si="33"/>
        <v>1.7927099162830758E-2</v>
      </c>
    </row>
    <row r="322" spans="1:25" x14ac:dyDescent="0.3">
      <c r="A322" s="2">
        <v>43657</v>
      </c>
      <c r="B322" s="1">
        <v>50.4375</v>
      </c>
      <c r="C322" s="1">
        <v>2001.07</v>
      </c>
      <c r="D322" s="1">
        <v>201.23</v>
      </c>
      <c r="E322" s="3">
        <f t="shared" si="28"/>
        <v>2499.4149999999995</v>
      </c>
      <c r="F322" s="4">
        <f t="shared" si="29"/>
        <v>-21.180000000000291</v>
      </c>
      <c r="G322" s="4">
        <f t="shared" si="30"/>
        <v>21.180000000000291</v>
      </c>
      <c r="W322" s="59">
        <f t="shared" si="31"/>
        <v>-7.3090354521574653E-3</v>
      </c>
      <c r="X322" s="59">
        <f t="shared" si="32"/>
        <v>-8.132473003030322E-3</v>
      </c>
      <c r="Y322" s="59">
        <f t="shared" si="33"/>
        <v>-7.4265120018255845E-3</v>
      </c>
    </row>
    <row r="323" spans="1:25" x14ac:dyDescent="0.3">
      <c r="A323" s="2">
        <v>43656</v>
      </c>
      <c r="B323" s="1">
        <v>50.807499999999997</v>
      </c>
      <c r="C323" s="1">
        <v>2017.41</v>
      </c>
      <c r="D323" s="1">
        <v>202.73</v>
      </c>
      <c r="E323" s="3">
        <f t="shared" si="28"/>
        <v>2520.5949999999998</v>
      </c>
      <c r="F323" s="4">
        <f t="shared" si="29"/>
        <v>12.694999999999709</v>
      </c>
      <c r="G323" s="4">
        <f t="shared" si="30"/>
        <v>-12.694999999999709</v>
      </c>
      <c r="W323" s="59">
        <f t="shared" si="31"/>
        <v>9.8401169790978977E-3</v>
      </c>
      <c r="X323" s="59">
        <f t="shared" si="32"/>
        <v>1.4534508219600249E-2</v>
      </c>
      <c r="Y323" s="59">
        <f t="shared" si="33"/>
        <v>1.7515499786409813E-2</v>
      </c>
    </row>
    <row r="324" spans="1:25" x14ac:dyDescent="0.3">
      <c r="A324" s="2">
        <v>43655</v>
      </c>
      <c r="B324" s="1">
        <v>50.31</v>
      </c>
      <c r="C324" s="1">
        <v>1988.3</v>
      </c>
      <c r="D324" s="1">
        <v>199.21</v>
      </c>
      <c r="E324" s="3">
        <f t="shared" si="28"/>
        <v>2507.9</v>
      </c>
      <c r="F324" s="4">
        <f t="shared" si="29"/>
        <v>18.210000000000491</v>
      </c>
      <c r="G324" s="4">
        <f t="shared" si="30"/>
        <v>-18.210000000000491</v>
      </c>
      <c r="W324" s="59">
        <f t="shared" si="31"/>
        <v>6.0808640747477107E-3</v>
      </c>
      <c r="X324" s="59">
        <f t="shared" si="32"/>
        <v>1.8261593300547899E-2</v>
      </c>
      <c r="Y324" s="59">
        <f t="shared" si="33"/>
        <v>1.7470125559276496E-2</v>
      </c>
    </row>
    <row r="325" spans="1:25" x14ac:dyDescent="0.3">
      <c r="A325" s="2">
        <v>43654</v>
      </c>
      <c r="B325" s="1">
        <v>50.005000000000003</v>
      </c>
      <c r="C325" s="1">
        <v>1952.32</v>
      </c>
      <c r="D325" s="1">
        <v>195.76</v>
      </c>
      <c r="E325" s="3">
        <f t="shared" si="28"/>
        <v>2489.6899999999996</v>
      </c>
      <c r="F325" s="4">
        <f t="shared" si="29"/>
        <v>-21.005000000000109</v>
      </c>
      <c r="G325" s="4">
        <f t="shared" si="30"/>
        <v>21.005000000000109</v>
      </c>
      <c r="W325" s="59">
        <f t="shared" si="31"/>
        <v>-2.0829448180696448E-2</v>
      </c>
      <c r="X325" s="59">
        <f t="shared" si="32"/>
        <v>4.8315597823778075E-3</v>
      </c>
      <c r="Y325" s="59">
        <f t="shared" si="33"/>
        <v>-3.2639767859493425E-3</v>
      </c>
    </row>
    <row r="326" spans="1:25" x14ac:dyDescent="0.3">
      <c r="A326" s="2">
        <v>43651</v>
      </c>
      <c r="B326" s="1">
        <v>51.057499999999997</v>
      </c>
      <c r="C326" s="1">
        <v>1942.91</v>
      </c>
      <c r="D326" s="1">
        <v>196.4</v>
      </c>
      <c r="E326" s="3">
        <f t="shared" ref="E326:E389" si="34">50*B326+2*C326-20*D326</f>
        <v>2510.6949999999997</v>
      </c>
      <c r="F326" s="4">
        <f t="shared" ref="F326:F389" si="35">E326-E327</f>
        <v>21.569999999999709</v>
      </c>
      <c r="G326" s="4">
        <f t="shared" ref="G326:G389" si="36">-F326</f>
        <v>-21.569999999999709</v>
      </c>
      <c r="W326" s="59">
        <f t="shared" ref="W326:W389" si="37">LN(B326/B327)</f>
        <v>-8.8097108281940133E-4</v>
      </c>
      <c r="X326" s="59">
        <f t="shared" ref="X326:X389" si="38">LN(C326/C327)</f>
        <v>2.0144729384579375E-3</v>
      </c>
      <c r="Y326" s="59">
        <f t="shared" ref="Y326:Y389" si="39">LN(D326/D327)</f>
        <v>-4.0650462481694452E-3</v>
      </c>
    </row>
    <row r="327" spans="1:25" x14ac:dyDescent="0.3">
      <c r="A327" s="2">
        <v>43650</v>
      </c>
      <c r="B327" s="1">
        <v>51.102499999999999</v>
      </c>
      <c r="C327" s="1">
        <v>1939</v>
      </c>
      <c r="D327" s="1">
        <v>197.2</v>
      </c>
      <c r="E327" s="3">
        <f t="shared" si="34"/>
        <v>2489.125</v>
      </c>
      <c r="F327" s="4">
        <f t="shared" si="35"/>
        <v>0</v>
      </c>
      <c r="G327" s="4">
        <f t="shared" si="36"/>
        <v>0</v>
      </c>
      <c r="W327" s="59">
        <f t="shared" si="37"/>
        <v>0</v>
      </c>
      <c r="X327" s="59">
        <f t="shared" si="38"/>
        <v>0</v>
      </c>
      <c r="Y327" s="59">
        <f t="shared" si="39"/>
        <v>0</v>
      </c>
    </row>
    <row r="328" spans="1:25" x14ac:dyDescent="0.3">
      <c r="A328" s="2">
        <v>43649</v>
      </c>
      <c r="B328" s="1">
        <v>51.102499999999999</v>
      </c>
      <c r="C328" s="1">
        <v>1939</v>
      </c>
      <c r="D328" s="1">
        <v>197.2</v>
      </c>
      <c r="E328" s="3">
        <f t="shared" si="34"/>
        <v>2489.125</v>
      </c>
      <c r="F328" s="4">
        <f t="shared" si="35"/>
        <v>-13.619999999999891</v>
      </c>
      <c r="G328" s="4">
        <f t="shared" si="36"/>
        <v>13.619999999999891</v>
      </c>
      <c r="W328" s="59">
        <f t="shared" si="37"/>
        <v>8.2527363317833856E-3</v>
      </c>
      <c r="X328" s="59">
        <f t="shared" si="38"/>
        <v>2.4217025190846984E-3</v>
      </c>
      <c r="Y328" s="59">
        <f t="shared" si="39"/>
        <v>1.1218883604788244E-2</v>
      </c>
    </row>
    <row r="329" spans="1:25" x14ac:dyDescent="0.3">
      <c r="A329" s="2">
        <v>43648</v>
      </c>
      <c r="B329" s="1">
        <v>50.682499999999997</v>
      </c>
      <c r="C329" s="1">
        <v>1934.31</v>
      </c>
      <c r="D329" s="1">
        <v>195</v>
      </c>
      <c r="E329" s="3">
        <f t="shared" si="34"/>
        <v>2502.7449999999999</v>
      </c>
      <c r="F329" s="4">
        <f t="shared" si="35"/>
        <v>-1.0100000000002183</v>
      </c>
      <c r="G329" s="4">
        <f t="shared" si="36"/>
        <v>1.0100000000002183</v>
      </c>
      <c r="W329" s="59">
        <f t="shared" si="37"/>
        <v>5.837554916927553E-3</v>
      </c>
      <c r="X329" s="59">
        <f t="shared" si="38"/>
        <v>6.285512720197348E-3</v>
      </c>
      <c r="Y329" s="59">
        <f t="shared" si="39"/>
        <v>1.0309369658861287E-2</v>
      </c>
    </row>
    <row r="330" spans="1:25" x14ac:dyDescent="0.3">
      <c r="A330" s="2">
        <v>43647</v>
      </c>
      <c r="B330" s="1">
        <v>50.387500000000003</v>
      </c>
      <c r="C330" s="1">
        <v>1922.19</v>
      </c>
      <c r="D330" s="1">
        <v>193</v>
      </c>
      <c r="E330" s="3">
        <f t="shared" si="34"/>
        <v>2503.7550000000001</v>
      </c>
      <c r="F330" s="4">
        <f t="shared" si="35"/>
        <v>102.49499999999989</v>
      </c>
      <c r="G330" s="4">
        <f t="shared" si="36"/>
        <v>-102.49499999999989</v>
      </c>
      <c r="W330" s="59">
        <f t="shared" si="37"/>
        <v>1.8174580918997062E-2</v>
      </c>
      <c r="X330" s="59">
        <f t="shared" si="38"/>
        <v>1.4969539090055368E-2</v>
      </c>
      <c r="Y330" s="59">
        <f t="shared" si="39"/>
        <v>0</v>
      </c>
    </row>
    <row r="331" spans="1:25" x14ac:dyDescent="0.3">
      <c r="A331" s="2">
        <v>43644</v>
      </c>
      <c r="B331" s="1">
        <v>49.48</v>
      </c>
      <c r="C331" s="1">
        <v>1893.63</v>
      </c>
      <c r="D331" s="1">
        <v>193</v>
      </c>
      <c r="E331" s="3">
        <f t="shared" si="34"/>
        <v>2401.2600000000002</v>
      </c>
      <c r="F331" s="4">
        <f t="shared" si="35"/>
        <v>-114.04999999999927</v>
      </c>
      <c r="G331" s="4">
        <f t="shared" si="36"/>
        <v>114.04999999999927</v>
      </c>
      <c r="W331" s="59">
        <f t="shared" si="37"/>
        <v>-9.1536121708109645E-3</v>
      </c>
      <c r="X331" s="59">
        <f t="shared" si="38"/>
        <v>-5.6083624494366957E-3</v>
      </c>
      <c r="Y331" s="59">
        <f t="shared" si="39"/>
        <v>1.8301164382404443E-2</v>
      </c>
    </row>
    <row r="332" spans="1:25" x14ac:dyDescent="0.3">
      <c r="A332" s="2">
        <v>43643</v>
      </c>
      <c r="B332" s="1">
        <v>49.935000000000002</v>
      </c>
      <c r="C332" s="1">
        <v>1904.28</v>
      </c>
      <c r="D332" s="1">
        <v>189.5</v>
      </c>
      <c r="E332" s="3">
        <f t="shared" si="34"/>
        <v>2515.3099999999995</v>
      </c>
      <c r="F332" s="4">
        <f t="shared" si="35"/>
        <v>-24.650000000000546</v>
      </c>
      <c r="G332" s="4">
        <f t="shared" si="36"/>
        <v>24.650000000000546</v>
      </c>
      <c r="W332" s="59">
        <f t="shared" si="37"/>
        <v>-3.0034539946452812E-4</v>
      </c>
      <c r="X332" s="59">
        <f t="shared" si="38"/>
        <v>3.3928561706082451E-3</v>
      </c>
      <c r="Y332" s="59">
        <f t="shared" si="39"/>
        <v>9.7572096605773578E-3</v>
      </c>
    </row>
    <row r="333" spans="1:25" x14ac:dyDescent="0.3">
      <c r="A333" s="2">
        <v>43642</v>
      </c>
      <c r="B333" s="1">
        <v>49.95</v>
      </c>
      <c r="C333" s="1">
        <v>1897.83</v>
      </c>
      <c r="D333" s="1">
        <v>187.66</v>
      </c>
      <c r="E333" s="3">
        <f t="shared" si="34"/>
        <v>2539.96</v>
      </c>
      <c r="F333" s="4">
        <f t="shared" si="35"/>
        <v>115.59500000000025</v>
      </c>
      <c r="G333" s="4">
        <f t="shared" si="36"/>
        <v>-115.59500000000025</v>
      </c>
      <c r="W333" s="59">
        <f t="shared" si="37"/>
        <v>2.1398494609895607E-2</v>
      </c>
      <c r="X333" s="59">
        <f t="shared" si="38"/>
        <v>1.0359987789795034E-2</v>
      </c>
      <c r="Y333" s="59">
        <f t="shared" si="39"/>
        <v>-6.2682808161823953E-3</v>
      </c>
    </row>
    <row r="334" spans="1:25" x14ac:dyDescent="0.3">
      <c r="A334" s="2">
        <v>43641</v>
      </c>
      <c r="B334" s="1">
        <v>48.892499999999998</v>
      </c>
      <c r="C334" s="1">
        <v>1878.27</v>
      </c>
      <c r="D334" s="1">
        <v>188.84</v>
      </c>
      <c r="E334" s="3">
        <f t="shared" si="34"/>
        <v>2424.3649999999998</v>
      </c>
      <c r="F334" s="4">
        <f t="shared" si="35"/>
        <v>-33.6850000000004</v>
      </c>
      <c r="G334" s="4">
        <f t="shared" si="36"/>
        <v>33.6850000000004</v>
      </c>
      <c r="W334" s="59">
        <f t="shared" si="37"/>
        <v>-1.5273670000890454E-2</v>
      </c>
      <c r="X334" s="59">
        <f t="shared" si="38"/>
        <v>-1.8791904641679544E-2</v>
      </c>
      <c r="Y334" s="59">
        <f t="shared" si="39"/>
        <v>-1.9715403685939138E-2</v>
      </c>
    </row>
    <row r="335" spans="1:25" x14ac:dyDescent="0.3">
      <c r="A335" s="2">
        <v>43640</v>
      </c>
      <c r="B335" s="1">
        <v>49.645000000000003</v>
      </c>
      <c r="C335" s="1">
        <v>1913.9</v>
      </c>
      <c r="D335" s="1">
        <v>192.6</v>
      </c>
      <c r="E335" s="3">
        <f t="shared" si="34"/>
        <v>2458.0500000000002</v>
      </c>
      <c r="F335" s="4">
        <f t="shared" si="35"/>
        <v>-26.500000000000455</v>
      </c>
      <c r="G335" s="4">
        <f t="shared" si="36"/>
        <v>26.500000000000455</v>
      </c>
      <c r="W335" s="59">
        <f t="shared" si="37"/>
        <v>-1.0066439344114438E-3</v>
      </c>
      <c r="X335" s="59">
        <f t="shared" si="38"/>
        <v>1.3594062534753903E-3</v>
      </c>
      <c r="Y335" s="59">
        <f t="shared" si="39"/>
        <v>7.6093555259916183E-3</v>
      </c>
    </row>
    <row r="336" spans="1:25" x14ac:dyDescent="0.3">
      <c r="A336" s="2">
        <v>43637</v>
      </c>
      <c r="B336" s="1">
        <v>49.695</v>
      </c>
      <c r="C336" s="1">
        <v>1911.3</v>
      </c>
      <c r="D336" s="1">
        <v>191.14</v>
      </c>
      <c r="E336" s="3">
        <f t="shared" si="34"/>
        <v>2484.5500000000006</v>
      </c>
      <c r="F336" s="4">
        <f t="shared" si="35"/>
        <v>-54.479999999999563</v>
      </c>
      <c r="G336" s="4">
        <f t="shared" si="36"/>
        <v>54.479999999999563</v>
      </c>
      <c r="W336" s="59">
        <f t="shared" si="37"/>
        <v>-3.4150294338623809E-3</v>
      </c>
      <c r="X336" s="59">
        <f t="shared" si="38"/>
        <v>-3.5983942689819782E-3</v>
      </c>
      <c r="Y336" s="59">
        <f t="shared" si="39"/>
        <v>8.458820499824625E-3</v>
      </c>
    </row>
    <row r="337" spans="1:25" x14ac:dyDescent="0.3">
      <c r="A337" s="2">
        <v>43636</v>
      </c>
      <c r="B337" s="1">
        <v>49.865000000000002</v>
      </c>
      <c r="C337" s="1">
        <v>1918.19</v>
      </c>
      <c r="D337" s="1">
        <v>189.53</v>
      </c>
      <c r="E337" s="3">
        <f t="shared" si="34"/>
        <v>2539.0300000000002</v>
      </c>
      <c r="F337" s="4">
        <f t="shared" si="35"/>
        <v>-2.3249999999998181</v>
      </c>
      <c r="G337" s="4">
        <f t="shared" si="36"/>
        <v>2.3249999999998181</v>
      </c>
      <c r="W337" s="59">
        <f t="shared" si="37"/>
        <v>8.0034655693733085E-3</v>
      </c>
      <c r="X337" s="59">
        <f t="shared" si="38"/>
        <v>4.9124996231511859E-3</v>
      </c>
      <c r="Y337" s="59">
        <f t="shared" si="39"/>
        <v>1.0875150283703408E-2</v>
      </c>
    </row>
    <row r="338" spans="1:25" x14ac:dyDescent="0.3">
      <c r="A338" s="2">
        <v>43635</v>
      </c>
      <c r="B338" s="1">
        <v>49.467500000000001</v>
      </c>
      <c r="C338" s="1">
        <v>1908.79</v>
      </c>
      <c r="D338" s="1">
        <v>187.48</v>
      </c>
      <c r="E338" s="3">
        <f t="shared" si="34"/>
        <v>2541.355</v>
      </c>
      <c r="F338" s="4">
        <f t="shared" si="35"/>
        <v>27.390000000000327</v>
      </c>
      <c r="G338" s="4">
        <f t="shared" si="36"/>
        <v>-27.390000000000327</v>
      </c>
      <c r="W338" s="59">
        <f t="shared" si="37"/>
        <v>-2.9269298247256311E-3</v>
      </c>
      <c r="X338" s="59">
        <f t="shared" si="38"/>
        <v>3.8948544838260466E-3</v>
      </c>
      <c r="Y338" s="59">
        <f t="shared" si="39"/>
        <v>-5.2666699740310406E-3</v>
      </c>
    </row>
    <row r="339" spans="1:25" x14ac:dyDescent="0.3">
      <c r="A339" s="2">
        <v>43634</v>
      </c>
      <c r="B339" s="1">
        <v>49.612499999999997</v>
      </c>
      <c r="C339" s="1">
        <v>1901.37</v>
      </c>
      <c r="D339" s="1">
        <v>188.47</v>
      </c>
      <c r="E339" s="3">
        <f t="shared" si="34"/>
        <v>2513.9649999999997</v>
      </c>
      <c r="F339" s="4">
        <f t="shared" si="35"/>
        <v>98.480000000000018</v>
      </c>
      <c r="G339" s="4">
        <f t="shared" si="36"/>
        <v>-98.480000000000018</v>
      </c>
      <c r="W339" s="59">
        <f t="shared" si="37"/>
        <v>2.3246191286160529E-2</v>
      </c>
      <c r="X339" s="59">
        <f t="shared" si="38"/>
        <v>8.1005882048581241E-3</v>
      </c>
      <c r="Y339" s="59">
        <f t="shared" si="39"/>
        <v>-2.8610806843284904E-3</v>
      </c>
    </row>
    <row r="340" spans="1:25" x14ac:dyDescent="0.3">
      <c r="A340" s="2">
        <v>43633</v>
      </c>
      <c r="B340" s="1">
        <v>48.472499999999997</v>
      </c>
      <c r="C340" s="1">
        <v>1886.03</v>
      </c>
      <c r="D340" s="1">
        <v>189.01</v>
      </c>
      <c r="E340" s="3">
        <f t="shared" si="34"/>
        <v>2415.4849999999997</v>
      </c>
      <c r="F340" s="4">
        <f t="shared" si="35"/>
        <v>-106.50500000000011</v>
      </c>
      <c r="G340" s="4">
        <f t="shared" si="36"/>
        <v>106.50500000000011</v>
      </c>
      <c r="W340" s="59">
        <f t="shared" si="37"/>
        <v>5.9488575197722635E-3</v>
      </c>
      <c r="X340" s="59">
        <f t="shared" si="38"/>
        <v>8.7121460600681714E-3</v>
      </c>
      <c r="Y340" s="59">
        <f t="shared" si="39"/>
        <v>4.1481348046930565E-2</v>
      </c>
    </row>
    <row r="341" spans="1:25" x14ac:dyDescent="0.3">
      <c r="A341" s="2">
        <v>43630</v>
      </c>
      <c r="B341" s="1">
        <v>48.185000000000002</v>
      </c>
      <c r="C341" s="1">
        <v>1869.67</v>
      </c>
      <c r="D341" s="1">
        <v>181.33</v>
      </c>
      <c r="E341" s="3">
        <f t="shared" si="34"/>
        <v>2521.9899999999998</v>
      </c>
      <c r="F341" s="4">
        <f t="shared" si="35"/>
        <v>-96.085000000000491</v>
      </c>
      <c r="G341" s="4">
        <f t="shared" si="36"/>
        <v>96.085000000000491</v>
      </c>
      <c r="W341" s="59">
        <f t="shared" si="37"/>
        <v>-7.2889257545349579E-3</v>
      </c>
      <c r="X341" s="59">
        <f t="shared" si="38"/>
        <v>-3.3690110132365597E-4</v>
      </c>
      <c r="Y341" s="59">
        <f t="shared" si="39"/>
        <v>2.151699511946081E-2</v>
      </c>
    </row>
    <row r="342" spans="1:25" x14ac:dyDescent="0.3">
      <c r="A342" s="2">
        <v>43629</v>
      </c>
      <c r="B342" s="1">
        <v>48.537500000000001</v>
      </c>
      <c r="C342" s="1">
        <v>1870.3</v>
      </c>
      <c r="D342" s="1">
        <v>177.47</v>
      </c>
      <c r="E342" s="3">
        <f t="shared" si="34"/>
        <v>2618.0750000000003</v>
      </c>
      <c r="F342" s="4">
        <f t="shared" si="35"/>
        <v>-19.139999999999418</v>
      </c>
      <c r="G342" s="4">
        <f t="shared" si="36"/>
        <v>19.139999999999418</v>
      </c>
      <c r="W342" s="59">
        <f t="shared" si="37"/>
        <v>-2.0600504785213181E-4</v>
      </c>
      <c r="X342" s="59">
        <f t="shared" si="38"/>
        <v>8.0416578864508873E-3</v>
      </c>
      <c r="Y342" s="59">
        <f t="shared" si="39"/>
        <v>1.3787061312857252E-2</v>
      </c>
    </row>
    <row r="343" spans="1:25" x14ac:dyDescent="0.3">
      <c r="A343" s="2">
        <v>43628</v>
      </c>
      <c r="B343" s="1">
        <v>48.547499999999999</v>
      </c>
      <c r="C343" s="1">
        <v>1855.32</v>
      </c>
      <c r="D343" s="1">
        <v>175.04</v>
      </c>
      <c r="E343" s="3">
        <f t="shared" si="34"/>
        <v>2637.2149999999997</v>
      </c>
      <c r="F343" s="4">
        <f t="shared" si="35"/>
        <v>36.690000000000055</v>
      </c>
      <c r="G343" s="4">
        <f t="shared" si="36"/>
        <v>-36.690000000000055</v>
      </c>
      <c r="W343" s="59">
        <f t="shared" si="37"/>
        <v>-3.187663367584239E-3</v>
      </c>
      <c r="X343" s="59">
        <f t="shared" si="38"/>
        <v>-4.5065711841159421E-3</v>
      </c>
      <c r="Y343" s="59">
        <f t="shared" si="39"/>
        <v>-1.7330671061999554E-2</v>
      </c>
    </row>
    <row r="344" spans="1:25" x14ac:dyDescent="0.3">
      <c r="A344" s="2">
        <v>43627</v>
      </c>
      <c r="B344" s="1">
        <v>48.702500000000001</v>
      </c>
      <c r="C344" s="1">
        <v>1863.7</v>
      </c>
      <c r="D344" s="1">
        <v>178.1</v>
      </c>
      <c r="E344" s="3">
        <f t="shared" si="34"/>
        <v>2600.5249999999996</v>
      </c>
      <c r="F344" s="4">
        <f t="shared" si="35"/>
        <v>-31.585000000000946</v>
      </c>
      <c r="G344" s="4">
        <f t="shared" si="36"/>
        <v>31.585000000000946</v>
      </c>
      <c r="W344" s="59">
        <f t="shared" si="37"/>
        <v>1.1513072780974794E-2</v>
      </c>
      <c r="X344" s="59">
        <f t="shared" si="38"/>
        <v>1.6486190511264167E-3</v>
      </c>
      <c r="Y344" s="59">
        <f t="shared" si="39"/>
        <v>1.8588317143274188E-2</v>
      </c>
    </row>
    <row r="345" spans="1:25" x14ac:dyDescent="0.3">
      <c r="A345" s="2">
        <v>43626</v>
      </c>
      <c r="B345" s="1">
        <v>48.145000000000003</v>
      </c>
      <c r="C345" s="1">
        <v>1860.63</v>
      </c>
      <c r="D345" s="1">
        <v>174.82</v>
      </c>
      <c r="E345" s="3">
        <f t="shared" si="34"/>
        <v>2632.1100000000006</v>
      </c>
      <c r="F345" s="4">
        <f t="shared" si="35"/>
        <v>114.17500000000109</v>
      </c>
      <c r="G345" s="4">
        <f t="shared" si="36"/>
        <v>-114.17500000000109</v>
      </c>
      <c r="W345" s="59">
        <f t="shared" si="37"/>
        <v>1.2698417437869296E-2</v>
      </c>
      <c r="X345" s="59">
        <f t="shared" si="38"/>
        <v>3.089208883944445E-2</v>
      </c>
      <c r="Y345" s="59">
        <f t="shared" si="39"/>
        <v>8.4442010213094509E-3</v>
      </c>
    </row>
    <row r="346" spans="1:25" x14ac:dyDescent="0.3">
      <c r="A346" s="2">
        <v>43623</v>
      </c>
      <c r="B346" s="1">
        <v>47.537500000000001</v>
      </c>
      <c r="C346" s="1">
        <v>1804.03</v>
      </c>
      <c r="D346" s="1">
        <v>173.35</v>
      </c>
      <c r="E346" s="3">
        <f t="shared" si="34"/>
        <v>2517.9349999999995</v>
      </c>
      <c r="F346" s="4">
        <f t="shared" si="35"/>
        <v>60.565000000000509</v>
      </c>
      <c r="G346" s="4">
        <f t="shared" si="36"/>
        <v>-60.565000000000509</v>
      </c>
      <c r="W346" s="59">
        <f t="shared" si="37"/>
        <v>2.6268926632145719E-2</v>
      </c>
      <c r="X346" s="59">
        <f t="shared" si="38"/>
        <v>2.7918933169891351E-2</v>
      </c>
      <c r="Y346" s="59">
        <f t="shared" si="39"/>
        <v>2.9386333700042028E-2</v>
      </c>
    </row>
    <row r="347" spans="1:25" x14ac:dyDescent="0.3">
      <c r="A347" s="2">
        <v>43622</v>
      </c>
      <c r="B347" s="1">
        <v>46.305</v>
      </c>
      <c r="C347" s="1">
        <v>1754.36</v>
      </c>
      <c r="D347" s="1">
        <v>168.33</v>
      </c>
      <c r="E347" s="3">
        <f t="shared" si="34"/>
        <v>2457.369999999999</v>
      </c>
      <c r="F347" s="4">
        <f t="shared" si="35"/>
        <v>62.019999999998618</v>
      </c>
      <c r="G347" s="4">
        <f t="shared" si="36"/>
        <v>-62.019999999998618</v>
      </c>
      <c r="W347" s="59">
        <f t="shared" si="37"/>
        <v>1.457498065339172E-2</v>
      </c>
      <c r="X347" s="59">
        <f t="shared" si="38"/>
        <v>9.0814455782409938E-3</v>
      </c>
      <c r="Y347" s="59">
        <f t="shared" si="39"/>
        <v>9.5096589633190628E-4</v>
      </c>
    </row>
    <row r="348" spans="1:25" x14ac:dyDescent="0.3">
      <c r="A348" s="2">
        <v>43621</v>
      </c>
      <c r="B348" s="1">
        <v>45.634999999999998</v>
      </c>
      <c r="C348" s="1">
        <v>1738.5</v>
      </c>
      <c r="D348" s="1">
        <v>168.17</v>
      </c>
      <c r="E348" s="3">
        <f t="shared" si="34"/>
        <v>2395.3500000000004</v>
      </c>
      <c r="F348" s="4">
        <f t="shared" si="35"/>
        <v>40.730000000000473</v>
      </c>
      <c r="G348" s="4">
        <f t="shared" si="36"/>
        <v>-40.730000000000473</v>
      </c>
      <c r="W348" s="59">
        <f t="shared" si="37"/>
        <v>1.6014478869193965E-2</v>
      </c>
      <c r="X348" s="59">
        <f t="shared" si="38"/>
        <v>5.1556315649044608E-3</v>
      </c>
      <c r="Y348" s="59">
        <f t="shared" si="39"/>
        <v>3.9920212695374567E-3</v>
      </c>
    </row>
    <row r="349" spans="1:25" x14ac:dyDescent="0.3">
      <c r="A349" s="2">
        <v>43620</v>
      </c>
      <c r="B349" s="1">
        <v>44.91</v>
      </c>
      <c r="C349" s="1">
        <v>1729.56</v>
      </c>
      <c r="D349" s="1">
        <v>167.5</v>
      </c>
      <c r="E349" s="3">
        <f t="shared" si="34"/>
        <v>2354.62</v>
      </c>
      <c r="F349" s="4">
        <f t="shared" si="35"/>
        <v>85.989999999999782</v>
      </c>
      <c r="G349" s="4">
        <f t="shared" si="36"/>
        <v>-85.989999999999782</v>
      </c>
      <c r="W349" s="59">
        <f t="shared" si="37"/>
        <v>3.5930651497976709E-2</v>
      </c>
      <c r="X349" s="59">
        <f t="shared" si="38"/>
        <v>2.1548061426802694E-2</v>
      </c>
      <c r="Y349" s="59">
        <f t="shared" si="39"/>
        <v>2.0202707317519469E-2</v>
      </c>
    </row>
    <row r="350" spans="1:25" x14ac:dyDescent="0.3">
      <c r="A350" s="2">
        <v>43619</v>
      </c>
      <c r="B350" s="1">
        <v>43.325000000000003</v>
      </c>
      <c r="C350" s="1">
        <v>1692.69</v>
      </c>
      <c r="D350" s="1">
        <v>164.15</v>
      </c>
      <c r="E350" s="3">
        <f t="shared" si="34"/>
        <v>2268.63</v>
      </c>
      <c r="F350" s="4">
        <f t="shared" si="35"/>
        <v>79.515000000000782</v>
      </c>
      <c r="G350" s="4">
        <f t="shared" si="36"/>
        <v>-79.515000000000782</v>
      </c>
      <c r="W350" s="59">
        <f t="shared" si="37"/>
        <v>-1.0161697223280449E-2</v>
      </c>
      <c r="X350" s="59">
        <f t="shared" si="38"/>
        <v>-4.752087929542239E-2</v>
      </c>
      <c r="Y350" s="59">
        <f t="shared" si="39"/>
        <v>-7.8020936598871812E-2</v>
      </c>
    </row>
    <row r="351" spans="1:25" x14ac:dyDescent="0.3">
      <c r="A351" s="2">
        <v>43616</v>
      </c>
      <c r="B351" s="1">
        <v>43.767499999999998</v>
      </c>
      <c r="C351" s="1">
        <v>1775.07</v>
      </c>
      <c r="D351" s="1">
        <v>177.47</v>
      </c>
      <c r="E351" s="3">
        <f t="shared" si="34"/>
        <v>2189.1149999999993</v>
      </c>
      <c r="F351" s="4">
        <f t="shared" si="35"/>
        <v>-12.075000000000273</v>
      </c>
      <c r="G351" s="4">
        <f t="shared" si="36"/>
        <v>12.075000000000273</v>
      </c>
      <c r="W351" s="59">
        <f t="shared" si="37"/>
        <v>-1.8281630924253847E-2</v>
      </c>
      <c r="X351" s="59">
        <f t="shared" si="38"/>
        <v>-2.2972617339937076E-2</v>
      </c>
      <c r="Y351" s="59">
        <f t="shared" si="39"/>
        <v>-3.0739215610717369E-2</v>
      </c>
    </row>
    <row r="352" spans="1:25" x14ac:dyDescent="0.3">
      <c r="A352" s="2">
        <v>43615</v>
      </c>
      <c r="B352" s="1">
        <v>44.575000000000003</v>
      </c>
      <c r="C352" s="1">
        <v>1816.32</v>
      </c>
      <c r="D352" s="1">
        <v>183.01</v>
      </c>
      <c r="E352" s="3">
        <f t="shared" si="34"/>
        <v>2201.1899999999996</v>
      </c>
      <c r="F352" s="4">
        <f t="shared" si="35"/>
        <v>-10.640000000000327</v>
      </c>
      <c r="G352" s="4">
        <f t="shared" si="36"/>
        <v>10.640000000000327</v>
      </c>
      <c r="W352" s="59">
        <f t="shared" si="37"/>
        <v>5.1732009207884934E-3</v>
      </c>
      <c r="X352" s="59">
        <f t="shared" si="38"/>
        <v>-1.5788709678712742E-3</v>
      </c>
      <c r="Y352" s="59">
        <f t="shared" si="39"/>
        <v>4.4906975795972002E-3</v>
      </c>
    </row>
    <row r="353" spans="1:25" x14ac:dyDescent="0.3">
      <c r="A353" s="2">
        <v>43614</v>
      </c>
      <c r="B353" s="1">
        <v>44.344999999999999</v>
      </c>
      <c r="C353" s="1">
        <v>1819.19</v>
      </c>
      <c r="D353" s="1">
        <v>182.19</v>
      </c>
      <c r="E353" s="3">
        <f t="shared" si="34"/>
        <v>2211.83</v>
      </c>
      <c r="F353" s="4">
        <f t="shared" si="35"/>
        <v>-2.7050000000008367</v>
      </c>
      <c r="G353" s="4">
        <f t="shared" si="36"/>
        <v>2.7050000000008367</v>
      </c>
      <c r="W353" s="59">
        <f t="shared" si="37"/>
        <v>-4.7805270874534626E-3</v>
      </c>
      <c r="X353" s="59">
        <f t="shared" si="38"/>
        <v>-9.432122492363415E-3</v>
      </c>
      <c r="Y353" s="59">
        <f t="shared" si="39"/>
        <v>-1.1569023985937683E-2</v>
      </c>
    </row>
    <row r="354" spans="1:25" x14ac:dyDescent="0.3">
      <c r="A354" s="2">
        <v>43613</v>
      </c>
      <c r="B354" s="1">
        <v>44.557499999999997</v>
      </c>
      <c r="C354" s="1">
        <v>1836.43</v>
      </c>
      <c r="D354" s="1">
        <v>184.31</v>
      </c>
      <c r="E354" s="3">
        <f t="shared" si="34"/>
        <v>2214.5350000000008</v>
      </c>
      <c r="F354" s="4">
        <f t="shared" si="35"/>
        <v>-47.949999999998909</v>
      </c>
      <c r="G354" s="4">
        <f t="shared" si="36"/>
        <v>47.949999999998909</v>
      </c>
      <c r="W354" s="59">
        <f t="shared" si="37"/>
        <v>-4.1433429935572438E-3</v>
      </c>
      <c r="X354" s="59">
        <f t="shared" si="38"/>
        <v>7.1863926887272313E-3</v>
      </c>
      <c r="Y354" s="59">
        <f t="shared" si="39"/>
        <v>1.7790654516237028E-2</v>
      </c>
    </row>
    <row r="355" spans="1:25" x14ac:dyDescent="0.3">
      <c r="A355" s="2">
        <v>43612</v>
      </c>
      <c r="B355" s="1">
        <v>44.7425</v>
      </c>
      <c r="C355" s="1">
        <v>1823.28</v>
      </c>
      <c r="D355" s="1">
        <v>181.06</v>
      </c>
      <c r="E355" s="3">
        <f t="shared" si="34"/>
        <v>2262.4849999999997</v>
      </c>
      <c r="F355" s="4">
        <f t="shared" si="35"/>
        <v>0</v>
      </c>
      <c r="G355" s="4">
        <f t="shared" si="36"/>
        <v>0</v>
      </c>
      <c r="W355" s="59">
        <f t="shared" si="37"/>
        <v>0</v>
      </c>
      <c r="X355" s="59">
        <f t="shared" si="38"/>
        <v>0</v>
      </c>
      <c r="Y355" s="59">
        <f t="shared" si="39"/>
        <v>0</v>
      </c>
    </row>
    <row r="356" spans="1:25" x14ac:dyDescent="0.3">
      <c r="A356" s="2">
        <v>43609</v>
      </c>
      <c r="B356" s="1">
        <v>44.7425</v>
      </c>
      <c r="C356" s="1">
        <v>1823.28</v>
      </c>
      <c r="D356" s="1">
        <v>181.06</v>
      </c>
      <c r="E356" s="3">
        <f t="shared" si="34"/>
        <v>2262.4849999999997</v>
      </c>
      <c r="F356" s="4">
        <f t="shared" si="35"/>
        <v>3.1749999999997272</v>
      </c>
      <c r="G356" s="4">
        <f t="shared" si="36"/>
        <v>-3.1749999999997272</v>
      </c>
      <c r="W356" s="59">
        <f t="shared" si="37"/>
        <v>-3.8479817717436407E-3</v>
      </c>
      <c r="X356" s="59">
        <f t="shared" si="38"/>
        <v>4.2871813183319989E-3</v>
      </c>
      <c r="Y356" s="59">
        <f t="shared" si="39"/>
        <v>1.0499268778703112E-3</v>
      </c>
    </row>
    <row r="357" spans="1:25" x14ac:dyDescent="0.3">
      <c r="A357" s="2">
        <v>43608</v>
      </c>
      <c r="B357" s="1">
        <v>44.914999999999999</v>
      </c>
      <c r="C357" s="1">
        <v>1815.48</v>
      </c>
      <c r="D357" s="1">
        <v>180.87</v>
      </c>
      <c r="E357" s="3">
        <f t="shared" si="34"/>
        <v>2259.31</v>
      </c>
      <c r="F357" s="4">
        <f t="shared" si="35"/>
        <v>-38.400000000001</v>
      </c>
      <c r="G357" s="4">
        <f t="shared" si="36"/>
        <v>38.400000000001</v>
      </c>
      <c r="W357" s="59">
        <f t="shared" si="37"/>
        <v>-1.7217068042995082E-2</v>
      </c>
      <c r="X357" s="59">
        <f t="shared" si="38"/>
        <v>-2.4054534350653866E-2</v>
      </c>
      <c r="Y357" s="59">
        <f t="shared" si="39"/>
        <v>-2.4305519379023702E-2</v>
      </c>
    </row>
    <row r="358" spans="1:25" x14ac:dyDescent="0.3">
      <c r="A358" s="2">
        <v>43607</v>
      </c>
      <c r="B358" s="1">
        <v>45.695</v>
      </c>
      <c r="C358" s="1">
        <v>1859.68</v>
      </c>
      <c r="D358" s="1">
        <v>185.32</v>
      </c>
      <c r="E358" s="3">
        <f t="shared" si="34"/>
        <v>2297.7100000000009</v>
      </c>
      <c r="F358" s="4">
        <f t="shared" si="35"/>
        <v>-53.429999999999382</v>
      </c>
      <c r="G358" s="4">
        <f t="shared" si="36"/>
        <v>53.429999999999382</v>
      </c>
      <c r="W358" s="59">
        <f t="shared" si="37"/>
        <v>-2.068404456918788E-2</v>
      </c>
      <c r="X358" s="59">
        <f t="shared" si="38"/>
        <v>1.1621652012875779E-3</v>
      </c>
      <c r="Y358" s="59">
        <f t="shared" si="39"/>
        <v>2.7016820885531999E-3</v>
      </c>
    </row>
    <row r="359" spans="1:25" x14ac:dyDescent="0.3">
      <c r="A359" s="2">
        <v>43606</v>
      </c>
      <c r="B359" s="1">
        <v>46.65</v>
      </c>
      <c r="C359" s="1">
        <v>1857.52</v>
      </c>
      <c r="D359" s="1">
        <v>184.82</v>
      </c>
      <c r="E359" s="3">
        <f t="shared" si="34"/>
        <v>2351.1400000000003</v>
      </c>
      <c r="F359" s="4">
        <f t="shared" si="35"/>
        <v>-1.0250000000000909</v>
      </c>
      <c r="G359" s="4">
        <f t="shared" si="36"/>
        <v>1.0250000000000909</v>
      </c>
      <c r="W359" s="59">
        <f t="shared" si="37"/>
        <v>1.8989453188730094E-2</v>
      </c>
      <c r="X359" s="59">
        <f t="shared" si="38"/>
        <v>-7.8030618867417452E-4</v>
      </c>
      <c r="Y359" s="59">
        <f t="shared" si="39"/>
        <v>1.1427451992249009E-2</v>
      </c>
    </row>
    <row r="360" spans="1:25" x14ac:dyDescent="0.3">
      <c r="A360" s="2">
        <v>43605</v>
      </c>
      <c r="B360" s="1">
        <v>45.772500000000001</v>
      </c>
      <c r="C360" s="1">
        <v>1858.97</v>
      </c>
      <c r="D360" s="1">
        <v>182.72</v>
      </c>
      <c r="E360" s="3">
        <f t="shared" si="34"/>
        <v>2352.1650000000004</v>
      </c>
      <c r="F360" s="4">
        <f t="shared" si="35"/>
        <v>-42.334999999999582</v>
      </c>
      <c r="G360" s="4">
        <f t="shared" si="36"/>
        <v>42.334999999999582</v>
      </c>
      <c r="W360" s="59">
        <f t="shared" si="37"/>
        <v>-3.1769179835129058E-2</v>
      </c>
      <c r="X360" s="59">
        <f t="shared" si="38"/>
        <v>-5.3809575727784623E-3</v>
      </c>
      <c r="Y360" s="59">
        <f t="shared" si="39"/>
        <v>-1.4021206823668744E-2</v>
      </c>
    </row>
    <row r="361" spans="1:25" x14ac:dyDescent="0.3">
      <c r="A361" s="2">
        <v>43602</v>
      </c>
      <c r="B361" s="1">
        <v>47.25</v>
      </c>
      <c r="C361" s="1">
        <v>1869</v>
      </c>
      <c r="D361" s="1">
        <v>185.3</v>
      </c>
      <c r="E361" s="3">
        <f t="shared" si="34"/>
        <v>2394.5</v>
      </c>
      <c r="F361" s="4">
        <f t="shared" si="35"/>
        <v>-56.839999999999236</v>
      </c>
      <c r="G361" s="4">
        <f t="shared" si="36"/>
        <v>56.839999999999236</v>
      </c>
      <c r="W361" s="59">
        <f t="shared" si="37"/>
        <v>-5.6980211146377786E-3</v>
      </c>
      <c r="X361" s="59">
        <f t="shared" si="38"/>
        <v>-2.0426652277428115E-2</v>
      </c>
      <c r="Y361" s="59">
        <f t="shared" si="39"/>
        <v>-9.0790061975548116E-3</v>
      </c>
    </row>
    <row r="362" spans="1:25" x14ac:dyDescent="0.3">
      <c r="A362" s="2">
        <v>43601</v>
      </c>
      <c r="B362" s="1">
        <v>47.52</v>
      </c>
      <c r="C362" s="1">
        <v>1907.57</v>
      </c>
      <c r="D362" s="1">
        <v>186.99</v>
      </c>
      <c r="E362" s="3">
        <f t="shared" si="34"/>
        <v>2451.3399999999992</v>
      </c>
      <c r="F362" s="4">
        <f t="shared" si="35"/>
        <v>47.939999999999145</v>
      </c>
      <c r="G362" s="4">
        <f t="shared" si="36"/>
        <v>-47.939999999999145</v>
      </c>
      <c r="W362" s="59">
        <f t="shared" si="37"/>
        <v>-4.4094559634155544E-3</v>
      </c>
      <c r="X362" s="59">
        <f t="shared" si="38"/>
        <v>1.9276965640892797E-2</v>
      </c>
      <c r="Y362" s="59">
        <f t="shared" si="39"/>
        <v>3.8579054439577994E-3</v>
      </c>
    </row>
    <row r="363" spans="1:25" x14ac:dyDescent="0.3">
      <c r="A363" s="2">
        <v>43600</v>
      </c>
      <c r="B363" s="1">
        <v>47.73</v>
      </c>
      <c r="C363" s="1">
        <v>1871.15</v>
      </c>
      <c r="D363" s="1">
        <v>186.27</v>
      </c>
      <c r="E363" s="3">
        <f t="shared" si="34"/>
        <v>2403.4</v>
      </c>
      <c r="F363" s="4">
        <f t="shared" si="35"/>
        <v>-20.489999999999782</v>
      </c>
      <c r="G363" s="4">
        <f t="shared" si="36"/>
        <v>20.489999999999782</v>
      </c>
      <c r="W363" s="59">
        <f t="shared" si="37"/>
        <v>1.1908038915988677E-2</v>
      </c>
      <c r="X363" s="59">
        <f t="shared" si="38"/>
        <v>1.6722428224324268E-2</v>
      </c>
      <c r="Y363" s="59">
        <f t="shared" si="39"/>
        <v>3.0193029197364E-2</v>
      </c>
    </row>
    <row r="364" spans="1:25" x14ac:dyDescent="0.3">
      <c r="A364" s="2">
        <v>43599</v>
      </c>
      <c r="B364" s="1">
        <v>47.164999999999999</v>
      </c>
      <c r="C364" s="1">
        <v>1840.12</v>
      </c>
      <c r="D364" s="1">
        <v>180.73</v>
      </c>
      <c r="E364" s="3">
        <f t="shared" si="34"/>
        <v>2423.89</v>
      </c>
      <c r="F364" s="4">
        <f t="shared" si="35"/>
        <v>87.829999999999018</v>
      </c>
      <c r="G364" s="4">
        <f t="shared" si="36"/>
        <v>-87.829999999999018</v>
      </c>
      <c r="W364" s="59">
        <f t="shared" si="37"/>
        <v>1.5706290069986212E-2</v>
      </c>
      <c r="X364" s="59">
        <f t="shared" si="38"/>
        <v>9.5228414298461593E-3</v>
      </c>
      <c r="Y364" s="59">
        <f t="shared" si="39"/>
        <v>-4.4718102509339087E-3</v>
      </c>
    </row>
    <row r="365" spans="1:25" x14ac:dyDescent="0.3">
      <c r="A365" s="2">
        <v>43598</v>
      </c>
      <c r="B365" s="1">
        <v>46.43</v>
      </c>
      <c r="C365" s="1">
        <v>1822.68</v>
      </c>
      <c r="D365" s="1">
        <v>181.54</v>
      </c>
      <c r="E365" s="3">
        <f t="shared" si="34"/>
        <v>2336.0600000000009</v>
      </c>
      <c r="F365" s="4">
        <f t="shared" si="35"/>
        <v>-141.849999999999</v>
      </c>
      <c r="G365" s="4">
        <f t="shared" si="36"/>
        <v>141.849999999999</v>
      </c>
      <c r="W365" s="59">
        <f t="shared" si="37"/>
        <v>-5.9876853995174346E-2</v>
      </c>
      <c r="X365" s="59">
        <f t="shared" si="38"/>
        <v>-3.6258301549188333E-2</v>
      </c>
      <c r="Y365" s="59">
        <f t="shared" si="39"/>
        <v>-3.6772824983436009E-2</v>
      </c>
    </row>
    <row r="366" spans="1:25" x14ac:dyDescent="0.3">
      <c r="A366" s="2">
        <v>43595</v>
      </c>
      <c r="B366" s="1">
        <v>49.295000000000002</v>
      </c>
      <c r="C366" s="1">
        <v>1889.98</v>
      </c>
      <c r="D366" s="1">
        <v>188.34</v>
      </c>
      <c r="E366" s="3">
        <f t="shared" si="34"/>
        <v>2477.91</v>
      </c>
      <c r="F366" s="4">
        <f t="shared" si="35"/>
        <v>-57.829999999999927</v>
      </c>
      <c r="G366" s="4">
        <f t="shared" si="36"/>
        <v>57.829999999999927</v>
      </c>
      <c r="W366" s="59">
        <f t="shared" si="37"/>
        <v>-1.7793884911271513E-2</v>
      </c>
      <c r="X366" s="59">
        <f t="shared" si="38"/>
        <v>-5.2192157739569785E-3</v>
      </c>
      <c r="Y366" s="59">
        <f t="shared" si="39"/>
        <v>-1.6446063284023219E-3</v>
      </c>
    </row>
    <row r="367" spans="1:25" x14ac:dyDescent="0.3">
      <c r="A367" s="2">
        <v>43594</v>
      </c>
      <c r="B367" s="1">
        <v>50.18</v>
      </c>
      <c r="C367" s="1">
        <v>1899.87</v>
      </c>
      <c r="D367" s="1">
        <v>188.65</v>
      </c>
      <c r="E367" s="3">
        <f t="shared" si="34"/>
        <v>2535.7399999999998</v>
      </c>
      <c r="F367" s="4">
        <f t="shared" si="35"/>
        <v>-45.250000000000455</v>
      </c>
      <c r="G367" s="4">
        <f t="shared" si="36"/>
        <v>45.250000000000455</v>
      </c>
      <c r="W367" s="59">
        <f t="shared" si="37"/>
        <v>-1.080234477360228E-2</v>
      </c>
      <c r="X367" s="59">
        <f t="shared" si="38"/>
        <v>-9.3775899119718197E-3</v>
      </c>
      <c r="Y367" s="59">
        <f t="shared" si="39"/>
        <v>-4.7066376317292796E-3</v>
      </c>
    </row>
    <row r="368" spans="1:25" x14ac:dyDescent="0.3">
      <c r="A368" s="2">
        <v>43593</v>
      </c>
      <c r="B368" s="1">
        <v>50.725000000000001</v>
      </c>
      <c r="C368" s="1">
        <v>1917.77</v>
      </c>
      <c r="D368" s="1">
        <v>189.54</v>
      </c>
      <c r="E368" s="3">
        <f t="shared" si="34"/>
        <v>2580.9900000000002</v>
      </c>
      <c r="F368" s="4">
        <f t="shared" si="35"/>
        <v>-1.3599999999996726</v>
      </c>
      <c r="G368" s="4">
        <f t="shared" si="36"/>
        <v>1.3599999999996726</v>
      </c>
      <c r="W368" s="59">
        <f t="shared" si="37"/>
        <v>1.9716088391932133E-4</v>
      </c>
      <c r="X368" s="59">
        <f t="shared" si="38"/>
        <v>-1.6828310955116436E-3</v>
      </c>
      <c r="Y368" s="59">
        <f t="shared" si="39"/>
        <v>-1.2127285238387757E-3</v>
      </c>
    </row>
    <row r="369" spans="1:25" x14ac:dyDescent="0.3">
      <c r="A369" s="2">
        <v>43592</v>
      </c>
      <c r="B369" s="1">
        <v>50.715000000000003</v>
      </c>
      <c r="C369" s="1">
        <v>1921</v>
      </c>
      <c r="D369" s="1">
        <v>189.77</v>
      </c>
      <c r="E369" s="3">
        <f t="shared" si="34"/>
        <v>2582.35</v>
      </c>
      <c r="F369" s="4">
        <f t="shared" si="35"/>
        <v>-47.150000000000546</v>
      </c>
      <c r="G369" s="4">
        <f t="shared" si="36"/>
        <v>47.150000000000546</v>
      </c>
      <c r="W369" s="59">
        <f t="shared" si="37"/>
        <v>-2.7327027428685272E-2</v>
      </c>
      <c r="X369" s="59">
        <f t="shared" si="38"/>
        <v>-1.526550030230195E-2</v>
      </c>
      <c r="Y369" s="59">
        <f t="shared" si="39"/>
        <v>-2.1426598411287662E-2</v>
      </c>
    </row>
    <row r="370" spans="1:25" x14ac:dyDescent="0.3">
      <c r="A370" s="2">
        <v>43591</v>
      </c>
      <c r="B370" s="1">
        <v>52.12</v>
      </c>
      <c r="C370" s="1">
        <v>1950.55</v>
      </c>
      <c r="D370" s="1">
        <v>193.88</v>
      </c>
      <c r="E370" s="3">
        <f t="shared" si="34"/>
        <v>2629.5000000000005</v>
      </c>
      <c r="F370" s="4">
        <f t="shared" si="35"/>
        <v>-32.894999999999527</v>
      </c>
      <c r="G370" s="4">
        <f t="shared" si="36"/>
        <v>32.894999999999527</v>
      </c>
      <c r="W370" s="59">
        <f t="shared" si="37"/>
        <v>-1.5563220155628835E-2</v>
      </c>
      <c r="X370" s="59">
        <f t="shared" si="38"/>
        <v>-6.0874042123806368E-3</v>
      </c>
      <c r="Y370" s="59">
        <f t="shared" si="39"/>
        <v>-8.1675039877553406E-3</v>
      </c>
    </row>
    <row r="371" spans="1:25" x14ac:dyDescent="0.3">
      <c r="A371" s="2">
        <v>43588</v>
      </c>
      <c r="B371" s="1">
        <v>52.9375</v>
      </c>
      <c r="C371" s="1">
        <v>1962.46</v>
      </c>
      <c r="D371" s="1">
        <v>195.47</v>
      </c>
      <c r="E371" s="3">
        <f t="shared" si="34"/>
        <v>2662.395</v>
      </c>
      <c r="F371" s="4">
        <f t="shared" si="35"/>
        <v>96.980000000000473</v>
      </c>
      <c r="G371" s="4">
        <f t="shared" si="36"/>
        <v>-96.980000000000473</v>
      </c>
      <c r="W371" s="59">
        <f t="shared" si="37"/>
        <v>1.2354635643956283E-2</v>
      </c>
      <c r="X371" s="59">
        <f t="shared" si="38"/>
        <v>3.1913416284746227E-2</v>
      </c>
      <c r="Y371" s="59">
        <f t="shared" si="39"/>
        <v>1.5154929223686418E-2</v>
      </c>
    </row>
    <row r="372" spans="1:25" x14ac:dyDescent="0.3">
      <c r="A372" s="2">
        <v>43587</v>
      </c>
      <c r="B372" s="1">
        <v>52.287500000000001</v>
      </c>
      <c r="C372" s="1">
        <v>1900.82</v>
      </c>
      <c r="D372" s="1">
        <v>192.53</v>
      </c>
      <c r="E372" s="3">
        <f t="shared" si="34"/>
        <v>2565.4149999999995</v>
      </c>
      <c r="F372" s="4">
        <f t="shared" si="35"/>
        <v>-28.525000000000546</v>
      </c>
      <c r="G372" s="4">
        <f t="shared" si="36"/>
        <v>28.525000000000546</v>
      </c>
      <c r="W372" s="59">
        <f t="shared" si="37"/>
        <v>-6.528962597370778E-3</v>
      </c>
      <c r="X372" s="59">
        <f t="shared" si="38"/>
        <v>-5.6133650704206272E-3</v>
      </c>
      <c r="Y372" s="59">
        <f t="shared" si="39"/>
        <v>-2.5936314985396747E-3</v>
      </c>
    </row>
    <row r="373" spans="1:25" x14ac:dyDescent="0.3">
      <c r="A373" s="2">
        <v>43586</v>
      </c>
      <c r="B373" s="1">
        <v>52.63</v>
      </c>
      <c r="C373" s="1">
        <v>1911.52</v>
      </c>
      <c r="D373" s="1">
        <v>193.03</v>
      </c>
      <c r="E373" s="3">
        <f t="shared" si="34"/>
        <v>2593.94</v>
      </c>
      <c r="F373" s="4">
        <f t="shared" si="35"/>
        <v>100.52500000000009</v>
      </c>
      <c r="G373" s="4">
        <f t="shared" si="36"/>
        <v>-100.52500000000009</v>
      </c>
      <c r="W373" s="59">
        <f t="shared" si="37"/>
        <v>4.7918892687151951E-2</v>
      </c>
      <c r="X373" s="59">
        <f t="shared" si="38"/>
        <v>-7.8165294643038601E-3</v>
      </c>
      <c r="Y373" s="59">
        <f t="shared" si="39"/>
        <v>-1.9149657794100821E-3</v>
      </c>
    </row>
    <row r="374" spans="1:25" x14ac:dyDescent="0.3">
      <c r="A374" s="2">
        <v>43585</v>
      </c>
      <c r="B374" s="1">
        <v>50.167499999999997</v>
      </c>
      <c r="C374" s="1">
        <v>1926.52</v>
      </c>
      <c r="D374" s="1">
        <v>193.4</v>
      </c>
      <c r="E374" s="3">
        <f t="shared" si="34"/>
        <v>2493.415</v>
      </c>
      <c r="F374" s="4">
        <f t="shared" si="35"/>
        <v>-45.470000000000709</v>
      </c>
      <c r="G374" s="4">
        <f t="shared" si="36"/>
        <v>45.470000000000709</v>
      </c>
      <c r="W374" s="59">
        <f t="shared" si="37"/>
        <v>-1.9443960380041692E-2</v>
      </c>
      <c r="X374" s="59">
        <f t="shared" si="38"/>
        <v>-6.1631005311353591E-3</v>
      </c>
      <c r="Y374" s="59">
        <f t="shared" si="39"/>
        <v>-7.1101335138592332E-3</v>
      </c>
    </row>
    <row r="375" spans="1:25" x14ac:dyDescent="0.3">
      <c r="A375" s="2">
        <v>43584</v>
      </c>
      <c r="B375" s="1">
        <v>51.152500000000003</v>
      </c>
      <c r="C375" s="1">
        <v>1938.43</v>
      </c>
      <c r="D375" s="1">
        <v>194.78</v>
      </c>
      <c r="E375" s="3">
        <f t="shared" si="34"/>
        <v>2538.8850000000007</v>
      </c>
      <c r="F375" s="4">
        <f t="shared" si="35"/>
        <v>-86.324999999999363</v>
      </c>
      <c r="G375" s="4">
        <f t="shared" si="36"/>
        <v>86.324999999999363</v>
      </c>
      <c r="W375" s="59">
        <f t="shared" si="37"/>
        <v>1.5162263548915062E-3</v>
      </c>
      <c r="X375" s="59">
        <f t="shared" si="38"/>
        <v>-6.2740302384055729E-3</v>
      </c>
      <c r="Y375" s="59">
        <f t="shared" si="39"/>
        <v>1.7035128596977509E-2</v>
      </c>
    </row>
    <row r="376" spans="1:25" x14ac:dyDescent="0.3">
      <c r="A376" s="2">
        <v>43581</v>
      </c>
      <c r="B376" s="1">
        <v>51.075000000000003</v>
      </c>
      <c r="C376" s="1">
        <v>1950.63</v>
      </c>
      <c r="D376" s="1">
        <v>191.49</v>
      </c>
      <c r="E376" s="3">
        <f t="shared" si="34"/>
        <v>2625.21</v>
      </c>
      <c r="F376" s="4">
        <f t="shared" si="35"/>
        <v>119.90999999999985</v>
      </c>
      <c r="G376" s="4">
        <f t="shared" si="36"/>
        <v>-119.90999999999985</v>
      </c>
      <c r="W376" s="59">
        <f t="shared" si="37"/>
        <v>-4.7853990437498597E-3</v>
      </c>
      <c r="X376" s="59">
        <f t="shared" si="38"/>
        <v>2.511500124612626E-2</v>
      </c>
      <c r="Y376" s="59">
        <f t="shared" si="39"/>
        <v>-9.2008446350866861E-3</v>
      </c>
    </row>
    <row r="377" spans="1:25" x14ac:dyDescent="0.3">
      <c r="A377" s="2">
        <v>43580</v>
      </c>
      <c r="B377" s="1">
        <v>51.32</v>
      </c>
      <c r="C377" s="1">
        <v>1902.25</v>
      </c>
      <c r="D377" s="1">
        <v>193.26</v>
      </c>
      <c r="E377" s="3">
        <f t="shared" si="34"/>
        <v>2505.3000000000002</v>
      </c>
      <c r="F377" s="4">
        <f t="shared" si="35"/>
        <v>-236.09999999999945</v>
      </c>
      <c r="G377" s="4">
        <f t="shared" si="36"/>
        <v>236.09999999999945</v>
      </c>
      <c r="W377" s="59">
        <f t="shared" si="37"/>
        <v>-9.1165406883644152E-3</v>
      </c>
      <c r="X377" s="59">
        <f t="shared" si="38"/>
        <v>2.6288117922154751E-4</v>
      </c>
      <c r="Y377" s="59">
        <f t="shared" si="39"/>
        <v>5.6847999434227671E-2</v>
      </c>
    </row>
    <row r="378" spans="1:25" x14ac:dyDescent="0.3">
      <c r="A378" s="2">
        <v>43579</v>
      </c>
      <c r="B378" s="1">
        <v>51.79</v>
      </c>
      <c r="C378" s="1">
        <v>1901.75</v>
      </c>
      <c r="D378" s="1">
        <v>182.58</v>
      </c>
      <c r="E378" s="3">
        <f t="shared" si="34"/>
        <v>2741.3999999999996</v>
      </c>
      <c r="F378" s="4">
        <f t="shared" si="35"/>
        <v>-24.040000000000418</v>
      </c>
      <c r="G378" s="4">
        <f t="shared" si="36"/>
        <v>24.040000000000418</v>
      </c>
      <c r="W378" s="59">
        <f t="shared" si="37"/>
        <v>-1.5435079275087137E-3</v>
      </c>
      <c r="X378" s="59">
        <f t="shared" si="38"/>
        <v>-1.1512287582910162E-2</v>
      </c>
      <c r="Y378" s="59">
        <f t="shared" si="39"/>
        <v>-6.5509569358040559E-3</v>
      </c>
    </row>
    <row r="379" spans="1:25" x14ac:dyDescent="0.3">
      <c r="A379" s="2">
        <v>43578</v>
      </c>
      <c r="B379" s="1">
        <v>51.87</v>
      </c>
      <c r="C379" s="1">
        <v>1923.77</v>
      </c>
      <c r="D379" s="1">
        <v>183.78</v>
      </c>
      <c r="E379" s="3">
        <f t="shared" si="34"/>
        <v>2765.44</v>
      </c>
      <c r="F379" s="4">
        <f t="shared" si="35"/>
        <v>62.995000000000346</v>
      </c>
      <c r="G379" s="4">
        <f t="shared" si="36"/>
        <v>-62.995000000000346</v>
      </c>
      <c r="W379" s="59">
        <f t="shared" si="37"/>
        <v>1.4320285493124347E-2</v>
      </c>
      <c r="X379" s="59">
        <f t="shared" si="38"/>
        <v>1.9134267655581103E-2</v>
      </c>
      <c r="Y379" s="59">
        <f t="shared" si="39"/>
        <v>1.2814369533351584E-2</v>
      </c>
    </row>
    <row r="380" spans="1:25" x14ac:dyDescent="0.3">
      <c r="A380" s="2">
        <v>43577</v>
      </c>
      <c r="B380" s="1">
        <v>51.1325</v>
      </c>
      <c r="C380" s="1">
        <v>1887.31</v>
      </c>
      <c r="D380" s="1">
        <v>181.44</v>
      </c>
      <c r="E380" s="3">
        <f t="shared" si="34"/>
        <v>2702.4449999999997</v>
      </c>
      <c r="F380" s="4">
        <f t="shared" si="35"/>
        <v>-3.5850000000004911</v>
      </c>
      <c r="G380" s="4">
        <f t="shared" si="36"/>
        <v>3.5850000000004911</v>
      </c>
      <c r="W380" s="59">
        <f t="shared" si="37"/>
        <v>3.2811802498082252E-3</v>
      </c>
      <c r="X380" s="59">
        <f t="shared" si="38"/>
        <v>1.3667857476024801E-2</v>
      </c>
      <c r="Y380" s="59">
        <f t="shared" si="39"/>
        <v>1.7569672461032259E-2</v>
      </c>
    </row>
    <row r="381" spans="1:25" x14ac:dyDescent="0.3">
      <c r="A381" s="2">
        <v>43574</v>
      </c>
      <c r="B381" s="1">
        <v>50.965000000000003</v>
      </c>
      <c r="C381" s="1">
        <v>1861.69</v>
      </c>
      <c r="D381" s="1">
        <v>178.28</v>
      </c>
      <c r="E381" s="3">
        <f t="shared" si="34"/>
        <v>2706.03</v>
      </c>
      <c r="F381" s="4">
        <f t="shared" si="35"/>
        <v>0</v>
      </c>
      <c r="G381" s="4">
        <f t="shared" si="36"/>
        <v>0</v>
      </c>
      <c r="W381" s="59">
        <f t="shared" si="37"/>
        <v>0</v>
      </c>
      <c r="X381" s="59">
        <f t="shared" si="38"/>
        <v>0</v>
      </c>
      <c r="Y381" s="59">
        <f t="shared" si="39"/>
        <v>0</v>
      </c>
    </row>
    <row r="382" spans="1:25" x14ac:dyDescent="0.3">
      <c r="A382" s="2">
        <v>43573</v>
      </c>
      <c r="B382" s="1">
        <v>50.965000000000003</v>
      </c>
      <c r="C382" s="1">
        <v>1861.69</v>
      </c>
      <c r="D382" s="1">
        <v>178.28</v>
      </c>
      <c r="E382" s="3">
        <f t="shared" si="34"/>
        <v>2706.03</v>
      </c>
      <c r="F382" s="4">
        <f t="shared" si="35"/>
        <v>12.865000000000691</v>
      </c>
      <c r="G382" s="4">
        <f t="shared" si="36"/>
        <v>-12.865000000000691</v>
      </c>
      <c r="W382" s="59">
        <f t="shared" si="37"/>
        <v>3.5873155746030099E-3</v>
      </c>
      <c r="X382" s="59">
        <f t="shared" si="38"/>
        <v>-1.6798563460449518E-3</v>
      </c>
      <c r="Y382" s="59">
        <f t="shared" si="39"/>
        <v>-2.8006515813515198E-3</v>
      </c>
    </row>
    <row r="383" spans="1:25" x14ac:dyDescent="0.3">
      <c r="A383" s="2">
        <v>43572</v>
      </c>
      <c r="B383" s="1">
        <v>50.782499999999999</v>
      </c>
      <c r="C383" s="1">
        <v>1864.82</v>
      </c>
      <c r="D383" s="1">
        <v>178.78</v>
      </c>
      <c r="E383" s="3">
        <f t="shared" si="34"/>
        <v>2693.1649999999995</v>
      </c>
      <c r="F383" s="4">
        <f t="shared" si="35"/>
        <v>53.859999999999673</v>
      </c>
      <c r="G383" s="4">
        <f t="shared" si="36"/>
        <v>-53.859999999999673</v>
      </c>
      <c r="W383" s="59">
        <f t="shared" si="37"/>
        <v>1.928585049533919E-2</v>
      </c>
      <c r="X383" s="59">
        <f t="shared" si="38"/>
        <v>9.5497155755611704E-4</v>
      </c>
      <c r="Y383" s="59">
        <f t="shared" si="39"/>
        <v>-5.0328534544793698E-4</v>
      </c>
    </row>
    <row r="384" spans="1:25" x14ac:dyDescent="0.3">
      <c r="A384" s="2">
        <v>43571</v>
      </c>
      <c r="B384" s="1">
        <v>49.8125</v>
      </c>
      <c r="C384" s="1">
        <v>1863.04</v>
      </c>
      <c r="D384" s="1">
        <v>178.87</v>
      </c>
      <c r="E384" s="3">
        <f t="shared" si="34"/>
        <v>2639.3049999999998</v>
      </c>
      <c r="F384" s="4">
        <f t="shared" si="35"/>
        <v>52.190000000000055</v>
      </c>
      <c r="G384" s="4">
        <f t="shared" si="36"/>
        <v>-52.190000000000055</v>
      </c>
      <c r="W384" s="59">
        <f t="shared" si="37"/>
        <v>1.0038144959242428E-4</v>
      </c>
      <c r="X384" s="59">
        <f t="shared" si="38"/>
        <v>9.8007478296552649E-3</v>
      </c>
      <c r="Y384" s="59">
        <f t="shared" si="39"/>
        <v>-4.3512285543732777E-3</v>
      </c>
    </row>
    <row r="385" spans="1:25" x14ac:dyDescent="0.3">
      <c r="A385" s="2">
        <v>43570</v>
      </c>
      <c r="B385" s="1">
        <v>49.807499999999997</v>
      </c>
      <c r="C385" s="1">
        <v>1844.87</v>
      </c>
      <c r="D385" s="1">
        <v>179.65</v>
      </c>
      <c r="E385" s="3">
        <f t="shared" si="34"/>
        <v>2587.1149999999998</v>
      </c>
      <c r="F385" s="4">
        <f t="shared" si="35"/>
        <v>-2.8800000000001091</v>
      </c>
      <c r="G385" s="4">
        <f t="shared" si="36"/>
        <v>2.8800000000001091</v>
      </c>
      <c r="W385" s="59">
        <f t="shared" si="37"/>
        <v>1.8085912993220619E-3</v>
      </c>
      <c r="X385" s="59">
        <f t="shared" si="38"/>
        <v>9.8158053180396124E-4</v>
      </c>
      <c r="Y385" s="59">
        <f t="shared" si="39"/>
        <v>3.0662044928616125E-3</v>
      </c>
    </row>
    <row r="386" spans="1:25" x14ac:dyDescent="0.3">
      <c r="A386" s="2">
        <v>43567</v>
      </c>
      <c r="B386" s="1">
        <v>49.717500000000001</v>
      </c>
      <c r="C386" s="1">
        <v>1843.06</v>
      </c>
      <c r="D386" s="1">
        <v>179.1</v>
      </c>
      <c r="E386" s="3">
        <f t="shared" si="34"/>
        <v>2589.9949999999999</v>
      </c>
      <c r="F386" s="4">
        <f t="shared" si="35"/>
        <v>-34.819999999999709</v>
      </c>
      <c r="G386" s="4">
        <f t="shared" si="36"/>
        <v>34.819999999999709</v>
      </c>
      <c r="W386" s="59">
        <f t="shared" si="37"/>
        <v>-4.0219195152770405E-4</v>
      </c>
      <c r="X386" s="59">
        <f t="shared" si="38"/>
        <v>-5.4785159474275247E-4</v>
      </c>
      <c r="Y386" s="59">
        <f t="shared" si="39"/>
        <v>8.9173637099537982E-3</v>
      </c>
    </row>
    <row r="387" spans="1:25" x14ac:dyDescent="0.3">
      <c r="A387" s="2">
        <v>43566</v>
      </c>
      <c r="B387" s="1">
        <v>49.737499999999997</v>
      </c>
      <c r="C387" s="1">
        <v>1844.07</v>
      </c>
      <c r="D387" s="1">
        <v>177.51</v>
      </c>
      <c r="E387" s="3">
        <f t="shared" si="34"/>
        <v>2624.8149999999996</v>
      </c>
      <c r="F387" s="4">
        <f t="shared" si="35"/>
        <v>-21.195000000000618</v>
      </c>
      <c r="G387" s="4">
        <f t="shared" si="36"/>
        <v>21.195000000000618</v>
      </c>
      <c r="W387" s="59">
        <f t="shared" si="37"/>
        <v>-8.3590345824015016E-3</v>
      </c>
      <c r="X387" s="59">
        <f t="shared" si="38"/>
        <v>-1.7662679999562567E-3</v>
      </c>
      <c r="Y387" s="59">
        <f t="shared" si="39"/>
        <v>-1.7448573362805193E-3</v>
      </c>
    </row>
    <row r="388" spans="1:25" x14ac:dyDescent="0.3">
      <c r="A388" s="2">
        <v>43565</v>
      </c>
      <c r="B388" s="1">
        <v>50.155000000000001</v>
      </c>
      <c r="C388" s="1">
        <v>1847.33</v>
      </c>
      <c r="D388" s="1">
        <v>177.82</v>
      </c>
      <c r="E388" s="3">
        <f t="shared" si="34"/>
        <v>2646.01</v>
      </c>
      <c r="F388" s="4">
        <f t="shared" si="35"/>
        <v>32.180000000000291</v>
      </c>
      <c r="G388" s="4">
        <f t="shared" si="36"/>
        <v>-32.180000000000291</v>
      </c>
      <c r="W388" s="59">
        <f t="shared" si="37"/>
        <v>5.5983351254210549E-3</v>
      </c>
      <c r="X388" s="59">
        <f t="shared" si="38"/>
        <v>6.2392109369372502E-3</v>
      </c>
      <c r="Y388" s="59">
        <f t="shared" si="39"/>
        <v>1.3505910888121219E-3</v>
      </c>
    </row>
    <row r="389" spans="1:25" x14ac:dyDescent="0.3">
      <c r="A389" s="2">
        <v>43564</v>
      </c>
      <c r="B389" s="1">
        <v>49.875</v>
      </c>
      <c r="C389" s="1">
        <v>1835.84</v>
      </c>
      <c r="D389" s="1">
        <v>177.58</v>
      </c>
      <c r="E389" s="3">
        <f t="shared" si="34"/>
        <v>2613.83</v>
      </c>
      <c r="F389" s="4">
        <f t="shared" si="35"/>
        <v>-88.539999999999054</v>
      </c>
      <c r="G389" s="4">
        <f t="shared" si="36"/>
        <v>88.539999999999054</v>
      </c>
      <c r="W389" s="59">
        <f t="shared" si="37"/>
        <v>-3.0030052597695457E-3</v>
      </c>
      <c r="X389" s="59">
        <f t="shared" si="38"/>
        <v>-7.6078181196402011E-3</v>
      </c>
      <c r="Y389" s="59">
        <f t="shared" si="39"/>
        <v>1.5035317702006347E-2</v>
      </c>
    </row>
    <row r="390" spans="1:25" x14ac:dyDescent="0.3">
      <c r="A390" s="2">
        <v>43563</v>
      </c>
      <c r="B390" s="1">
        <v>50.024999999999999</v>
      </c>
      <c r="C390" s="1">
        <v>1849.86</v>
      </c>
      <c r="D390" s="1">
        <v>174.93</v>
      </c>
      <c r="E390" s="3">
        <f t="shared" ref="E390:E453" si="40">50*B390+2*C390-20*D390</f>
        <v>2702.369999999999</v>
      </c>
      <c r="F390" s="4">
        <f t="shared" ref="F390:F453" si="41">E390-E391</f>
        <v>79.709999999999582</v>
      </c>
      <c r="G390" s="4">
        <f t="shared" ref="G390:G453" si="42">-F390</f>
        <v>-79.709999999999582</v>
      </c>
      <c r="W390" s="59">
        <f t="shared" ref="W390:W453" si="43">LN(B390/B391)</f>
        <v>1.5613512851699297E-2</v>
      </c>
      <c r="X390" s="59">
        <f t="shared" ref="X390:X453" si="44">LN(C390/C391)</f>
        <v>6.8237435052671564E-3</v>
      </c>
      <c r="Y390" s="59">
        <f t="shared" ref="Y390:Y453" si="45">LN(D390/D391)</f>
        <v>-4.5059252054045033E-3</v>
      </c>
    </row>
    <row r="391" spans="1:25" x14ac:dyDescent="0.3">
      <c r="A391" s="2">
        <v>43560</v>
      </c>
      <c r="B391" s="1">
        <v>49.25</v>
      </c>
      <c r="C391" s="1">
        <v>1837.28</v>
      </c>
      <c r="D391" s="1">
        <v>175.72</v>
      </c>
      <c r="E391" s="3">
        <f t="shared" si="40"/>
        <v>2622.6599999999994</v>
      </c>
      <c r="F391" s="4">
        <f t="shared" si="41"/>
        <v>59.215000000000146</v>
      </c>
      <c r="G391" s="4">
        <f t="shared" si="42"/>
        <v>-59.215000000000146</v>
      </c>
      <c r="W391" s="59">
        <f t="shared" si="43"/>
        <v>6.6719542618741299E-3</v>
      </c>
      <c r="X391" s="59">
        <f t="shared" si="44"/>
        <v>1.0076285837328095E-2</v>
      </c>
      <c r="Y391" s="59">
        <f t="shared" si="45"/>
        <v>-1.7058058380868815E-3</v>
      </c>
    </row>
    <row r="392" spans="1:25" x14ac:dyDescent="0.3">
      <c r="A392" s="2">
        <v>43559</v>
      </c>
      <c r="B392" s="1">
        <v>48.922499999999999</v>
      </c>
      <c r="C392" s="1">
        <v>1818.86</v>
      </c>
      <c r="D392" s="1">
        <v>176.02</v>
      </c>
      <c r="E392" s="3">
        <f t="shared" si="40"/>
        <v>2563.4449999999993</v>
      </c>
      <c r="F392" s="4">
        <f t="shared" si="41"/>
        <v>-49.030000000000655</v>
      </c>
      <c r="G392" s="4">
        <f t="shared" si="42"/>
        <v>49.030000000000655</v>
      </c>
      <c r="W392" s="59">
        <f t="shared" si="43"/>
        <v>1.7389529750348404E-3</v>
      </c>
      <c r="X392" s="59">
        <f t="shared" si="44"/>
        <v>-1.0111113193682622E-3</v>
      </c>
      <c r="Y392" s="59">
        <f t="shared" si="45"/>
        <v>1.4189504580322036E-2</v>
      </c>
    </row>
    <row r="393" spans="1:25" x14ac:dyDescent="0.3">
      <c r="A393" s="2">
        <v>43558</v>
      </c>
      <c r="B393" s="1">
        <v>48.837499999999999</v>
      </c>
      <c r="C393" s="1">
        <v>1820.7</v>
      </c>
      <c r="D393" s="1">
        <v>173.54</v>
      </c>
      <c r="E393" s="3">
        <f t="shared" si="40"/>
        <v>2612.4749999999999</v>
      </c>
      <c r="F393" s="4">
        <f t="shared" si="41"/>
        <v>43.264999999999873</v>
      </c>
      <c r="G393" s="4">
        <f t="shared" si="42"/>
        <v>-43.264999999999873</v>
      </c>
      <c r="W393" s="59">
        <f t="shared" si="43"/>
        <v>6.8315749679420199E-3</v>
      </c>
      <c r="X393" s="59">
        <f t="shared" si="44"/>
        <v>3.6977162539411175E-3</v>
      </c>
      <c r="Y393" s="59">
        <f t="shared" si="45"/>
        <v>-3.7959440530587981E-3</v>
      </c>
    </row>
    <row r="394" spans="1:25" x14ac:dyDescent="0.3">
      <c r="A394" s="2">
        <v>43557</v>
      </c>
      <c r="B394" s="1">
        <v>48.505000000000003</v>
      </c>
      <c r="C394" s="1">
        <v>1813.98</v>
      </c>
      <c r="D394" s="1">
        <v>174.2</v>
      </c>
      <c r="E394" s="3">
        <f t="shared" si="40"/>
        <v>2569.21</v>
      </c>
      <c r="F394" s="4">
        <f t="shared" si="41"/>
        <v>-75.670000000000073</v>
      </c>
      <c r="G394" s="4">
        <f t="shared" si="42"/>
        <v>75.670000000000073</v>
      </c>
      <c r="W394" s="59">
        <f t="shared" si="43"/>
        <v>1.443206277523486E-2</v>
      </c>
      <c r="X394" s="59">
        <f t="shared" si="44"/>
        <v>-1.1576083823770969E-4</v>
      </c>
      <c r="Y394" s="59">
        <f t="shared" si="45"/>
        <v>3.2082074866479911E-2</v>
      </c>
    </row>
    <row r="395" spans="1:25" x14ac:dyDescent="0.3">
      <c r="A395" s="2">
        <v>43556</v>
      </c>
      <c r="B395" s="1">
        <v>47.81</v>
      </c>
      <c r="C395" s="1">
        <v>1814.19</v>
      </c>
      <c r="D395" s="1">
        <v>168.7</v>
      </c>
      <c r="E395" s="3">
        <f t="shared" si="40"/>
        <v>2644.88</v>
      </c>
      <c r="F395" s="4">
        <f t="shared" si="41"/>
        <v>42.805000000000291</v>
      </c>
      <c r="G395" s="4">
        <f t="shared" si="42"/>
        <v>-42.805000000000291</v>
      </c>
      <c r="W395" s="59">
        <f t="shared" si="43"/>
        <v>6.7683041242681341E-3</v>
      </c>
      <c r="X395" s="59">
        <f t="shared" si="44"/>
        <v>1.8604463235752551E-2</v>
      </c>
      <c r="Y395" s="59">
        <f t="shared" si="45"/>
        <v>1.1986189596925954E-2</v>
      </c>
    </row>
    <row r="396" spans="1:25" x14ac:dyDescent="0.3">
      <c r="A396" s="2">
        <v>43553</v>
      </c>
      <c r="B396" s="1">
        <v>47.487499999999997</v>
      </c>
      <c r="C396" s="1">
        <v>1780.75</v>
      </c>
      <c r="D396" s="1">
        <v>166.69</v>
      </c>
      <c r="E396" s="3">
        <f t="shared" si="40"/>
        <v>2602.0749999999998</v>
      </c>
      <c r="F396" s="4">
        <f t="shared" si="41"/>
        <v>7.2349999999996726</v>
      </c>
      <c r="G396" s="4">
        <f t="shared" si="42"/>
        <v>-7.2349999999996726</v>
      </c>
      <c r="W396" s="59">
        <f t="shared" si="43"/>
        <v>6.4964445342148396E-3</v>
      </c>
      <c r="X396" s="59">
        <f t="shared" si="44"/>
        <v>4.1247382046376733E-3</v>
      </c>
      <c r="Y396" s="59">
        <f t="shared" si="45"/>
        <v>6.8625359617413197E-3</v>
      </c>
    </row>
    <row r="397" spans="1:25" x14ac:dyDescent="0.3">
      <c r="A397" s="2">
        <v>43552</v>
      </c>
      <c r="B397" s="1">
        <v>47.18</v>
      </c>
      <c r="C397" s="1">
        <v>1773.42</v>
      </c>
      <c r="D397" s="1">
        <v>165.55</v>
      </c>
      <c r="E397" s="3">
        <f t="shared" si="40"/>
        <v>2594.84</v>
      </c>
      <c r="F397" s="4">
        <f t="shared" si="41"/>
        <v>24.9650000000006</v>
      </c>
      <c r="G397" s="4">
        <f t="shared" si="42"/>
        <v>-24.9650000000006</v>
      </c>
      <c r="W397" s="59">
        <f t="shared" si="43"/>
        <v>1.3255920708832372E-3</v>
      </c>
      <c r="X397" s="59">
        <f t="shared" si="44"/>
        <v>4.3626733450728011E-3</v>
      </c>
      <c r="Y397" s="59">
        <f t="shared" si="45"/>
        <v>-1.9310850246960049E-3</v>
      </c>
    </row>
    <row r="398" spans="1:25" x14ac:dyDescent="0.3">
      <c r="A398" s="2">
        <v>43551</v>
      </c>
      <c r="B398" s="1">
        <v>47.1175</v>
      </c>
      <c r="C398" s="1">
        <v>1765.7</v>
      </c>
      <c r="D398" s="1">
        <v>165.87</v>
      </c>
      <c r="E398" s="3">
        <f t="shared" si="40"/>
        <v>2569.8749999999995</v>
      </c>
      <c r="F398" s="4">
        <f t="shared" si="41"/>
        <v>21.079999999999472</v>
      </c>
      <c r="G398" s="4">
        <f t="shared" si="42"/>
        <v>-21.079999999999472</v>
      </c>
      <c r="W398" s="59">
        <f t="shared" si="43"/>
        <v>8.953851857324736E-3</v>
      </c>
      <c r="X398" s="59">
        <f t="shared" si="44"/>
        <v>-1.0176283633362627E-2</v>
      </c>
      <c r="Y398" s="59">
        <f t="shared" si="45"/>
        <v>-1.0853052114726055E-2</v>
      </c>
    </row>
    <row r="399" spans="1:25" x14ac:dyDescent="0.3">
      <c r="A399" s="2">
        <v>43550</v>
      </c>
      <c r="B399" s="1">
        <v>46.697499999999998</v>
      </c>
      <c r="C399" s="1">
        <v>1783.76</v>
      </c>
      <c r="D399" s="1">
        <v>167.68</v>
      </c>
      <c r="E399" s="3">
        <f t="shared" si="40"/>
        <v>2548.7950000000001</v>
      </c>
      <c r="F399" s="4">
        <f t="shared" si="41"/>
        <v>-33.175000000000637</v>
      </c>
      <c r="G399" s="4">
        <f t="shared" si="42"/>
        <v>33.175000000000637</v>
      </c>
      <c r="W399" s="59">
        <f t="shared" si="43"/>
        <v>-1.0385415421975358E-2</v>
      </c>
      <c r="X399" s="59">
        <f t="shared" si="44"/>
        <v>5.3400613686028489E-3</v>
      </c>
      <c r="Y399" s="59">
        <f t="shared" si="45"/>
        <v>8.3241490328545137E-3</v>
      </c>
    </row>
    <row r="400" spans="1:25" x14ac:dyDescent="0.3">
      <c r="A400" s="2">
        <v>43549</v>
      </c>
      <c r="B400" s="1">
        <v>47.185000000000002</v>
      </c>
      <c r="C400" s="1">
        <v>1774.26</v>
      </c>
      <c r="D400" s="1">
        <v>166.29</v>
      </c>
      <c r="E400" s="3">
        <f t="shared" si="40"/>
        <v>2581.9700000000007</v>
      </c>
      <c r="F400" s="4">
        <f t="shared" si="41"/>
        <v>-48.894999999999072</v>
      </c>
      <c r="G400" s="4">
        <f t="shared" si="42"/>
        <v>48.894999999999072</v>
      </c>
      <c r="W400" s="59">
        <f t="shared" si="43"/>
        <v>-1.2164767299721994E-2</v>
      </c>
      <c r="X400" s="59">
        <f t="shared" si="44"/>
        <v>5.3630643121421471E-3</v>
      </c>
      <c r="Y400" s="59">
        <f t="shared" si="45"/>
        <v>1.1795799596781105E-2</v>
      </c>
    </row>
    <row r="401" spans="1:25" x14ac:dyDescent="0.3">
      <c r="A401" s="2">
        <v>43546</v>
      </c>
      <c r="B401" s="1">
        <v>47.762500000000003</v>
      </c>
      <c r="C401" s="1">
        <v>1764.77</v>
      </c>
      <c r="D401" s="1">
        <v>164.34</v>
      </c>
      <c r="E401" s="3">
        <f t="shared" si="40"/>
        <v>2630.8649999999998</v>
      </c>
      <c r="F401" s="4">
        <f t="shared" si="41"/>
        <v>-124.68000000000029</v>
      </c>
      <c r="G401" s="4">
        <f t="shared" si="42"/>
        <v>124.68000000000029</v>
      </c>
      <c r="W401" s="59">
        <f t="shared" si="43"/>
        <v>-2.092581665626109E-2</v>
      </c>
      <c r="X401" s="59">
        <f t="shared" si="44"/>
        <v>-3.0409454721365754E-2</v>
      </c>
      <c r="Y401" s="59">
        <f t="shared" si="45"/>
        <v>-1.0532147474482109E-2</v>
      </c>
    </row>
    <row r="402" spans="1:25" x14ac:dyDescent="0.3">
      <c r="A402" s="2">
        <v>43545</v>
      </c>
      <c r="B402" s="1">
        <v>48.772500000000001</v>
      </c>
      <c r="C402" s="1">
        <v>1819.26</v>
      </c>
      <c r="D402" s="1">
        <v>166.08</v>
      </c>
      <c r="E402" s="3">
        <f t="shared" si="40"/>
        <v>2755.5450000000001</v>
      </c>
      <c r="F402" s="4">
        <f t="shared" si="41"/>
        <v>117.80500000000029</v>
      </c>
      <c r="G402" s="4">
        <f t="shared" si="42"/>
        <v>-117.80500000000029</v>
      </c>
      <c r="W402" s="59">
        <f t="shared" si="43"/>
        <v>3.6168325838908111E-2</v>
      </c>
      <c r="X402" s="59">
        <f t="shared" si="44"/>
        <v>1.2160978068277997E-2</v>
      </c>
      <c r="Y402" s="59">
        <f t="shared" si="45"/>
        <v>3.8610086574595933E-3</v>
      </c>
    </row>
    <row r="403" spans="1:25" x14ac:dyDescent="0.3">
      <c r="A403" s="2">
        <v>43544</v>
      </c>
      <c r="B403" s="1">
        <v>47.04</v>
      </c>
      <c r="C403" s="1">
        <v>1797.27</v>
      </c>
      <c r="D403" s="1">
        <v>165.44</v>
      </c>
      <c r="E403" s="3">
        <f t="shared" si="40"/>
        <v>2637.74</v>
      </c>
      <c r="F403" s="4">
        <f t="shared" si="41"/>
        <v>13.8149999999996</v>
      </c>
      <c r="G403" s="4">
        <f t="shared" si="42"/>
        <v>-13.8149999999996</v>
      </c>
      <c r="W403" s="59">
        <f t="shared" si="43"/>
        <v>8.7005806537908056E-3</v>
      </c>
      <c r="X403" s="59">
        <f t="shared" si="44"/>
        <v>1.9904453575627298E-2</v>
      </c>
      <c r="Y403" s="59">
        <f t="shared" si="45"/>
        <v>2.3670106031325282E-2</v>
      </c>
    </row>
    <row r="404" spans="1:25" x14ac:dyDescent="0.3">
      <c r="A404" s="2">
        <v>43543</v>
      </c>
      <c r="B404" s="1">
        <v>46.6325</v>
      </c>
      <c r="C404" s="1">
        <v>1761.85</v>
      </c>
      <c r="D404" s="1">
        <v>161.57</v>
      </c>
      <c r="E404" s="3">
        <f t="shared" si="40"/>
        <v>2623.9250000000002</v>
      </c>
      <c r="F404" s="4">
        <f t="shared" si="41"/>
        <v>-1.2249999999999091</v>
      </c>
      <c r="G404" s="4">
        <f t="shared" si="42"/>
        <v>1.2249999999999091</v>
      </c>
      <c r="W404" s="59">
        <f t="shared" si="43"/>
        <v>-7.9562560939336474E-3</v>
      </c>
      <c r="X404" s="59">
        <f t="shared" si="44"/>
        <v>1.124441071152785E-2</v>
      </c>
      <c r="Y404" s="59">
        <f t="shared" si="45"/>
        <v>6.8314760774707654E-3</v>
      </c>
    </row>
    <row r="405" spans="1:25" x14ac:dyDescent="0.3">
      <c r="A405" s="2">
        <v>43542</v>
      </c>
      <c r="B405" s="1">
        <v>47.005000000000003</v>
      </c>
      <c r="C405" s="1">
        <v>1742.15</v>
      </c>
      <c r="D405" s="1">
        <v>160.47</v>
      </c>
      <c r="E405" s="3">
        <f t="shared" si="40"/>
        <v>2625.15</v>
      </c>
      <c r="F405" s="4">
        <f t="shared" si="41"/>
        <v>193.53000000000065</v>
      </c>
      <c r="G405" s="4">
        <f t="shared" si="42"/>
        <v>-193.53000000000065</v>
      </c>
      <c r="W405" s="59">
        <f t="shared" si="43"/>
        <v>1.0156713173957166E-2</v>
      </c>
      <c r="X405" s="59">
        <f t="shared" si="44"/>
        <v>1.7247446657602521E-2</v>
      </c>
      <c r="Y405" s="59">
        <f t="shared" si="45"/>
        <v>-3.3760289959033386E-2</v>
      </c>
    </row>
    <row r="406" spans="1:25" x14ac:dyDescent="0.3">
      <c r="A406" s="2">
        <v>43539</v>
      </c>
      <c r="B406" s="1">
        <v>46.53</v>
      </c>
      <c r="C406" s="1">
        <v>1712.36</v>
      </c>
      <c r="D406" s="1">
        <v>165.98</v>
      </c>
      <c r="E406" s="3">
        <f t="shared" si="40"/>
        <v>2431.6199999999994</v>
      </c>
      <c r="F406" s="4">
        <f t="shared" si="41"/>
        <v>165.95499999999856</v>
      </c>
      <c r="G406" s="4">
        <f t="shared" si="42"/>
        <v>-165.95499999999856</v>
      </c>
      <c r="W406" s="59">
        <f t="shared" si="43"/>
        <v>1.2924338344804514E-2</v>
      </c>
      <c r="X406" s="59">
        <f t="shared" si="44"/>
        <v>1.5383198562259292E-2</v>
      </c>
      <c r="Y406" s="59">
        <f t="shared" si="45"/>
        <v>-2.4930638213043341E-2</v>
      </c>
    </row>
    <row r="407" spans="1:25" x14ac:dyDescent="0.3">
      <c r="A407" s="2">
        <v>43538</v>
      </c>
      <c r="B407" s="1">
        <v>45.932499999999997</v>
      </c>
      <c r="C407" s="1">
        <v>1686.22</v>
      </c>
      <c r="D407" s="1">
        <v>170.17</v>
      </c>
      <c r="E407" s="3">
        <f t="shared" si="40"/>
        <v>2265.6650000000009</v>
      </c>
      <c r="F407" s="4">
        <f t="shared" si="41"/>
        <v>80.070000000001073</v>
      </c>
      <c r="G407" s="4">
        <f t="shared" si="42"/>
        <v>-80.070000000001073</v>
      </c>
      <c r="W407" s="59">
        <f t="shared" si="43"/>
        <v>1.1055278970677722E-2</v>
      </c>
      <c r="X407" s="59">
        <f t="shared" si="44"/>
        <v>-2.7183666277704821E-3</v>
      </c>
      <c r="Y407" s="59">
        <f t="shared" si="45"/>
        <v>-1.8630101614451094E-2</v>
      </c>
    </row>
    <row r="408" spans="1:25" x14ac:dyDescent="0.3">
      <c r="A408" s="2">
        <v>43537</v>
      </c>
      <c r="B408" s="1">
        <v>45.427500000000002</v>
      </c>
      <c r="C408" s="1">
        <v>1690.81</v>
      </c>
      <c r="D408" s="1">
        <v>173.37</v>
      </c>
      <c r="E408" s="3">
        <f t="shared" si="40"/>
        <v>2185.5949999999998</v>
      </c>
      <c r="F408" s="4">
        <f t="shared" si="41"/>
        <v>16.419999999999618</v>
      </c>
      <c r="G408" s="4">
        <f t="shared" si="42"/>
        <v>-16.419999999999618</v>
      </c>
      <c r="W408" s="59">
        <f t="shared" si="43"/>
        <v>4.4123396277958105E-3</v>
      </c>
      <c r="X408" s="59">
        <f t="shared" si="44"/>
        <v>1.0529510971593539E-2</v>
      </c>
      <c r="Y408" s="59">
        <f t="shared" si="45"/>
        <v>8.3987866635414164E-3</v>
      </c>
    </row>
    <row r="409" spans="1:25" x14ac:dyDescent="0.3">
      <c r="A409" s="2">
        <v>43536</v>
      </c>
      <c r="B409" s="1">
        <v>45.227499999999999</v>
      </c>
      <c r="C409" s="1">
        <v>1673.1</v>
      </c>
      <c r="D409" s="1">
        <v>171.92</v>
      </c>
      <c r="E409" s="3">
        <f t="shared" si="40"/>
        <v>2169.1750000000002</v>
      </c>
      <c r="F409" s="4">
        <f t="shared" si="41"/>
        <v>33.085000000000036</v>
      </c>
      <c r="G409" s="4">
        <f t="shared" si="42"/>
        <v>-33.085000000000036</v>
      </c>
      <c r="W409" s="59">
        <f t="shared" si="43"/>
        <v>1.1172679518496185E-2</v>
      </c>
      <c r="X409" s="59">
        <f t="shared" si="44"/>
        <v>1.4833780667947011E-3</v>
      </c>
      <c r="Y409" s="59">
        <f t="shared" si="45"/>
        <v>-8.7211843081128743E-4</v>
      </c>
    </row>
    <row r="410" spans="1:25" x14ac:dyDescent="0.3">
      <c r="A410" s="2">
        <v>43535</v>
      </c>
      <c r="B410" s="1">
        <v>44.725000000000001</v>
      </c>
      <c r="C410" s="1">
        <v>1670.62</v>
      </c>
      <c r="D410" s="1">
        <v>172.07</v>
      </c>
      <c r="E410" s="3">
        <f t="shared" si="40"/>
        <v>2136.09</v>
      </c>
      <c r="F410" s="4">
        <f t="shared" si="41"/>
        <v>125.11499999999978</v>
      </c>
      <c r="G410" s="4">
        <f t="shared" si="42"/>
        <v>-125.11499999999978</v>
      </c>
      <c r="W410" s="59">
        <f t="shared" si="43"/>
        <v>3.4055762597975596E-2</v>
      </c>
      <c r="X410" s="59">
        <f t="shared" si="44"/>
        <v>3.0274960502404014E-2</v>
      </c>
      <c r="Y410" s="59">
        <f t="shared" si="45"/>
        <v>1.445864740726357E-2</v>
      </c>
    </row>
    <row r="411" spans="1:25" x14ac:dyDescent="0.3">
      <c r="A411" s="2">
        <v>43532</v>
      </c>
      <c r="B411" s="1">
        <v>43.227499999999999</v>
      </c>
      <c r="C411" s="1">
        <v>1620.8</v>
      </c>
      <c r="D411" s="1">
        <v>169.6</v>
      </c>
      <c r="E411" s="3">
        <f t="shared" si="40"/>
        <v>2010.9750000000004</v>
      </c>
      <c r="F411" s="4">
        <f t="shared" si="41"/>
        <v>-14.574999999999363</v>
      </c>
      <c r="G411" s="4">
        <f t="shared" si="42"/>
        <v>14.574999999999363</v>
      </c>
      <c r="W411" s="59">
        <f t="shared" si="43"/>
        <v>2.3739914452835121E-3</v>
      </c>
      <c r="X411" s="59">
        <f t="shared" si="44"/>
        <v>-3.1724058330335589E-3</v>
      </c>
      <c r="Y411" s="59">
        <f t="shared" si="45"/>
        <v>2.7750733718520017E-3</v>
      </c>
    </row>
    <row r="412" spans="1:25" x14ac:dyDescent="0.3">
      <c r="A412" s="2">
        <v>43531</v>
      </c>
      <c r="B412" s="1">
        <v>43.125</v>
      </c>
      <c r="C412" s="1">
        <v>1625.95</v>
      </c>
      <c r="D412" s="1">
        <v>169.13</v>
      </c>
      <c r="E412" s="3">
        <f t="shared" si="40"/>
        <v>2025.5499999999997</v>
      </c>
      <c r="F412" s="4">
        <f t="shared" si="41"/>
        <v>-43.650000000000091</v>
      </c>
      <c r="G412" s="4">
        <f t="shared" si="42"/>
        <v>43.650000000000091</v>
      </c>
      <c r="W412" s="59">
        <f t="shared" si="43"/>
        <v>-1.1642111783994503E-2</v>
      </c>
      <c r="X412" s="59">
        <f t="shared" si="44"/>
        <v>-2.6102425826913238E-2</v>
      </c>
      <c r="Y412" s="59">
        <f t="shared" si="45"/>
        <v>-1.9787555819702162E-2</v>
      </c>
    </row>
    <row r="413" spans="1:25" x14ac:dyDescent="0.3">
      <c r="A413" s="2">
        <v>43530</v>
      </c>
      <c r="B413" s="1">
        <v>43.63</v>
      </c>
      <c r="C413" s="1">
        <v>1668.95</v>
      </c>
      <c r="D413" s="1">
        <v>172.51</v>
      </c>
      <c r="E413" s="3">
        <f t="shared" si="40"/>
        <v>2069.1999999999998</v>
      </c>
      <c r="F413" s="4">
        <f t="shared" si="41"/>
        <v>-84.585000000000946</v>
      </c>
      <c r="G413" s="4">
        <f t="shared" si="42"/>
        <v>84.585000000000946</v>
      </c>
      <c r="W413" s="59">
        <f t="shared" si="43"/>
        <v>-5.7706202128455647E-3</v>
      </c>
      <c r="X413" s="59">
        <f t="shared" si="44"/>
        <v>-1.3970679840275509E-2</v>
      </c>
      <c r="Y413" s="59">
        <f t="shared" si="45"/>
        <v>7.272336207606876E-3</v>
      </c>
    </row>
    <row r="414" spans="1:25" x14ac:dyDescent="0.3">
      <c r="A414" s="2">
        <v>43529</v>
      </c>
      <c r="B414" s="1">
        <v>43.8825</v>
      </c>
      <c r="C414" s="1">
        <v>1692.43</v>
      </c>
      <c r="D414" s="1">
        <v>171.26</v>
      </c>
      <c r="E414" s="3">
        <f t="shared" si="40"/>
        <v>2153.7850000000008</v>
      </c>
      <c r="F414" s="4">
        <f t="shared" si="41"/>
        <v>-89.279999999999291</v>
      </c>
      <c r="G414" s="4">
        <f t="shared" si="42"/>
        <v>89.279999999999291</v>
      </c>
      <c r="W414" s="59">
        <f t="shared" si="43"/>
        <v>-1.8213904517370076E-3</v>
      </c>
      <c r="X414" s="59">
        <f t="shared" si="44"/>
        <v>-2.2074021829867657E-3</v>
      </c>
      <c r="Y414" s="59">
        <f t="shared" si="45"/>
        <v>2.2975939072499146E-2</v>
      </c>
    </row>
    <row r="415" spans="1:25" x14ac:dyDescent="0.3">
      <c r="A415" s="2">
        <v>43528</v>
      </c>
      <c r="B415" s="1">
        <v>43.962499999999999</v>
      </c>
      <c r="C415" s="1">
        <v>1696.17</v>
      </c>
      <c r="D415" s="1">
        <v>167.37</v>
      </c>
      <c r="E415" s="3">
        <f t="shared" si="40"/>
        <v>2243.0650000000001</v>
      </c>
      <c r="F415" s="4">
        <f t="shared" si="41"/>
        <v>-41.920000000000073</v>
      </c>
      <c r="G415" s="4">
        <f t="shared" si="42"/>
        <v>41.920000000000073</v>
      </c>
      <c r="W415" s="59">
        <f t="shared" si="43"/>
        <v>5.0168282634629651E-3</v>
      </c>
      <c r="X415" s="59">
        <f t="shared" si="44"/>
        <v>1.4513749826393956E-2</v>
      </c>
      <c r="Y415" s="59">
        <f t="shared" si="45"/>
        <v>3.0883692187300128E-2</v>
      </c>
    </row>
    <row r="416" spans="1:25" x14ac:dyDescent="0.3">
      <c r="A416" s="2">
        <v>43525</v>
      </c>
      <c r="B416" s="1">
        <v>43.7425</v>
      </c>
      <c r="C416" s="1">
        <v>1671.73</v>
      </c>
      <c r="D416" s="1">
        <v>162.28</v>
      </c>
      <c r="E416" s="3">
        <f t="shared" si="40"/>
        <v>2284.9850000000001</v>
      </c>
      <c r="F416" s="4">
        <f t="shared" si="41"/>
        <v>69.950000000000273</v>
      </c>
      <c r="G416" s="4">
        <f t="shared" si="42"/>
        <v>-69.950000000000273</v>
      </c>
      <c r="W416" s="59">
        <f t="shared" si="43"/>
        <v>1.0456259808097369E-2</v>
      </c>
      <c r="X416" s="59">
        <f t="shared" si="44"/>
        <v>1.9266440442492722E-2</v>
      </c>
      <c r="Y416" s="59">
        <f t="shared" si="45"/>
        <v>5.1277411339623151E-3</v>
      </c>
    </row>
    <row r="417" spans="1:25" x14ac:dyDescent="0.3">
      <c r="A417" s="2">
        <v>43524</v>
      </c>
      <c r="B417" s="1">
        <v>43.287500000000001</v>
      </c>
      <c r="C417" s="1">
        <v>1639.83</v>
      </c>
      <c r="D417" s="1">
        <v>161.44999999999999</v>
      </c>
      <c r="E417" s="3">
        <f t="shared" si="40"/>
        <v>2215.0349999999999</v>
      </c>
      <c r="F417" s="4">
        <f t="shared" si="41"/>
        <v>3.1799999999993815</v>
      </c>
      <c r="G417" s="4">
        <f t="shared" si="42"/>
        <v>-3.1799999999993815</v>
      </c>
      <c r="W417" s="59">
        <f t="shared" si="43"/>
        <v>-9.8845698771371261E-3</v>
      </c>
      <c r="X417" s="59">
        <f t="shared" si="44"/>
        <v>-7.6807728438610466E-4</v>
      </c>
      <c r="Y417" s="59">
        <f t="shared" si="45"/>
        <v>-8.3883795391390004E-3</v>
      </c>
    </row>
    <row r="418" spans="1:25" x14ac:dyDescent="0.3">
      <c r="A418" s="2">
        <v>43523</v>
      </c>
      <c r="B418" s="1">
        <v>43.717500000000001</v>
      </c>
      <c r="C418" s="1">
        <v>1641.09</v>
      </c>
      <c r="D418" s="1">
        <v>162.81</v>
      </c>
      <c r="E418" s="3">
        <f t="shared" si="40"/>
        <v>2211.8550000000005</v>
      </c>
      <c r="F418" s="4">
        <f t="shared" si="41"/>
        <v>42.5300000000002</v>
      </c>
      <c r="G418" s="4">
        <f t="shared" si="42"/>
        <v>-42.5300000000002</v>
      </c>
      <c r="W418" s="59">
        <f t="shared" si="43"/>
        <v>3.0927859704441541E-3</v>
      </c>
      <c r="X418" s="59">
        <f t="shared" si="44"/>
        <v>2.8619481378838545E-3</v>
      </c>
      <c r="Y418" s="59">
        <f t="shared" si="45"/>
        <v>-8.0749200004210393E-3</v>
      </c>
    </row>
    <row r="419" spans="1:25" x14ac:dyDescent="0.3">
      <c r="A419" s="2">
        <v>43522</v>
      </c>
      <c r="B419" s="1">
        <v>43.582500000000003</v>
      </c>
      <c r="C419" s="1">
        <v>1636.4</v>
      </c>
      <c r="D419" s="1">
        <v>164.13</v>
      </c>
      <c r="E419" s="3">
        <f t="shared" si="40"/>
        <v>2169.3250000000003</v>
      </c>
      <c r="F419" s="4">
        <f t="shared" si="41"/>
        <v>17.850000000000364</v>
      </c>
      <c r="G419" s="4">
        <f t="shared" si="42"/>
        <v>-17.850000000000364</v>
      </c>
      <c r="W419" s="59">
        <f t="shared" si="43"/>
        <v>5.7378932031007166E-4</v>
      </c>
      <c r="X419" s="59">
        <f t="shared" si="44"/>
        <v>2.0798930847785008E-3</v>
      </c>
      <c r="Y419" s="59">
        <f t="shared" si="45"/>
        <v>-2.9809908006537674E-3</v>
      </c>
    </row>
    <row r="420" spans="1:25" x14ac:dyDescent="0.3">
      <c r="A420" s="2">
        <v>43521</v>
      </c>
      <c r="B420" s="1">
        <v>43.557499999999997</v>
      </c>
      <c r="C420" s="1">
        <v>1633</v>
      </c>
      <c r="D420" s="1">
        <v>164.62</v>
      </c>
      <c r="E420" s="3">
        <f t="shared" si="40"/>
        <v>2151.4749999999999</v>
      </c>
      <c r="F420" s="4">
        <f t="shared" si="41"/>
        <v>-35.970000000000255</v>
      </c>
      <c r="G420" s="4">
        <f t="shared" si="42"/>
        <v>35.970000000000255</v>
      </c>
      <c r="W420" s="59">
        <f t="shared" si="43"/>
        <v>7.2580963789818705E-3</v>
      </c>
      <c r="X420" s="59">
        <f t="shared" si="44"/>
        <v>8.8220164027838889E-4</v>
      </c>
      <c r="Y420" s="59">
        <f t="shared" si="45"/>
        <v>1.6722695291083483E-2</v>
      </c>
    </row>
    <row r="421" spans="1:25" x14ac:dyDescent="0.3">
      <c r="A421" s="2">
        <v>43518</v>
      </c>
      <c r="B421" s="1">
        <v>43.2425</v>
      </c>
      <c r="C421" s="1">
        <v>1631.56</v>
      </c>
      <c r="D421" s="1">
        <v>161.88999999999999</v>
      </c>
      <c r="E421" s="3">
        <f t="shared" si="40"/>
        <v>2187.4450000000002</v>
      </c>
      <c r="F421" s="4">
        <f t="shared" si="41"/>
        <v>11.114999999999782</v>
      </c>
      <c r="G421" s="4">
        <f t="shared" si="42"/>
        <v>-11.114999999999782</v>
      </c>
      <c r="W421" s="59">
        <f t="shared" si="43"/>
        <v>1.1103796903196281E-2</v>
      </c>
      <c r="X421" s="59">
        <f t="shared" si="44"/>
        <v>7.4562018768648351E-3</v>
      </c>
      <c r="Y421" s="59">
        <f t="shared" si="45"/>
        <v>1.1493308264380078E-2</v>
      </c>
    </row>
    <row r="422" spans="1:25" x14ac:dyDescent="0.3">
      <c r="A422" s="2">
        <v>43517</v>
      </c>
      <c r="B422" s="1">
        <v>42.765000000000001</v>
      </c>
      <c r="C422" s="1">
        <v>1619.44</v>
      </c>
      <c r="D422" s="1">
        <v>160.04</v>
      </c>
      <c r="E422" s="3">
        <f t="shared" si="40"/>
        <v>2176.3300000000004</v>
      </c>
      <c r="F422" s="4">
        <f t="shared" si="41"/>
        <v>32.955000000000382</v>
      </c>
      <c r="G422" s="4">
        <f t="shared" si="42"/>
        <v>-32.955000000000382</v>
      </c>
      <c r="W422" s="59">
        <f t="shared" si="43"/>
        <v>-5.6545080563122196E-3</v>
      </c>
      <c r="X422" s="59">
        <f t="shared" si="44"/>
        <v>-1.6411956027468778E-3</v>
      </c>
      <c r="Y422" s="59">
        <f t="shared" si="45"/>
        <v>-1.5623380401082821E-2</v>
      </c>
    </row>
    <row r="423" spans="1:25" x14ac:dyDescent="0.3">
      <c r="A423" s="2">
        <v>43516</v>
      </c>
      <c r="B423" s="1">
        <v>43.0075</v>
      </c>
      <c r="C423" s="1">
        <v>1622.1</v>
      </c>
      <c r="D423" s="1">
        <v>162.56</v>
      </c>
      <c r="E423" s="3">
        <f t="shared" si="40"/>
        <v>2143.375</v>
      </c>
      <c r="F423" s="4">
        <f t="shared" si="41"/>
        <v>-2.6100000000001273</v>
      </c>
      <c r="G423" s="4">
        <f t="shared" si="42"/>
        <v>2.6100000000001273</v>
      </c>
      <c r="W423" s="59">
        <f t="shared" si="43"/>
        <v>6.4147642407710722E-3</v>
      </c>
      <c r="X423" s="59">
        <f t="shared" si="44"/>
        <v>-3.3726429645101544E-3</v>
      </c>
      <c r="Y423" s="59">
        <f t="shared" si="45"/>
        <v>1.6623060623265559E-3</v>
      </c>
    </row>
    <row r="424" spans="1:25" x14ac:dyDescent="0.3">
      <c r="A424" s="2">
        <v>43515</v>
      </c>
      <c r="B424" s="1">
        <v>42.732500000000002</v>
      </c>
      <c r="C424" s="1">
        <v>1627.58</v>
      </c>
      <c r="D424" s="1">
        <v>162.29</v>
      </c>
      <c r="E424" s="3">
        <f t="shared" si="40"/>
        <v>2145.9850000000001</v>
      </c>
      <c r="F424" s="4">
        <f t="shared" si="41"/>
        <v>49.835000000000491</v>
      </c>
      <c r="G424" s="4">
        <f t="shared" si="42"/>
        <v>-49.835000000000491</v>
      </c>
      <c r="W424" s="59">
        <f t="shared" si="43"/>
        <v>2.9881375683668745E-3</v>
      </c>
      <c r="X424" s="59">
        <f t="shared" si="44"/>
        <v>1.2134173292475419E-2</v>
      </c>
      <c r="Y424" s="59">
        <f t="shared" si="45"/>
        <v>-1.2931434420016034E-3</v>
      </c>
    </row>
    <row r="425" spans="1:25" x14ac:dyDescent="0.3">
      <c r="A425" s="2">
        <v>43514</v>
      </c>
      <c r="B425" s="1">
        <v>42.604999999999997</v>
      </c>
      <c r="C425" s="1">
        <v>1607.95</v>
      </c>
      <c r="D425" s="1">
        <v>162.5</v>
      </c>
      <c r="E425" s="3">
        <f t="shared" si="40"/>
        <v>2096.1499999999996</v>
      </c>
      <c r="F425" s="4">
        <f t="shared" si="41"/>
        <v>0</v>
      </c>
      <c r="G425" s="4">
        <f t="shared" si="42"/>
        <v>0</v>
      </c>
      <c r="W425" s="59">
        <f t="shared" si="43"/>
        <v>0</v>
      </c>
      <c r="X425" s="59">
        <f t="shared" si="44"/>
        <v>0</v>
      </c>
      <c r="Y425" s="59">
        <f t="shared" si="45"/>
        <v>0</v>
      </c>
    </row>
    <row r="426" spans="1:25" x14ac:dyDescent="0.3">
      <c r="A426" s="2">
        <v>43511</v>
      </c>
      <c r="B426" s="1">
        <v>42.604999999999997</v>
      </c>
      <c r="C426" s="1">
        <v>1607.95</v>
      </c>
      <c r="D426" s="1">
        <v>162.5</v>
      </c>
      <c r="E426" s="3">
        <f t="shared" si="40"/>
        <v>2096.1499999999996</v>
      </c>
      <c r="F426" s="4">
        <f t="shared" si="41"/>
        <v>-5.1500000000005457</v>
      </c>
      <c r="G426" s="4">
        <f t="shared" si="42"/>
        <v>5.1500000000005457</v>
      </c>
      <c r="W426" s="59">
        <f t="shared" si="43"/>
        <v>-2.2273029546597293E-3</v>
      </c>
      <c r="X426" s="59">
        <f t="shared" si="44"/>
        <v>-9.1005394998690987E-3</v>
      </c>
      <c r="Y426" s="59">
        <f t="shared" si="45"/>
        <v>-8.883501520864992E-3</v>
      </c>
    </row>
    <row r="427" spans="1:25" x14ac:dyDescent="0.3">
      <c r="A427" s="2">
        <v>43510</v>
      </c>
      <c r="B427" s="1">
        <v>42.7</v>
      </c>
      <c r="C427" s="1">
        <v>1622.65</v>
      </c>
      <c r="D427" s="1">
        <v>163.95</v>
      </c>
      <c r="E427" s="3">
        <f t="shared" si="40"/>
        <v>2101.3000000000002</v>
      </c>
      <c r="F427" s="4">
        <f t="shared" si="41"/>
        <v>-24.550000000000182</v>
      </c>
      <c r="G427" s="4">
        <f t="shared" si="42"/>
        <v>24.550000000000182</v>
      </c>
      <c r="W427" s="59">
        <f t="shared" si="43"/>
        <v>3.6365809330583436E-3</v>
      </c>
      <c r="X427" s="59">
        <f t="shared" si="44"/>
        <v>-1.0635626590271331E-2</v>
      </c>
      <c r="Y427" s="59">
        <f t="shared" si="45"/>
        <v>-7.3166273613378457E-4</v>
      </c>
    </row>
    <row r="428" spans="1:25" x14ac:dyDescent="0.3">
      <c r="A428" s="2">
        <v>43509</v>
      </c>
      <c r="B428" s="1">
        <v>42.545000000000002</v>
      </c>
      <c r="C428" s="1">
        <v>1640</v>
      </c>
      <c r="D428" s="1">
        <v>164.07</v>
      </c>
      <c r="E428" s="3">
        <f t="shared" si="40"/>
        <v>2125.8500000000004</v>
      </c>
      <c r="F428" s="4">
        <f t="shared" si="41"/>
        <v>14.504999999999654</v>
      </c>
      <c r="G428" s="4">
        <f t="shared" si="42"/>
        <v>-14.504999999999654</v>
      </c>
      <c r="W428" s="59">
        <f t="shared" si="43"/>
        <v>-4.1633742374061139E-3</v>
      </c>
      <c r="X428" s="59">
        <f t="shared" si="44"/>
        <v>1.214151417759741E-3</v>
      </c>
      <c r="Y428" s="59">
        <f t="shared" si="45"/>
        <v>-5.8947027362053024E-3</v>
      </c>
    </row>
    <row r="429" spans="1:25" x14ac:dyDescent="0.3">
      <c r="A429" s="2">
        <v>43508</v>
      </c>
      <c r="B429" s="1">
        <v>42.722499999999997</v>
      </c>
      <c r="C429" s="1">
        <v>1638.01</v>
      </c>
      <c r="D429" s="1">
        <v>165.04</v>
      </c>
      <c r="E429" s="3">
        <f t="shared" si="40"/>
        <v>2111.3450000000007</v>
      </c>
      <c r="F429" s="4">
        <f t="shared" si="41"/>
        <v>127.27000000000044</v>
      </c>
      <c r="G429" s="4">
        <f t="shared" si="42"/>
        <v>-127.27000000000044</v>
      </c>
      <c r="W429" s="59">
        <f t="shared" si="43"/>
        <v>8.5802124888025282E-3</v>
      </c>
      <c r="X429" s="59">
        <f t="shared" si="44"/>
        <v>2.9119341062697382E-2</v>
      </c>
      <c r="Y429" s="59">
        <f t="shared" si="45"/>
        <v>-4.534058488377503E-3</v>
      </c>
    </row>
    <row r="430" spans="1:25" x14ac:dyDescent="0.3">
      <c r="A430" s="2">
        <v>43507</v>
      </c>
      <c r="B430" s="1">
        <v>42.357500000000002</v>
      </c>
      <c r="C430" s="1">
        <v>1591</v>
      </c>
      <c r="D430" s="1">
        <v>165.79</v>
      </c>
      <c r="E430" s="3">
        <f t="shared" si="40"/>
        <v>1984.0750000000003</v>
      </c>
      <c r="F430" s="4">
        <f t="shared" si="41"/>
        <v>24.110000000000127</v>
      </c>
      <c r="G430" s="4">
        <f t="shared" si="42"/>
        <v>-24.110000000000127</v>
      </c>
      <c r="W430" s="59">
        <f t="shared" si="43"/>
        <v>-5.7674359492863305E-3</v>
      </c>
      <c r="X430" s="59">
        <f t="shared" si="44"/>
        <v>1.7488570835315679E-3</v>
      </c>
      <c r="Y430" s="59">
        <f t="shared" si="45"/>
        <v>-9.2459832551085499E-3</v>
      </c>
    </row>
    <row r="431" spans="1:25" x14ac:dyDescent="0.3">
      <c r="A431" s="2">
        <v>43504</v>
      </c>
      <c r="B431" s="1">
        <v>42.602499999999999</v>
      </c>
      <c r="C431" s="1">
        <v>1588.22</v>
      </c>
      <c r="D431" s="1">
        <v>167.33</v>
      </c>
      <c r="E431" s="3">
        <f t="shared" si="40"/>
        <v>1959.9650000000001</v>
      </c>
      <c r="F431" s="4">
        <f t="shared" si="41"/>
        <v>-77.924999999999727</v>
      </c>
      <c r="G431" s="4">
        <f t="shared" si="42"/>
        <v>77.924999999999727</v>
      </c>
      <c r="W431" s="59">
        <f t="shared" si="43"/>
        <v>-3.1053196185706366E-3</v>
      </c>
      <c r="X431" s="59">
        <f t="shared" si="44"/>
        <v>-1.6330895417224444E-2</v>
      </c>
      <c r="Y431" s="59">
        <f t="shared" si="45"/>
        <v>5.693581650740593E-3</v>
      </c>
    </row>
    <row r="432" spans="1:25" x14ac:dyDescent="0.3">
      <c r="A432" s="2">
        <v>43503</v>
      </c>
      <c r="B432" s="1">
        <v>42.734999999999999</v>
      </c>
      <c r="C432" s="1">
        <v>1614.37</v>
      </c>
      <c r="D432" s="1">
        <v>166.38</v>
      </c>
      <c r="E432" s="3">
        <f t="shared" si="40"/>
        <v>2037.8899999999999</v>
      </c>
      <c r="F432" s="4">
        <f t="shared" si="41"/>
        <v>-10.830000000000382</v>
      </c>
      <c r="G432" s="4">
        <f t="shared" si="42"/>
        <v>10.830000000000382</v>
      </c>
      <c r="W432" s="59">
        <f t="shared" si="43"/>
        <v>-1.9121041446778512E-2</v>
      </c>
      <c r="X432" s="59">
        <f t="shared" si="44"/>
        <v>-1.5909978166533854E-2</v>
      </c>
      <c r="Y432" s="59">
        <f t="shared" si="45"/>
        <v>-2.4402315121398198E-2</v>
      </c>
    </row>
    <row r="433" spans="1:25" x14ac:dyDescent="0.3">
      <c r="A433" s="2">
        <v>43502</v>
      </c>
      <c r="B433" s="1">
        <v>43.56</v>
      </c>
      <c r="C433" s="1">
        <v>1640.26</v>
      </c>
      <c r="D433" s="1">
        <v>170.49</v>
      </c>
      <c r="E433" s="3">
        <f t="shared" si="40"/>
        <v>2048.7200000000003</v>
      </c>
      <c r="F433" s="4">
        <f t="shared" si="41"/>
        <v>-22.949999999999818</v>
      </c>
      <c r="G433" s="4">
        <f t="shared" si="42"/>
        <v>22.949999999999818</v>
      </c>
      <c r="W433" s="59">
        <f t="shared" si="43"/>
        <v>3.4441192005689816E-4</v>
      </c>
      <c r="X433" s="59">
        <f t="shared" si="44"/>
        <v>-1.1245711970345946E-2</v>
      </c>
      <c r="Y433" s="59">
        <f t="shared" si="45"/>
        <v>-3.922147571476243E-3</v>
      </c>
    </row>
    <row r="434" spans="1:25" x14ac:dyDescent="0.3">
      <c r="A434" s="2">
        <v>43501</v>
      </c>
      <c r="B434" s="1">
        <v>43.545000000000002</v>
      </c>
      <c r="C434" s="1">
        <v>1658.81</v>
      </c>
      <c r="D434" s="1">
        <v>171.16</v>
      </c>
      <c r="E434" s="3">
        <f t="shared" si="40"/>
        <v>2071.67</v>
      </c>
      <c r="F434" s="4">
        <f t="shared" si="41"/>
        <v>49.425000000000182</v>
      </c>
      <c r="G434" s="4">
        <f t="shared" si="42"/>
        <v>-49.425000000000182</v>
      </c>
      <c r="W434" s="59">
        <f t="shared" si="43"/>
        <v>1.6964770122258957E-2</v>
      </c>
      <c r="X434" s="59">
        <f t="shared" si="44"/>
        <v>1.549184719407881E-2</v>
      </c>
      <c r="Y434" s="59">
        <f t="shared" si="45"/>
        <v>1.122187975623172E-2</v>
      </c>
    </row>
    <row r="435" spans="1:25" x14ac:dyDescent="0.3">
      <c r="A435" s="2">
        <v>43500</v>
      </c>
      <c r="B435" s="1">
        <v>42.8125</v>
      </c>
      <c r="C435" s="1">
        <v>1633.31</v>
      </c>
      <c r="D435" s="1">
        <v>169.25</v>
      </c>
      <c r="E435" s="3">
        <f t="shared" si="40"/>
        <v>2022.2449999999999</v>
      </c>
      <c r="F435" s="4">
        <f t="shared" si="41"/>
        <v>2.4850000000001273</v>
      </c>
      <c r="G435" s="4">
        <f t="shared" si="42"/>
        <v>-2.4850000000001273</v>
      </c>
      <c r="W435" s="59">
        <f t="shared" si="43"/>
        <v>2.8009054815559917E-2</v>
      </c>
      <c r="X435" s="59">
        <f t="shared" si="44"/>
        <v>4.3441780953186156E-3</v>
      </c>
      <c r="Y435" s="59">
        <f t="shared" si="45"/>
        <v>2.1137639150681873E-2</v>
      </c>
    </row>
    <row r="436" spans="1:25" x14ac:dyDescent="0.3">
      <c r="A436" s="2">
        <v>43497</v>
      </c>
      <c r="B436" s="1">
        <v>41.63</v>
      </c>
      <c r="C436" s="1">
        <v>1626.23</v>
      </c>
      <c r="D436" s="1">
        <v>165.71</v>
      </c>
      <c r="E436" s="3">
        <f t="shared" si="40"/>
        <v>2019.7599999999998</v>
      </c>
      <c r="F436" s="4">
        <f t="shared" si="41"/>
        <v>-164.40000000000009</v>
      </c>
      <c r="G436" s="4">
        <f t="shared" si="42"/>
        <v>164.40000000000009</v>
      </c>
      <c r="W436" s="59">
        <f t="shared" si="43"/>
        <v>4.805382120342681E-4</v>
      </c>
      <c r="X436" s="59">
        <f t="shared" si="44"/>
        <v>-5.5321193464579997E-2</v>
      </c>
      <c r="Y436" s="59">
        <f t="shared" si="45"/>
        <v>-5.8965273132940829E-3</v>
      </c>
    </row>
    <row r="437" spans="1:25" x14ac:dyDescent="0.3">
      <c r="A437" s="2">
        <v>43496</v>
      </c>
      <c r="B437" s="1">
        <v>41.61</v>
      </c>
      <c r="C437" s="1">
        <v>1718.73</v>
      </c>
      <c r="D437" s="1">
        <v>166.69</v>
      </c>
      <c r="E437" s="3">
        <f t="shared" si="40"/>
        <v>2184.16</v>
      </c>
      <c r="F437" s="4">
        <f t="shared" si="41"/>
        <v>-213.92500000000109</v>
      </c>
      <c r="G437" s="4">
        <f t="shared" si="42"/>
        <v>213.92500000000109</v>
      </c>
      <c r="W437" s="59">
        <f t="shared" si="43"/>
        <v>7.1754053829448461E-3</v>
      </c>
      <c r="X437" s="59">
        <f t="shared" si="44"/>
        <v>2.8504567686382189E-2</v>
      </c>
      <c r="Y437" s="59">
        <f t="shared" si="45"/>
        <v>0.10270441855673969</v>
      </c>
    </row>
    <row r="438" spans="1:25" x14ac:dyDescent="0.3">
      <c r="A438" s="2">
        <v>43495</v>
      </c>
      <c r="B438" s="1">
        <v>41.3125</v>
      </c>
      <c r="C438" s="1">
        <v>1670.43</v>
      </c>
      <c r="D438" s="1">
        <v>150.41999999999999</v>
      </c>
      <c r="E438" s="3">
        <f t="shared" si="40"/>
        <v>2398.0850000000009</v>
      </c>
      <c r="F438" s="4">
        <f t="shared" si="41"/>
        <v>160.62500000000091</v>
      </c>
      <c r="G438" s="4">
        <f t="shared" si="42"/>
        <v>-160.62500000000091</v>
      </c>
      <c r="W438" s="59">
        <f t="shared" si="43"/>
        <v>6.6101011992699382E-2</v>
      </c>
      <c r="X438" s="59">
        <f t="shared" si="44"/>
        <v>4.690978308951213E-2</v>
      </c>
      <c r="Y438" s="59">
        <f t="shared" si="45"/>
        <v>4.2299507079701294E-2</v>
      </c>
    </row>
    <row r="439" spans="1:25" x14ac:dyDescent="0.3">
      <c r="A439" s="2">
        <v>43494</v>
      </c>
      <c r="B439" s="1">
        <v>38.67</v>
      </c>
      <c r="C439" s="1">
        <v>1593.88</v>
      </c>
      <c r="D439" s="1">
        <v>144.19</v>
      </c>
      <c r="E439" s="3">
        <f t="shared" si="40"/>
        <v>2237.46</v>
      </c>
      <c r="F439" s="4">
        <f t="shared" si="41"/>
        <v>-42.670000000000528</v>
      </c>
      <c r="G439" s="4">
        <f t="shared" si="42"/>
        <v>42.670000000000528</v>
      </c>
      <c r="W439" s="59">
        <f t="shared" si="43"/>
        <v>-1.0418770688334572E-2</v>
      </c>
      <c r="X439" s="59">
        <f t="shared" si="44"/>
        <v>-2.7237532883209539E-2</v>
      </c>
      <c r="Y439" s="59">
        <f t="shared" si="45"/>
        <v>-2.249289094429395E-2</v>
      </c>
    </row>
    <row r="440" spans="1:25" x14ac:dyDescent="0.3">
      <c r="A440" s="2">
        <v>43493</v>
      </c>
      <c r="B440" s="1">
        <v>39.075000000000003</v>
      </c>
      <c r="C440" s="1">
        <v>1637.89</v>
      </c>
      <c r="D440" s="1">
        <v>147.47</v>
      </c>
      <c r="E440" s="3">
        <f t="shared" si="40"/>
        <v>2280.1300000000006</v>
      </c>
      <c r="F440" s="4">
        <f t="shared" si="41"/>
        <v>-52.809999999999036</v>
      </c>
      <c r="G440" s="4">
        <f t="shared" si="42"/>
        <v>52.809999999999036</v>
      </c>
      <c r="W440" s="59">
        <f t="shared" si="43"/>
        <v>-9.2976534268942035E-3</v>
      </c>
      <c r="X440" s="59">
        <f t="shared" si="44"/>
        <v>-1.9756057449691861E-2</v>
      </c>
      <c r="Y440" s="59">
        <f t="shared" si="45"/>
        <v>-1.0388652524519273E-2</v>
      </c>
    </row>
    <row r="441" spans="1:25" x14ac:dyDescent="0.3">
      <c r="A441" s="2">
        <v>43490</v>
      </c>
      <c r="B441" s="1">
        <v>39.44</v>
      </c>
      <c r="C441" s="1">
        <v>1670.57</v>
      </c>
      <c r="D441" s="1">
        <v>149.01</v>
      </c>
      <c r="E441" s="3">
        <f t="shared" si="40"/>
        <v>2332.9399999999996</v>
      </c>
      <c r="F441" s="4">
        <f t="shared" si="41"/>
        <v>30.930000000000291</v>
      </c>
      <c r="G441" s="4">
        <f t="shared" si="42"/>
        <v>-30.930000000000291</v>
      </c>
      <c r="W441" s="59">
        <f t="shared" si="43"/>
        <v>3.2599678629738615E-2</v>
      </c>
      <c r="X441" s="59">
        <f t="shared" si="44"/>
        <v>9.4061736963974504E-3</v>
      </c>
      <c r="Y441" s="59">
        <f t="shared" si="45"/>
        <v>2.1571858061894874E-2</v>
      </c>
    </row>
    <row r="442" spans="1:25" x14ac:dyDescent="0.3">
      <c r="A442" s="2">
        <v>43489</v>
      </c>
      <c r="B442" s="1">
        <v>38.174999999999997</v>
      </c>
      <c r="C442" s="1">
        <v>1654.93</v>
      </c>
      <c r="D442" s="1">
        <v>145.83000000000001</v>
      </c>
      <c r="E442" s="3">
        <f t="shared" si="40"/>
        <v>2302.0099999999993</v>
      </c>
      <c r="F442" s="4">
        <f t="shared" si="41"/>
        <v>-16.030000000000655</v>
      </c>
      <c r="G442" s="4">
        <f t="shared" si="42"/>
        <v>16.030000000000655</v>
      </c>
      <c r="W442" s="59">
        <f t="shared" si="43"/>
        <v>-7.9577746928096195E-3</v>
      </c>
      <c r="X442" s="59">
        <f t="shared" si="44"/>
        <v>9.0502749783161526E-3</v>
      </c>
      <c r="Y442" s="59">
        <f t="shared" si="45"/>
        <v>1.0547093945648655E-2</v>
      </c>
    </row>
    <row r="443" spans="1:25" x14ac:dyDescent="0.3">
      <c r="A443" s="2">
        <v>43488</v>
      </c>
      <c r="B443" s="1">
        <v>38.479999999999997</v>
      </c>
      <c r="C443" s="1">
        <v>1640.02</v>
      </c>
      <c r="D443" s="1">
        <v>144.30000000000001</v>
      </c>
      <c r="E443" s="3">
        <f t="shared" si="40"/>
        <v>2318.04</v>
      </c>
      <c r="F443" s="4">
        <f t="shared" si="41"/>
        <v>88.849999999999454</v>
      </c>
      <c r="G443" s="4">
        <f t="shared" si="42"/>
        <v>-88.849999999999454</v>
      </c>
      <c r="W443" s="59">
        <f t="shared" si="43"/>
        <v>4.0362010396276854E-3</v>
      </c>
      <c r="X443" s="59">
        <f t="shared" si="44"/>
        <v>4.7980191000869046E-3</v>
      </c>
      <c r="Y443" s="59">
        <f t="shared" si="45"/>
        <v>-2.2408173695532815E-2</v>
      </c>
    </row>
    <row r="444" spans="1:25" x14ac:dyDescent="0.3">
      <c r="A444" s="2">
        <v>43487</v>
      </c>
      <c r="B444" s="1">
        <v>38.325000000000003</v>
      </c>
      <c r="C444" s="1">
        <v>1632.17</v>
      </c>
      <c r="D444" s="1">
        <v>147.57</v>
      </c>
      <c r="E444" s="3">
        <f t="shared" si="40"/>
        <v>2229.1900000000005</v>
      </c>
      <c r="F444" s="4">
        <f t="shared" si="41"/>
        <v>-122.6599999999994</v>
      </c>
      <c r="G444" s="4">
        <f t="shared" si="42"/>
        <v>122.6599999999994</v>
      </c>
      <c r="W444" s="59">
        <f t="shared" si="43"/>
        <v>-2.2701864925007316E-2</v>
      </c>
      <c r="X444" s="59">
        <f t="shared" si="44"/>
        <v>-3.8480037161851131E-2</v>
      </c>
      <c r="Y444" s="59">
        <f t="shared" si="45"/>
        <v>-1.6599285738328477E-2</v>
      </c>
    </row>
    <row r="445" spans="1:25" x14ac:dyDescent="0.3">
      <c r="A445" s="2">
        <v>43486</v>
      </c>
      <c r="B445" s="1">
        <v>39.204999999999998</v>
      </c>
      <c r="C445" s="1">
        <v>1696.2</v>
      </c>
      <c r="D445" s="1">
        <v>150.04</v>
      </c>
      <c r="E445" s="3">
        <f t="shared" si="40"/>
        <v>2351.85</v>
      </c>
      <c r="F445" s="4">
        <f t="shared" si="41"/>
        <v>0</v>
      </c>
      <c r="G445" s="4">
        <f t="shared" si="42"/>
        <v>0</v>
      </c>
      <c r="W445" s="59">
        <f t="shared" si="43"/>
        <v>0</v>
      </c>
      <c r="X445" s="59">
        <f t="shared" si="44"/>
        <v>0</v>
      </c>
      <c r="Y445" s="59">
        <f t="shared" si="45"/>
        <v>0</v>
      </c>
    </row>
    <row r="446" spans="1:25" x14ac:dyDescent="0.3">
      <c r="A446" s="2">
        <v>43483</v>
      </c>
      <c r="B446" s="1">
        <v>39.204999999999998</v>
      </c>
      <c r="C446" s="1">
        <v>1696.2</v>
      </c>
      <c r="D446" s="1">
        <v>150.04</v>
      </c>
      <c r="E446" s="3">
        <f t="shared" si="40"/>
        <v>2351.85</v>
      </c>
      <c r="F446" s="4">
        <f t="shared" si="41"/>
        <v>-16.8400000000006</v>
      </c>
      <c r="G446" s="4">
        <f t="shared" si="42"/>
        <v>16.8400000000006</v>
      </c>
      <c r="W446" s="59">
        <f t="shared" si="43"/>
        <v>6.1404823873608648E-3</v>
      </c>
      <c r="X446" s="59">
        <f t="shared" si="44"/>
        <v>1.7584133968945061E-3</v>
      </c>
      <c r="Y446" s="59">
        <f t="shared" si="45"/>
        <v>1.1664676069800041E-2</v>
      </c>
    </row>
    <row r="447" spans="1:25" x14ac:dyDescent="0.3">
      <c r="A447" s="2">
        <v>43482</v>
      </c>
      <c r="B447" s="1">
        <v>38.965000000000003</v>
      </c>
      <c r="C447" s="1">
        <v>1693.22</v>
      </c>
      <c r="D447" s="1">
        <v>148.30000000000001</v>
      </c>
      <c r="E447" s="3">
        <f t="shared" si="40"/>
        <v>2368.6900000000005</v>
      </c>
      <c r="F447" s="4">
        <f t="shared" si="41"/>
        <v>15.180000000000746</v>
      </c>
      <c r="G447" s="4">
        <f t="shared" si="42"/>
        <v>-15.180000000000746</v>
      </c>
      <c r="W447" s="59">
        <f t="shared" si="43"/>
        <v>5.9202232116584829E-3</v>
      </c>
      <c r="X447" s="59">
        <f t="shared" si="44"/>
        <v>5.5907755929212582E-3</v>
      </c>
      <c r="Y447" s="59">
        <f t="shared" si="45"/>
        <v>5.1379236877303726E-3</v>
      </c>
    </row>
    <row r="448" spans="1:25" x14ac:dyDescent="0.3">
      <c r="A448" s="2">
        <v>43481</v>
      </c>
      <c r="B448" s="1">
        <v>38.734999999999999</v>
      </c>
      <c r="C448" s="1">
        <v>1683.78</v>
      </c>
      <c r="D448" s="1">
        <v>147.54</v>
      </c>
      <c r="E448" s="3">
        <f t="shared" si="40"/>
        <v>2353.5099999999998</v>
      </c>
      <c r="F448" s="4">
        <f t="shared" si="41"/>
        <v>70.014999999999873</v>
      </c>
      <c r="G448" s="4">
        <f t="shared" si="42"/>
        <v>-70.014999999999873</v>
      </c>
      <c r="W448" s="59">
        <f t="shared" si="43"/>
        <v>1.2142612100140771E-2</v>
      </c>
      <c r="X448" s="59">
        <f t="shared" si="44"/>
        <v>5.4908217539409851E-3</v>
      </c>
      <c r="Y448" s="59">
        <f t="shared" si="45"/>
        <v>-9.5113537031350937E-3</v>
      </c>
    </row>
    <row r="449" spans="1:25" x14ac:dyDescent="0.3">
      <c r="A449" s="2">
        <v>43480</v>
      </c>
      <c r="B449" s="1">
        <v>38.267499999999998</v>
      </c>
      <c r="C449" s="1">
        <v>1674.56</v>
      </c>
      <c r="D449" s="1">
        <v>148.94999999999999</v>
      </c>
      <c r="E449" s="3">
        <f t="shared" si="40"/>
        <v>2283.4949999999999</v>
      </c>
      <c r="F449" s="4">
        <f t="shared" si="41"/>
        <v>81.874999999999545</v>
      </c>
      <c r="G449" s="4">
        <f t="shared" si="42"/>
        <v>-81.874999999999545</v>
      </c>
      <c r="W449" s="59">
        <f t="shared" si="43"/>
        <v>2.0260039007360012E-2</v>
      </c>
      <c r="X449" s="59">
        <f t="shared" si="44"/>
        <v>3.4848001909261177E-2</v>
      </c>
      <c r="Y449" s="59">
        <f t="shared" si="45"/>
        <v>2.4190892215957036E-2</v>
      </c>
    </row>
    <row r="450" spans="1:25" x14ac:dyDescent="0.3">
      <c r="A450" s="2">
        <v>43479</v>
      </c>
      <c r="B450" s="1">
        <v>37.5</v>
      </c>
      <c r="C450" s="1">
        <v>1617.21</v>
      </c>
      <c r="D450" s="1">
        <v>145.38999999999999</v>
      </c>
      <c r="E450" s="3">
        <f t="shared" si="40"/>
        <v>2201.6200000000003</v>
      </c>
      <c r="F450" s="4">
        <f t="shared" si="41"/>
        <v>-107.12499999999955</v>
      </c>
      <c r="G450" s="4">
        <f t="shared" si="42"/>
        <v>107.12499999999955</v>
      </c>
      <c r="W450" s="59">
        <f t="shared" si="43"/>
        <v>-1.5151303767343681E-2</v>
      </c>
      <c r="X450" s="59">
        <f t="shared" si="44"/>
        <v>-1.4335204672932502E-2</v>
      </c>
      <c r="Y450" s="59">
        <f t="shared" si="45"/>
        <v>1.0996341656387781E-2</v>
      </c>
    </row>
    <row r="451" spans="1:25" x14ac:dyDescent="0.3">
      <c r="A451" s="2">
        <v>43476</v>
      </c>
      <c r="B451" s="1">
        <v>38.072499999999998</v>
      </c>
      <c r="C451" s="1">
        <v>1640.56</v>
      </c>
      <c r="D451" s="1">
        <v>143.80000000000001</v>
      </c>
      <c r="E451" s="3">
        <f t="shared" si="40"/>
        <v>2308.7449999999999</v>
      </c>
      <c r="F451" s="4">
        <f t="shared" si="41"/>
        <v>-42.195000000000618</v>
      </c>
      <c r="G451" s="4">
        <f t="shared" si="42"/>
        <v>42.195000000000618</v>
      </c>
      <c r="W451" s="59">
        <f t="shared" si="43"/>
        <v>-9.8664592079442514E-3</v>
      </c>
      <c r="X451" s="59">
        <f t="shared" si="44"/>
        <v>-9.5002504154247935E-3</v>
      </c>
      <c r="Y451" s="59">
        <f t="shared" si="45"/>
        <v>-2.7777795639022749E-3</v>
      </c>
    </row>
    <row r="452" spans="1:25" x14ac:dyDescent="0.3">
      <c r="A452" s="2">
        <v>43475</v>
      </c>
      <c r="B452" s="1">
        <v>38.450000000000003</v>
      </c>
      <c r="C452" s="1">
        <v>1656.22</v>
      </c>
      <c r="D452" s="1">
        <v>144.19999999999999</v>
      </c>
      <c r="E452" s="3">
        <f t="shared" si="40"/>
        <v>2350.9400000000005</v>
      </c>
      <c r="F452" s="4">
        <f t="shared" si="41"/>
        <v>0.32500000000027285</v>
      </c>
      <c r="G452" s="4">
        <f t="shared" si="42"/>
        <v>-0.32500000000027285</v>
      </c>
      <c r="W452" s="59">
        <f t="shared" si="43"/>
        <v>3.1910417491808744E-3</v>
      </c>
      <c r="X452" s="59">
        <f t="shared" si="44"/>
        <v>-1.9302463437286318E-3</v>
      </c>
      <c r="Y452" s="59">
        <f t="shared" si="45"/>
        <v>-2.0802274457016961E-4</v>
      </c>
    </row>
    <row r="453" spans="1:25" x14ac:dyDescent="0.3">
      <c r="A453" s="2">
        <v>43474</v>
      </c>
      <c r="B453" s="1">
        <v>38.327500000000001</v>
      </c>
      <c r="C453" s="1">
        <v>1659.42</v>
      </c>
      <c r="D453" s="1">
        <v>144.22999999999999</v>
      </c>
      <c r="E453" s="3">
        <f t="shared" si="40"/>
        <v>2350.6150000000002</v>
      </c>
      <c r="F453" s="4">
        <f t="shared" si="41"/>
        <v>3.680000000000291</v>
      </c>
      <c r="G453" s="4">
        <f t="shared" si="42"/>
        <v>-3.680000000000291</v>
      </c>
      <c r="W453" s="59">
        <f t="shared" si="43"/>
        <v>1.6839179715067942E-2</v>
      </c>
      <c r="X453" s="59">
        <f t="shared" si="44"/>
        <v>1.7129075358218262E-3</v>
      </c>
      <c r="Y453" s="59">
        <f t="shared" si="45"/>
        <v>1.1856743728479122E-2</v>
      </c>
    </row>
    <row r="454" spans="1:25" x14ac:dyDescent="0.3">
      <c r="A454" s="2">
        <v>43473</v>
      </c>
      <c r="B454" s="1">
        <v>37.6875</v>
      </c>
      <c r="C454" s="1">
        <v>1656.58</v>
      </c>
      <c r="D454" s="1">
        <v>142.53</v>
      </c>
      <c r="E454" s="3">
        <f t="shared" ref="E454:E517" si="46">50*B454+2*C454-20*D454</f>
        <v>2346.9349999999999</v>
      </c>
      <c r="F454" s="4">
        <f t="shared" ref="F454:F517" si="47">E454-E455</f>
        <v>-0.21000000000049113</v>
      </c>
      <c r="G454" s="4">
        <f t="shared" ref="G454:G517" si="48">-F454</f>
        <v>0.21000000000049113</v>
      </c>
      <c r="W454" s="59">
        <f t="shared" ref="W454:W517" si="49">LN(B454/B455)</f>
        <v>1.888364670315034E-2</v>
      </c>
      <c r="X454" s="59">
        <f t="shared" ref="X454:X517" si="50">LN(C454/C455)</f>
        <v>1.6475880060265173E-2</v>
      </c>
      <c r="Y454" s="59">
        <f t="shared" ref="Y454:Y517" si="51">LN(D454/D455)</f>
        <v>3.1936565490776142E-2</v>
      </c>
    </row>
    <row r="455" spans="1:25" x14ac:dyDescent="0.3">
      <c r="A455" s="2">
        <v>43472</v>
      </c>
      <c r="B455" s="1">
        <v>36.982500000000002</v>
      </c>
      <c r="C455" s="1">
        <v>1629.51</v>
      </c>
      <c r="D455" s="1">
        <v>138.05000000000001</v>
      </c>
      <c r="E455" s="3">
        <f t="shared" si="46"/>
        <v>2347.1450000000004</v>
      </c>
      <c r="F455" s="4">
        <f t="shared" si="47"/>
        <v>102.11499999999978</v>
      </c>
      <c r="G455" s="4">
        <f t="shared" si="48"/>
        <v>-102.11499999999978</v>
      </c>
      <c r="W455" s="59">
        <f t="shared" si="49"/>
        <v>-2.2283003244291597E-3</v>
      </c>
      <c r="X455" s="59">
        <f t="shared" si="50"/>
        <v>3.3776495455764631E-2</v>
      </c>
      <c r="Y455" s="59">
        <f t="shared" si="51"/>
        <v>7.2463771286851246E-4</v>
      </c>
    </row>
    <row r="456" spans="1:25" x14ac:dyDescent="0.3">
      <c r="A456" s="2">
        <v>43469</v>
      </c>
      <c r="B456" s="1">
        <v>37.064999999999998</v>
      </c>
      <c r="C456" s="1">
        <v>1575.39</v>
      </c>
      <c r="D456" s="1">
        <v>137.94999999999999</v>
      </c>
      <c r="E456" s="3">
        <f t="shared" si="46"/>
        <v>2245.0300000000007</v>
      </c>
      <c r="F456" s="4">
        <f t="shared" si="47"/>
        <v>101.89500000000135</v>
      </c>
      <c r="G456" s="4">
        <f t="shared" si="48"/>
        <v>-101.89500000000135</v>
      </c>
      <c r="W456" s="59">
        <f t="shared" si="49"/>
        <v>4.1803297820290658E-2</v>
      </c>
      <c r="X456" s="59">
        <f t="shared" si="50"/>
        <v>4.8851103317902579E-2</v>
      </c>
      <c r="Y456" s="59">
        <f t="shared" si="51"/>
        <v>4.606101745074806E-2</v>
      </c>
    </row>
    <row r="457" spans="1:25" x14ac:dyDescent="0.3">
      <c r="A457" s="2">
        <v>43468</v>
      </c>
      <c r="B457" s="1">
        <v>35.547499999999999</v>
      </c>
      <c r="C457" s="1">
        <v>1500.28</v>
      </c>
      <c r="D457" s="1">
        <v>131.74</v>
      </c>
      <c r="E457" s="3">
        <f t="shared" si="46"/>
        <v>2143.1349999999993</v>
      </c>
      <c r="F457" s="4">
        <f t="shared" si="47"/>
        <v>-195.52500000000055</v>
      </c>
      <c r="G457" s="4">
        <f t="shared" si="48"/>
        <v>195.52500000000055</v>
      </c>
      <c r="W457" s="59">
        <f t="shared" si="49"/>
        <v>-0.10492438427688831</v>
      </c>
      <c r="X457" s="59">
        <f t="shared" si="50"/>
        <v>-2.5565564369886939E-2</v>
      </c>
      <c r="Y457" s="59">
        <f t="shared" si="51"/>
        <v>-2.9468888831046085E-2</v>
      </c>
    </row>
    <row r="458" spans="1:25" x14ac:dyDescent="0.3">
      <c r="A458" s="2">
        <v>43467</v>
      </c>
      <c r="B458" s="1">
        <v>39.479999999999997</v>
      </c>
      <c r="C458" s="1">
        <v>1539.13</v>
      </c>
      <c r="D458" s="1">
        <v>135.68</v>
      </c>
      <c r="E458" s="3">
        <f t="shared" si="46"/>
        <v>2338.66</v>
      </c>
      <c r="F458" s="4">
        <f t="shared" si="47"/>
        <v>-15.230000000000473</v>
      </c>
      <c r="G458" s="4">
        <f t="shared" si="48"/>
        <v>15.230000000000473</v>
      </c>
      <c r="W458" s="59">
        <f t="shared" si="49"/>
        <v>1.1404677153263752E-3</v>
      </c>
      <c r="X458" s="59">
        <f t="shared" si="50"/>
        <v>2.4439741951032528E-2</v>
      </c>
      <c r="Y458" s="59">
        <f t="shared" si="51"/>
        <v>3.4415061833875167E-2</v>
      </c>
    </row>
    <row r="459" spans="1:25" x14ac:dyDescent="0.3">
      <c r="A459" s="2">
        <v>43466</v>
      </c>
      <c r="B459" s="1">
        <v>39.435000000000002</v>
      </c>
      <c r="C459" s="1">
        <v>1501.97</v>
      </c>
      <c r="D459" s="1">
        <v>131.09</v>
      </c>
      <c r="E459" s="3">
        <f t="shared" si="46"/>
        <v>2353.8900000000003</v>
      </c>
      <c r="F459" s="4">
        <f t="shared" si="47"/>
        <v>0</v>
      </c>
      <c r="G459" s="4">
        <f t="shared" si="48"/>
        <v>0</v>
      </c>
      <c r="W459" s="59">
        <f t="shared" si="49"/>
        <v>0</v>
      </c>
      <c r="X459" s="59">
        <f t="shared" si="50"/>
        <v>0</v>
      </c>
      <c r="Y459" s="59">
        <f t="shared" si="51"/>
        <v>0</v>
      </c>
    </row>
    <row r="460" spans="1:25" x14ac:dyDescent="0.3">
      <c r="A460" s="2">
        <v>43465</v>
      </c>
      <c r="B460" s="1">
        <v>39.435000000000002</v>
      </c>
      <c r="C460" s="1">
        <v>1501.97</v>
      </c>
      <c r="D460" s="1">
        <v>131.09</v>
      </c>
      <c r="E460" s="3">
        <f t="shared" si="46"/>
        <v>2353.8900000000003</v>
      </c>
      <c r="F460" s="4">
        <f t="shared" si="47"/>
        <v>108.97500000000036</v>
      </c>
      <c r="G460" s="4">
        <f t="shared" si="48"/>
        <v>-108.97500000000036</v>
      </c>
      <c r="W460" s="59">
        <f t="shared" si="49"/>
        <v>9.6188275460332238E-3</v>
      </c>
      <c r="X460" s="59">
        <f t="shared" si="50"/>
        <v>1.6074225539445666E-2</v>
      </c>
      <c r="Y460" s="59">
        <f t="shared" si="51"/>
        <v>-1.5967647896570757E-2</v>
      </c>
    </row>
    <row r="461" spans="1:25" x14ac:dyDescent="0.3">
      <c r="A461" s="2">
        <v>43462</v>
      </c>
      <c r="B461" s="1">
        <v>39.057499999999997</v>
      </c>
      <c r="C461" s="1">
        <v>1478.02</v>
      </c>
      <c r="D461" s="1">
        <v>133.19999999999999</v>
      </c>
      <c r="E461" s="3">
        <f t="shared" si="46"/>
        <v>2244.915</v>
      </c>
      <c r="F461" s="4">
        <f t="shared" si="47"/>
        <v>60.1599999999994</v>
      </c>
      <c r="G461" s="4">
        <f t="shared" si="48"/>
        <v>-60.1599999999994</v>
      </c>
      <c r="W461" s="59">
        <f t="shared" si="49"/>
        <v>5.1219669472401641E-4</v>
      </c>
      <c r="X461" s="59">
        <f t="shared" si="50"/>
        <v>1.1144261258255669E-2</v>
      </c>
      <c r="Y461" s="59">
        <f t="shared" si="51"/>
        <v>-9.8611287657802953E-3</v>
      </c>
    </row>
    <row r="462" spans="1:25" x14ac:dyDescent="0.3">
      <c r="A462" s="2">
        <v>43461</v>
      </c>
      <c r="B462" s="1">
        <v>39.037500000000001</v>
      </c>
      <c r="C462" s="1">
        <v>1461.64</v>
      </c>
      <c r="D462" s="1">
        <v>134.52000000000001</v>
      </c>
      <c r="E462" s="3">
        <f t="shared" si="46"/>
        <v>2184.7550000000006</v>
      </c>
      <c r="F462" s="4">
        <f t="shared" si="47"/>
        <v>-38.069999999999254</v>
      </c>
      <c r="G462" s="4">
        <f t="shared" si="48"/>
        <v>38.069999999999254</v>
      </c>
      <c r="W462" s="59">
        <f t="shared" si="49"/>
        <v>-6.510938359150324E-3</v>
      </c>
      <c r="X462" s="59">
        <f t="shared" si="50"/>
        <v>-6.3153653672305922E-3</v>
      </c>
      <c r="Y462" s="59">
        <f t="shared" si="51"/>
        <v>2.5307047373268588E-3</v>
      </c>
    </row>
    <row r="463" spans="1:25" x14ac:dyDescent="0.3">
      <c r="A463" s="2">
        <v>43460</v>
      </c>
      <c r="B463" s="1">
        <v>39.292499999999997</v>
      </c>
      <c r="C463" s="1">
        <v>1470.9</v>
      </c>
      <c r="D463" s="1">
        <v>134.18</v>
      </c>
      <c r="E463" s="3">
        <f t="shared" si="46"/>
        <v>2222.8249999999998</v>
      </c>
      <c r="F463" s="4">
        <f t="shared" si="47"/>
        <v>180.72999999999956</v>
      </c>
      <c r="G463" s="4">
        <f t="shared" si="48"/>
        <v>-180.72999999999956</v>
      </c>
      <c r="W463" s="59">
        <f t="shared" si="49"/>
        <v>6.8052567113391749E-2</v>
      </c>
      <c r="X463" s="59">
        <f t="shared" si="50"/>
        <v>9.0253978589858605E-2</v>
      </c>
      <c r="Y463" s="59">
        <f t="shared" si="51"/>
        <v>7.84168625897705E-2</v>
      </c>
    </row>
    <row r="464" spans="1:25" x14ac:dyDescent="0.3">
      <c r="A464" s="2">
        <v>43459</v>
      </c>
      <c r="B464" s="1">
        <v>36.707500000000003</v>
      </c>
      <c r="C464" s="1">
        <v>1343.96</v>
      </c>
      <c r="D464" s="1">
        <v>124.06</v>
      </c>
      <c r="E464" s="3">
        <f t="shared" si="46"/>
        <v>2042.0950000000003</v>
      </c>
      <c r="F464" s="4">
        <f t="shared" si="47"/>
        <v>0</v>
      </c>
      <c r="G464" s="4">
        <f t="shared" si="48"/>
        <v>0</v>
      </c>
      <c r="W464" s="59">
        <f t="shared" si="49"/>
        <v>0</v>
      </c>
      <c r="X464" s="59">
        <f t="shared" si="50"/>
        <v>0</v>
      </c>
      <c r="Y464" s="59">
        <f t="shared" si="51"/>
        <v>0</v>
      </c>
    </row>
    <row r="465" spans="1:25" x14ac:dyDescent="0.3">
      <c r="A465" s="2">
        <v>43458</v>
      </c>
      <c r="B465" s="1">
        <v>36.707500000000003</v>
      </c>
      <c r="C465" s="1">
        <v>1343.96</v>
      </c>
      <c r="D465" s="1">
        <v>124.06</v>
      </c>
      <c r="E465" s="3">
        <f t="shared" si="46"/>
        <v>2042.0950000000003</v>
      </c>
      <c r="F465" s="4">
        <f t="shared" si="47"/>
        <v>-97.929999999999382</v>
      </c>
      <c r="G465" s="4">
        <f t="shared" si="48"/>
        <v>97.929999999999382</v>
      </c>
      <c r="W465" s="59">
        <f t="shared" si="49"/>
        <v>-2.6214701847591528E-2</v>
      </c>
      <c r="X465" s="59">
        <f t="shared" si="50"/>
        <v>-2.4613483992202232E-2</v>
      </c>
      <c r="Y465" s="59">
        <f t="shared" si="51"/>
        <v>-7.1483377359899385E-3</v>
      </c>
    </row>
    <row r="466" spans="1:25" x14ac:dyDescent="0.3">
      <c r="A466" s="2">
        <v>43455</v>
      </c>
      <c r="B466" s="1">
        <v>37.682499999999997</v>
      </c>
      <c r="C466" s="1">
        <v>1377.45</v>
      </c>
      <c r="D466" s="1">
        <v>124.95</v>
      </c>
      <c r="E466" s="3">
        <f t="shared" si="46"/>
        <v>2140.0249999999996</v>
      </c>
      <c r="F466" s="4">
        <f t="shared" si="47"/>
        <v>-74.010000000000218</v>
      </c>
      <c r="G466" s="4">
        <f t="shared" si="48"/>
        <v>74.010000000000218</v>
      </c>
      <c r="W466" s="59">
        <f t="shared" si="49"/>
        <v>-3.9672259323895565E-2</v>
      </c>
      <c r="X466" s="59">
        <f t="shared" si="50"/>
        <v>-5.8770803594411468E-2</v>
      </c>
      <c r="Y466" s="59">
        <f t="shared" si="51"/>
        <v>-6.5438476200561993E-2</v>
      </c>
    </row>
    <row r="467" spans="1:25" x14ac:dyDescent="0.3">
      <c r="A467" s="2">
        <v>43454</v>
      </c>
      <c r="B467" s="1">
        <v>39.207500000000003</v>
      </c>
      <c r="C467" s="1">
        <v>1460.83</v>
      </c>
      <c r="D467" s="1">
        <v>133.4</v>
      </c>
      <c r="E467" s="3">
        <f t="shared" si="46"/>
        <v>2214.0349999999999</v>
      </c>
      <c r="F467" s="4">
        <f t="shared" si="47"/>
        <v>-122.44999999999982</v>
      </c>
      <c r="G467" s="4">
        <f t="shared" si="48"/>
        <v>122.44999999999982</v>
      </c>
      <c r="W467" s="59">
        <f t="shared" si="49"/>
        <v>-2.5558485516610111E-2</v>
      </c>
      <c r="X467" s="59">
        <f t="shared" si="50"/>
        <v>-2.3174949776719713E-2</v>
      </c>
      <c r="Y467" s="59">
        <f t="shared" si="51"/>
        <v>1.2001201560444073E-3</v>
      </c>
    </row>
    <row r="468" spans="1:25" x14ac:dyDescent="0.3">
      <c r="A468" s="2">
        <v>43453</v>
      </c>
      <c r="B468" s="1">
        <v>40.222499999999997</v>
      </c>
      <c r="C468" s="1">
        <v>1495.08</v>
      </c>
      <c r="D468" s="1">
        <v>133.24</v>
      </c>
      <c r="E468" s="3">
        <f t="shared" si="46"/>
        <v>2336.4849999999997</v>
      </c>
      <c r="F468" s="4">
        <f t="shared" si="47"/>
        <v>30.849999999999454</v>
      </c>
      <c r="G468" s="4">
        <f t="shared" si="48"/>
        <v>-30.849999999999454</v>
      </c>
      <c r="W468" s="59">
        <f t="shared" si="49"/>
        <v>-3.168848455571821E-2</v>
      </c>
      <c r="X468" s="59">
        <f t="shared" si="50"/>
        <v>-3.7029596955690067E-2</v>
      </c>
      <c r="Y468" s="59">
        <f t="shared" si="51"/>
        <v>-7.5297383321176581E-2</v>
      </c>
    </row>
    <row r="469" spans="1:25" x14ac:dyDescent="0.3">
      <c r="A469" s="2">
        <v>43452</v>
      </c>
      <c r="B469" s="1">
        <v>41.517499999999998</v>
      </c>
      <c r="C469" s="1">
        <v>1551.48</v>
      </c>
      <c r="D469" s="1">
        <v>143.66</v>
      </c>
      <c r="E469" s="3">
        <f t="shared" si="46"/>
        <v>2305.6350000000002</v>
      </c>
      <c r="F469" s="4">
        <f t="shared" si="47"/>
        <v>18.365000000000691</v>
      </c>
      <c r="G469" s="4">
        <f t="shared" si="48"/>
        <v>-18.365000000000691</v>
      </c>
      <c r="W469" s="59">
        <f t="shared" si="49"/>
        <v>1.2908878993777004E-2</v>
      </c>
      <c r="X469" s="59">
        <f t="shared" si="50"/>
        <v>1.9900474143510549E-2</v>
      </c>
      <c r="Y469" s="59">
        <f t="shared" si="51"/>
        <v>2.4450751266211039E-2</v>
      </c>
    </row>
    <row r="470" spans="1:25" x14ac:dyDescent="0.3">
      <c r="A470" s="2">
        <v>43451</v>
      </c>
      <c r="B470" s="1">
        <v>40.984999999999999</v>
      </c>
      <c r="C470" s="1">
        <v>1520.91</v>
      </c>
      <c r="D470" s="1">
        <v>140.19</v>
      </c>
      <c r="E470" s="3">
        <f t="shared" si="46"/>
        <v>2287.2699999999995</v>
      </c>
      <c r="F470" s="4">
        <f t="shared" si="47"/>
        <v>-83.850000000000364</v>
      </c>
      <c r="G470" s="4">
        <f t="shared" si="48"/>
        <v>83.850000000000364</v>
      </c>
      <c r="W470" s="59">
        <f t="shared" si="49"/>
        <v>-9.3498343683261001E-3</v>
      </c>
      <c r="X470" s="59">
        <f t="shared" si="50"/>
        <v>-4.5625713232028867E-2</v>
      </c>
      <c r="Y470" s="59">
        <f t="shared" si="51"/>
        <v>-2.7231234080772378E-2</v>
      </c>
    </row>
    <row r="471" spans="1:25" x14ac:dyDescent="0.3">
      <c r="A471" s="2">
        <v>43448</v>
      </c>
      <c r="B471" s="1">
        <v>41.37</v>
      </c>
      <c r="C471" s="1">
        <v>1591.91</v>
      </c>
      <c r="D471" s="1">
        <v>144.06</v>
      </c>
      <c r="E471" s="3">
        <f t="shared" si="46"/>
        <v>2371.12</v>
      </c>
      <c r="F471" s="4">
        <f t="shared" si="47"/>
        <v>-182.31500000000051</v>
      </c>
      <c r="G471" s="4">
        <f t="shared" si="48"/>
        <v>182.31500000000051</v>
      </c>
      <c r="W471" s="59">
        <f t="shared" si="49"/>
        <v>-3.2520774492099586E-2</v>
      </c>
      <c r="X471" s="59">
        <f t="shared" si="50"/>
        <v>-4.0906669089178331E-2</v>
      </c>
      <c r="Y471" s="59">
        <f t="shared" si="51"/>
        <v>-6.57282609858685E-3</v>
      </c>
    </row>
    <row r="472" spans="1:25" x14ac:dyDescent="0.3">
      <c r="A472" s="2">
        <v>43447</v>
      </c>
      <c r="B472" s="1">
        <v>42.737499999999997</v>
      </c>
      <c r="C472" s="1">
        <v>1658.38</v>
      </c>
      <c r="D472" s="1">
        <v>145.01</v>
      </c>
      <c r="E472" s="3">
        <f t="shared" si="46"/>
        <v>2553.4350000000004</v>
      </c>
      <c r="F472" s="4">
        <f t="shared" si="47"/>
        <v>2.6050000000004729</v>
      </c>
      <c r="G472" s="4">
        <f t="shared" si="48"/>
        <v>-2.6050000000004729</v>
      </c>
      <c r="W472" s="59">
        <f t="shared" si="49"/>
        <v>1.0880860180775654E-2</v>
      </c>
      <c r="X472" s="59">
        <f t="shared" si="50"/>
        <v>-3.1066396240845033E-3</v>
      </c>
      <c r="Y472" s="59">
        <f t="shared" si="51"/>
        <v>3.523198007316878E-3</v>
      </c>
    </row>
    <row r="473" spans="1:25" x14ac:dyDescent="0.3">
      <c r="A473" s="2">
        <v>43446</v>
      </c>
      <c r="B473" s="1">
        <v>42.274999999999999</v>
      </c>
      <c r="C473" s="1">
        <v>1663.54</v>
      </c>
      <c r="D473" s="1">
        <v>144.5</v>
      </c>
      <c r="E473" s="3">
        <f t="shared" si="46"/>
        <v>2550.83</v>
      </c>
      <c r="F473" s="4">
        <f t="shared" si="47"/>
        <v>-1.9249999999992724</v>
      </c>
      <c r="G473" s="4">
        <f t="shared" si="48"/>
        <v>1.9249999999992724</v>
      </c>
      <c r="W473" s="59">
        <f t="shared" si="49"/>
        <v>2.7832902224414081E-3</v>
      </c>
      <c r="X473" s="59">
        <f t="shared" si="50"/>
        <v>1.2277959232367642E-2</v>
      </c>
      <c r="Y473" s="59">
        <f t="shared" si="51"/>
        <v>1.6889228308626863E-2</v>
      </c>
    </row>
    <row r="474" spans="1:25" x14ac:dyDescent="0.3">
      <c r="A474" s="2">
        <v>43445</v>
      </c>
      <c r="B474" s="1">
        <v>42.157499999999999</v>
      </c>
      <c r="C474" s="1">
        <v>1643.24</v>
      </c>
      <c r="D474" s="1">
        <v>142.08000000000001</v>
      </c>
      <c r="E474" s="3">
        <f t="shared" si="46"/>
        <v>2552.7549999999992</v>
      </c>
      <c r="F474" s="4">
        <f t="shared" si="47"/>
        <v>-12.305000000000291</v>
      </c>
      <c r="G474" s="4">
        <f t="shared" si="48"/>
        <v>12.305000000000291</v>
      </c>
      <c r="W474" s="59">
        <f t="shared" si="49"/>
        <v>-5.7357576757093697E-3</v>
      </c>
      <c r="X474" s="59">
        <f t="shared" si="50"/>
        <v>1.3458091652411583E-3</v>
      </c>
      <c r="Y474" s="59">
        <f t="shared" si="51"/>
        <v>1.6201179889997616E-3</v>
      </c>
    </row>
    <row r="475" spans="1:25" x14ac:dyDescent="0.3">
      <c r="A475" s="2">
        <v>43444</v>
      </c>
      <c r="B475" s="1">
        <v>42.4</v>
      </c>
      <c r="C475" s="1">
        <v>1641.03</v>
      </c>
      <c r="D475" s="1">
        <v>141.85</v>
      </c>
      <c r="E475" s="3">
        <f t="shared" si="46"/>
        <v>2565.0599999999995</v>
      </c>
      <c r="F475" s="4">
        <f t="shared" si="47"/>
        <v>-50.925000000001091</v>
      </c>
      <c r="G475" s="4">
        <f t="shared" si="48"/>
        <v>50.925000000001091</v>
      </c>
      <c r="W475" s="59">
        <f t="shared" si="49"/>
        <v>6.56632250750863E-3</v>
      </c>
      <c r="X475" s="59">
        <f t="shared" si="50"/>
        <v>7.2779634802577157E-3</v>
      </c>
      <c r="Y475" s="59">
        <f t="shared" si="51"/>
        <v>3.1728231651930602E-2</v>
      </c>
    </row>
    <row r="476" spans="1:25" x14ac:dyDescent="0.3">
      <c r="A476" s="2">
        <v>43441</v>
      </c>
      <c r="B476" s="1">
        <v>42.122500000000002</v>
      </c>
      <c r="C476" s="1">
        <v>1629.13</v>
      </c>
      <c r="D476" s="1">
        <v>137.41999999999999</v>
      </c>
      <c r="E476" s="3">
        <f t="shared" si="46"/>
        <v>2615.9850000000006</v>
      </c>
      <c r="F476" s="4">
        <f t="shared" si="47"/>
        <v>-173.79499999999962</v>
      </c>
      <c r="G476" s="4">
        <f t="shared" si="48"/>
        <v>173.79499999999962</v>
      </c>
      <c r="W476" s="59">
        <f t="shared" si="49"/>
        <v>-3.6308291706246262E-2</v>
      </c>
      <c r="X476" s="59">
        <f t="shared" si="50"/>
        <v>-4.2105536929514742E-2</v>
      </c>
      <c r="Y476" s="59">
        <f t="shared" si="51"/>
        <v>-1.5954137351173479E-2</v>
      </c>
    </row>
    <row r="477" spans="1:25" x14ac:dyDescent="0.3">
      <c r="A477" s="2">
        <v>43440</v>
      </c>
      <c r="B477" s="1">
        <v>43.68</v>
      </c>
      <c r="C477" s="1">
        <v>1699.19</v>
      </c>
      <c r="D477" s="1">
        <v>139.63</v>
      </c>
      <c r="E477" s="3">
        <f t="shared" si="46"/>
        <v>2789.78</v>
      </c>
      <c r="F477" s="4">
        <f t="shared" si="47"/>
        <v>2.955000000000382</v>
      </c>
      <c r="G477" s="4">
        <f t="shared" si="48"/>
        <v>-2.955000000000382</v>
      </c>
      <c r="W477" s="59">
        <f t="shared" si="49"/>
        <v>-1.1212092072018474E-2</v>
      </c>
      <c r="X477" s="59">
        <f t="shared" si="50"/>
        <v>1.8286583585101646E-2</v>
      </c>
      <c r="Y477" s="59">
        <f t="shared" si="51"/>
        <v>1.22497568666748E-2</v>
      </c>
    </row>
    <row r="478" spans="1:25" x14ac:dyDescent="0.3">
      <c r="A478" s="2">
        <v>43439</v>
      </c>
      <c r="B478" s="1">
        <v>44.172499999999999</v>
      </c>
      <c r="C478" s="1">
        <v>1668.4</v>
      </c>
      <c r="D478" s="1">
        <v>137.93</v>
      </c>
      <c r="E478" s="3">
        <f t="shared" si="46"/>
        <v>2786.8249999999998</v>
      </c>
      <c r="F478" s="4">
        <f t="shared" si="47"/>
        <v>0</v>
      </c>
      <c r="G478" s="4">
        <f t="shared" si="48"/>
        <v>0</v>
      </c>
      <c r="W478" s="59">
        <f t="shared" si="49"/>
        <v>0</v>
      </c>
      <c r="X478" s="59">
        <f t="shared" si="50"/>
        <v>0</v>
      </c>
      <c r="Y478" s="59">
        <f t="shared" si="51"/>
        <v>0</v>
      </c>
    </row>
    <row r="479" spans="1:25" x14ac:dyDescent="0.3">
      <c r="A479" s="2">
        <v>43438</v>
      </c>
      <c r="B479" s="1">
        <v>44.172499999999999</v>
      </c>
      <c r="C479" s="1">
        <v>1668.4</v>
      </c>
      <c r="D479" s="1">
        <v>137.93</v>
      </c>
      <c r="E479" s="3">
        <f t="shared" si="46"/>
        <v>2786.8249999999998</v>
      </c>
      <c r="F479" s="4">
        <f t="shared" si="47"/>
        <v>-246.34499999999935</v>
      </c>
      <c r="G479" s="4">
        <f t="shared" si="48"/>
        <v>246.34499999999935</v>
      </c>
      <c r="W479" s="59">
        <f t="shared" si="49"/>
        <v>-4.4985593831335616E-2</v>
      </c>
      <c r="X479" s="59">
        <f t="shared" si="50"/>
        <v>-6.0446908478863165E-2</v>
      </c>
      <c r="Y479" s="59">
        <f t="shared" si="51"/>
        <v>-2.2651674537637733E-2</v>
      </c>
    </row>
    <row r="480" spans="1:25" x14ac:dyDescent="0.3">
      <c r="A480" s="2">
        <v>43437</v>
      </c>
      <c r="B480" s="1">
        <v>46.204999999999998</v>
      </c>
      <c r="C480" s="1">
        <v>1772.36</v>
      </c>
      <c r="D480" s="1">
        <v>141.09</v>
      </c>
      <c r="E480" s="3">
        <f t="shared" si="46"/>
        <v>3033.1699999999992</v>
      </c>
      <c r="F480" s="4">
        <f t="shared" si="47"/>
        <v>232.77999999999929</v>
      </c>
      <c r="G480" s="4">
        <f t="shared" si="48"/>
        <v>-232.77999999999929</v>
      </c>
      <c r="W480" s="59">
        <f t="shared" si="49"/>
        <v>3.4345698370823956E-2</v>
      </c>
      <c r="X480" s="59">
        <f t="shared" si="50"/>
        <v>4.7482876227565279E-2</v>
      </c>
      <c r="Y480" s="59">
        <f t="shared" si="51"/>
        <v>3.4078840223416918E-3</v>
      </c>
    </row>
    <row r="481" spans="1:25" x14ac:dyDescent="0.3">
      <c r="A481" s="2">
        <v>43434</v>
      </c>
      <c r="B481" s="1">
        <v>44.645000000000003</v>
      </c>
      <c r="C481" s="1">
        <v>1690.17</v>
      </c>
      <c r="D481" s="1">
        <v>140.61000000000001</v>
      </c>
      <c r="E481" s="3">
        <f t="shared" si="46"/>
        <v>2800.39</v>
      </c>
      <c r="F481" s="4">
        <f t="shared" si="47"/>
        <v>-17.524999999999181</v>
      </c>
      <c r="G481" s="4">
        <f t="shared" si="48"/>
        <v>17.524999999999181</v>
      </c>
      <c r="W481" s="59">
        <f t="shared" si="49"/>
        <v>-5.4170405830214693E-3</v>
      </c>
      <c r="X481" s="59">
        <f t="shared" si="50"/>
        <v>9.8700462943571068E-3</v>
      </c>
      <c r="Y481" s="59">
        <f t="shared" si="51"/>
        <v>1.3820979785901816E-2</v>
      </c>
    </row>
    <row r="482" spans="1:25" x14ac:dyDescent="0.3">
      <c r="A482" s="2">
        <v>43433</v>
      </c>
      <c r="B482" s="1">
        <v>44.887500000000003</v>
      </c>
      <c r="C482" s="1">
        <v>1673.57</v>
      </c>
      <c r="D482" s="1">
        <v>138.68</v>
      </c>
      <c r="E482" s="3">
        <f t="shared" si="46"/>
        <v>2817.9149999999991</v>
      </c>
      <c r="F482" s="4">
        <f t="shared" si="47"/>
        <v>-64.135000000001128</v>
      </c>
      <c r="G482" s="4">
        <f t="shared" si="48"/>
        <v>64.135000000001128</v>
      </c>
      <c r="W482" s="59">
        <f t="shared" si="49"/>
        <v>-7.7117639255036728E-3</v>
      </c>
      <c r="X482" s="59">
        <f t="shared" si="50"/>
        <v>-2.4945407586177562E-3</v>
      </c>
      <c r="Y482" s="59">
        <f t="shared" si="51"/>
        <v>1.3941556045722248E-2</v>
      </c>
    </row>
    <row r="483" spans="1:25" x14ac:dyDescent="0.3">
      <c r="A483" s="2">
        <v>43432</v>
      </c>
      <c r="B483" s="1">
        <v>45.234999999999999</v>
      </c>
      <c r="C483" s="1">
        <v>1677.75</v>
      </c>
      <c r="D483" s="1">
        <v>136.76</v>
      </c>
      <c r="E483" s="3">
        <f t="shared" si="46"/>
        <v>2882.05</v>
      </c>
      <c r="F483" s="4">
        <f t="shared" si="47"/>
        <v>241.21000000000004</v>
      </c>
      <c r="G483" s="4">
        <f t="shared" si="48"/>
        <v>-241.21000000000004</v>
      </c>
      <c r="W483" s="59">
        <f t="shared" si="49"/>
        <v>3.7731825412945244E-2</v>
      </c>
      <c r="X483" s="59">
        <f t="shared" si="50"/>
        <v>5.9130432459868563E-2</v>
      </c>
      <c r="Y483" s="59">
        <f t="shared" si="51"/>
        <v>1.2952786332671011E-2</v>
      </c>
    </row>
    <row r="484" spans="1:25" x14ac:dyDescent="0.3">
      <c r="A484" s="2">
        <v>43431</v>
      </c>
      <c r="B484" s="1">
        <v>43.56</v>
      </c>
      <c r="C484" s="1">
        <v>1581.42</v>
      </c>
      <c r="D484" s="1">
        <v>135</v>
      </c>
      <c r="E484" s="3">
        <f t="shared" si="46"/>
        <v>2640.84</v>
      </c>
      <c r="F484" s="4">
        <f t="shared" si="47"/>
        <v>23.0300000000002</v>
      </c>
      <c r="G484" s="4">
        <f t="shared" si="48"/>
        <v>-23.0300000000002</v>
      </c>
      <c r="W484" s="59">
        <f t="shared" si="49"/>
        <v>-2.1785251980111931E-3</v>
      </c>
      <c r="X484" s="59">
        <f t="shared" si="50"/>
        <v>5.6912497051365758E-5</v>
      </c>
      <c r="Y484" s="59">
        <f t="shared" si="51"/>
        <v>-1.0170328654077332E-2</v>
      </c>
    </row>
    <row r="485" spans="1:25" x14ac:dyDescent="0.3">
      <c r="A485" s="2">
        <v>43430</v>
      </c>
      <c r="B485" s="1">
        <v>43.655000000000001</v>
      </c>
      <c r="C485" s="1">
        <v>1581.33</v>
      </c>
      <c r="D485" s="1">
        <v>136.38</v>
      </c>
      <c r="E485" s="3">
        <f t="shared" si="46"/>
        <v>2617.81</v>
      </c>
      <c r="F485" s="4">
        <f t="shared" si="47"/>
        <v>94.664999999999964</v>
      </c>
      <c r="G485" s="4">
        <f t="shared" si="48"/>
        <v>-94.664999999999964</v>
      </c>
      <c r="W485" s="59">
        <f t="shared" si="49"/>
        <v>1.3433080838346925E-2</v>
      </c>
      <c r="X485" s="59">
        <f t="shared" si="50"/>
        <v>5.1428765817515508E-2</v>
      </c>
      <c r="Y485" s="59">
        <f t="shared" si="51"/>
        <v>3.4690733850771191E-2</v>
      </c>
    </row>
    <row r="486" spans="1:25" x14ac:dyDescent="0.3">
      <c r="A486" s="2">
        <v>43427</v>
      </c>
      <c r="B486" s="1">
        <v>43.072499999999998</v>
      </c>
      <c r="C486" s="1">
        <v>1502.06</v>
      </c>
      <c r="D486" s="1">
        <v>131.72999999999999</v>
      </c>
      <c r="E486" s="3">
        <f t="shared" si="46"/>
        <v>2523.145</v>
      </c>
      <c r="F486" s="4">
        <f t="shared" si="47"/>
        <v>-23.665000000000418</v>
      </c>
      <c r="G486" s="4">
        <f t="shared" si="48"/>
        <v>23.665000000000418</v>
      </c>
      <c r="W486" s="59">
        <f t="shared" si="49"/>
        <v>-2.572691808848715E-2</v>
      </c>
      <c r="X486" s="59">
        <f t="shared" si="50"/>
        <v>-9.7192023828801492E-3</v>
      </c>
      <c r="Y486" s="59">
        <f t="shared" si="51"/>
        <v>-2.3186182183557013E-2</v>
      </c>
    </row>
    <row r="487" spans="1:25" x14ac:dyDescent="0.3">
      <c r="A487" s="2">
        <v>43426</v>
      </c>
      <c r="B487" s="1">
        <v>44.195</v>
      </c>
      <c r="C487" s="1">
        <v>1516.73</v>
      </c>
      <c r="D487" s="1">
        <v>134.82</v>
      </c>
      <c r="E487" s="3">
        <f t="shared" si="46"/>
        <v>2546.8100000000004</v>
      </c>
      <c r="F487" s="4">
        <f t="shared" si="47"/>
        <v>0</v>
      </c>
      <c r="G487" s="4">
        <f t="shared" si="48"/>
        <v>0</v>
      </c>
      <c r="W487" s="59">
        <f t="shared" si="49"/>
        <v>0</v>
      </c>
      <c r="X487" s="59">
        <f t="shared" si="50"/>
        <v>0</v>
      </c>
      <c r="Y487" s="59">
        <f t="shared" si="51"/>
        <v>0</v>
      </c>
    </row>
    <row r="488" spans="1:25" x14ac:dyDescent="0.3">
      <c r="A488" s="2">
        <v>43425</v>
      </c>
      <c r="B488" s="1">
        <v>44.195</v>
      </c>
      <c r="C488" s="1">
        <v>1516.73</v>
      </c>
      <c r="D488" s="1">
        <v>134.82</v>
      </c>
      <c r="E488" s="3">
        <f t="shared" si="46"/>
        <v>2546.8100000000004</v>
      </c>
      <c r="F488" s="4">
        <f t="shared" si="47"/>
        <v>-7.7599999999993088</v>
      </c>
      <c r="G488" s="4">
        <f t="shared" si="48"/>
        <v>7.7599999999993088</v>
      </c>
      <c r="W488" s="59">
        <f t="shared" si="49"/>
        <v>-1.1307102064021337E-3</v>
      </c>
      <c r="X488" s="59">
        <f t="shared" si="50"/>
        <v>1.4122849841884555E-2</v>
      </c>
      <c r="Y488" s="59">
        <f t="shared" si="51"/>
        <v>1.7886351486419719E-2</v>
      </c>
    </row>
    <row r="489" spans="1:25" x14ac:dyDescent="0.3">
      <c r="A489" s="2">
        <v>43424</v>
      </c>
      <c r="B489" s="1">
        <v>44.244999999999997</v>
      </c>
      <c r="C489" s="1">
        <v>1495.46</v>
      </c>
      <c r="D489" s="1">
        <v>132.43</v>
      </c>
      <c r="E489" s="3">
        <f t="shared" si="46"/>
        <v>2554.5699999999997</v>
      </c>
      <c r="F489" s="4">
        <f t="shared" si="47"/>
        <v>-162.26000000000022</v>
      </c>
      <c r="G489" s="4">
        <f t="shared" si="48"/>
        <v>162.26000000000022</v>
      </c>
      <c r="W489" s="59">
        <f t="shared" si="49"/>
        <v>-4.8956970289989292E-2</v>
      </c>
      <c r="X489" s="59">
        <f t="shared" si="50"/>
        <v>-1.1191206485302701E-2</v>
      </c>
      <c r="Y489" s="59">
        <f t="shared" si="51"/>
        <v>6.6671964525712403E-3</v>
      </c>
    </row>
    <row r="490" spans="1:25" x14ac:dyDescent="0.3">
      <c r="A490" s="2">
        <v>43423</v>
      </c>
      <c r="B490" s="1">
        <v>46.465000000000003</v>
      </c>
      <c r="C490" s="1">
        <v>1512.29</v>
      </c>
      <c r="D490" s="1">
        <v>131.55000000000001</v>
      </c>
      <c r="E490" s="3">
        <f t="shared" si="46"/>
        <v>2716.83</v>
      </c>
      <c r="F490" s="4">
        <f t="shared" si="47"/>
        <v>-98.514999999999873</v>
      </c>
      <c r="G490" s="4">
        <f t="shared" si="48"/>
        <v>98.514999999999873</v>
      </c>
      <c r="W490" s="59">
        <f t="shared" si="49"/>
        <v>-4.0438837083066718E-2</v>
      </c>
      <c r="X490" s="59">
        <f t="shared" si="50"/>
        <v>-5.2251315524398871E-2</v>
      </c>
      <c r="Y490" s="59">
        <f t="shared" si="51"/>
        <v>-5.8892624417813504E-2</v>
      </c>
    </row>
    <row r="491" spans="1:25" x14ac:dyDescent="0.3">
      <c r="A491" s="2">
        <v>43420</v>
      </c>
      <c r="B491" s="1">
        <v>48.3825</v>
      </c>
      <c r="C491" s="1">
        <v>1593.41</v>
      </c>
      <c r="D491" s="1">
        <v>139.53</v>
      </c>
      <c r="E491" s="3">
        <f t="shared" si="46"/>
        <v>2815.3449999999998</v>
      </c>
      <c r="F491" s="4">
        <f t="shared" si="47"/>
        <v>60.839999999999691</v>
      </c>
      <c r="G491" s="4">
        <f t="shared" si="48"/>
        <v>-60.839999999999691</v>
      </c>
      <c r="W491" s="59">
        <f t="shared" si="49"/>
        <v>1.1014814954241668E-2</v>
      </c>
      <c r="X491" s="59">
        <f t="shared" si="50"/>
        <v>-1.620403663871129E-2</v>
      </c>
      <c r="Y491" s="59">
        <f t="shared" si="51"/>
        <v>-3.0491458093441521E-2</v>
      </c>
    </row>
    <row r="492" spans="1:25" x14ac:dyDescent="0.3">
      <c r="A492" s="2">
        <v>43419</v>
      </c>
      <c r="B492" s="1">
        <v>47.852499999999999</v>
      </c>
      <c r="C492" s="1">
        <v>1619.44</v>
      </c>
      <c r="D492" s="1">
        <v>143.85</v>
      </c>
      <c r="E492" s="3">
        <f t="shared" si="46"/>
        <v>2754.5050000000001</v>
      </c>
      <c r="F492" s="4">
        <f t="shared" si="47"/>
        <v>105.88499999999976</v>
      </c>
      <c r="G492" s="4">
        <f t="shared" si="48"/>
        <v>-105.88499999999976</v>
      </c>
      <c r="W492" s="59">
        <f t="shared" si="49"/>
        <v>2.4379198463276127E-2</v>
      </c>
      <c r="X492" s="59">
        <f t="shared" si="50"/>
        <v>1.2695722730230282E-2</v>
      </c>
      <c r="Y492" s="59">
        <f t="shared" si="51"/>
        <v>-2.5688214910566114E-3</v>
      </c>
    </row>
    <row r="493" spans="1:25" x14ac:dyDescent="0.3">
      <c r="A493" s="2">
        <v>43418</v>
      </c>
      <c r="B493" s="1">
        <v>46.7</v>
      </c>
      <c r="C493" s="1">
        <v>1599.01</v>
      </c>
      <c r="D493" s="1">
        <v>144.22</v>
      </c>
      <c r="E493" s="3">
        <f t="shared" si="46"/>
        <v>2648.6200000000003</v>
      </c>
      <c r="F493" s="4">
        <f t="shared" si="47"/>
        <v>-173.39499999999998</v>
      </c>
      <c r="G493" s="4">
        <f t="shared" si="48"/>
        <v>173.39499999999998</v>
      </c>
      <c r="W493" s="59">
        <f t="shared" si="49"/>
        <v>-2.8654045970026604E-2</v>
      </c>
      <c r="X493" s="59">
        <f t="shared" si="50"/>
        <v>-1.9912860999712862E-2</v>
      </c>
      <c r="Y493" s="59">
        <f t="shared" si="51"/>
        <v>1.4386727642217535E-2</v>
      </c>
    </row>
    <row r="494" spans="1:25" x14ac:dyDescent="0.3">
      <c r="A494" s="2">
        <v>43417</v>
      </c>
      <c r="B494" s="1">
        <v>48.057499999999997</v>
      </c>
      <c r="C494" s="1">
        <v>1631.17</v>
      </c>
      <c r="D494" s="1">
        <v>142.16</v>
      </c>
      <c r="E494" s="3">
        <f t="shared" si="46"/>
        <v>2822.0150000000003</v>
      </c>
      <c r="F494" s="4">
        <f t="shared" si="47"/>
        <v>-47.809999999999491</v>
      </c>
      <c r="G494" s="4">
        <f t="shared" si="48"/>
        <v>47.809999999999491</v>
      </c>
      <c r="W494" s="59">
        <f t="shared" si="49"/>
        <v>-1.0041492241593453E-2</v>
      </c>
      <c r="X494" s="59">
        <f t="shared" si="50"/>
        <v>-3.4761144175746083E-3</v>
      </c>
      <c r="Y494" s="59">
        <f t="shared" si="51"/>
        <v>4.3001722884872086E-3</v>
      </c>
    </row>
    <row r="495" spans="1:25" x14ac:dyDescent="0.3">
      <c r="A495" s="2">
        <v>43416</v>
      </c>
      <c r="B495" s="1">
        <v>48.542499999999997</v>
      </c>
      <c r="C495" s="1">
        <v>1636.85</v>
      </c>
      <c r="D495" s="1">
        <v>141.55000000000001</v>
      </c>
      <c r="E495" s="3">
        <f t="shared" si="46"/>
        <v>2869.8249999999998</v>
      </c>
      <c r="F495" s="4">
        <f t="shared" si="47"/>
        <v>-211.71000000000049</v>
      </c>
      <c r="G495" s="4">
        <f t="shared" si="48"/>
        <v>211.71000000000049</v>
      </c>
      <c r="W495" s="59">
        <f t="shared" si="49"/>
        <v>-5.1687201448600596E-2</v>
      </c>
      <c r="X495" s="59">
        <f t="shared" si="50"/>
        <v>-4.5139751248149687E-2</v>
      </c>
      <c r="Y495" s="59">
        <f t="shared" si="51"/>
        <v>-2.3804830736760551E-2</v>
      </c>
    </row>
    <row r="496" spans="1:25" x14ac:dyDescent="0.3">
      <c r="A496" s="2">
        <v>43413</v>
      </c>
      <c r="B496" s="1">
        <v>51.1175</v>
      </c>
      <c r="C496" s="1">
        <v>1712.43</v>
      </c>
      <c r="D496" s="1">
        <v>144.96</v>
      </c>
      <c r="E496" s="3">
        <f t="shared" si="46"/>
        <v>3081.5350000000003</v>
      </c>
      <c r="F496" s="4">
        <f t="shared" si="47"/>
        <v>-77.009999999999309</v>
      </c>
      <c r="G496" s="4">
        <f t="shared" si="48"/>
        <v>77.009999999999309</v>
      </c>
      <c r="W496" s="59">
        <f t="shared" si="49"/>
        <v>-1.9469813003002021E-2</v>
      </c>
      <c r="X496" s="59">
        <f t="shared" si="50"/>
        <v>-2.4504159145186038E-2</v>
      </c>
      <c r="Y496" s="59">
        <f t="shared" si="51"/>
        <v>-1.987566709072687E-2</v>
      </c>
    </row>
    <row r="497" spans="1:25" x14ac:dyDescent="0.3">
      <c r="A497" s="2">
        <v>43412</v>
      </c>
      <c r="B497" s="1">
        <v>52.122500000000002</v>
      </c>
      <c r="C497" s="1">
        <v>1754.91</v>
      </c>
      <c r="D497" s="1">
        <v>147.87</v>
      </c>
      <c r="E497" s="3">
        <f t="shared" si="46"/>
        <v>3158.5449999999996</v>
      </c>
      <c r="F497" s="4">
        <f t="shared" si="47"/>
        <v>53.789999999999964</v>
      </c>
      <c r="G497" s="4">
        <f t="shared" si="48"/>
        <v>-53.789999999999964</v>
      </c>
      <c r="W497" s="59">
        <f t="shared" si="49"/>
        <v>-6.9783286722373133E-3</v>
      </c>
      <c r="X497" s="59">
        <f t="shared" si="50"/>
        <v>-3.3044667575073252E-4</v>
      </c>
      <c r="Y497" s="59">
        <f t="shared" si="51"/>
        <v>-2.4450115762674748E-2</v>
      </c>
    </row>
    <row r="498" spans="1:25" x14ac:dyDescent="0.3">
      <c r="A498" s="2">
        <v>43411</v>
      </c>
      <c r="B498" s="1">
        <v>52.487499999999997</v>
      </c>
      <c r="C498" s="1">
        <v>1755.49</v>
      </c>
      <c r="D498" s="1">
        <v>151.53</v>
      </c>
      <c r="E498" s="3">
        <f t="shared" si="46"/>
        <v>3104.7549999999997</v>
      </c>
      <c r="F498" s="4">
        <f t="shared" si="47"/>
        <v>270.80999999999995</v>
      </c>
      <c r="G498" s="4">
        <f t="shared" si="48"/>
        <v>-270.80999999999995</v>
      </c>
      <c r="W498" s="59">
        <f t="shared" si="49"/>
        <v>2.9877500317357083E-2</v>
      </c>
      <c r="X498" s="59">
        <f t="shared" si="50"/>
        <v>6.6339829977339448E-2</v>
      </c>
      <c r="Y498" s="59">
        <f t="shared" si="51"/>
        <v>1.0548411073154941E-2</v>
      </c>
    </row>
    <row r="499" spans="1:25" x14ac:dyDescent="0.3">
      <c r="A499" s="2">
        <v>43410</v>
      </c>
      <c r="B499" s="1">
        <v>50.942500000000003</v>
      </c>
      <c r="C499" s="1">
        <v>1642.81</v>
      </c>
      <c r="D499" s="1">
        <v>149.94</v>
      </c>
      <c r="E499" s="3">
        <f t="shared" si="46"/>
        <v>2833.9449999999997</v>
      </c>
      <c r="F499" s="4">
        <f t="shared" si="47"/>
        <v>32.069999999999709</v>
      </c>
      <c r="G499" s="4">
        <f t="shared" si="48"/>
        <v>-32.069999999999709</v>
      </c>
      <c r="W499" s="59">
        <f t="shared" si="49"/>
        <v>1.0755975020512992E-2</v>
      </c>
      <c r="X499" s="59">
        <f t="shared" si="50"/>
        <v>9.1787803391851289E-3</v>
      </c>
      <c r="Y499" s="59">
        <f t="shared" si="51"/>
        <v>8.4388686458646035E-3</v>
      </c>
    </row>
    <row r="500" spans="1:25" x14ac:dyDescent="0.3">
      <c r="A500" s="2">
        <v>43409</v>
      </c>
      <c r="B500" s="1">
        <v>50.397500000000001</v>
      </c>
      <c r="C500" s="1">
        <v>1627.8</v>
      </c>
      <c r="D500" s="1">
        <v>148.68</v>
      </c>
      <c r="E500" s="3">
        <f t="shared" si="46"/>
        <v>2801.875</v>
      </c>
      <c r="F500" s="4">
        <f t="shared" si="47"/>
        <v>-115.68499999999949</v>
      </c>
      <c r="G500" s="4">
        <f t="shared" si="48"/>
        <v>115.68499999999949</v>
      </c>
      <c r="W500" s="59">
        <f t="shared" si="49"/>
        <v>-2.8799017690867113E-2</v>
      </c>
      <c r="X500" s="59">
        <f t="shared" si="50"/>
        <v>-2.2913981187394392E-2</v>
      </c>
      <c r="Y500" s="59">
        <f t="shared" si="51"/>
        <v>-1.1169564005486653E-2</v>
      </c>
    </row>
    <row r="501" spans="1:25" x14ac:dyDescent="0.3">
      <c r="A501" s="2">
        <v>43406</v>
      </c>
      <c r="B501" s="1">
        <v>51.87</v>
      </c>
      <c r="C501" s="1">
        <v>1665.53</v>
      </c>
      <c r="D501" s="1">
        <v>150.35</v>
      </c>
      <c r="E501" s="3">
        <f t="shared" si="46"/>
        <v>2917.5599999999995</v>
      </c>
      <c r="F501" s="4">
        <f t="shared" si="47"/>
        <v>-156.25</v>
      </c>
      <c r="G501" s="4">
        <f t="shared" si="48"/>
        <v>156.25</v>
      </c>
      <c r="W501" s="59">
        <f t="shared" si="49"/>
        <v>-6.8632932672663197E-2</v>
      </c>
      <c r="X501" s="59">
        <f t="shared" si="50"/>
        <v>0</v>
      </c>
      <c r="Y501" s="59">
        <f t="shared" si="51"/>
        <v>-9.2685205050695892E-3</v>
      </c>
    </row>
    <row r="502" spans="1:25" x14ac:dyDescent="0.3">
      <c r="A502" s="2">
        <v>43405</v>
      </c>
      <c r="B502" s="1">
        <v>55.555</v>
      </c>
      <c r="C502" s="1">
        <v>1665.53</v>
      </c>
      <c r="D502" s="1">
        <v>151.75</v>
      </c>
      <c r="E502" s="3">
        <f t="shared" si="46"/>
        <v>3073.8099999999995</v>
      </c>
      <c r="F502" s="4">
        <f t="shared" si="47"/>
        <v>177.83999999999878</v>
      </c>
      <c r="G502" s="4">
        <f t="shared" si="48"/>
        <v>-177.83999999999878</v>
      </c>
      <c r="W502" s="59">
        <f t="shared" si="49"/>
        <v>1.5235626165565584E-2</v>
      </c>
      <c r="X502" s="59">
        <f t="shared" si="50"/>
        <v>4.1384285951417764E-2</v>
      </c>
      <c r="Y502" s="59">
        <f t="shared" si="51"/>
        <v>-2.6355669916015574E-4</v>
      </c>
    </row>
    <row r="503" spans="1:25" x14ac:dyDescent="0.3">
      <c r="A503" s="2">
        <v>43404</v>
      </c>
      <c r="B503" s="1">
        <v>54.715000000000003</v>
      </c>
      <c r="C503" s="1">
        <v>1598.01</v>
      </c>
      <c r="D503" s="1">
        <v>151.79</v>
      </c>
      <c r="E503" s="3">
        <f t="shared" si="46"/>
        <v>2895.9700000000007</v>
      </c>
      <c r="F503" s="4">
        <f t="shared" si="47"/>
        <v>93.280000000000655</v>
      </c>
      <c r="G503" s="4">
        <f t="shared" si="48"/>
        <v>-93.280000000000655</v>
      </c>
      <c r="W503" s="59">
        <f t="shared" si="49"/>
        <v>2.5732630512992103E-2</v>
      </c>
      <c r="X503" s="59">
        <f t="shared" si="50"/>
        <v>4.3216897609437262E-2</v>
      </c>
      <c r="Y503" s="59">
        <f t="shared" si="51"/>
        <v>3.7385649773597825E-2</v>
      </c>
    </row>
    <row r="504" spans="1:25" x14ac:dyDescent="0.3">
      <c r="A504" s="2">
        <v>43403</v>
      </c>
      <c r="B504" s="1">
        <v>53.325000000000003</v>
      </c>
      <c r="C504" s="1">
        <v>1530.42</v>
      </c>
      <c r="D504" s="1">
        <v>146.22</v>
      </c>
      <c r="E504" s="3">
        <f t="shared" si="46"/>
        <v>2802.69</v>
      </c>
      <c r="F504" s="4">
        <f t="shared" si="47"/>
        <v>-86.269999999999982</v>
      </c>
      <c r="G504" s="4">
        <f t="shared" si="48"/>
        <v>86.269999999999982</v>
      </c>
      <c r="W504" s="59">
        <f t="shared" si="49"/>
        <v>4.9819156478205793E-3</v>
      </c>
      <c r="X504" s="59">
        <f t="shared" si="50"/>
        <v>-5.5126715698175293E-3</v>
      </c>
      <c r="Y504" s="59">
        <f t="shared" si="51"/>
        <v>2.8651677215185859E-2</v>
      </c>
    </row>
    <row r="505" spans="1:25" x14ac:dyDescent="0.3">
      <c r="A505" s="2">
        <v>43402</v>
      </c>
      <c r="B505" s="1">
        <v>53.06</v>
      </c>
      <c r="C505" s="1">
        <v>1538.88</v>
      </c>
      <c r="D505" s="1">
        <v>142.09</v>
      </c>
      <c r="E505" s="3">
        <f t="shared" si="46"/>
        <v>2888.96</v>
      </c>
      <c r="F505" s="4">
        <f t="shared" si="47"/>
        <v>-193.00999999999976</v>
      </c>
      <c r="G505" s="4">
        <f t="shared" si="48"/>
        <v>193.00999999999976</v>
      </c>
      <c r="W505" s="59">
        <f t="shared" si="49"/>
        <v>-1.8948623129528868E-2</v>
      </c>
      <c r="X505" s="59">
        <f t="shared" si="50"/>
        <v>-6.5353311142828205E-2</v>
      </c>
      <c r="Y505" s="59">
        <f t="shared" si="51"/>
        <v>-2.2821556788249563E-2</v>
      </c>
    </row>
    <row r="506" spans="1:25" x14ac:dyDescent="0.3">
      <c r="A506" s="2">
        <v>43399</v>
      </c>
      <c r="B506" s="1">
        <v>54.075000000000003</v>
      </c>
      <c r="C506" s="1">
        <v>1642.81</v>
      </c>
      <c r="D506" s="1">
        <v>145.37</v>
      </c>
      <c r="E506" s="3">
        <f t="shared" si="46"/>
        <v>3081.97</v>
      </c>
      <c r="F506" s="4">
        <f t="shared" si="47"/>
        <v>-210.87000000000035</v>
      </c>
      <c r="G506" s="4">
        <f t="shared" si="48"/>
        <v>210.87000000000035</v>
      </c>
      <c r="W506" s="59">
        <f t="shared" si="49"/>
        <v>-1.6051709010507901E-2</v>
      </c>
      <c r="X506" s="59">
        <f t="shared" si="50"/>
        <v>-8.1423532677219565E-2</v>
      </c>
      <c r="Y506" s="59">
        <f t="shared" si="51"/>
        <v>-3.7666439714614183E-2</v>
      </c>
    </row>
    <row r="507" spans="1:25" x14ac:dyDescent="0.3">
      <c r="A507" s="2">
        <v>43398</v>
      </c>
      <c r="B507" s="1">
        <v>54.95</v>
      </c>
      <c r="C507" s="1">
        <v>1782.17</v>
      </c>
      <c r="D507" s="1">
        <v>150.94999999999999</v>
      </c>
      <c r="E507" s="3">
        <f t="shared" si="46"/>
        <v>3292.84</v>
      </c>
      <c r="F507" s="4">
        <f t="shared" si="47"/>
        <v>196.61500000000024</v>
      </c>
      <c r="G507" s="4">
        <f t="shared" si="48"/>
        <v>-196.61500000000024</v>
      </c>
      <c r="W507" s="59">
        <f t="shared" si="49"/>
        <v>2.1661496781179467E-2</v>
      </c>
      <c r="X507" s="59">
        <f t="shared" si="50"/>
        <v>6.848719544301618E-2</v>
      </c>
      <c r="Y507" s="59">
        <f t="shared" si="51"/>
        <v>3.3068099365411607E-2</v>
      </c>
    </row>
    <row r="508" spans="1:25" x14ac:dyDescent="0.3">
      <c r="A508" s="2">
        <v>43397</v>
      </c>
      <c r="B508" s="1">
        <v>53.772500000000001</v>
      </c>
      <c r="C508" s="1">
        <v>1664.2</v>
      </c>
      <c r="D508" s="1">
        <v>146.04</v>
      </c>
      <c r="E508" s="3">
        <f t="shared" si="46"/>
        <v>3096.2249999999999</v>
      </c>
      <c r="F508" s="4">
        <f t="shared" si="47"/>
        <v>-137.5</v>
      </c>
      <c r="G508" s="4">
        <f t="shared" si="48"/>
        <v>137.5</v>
      </c>
      <c r="W508" s="59">
        <f t="shared" si="49"/>
        <v>-3.4903730375051532E-2</v>
      </c>
      <c r="X508" s="59">
        <f t="shared" si="50"/>
        <v>-6.0900285974418503E-2</v>
      </c>
      <c r="Y508" s="59">
        <f t="shared" si="51"/>
        <v>-5.5601311866399064E-2</v>
      </c>
    </row>
    <row r="509" spans="1:25" x14ac:dyDescent="0.3">
      <c r="A509" s="2">
        <v>43396</v>
      </c>
      <c r="B509" s="1">
        <v>55.682499999999997</v>
      </c>
      <c r="C509" s="1">
        <v>1768.7</v>
      </c>
      <c r="D509" s="1">
        <v>154.38999999999999</v>
      </c>
      <c r="E509" s="3">
        <f t="shared" si="46"/>
        <v>3233.7249999999999</v>
      </c>
      <c r="F509" s="4">
        <f t="shared" si="47"/>
        <v>-7.4000000000005457</v>
      </c>
      <c r="G509" s="4">
        <f t="shared" si="48"/>
        <v>7.4000000000005457</v>
      </c>
      <c r="W509" s="59">
        <f t="shared" si="49"/>
        <v>9.3825398478369574E-3</v>
      </c>
      <c r="X509" s="59">
        <f t="shared" si="50"/>
        <v>-1.1579668457068129E-2</v>
      </c>
      <c r="Y509" s="59">
        <f t="shared" si="51"/>
        <v>-2.5228851884779089E-3</v>
      </c>
    </row>
    <row r="510" spans="1:25" x14ac:dyDescent="0.3">
      <c r="A510" s="2">
        <v>43395</v>
      </c>
      <c r="B510" s="1">
        <v>55.162500000000001</v>
      </c>
      <c r="C510" s="1">
        <v>1789.3</v>
      </c>
      <c r="D510" s="1">
        <v>154.78</v>
      </c>
      <c r="E510" s="3">
        <f t="shared" si="46"/>
        <v>3241.1250000000005</v>
      </c>
      <c r="F510" s="4">
        <f t="shared" si="47"/>
        <v>52.690000000000964</v>
      </c>
      <c r="G510" s="4">
        <f t="shared" si="48"/>
        <v>-52.690000000000964</v>
      </c>
      <c r="W510" s="59">
        <f t="shared" si="49"/>
        <v>6.0914816961425257E-3</v>
      </c>
      <c r="X510" s="59">
        <f t="shared" si="50"/>
        <v>1.4223517672972422E-2</v>
      </c>
      <c r="Y510" s="59">
        <f t="shared" si="51"/>
        <v>4.7275287996361654E-3</v>
      </c>
    </row>
    <row r="511" spans="1:25" x14ac:dyDescent="0.3">
      <c r="A511" s="2">
        <v>43392</v>
      </c>
      <c r="B511" s="1">
        <v>54.827500000000001</v>
      </c>
      <c r="C511" s="1">
        <v>1764.03</v>
      </c>
      <c r="D511" s="1">
        <v>154.05000000000001</v>
      </c>
      <c r="E511" s="3">
        <f t="shared" si="46"/>
        <v>3188.4349999999995</v>
      </c>
      <c r="F511" s="4">
        <f t="shared" si="47"/>
        <v>45.144999999998618</v>
      </c>
      <c r="G511" s="4">
        <f t="shared" si="48"/>
        <v>-45.144999999998618</v>
      </c>
      <c r="W511" s="59">
        <f t="shared" si="49"/>
        <v>1.511525802908552E-2</v>
      </c>
      <c r="X511" s="59">
        <f t="shared" si="50"/>
        <v>-3.7852792916315912E-3</v>
      </c>
      <c r="Y511" s="59">
        <f t="shared" si="51"/>
        <v>-5.6316296038743064E-3</v>
      </c>
    </row>
    <row r="512" spans="1:25" x14ac:dyDescent="0.3">
      <c r="A512" s="2">
        <v>43391</v>
      </c>
      <c r="B512" s="1">
        <v>54.005000000000003</v>
      </c>
      <c r="C512" s="1">
        <v>1770.72</v>
      </c>
      <c r="D512" s="1">
        <v>154.91999999999999</v>
      </c>
      <c r="E512" s="3">
        <f t="shared" si="46"/>
        <v>3143.2900000000009</v>
      </c>
      <c r="F512" s="4">
        <f t="shared" si="47"/>
        <v>-96.644999999999527</v>
      </c>
      <c r="G512" s="4">
        <f t="shared" si="48"/>
        <v>96.644999999999527</v>
      </c>
      <c r="W512" s="59">
        <f t="shared" si="49"/>
        <v>-2.3651064679340767E-2</v>
      </c>
      <c r="X512" s="59">
        <f t="shared" si="50"/>
        <v>-3.387463194345007E-2</v>
      </c>
      <c r="Y512" s="59">
        <f t="shared" si="51"/>
        <v>-2.8633374353225698E-2</v>
      </c>
    </row>
    <row r="513" spans="1:25" x14ac:dyDescent="0.3">
      <c r="A513" s="2">
        <v>43390</v>
      </c>
      <c r="B513" s="1">
        <v>55.297499999999999</v>
      </c>
      <c r="C513" s="1">
        <v>1831.73</v>
      </c>
      <c r="D513" s="1">
        <v>159.41999999999999</v>
      </c>
      <c r="E513" s="3">
        <f t="shared" si="46"/>
        <v>3239.9350000000004</v>
      </c>
      <c r="F513" s="4">
        <f t="shared" si="47"/>
        <v>-1.2599999999997635</v>
      </c>
      <c r="G513" s="4">
        <f t="shared" si="48"/>
        <v>1.2599999999997635</v>
      </c>
      <c r="W513" s="59">
        <f t="shared" si="49"/>
        <v>-4.3307687122485835E-3</v>
      </c>
      <c r="X513" s="59">
        <f t="shared" si="50"/>
        <v>6.4463526525824558E-3</v>
      </c>
      <c r="Y513" s="59">
        <f t="shared" si="51"/>
        <v>4.0226327028096654E-3</v>
      </c>
    </row>
    <row r="514" spans="1:25" x14ac:dyDescent="0.3">
      <c r="A514" s="2">
        <v>43389</v>
      </c>
      <c r="B514" s="1">
        <v>55.537500000000001</v>
      </c>
      <c r="C514" s="1">
        <v>1819.96</v>
      </c>
      <c r="D514" s="1">
        <v>158.78</v>
      </c>
      <c r="E514" s="3">
        <f t="shared" si="46"/>
        <v>3241.1950000000002</v>
      </c>
      <c r="F514" s="4">
        <f t="shared" si="47"/>
        <v>72.695000000000618</v>
      </c>
      <c r="G514" s="4">
        <f t="shared" si="48"/>
        <v>-72.695000000000618</v>
      </c>
      <c r="W514" s="59">
        <f t="shared" si="49"/>
        <v>2.179786426382509E-2</v>
      </c>
      <c r="X514" s="59">
        <f t="shared" si="50"/>
        <v>3.2961086672770548E-2</v>
      </c>
      <c r="Y514" s="59">
        <f t="shared" si="51"/>
        <v>3.3688744597522823E-2</v>
      </c>
    </row>
    <row r="515" spans="1:25" x14ac:dyDescent="0.3">
      <c r="A515" s="2">
        <v>43388</v>
      </c>
      <c r="B515" s="1">
        <v>54.34</v>
      </c>
      <c r="C515" s="1">
        <v>1760.95</v>
      </c>
      <c r="D515" s="1">
        <v>153.52000000000001</v>
      </c>
      <c r="E515" s="3">
        <f t="shared" si="46"/>
        <v>3168.4999999999995</v>
      </c>
      <c r="F515" s="4">
        <f t="shared" si="47"/>
        <v>-110.29499999999962</v>
      </c>
      <c r="G515" s="4">
        <f t="shared" si="48"/>
        <v>110.29499999999962</v>
      </c>
      <c r="W515" s="59">
        <f t="shared" si="49"/>
        <v>-2.1617789532325248E-2</v>
      </c>
      <c r="X515" s="59">
        <f t="shared" si="50"/>
        <v>-1.5585345726879656E-2</v>
      </c>
      <c r="Y515" s="59">
        <f t="shared" si="51"/>
        <v>-1.4320122215414658E-3</v>
      </c>
    </row>
    <row r="516" spans="1:25" x14ac:dyDescent="0.3">
      <c r="A516" s="2">
        <v>43385</v>
      </c>
      <c r="B516" s="1">
        <v>55.527500000000003</v>
      </c>
      <c r="C516" s="1">
        <v>1788.61</v>
      </c>
      <c r="D516" s="1">
        <v>153.74</v>
      </c>
      <c r="E516" s="3">
        <f t="shared" si="46"/>
        <v>3278.7949999999992</v>
      </c>
      <c r="F516" s="4">
        <f t="shared" si="47"/>
        <v>226.44999999999982</v>
      </c>
      <c r="G516" s="4">
        <f t="shared" si="48"/>
        <v>-226.44999999999982</v>
      </c>
      <c r="W516" s="59">
        <f t="shared" si="49"/>
        <v>3.509614368752819E-2</v>
      </c>
      <c r="X516" s="59">
        <f t="shared" si="50"/>
        <v>3.9486653320995338E-2</v>
      </c>
      <c r="Y516" s="59">
        <f t="shared" si="51"/>
        <v>2.539973360725525E-3</v>
      </c>
    </row>
    <row r="517" spans="1:25" x14ac:dyDescent="0.3">
      <c r="A517" s="2">
        <v>43384</v>
      </c>
      <c r="B517" s="1">
        <v>53.612499999999997</v>
      </c>
      <c r="C517" s="1">
        <v>1719.36</v>
      </c>
      <c r="D517" s="1">
        <v>153.35</v>
      </c>
      <c r="E517" s="3">
        <f t="shared" si="46"/>
        <v>3052.3449999999993</v>
      </c>
      <c r="F517" s="4">
        <f t="shared" si="47"/>
        <v>-135.05500000000075</v>
      </c>
      <c r="G517" s="4">
        <f t="shared" si="48"/>
        <v>135.05500000000075</v>
      </c>
      <c r="W517" s="59">
        <f t="shared" si="49"/>
        <v>-8.8670760403368135E-3</v>
      </c>
      <c r="X517" s="59">
        <f t="shared" si="50"/>
        <v>-2.0659168356901625E-2</v>
      </c>
      <c r="Y517" s="59">
        <f t="shared" si="51"/>
        <v>1.2929658679239188E-2</v>
      </c>
    </row>
    <row r="518" spans="1:25" x14ac:dyDescent="0.3">
      <c r="A518" s="2">
        <v>43383</v>
      </c>
      <c r="B518" s="1">
        <v>54.09</v>
      </c>
      <c r="C518" s="1">
        <v>1755.25</v>
      </c>
      <c r="D518" s="1">
        <v>151.38</v>
      </c>
      <c r="E518" s="3">
        <f t="shared" ref="E518:E581" si="52">50*B518+2*C518-20*D518</f>
        <v>3187.4</v>
      </c>
      <c r="F518" s="4">
        <f t="shared" ref="F518:F581" si="53">E518-E519</f>
        <v>-231.11499999999933</v>
      </c>
      <c r="G518" s="4">
        <f t="shared" ref="G518:G581" si="54">-F518</f>
        <v>231.11499999999933</v>
      </c>
      <c r="W518" s="59">
        <f t="shared" ref="W518:W581" si="55">LN(B518/B519)</f>
        <v>-4.7433479205543055E-2</v>
      </c>
      <c r="X518" s="59">
        <f t="shared" ref="X518:X581" si="56">LN(C518/C519)</f>
        <v>-6.349824230605694E-2</v>
      </c>
      <c r="Y518" s="59">
        <f t="shared" ref="Y518:Y581" si="57">LN(D518/D519)</f>
        <v>-4.2168689380575136E-2</v>
      </c>
    </row>
    <row r="519" spans="1:25" x14ac:dyDescent="0.3">
      <c r="A519" s="2">
        <v>43382</v>
      </c>
      <c r="B519" s="1">
        <v>56.717500000000001</v>
      </c>
      <c r="C519" s="1">
        <v>1870.32</v>
      </c>
      <c r="D519" s="1">
        <v>157.9</v>
      </c>
      <c r="E519" s="3">
        <f t="shared" si="52"/>
        <v>3418.5149999999994</v>
      </c>
      <c r="F519" s="4">
        <f t="shared" si="53"/>
        <v>37.549999999999272</v>
      </c>
      <c r="G519" s="4">
        <f t="shared" si="54"/>
        <v>-37.549999999999272</v>
      </c>
      <c r="W519" s="59">
        <f t="shared" si="55"/>
        <v>1.3758427573587828E-2</v>
      </c>
      <c r="X519" s="59">
        <f t="shared" si="56"/>
        <v>3.1595264506308145E-3</v>
      </c>
      <c r="Y519" s="59">
        <f t="shared" si="57"/>
        <v>4.125025681046576E-3</v>
      </c>
    </row>
    <row r="520" spans="1:25" x14ac:dyDescent="0.3">
      <c r="A520" s="2">
        <v>43381</v>
      </c>
      <c r="B520" s="1">
        <v>55.942500000000003</v>
      </c>
      <c r="C520" s="1">
        <v>1864.42</v>
      </c>
      <c r="D520" s="1">
        <v>157.25</v>
      </c>
      <c r="E520" s="3">
        <f t="shared" si="52"/>
        <v>3380.9650000000001</v>
      </c>
      <c r="F520" s="4">
        <f t="shared" si="53"/>
        <v>-55.359999999999673</v>
      </c>
      <c r="G520" s="4">
        <f t="shared" si="54"/>
        <v>55.359999999999673</v>
      </c>
      <c r="W520" s="59">
        <f t="shared" si="55"/>
        <v>-2.3211187495526561E-3</v>
      </c>
      <c r="X520" s="59">
        <f t="shared" si="56"/>
        <v>-1.3441613966824908E-2</v>
      </c>
      <c r="Y520" s="59">
        <f t="shared" si="57"/>
        <v>-5.0861467178208949E-4</v>
      </c>
    </row>
    <row r="521" spans="1:25" x14ac:dyDescent="0.3">
      <c r="A521" s="2">
        <v>43378</v>
      </c>
      <c r="B521" s="1">
        <v>56.072499999999998</v>
      </c>
      <c r="C521" s="1">
        <v>1889.65</v>
      </c>
      <c r="D521" s="1">
        <v>157.33000000000001</v>
      </c>
      <c r="E521" s="3">
        <f t="shared" si="52"/>
        <v>3436.3249999999998</v>
      </c>
      <c r="F521" s="4">
        <f t="shared" si="53"/>
        <v>-55.390000000000327</v>
      </c>
      <c r="G521" s="4">
        <f t="shared" si="54"/>
        <v>55.390000000000327</v>
      </c>
      <c r="W521" s="59">
        <f t="shared" si="55"/>
        <v>-1.6361910958721096E-2</v>
      </c>
      <c r="X521" s="59">
        <f t="shared" si="56"/>
        <v>-1.0407904284072062E-2</v>
      </c>
      <c r="Y521" s="59">
        <f t="shared" si="57"/>
        <v>-9.6148504631930771E-3</v>
      </c>
    </row>
    <row r="522" spans="1:25" x14ac:dyDescent="0.3">
      <c r="A522" s="2">
        <v>43377</v>
      </c>
      <c r="B522" s="1">
        <v>56.997500000000002</v>
      </c>
      <c r="C522" s="1">
        <v>1909.42</v>
      </c>
      <c r="D522" s="1">
        <v>158.85</v>
      </c>
      <c r="E522" s="3">
        <f t="shared" si="52"/>
        <v>3491.7150000000001</v>
      </c>
      <c r="F522" s="4">
        <f t="shared" si="53"/>
        <v>-66.079999999999927</v>
      </c>
      <c r="G522" s="4">
        <f t="shared" si="54"/>
        <v>66.079999999999927</v>
      </c>
      <c r="W522" s="59">
        <f t="shared" si="55"/>
        <v>-1.773728195121178E-2</v>
      </c>
      <c r="X522" s="59">
        <f t="shared" si="56"/>
        <v>-2.2444225456841906E-2</v>
      </c>
      <c r="Y522" s="59">
        <f t="shared" si="57"/>
        <v>-2.2286779015779384E-2</v>
      </c>
    </row>
    <row r="523" spans="1:25" x14ac:dyDescent="0.3">
      <c r="A523" s="2">
        <v>43376</v>
      </c>
      <c r="B523" s="1">
        <v>58.017499999999998</v>
      </c>
      <c r="C523" s="1">
        <v>1952.76</v>
      </c>
      <c r="D523" s="1">
        <v>162.43</v>
      </c>
      <c r="E523" s="3">
        <f t="shared" si="52"/>
        <v>3557.7950000000001</v>
      </c>
      <c r="F523" s="4">
        <f t="shared" si="53"/>
        <v>-64.224999999999454</v>
      </c>
      <c r="G523" s="4">
        <f t="shared" si="54"/>
        <v>64.224999999999454</v>
      </c>
      <c r="W523" s="59">
        <f t="shared" si="55"/>
        <v>1.2095086214805446E-2</v>
      </c>
      <c r="X523" s="59">
        <f t="shared" si="56"/>
        <v>-9.454539893144525E-3</v>
      </c>
      <c r="Y523" s="59">
        <f t="shared" si="57"/>
        <v>1.9269616628886869E-2</v>
      </c>
    </row>
    <row r="524" spans="1:25" x14ac:dyDescent="0.3">
      <c r="A524" s="2">
        <v>43375</v>
      </c>
      <c r="B524" s="1">
        <v>57.32</v>
      </c>
      <c r="C524" s="1">
        <v>1971.31</v>
      </c>
      <c r="D524" s="1">
        <v>159.33000000000001</v>
      </c>
      <c r="E524" s="3">
        <f t="shared" si="52"/>
        <v>3622.0199999999995</v>
      </c>
      <c r="F524" s="4">
        <f t="shared" si="53"/>
        <v>21.350000000000364</v>
      </c>
      <c r="G524" s="4">
        <f t="shared" si="54"/>
        <v>-21.350000000000364</v>
      </c>
      <c r="W524" s="59">
        <f t="shared" si="55"/>
        <v>8.8492275899986622E-3</v>
      </c>
      <c r="X524" s="59">
        <f t="shared" si="56"/>
        <v>-1.6626511436188707E-2</v>
      </c>
      <c r="Y524" s="59">
        <f t="shared" si="57"/>
        <v>-1.933117971567952E-2</v>
      </c>
    </row>
    <row r="525" spans="1:25" x14ac:dyDescent="0.3">
      <c r="A525" s="2">
        <v>43374</v>
      </c>
      <c r="B525" s="1">
        <v>56.814999999999998</v>
      </c>
      <c r="C525" s="1">
        <v>2004.36</v>
      </c>
      <c r="D525" s="1">
        <v>162.44</v>
      </c>
      <c r="E525" s="3">
        <f t="shared" si="52"/>
        <v>3600.6699999999992</v>
      </c>
      <c r="F525" s="4">
        <f t="shared" si="53"/>
        <v>62.119999999999436</v>
      </c>
      <c r="G525" s="4">
        <f t="shared" si="54"/>
        <v>-62.119999999999436</v>
      </c>
      <c r="W525" s="59">
        <f t="shared" si="55"/>
        <v>6.7108419623827797E-3</v>
      </c>
      <c r="X525" s="59">
        <f t="shared" si="56"/>
        <v>6.787511240382403E-4</v>
      </c>
      <c r="Y525" s="59">
        <f t="shared" si="57"/>
        <v>-1.2358676724652438E-2</v>
      </c>
    </row>
    <row r="526" spans="1:25" x14ac:dyDescent="0.3">
      <c r="A526" s="2">
        <v>43371</v>
      </c>
      <c r="B526" s="1">
        <v>56.435000000000002</v>
      </c>
      <c r="C526" s="1">
        <v>2003</v>
      </c>
      <c r="D526" s="1">
        <v>164.46</v>
      </c>
      <c r="E526" s="3">
        <f t="shared" si="52"/>
        <v>3538.5499999999997</v>
      </c>
      <c r="F526" s="4">
        <f t="shared" si="53"/>
        <v>77.514999999999873</v>
      </c>
      <c r="G526" s="4">
        <f t="shared" si="54"/>
        <v>-77.514999999999873</v>
      </c>
      <c r="W526" s="59">
        <f t="shared" si="55"/>
        <v>3.5057392402991208E-3</v>
      </c>
      <c r="X526" s="59">
        <f t="shared" si="56"/>
        <v>-4.9701545048451822E-3</v>
      </c>
      <c r="Y526" s="59">
        <f t="shared" si="57"/>
        <v>-2.6284141371548542E-2</v>
      </c>
    </row>
    <row r="527" spans="1:25" x14ac:dyDescent="0.3">
      <c r="A527" s="2">
        <v>43370</v>
      </c>
      <c r="B527" s="1">
        <v>56.237499999999997</v>
      </c>
      <c r="C527" s="1">
        <v>2012.98</v>
      </c>
      <c r="D527" s="1">
        <v>168.84</v>
      </c>
      <c r="E527" s="3">
        <f t="shared" si="52"/>
        <v>3461.0349999999999</v>
      </c>
      <c r="F527" s="4">
        <f t="shared" si="53"/>
        <v>95.085000000000036</v>
      </c>
      <c r="G527" s="4">
        <f t="shared" si="54"/>
        <v>-95.085000000000036</v>
      </c>
      <c r="W527" s="59">
        <f t="shared" si="55"/>
        <v>2.034333802378548E-2</v>
      </c>
      <c r="X527" s="59">
        <f t="shared" si="56"/>
        <v>1.912376508682901E-2</v>
      </c>
      <c r="Y527" s="59">
        <f t="shared" si="57"/>
        <v>1.1257154524634468E-2</v>
      </c>
    </row>
    <row r="528" spans="1:25" x14ac:dyDescent="0.3">
      <c r="A528" s="2">
        <v>43369</v>
      </c>
      <c r="B528" s="1">
        <v>55.104999999999997</v>
      </c>
      <c r="C528" s="1">
        <v>1974.85</v>
      </c>
      <c r="D528" s="1">
        <v>166.95</v>
      </c>
      <c r="E528" s="3">
        <f t="shared" si="52"/>
        <v>3365.95</v>
      </c>
      <c r="F528" s="4">
        <f t="shared" si="53"/>
        <v>-62.325000000000728</v>
      </c>
      <c r="G528" s="4">
        <f t="shared" si="54"/>
        <v>62.325000000000728</v>
      </c>
      <c r="W528" s="59">
        <f t="shared" si="55"/>
        <v>-7.9980544289507995E-3</v>
      </c>
      <c r="X528" s="59">
        <f t="shared" si="56"/>
        <v>1.5192181120010878E-4</v>
      </c>
      <c r="Y528" s="59">
        <f t="shared" si="57"/>
        <v>1.2294495848984888E-2</v>
      </c>
    </row>
    <row r="529" spans="1:25" x14ac:dyDescent="0.3">
      <c r="A529" s="2">
        <v>43368</v>
      </c>
      <c r="B529" s="1">
        <v>55.547499999999999</v>
      </c>
      <c r="C529" s="1">
        <v>1974.55</v>
      </c>
      <c r="D529" s="1">
        <v>164.91</v>
      </c>
      <c r="E529" s="3">
        <f t="shared" si="52"/>
        <v>3428.2750000000005</v>
      </c>
      <c r="F529" s="4">
        <f t="shared" si="53"/>
        <v>107.88000000000102</v>
      </c>
      <c r="G529" s="4">
        <f t="shared" si="54"/>
        <v>-107.88000000000102</v>
      </c>
      <c r="W529" s="59">
        <f t="shared" si="55"/>
        <v>6.3208481700952916E-3</v>
      </c>
      <c r="X529" s="59">
        <f t="shared" si="56"/>
        <v>2.0564001872388576E-2</v>
      </c>
      <c r="Y529" s="59">
        <f t="shared" si="57"/>
        <v>-3.0273697134511309E-3</v>
      </c>
    </row>
    <row r="530" spans="1:25" x14ac:dyDescent="0.3">
      <c r="A530" s="2">
        <v>43367</v>
      </c>
      <c r="B530" s="1">
        <v>55.197499999999998</v>
      </c>
      <c r="C530" s="1">
        <v>1934.36</v>
      </c>
      <c r="D530" s="1">
        <v>165.41</v>
      </c>
      <c r="E530" s="3">
        <f t="shared" si="52"/>
        <v>3320.3949999999995</v>
      </c>
      <c r="F530" s="4">
        <f t="shared" si="53"/>
        <v>28.224999999999454</v>
      </c>
      <c r="G530" s="4">
        <f t="shared" si="54"/>
        <v>-28.224999999999454</v>
      </c>
      <c r="W530" s="59">
        <f t="shared" si="55"/>
        <v>1.4277811254335767E-2</v>
      </c>
      <c r="X530" s="59">
        <f t="shared" si="56"/>
        <v>1.0053677867018532E-2</v>
      </c>
      <c r="Y530" s="59">
        <f t="shared" si="57"/>
        <v>1.5106579539266212E-2</v>
      </c>
    </row>
    <row r="531" spans="1:25" x14ac:dyDescent="0.3">
      <c r="A531" s="2">
        <v>43364</v>
      </c>
      <c r="B531" s="1">
        <v>54.414999999999999</v>
      </c>
      <c r="C531" s="1">
        <v>1915.01</v>
      </c>
      <c r="D531" s="1">
        <v>162.93</v>
      </c>
      <c r="E531" s="3">
        <f t="shared" si="52"/>
        <v>3292.17</v>
      </c>
      <c r="F531" s="4">
        <f t="shared" si="53"/>
        <v>-26.4050000000002</v>
      </c>
      <c r="G531" s="4">
        <f t="shared" si="54"/>
        <v>26.4050000000002</v>
      </c>
      <c r="W531" s="59">
        <f t="shared" si="55"/>
        <v>-1.0829688424134044E-2</v>
      </c>
      <c r="X531" s="59">
        <f t="shared" si="56"/>
        <v>-1.5179170568552985E-2</v>
      </c>
      <c r="Y531" s="59">
        <f t="shared" si="57"/>
        <v>-1.8787602312025919E-2</v>
      </c>
    </row>
    <row r="532" spans="1:25" x14ac:dyDescent="0.3">
      <c r="A532" s="2">
        <v>43363</v>
      </c>
      <c r="B532" s="1">
        <v>55.0075</v>
      </c>
      <c r="C532" s="1">
        <v>1944.3</v>
      </c>
      <c r="D532" s="1">
        <v>166.02</v>
      </c>
      <c r="E532" s="3">
        <f t="shared" si="52"/>
        <v>3318.5750000000003</v>
      </c>
      <c r="F532" s="4">
        <f t="shared" si="53"/>
        <v>-2.6900000000000546</v>
      </c>
      <c r="G532" s="4">
        <f t="shared" si="54"/>
        <v>2.6900000000000546</v>
      </c>
      <c r="W532" s="59">
        <f t="shared" si="55"/>
        <v>7.5730288937733209E-3</v>
      </c>
      <c r="X532" s="59">
        <f t="shared" si="56"/>
        <v>9.23865698137054E-3</v>
      </c>
      <c r="Y532" s="59">
        <f t="shared" si="57"/>
        <v>1.7990031792124911E-2</v>
      </c>
    </row>
    <row r="533" spans="1:25" x14ac:dyDescent="0.3">
      <c r="A533" s="2">
        <v>43362</v>
      </c>
      <c r="B533" s="1">
        <v>54.592500000000001</v>
      </c>
      <c r="C533" s="1">
        <v>1926.42</v>
      </c>
      <c r="D533" s="1">
        <v>163.06</v>
      </c>
      <c r="E533" s="3">
        <f t="shared" si="52"/>
        <v>3321.2650000000003</v>
      </c>
      <c r="F533" s="4">
        <f t="shared" si="53"/>
        <v>-82.835000000000036</v>
      </c>
      <c r="G533" s="4">
        <f t="shared" si="54"/>
        <v>82.835000000000036</v>
      </c>
      <c r="W533" s="59">
        <f t="shared" si="55"/>
        <v>5.9549714317886065E-4</v>
      </c>
      <c r="X533" s="59">
        <f t="shared" si="56"/>
        <v>-7.5657056343881495E-3</v>
      </c>
      <c r="Y533" s="59">
        <f t="shared" si="57"/>
        <v>1.7071171619257364E-2</v>
      </c>
    </row>
    <row r="534" spans="1:25" x14ac:dyDescent="0.3">
      <c r="A534" s="2">
        <v>43361</v>
      </c>
      <c r="B534" s="1">
        <v>54.56</v>
      </c>
      <c r="C534" s="1">
        <v>1941.05</v>
      </c>
      <c r="D534" s="1">
        <v>160.30000000000001</v>
      </c>
      <c r="E534" s="3">
        <f t="shared" si="52"/>
        <v>3404.1000000000004</v>
      </c>
      <c r="F534" s="4">
        <f t="shared" si="53"/>
        <v>76.140000000001237</v>
      </c>
      <c r="G534" s="4">
        <f t="shared" si="54"/>
        <v>-76.140000000001237</v>
      </c>
      <c r="W534" s="59">
        <f t="shared" si="55"/>
        <v>1.6509221396235352E-3</v>
      </c>
      <c r="X534" s="59">
        <f t="shared" si="56"/>
        <v>1.7157767599734794E-2</v>
      </c>
      <c r="Y534" s="59">
        <f t="shared" si="57"/>
        <v>-1.7452011410306386E-3</v>
      </c>
    </row>
    <row r="535" spans="1:25" x14ac:dyDescent="0.3">
      <c r="A535" s="2">
        <v>43360</v>
      </c>
      <c r="B535" s="1">
        <v>54.47</v>
      </c>
      <c r="C535" s="1">
        <v>1908.03</v>
      </c>
      <c r="D535" s="1">
        <v>160.58000000000001</v>
      </c>
      <c r="E535" s="3">
        <f t="shared" si="52"/>
        <v>3327.9599999999991</v>
      </c>
      <c r="F535" s="4">
        <f t="shared" si="53"/>
        <v>-164.02000000000135</v>
      </c>
      <c r="G535" s="4">
        <f t="shared" si="54"/>
        <v>164.02000000000135</v>
      </c>
      <c r="W535" s="59">
        <f t="shared" si="55"/>
        <v>-2.6987058401697381E-2</v>
      </c>
      <c r="X535" s="59">
        <f t="shared" si="56"/>
        <v>-3.2058688626795055E-2</v>
      </c>
      <c r="Y535" s="59">
        <f t="shared" si="57"/>
        <v>-1.0777434761021241E-2</v>
      </c>
    </row>
    <row r="536" spans="1:25" x14ac:dyDescent="0.3">
      <c r="A536" s="2">
        <v>43357</v>
      </c>
      <c r="B536" s="1">
        <v>55.96</v>
      </c>
      <c r="C536" s="1">
        <v>1970.19</v>
      </c>
      <c r="D536" s="1">
        <v>162.32</v>
      </c>
      <c r="E536" s="3">
        <f t="shared" si="52"/>
        <v>3491.9800000000005</v>
      </c>
      <c r="F536" s="4">
        <f t="shared" si="53"/>
        <v>-90.684999999999036</v>
      </c>
      <c r="G536" s="4">
        <f t="shared" si="54"/>
        <v>90.684999999999036</v>
      </c>
      <c r="W536" s="59">
        <f t="shared" si="55"/>
        <v>-1.1416004047715613E-2</v>
      </c>
      <c r="X536" s="59">
        <f t="shared" si="56"/>
        <v>-9.9393251696369492E-3</v>
      </c>
      <c r="Y536" s="59">
        <f t="shared" si="57"/>
        <v>5.9318018716028841E-3</v>
      </c>
    </row>
    <row r="537" spans="1:25" x14ac:dyDescent="0.3">
      <c r="A537" s="2">
        <v>43356</v>
      </c>
      <c r="B537" s="1">
        <v>56.602499999999999</v>
      </c>
      <c r="C537" s="1">
        <v>1989.87</v>
      </c>
      <c r="D537" s="1">
        <v>161.36000000000001</v>
      </c>
      <c r="E537" s="3">
        <f t="shared" si="52"/>
        <v>3582.6649999999995</v>
      </c>
      <c r="F537" s="4">
        <f t="shared" si="53"/>
        <v>79.289999999999509</v>
      </c>
      <c r="G537" s="4">
        <f t="shared" si="54"/>
        <v>-79.289999999999509</v>
      </c>
      <c r="W537" s="59">
        <f t="shared" si="55"/>
        <v>2.3868121517869031E-2</v>
      </c>
      <c r="X537" s="59">
        <f t="shared" si="56"/>
        <v>-6.5328767043263346E-5</v>
      </c>
      <c r="Y537" s="59">
        <f t="shared" si="57"/>
        <v>-3.9584415864276443E-3</v>
      </c>
    </row>
    <row r="538" spans="1:25" x14ac:dyDescent="0.3">
      <c r="A538" s="2">
        <v>43355</v>
      </c>
      <c r="B538" s="1">
        <v>55.267499999999998</v>
      </c>
      <c r="C538" s="1">
        <v>1990</v>
      </c>
      <c r="D538" s="1">
        <v>162</v>
      </c>
      <c r="E538" s="3">
        <f t="shared" si="52"/>
        <v>3503.375</v>
      </c>
      <c r="F538" s="4">
        <f t="shared" si="53"/>
        <v>49.75</v>
      </c>
      <c r="G538" s="4">
        <f t="shared" si="54"/>
        <v>-49.75</v>
      </c>
      <c r="W538" s="59">
        <f t="shared" si="55"/>
        <v>-1.2496791239956945E-2</v>
      </c>
      <c r="X538" s="59">
        <f t="shared" si="56"/>
        <v>1.4331873265183341E-3</v>
      </c>
      <c r="Y538" s="59">
        <f t="shared" si="57"/>
        <v>-2.4029942003755182E-2</v>
      </c>
    </row>
    <row r="539" spans="1:25" x14ac:dyDescent="0.3">
      <c r="A539" s="2">
        <v>43354</v>
      </c>
      <c r="B539" s="1">
        <v>55.962499999999999</v>
      </c>
      <c r="C539" s="1">
        <v>1987.15</v>
      </c>
      <c r="D539" s="1">
        <v>165.94</v>
      </c>
      <c r="E539" s="3">
        <f t="shared" si="52"/>
        <v>3453.625</v>
      </c>
      <c r="F539" s="4">
        <f t="shared" si="53"/>
        <v>130.07999999999993</v>
      </c>
      <c r="G539" s="4">
        <f t="shared" si="54"/>
        <v>-130.07999999999993</v>
      </c>
      <c r="W539" s="59">
        <f t="shared" si="55"/>
        <v>2.4968505011949253E-2</v>
      </c>
      <c r="X539" s="59">
        <f t="shared" si="56"/>
        <v>2.4523917865090838E-2</v>
      </c>
      <c r="Y539" s="59">
        <f t="shared" si="57"/>
        <v>1.0662890316019058E-2</v>
      </c>
    </row>
    <row r="540" spans="1:25" x14ac:dyDescent="0.3">
      <c r="A540" s="2">
        <v>43353</v>
      </c>
      <c r="B540" s="1">
        <v>54.582500000000003</v>
      </c>
      <c r="C540" s="1">
        <v>1939.01</v>
      </c>
      <c r="D540" s="1">
        <v>164.18</v>
      </c>
      <c r="E540" s="3">
        <f t="shared" si="52"/>
        <v>3323.5450000000001</v>
      </c>
      <c r="F540" s="4">
        <f t="shared" si="53"/>
        <v>-86.044999999999618</v>
      </c>
      <c r="G540" s="4">
        <f t="shared" si="54"/>
        <v>86.044999999999618</v>
      </c>
      <c r="W540" s="59">
        <f t="shared" si="55"/>
        <v>-1.3511567381978777E-2</v>
      </c>
      <c r="X540" s="59">
        <f t="shared" si="56"/>
        <v>-6.7128144588684945E-3</v>
      </c>
      <c r="Y540" s="59">
        <f t="shared" si="57"/>
        <v>6.9678174457054416E-3</v>
      </c>
    </row>
    <row r="541" spans="1:25" x14ac:dyDescent="0.3">
      <c r="A541" s="2">
        <v>43350</v>
      </c>
      <c r="B541" s="1">
        <v>55.325000000000003</v>
      </c>
      <c r="C541" s="1">
        <v>1952.07</v>
      </c>
      <c r="D541" s="1">
        <v>163.04</v>
      </c>
      <c r="E541" s="3">
        <f t="shared" si="52"/>
        <v>3409.5899999999997</v>
      </c>
      <c r="F541" s="4">
        <f t="shared" si="53"/>
        <v>-45.180000000000291</v>
      </c>
      <c r="G541" s="4">
        <f t="shared" si="54"/>
        <v>45.180000000000291</v>
      </c>
      <c r="W541" s="59">
        <f t="shared" si="55"/>
        <v>-8.1008543814828117E-3</v>
      </c>
      <c r="X541" s="59">
        <f t="shared" si="56"/>
        <v>-3.1915083938525387E-3</v>
      </c>
      <c r="Y541" s="59">
        <f t="shared" si="57"/>
        <v>3.1329693593299727E-3</v>
      </c>
    </row>
    <row r="542" spans="1:25" x14ac:dyDescent="0.3">
      <c r="A542" s="2">
        <v>43349</v>
      </c>
      <c r="B542" s="1">
        <v>55.774999999999999</v>
      </c>
      <c r="C542" s="1">
        <v>1958.31</v>
      </c>
      <c r="D542" s="1">
        <v>162.53</v>
      </c>
      <c r="E542" s="3">
        <f t="shared" si="52"/>
        <v>3454.77</v>
      </c>
      <c r="F542" s="4">
        <f t="shared" si="53"/>
        <v>-27.144999999999072</v>
      </c>
      <c r="G542" s="4">
        <f t="shared" si="54"/>
        <v>27.144999999999072</v>
      </c>
      <c r="W542" s="59">
        <f t="shared" si="55"/>
        <v>-1.6757064770282559E-2</v>
      </c>
      <c r="X542" s="59">
        <f t="shared" si="56"/>
        <v>-1.847196430983292E-2</v>
      </c>
      <c r="Y542" s="59">
        <f t="shared" si="57"/>
        <v>-2.8208476155925508E-2</v>
      </c>
    </row>
    <row r="543" spans="1:25" x14ac:dyDescent="0.3">
      <c r="A543" s="2">
        <v>43348</v>
      </c>
      <c r="B543" s="1">
        <v>56.717500000000001</v>
      </c>
      <c r="C543" s="1">
        <v>1994.82</v>
      </c>
      <c r="D543" s="1">
        <v>167.18</v>
      </c>
      <c r="E543" s="3">
        <f t="shared" si="52"/>
        <v>3481.9149999999991</v>
      </c>
      <c r="F543" s="4">
        <f t="shared" si="53"/>
        <v>-28.405000000001564</v>
      </c>
      <c r="G543" s="4">
        <f t="shared" si="54"/>
        <v>28.405000000001564</v>
      </c>
      <c r="W543" s="59">
        <f t="shared" si="55"/>
        <v>-6.5461648872891616E-3</v>
      </c>
      <c r="X543" s="59">
        <f t="shared" si="56"/>
        <v>-2.2155762218649535E-2</v>
      </c>
      <c r="Y543" s="59">
        <f t="shared" si="57"/>
        <v>-2.3527715277606005E-2</v>
      </c>
    </row>
    <row r="544" spans="1:25" x14ac:dyDescent="0.3">
      <c r="A544" s="2">
        <v>43347</v>
      </c>
      <c r="B544" s="1">
        <v>57.09</v>
      </c>
      <c r="C544" s="1">
        <v>2039.51</v>
      </c>
      <c r="D544" s="1">
        <v>171.16</v>
      </c>
      <c r="E544" s="3">
        <f t="shared" si="52"/>
        <v>3510.3200000000006</v>
      </c>
      <c r="F544" s="4">
        <f t="shared" si="53"/>
        <v>154.12500000000045</v>
      </c>
      <c r="G544" s="4">
        <f t="shared" si="54"/>
        <v>-154.12500000000045</v>
      </c>
      <c r="W544" s="59">
        <f t="shared" si="55"/>
        <v>3.201827336761364E-3</v>
      </c>
      <c r="X544" s="59">
        <f t="shared" si="56"/>
        <v>1.3227510233182907E-2</v>
      </c>
      <c r="Y544" s="59">
        <f t="shared" si="57"/>
        <v>-2.6349934658138653E-2</v>
      </c>
    </row>
    <row r="545" spans="1:25" x14ac:dyDescent="0.3">
      <c r="A545" s="2">
        <v>43346</v>
      </c>
      <c r="B545" s="1">
        <v>56.907499999999999</v>
      </c>
      <c r="C545" s="1">
        <v>2012.71</v>
      </c>
      <c r="D545" s="1">
        <v>175.73</v>
      </c>
      <c r="E545" s="3">
        <f t="shared" si="52"/>
        <v>3356.1950000000002</v>
      </c>
      <c r="F545" s="4">
        <f t="shared" si="53"/>
        <v>0</v>
      </c>
      <c r="G545" s="4">
        <f t="shared" si="54"/>
        <v>0</v>
      </c>
      <c r="W545" s="59">
        <f t="shared" si="55"/>
        <v>0</v>
      </c>
      <c r="X545" s="59">
        <f t="shared" si="56"/>
        <v>0</v>
      </c>
      <c r="Y545" s="59">
        <f t="shared" si="57"/>
        <v>0</v>
      </c>
    </row>
    <row r="546" spans="1:25" x14ac:dyDescent="0.3">
      <c r="A546" s="2">
        <v>43343</v>
      </c>
      <c r="B546" s="1">
        <v>56.907499999999999</v>
      </c>
      <c r="C546" s="1">
        <v>2012.71</v>
      </c>
      <c r="D546" s="1">
        <v>175.73</v>
      </c>
      <c r="E546" s="3">
        <f t="shared" si="52"/>
        <v>3356.1950000000002</v>
      </c>
      <c r="F546" s="4">
        <f t="shared" si="53"/>
        <v>91.359999999999673</v>
      </c>
      <c r="G546" s="4">
        <f t="shared" si="54"/>
        <v>-91.359999999999673</v>
      </c>
      <c r="W546" s="59">
        <f t="shared" si="55"/>
        <v>1.1487777109642648E-2</v>
      </c>
      <c r="X546" s="59">
        <f t="shared" si="56"/>
        <v>5.1455996216484366E-3</v>
      </c>
      <c r="Y546" s="59">
        <f t="shared" si="57"/>
        <v>-1.0810304217146762E-2</v>
      </c>
    </row>
    <row r="547" spans="1:25" x14ac:dyDescent="0.3">
      <c r="A547" s="2">
        <v>43342</v>
      </c>
      <c r="B547" s="1">
        <v>56.2575</v>
      </c>
      <c r="C547" s="1">
        <v>2002.38</v>
      </c>
      <c r="D547" s="1">
        <v>177.64</v>
      </c>
      <c r="E547" s="3">
        <f t="shared" si="52"/>
        <v>3264.8350000000005</v>
      </c>
      <c r="F547" s="4">
        <f t="shared" si="53"/>
        <v>-0.61499999999932697</v>
      </c>
      <c r="G547" s="4">
        <f t="shared" si="54"/>
        <v>0.61499999999932697</v>
      </c>
      <c r="W547" s="59">
        <f t="shared" si="55"/>
        <v>9.1516453102292641E-3</v>
      </c>
      <c r="X547" s="59">
        <f t="shared" si="56"/>
        <v>2.1397440472143833E-3</v>
      </c>
      <c r="Y547" s="59">
        <f t="shared" si="57"/>
        <v>9.843378680388877E-3</v>
      </c>
    </row>
    <row r="548" spans="1:25" x14ac:dyDescent="0.3">
      <c r="A548" s="2">
        <v>43341</v>
      </c>
      <c r="B548" s="1">
        <v>55.744999999999997</v>
      </c>
      <c r="C548" s="1">
        <v>1998.1</v>
      </c>
      <c r="D548" s="1">
        <v>175.9</v>
      </c>
      <c r="E548" s="3">
        <f t="shared" si="52"/>
        <v>3265.45</v>
      </c>
      <c r="F548" s="4">
        <f t="shared" si="53"/>
        <v>178.76000000000022</v>
      </c>
      <c r="G548" s="4">
        <f t="shared" si="54"/>
        <v>-178.76000000000022</v>
      </c>
      <c r="W548" s="59">
        <f t="shared" si="55"/>
        <v>1.481910194886101E-2</v>
      </c>
      <c r="X548" s="59">
        <f t="shared" si="56"/>
        <v>3.3216652637008813E-2</v>
      </c>
      <c r="Y548" s="59">
        <f t="shared" si="57"/>
        <v>-2.0445259280018079E-3</v>
      </c>
    </row>
    <row r="549" spans="1:25" x14ac:dyDescent="0.3">
      <c r="A549" s="2">
        <v>43340</v>
      </c>
      <c r="B549" s="1">
        <v>54.924999999999997</v>
      </c>
      <c r="C549" s="1">
        <v>1932.82</v>
      </c>
      <c r="D549" s="1">
        <v>176.26</v>
      </c>
      <c r="E549" s="3">
        <f t="shared" si="52"/>
        <v>3086.6899999999996</v>
      </c>
      <c r="F549" s="4">
        <f t="shared" si="53"/>
        <v>56.279999999999291</v>
      </c>
      <c r="G549" s="4">
        <f t="shared" si="54"/>
        <v>-56.279999999999291</v>
      </c>
      <c r="W549" s="59">
        <f t="shared" si="55"/>
        <v>8.0431838418243366E-3</v>
      </c>
      <c r="X549" s="59">
        <f t="shared" si="56"/>
        <v>2.6628690777133314E-3</v>
      </c>
      <c r="Y549" s="59">
        <f t="shared" si="57"/>
        <v>-6.7850537356774392E-3</v>
      </c>
    </row>
    <row r="550" spans="1:25" x14ac:dyDescent="0.3">
      <c r="A550" s="2">
        <v>43339</v>
      </c>
      <c r="B550" s="1">
        <v>54.484999999999999</v>
      </c>
      <c r="C550" s="1">
        <v>1927.68</v>
      </c>
      <c r="D550" s="1">
        <v>177.46</v>
      </c>
      <c r="E550" s="3">
        <f t="shared" si="52"/>
        <v>3030.4100000000003</v>
      </c>
      <c r="F550" s="4">
        <f t="shared" si="53"/>
        <v>10.529999999999745</v>
      </c>
      <c r="G550" s="4">
        <f t="shared" si="54"/>
        <v>-10.529999999999745</v>
      </c>
      <c r="W550" s="59">
        <f t="shared" si="55"/>
        <v>8.2009213368514269E-3</v>
      </c>
      <c r="X550" s="59">
        <f t="shared" si="56"/>
        <v>1.163049527429677E-2</v>
      </c>
      <c r="Y550" s="59">
        <f t="shared" si="57"/>
        <v>1.5989889250102668E-2</v>
      </c>
    </row>
    <row r="551" spans="1:25" x14ac:dyDescent="0.3">
      <c r="A551" s="2">
        <v>43336</v>
      </c>
      <c r="B551" s="1">
        <v>54.04</v>
      </c>
      <c r="C551" s="1">
        <v>1905.39</v>
      </c>
      <c r="D551" s="1">
        <v>174.64500000000001</v>
      </c>
      <c r="E551" s="3">
        <f t="shared" si="52"/>
        <v>3019.8800000000006</v>
      </c>
      <c r="F551" s="4">
        <f t="shared" si="53"/>
        <v>-21.544999999999618</v>
      </c>
      <c r="G551" s="4">
        <f t="shared" si="54"/>
        <v>21.544999999999618</v>
      </c>
      <c r="W551" s="59">
        <f t="shared" si="55"/>
        <v>3.104369457068649E-3</v>
      </c>
      <c r="X551" s="59">
        <f t="shared" si="56"/>
        <v>1.3076737091069018E-3</v>
      </c>
      <c r="Y551" s="59">
        <f t="shared" si="57"/>
        <v>1.004194946784432E-2</v>
      </c>
    </row>
    <row r="552" spans="1:25" x14ac:dyDescent="0.3">
      <c r="A552" s="2">
        <v>43335</v>
      </c>
      <c r="B552" s="1">
        <v>53.872500000000002</v>
      </c>
      <c r="C552" s="1">
        <v>1902.9</v>
      </c>
      <c r="D552" s="1">
        <v>172.9</v>
      </c>
      <c r="E552" s="3">
        <f t="shared" si="52"/>
        <v>3041.4250000000002</v>
      </c>
      <c r="F552" s="4">
        <f t="shared" si="53"/>
        <v>16.299999999999727</v>
      </c>
      <c r="G552" s="4">
        <f t="shared" si="54"/>
        <v>-16.299999999999727</v>
      </c>
      <c r="W552" s="59">
        <f t="shared" si="55"/>
        <v>2.0439455250746866E-3</v>
      </c>
      <c r="X552" s="59">
        <f t="shared" si="56"/>
        <v>-1.0504754366911805E-3</v>
      </c>
      <c r="Y552" s="59">
        <f t="shared" si="57"/>
        <v>-4.2707977421478733E-3</v>
      </c>
    </row>
    <row r="553" spans="1:25" x14ac:dyDescent="0.3">
      <c r="A553" s="2">
        <v>43334</v>
      </c>
      <c r="B553" s="1">
        <v>53.762500000000003</v>
      </c>
      <c r="C553" s="1">
        <v>1904.9</v>
      </c>
      <c r="D553" s="1">
        <v>173.64</v>
      </c>
      <c r="E553" s="3">
        <f t="shared" si="52"/>
        <v>3025.1250000000005</v>
      </c>
      <c r="F553" s="4">
        <f t="shared" si="53"/>
        <v>22.6850000000004</v>
      </c>
      <c r="G553" s="4">
        <f t="shared" si="54"/>
        <v>-22.6850000000004</v>
      </c>
      <c r="W553" s="59">
        <f t="shared" si="55"/>
        <v>4.6501894960588474E-5</v>
      </c>
      <c r="X553" s="59">
        <f t="shared" si="56"/>
        <v>1.1340240631942236E-2</v>
      </c>
      <c r="Y553" s="59">
        <f t="shared" si="57"/>
        <v>5.8915436398811411E-3</v>
      </c>
    </row>
    <row r="554" spans="1:25" x14ac:dyDescent="0.3">
      <c r="A554" s="2">
        <v>43333</v>
      </c>
      <c r="B554" s="1">
        <v>53.76</v>
      </c>
      <c r="C554" s="1">
        <v>1883.42</v>
      </c>
      <c r="D554" s="1">
        <v>172.62</v>
      </c>
      <c r="E554" s="3">
        <f t="shared" si="52"/>
        <v>3002.44</v>
      </c>
      <c r="F554" s="4">
        <f t="shared" si="53"/>
        <v>5.7699999999999818</v>
      </c>
      <c r="G554" s="4">
        <f t="shared" si="54"/>
        <v>-5.7699999999999818</v>
      </c>
      <c r="W554" s="59">
        <f t="shared" si="55"/>
        <v>-1.9512201312618048E-3</v>
      </c>
      <c r="X554" s="59">
        <f t="shared" si="56"/>
        <v>3.5690293275217264E-3</v>
      </c>
      <c r="Y554" s="59">
        <f t="shared" si="57"/>
        <v>6.9541032009703995E-4</v>
      </c>
    </row>
    <row r="555" spans="1:25" x14ac:dyDescent="0.3">
      <c r="A555" s="2">
        <v>43332</v>
      </c>
      <c r="B555" s="1">
        <v>53.865000000000002</v>
      </c>
      <c r="C555" s="1">
        <v>1876.71</v>
      </c>
      <c r="D555" s="1">
        <v>172.5</v>
      </c>
      <c r="E555" s="3">
        <f t="shared" si="52"/>
        <v>2996.67</v>
      </c>
      <c r="F555" s="4">
        <f t="shared" si="53"/>
        <v>-11.520000000000437</v>
      </c>
      <c r="G555" s="4">
        <f t="shared" si="54"/>
        <v>11.520000000000437</v>
      </c>
      <c r="W555" s="59">
        <f t="shared" si="55"/>
        <v>-9.7913215268901465E-3</v>
      </c>
      <c r="X555" s="59">
        <f t="shared" si="56"/>
        <v>-2.9316874463961866E-3</v>
      </c>
      <c r="Y555" s="59">
        <f t="shared" si="57"/>
        <v>-7.5079763598773072E-3</v>
      </c>
    </row>
    <row r="556" spans="1:25" x14ac:dyDescent="0.3">
      <c r="A556" s="2">
        <v>43329</v>
      </c>
      <c r="B556" s="1">
        <v>54.395000000000003</v>
      </c>
      <c r="C556" s="1">
        <v>1882.22</v>
      </c>
      <c r="D556" s="1">
        <v>173.8</v>
      </c>
      <c r="E556" s="3">
        <f t="shared" si="52"/>
        <v>3008.1900000000005</v>
      </c>
      <c r="F556" s="4">
        <f t="shared" si="53"/>
        <v>62.650000000000546</v>
      </c>
      <c r="G556" s="4">
        <f t="shared" si="54"/>
        <v>-62.650000000000546</v>
      </c>
      <c r="W556" s="59">
        <f t="shared" si="55"/>
        <v>1.9773213260535199E-2</v>
      </c>
      <c r="X556" s="59">
        <f t="shared" si="56"/>
        <v>-2.2819307598380151E-3</v>
      </c>
      <c r="Y556" s="59">
        <f t="shared" si="57"/>
        <v>-5.1650043087190546E-3</v>
      </c>
    </row>
    <row r="557" spans="1:25" x14ac:dyDescent="0.3">
      <c r="A557" s="2">
        <v>43328</v>
      </c>
      <c r="B557" s="1">
        <v>53.33</v>
      </c>
      <c r="C557" s="1">
        <v>1886.52</v>
      </c>
      <c r="D557" s="1">
        <v>174.7</v>
      </c>
      <c r="E557" s="3">
        <f t="shared" si="52"/>
        <v>2945.54</v>
      </c>
      <c r="F557" s="4">
        <f t="shared" si="53"/>
        <v>142.90000000000009</v>
      </c>
      <c r="G557" s="4">
        <f t="shared" si="54"/>
        <v>-142.90000000000009</v>
      </c>
      <c r="W557" s="59">
        <f t="shared" si="55"/>
        <v>1.4543650436155752E-2</v>
      </c>
      <c r="X557" s="59">
        <f t="shared" si="56"/>
        <v>2.0694383290813722E-3</v>
      </c>
      <c r="Y557" s="59">
        <f t="shared" si="57"/>
        <v>-2.7272107742726644E-2</v>
      </c>
    </row>
    <row r="558" spans="1:25" x14ac:dyDescent="0.3">
      <c r="A558" s="2">
        <v>43327</v>
      </c>
      <c r="B558" s="1">
        <v>52.56</v>
      </c>
      <c r="C558" s="1">
        <v>1882.62</v>
      </c>
      <c r="D558" s="1">
        <v>179.53</v>
      </c>
      <c r="E558" s="3">
        <f t="shared" si="52"/>
        <v>2802.64</v>
      </c>
      <c r="F558" s="4">
        <f t="shared" si="53"/>
        <v>-36.335000000000036</v>
      </c>
      <c r="G558" s="4">
        <f t="shared" si="54"/>
        <v>36.335000000000036</v>
      </c>
      <c r="W558" s="59">
        <f t="shared" si="55"/>
        <v>2.3333899489301974E-3</v>
      </c>
      <c r="X558" s="59">
        <f t="shared" si="56"/>
        <v>-1.9478454075673821E-2</v>
      </c>
      <c r="Y558" s="59">
        <f t="shared" si="57"/>
        <v>-8.7622565937070553E-3</v>
      </c>
    </row>
    <row r="559" spans="1:25" x14ac:dyDescent="0.3">
      <c r="A559" s="2">
        <v>43326</v>
      </c>
      <c r="B559" s="1">
        <v>52.4375</v>
      </c>
      <c r="C559" s="1">
        <v>1919.65</v>
      </c>
      <c r="D559" s="1">
        <v>181.11</v>
      </c>
      <c r="E559" s="3">
        <f t="shared" si="52"/>
        <v>2838.9749999999999</v>
      </c>
      <c r="F559" s="4">
        <f t="shared" si="53"/>
        <v>36.700000000000273</v>
      </c>
      <c r="G559" s="4">
        <f t="shared" si="54"/>
        <v>-36.700000000000273</v>
      </c>
      <c r="W559" s="59">
        <f t="shared" si="55"/>
        <v>4.2042964800899198E-3</v>
      </c>
      <c r="X559" s="59">
        <f t="shared" si="56"/>
        <v>1.2290994254156565E-2</v>
      </c>
      <c r="Y559" s="59">
        <f t="shared" si="57"/>
        <v>5.8699913815601851E-3</v>
      </c>
    </row>
    <row r="560" spans="1:25" x14ac:dyDescent="0.3">
      <c r="A560" s="2">
        <v>43325</v>
      </c>
      <c r="B560" s="1">
        <v>52.217500000000001</v>
      </c>
      <c r="C560" s="1">
        <v>1896.2</v>
      </c>
      <c r="D560" s="1">
        <v>180.05</v>
      </c>
      <c r="E560" s="3">
        <f t="shared" si="52"/>
        <v>2802.2749999999996</v>
      </c>
      <c r="F560" s="4">
        <f t="shared" si="53"/>
        <v>40.749999999999091</v>
      </c>
      <c r="G560" s="4">
        <f t="shared" si="54"/>
        <v>-40.749999999999091</v>
      </c>
      <c r="W560" s="59">
        <f t="shared" si="55"/>
        <v>6.4361413336567587E-3</v>
      </c>
      <c r="X560" s="59">
        <f t="shared" si="56"/>
        <v>5.2346451321799081E-3</v>
      </c>
      <c r="Y560" s="59">
        <f t="shared" si="57"/>
        <v>-1.1656630333793769E-3</v>
      </c>
    </row>
    <row r="561" spans="1:25" x14ac:dyDescent="0.3">
      <c r="A561" s="2">
        <v>43322</v>
      </c>
      <c r="B561" s="1">
        <v>51.8825</v>
      </c>
      <c r="C561" s="1">
        <v>1886.3</v>
      </c>
      <c r="D561" s="1">
        <v>180.26</v>
      </c>
      <c r="E561" s="3">
        <f t="shared" si="52"/>
        <v>2761.5250000000005</v>
      </c>
      <c r="F561" s="4">
        <f t="shared" si="53"/>
        <v>15.285000000000764</v>
      </c>
      <c r="G561" s="4">
        <f t="shared" si="54"/>
        <v>-15.285000000000764</v>
      </c>
      <c r="W561" s="59">
        <f t="shared" si="55"/>
        <v>-6.4840168573044631E-3</v>
      </c>
      <c r="X561" s="59">
        <f t="shared" si="56"/>
        <v>-6.4573968972939499E-3</v>
      </c>
      <c r="Y561" s="59">
        <f t="shared" si="57"/>
        <v>-1.5577582096249607E-2</v>
      </c>
    </row>
    <row r="562" spans="1:25" x14ac:dyDescent="0.3">
      <c r="A562" s="2">
        <v>43321</v>
      </c>
      <c r="B562" s="1">
        <v>52.22</v>
      </c>
      <c r="C562" s="1">
        <v>1898.52</v>
      </c>
      <c r="D562" s="1">
        <v>183.09</v>
      </c>
      <c r="E562" s="3">
        <f t="shared" si="52"/>
        <v>2746.24</v>
      </c>
      <c r="F562" s="4">
        <f t="shared" si="53"/>
        <v>86.175000000000182</v>
      </c>
      <c r="G562" s="4">
        <f t="shared" si="54"/>
        <v>-86.175000000000182</v>
      </c>
      <c r="W562" s="59">
        <f t="shared" si="55"/>
        <v>7.8341303754689406E-3</v>
      </c>
      <c r="X562" s="59">
        <f t="shared" si="56"/>
        <v>6.3407732575500022E-3</v>
      </c>
      <c r="Y562" s="59">
        <f t="shared" si="57"/>
        <v>-1.1350489795387773E-2</v>
      </c>
    </row>
    <row r="563" spans="1:25" x14ac:dyDescent="0.3">
      <c r="A563" s="2">
        <v>43320</v>
      </c>
      <c r="B563" s="1">
        <v>51.8125</v>
      </c>
      <c r="C563" s="1">
        <v>1886.52</v>
      </c>
      <c r="D563" s="1">
        <v>185.18</v>
      </c>
      <c r="E563" s="3">
        <f t="shared" si="52"/>
        <v>2660.0649999999996</v>
      </c>
      <c r="F563" s="4">
        <f t="shared" si="53"/>
        <v>22.429999999999382</v>
      </c>
      <c r="G563" s="4">
        <f t="shared" si="54"/>
        <v>-22.429999999999382</v>
      </c>
      <c r="W563" s="59">
        <f t="shared" si="55"/>
        <v>6.7574092734475435E-4</v>
      </c>
      <c r="X563" s="59">
        <f t="shared" si="56"/>
        <v>1.2824929050397189E-2</v>
      </c>
      <c r="Y563" s="59">
        <f t="shared" si="57"/>
        <v>7.4257096142281752E-3</v>
      </c>
    </row>
    <row r="564" spans="1:25" x14ac:dyDescent="0.3">
      <c r="A564" s="2">
        <v>43319</v>
      </c>
      <c r="B564" s="1">
        <v>51.777500000000003</v>
      </c>
      <c r="C564" s="1">
        <v>1862.48</v>
      </c>
      <c r="D564" s="1">
        <v>183.81</v>
      </c>
      <c r="E564" s="3">
        <f t="shared" si="52"/>
        <v>2637.6350000000002</v>
      </c>
      <c r="F564" s="4">
        <f t="shared" si="53"/>
        <v>42.5600000000004</v>
      </c>
      <c r="G564" s="4">
        <f t="shared" si="54"/>
        <v>-42.5600000000004</v>
      </c>
      <c r="W564" s="59">
        <f t="shared" si="55"/>
        <v>-9.4190710304775539E-3</v>
      </c>
      <c r="X564" s="59">
        <f t="shared" si="56"/>
        <v>7.9402502760294556E-3</v>
      </c>
      <c r="Y564" s="59">
        <f t="shared" si="57"/>
        <v>-1.0176001206831362E-2</v>
      </c>
    </row>
    <row r="565" spans="1:25" x14ac:dyDescent="0.3">
      <c r="A565" s="2">
        <v>43318</v>
      </c>
      <c r="B565" s="1">
        <v>52.267499999999998</v>
      </c>
      <c r="C565" s="1">
        <v>1847.75</v>
      </c>
      <c r="D565" s="1">
        <v>185.69</v>
      </c>
      <c r="E565" s="3">
        <f t="shared" si="52"/>
        <v>2595.0749999999998</v>
      </c>
      <c r="F565" s="4">
        <f t="shared" si="53"/>
        <v>-95.7800000000002</v>
      </c>
      <c r="G565" s="4">
        <f t="shared" si="54"/>
        <v>95.7800000000002</v>
      </c>
      <c r="W565" s="59">
        <f t="shared" si="55"/>
        <v>5.1791224960282718E-3</v>
      </c>
      <c r="X565" s="59">
        <f t="shared" si="56"/>
        <v>1.3326121195838444E-2</v>
      </c>
      <c r="Y565" s="59">
        <f t="shared" si="57"/>
        <v>4.3531785798975285E-2</v>
      </c>
    </row>
    <row r="566" spans="1:25" x14ac:dyDescent="0.3">
      <c r="A566" s="2">
        <v>43315</v>
      </c>
      <c r="B566" s="1">
        <v>51.997500000000002</v>
      </c>
      <c r="C566" s="1">
        <v>1823.29</v>
      </c>
      <c r="D566" s="1">
        <v>177.78</v>
      </c>
      <c r="E566" s="3">
        <f t="shared" si="52"/>
        <v>2690.855</v>
      </c>
      <c r="F566" s="4">
        <f t="shared" si="53"/>
        <v>-42.779999999999745</v>
      </c>
      <c r="G566" s="4">
        <f t="shared" si="54"/>
        <v>42.779999999999745</v>
      </c>
      <c r="W566" s="59">
        <f t="shared" si="55"/>
        <v>2.8889229972256076E-3</v>
      </c>
      <c r="X566" s="59">
        <f t="shared" si="56"/>
        <v>-6.0367307302169508E-3</v>
      </c>
      <c r="Y566" s="59">
        <f t="shared" si="57"/>
        <v>7.9627697312556357E-3</v>
      </c>
    </row>
    <row r="567" spans="1:25" x14ac:dyDescent="0.3">
      <c r="A567" s="2">
        <v>43314</v>
      </c>
      <c r="B567" s="1">
        <v>51.847499999999997</v>
      </c>
      <c r="C567" s="1">
        <v>1834.33</v>
      </c>
      <c r="D567" s="1">
        <v>176.37</v>
      </c>
      <c r="E567" s="3">
        <f t="shared" si="52"/>
        <v>2733.6349999999998</v>
      </c>
      <c r="F567" s="4">
        <f t="shared" si="53"/>
        <v>53.544999999999618</v>
      </c>
      <c r="G567" s="4">
        <f t="shared" si="54"/>
        <v>-53.544999999999618</v>
      </c>
      <c r="W567" s="59">
        <f t="shared" si="55"/>
        <v>2.8811697238545597E-2</v>
      </c>
      <c r="X567" s="59">
        <f t="shared" si="56"/>
        <v>2.0466086775677926E-2</v>
      </c>
      <c r="Y567" s="59">
        <f t="shared" si="57"/>
        <v>2.7126541178572185E-2</v>
      </c>
    </row>
    <row r="568" spans="1:25" x14ac:dyDescent="0.3">
      <c r="A568" s="2">
        <v>43313</v>
      </c>
      <c r="B568" s="1">
        <v>50.375</v>
      </c>
      <c r="C568" s="1">
        <v>1797.17</v>
      </c>
      <c r="D568" s="1">
        <v>171.65</v>
      </c>
      <c r="E568" s="3">
        <f t="shared" si="52"/>
        <v>2680.09</v>
      </c>
      <c r="F568" s="4">
        <f t="shared" si="53"/>
        <v>198.1850000000004</v>
      </c>
      <c r="G568" s="4">
        <f t="shared" si="54"/>
        <v>-198.1850000000004</v>
      </c>
      <c r="W568" s="59">
        <f t="shared" si="55"/>
        <v>5.7240157072822158E-2</v>
      </c>
      <c r="X568" s="59">
        <f t="shared" si="56"/>
        <v>1.1039078590284357E-2</v>
      </c>
      <c r="Y568" s="59">
        <f t="shared" si="57"/>
        <v>-5.4033771764604652E-3</v>
      </c>
    </row>
    <row r="569" spans="1:25" x14ac:dyDescent="0.3">
      <c r="A569" s="2">
        <v>43312</v>
      </c>
      <c r="B569" s="1">
        <v>47.572499999999998</v>
      </c>
      <c r="C569" s="1">
        <v>1777.44</v>
      </c>
      <c r="D569" s="1">
        <v>172.58</v>
      </c>
      <c r="E569" s="3">
        <f t="shared" si="52"/>
        <v>2481.9049999999997</v>
      </c>
      <c r="F569" s="4">
        <f t="shared" si="53"/>
        <v>-29.210000000000946</v>
      </c>
      <c r="G569" s="4">
        <f t="shared" si="54"/>
        <v>29.210000000000946</v>
      </c>
      <c r="W569" s="59">
        <f t="shared" si="55"/>
        <v>1.9989485877618405E-3</v>
      </c>
      <c r="X569" s="59">
        <f t="shared" si="56"/>
        <v>-1.0009391668656051E-3</v>
      </c>
      <c r="Y569" s="59">
        <f t="shared" si="57"/>
        <v>8.8465249275257781E-3</v>
      </c>
    </row>
    <row r="570" spans="1:25" x14ac:dyDescent="0.3">
      <c r="A570" s="2">
        <v>43311</v>
      </c>
      <c r="B570" s="1">
        <v>47.477499999999999</v>
      </c>
      <c r="C570" s="1">
        <v>1779.22</v>
      </c>
      <c r="D570" s="1">
        <v>171.06</v>
      </c>
      <c r="E570" s="3">
        <f t="shared" si="52"/>
        <v>2511.1150000000007</v>
      </c>
      <c r="F570" s="4">
        <f t="shared" si="53"/>
        <v>-12.874999999999545</v>
      </c>
      <c r="G570" s="4">
        <f t="shared" si="54"/>
        <v>12.874999999999545</v>
      </c>
      <c r="W570" s="59">
        <f t="shared" si="55"/>
        <v>-5.6184347959026991E-3</v>
      </c>
      <c r="X570" s="59">
        <f t="shared" si="56"/>
        <v>-2.1160308944296012E-2</v>
      </c>
      <c r="Y570" s="59">
        <f t="shared" si="57"/>
        <v>-2.2142832708464132E-2</v>
      </c>
    </row>
    <row r="571" spans="1:25" x14ac:dyDescent="0.3">
      <c r="A571" s="2">
        <v>43308</v>
      </c>
      <c r="B571" s="1">
        <v>47.744999999999997</v>
      </c>
      <c r="C571" s="1">
        <v>1817.27</v>
      </c>
      <c r="D571" s="1">
        <v>174.89</v>
      </c>
      <c r="E571" s="3">
        <f t="shared" si="52"/>
        <v>2523.9900000000002</v>
      </c>
      <c r="F571" s="4">
        <f t="shared" si="53"/>
        <v>5.5650000000000546</v>
      </c>
      <c r="G571" s="4">
        <f t="shared" si="54"/>
        <v>-5.5650000000000546</v>
      </c>
      <c r="W571" s="59">
        <f t="shared" si="55"/>
        <v>-1.67713373153036E-2</v>
      </c>
      <c r="X571" s="59">
        <f t="shared" si="56"/>
        <v>5.1141129924521826E-3</v>
      </c>
      <c r="Y571" s="59">
        <f t="shared" si="57"/>
        <v>-7.8029728104146009E-3</v>
      </c>
    </row>
    <row r="572" spans="1:25" x14ac:dyDescent="0.3">
      <c r="A572" s="2">
        <v>43307</v>
      </c>
      <c r="B572" s="1">
        <v>48.552500000000002</v>
      </c>
      <c r="C572" s="1">
        <v>1808</v>
      </c>
      <c r="D572" s="1">
        <v>176.26</v>
      </c>
      <c r="E572" s="3">
        <f t="shared" si="52"/>
        <v>2518.4250000000002</v>
      </c>
      <c r="F572" s="4">
        <f t="shared" si="53"/>
        <v>705.95500000000084</v>
      </c>
      <c r="G572" s="4">
        <f t="shared" si="54"/>
        <v>-705.95500000000084</v>
      </c>
      <c r="W572" s="59">
        <f t="shared" si="55"/>
        <v>-3.1360075054495265E-3</v>
      </c>
      <c r="X572" s="59">
        <f t="shared" si="56"/>
        <v>-3.0294204934483301E-2</v>
      </c>
      <c r="Y572" s="59">
        <f t="shared" si="57"/>
        <v>-0.21023867285722447</v>
      </c>
    </row>
    <row r="573" spans="1:25" x14ac:dyDescent="0.3">
      <c r="A573" s="2">
        <v>43306</v>
      </c>
      <c r="B573" s="1">
        <v>48.704999999999998</v>
      </c>
      <c r="C573" s="1">
        <v>1863.61</v>
      </c>
      <c r="D573" s="1">
        <v>217.5</v>
      </c>
      <c r="E573" s="3">
        <f t="shared" si="52"/>
        <v>1812.4699999999993</v>
      </c>
      <c r="F573" s="4">
        <f t="shared" si="53"/>
        <v>34.889999999999418</v>
      </c>
      <c r="G573" s="4">
        <f t="shared" si="54"/>
        <v>-34.889999999999418</v>
      </c>
      <c r="W573" s="59">
        <f t="shared" si="55"/>
        <v>9.3858664379240942E-3</v>
      </c>
      <c r="X573" s="59">
        <f t="shared" si="56"/>
        <v>1.8614886858742252E-2</v>
      </c>
      <c r="Y573" s="59">
        <f t="shared" si="57"/>
        <v>1.3096885262741725E-2</v>
      </c>
    </row>
    <row r="574" spans="1:25" x14ac:dyDescent="0.3">
      <c r="A574" s="2">
        <v>43305</v>
      </c>
      <c r="B574" s="1">
        <v>48.25</v>
      </c>
      <c r="C574" s="1">
        <v>1829.24</v>
      </c>
      <c r="D574" s="1">
        <v>214.67</v>
      </c>
      <c r="E574" s="3">
        <f t="shared" si="52"/>
        <v>1777.58</v>
      </c>
      <c r="F574" s="4">
        <f t="shared" si="53"/>
        <v>-3.3450000000002547</v>
      </c>
      <c r="G574" s="4">
        <f t="shared" si="54"/>
        <v>3.3450000000002547</v>
      </c>
      <c r="W574" s="59">
        <f t="shared" si="55"/>
        <v>7.2281326632780774E-3</v>
      </c>
      <c r="X574" s="59">
        <f t="shared" si="56"/>
        <v>1.5003420859579682E-2</v>
      </c>
      <c r="Y574" s="59">
        <f t="shared" si="57"/>
        <v>1.7670463068473922E-2</v>
      </c>
    </row>
    <row r="575" spans="1:25" x14ac:dyDescent="0.3">
      <c r="A575" s="2">
        <v>43304</v>
      </c>
      <c r="B575" s="1">
        <v>47.902500000000003</v>
      </c>
      <c r="C575" s="1">
        <v>1802</v>
      </c>
      <c r="D575" s="1">
        <v>210.91</v>
      </c>
      <c r="E575" s="3">
        <f t="shared" si="52"/>
        <v>1780.9250000000002</v>
      </c>
      <c r="F575" s="4">
        <f t="shared" si="53"/>
        <v>-40.674999999999272</v>
      </c>
      <c r="G575" s="4">
        <f t="shared" si="54"/>
        <v>40.674999999999272</v>
      </c>
      <c r="W575" s="59">
        <f t="shared" si="55"/>
        <v>8.8761264148967559E-4</v>
      </c>
      <c r="X575" s="59">
        <f t="shared" si="56"/>
        <v>-6.4717984550943606E-3</v>
      </c>
      <c r="Y575" s="59">
        <f t="shared" si="57"/>
        <v>4.6097265898715351E-3</v>
      </c>
    </row>
    <row r="576" spans="1:25" x14ac:dyDescent="0.3">
      <c r="A576" s="2">
        <v>43301</v>
      </c>
      <c r="B576" s="1">
        <v>47.86</v>
      </c>
      <c r="C576" s="1">
        <v>1813.7</v>
      </c>
      <c r="D576" s="1">
        <v>209.94</v>
      </c>
      <c r="E576" s="3">
        <f t="shared" si="52"/>
        <v>1821.5999999999995</v>
      </c>
      <c r="F576" s="4">
        <f t="shared" si="53"/>
        <v>-41.040000000000873</v>
      </c>
      <c r="G576" s="4">
        <f t="shared" si="54"/>
        <v>41.040000000000873</v>
      </c>
      <c r="W576" s="59">
        <f t="shared" si="55"/>
        <v>-2.2957330337452682E-3</v>
      </c>
      <c r="X576" s="59">
        <f t="shared" si="56"/>
        <v>4.0257316483653563E-4</v>
      </c>
      <c r="Y576" s="59">
        <f t="shared" si="57"/>
        <v>8.8510971829633429E-3</v>
      </c>
    </row>
    <row r="577" spans="1:25" x14ac:dyDescent="0.3">
      <c r="A577" s="2">
        <v>43300</v>
      </c>
      <c r="B577" s="1">
        <v>47.97</v>
      </c>
      <c r="C577" s="1">
        <v>1812.97</v>
      </c>
      <c r="D577" s="1">
        <v>208.09</v>
      </c>
      <c r="E577" s="3">
        <f t="shared" si="52"/>
        <v>1862.6400000000003</v>
      </c>
      <c r="F577" s="4">
        <f t="shared" si="53"/>
        <v>-15.999999999999091</v>
      </c>
      <c r="G577" s="4">
        <f t="shared" si="54"/>
        <v>15.999999999999091</v>
      </c>
      <c r="W577" s="59">
        <f t="shared" si="55"/>
        <v>7.7430542765982071E-3</v>
      </c>
      <c r="X577" s="59">
        <f t="shared" si="56"/>
        <v>-1.6384885781358348E-2</v>
      </c>
      <c r="Y577" s="59">
        <f t="shared" si="57"/>
        <v>-6.0845797972022848E-3</v>
      </c>
    </row>
    <row r="578" spans="1:25" x14ac:dyDescent="0.3">
      <c r="A578" s="2">
        <v>43299</v>
      </c>
      <c r="B578" s="1">
        <v>47.6</v>
      </c>
      <c r="C578" s="1">
        <v>1842.92</v>
      </c>
      <c r="D578" s="1">
        <v>209.36</v>
      </c>
      <c r="E578" s="3">
        <f t="shared" si="52"/>
        <v>1878.6399999999994</v>
      </c>
      <c r="F578" s="4">
        <f t="shared" si="53"/>
        <v>-2.5450000000009823</v>
      </c>
      <c r="G578" s="4">
        <f t="shared" si="54"/>
        <v>2.5450000000009823</v>
      </c>
      <c r="W578" s="59">
        <f t="shared" si="55"/>
        <v>-5.4995555660384355E-3</v>
      </c>
      <c r="X578" s="59">
        <f t="shared" si="56"/>
        <v>-5.4789320165759875E-4</v>
      </c>
      <c r="Y578" s="59">
        <f t="shared" si="57"/>
        <v>-3.0046523141363688E-3</v>
      </c>
    </row>
    <row r="579" spans="1:25" x14ac:dyDescent="0.3">
      <c r="A579" s="2">
        <v>43298</v>
      </c>
      <c r="B579" s="1">
        <v>47.862499999999997</v>
      </c>
      <c r="C579" s="1">
        <v>1843.93</v>
      </c>
      <c r="D579" s="1">
        <v>209.99</v>
      </c>
      <c r="E579" s="3">
        <f t="shared" si="52"/>
        <v>1881.1850000000004</v>
      </c>
      <c r="F579" s="4">
        <f t="shared" si="53"/>
        <v>-5.569999999999709</v>
      </c>
      <c r="G579" s="4">
        <f t="shared" si="54"/>
        <v>5.569999999999709</v>
      </c>
      <c r="W579" s="59">
        <f t="shared" si="55"/>
        <v>2.8245651167355577E-3</v>
      </c>
      <c r="X579" s="59">
        <f t="shared" si="56"/>
        <v>1.1695465542247228E-2</v>
      </c>
      <c r="Y579" s="59">
        <f t="shared" si="57"/>
        <v>1.3230622986630705E-2</v>
      </c>
    </row>
    <row r="580" spans="1:25" x14ac:dyDescent="0.3">
      <c r="A580" s="2">
        <v>43297</v>
      </c>
      <c r="B580" s="1">
        <v>47.727499999999999</v>
      </c>
      <c r="C580" s="1">
        <v>1822.49</v>
      </c>
      <c r="D580" s="1">
        <v>207.23</v>
      </c>
      <c r="E580" s="3">
        <f t="shared" si="52"/>
        <v>1886.7550000000001</v>
      </c>
      <c r="F580" s="4">
        <f t="shared" si="53"/>
        <v>15.470000000000255</v>
      </c>
      <c r="G580" s="4">
        <f t="shared" si="54"/>
        <v>-15.470000000000255</v>
      </c>
      <c r="W580" s="59">
        <f t="shared" si="55"/>
        <v>-2.1975730903435772E-3</v>
      </c>
      <c r="X580" s="59">
        <f t="shared" si="56"/>
        <v>5.2042191219572624E-3</v>
      </c>
      <c r="Y580" s="59">
        <f t="shared" si="57"/>
        <v>-4.3420577210959236E-4</v>
      </c>
    </row>
    <row r="581" spans="1:25" x14ac:dyDescent="0.3">
      <c r="A581" s="2">
        <v>43294</v>
      </c>
      <c r="B581" s="1">
        <v>47.832500000000003</v>
      </c>
      <c r="C581" s="1">
        <v>1813.03</v>
      </c>
      <c r="D581" s="1">
        <v>207.32</v>
      </c>
      <c r="E581" s="3">
        <f t="shared" si="52"/>
        <v>1871.2849999999999</v>
      </c>
      <c r="F581" s="4">
        <f t="shared" si="53"/>
        <v>28.569999999999709</v>
      </c>
      <c r="G581" s="4">
        <f t="shared" si="54"/>
        <v>-28.569999999999709</v>
      </c>
      <c r="W581" s="59">
        <f t="shared" si="55"/>
        <v>1.5692021213509818E-3</v>
      </c>
      <c r="X581" s="59">
        <f t="shared" si="56"/>
        <v>9.0923569057244219E-3</v>
      </c>
      <c r="Y581" s="59">
        <f t="shared" si="57"/>
        <v>1.9312481861914739E-3</v>
      </c>
    </row>
    <row r="582" spans="1:25" x14ac:dyDescent="0.3">
      <c r="A582" s="2">
        <v>43293</v>
      </c>
      <c r="B582" s="1">
        <v>47.7575</v>
      </c>
      <c r="C582" s="1">
        <v>1796.62</v>
      </c>
      <c r="D582" s="1">
        <v>206.92</v>
      </c>
      <c r="E582" s="3">
        <f t="shared" ref="E582:E645" si="58">50*B582+2*C582-20*D582</f>
        <v>1842.7150000000001</v>
      </c>
      <c r="F582" s="4">
        <f t="shared" ref="F582:F645" si="59">E582-E583</f>
        <v>35.014999999999873</v>
      </c>
      <c r="G582" s="4">
        <f t="shared" ref="G582:G645" si="60">-F582</f>
        <v>-35.014999999999873</v>
      </c>
      <c r="W582" s="59">
        <f t="shared" ref="W582:W645" si="61">LN(B582/B583)</f>
        <v>1.6627022616766154E-2</v>
      </c>
      <c r="X582" s="59">
        <f t="shared" ref="X582:X645" si="62">LN(C582/C583)</f>
        <v>2.3438264971662032E-2</v>
      </c>
      <c r="Y582" s="59">
        <f t="shared" ref="Y582:Y645" si="63">LN(D582/D583)</f>
        <v>2.1394847231175448E-2</v>
      </c>
    </row>
    <row r="583" spans="1:25" x14ac:dyDescent="0.3">
      <c r="A583" s="2">
        <v>43292</v>
      </c>
      <c r="B583" s="1">
        <v>46.97</v>
      </c>
      <c r="C583" s="1">
        <v>1755</v>
      </c>
      <c r="D583" s="1">
        <v>202.54</v>
      </c>
      <c r="E583" s="3">
        <f t="shared" si="58"/>
        <v>1807.7000000000003</v>
      </c>
      <c r="F583" s="4">
        <f t="shared" si="59"/>
        <v>12.985000000000582</v>
      </c>
      <c r="G583" s="4">
        <f t="shared" si="60"/>
        <v>-12.985000000000582</v>
      </c>
      <c r="W583" s="59">
        <f t="shared" si="61"/>
        <v>-1.3061021669711955E-2</v>
      </c>
      <c r="X583" s="59">
        <f t="shared" si="62"/>
        <v>6.8209305437919509E-3</v>
      </c>
      <c r="Y583" s="59">
        <f t="shared" si="63"/>
        <v>-4.9251478596465939E-3</v>
      </c>
    </row>
    <row r="584" spans="1:25" x14ac:dyDescent="0.3">
      <c r="A584" s="2">
        <v>43291</v>
      </c>
      <c r="B584" s="1">
        <v>47.587499999999999</v>
      </c>
      <c r="C584" s="1">
        <v>1743.07</v>
      </c>
      <c r="D584" s="1">
        <v>203.54</v>
      </c>
      <c r="E584" s="3">
        <f t="shared" si="58"/>
        <v>1794.7149999999997</v>
      </c>
      <c r="F584" s="4">
        <f t="shared" si="59"/>
        <v>29.224999999999909</v>
      </c>
      <c r="G584" s="4">
        <f t="shared" si="60"/>
        <v>-29.224999999999909</v>
      </c>
      <c r="W584" s="59">
        <f t="shared" si="61"/>
        <v>-1.2075710915359459E-3</v>
      </c>
      <c r="X584" s="59">
        <f t="shared" si="62"/>
        <v>2.3261902054609561E-3</v>
      </c>
      <c r="Y584" s="59">
        <f t="shared" si="63"/>
        <v>-5.8783357278393072E-3</v>
      </c>
    </row>
    <row r="585" spans="1:25" x14ac:dyDescent="0.3">
      <c r="A585" s="2">
        <v>43290</v>
      </c>
      <c r="B585" s="1">
        <v>47.645000000000003</v>
      </c>
      <c r="C585" s="1">
        <v>1739.02</v>
      </c>
      <c r="D585" s="1">
        <v>204.74</v>
      </c>
      <c r="E585" s="3">
        <f t="shared" si="58"/>
        <v>1765.4899999999998</v>
      </c>
      <c r="F585" s="4">
        <f t="shared" si="59"/>
        <v>59.204999999999472</v>
      </c>
      <c r="G585" s="4">
        <f t="shared" si="60"/>
        <v>-59.204999999999472</v>
      </c>
      <c r="W585" s="59">
        <f t="shared" si="61"/>
        <v>1.3789678291538309E-2</v>
      </c>
      <c r="X585" s="59">
        <f t="shared" si="62"/>
        <v>1.6460012451747622E-2</v>
      </c>
      <c r="Y585" s="59">
        <f t="shared" si="63"/>
        <v>7.4025388894091966E-3</v>
      </c>
    </row>
    <row r="586" spans="1:25" x14ac:dyDescent="0.3">
      <c r="A586" s="2">
        <v>43287</v>
      </c>
      <c r="B586" s="1">
        <v>46.9925</v>
      </c>
      <c r="C586" s="1">
        <v>1710.63</v>
      </c>
      <c r="D586" s="1">
        <v>203.23</v>
      </c>
      <c r="E586" s="3">
        <f t="shared" si="58"/>
        <v>1706.2850000000003</v>
      </c>
      <c r="F586" s="4">
        <f t="shared" si="59"/>
        <v>-41.674999999999727</v>
      </c>
      <c r="G586" s="4">
        <f t="shared" si="60"/>
        <v>41.674999999999727</v>
      </c>
      <c r="W586" s="59">
        <f t="shared" si="61"/>
        <v>1.3766722496749269E-2</v>
      </c>
      <c r="X586" s="59">
        <f t="shared" si="62"/>
        <v>6.3923087978622999E-3</v>
      </c>
      <c r="Y586" s="59">
        <f t="shared" si="63"/>
        <v>2.3801163373141299E-2</v>
      </c>
    </row>
    <row r="587" spans="1:25" x14ac:dyDescent="0.3">
      <c r="A587" s="2">
        <v>43286</v>
      </c>
      <c r="B587" s="1">
        <v>46.35</v>
      </c>
      <c r="C587" s="1">
        <v>1699.73</v>
      </c>
      <c r="D587" s="1">
        <v>198.45</v>
      </c>
      <c r="E587" s="3">
        <f t="shared" si="58"/>
        <v>1747.96</v>
      </c>
      <c r="F587" s="4">
        <f t="shared" si="59"/>
        <v>-84.360000000000127</v>
      </c>
      <c r="G587" s="4">
        <f t="shared" si="60"/>
        <v>84.360000000000127</v>
      </c>
      <c r="W587" s="59">
        <f t="shared" si="61"/>
        <v>8.0147726768287769E-3</v>
      </c>
      <c r="X587" s="59">
        <f t="shared" si="62"/>
        <v>3.4004317187744963E-3</v>
      </c>
      <c r="Y587" s="59">
        <f t="shared" si="63"/>
        <v>2.9246933518114283E-2</v>
      </c>
    </row>
    <row r="588" spans="1:25" x14ac:dyDescent="0.3">
      <c r="A588" s="2">
        <v>43285</v>
      </c>
      <c r="B588" s="1">
        <v>45.98</v>
      </c>
      <c r="C588" s="1">
        <v>1693.96</v>
      </c>
      <c r="D588" s="1">
        <v>192.73</v>
      </c>
      <c r="E588" s="3">
        <f t="shared" si="58"/>
        <v>1832.3200000000002</v>
      </c>
      <c r="F588" s="4">
        <f t="shared" si="59"/>
        <v>0</v>
      </c>
      <c r="G588" s="4">
        <f t="shared" si="60"/>
        <v>0</v>
      </c>
      <c r="W588" s="59">
        <f t="shared" si="61"/>
        <v>0</v>
      </c>
      <c r="X588" s="59">
        <f t="shared" si="62"/>
        <v>0</v>
      </c>
      <c r="Y588" s="59">
        <f t="shared" si="63"/>
        <v>0</v>
      </c>
    </row>
    <row r="589" spans="1:25" x14ac:dyDescent="0.3">
      <c r="A589" s="2">
        <v>43284</v>
      </c>
      <c r="B589" s="1">
        <v>45.98</v>
      </c>
      <c r="C589" s="1">
        <v>1693.96</v>
      </c>
      <c r="D589" s="1">
        <v>192.73</v>
      </c>
      <c r="E589" s="3">
        <f t="shared" si="58"/>
        <v>1832.3200000000002</v>
      </c>
      <c r="F589" s="4">
        <f t="shared" si="59"/>
        <v>12.210000000000946</v>
      </c>
      <c r="G589" s="4">
        <f t="shared" si="60"/>
        <v>-12.210000000000946</v>
      </c>
      <c r="W589" s="59">
        <f t="shared" si="61"/>
        <v>-1.7569840274184432E-2</v>
      </c>
      <c r="X589" s="59">
        <f t="shared" si="62"/>
        <v>-1.1632474011435858E-2</v>
      </c>
      <c r="Y589" s="59">
        <f t="shared" si="63"/>
        <v>-2.3739226510141268E-2</v>
      </c>
    </row>
    <row r="590" spans="1:25" x14ac:dyDescent="0.3">
      <c r="A590" s="2">
        <v>43283</v>
      </c>
      <c r="B590" s="1">
        <v>46.795000000000002</v>
      </c>
      <c r="C590" s="1">
        <v>1713.78</v>
      </c>
      <c r="D590" s="1">
        <v>197.36</v>
      </c>
      <c r="E590" s="3">
        <f t="shared" si="58"/>
        <v>1820.1099999999992</v>
      </c>
      <c r="F590" s="4">
        <f t="shared" si="59"/>
        <v>-6.9650000000015098</v>
      </c>
      <c r="G590" s="4">
        <f t="shared" si="60"/>
        <v>6.9650000000015098</v>
      </c>
      <c r="W590" s="59">
        <f t="shared" si="61"/>
        <v>1.1120477757516548E-2</v>
      </c>
      <c r="X590" s="59">
        <f t="shared" si="62"/>
        <v>8.1908601292388222E-3</v>
      </c>
      <c r="Y590" s="59">
        <f t="shared" si="63"/>
        <v>1.5523187527184377E-2</v>
      </c>
    </row>
    <row r="591" spans="1:25" x14ac:dyDescent="0.3">
      <c r="A591" s="2">
        <v>43280</v>
      </c>
      <c r="B591" s="1">
        <v>46.277500000000003</v>
      </c>
      <c r="C591" s="1">
        <v>1699.8</v>
      </c>
      <c r="D591" s="1">
        <v>194.32</v>
      </c>
      <c r="E591" s="3">
        <f t="shared" si="58"/>
        <v>1827.0750000000007</v>
      </c>
      <c r="F591" s="4">
        <f t="shared" si="59"/>
        <v>30.025000000001</v>
      </c>
      <c r="G591" s="4">
        <f t="shared" si="60"/>
        <v>-30.025000000001</v>
      </c>
      <c r="W591" s="59">
        <f t="shared" si="61"/>
        <v>-2.1046390758960231E-3</v>
      </c>
      <c r="X591" s="59">
        <f t="shared" si="62"/>
        <v>-9.7023160863540792E-4</v>
      </c>
      <c r="Y591" s="59">
        <f t="shared" si="63"/>
        <v>-9.7811559473140169E-3</v>
      </c>
    </row>
    <row r="592" spans="1:25" x14ac:dyDescent="0.3">
      <c r="A592" s="2">
        <v>43279</v>
      </c>
      <c r="B592" s="1">
        <v>46.375</v>
      </c>
      <c r="C592" s="1">
        <v>1701.45</v>
      </c>
      <c r="D592" s="1">
        <v>196.23</v>
      </c>
      <c r="E592" s="3">
        <f t="shared" si="58"/>
        <v>1797.0499999999997</v>
      </c>
      <c r="F592" s="4">
        <f t="shared" si="59"/>
        <v>90.829999999999472</v>
      </c>
      <c r="G592" s="4">
        <f t="shared" si="60"/>
        <v>-90.829999999999472</v>
      </c>
      <c r="W592" s="59">
        <f t="shared" si="61"/>
        <v>7.2499370739173554E-3</v>
      </c>
      <c r="X592" s="59">
        <f t="shared" si="62"/>
        <v>2.4356044592048869E-2</v>
      </c>
      <c r="Y592" s="59">
        <f t="shared" si="63"/>
        <v>1.9894413172697693E-3</v>
      </c>
    </row>
    <row r="593" spans="1:25" x14ac:dyDescent="0.3">
      <c r="A593" s="2">
        <v>43278</v>
      </c>
      <c r="B593" s="1">
        <v>46.04</v>
      </c>
      <c r="C593" s="1">
        <v>1660.51</v>
      </c>
      <c r="D593" s="1">
        <v>195.84</v>
      </c>
      <c r="E593" s="3">
        <f t="shared" si="58"/>
        <v>1706.2200000000003</v>
      </c>
      <c r="F593" s="4">
        <f t="shared" si="59"/>
        <v>-1.3350000000000364</v>
      </c>
      <c r="G593" s="4">
        <f t="shared" si="60"/>
        <v>1.3350000000000364</v>
      </c>
      <c r="W593" s="59">
        <f t="shared" si="61"/>
        <v>-1.4650427211420831E-3</v>
      </c>
      <c r="X593" s="59">
        <f t="shared" si="62"/>
        <v>-1.8248507346180075E-2</v>
      </c>
      <c r="Y593" s="59">
        <f t="shared" si="63"/>
        <v>-1.6006825400531086E-2</v>
      </c>
    </row>
    <row r="594" spans="1:25" x14ac:dyDescent="0.3">
      <c r="A594" s="2">
        <v>43277</v>
      </c>
      <c r="B594" s="1">
        <v>46.107500000000002</v>
      </c>
      <c r="C594" s="1">
        <v>1691.09</v>
      </c>
      <c r="D594" s="1">
        <v>199</v>
      </c>
      <c r="E594" s="3">
        <f t="shared" si="58"/>
        <v>1707.5550000000003</v>
      </c>
      <c r="F594" s="4">
        <f t="shared" si="59"/>
        <v>31.130000000000109</v>
      </c>
      <c r="G594" s="4">
        <f t="shared" si="60"/>
        <v>-31.130000000000109</v>
      </c>
      <c r="W594" s="59">
        <f t="shared" si="61"/>
        <v>1.2329670651977202E-2</v>
      </c>
      <c r="X594" s="59">
        <f t="shared" si="62"/>
        <v>1.6659896865438801E-2</v>
      </c>
      <c r="Y594" s="59">
        <f t="shared" si="63"/>
        <v>1.34060437004738E-2</v>
      </c>
    </row>
    <row r="595" spans="1:25" x14ac:dyDescent="0.3">
      <c r="A595" s="2">
        <v>43276</v>
      </c>
      <c r="B595" s="1">
        <v>45.542499999999997</v>
      </c>
      <c r="C595" s="1">
        <v>1663.15</v>
      </c>
      <c r="D595" s="1">
        <v>196.35</v>
      </c>
      <c r="E595" s="3">
        <f t="shared" si="58"/>
        <v>1676.4250000000002</v>
      </c>
      <c r="F595" s="4">
        <f t="shared" si="59"/>
        <v>-31.614999999999782</v>
      </c>
      <c r="G595" s="4">
        <f t="shared" si="60"/>
        <v>31.614999999999782</v>
      </c>
      <c r="W595" s="59">
        <f t="shared" si="61"/>
        <v>-1.4982982077287156E-2</v>
      </c>
      <c r="X595" s="59">
        <f t="shared" si="62"/>
        <v>-3.1090280300250937E-2</v>
      </c>
      <c r="Y595" s="59">
        <f t="shared" si="63"/>
        <v>-2.7080958602670811E-2</v>
      </c>
    </row>
    <row r="596" spans="1:25" x14ac:dyDescent="0.3">
      <c r="A596" s="2">
        <v>43273</v>
      </c>
      <c r="B596" s="1">
        <v>46.23</v>
      </c>
      <c r="C596" s="1">
        <v>1715.67</v>
      </c>
      <c r="D596" s="1">
        <v>201.74</v>
      </c>
      <c r="E596" s="3">
        <f t="shared" si="58"/>
        <v>1708.04</v>
      </c>
      <c r="F596" s="4">
        <f t="shared" si="59"/>
        <v>-40.650000000000546</v>
      </c>
      <c r="G596" s="4">
        <f t="shared" si="60"/>
        <v>40.650000000000546</v>
      </c>
      <c r="W596" s="59">
        <f t="shared" si="61"/>
        <v>-2.9159262520553919E-3</v>
      </c>
      <c r="X596" s="59">
        <f t="shared" si="62"/>
        <v>-8.444893174660113E-3</v>
      </c>
      <c r="Y596" s="59">
        <f t="shared" si="63"/>
        <v>1.1903582399516379E-3</v>
      </c>
    </row>
    <row r="597" spans="1:25" x14ac:dyDescent="0.3">
      <c r="A597" s="2">
        <v>43272</v>
      </c>
      <c r="B597" s="1">
        <v>46.365000000000002</v>
      </c>
      <c r="C597" s="1">
        <v>1730.22</v>
      </c>
      <c r="D597" s="1">
        <v>201.5</v>
      </c>
      <c r="E597" s="3">
        <f t="shared" si="58"/>
        <v>1748.6900000000005</v>
      </c>
      <c r="F597" s="4">
        <f t="shared" si="59"/>
        <v>-42.719999999999345</v>
      </c>
      <c r="G597" s="4">
        <f t="shared" si="60"/>
        <v>42.719999999999345</v>
      </c>
      <c r="W597" s="59">
        <f t="shared" si="61"/>
        <v>-5.5920137117902845E-3</v>
      </c>
      <c r="X597" s="59">
        <f t="shared" si="62"/>
        <v>-1.14129331216431E-2</v>
      </c>
      <c r="Y597" s="59">
        <f t="shared" si="63"/>
        <v>-2.4783160144670898E-3</v>
      </c>
    </row>
    <row r="598" spans="1:25" x14ac:dyDescent="0.3">
      <c r="A598" s="2">
        <v>43271</v>
      </c>
      <c r="B598" s="1">
        <v>46.625</v>
      </c>
      <c r="C598" s="1">
        <v>1750.08</v>
      </c>
      <c r="D598" s="1">
        <v>202</v>
      </c>
      <c r="E598" s="3">
        <f t="shared" si="58"/>
        <v>1791.4099999999999</v>
      </c>
      <c r="F598" s="4">
        <f t="shared" si="59"/>
        <v>-49.474999999999454</v>
      </c>
      <c r="G598" s="4">
        <f t="shared" si="60"/>
        <v>49.474999999999454</v>
      </c>
      <c r="W598" s="59">
        <f t="shared" si="61"/>
        <v>4.3526224713660447E-3</v>
      </c>
      <c r="X598" s="59">
        <f t="shared" si="62"/>
        <v>8.7808969701318428E-3</v>
      </c>
      <c r="Y598" s="59">
        <f t="shared" si="63"/>
        <v>2.2579747253309624E-2</v>
      </c>
    </row>
    <row r="599" spans="1:25" x14ac:dyDescent="0.3">
      <c r="A599" s="2">
        <v>43270</v>
      </c>
      <c r="B599" s="1">
        <v>46.422499999999999</v>
      </c>
      <c r="C599" s="1">
        <v>1734.78</v>
      </c>
      <c r="D599" s="1">
        <v>197.49</v>
      </c>
      <c r="E599" s="3">
        <f t="shared" si="58"/>
        <v>1840.8849999999993</v>
      </c>
      <c r="F599" s="4">
        <f t="shared" si="59"/>
        <v>0.25499999999919964</v>
      </c>
      <c r="G599" s="4">
        <f t="shared" si="60"/>
        <v>-0.25499999999919964</v>
      </c>
      <c r="W599" s="59">
        <f t="shared" si="61"/>
        <v>-1.6291789980682755E-2</v>
      </c>
      <c r="X599" s="59">
        <f t="shared" si="62"/>
        <v>6.3552491288265938E-3</v>
      </c>
      <c r="Y599" s="59">
        <f t="shared" si="63"/>
        <v>-4.1435127498433873E-3</v>
      </c>
    </row>
    <row r="600" spans="1:25" x14ac:dyDescent="0.3">
      <c r="A600" s="2">
        <v>43269</v>
      </c>
      <c r="B600" s="1">
        <v>47.185000000000002</v>
      </c>
      <c r="C600" s="1">
        <v>1723.79</v>
      </c>
      <c r="D600" s="1">
        <v>198.31</v>
      </c>
      <c r="E600" s="3">
        <f t="shared" si="58"/>
        <v>1840.63</v>
      </c>
      <c r="F600" s="4">
        <f t="shared" si="59"/>
        <v>-34.8100000000004</v>
      </c>
      <c r="G600" s="4">
        <f t="shared" si="60"/>
        <v>34.8100000000004</v>
      </c>
      <c r="W600" s="59">
        <f t="shared" si="61"/>
        <v>-5.296890848990127E-4</v>
      </c>
      <c r="X600" s="59">
        <f t="shared" si="62"/>
        <v>4.5468366818452385E-3</v>
      </c>
      <c r="Y600" s="59">
        <f t="shared" si="63"/>
        <v>1.2482402785898225E-2</v>
      </c>
    </row>
    <row r="601" spans="1:25" x14ac:dyDescent="0.3">
      <c r="A601" s="2">
        <v>43266</v>
      </c>
      <c r="B601" s="1">
        <v>47.21</v>
      </c>
      <c r="C601" s="1">
        <v>1715.97</v>
      </c>
      <c r="D601" s="1">
        <v>195.85</v>
      </c>
      <c r="E601" s="3">
        <f t="shared" si="58"/>
        <v>1875.4400000000005</v>
      </c>
      <c r="F601" s="4">
        <f t="shared" si="59"/>
        <v>-21.079999999999018</v>
      </c>
      <c r="G601" s="4">
        <f t="shared" si="60"/>
        <v>21.079999999999018</v>
      </c>
      <c r="W601" s="59">
        <f t="shared" si="61"/>
        <v>-1.0325663336100193E-2</v>
      </c>
      <c r="X601" s="59">
        <f t="shared" si="62"/>
        <v>-4.5874440520884754E-3</v>
      </c>
      <c r="Y601" s="59">
        <f t="shared" si="63"/>
        <v>-4.889736223505658E-3</v>
      </c>
    </row>
    <row r="602" spans="1:25" x14ac:dyDescent="0.3">
      <c r="A602" s="2">
        <v>43265</v>
      </c>
      <c r="B602" s="1">
        <v>47.7</v>
      </c>
      <c r="C602" s="1">
        <v>1723.86</v>
      </c>
      <c r="D602" s="1">
        <v>196.81</v>
      </c>
      <c r="E602" s="3">
        <f t="shared" si="58"/>
        <v>1896.5199999999995</v>
      </c>
      <c r="F602" s="4">
        <f t="shared" si="59"/>
        <v>-48.75</v>
      </c>
      <c r="G602" s="4">
        <f t="shared" si="60"/>
        <v>48.75</v>
      </c>
      <c r="W602" s="59">
        <f t="shared" si="61"/>
        <v>5.2424640781277912E-4</v>
      </c>
      <c r="X602" s="59">
        <f t="shared" si="62"/>
        <v>1.1082966520354226E-2</v>
      </c>
      <c r="Y602" s="59">
        <f t="shared" si="63"/>
        <v>2.2610284402421077E-2</v>
      </c>
    </row>
    <row r="603" spans="1:25" x14ac:dyDescent="0.3">
      <c r="A603" s="2">
        <v>43264</v>
      </c>
      <c r="B603" s="1">
        <v>47.674999999999997</v>
      </c>
      <c r="C603" s="1">
        <v>1704.86</v>
      </c>
      <c r="D603" s="1">
        <v>192.41</v>
      </c>
      <c r="E603" s="3">
        <f t="shared" si="58"/>
        <v>1945.2699999999995</v>
      </c>
      <c r="F603" s="4">
        <f t="shared" si="59"/>
        <v>-7.7300000000004729</v>
      </c>
      <c r="G603" s="4">
        <f t="shared" si="60"/>
        <v>7.7300000000004729</v>
      </c>
      <c r="W603" s="59">
        <f t="shared" si="61"/>
        <v>-8.2511304193866337E-3</v>
      </c>
      <c r="X603" s="59">
        <f t="shared" si="62"/>
        <v>3.5903094439849034E-3</v>
      </c>
      <c r="Y603" s="59">
        <f t="shared" si="63"/>
        <v>5.1973701318747954E-5</v>
      </c>
    </row>
    <row r="604" spans="1:25" x14ac:dyDescent="0.3">
      <c r="A604" s="2">
        <v>43263</v>
      </c>
      <c r="B604" s="1">
        <v>48.07</v>
      </c>
      <c r="C604" s="1">
        <v>1698.75</v>
      </c>
      <c r="D604" s="1">
        <v>192.4</v>
      </c>
      <c r="E604" s="3">
        <f t="shared" si="58"/>
        <v>1953</v>
      </c>
      <c r="F604" s="4">
        <f t="shared" si="59"/>
        <v>15.184999999999945</v>
      </c>
      <c r="G604" s="4">
        <f t="shared" si="60"/>
        <v>-15.184999999999945</v>
      </c>
      <c r="W604" s="59">
        <f t="shared" si="61"/>
        <v>5.4757509508770764E-3</v>
      </c>
      <c r="X604" s="59">
        <f t="shared" si="62"/>
        <v>5.6850032239687421E-3</v>
      </c>
      <c r="Y604" s="59">
        <f t="shared" si="63"/>
        <v>4.4798741381330007E-3</v>
      </c>
    </row>
    <row r="605" spans="1:25" x14ac:dyDescent="0.3">
      <c r="A605" s="2">
        <v>43262</v>
      </c>
      <c r="B605" s="1">
        <v>47.807499999999997</v>
      </c>
      <c r="C605" s="1">
        <v>1689.12</v>
      </c>
      <c r="D605" s="1">
        <v>191.54</v>
      </c>
      <c r="E605" s="3">
        <f t="shared" si="58"/>
        <v>1937.8150000000001</v>
      </c>
      <c r="F605" s="4">
        <f t="shared" si="59"/>
        <v>-44.414999999999509</v>
      </c>
      <c r="G605" s="4">
        <f t="shared" si="60"/>
        <v>44.414999999999509</v>
      </c>
      <c r="W605" s="59">
        <f t="shared" si="61"/>
        <v>-2.4547579767159014E-3</v>
      </c>
      <c r="X605" s="59">
        <f t="shared" si="62"/>
        <v>3.0417056990242378E-3</v>
      </c>
      <c r="Y605" s="59">
        <f t="shared" si="63"/>
        <v>1.2820688429061469E-2</v>
      </c>
    </row>
    <row r="606" spans="1:25" x14ac:dyDescent="0.3">
      <c r="A606" s="2">
        <v>43259</v>
      </c>
      <c r="B606" s="1">
        <v>47.924999999999997</v>
      </c>
      <c r="C606" s="1">
        <v>1683.99</v>
      </c>
      <c r="D606" s="1">
        <v>189.1</v>
      </c>
      <c r="E606" s="3">
        <f t="shared" si="58"/>
        <v>1982.2299999999996</v>
      </c>
      <c r="F606" s="4">
        <f t="shared" si="59"/>
        <v>-51.020000000000437</v>
      </c>
      <c r="G606" s="4">
        <f t="shared" si="60"/>
        <v>51.020000000000437</v>
      </c>
      <c r="W606" s="59">
        <f t="shared" si="61"/>
        <v>-9.139122702802217E-3</v>
      </c>
      <c r="X606" s="59">
        <f t="shared" si="62"/>
        <v>-3.1482643863221522E-3</v>
      </c>
      <c r="Y606" s="59">
        <f t="shared" si="63"/>
        <v>4.8770240857921527E-3</v>
      </c>
    </row>
    <row r="607" spans="1:25" x14ac:dyDescent="0.3">
      <c r="A607" s="2">
        <v>43258</v>
      </c>
      <c r="B607" s="1">
        <v>48.365000000000002</v>
      </c>
      <c r="C607" s="1">
        <v>1689.3</v>
      </c>
      <c r="D607" s="1">
        <v>188.18</v>
      </c>
      <c r="E607" s="3">
        <f t="shared" si="58"/>
        <v>2033.25</v>
      </c>
      <c r="F607" s="4">
        <f t="shared" si="59"/>
        <v>43.800000000000182</v>
      </c>
      <c r="G607" s="4">
        <f t="shared" si="60"/>
        <v>-43.800000000000182</v>
      </c>
      <c r="W607" s="59">
        <f t="shared" si="61"/>
        <v>-2.6842882109956376E-3</v>
      </c>
      <c r="X607" s="59">
        <f t="shared" si="62"/>
        <v>-3.8108788975064574E-3</v>
      </c>
      <c r="Y607" s="59">
        <f t="shared" si="63"/>
        <v>-1.6652998671401607E-2</v>
      </c>
    </row>
    <row r="608" spans="1:25" x14ac:dyDescent="0.3">
      <c r="A608" s="2">
        <v>43257</v>
      </c>
      <c r="B608" s="1">
        <v>48.494999999999997</v>
      </c>
      <c r="C608" s="1">
        <v>1695.75</v>
      </c>
      <c r="D608" s="1">
        <v>191.34</v>
      </c>
      <c r="E608" s="3">
        <f t="shared" si="58"/>
        <v>1989.4499999999998</v>
      </c>
      <c r="F608" s="4">
        <f t="shared" si="59"/>
        <v>39.175000000000182</v>
      </c>
      <c r="G608" s="4">
        <f t="shared" si="60"/>
        <v>-39.175000000000182</v>
      </c>
      <c r="W608" s="59">
        <f t="shared" si="61"/>
        <v>3.4599430317961252E-3</v>
      </c>
      <c r="X608" s="59">
        <f t="shared" si="62"/>
        <v>-3.5376315925669821E-4</v>
      </c>
      <c r="Y608" s="59">
        <f t="shared" si="63"/>
        <v>-8.3273094923862079E-3</v>
      </c>
    </row>
    <row r="609" spans="1:25" x14ac:dyDescent="0.3">
      <c r="A609" s="2">
        <v>43256</v>
      </c>
      <c r="B609" s="1">
        <v>48.327500000000001</v>
      </c>
      <c r="C609" s="1">
        <v>1696.35</v>
      </c>
      <c r="D609" s="1">
        <v>192.94</v>
      </c>
      <c r="E609" s="3">
        <f t="shared" si="58"/>
        <v>1950.2749999999996</v>
      </c>
      <c r="F609" s="4">
        <f t="shared" si="59"/>
        <v>87.459999999999582</v>
      </c>
      <c r="G609" s="4">
        <f t="shared" si="60"/>
        <v>-87.459999999999582</v>
      </c>
      <c r="W609" s="59">
        <f t="shared" si="61"/>
        <v>7.6855547853539579E-3</v>
      </c>
      <c r="X609" s="59">
        <f t="shared" si="62"/>
        <v>1.8491611555601372E-2</v>
      </c>
      <c r="Y609" s="59">
        <f t="shared" si="63"/>
        <v>-1.7606550040426621E-3</v>
      </c>
    </row>
    <row r="610" spans="1:25" x14ac:dyDescent="0.3">
      <c r="A610" s="2">
        <v>43255</v>
      </c>
      <c r="B610" s="1">
        <v>47.957500000000003</v>
      </c>
      <c r="C610" s="1">
        <v>1665.27</v>
      </c>
      <c r="D610" s="1">
        <v>193.28</v>
      </c>
      <c r="E610" s="3">
        <f t="shared" si="58"/>
        <v>1862.8150000000001</v>
      </c>
      <c r="F610" s="4">
        <f t="shared" si="59"/>
        <v>81.535000000000309</v>
      </c>
      <c r="G610" s="4">
        <f t="shared" si="60"/>
        <v>-81.535000000000309</v>
      </c>
      <c r="W610" s="59">
        <f t="shared" si="61"/>
        <v>8.323130205774739E-3</v>
      </c>
      <c r="X610" s="59">
        <f t="shared" si="62"/>
        <v>1.4352446828953083E-2</v>
      </c>
      <c r="Y610" s="59">
        <f t="shared" si="63"/>
        <v>-3.666696596564596E-3</v>
      </c>
    </row>
    <row r="611" spans="1:25" x14ac:dyDescent="0.3">
      <c r="A611" s="2">
        <v>43252</v>
      </c>
      <c r="B611" s="1">
        <v>47.56</v>
      </c>
      <c r="C611" s="1">
        <v>1641.54</v>
      </c>
      <c r="D611" s="1">
        <v>193.99</v>
      </c>
      <c r="E611" s="3">
        <f t="shared" si="58"/>
        <v>1781.2799999999997</v>
      </c>
      <c r="F611" s="4">
        <f t="shared" si="59"/>
        <v>21.764999999999873</v>
      </c>
      <c r="G611" s="4">
        <f t="shared" si="60"/>
        <v>-21.764999999999873</v>
      </c>
      <c r="W611" s="59">
        <f t="shared" si="61"/>
        <v>1.7873245008307968E-2</v>
      </c>
      <c r="X611" s="59">
        <f t="shared" si="62"/>
        <v>7.2879668131898808E-3</v>
      </c>
      <c r="Y611" s="59">
        <f t="shared" si="63"/>
        <v>1.1457729617479574E-2</v>
      </c>
    </row>
    <row r="612" spans="1:25" x14ac:dyDescent="0.3">
      <c r="A612" s="2">
        <v>43251</v>
      </c>
      <c r="B612" s="1">
        <v>46.717500000000001</v>
      </c>
      <c r="C612" s="1">
        <v>1629.62</v>
      </c>
      <c r="D612" s="1">
        <v>191.78</v>
      </c>
      <c r="E612" s="3">
        <f t="shared" si="58"/>
        <v>1759.5149999999999</v>
      </c>
      <c r="F612" s="4">
        <f t="shared" si="59"/>
        <v>-80.615000000001146</v>
      </c>
      <c r="G612" s="4">
        <f t="shared" si="60"/>
        <v>80.615000000001146</v>
      </c>
      <c r="W612" s="59">
        <f t="shared" si="61"/>
        <v>-3.3656574763016871E-3</v>
      </c>
      <c r="X612" s="59">
        <f t="shared" si="62"/>
        <v>2.9067376227832555E-3</v>
      </c>
      <c r="Y612" s="59">
        <f t="shared" si="63"/>
        <v>2.166378042235392E-2</v>
      </c>
    </row>
    <row r="613" spans="1:25" x14ac:dyDescent="0.3">
      <c r="A613" s="2">
        <v>43250</v>
      </c>
      <c r="B613" s="1">
        <v>46.875</v>
      </c>
      <c r="C613" s="1">
        <v>1624.89</v>
      </c>
      <c r="D613" s="1">
        <v>187.67</v>
      </c>
      <c r="E613" s="3">
        <f t="shared" si="58"/>
        <v>1840.130000000001</v>
      </c>
      <c r="F613" s="4">
        <f t="shared" si="59"/>
        <v>-19.559999999998581</v>
      </c>
      <c r="G613" s="4">
        <f t="shared" si="60"/>
        <v>19.559999999998581</v>
      </c>
      <c r="W613" s="59">
        <f t="shared" si="61"/>
        <v>-2.1310610089541738E-3</v>
      </c>
      <c r="X613" s="59">
        <f t="shared" si="62"/>
        <v>7.4249204519640311E-3</v>
      </c>
      <c r="Y613" s="59">
        <f t="shared" si="63"/>
        <v>1.0337254955318856E-2</v>
      </c>
    </row>
    <row r="614" spans="1:25" x14ac:dyDescent="0.3">
      <c r="A614" s="2">
        <v>43249</v>
      </c>
      <c r="B614" s="1">
        <v>46.975000000000001</v>
      </c>
      <c r="C614" s="1">
        <v>1612.87</v>
      </c>
      <c r="D614" s="1">
        <v>185.74</v>
      </c>
      <c r="E614" s="3">
        <f t="shared" si="58"/>
        <v>1859.6899999999996</v>
      </c>
      <c r="F614" s="4">
        <f t="shared" si="59"/>
        <v>-19.460000000000946</v>
      </c>
      <c r="G614" s="4">
        <f t="shared" si="60"/>
        <v>19.460000000000946</v>
      </c>
      <c r="W614" s="59">
        <f t="shared" si="61"/>
        <v>-3.6124136181116366E-3</v>
      </c>
      <c r="X614" s="59">
        <f t="shared" si="62"/>
        <v>1.6878583724225255E-3</v>
      </c>
      <c r="Y614" s="59">
        <f t="shared" si="63"/>
        <v>4.4245472278376385E-3</v>
      </c>
    </row>
    <row r="615" spans="1:25" x14ac:dyDescent="0.3">
      <c r="A615" s="2">
        <v>43248</v>
      </c>
      <c r="B615" s="1">
        <v>47.145000000000003</v>
      </c>
      <c r="C615" s="1">
        <v>1610.15</v>
      </c>
      <c r="D615" s="1">
        <v>184.92</v>
      </c>
      <c r="E615" s="3">
        <f t="shared" si="58"/>
        <v>1879.1500000000005</v>
      </c>
      <c r="F615" s="4">
        <f t="shared" si="59"/>
        <v>0</v>
      </c>
      <c r="G615" s="4">
        <f t="shared" si="60"/>
        <v>0</v>
      </c>
      <c r="W615" s="59">
        <f t="shared" si="61"/>
        <v>0</v>
      </c>
      <c r="X615" s="59">
        <f t="shared" si="62"/>
        <v>0</v>
      </c>
      <c r="Y615" s="59">
        <f t="shared" si="63"/>
        <v>0</v>
      </c>
    </row>
    <row r="616" spans="1:25" x14ac:dyDescent="0.3">
      <c r="A616" s="2">
        <v>43245</v>
      </c>
      <c r="B616" s="1">
        <v>47.145000000000003</v>
      </c>
      <c r="C616" s="1">
        <v>1610.15</v>
      </c>
      <c r="D616" s="1">
        <v>184.92</v>
      </c>
      <c r="E616" s="3">
        <f t="shared" si="58"/>
        <v>1879.1500000000005</v>
      </c>
      <c r="F616" s="4">
        <f t="shared" si="59"/>
        <v>39.735000000001492</v>
      </c>
      <c r="G616" s="4">
        <f t="shared" si="60"/>
        <v>-39.735000000001492</v>
      </c>
      <c r="W616" s="59">
        <f t="shared" si="61"/>
        <v>2.2828029980850621E-3</v>
      </c>
      <c r="X616" s="59">
        <f t="shared" si="62"/>
        <v>4.406801562132379E-3</v>
      </c>
      <c r="Y616" s="59">
        <f t="shared" si="63"/>
        <v>-5.4469596719467616E-3</v>
      </c>
    </row>
    <row r="617" spans="1:25" x14ac:dyDescent="0.3">
      <c r="A617" s="2">
        <v>43244</v>
      </c>
      <c r="B617" s="1">
        <v>47.037500000000001</v>
      </c>
      <c r="C617" s="1">
        <v>1603.07</v>
      </c>
      <c r="D617" s="1">
        <v>185.93</v>
      </c>
      <c r="E617" s="3">
        <f t="shared" si="58"/>
        <v>1839.4149999999991</v>
      </c>
      <c r="F617" s="4">
        <f t="shared" si="59"/>
        <v>19.194999999999709</v>
      </c>
      <c r="G617" s="4">
        <f t="shared" si="60"/>
        <v>-19.194999999999709</v>
      </c>
      <c r="W617" s="59">
        <f t="shared" si="61"/>
        <v>-1.1155083359075978E-3</v>
      </c>
      <c r="X617" s="59">
        <f t="shared" si="62"/>
        <v>7.5508673043771408E-4</v>
      </c>
      <c r="Y617" s="59">
        <f t="shared" si="63"/>
        <v>-5.2034556695457253E-3</v>
      </c>
    </row>
    <row r="618" spans="1:25" x14ac:dyDescent="0.3">
      <c r="A618" s="2">
        <v>43243</v>
      </c>
      <c r="B618" s="1">
        <v>47.09</v>
      </c>
      <c r="C618" s="1">
        <v>1601.86</v>
      </c>
      <c r="D618" s="1">
        <v>186.9</v>
      </c>
      <c r="E618" s="3">
        <f t="shared" si="58"/>
        <v>1820.2199999999993</v>
      </c>
      <c r="F618" s="4">
        <f t="shared" si="59"/>
        <v>-6.0800000000008367</v>
      </c>
      <c r="G618" s="4">
        <f t="shared" si="60"/>
        <v>6.0800000000008367</v>
      </c>
      <c r="W618" s="59">
        <f t="shared" si="61"/>
        <v>6.391159377338332E-3</v>
      </c>
      <c r="X618" s="59">
        <f t="shared" si="62"/>
        <v>1.2854923411134526E-2</v>
      </c>
      <c r="Y618" s="59">
        <f t="shared" si="63"/>
        <v>1.672550453993053E-2</v>
      </c>
    </row>
    <row r="619" spans="1:25" x14ac:dyDescent="0.3">
      <c r="A619" s="2">
        <v>43242</v>
      </c>
      <c r="B619" s="1">
        <v>46.79</v>
      </c>
      <c r="C619" s="1">
        <v>1581.4</v>
      </c>
      <c r="D619" s="1">
        <v>183.8</v>
      </c>
      <c r="E619" s="3">
        <f t="shared" si="58"/>
        <v>1826.3000000000002</v>
      </c>
      <c r="F619" s="4">
        <f t="shared" si="59"/>
        <v>-0.19499999999970896</v>
      </c>
      <c r="G619" s="4">
        <f t="shared" si="60"/>
        <v>0.19499999999970896</v>
      </c>
      <c r="W619" s="59">
        <f t="shared" si="61"/>
        <v>-2.5080725012676785E-3</v>
      </c>
      <c r="X619" s="59">
        <f t="shared" si="62"/>
        <v>-2.5640553888278197E-3</v>
      </c>
      <c r="Y619" s="59">
        <f t="shared" si="63"/>
        <v>-3.7470515480872782E-3</v>
      </c>
    </row>
    <row r="620" spans="1:25" x14ac:dyDescent="0.3">
      <c r="A620" s="2">
        <v>43241</v>
      </c>
      <c r="B620" s="1">
        <v>46.907499999999999</v>
      </c>
      <c r="C620" s="1">
        <v>1585.46</v>
      </c>
      <c r="D620" s="1">
        <v>184.49</v>
      </c>
      <c r="E620" s="3">
        <f t="shared" si="58"/>
        <v>1826.4949999999999</v>
      </c>
      <c r="F620" s="4">
        <f t="shared" si="59"/>
        <v>2.4800000000004729</v>
      </c>
      <c r="G620" s="4">
        <f t="shared" si="60"/>
        <v>-2.4800000000004729</v>
      </c>
      <c r="W620" s="59">
        <f t="shared" si="61"/>
        <v>7.0599854670207601E-3</v>
      </c>
      <c r="X620" s="59">
        <f t="shared" si="62"/>
        <v>7.0193937872609653E-3</v>
      </c>
      <c r="Y620" s="59">
        <f t="shared" si="63"/>
        <v>9.8592731528757954E-3</v>
      </c>
    </row>
    <row r="621" spans="1:25" x14ac:dyDescent="0.3">
      <c r="A621" s="2">
        <v>43238</v>
      </c>
      <c r="B621" s="1">
        <v>46.577500000000001</v>
      </c>
      <c r="C621" s="1">
        <v>1574.37</v>
      </c>
      <c r="D621" s="1">
        <v>182.68</v>
      </c>
      <c r="E621" s="3">
        <f t="shared" si="58"/>
        <v>1824.0149999999994</v>
      </c>
      <c r="F621" s="4">
        <f t="shared" si="59"/>
        <v>-1.6800000000012005</v>
      </c>
      <c r="G621" s="4">
        <f t="shared" si="60"/>
        <v>1.6800000000012005</v>
      </c>
      <c r="W621" s="59">
        <f t="shared" si="61"/>
        <v>-3.6431864566065044E-3</v>
      </c>
      <c r="X621" s="59">
        <f t="shared" si="62"/>
        <v>-4.6829588802008576E-3</v>
      </c>
      <c r="Y621" s="59">
        <f t="shared" si="63"/>
        <v>-5.8945700640444876E-3</v>
      </c>
    </row>
    <row r="622" spans="1:25" x14ac:dyDescent="0.3">
      <c r="A622" s="2">
        <v>43237</v>
      </c>
      <c r="B622" s="1">
        <v>46.747500000000002</v>
      </c>
      <c r="C622" s="1">
        <v>1581.76</v>
      </c>
      <c r="D622" s="1">
        <v>183.76</v>
      </c>
      <c r="E622" s="3">
        <f t="shared" si="58"/>
        <v>1825.6950000000006</v>
      </c>
      <c r="F622" s="4">
        <f t="shared" si="59"/>
        <v>-37.114999999998872</v>
      </c>
      <c r="G622" s="4">
        <f t="shared" si="60"/>
        <v>37.114999999998872</v>
      </c>
      <c r="W622" s="59">
        <f t="shared" si="61"/>
        <v>-6.3438120897507128E-3</v>
      </c>
      <c r="X622" s="59">
        <f t="shared" si="62"/>
        <v>-3.483708367620388E-3</v>
      </c>
      <c r="Y622" s="59">
        <f t="shared" si="63"/>
        <v>3.0521061408129366E-3</v>
      </c>
    </row>
    <row r="623" spans="1:25" x14ac:dyDescent="0.3">
      <c r="A623" s="2">
        <v>43236</v>
      </c>
      <c r="B623" s="1">
        <v>47.045000000000002</v>
      </c>
      <c r="C623" s="1">
        <v>1587.28</v>
      </c>
      <c r="D623" s="1">
        <v>183.2</v>
      </c>
      <c r="E623" s="3">
        <f t="shared" si="58"/>
        <v>1862.8099999999995</v>
      </c>
      <c r="F623" s="4">
        <f t="shared" si="59"/>
        <v>66.469999999999345</v>
      </c>
      <c r="G623" s="4">
        <f t="shared" si="60"/>
        <v>-66.469999999999345</v>
      </c>
      <c r="W623" s="59">
        <f t="shared" si="61"/>
        <v>9.2894800740795213E-3</v>
      </c>
      <c r="X623" s="59">
        <f t="shared" si="62"/>
        <v>7.0557288350758052E-3</v>
      </c>
      <c r="Y623" s="59">
        <f t="shared" si="63"/>
        <v>-6.0949252674965875E-3</v>
      </c>
    </row>
    <row r="624" spans="1:25" x14ac:dyDescent="0.3">
      <c r="A624" s="2">
        <v>43235</v>
      </c>
      <c r="B624" s="1">
        <v>46.61</v>
      </c>
      <c r="C624" s="1">
        <v>1576.12</v>
      </c>
      <c r="D624" s="1">
        <v>184.32</v>
      </c>
      <c r="E624" s="3">
        <f t="shared" si="58"/>
        <v>1796.3400000000001</v>
      </c>
      <c r="F624" s="4">
        <f t="shared" si="59"/>
        <v>-25.815000000000055</v>
      </c>
      <c r="G624" s="4">
        <f t="shared" si="60"/>
        <v>25.815000000000055</v>
      </c>
      <c r="W624" s="59">
        <f t="shared" si="61"/>
        <v>-9.1300455349060949E-3</v>
      </c>
      <c r="X624" s="59">
        <f t="shared" si="62"/>
        <v>-1.599953567061611E-2</v>
      </c>
      <c r="Y624" s="59">
        <f t="shared" si="63"/>
        <v>-1.2508250205648105E-2</v>
      </c>
    </row>
    <row r="625" spans="1:25" x14ac:dyDescent="0.3">
      <c r="A625" s="2">
        <v>43234</v>
      </c>
      <c r="B625" s="1">
        <v>47.037500000000001</v>
      </c>
      <c r="C625" s="1">
        <v>1601.54</v>
      </c>
      <c r="D625" s="1">
        <v>186.64</v>
      </c>
      <c r="E625" s="3">
        <f t="shared" si="58"/>
        <v>1822.1550000000002</v>
      </c>
      <c r="F625" s="4">
        <f t="shared" si="59"/>
        <v>-1.239999999999327</v>
      </c>
      <c r="G625" s="4">
        <f t="shared" si="60"/>
        <v>1.239999999999327</v>
      </c>
      <c r="W625" s="59">
        <f t="shared" si="61"/>
        <v>-2.3358294848274748E-3</v>
      </c>
      <c r="X625" s="59">
        <f t="shared" si="62"/>
        <v>-8.5506098298972005E-4</v>
      </c>
      <c r="Y625" s="59">
        <f t="shared" si="63"/>
        <v>-1.873511775694534E-3</v>
      </c>
    </row>
    <row r="626" spans="1:25" x14ac:dyDescent="0.3">
      <c r="A626" s="2">
        <v>43231</v>
      </c>
      <c r="B626" s="1">
        <v>47.147500000000001</v>
      </c>
      <c r="C626" s="1">
        <v>1602.91</v>
      </c>
      <c r="D626" s="1">
        <v>186.99</v>
      </c>
      <c r="E626" s="3">
        <f t="shared" si="58"/>
        <v>1823.3949999999995</v>
      </c>
      <c r="F626" s="4">
        <f t="shared" si="59"/>
        <v>-59.665000000000418</v>
      </c>
      <c r="G626" s="4">
        <f t="shared" si="60"/>
        <v>59.665000000000418</v>
      </c>
      <c r="W626" s="59">
        <f t="shared" si="61"/>
        <v>-7.6592297944467333E-3</v>
      </c>
      <c r="X626" s="59">
        <f t="shared" si="62"/>
        <v>-3.841859774806024E-3</v>
      </c>
      <c r="Y626" s="59">
        <f t="shared" si="63"/>
        <v>7.8385454500825447E-3</v>
      </c>
    </row>
    <row r="627" spans="1:25" x14ac:dyDescent="0.3">
      <c r="A627" s="2">
        <v>43230</v>
      </c>
      <c r="B627" s="1">
        <v>47.51</v>
      </c>
      <c r="C627" s="1">
        <v>1609.08</v>
      </c>
      <c r="D627" s="1">
        <v>185.53</v>
      </c>
      <c r="E627" s="3">
        <f t="shared" si="58"/>
        <v>1883.06</v>
      </c>
      <c r="F627" s="4">
        <f t="shared" si="59"/>
        <v>-21.740000000000236</v>
      </c>
      <c r="G627" s="4">
        <f t="shared" si="60"/>
        <v>21.740000000000236</v>
      </c>
      <c r="W627" s="59">
        <f t="shared" si="61"/>
        <v>1.4202676469313212E-2</v>
      </c>
      <c r="X627" s="59">
        <f t="shared" si="62"/>
        <v>6.714163406393971E-4</v>
      </c>
      <c r="Y627" s="59">
        <f t="shared" si="63"/>
        <v>1.5590092775253564E-2</v>
      </c>
    </row>
    <row r="628" spans="1:25" x14ac:dyDescent="0.3">
      <c r="A628" s="2">
        <v>43229</v>
      </c>
      <c r="B628" s="1">
        <v>46.84</v>
      </c>
      <c r="C628" s="1">
        <v>1608</v>
      </c>
      <c r="D628" s="1">
        <v>182.66</v>
      </c>
      <c r="E628" s="3">
        <f t="shared" si="58"/>
        <v>1904.8000000000002</v>
      </c>
      <c r="F628" s="4">
        <f t="shared" si="59"/>
        <v>-27.205000000000837</v>
      </c>
      <c r="G628" s="4">
        <f t="shared" si="60"/>
        <v>27.205000000000837</v>
      </c>
      <c r="W628" s="59">
        <f t="shared" si="61"/>
        <v>7.0164450567757617E-3</v>
      </c>
      <c r="X628" s="59">
        <f t="shared" si="62"/>
        <v>9.7551384616563711E-3</v>
      </c>
      <c r="Y628" s="59">
        <f t="shared" si="63"/>
        <v>2.0687722698885552E-2</v>
      </c>
    </row>
    <row r="629" spans="1:25" x14ac:dyDescent="0.3">
      <c r="A629" s="2">
        <v>43228</v>
      </c>
      <c r="B629" s="1">
        <v>46.512500000000003</v>
      </c>
      <c r="C629" s="1">
        <v>1592.39</v>
      </c>
      <c r="D629" s="1">
        <v>178.92</v>
      </c>
      <c r="E629" s="3">
        <f t="shared" si="58"/>
        <v>1932.005000000001</v>
      </c>
      <c r="F629" s="4">
        <f t="shared" si="59"/>
        <v>-23.374999999999545</v>
      </c>
      <c r="G629" s="4">
        <f t="shared" si="60"/>
        <v>23.374999999999545</v>
      </c>
      <c r="W629" s="59">
        <f t="shared" si="61"/>
        <v>4.7951386295617075E-3</v>
      </c>
      <c r="X629" s="59">
        <f t="shared" si="62"/>
        <v>-4.8550931227155682E-3</v>
      </c>
      <c r="Y629" s="59">
        <f t="shared" si="63"/>
        <v>5.323781802753105E-3</v>
      </c>
    </row>
    <row r="630" spans="1:25" x14ac:dyDescent="0.3">
      <c r="A630" s="2">
        <v>43227</v>
      </c>
      <c r="B630" s="1">
        <v>46.29</v>
      </c>
      <c r="C630" s="1">
        <v>1600.14</v>
      </c>
      <c r="D630" s="1">
        <v>177.97</v>
      </c>
      <c r="E630" s="3">
        <f t="shared" si="58"/>
        <v>1955.3800000000006</v>
      </c>
      <c r="F630" s="4">
        <f t="shared" si="59"/>
        <v>27.805000000001201</v>
      </c>
      <c r="G630" s="4">
        <f t="shared" si="60"/>
        <v>-27.805000000001201</v>
      </c>
      <c r="W630" s="59">
        <f t="shared" si="61"/>
        <v>7.2088986682893675E-3</v>
      </c>
      <c r="X630" s="59">
        <f t="shared" si="62"/>
        <v>1.2065193244044451E-2</v>
      </c>
      <c r="Y630" s="59">
        <f t="shared" si="63"/>
        <v>7.6710850536144048E-3</v>
      </c>
    </row>
    <row r="631" spans="1:25" x14ac:dyDescent="0.3">
      <c r="A631" s="2">
        <v>43224</v>
      </c>
      <c r="B631" s="1">
        <v>45.957500000000003</v>
      </c>
      <c r="C631" s="1">
        <v>1580.95</v>
      </c>
      <c r="D631" s="1">
        <v>176.61</v>
      </c>
      <c r="E631" s="3">
        <f t="shared" si="58"/>
        <v>1927.5749999999994</v>
      </c>
      <c r="F631" s="4">
        <f t="shared" si="59"/>
        <v>52.699999999999818</v>
      </c>
      <c r="G631" s="4">
        <f t="shared" si="60"/>
        <v>-52.699999999999818</v>
      </c>
      <c r="W631" s="59">
        <f t="shared" si="61"/>
        <v>3.8483347039364256E-2</v>
      </c>
      <c r="X631" s="59">
        <f t="shared" si="62"/>
        <v>5.6295293811927955E-3</v>
      </c>
      <c r="Y631" s="59">
        <f t="shared" si="63"/>
        <v>1.4773676570401238E-2</v>
      </c>
    </row>
    <row r="632" spans="1:25" x14ac:dyDescent="0.3">
      <c r="A632" s="2">
        <v>43223</v>
      </c>
      <c r="B632" s="1">
        <v>44.222499999999997</v>
      </c>
      <c r="C632" s="1">
        <v>1572.075</v>
      </c>
      <c r="D632" s="1">
        <v>174.02</v>
      </c>
      <c r="E632" s="3">
        <f t="shared" si="58"/>
        <v>1874.8749999999995</v>
      </c>
      <c r="F632" s="4">
        <f t="shared" si="59"/>
        <v>49.789999999998599</v>
      </c>
      <c r="G632" s="4">
        <f t="shared" si="60"/>
        <v>-49.789999999998599</v>
      </c>
      <c r="W632" s="59">
        <f t="shared" si="61"/>
        <v>1.8106721407092951E-3</v>
      </c>
      <c r="X632" s="59">
        <f t="shared" si="62"/>
        <v>1.5246258628876185E-3</v>
      </c>
      <c r="Y632" s="59">
        <f t="shared" si="63"/>
        <v>-1.1711408100474356E-2</v>
      </c>
    </row>
    <row r="633" spans="1:25" x14ac:dyDescent="0.3">
      <c r="A633" s="2">
        <v>43222</v>
      </c>
      <c r="B633" s="1">
        <v>44.142499999999998</v>
      </c>
      <c r="C633" s="1">
        <v>1569.68</v>
      </c>
      <c r="D633" s="1">
        <v>176.07</v>
      </c>
      <c r="E633" s="3">
        <f t="shared" si="58"/>
        <v>1825.0850000000009</v>
      </c>
      <c r="F633" s="4">
        <f t="shared" si="59"/>
        <v>24.015000000000782</v>
      </c>
      <c r="G633" s="4">
        <f t="shared" si="60"/>
        <v>-24.015000000000782</v>
      </c>
      <c r="W633" s="59">
        <f t="shared" si="61"/>
        <v>4.3227142410172288E-2</v>
      </c>
      <c r="X633" s="59">
        <f t="shared" si="62"/>
        <v>-7.9824278373587538E-3</v>
      </c>
      <c r="Y633" s="59">
        <f t="shared" si="63"/>
        <v>1.2631265587434526E-2</v>
      </c>
    </row>
    <row r="634" spans="1:25" x14ac:dyDescent="0.3">
      <c r="A634" s="2">
        <v>43221</v>
      </c>
      <c r="B634" s="1">
        <v>42.274999999999999</v>
      </c>
      <c r="C634" s="1">
        <v>1582.26</v>
      </c>
      <c r="D634" s="1">
        <v>173.86</v>
      </c>
      <c r="E634" s="3">
        <f t="shared" si="58"/>
        <v>1801.0700000000002</v>
      </c>
      <c r="F634" s="4">
        <f t="shared" si="59"/>
        <v>43.059999999999945</v>
      </c>
      <c r="G634" s="4">
        <f t="shared" si="60"/>
        <v>-43.059999999999945</v>
      </c>
      <c r="W634" s="59">
        <f t="shared" si="61"/>
        <v>2.297026463149638E-2</v>
      </c>
      <c r="X634" s="59">
        <f t="shared" si="62"/>
        <v>1.0246596595400613E-2</v>
      </c>
      <c r="Y634" s="59">
        <f t="shared" si="63"/>
        <v>1.0755900837465356E-2</v>
      </c>
    </row>
    <row r="635" spans="1:25" x14ac:dyDescent="0.3">
      <c r="A635" s="2">
        <v>43220</v>
      </c>
      <c r="B635" s="1">
        <v>41.314999999999998</v>
      </c>
      <c r="C635" s="1">
        <v>1566.13</v>
      </c>
      <c r="D635" s="1">
        <v>172</v>
      </c>
      <c r="E635" s="3">
        <f t="shared" si="58"/>
        <v>1758.0100000000002</v>
      </c>
      <c r="F635" s="4">
        <f t="shared" si="59"/>
        <v>55.570000000000618</v>
      </c>
      <c r="G635" s="4">
        <f t="shared" si="60"/>
        <v>-55.570000000000618</v>
      </c>
      <c r="W635" s="59">
        <f t="shared" si="61"/>
        <v>1.7950295755478976E-2</v>
      </c>
      <c r="X635" s="59">
        <f t="shared" si="62"/>
        <v>-4.1354101149321185E-3</v>
      </c>
      <c r="Y635" s="59">
        <f t="shared" si="63"/>
        <v>-9.2017200670047733E-3</v>
      </c>
    </row>
    <row r="636" spans="1:25" x14ac:dyDescent="0.3">
      <c r="A636" s="2">
        <v>43217</v>
      </c>
      <c r="B636" s="1">
        <v>40.58</v>
      </c>
      <c r="C636" s="1">
        <v>1572.62</v>
      </c>
      <c r="D636" s="1">
        <v>173.59</v>
      </c>
      <c r="E636" s="3">
        <f t="shared" si="58"/>
        <v>1702.4399999999996</v>
      </c>
      <c r="F636" s="4">
        <f t="shared" si="59"/>
        <v>96.969999999999345</v>
      </c>
      <c r="G636" s="4">
        <f t="shared" si="60"/>
        <v>-96.969999999999345</v>
      </c>
      <c r="W636" s="59">
        <f t="shared" si="61"/>
        <v>-1.1637296763083452E-2</v>
      </c>
      <c r="X636" s="59">
        <f t="shared" si="62"/>
        <v>3.5375690121473721E-2</v>
      </c>
      <c r="Y636" s="59">
        <f t="shared" si="63"/>
        <v>-3.2782200458341534E-3</v>
      </c>
    </row>
    <row r="637" spans="1:25" x14ac:dyDescent="0.3">
      <c r="A637" s="2">
        <v>43216</v>
      </c>
      <c r="B637" s="1">
        <v>41.055</v>
      </c>
      <c r="C637" s="1">
        <v>1517.96</v>
      </c>
      <c r="D637" s="1">
        <v>174.16</v>
      </c>
      <c r="E637" s="3">
        <f t="shared" si="58"/>
        <v>1605.4700000000003</v>
      </c>
      <c r="F637" s="4">
        <f t="shared" si="59"/>
        <v>-166.69499999999971</v>
      </c>
      <c r="G637" s="4">
        <f t="shared" si="60"/>
        <v>166.69499999999971</v>
      </c>
      <c r="W637" s="59">
        <f t="shared" si="61"/>
        <v>3.476991333453069E-3</v>
      </c>
      <c r="X637" s="59">
        <f t="shared" si="62"/>
        <v>3.8814460867135435E-2</v>
      </c>
      <c r="Y637" s="59">
        <f t="shared" si="63"/>
        <v>8.673998107351627E-2</v>
      </c>
    </row>
    <row r="638" spans="1:25" x14ac:dyDescent="0.3">
      <c r="A638" s="2">
        <v>43215</v>
      </c>
      <c r="B638" s="1">
        <v>40.912500000000001</v>
      </c>
      <c r="C638" s="1">
        <v>1460.17</v>
      </c>
      <c r="D638" s="1">
        <v>159.69</v>
      </c>
      <c r="E638" s="3">
        <f t="shared" si="58"/>
        <v>1772.165</v>
      </c>
      <c r="F638" s="4">
        <f t="shared" si="59"/>
        <v>9.0349999999998545</v>
      </c>
      <c r="G638" s="4">
        <f t="shared" si="60"/>
        <v>-9.0349999999998545</v>
      </c>
      <c r="W638" s="59">
        <f t="shared" si="61"/>
        <v>4.3479660646938674E-3</v>
      </c>
      <c r="X638" s="59">
        <f t="shared" si="62"/>
        <v>5.4789642031917987E-5</v>
      </c>
      <c r="Y638" s="59">
        <f t="shared" si="63"/>
        <v>0</v>
      </c>
    </row>
    <row r="639" spans="1:25" x14ac:dyDescent="0.3">
      <c r="A639" s="2">
        <v>43214</v>
      </c>
      <c r="B639" s="1">
        <v>40.734999999999999</v>
      </c>
      <c r="C639" s="1">
        <v>1460.09</v>
      </c>
      <c r="D639" s="1">
        <v>159.69</v>
      </c>
      <c r="E639" s="3">
        <f t="shared" si="58"/>
        <v>1763.13</v>
      </c>
      <c r="F639" s="4">
        <f t="shared" si="59"/>
        <v>-21.289999999999054</v>
      </c>
      <c r="G639" s="4">
        <f t="shared" si="60"/>
        <v>21.289999999999054</v>
      </c>
      <c r="W639" s="59">
        <f t="shared" si="61"/>
        <v>-1.401692764606813E-2</v>
      </c>
      <c r="X639" s="59">
        <f t="shared" si="62"/>
        <v>-3.8803370450378356E-2</v>
      </c>
      <c r="Y639" s="59">
        <f t="shared" si="63"/>
        <v>-3.7789032274748523E-2</v>
      </c>
    </row>
    <row r="640" spans="1:25" x14ac:dyDescent="0.3">
      <c r="A640" s="2">
        <v>43213</v>
      </c>
      <c r="B640" s="1">
        <v>41.31</v>
      </c>
      <c r="C640" s="1">
        <v>1517.86</v>
      </c>
      <c r="D640" s="1">
        <v>165.84</v>
      </c>
      <c r="E640" s="3">
        <f t="shared" si="58"/>
        <v>1784.4199999999992</v>
      </c>
      <c r="F640" s="4">
        <f t="shared" si="59"/>
        <v>-16.460000000000491</v>
      </c>
      <c r="G640" s="4">
        <f t="shared" si="60"/>
        <v>16.460000000000491</v>
      </c>
      <c r="W640" s="59">
        <f t="shared" si="61"/>
        <v>-2.9006546806372331E-3</v>
      </c>
      <c r="X640" s="59">
        <f t="shared" si="62"/>
        <v>-6.3244172910027988E-3</v>
      </c>
      <c r="Y640" s="59">
        <f t="shared" si="63"/>
        <v>-2.6496462569125826E-3</v>
      </c>
    </row>
    <row r="641" spans="1:25" x14ac:dyDescent="0.3">
      <c r="A641" s="2">
        <v>43210</v>
      </c>
      <c r="B641" s="1">
        <v>41.43</v>
      </c>
      <c r="C641" s="1">
        <v>1527.49</v>
      </c>
      <c r="D641" s="1">
        <v>166.28</v>
      </c>
      <c r="E641" s="3">
        <f t="shared" si="58"/>
        <v>1800.8799999999997</v>
      </c>
      <c r="F641" s="4">
        <f t="shared" si="59"/>
        <v>-110.94000000000005</v>
      </c>
      <c r="G641" s="4">
        <f t="shared" si="60"/>
        <v>110.94000000000005</v>
      </c>
      <c r="W641" s="59">
        <f t="shared" si="61"/>
        <v>-4.1835239160754267E-2</v>
      </c>
      <c r="X641" s="59">
        <f t="shared" si="62"/>
        <v>-1.9077222315628885E-2</v>
      </c>
      <c r="Y641" s="59">
        <f t="shared" si="63"/>
        <v>-1.088592603013314E-2</v>
      </c>
    </row>
    <row r="642" spans="1:25" x14ac:dyDescent="0.3">
      <c r="A642" s="2">
        <v>43209</v>
      </c>
      <c r="B642" s="1">
        <v>43.2</v>
      </c>
      <c r="C642" s="1">
        <v>1556.91</v>
      </c>
      <c r="D642" s="1">
        <v>168.1</v>
      </c>
      <c r="E642" s="3">
        <f t="shared" si="58"/>
        <v>1911.8199999999997</v>
      </c>
      <c r="F642" s="4">
        <f t="shared" si="59"/>
        <v>-39.660000000000309</v>
      </c>
      <c r="G642" s="4">
        <f t="shared" si="60"/>
        <v>39.660000000000309</v>
      </c>
      <c r="W642" s="59">
        <f t="shared" si="61"/>
        <v>-2.8749413285985823E-2</v>
      </c>
      <c r="X642" s="59">
        <f t="shared" si="62"/>
        <v>1.8848114493213153E-2</v>
      </c>
      <c r="Y642" s="59">
        <f t="shared" si="63"/>
        <v>1.0404925539858945E-2</v>
      </c>
    </row>
    <row r="643" spans="1:25" x14ac:dyDescent="0.3">
      <c r="A643" s="2">
        <v>43208</v>
      </c>
      <c r="B643" s="1">
        <v>44.46</v>
      </c>
      <c r="C643" s="1">
        <v>1527.84</v>
      </c>
      <c r="D643" s="1">
        <v>166.36</v>
      </c>
      <c r="E643" s="3">
        <f t="shared" si="58"/>
        <v>1951.48</v>
      </c>
      <c r="F643" s="4">
        <f t="shared" si="59"/>
        <v>89.019999999999982</v>
      </c>
      <c r="G643" s="4">
        <f t="shared" si="60"/>
        <v>-89.019999999999982</v>
      </c>
      <c r="W643" s="59">
        <f t="shared" si="61"/>
        <v>-2.2466870829780982E-3</v>
      </c>
      <c r="X643" s="59">
        <f t="shared" si="62"/>
        <v>1.5839785995589231E-2</v>
      </c>
      <c r="Y643" s="59">
        <f t="shared" si="63"/>
        <v>-1.3730739271784522E-2</v>
      </c>
    </row>
    <row r="644" spans="1:25" x14ac:dyDescent="0.3">
      <c r="A644" s="2">
        <v>43207</v>
      </c>
      <c r="B644" s="1">
        <v>44.56</v>
      </c>
      <c r="C644" s="1">
        <v>1503.83</v>
      </c>
      <c r="D644" s="1">
        <v>168.66</v>
      </c>
      <c r="E644" s="3">
        <f t="shared" si="58"/>
        <v>1862.46</v>
      </c>
      <c r="F644" s="4">
        <f t="shared" si="59"/>
        <v>78.3100000000004</v>
      </c>
      <c r="G644" s="4">
        <f t="shared" si="60"/>
        <v>-78.3100000000004</v>
      </c>
      <c r="W644" s="59">
        <f t="shared" si="61"/>
        <v>1.3670212315886717E-2</v>
      </c>
      <c r="X644" s="59">
        <f t="shared" si="62"/>
        <v>4.2330949127846233E-2</v>
      </c>
      <c r="Y644" s="59">
        <f t="shared" si="63"/>
        <v>2.2970214403230778E-2</v>
      </c>
    </row>
    <row r="645" spans="1:25" x14ac:dyDescent="0.3">
      <c r="A645" s="2">
        <v>43206</v>
      </c>
      <c r="B645" s="1">
        <v>43.954999999999998</v>
      </c>
      <c r="C645" s="1">
        <v>1441.5</v>
      </c>
      <c r="D645" s="1">
        <v>164.83</v>
      </c>
      <c r="E645" s="3">
        <f t="shared" si="58"/>
        <v>1784.1499999999996</v>
      </c>
      <c r="F645" s="4">
        <f t="shared" si="59"/>
        <v>28.8449999999998</v>
      </c>
      <c r="G645" s="4">
        <f t="shared" si="60"/>
        <v>-28.8449999999998</v>
      </c>
      <c r="W645" s="59">
        <f t="shared" si="61"/>
        <v>6.2188190720854526E-3</v>
      </c>
      <c r="X645" s="59">
        <f t="shared" si="62"/>
        <v>7.4574988150268324E-3</v>
      </c>
      <c r="Y645" s="59">
        <f t="shared" si="63"/>
        <v>1.8824963810412639E-3</v>
      </c>
    </row>
    <row r="646" spans="1:25" x14ac:dyDescent="0.3">
      <c r="A646" s="2">
        <v>43203</v>
      </c>
      <c r="B646" s="1">
        <v>43.682499999999997</v>
      </c>
      <c r="C646" s="1">
        <v>1430.79</v>
      </c>
      <c r="D646" s="1">
        <v>164.52</v>
      </c>
      <c r="E646" s="3">
        <f t="shared" ref="E646:E709" si="64">50*B646+2*C646-20*D646</f>
        <v>1755.3049999999998</v>
      </c>
      <c r="F646" s="4">
        <f t="shared" ref="F646:F709" si="65">E646-E647</f>
        <v>-41.045000000000073</v>
      </c>
      <c r="G646" s="4">
        <f t="shared" ref="G646:G709" si="66">-F646</f>
        <v>41.045000000000073</v>
      </c>
      <c r="W646" s="59">
        <f t="shared" ref="W646:W709" si="67">LN(B646/B647)</f>
        <v>3.3823519504774724E-3</v>
      </c>
      <c r="X646" s="59">
        <f t="shared" ref="X646:X709" si="68">LN(C646/C647)</f>
        <v>-1.230179894597494E-2</v>
      </c>
      <c r="Y646" s="59">
        <f t="shared" ref="Y646:Y709" si="69">LN(D646/D647)</f>
        <v>3.9587128040905568E-3</v>
      </c>
    </row>
    <row r="647" spans="1:25" x14ac:dyDescent="0.3">
      <c r="A647" s="2">
        <v>43202</v>
      </c>
      <c r="B647" s="1">
        <v>43.534999999999997</v>
      </c>
      <c r="C647" s="1">
        <v>1448.5</v>
      </c>
      <c r="D647" s="1">
        <v>163.87</v>
      </c>
      <c r="E647" s="3">
        <f t="shared" si="64"/>
        <v>1796.35</v>
      </c>
      <c r="F647" s="4">
        <f t="shared" si="65"/>
        <v>113.14999999999918</v>
      </c>
      <c r="G647" s="4">
        <f t="shared" si="66"/>
        <v>-113.14999999999918</v>
      </c>
      <c r="W647" s="59">
        <f t="shared" si="67"/>
        <v>9.8102235215356392E-3</v>
      </c>
      <c r="X647" s="59">
        <f t="shared" si="68"/>
        <v>1.4919161804007526E-2</v>
      </c>
      <c r="Y647" s="59">
        <f t="shared" si="69"/>
        <v>-1.4840212991624755E-2</v>
      </c>
    </row>
    <row r="648" spans="1:25" x14ac:dyDescent="0.3">
      <c r="A648" s="2">
        <v>43201</v>
      </c>
      <c r="B648" s="1">
        <v>43.11</v>
      </c>
      <c r="C648" s="1">
        <v>1427.05</v>
      </c>
      <c r="D648" s="1">
        <v>166.32</v>
      </c>
      <c r="E648" s="3">
        <f t="shared" si="64"/>
        <v>1683.2000000000007</v>
      </c>
      <c r="F648" s="4">
        <f t="shared" si="65"/>
        <v>-54.065000000000055</v>
      </c>
      <c r="G648" s="4">
        <f t="shared" si="66"/>
        <v>54.065000000000055</v>
      </c>
      <c r="W648" s="59">
        <f t="shared" si="67"/>
        <v>-4.6862881910787902E-3</v>
      </c>
      <c r="X648" s="59">
        <f t="shared" si="68"/>
        <v>-6.4052858109566934E-3</v>
      </c>
      <c r="Y648" s="59">
        <f t="shared" si="69"/>
        <v>7.725774786761141E-3</v>
      </c>
    </row>
    <row r="649" spans="1:25" x14ac:dyDescent="0.3">
      <c r="A649" s="2">
        <v>43200</v>
      </c>
      <c r="B649" s="1">
        <v>43.3125</v>
      </c>
      <c r="C649" s="1">
        <v>1436.22</v>
      </c>
      <c r="D649" s="1">
        <v>165.04</v>
      </c>
      <c r="E649" s="3">
        <f t="shared" si="64"/>
        <v>1737.2650000000008</v>
      </c>
      <c r="F649" s="4">
        <f t="shared" si="65"/>
        <v>-41.919999999998709</v>
      </c>
      <c r="G649" s="4">
        <f t="shared" si="66"/>
        <v>41.919999999998709</v>
      </c>
      <c r="W649" s="59">
        <f t="shared" si="67"/>
        <v>1.8643126616808108E-2</v>
      </c>
      <c r="X649" s="59">
        <f t="shared" si="68"/>
        <v>2.1208971460163664E-2</v>
      </c>
      <c r="Y649" s="59">
        <f t="shared" si="69"/>
        <v>4.4035971881033031E-2</v>
      </c>
    </row>
    <row r="650" spans="1:25" x14ac:dyDescent="0.3">
      <c r="A650" s="2">
        <v>43199</v>
      </c>
      <c r="B650" s="1">
        <v>42.512500000000003</v>
      </c>
      <c r="C650" s="1">
        <v>1406.08</v>
      </c>
      <c r="D650" s="1">
        <v>157.93</v>
      </c>
      <c r="E650" s="3">
        <f t="shared" si="64"/>
        <v>1779.1849999999995</v>
      </c>
      <c r="F650" s="4">
        <f t="shared" si="65"/>
        <v>7.9749999999994543</v>
      </c>
      <c r="G650" s="4">
        <f t="shared" si="66"/>
        <v>-7.9749999999994543</v>
      </c>
      <c r="W650" s="59">
        <f t="shared" si="67"/>
        <v>9.8691815436866837E-3</v>
      </c>
      <c r="X650" s="59">
        <f t="shared" si="68"/>
        <v>6.0470031828655662E-4</v>
      </c>
      <c r="Y650" s="59">
        <f t="shared" si="69"/>
        <v>4.633016886857232E-3</v>
      </c>
    </row>
    <row r="651" spans="1:25" x14ac:dyDescent="0.3">
      <c r="A651" s="2">
        <v>43196</v>
      </c>
      <c r="B651" s="1">
        <v>42.094999999999999</v>
      </c>
      <c r="C651" s="1">
        <v>1405.23</v>
      </c>
      <c r="D651" s="1">
        <v>157.19999999999999</v>
      </c>
      <c r="E651" s="3">
        <f t="shared" si="64"/>
        <v>1771.21</v>
      </c>
      <c r="F651" s="4">
        <f t="shared" si="65"/>
        <v>-105.48999999999978</v>
      </c>
      <c r="G651" s="4">
        <f t="shared" si="66"/>
        <v>105.48999999999978</v>
      </c>
      <c r="W651" s="59">
        <f t="shared" si="67"/>
        <v>-2.5911526460437356E-2</v>
      </c>
      <c r="X651" s="59">
        <f t="shared" si="68"/>
        <v>-3.256873481425511E-2</v>
      </c>
      <c r="Y651" s="59">
        <f t="shared" si="69"/>
        <v>-1.3521403957113865E-2</v>
      </c>
    </row>
    <row r="652" spans="1:25" x14ac:dyDescent="0.3">
      <c r="A652" s="2">
        <v>43195</v>
      </c>
      <c r="B652" s="1">
        <v>43.2</v>
      </c>
      <c r="C652" s="1">
        <v>1451.75</v>
      </c>
      <c r="D652" s="1">
        <v>159.34</v>
      </c>
      <c r="E652" s="3">
        <f t="shared" si="64"/>
        <v>1876.6999999999998</v>
      </c>
      <c r="F652" s="4">
        <f t="shared" si="65"/>
        <v>12.4350000000004</v>
      </c>
      <c r="G652" s="4">
        <f t="shared" si="66"/>
        <v>-12.4350000000004</v>
      </c>
      <c r="W652" s="59">
        <f t="shared" si="67"/>
        <v>6.9103959557435101E-3</v>
      </c>
      <c r="X652" s="59">
        <f t="shared" si="68"/>
        <v>2.8775847249963116E-2</v>
      </c>
      <c r="Y652" s="59">
        <f t="shared" si="69"/>
        <v>2.6970213769726806E-2</v>
      </c>
    </row>
    <row r="653" spans="1:25" x14ac:dyDescent="0.3">
      <c r="A653" s="2">
        <v>43194</v>
      </c>
      <c r="B653" s="1">
        <v>42.902500000000003</v>
      </c>
      <c r="C653" s="1">
        <v>1410.57</v>
      </c>
      <c r="D653" s="1">
        <v>155.1</v>
      </c>
      <c r="E653" s="3">
        <f t="shared" si="64"/>
        <v>1864.2649999999994</v>
      </c>
      <c r="F653" s="4">
        <f t="shared" si="65"/>
        <v>97.489999999999327</v>
      </c>
      <c r="G653" s="4">
        <f t="shared" si="66"/>
        <v>-97.489999999999327</v>
      </c>
      <c r="W653" s="59">
        <f t="shared" si="67"/>
        <v>1.8941742791994311E-2</v>
      </c>
      <c r="X653" s="59">
        <f t="shared" si="68"/>
        <v>1.3216397212692502E-2</v>
      </c>
      <c r="Y653" s="59">
        <f t="shared" si="69"/>
        <v>-6.4908167860822253E-3</v>
      </c>
    </row>
    <row r="654" spans="1:25" x14ac:dyDescent="0.3">
      <c r="A654" s="2">
        <v>43193</v>
      </c>
      <c r="B654" s="1">
        <v>42.097499999999997</v>
      </c>
      <c r="C654" s="1">
        <v>1392.05</v>
      </c>
      <c r="D654" s="1">
        <v>156.11000000000001</v>
      </c>
      <c r="E654" s="3">
        <f t="shared" si="64"/>
        <v>1766.7750000000001</v>
      </c>
      <c r="F654" s="4">
        <f t="shared" si="65"/>
        <v>47.095000000000255</v>
      </c>
      <c r="G654" s="4">
        <f t="shared" si="66"/>
        <v>-47.095000000000255</v>
      </c>
      <c r="W654" s="59">
        <f t="shared" si="67"/>
        <v>1.0206911067964735E-2</v>
      </c>
      <c r="X654" s="59">
        <f t="shared" si="68"/>
        <v>1.4515240159972919E-2</v>
      </c>
      <c r="Y654" s="59">
        <f t="shared" si="69"/>
        <v>4.6228011699327486E-3</v>
      </c>
    </row>
    <row r="655" spans="1:25" x14ac:dyDescent="0.3">
      <c r="A655" s="2">
        <v>43192</v>
      </c>
      <c r="B655" s="1">
        <v>41.67</v>
      </c>
      <c r="C655" s="1">
        <v>1371.99</v>
      </c>
      <c r="D655" s="1">
        <v>155.38999999999999</v>
      </c>
      <c r="E655" s="3">
        <f t="shared" si="64"/>
        <v>1719.6799999999998</v>
      </c>
      <c r="F655" s="4">
        <f t="shared" si="65"/>
        <v>-76.450000000000728</v>
      </c>
      <c r="G655" s="4">
        <f t="shared" si="66"/>
        <v>76.450000000000728</v>
      </c>
      <c r="W655" s="59">
        <f t="shared" si="67"/>
        <v>-6.577790863895836E-3</v>
      </c>
      <c r="X655" s="59">
        <f t="shared" si="68"/>
        <v>-5.3465148302259104E-2</v>
      </c>
      <c r="Y655" s="59">
        <f t="shared" si="69"/>
        <v>-2.7922367352654437E-2</v>
      </c>
    </row>
    <row r="656" spans="1:25" x14ac:dyDescent="0.3">
      <c r="A656" s="2">
        <v>43189</v>
      </c>
      <c r="B656" s="1">
        <v>41.945</v>
      </c>
      <c r="C656" s="1">
        <v>1447.34</v>
      </c>
      <c r="D656" s="1">
        <v>159.79</v>
      </c>
      <c r="E656" s="3">
        <f t="shared" si="64"/>
        <v>1796.1300000000006</v>
      </c>
      <c r="F656" s="4">
        <f t="shared" si="65"/>
        <v>0</v>
      </c>
      <c r="G656" s="4">
        <f t="shared" si="66"/>
        <v>0</v>
      </c>
      <c r="W656" s="59">
        <f t="shared" si="67"/>
        <v>0</v>
      </c>
      <c r="X656" s="59">
        <f t="shared" si="68"/>
        <v>0</v>
      </c>
      <c r="Y656" s="59">
        <f t="shared" si="69"/>
        <v>0</v>
      </c>
    </row>
    <row r="657" spans="1:25" x14ac:dyDescent="0.3">
      <c r="A657" s="2">
        <v>43188</v>
      </c>
      <c r="B657" s="1">
        <v>41.945</v>
      </c>
      <c r="C657" s="1">
        <v>1447.34</v>
      </c>
      <c r="D657" s="1">
        <v>159.79</v>
      </c>
      <c r="E657" s="3">
        <f t="shared" si="64"/>
        <v>1796.1300000000006</v>
      </c>
      <c r="F657" s="4">
        <f t="shared" si="65"/>
        <v>-87.109999999999673</v>
      </c>
      <c r="G657" s="4">
        <f t="shared" si="66"/>
        <v>87.109999999999673</v>
      </c>
      <c r="W657" s="59">
        <f t="shared" si="67"/>
        <v>7.7784153327697184E-3</v>
      </c>
      <c r="X657" s="59">
        <f t="shared" si="68"/>
        <v>1.1060430390127796E-2</v>
      </c>
      <c r="Y657" s="59">
        <f t="shared" si="69"/>
        <v>4.3226472548352143E-2</v>
      </c>
    </row>
    <row r="658" spans="1:25" x14ac:dyDescent="0.3">
      <c r="A658" s="2">
        <v>43187</v>
      </c>
      <c r="B658" s="1">
        <v>41.62</v>
      </c>
      <c r="C658" s="1">
        <v>1431.42</v>
      </c>
      <c r="D658" s="1">
        <v>153.03</v>
      </c>
      <c r="E658" s="3">
        <f t="shared" si="64"/>
        <v>1883.2400000000002</v>
      </c>
      <c r="F658" s="4">
        <f t="shared" si="65"/>
        <v>-170.71000000000004</v>
      </c>
      <c r="G658" s="4">
        <f t="shared" si="66"/>
        <v>170.71000000000004</v>
      </c>
      <c r="W658" s="59">
        <f t="shared" si="67"/>
        <v>-1.111056169805113E-2</v>
      </c>
      <c r="X658" s="59">
        <f t="shared" si="68"/>
        <v>-4.4829546453794646E-2</v>
      </c>
      <c r="Y658" s="59">
        <f t="shared" si="69"/>
        <v>5.3071377636993051E-3</v>
      </c>
    </row>
    <row r="659" spans="1:25" x14ac:dyDescent="0.3">
      <c r="A659" s="2">
        <v>43186</v>
      </c>
      <c r="B659" s="1">
        <v>42.085000000000001</v>
      </c>
      <c r="C659" s="1">
        <v>1497.05</v>
      </c>
      <c r="D659" s="1">
        <v>152.22</v>
      </c>
      <c r="E659" s="3">
        <f t="shared" si="64"/>
        <v>2053.9500000000003</v>
      </c>
      <c r="F659" s="4">
        <f t="shared" si="65"/>
        <v>-16.194999999999254</v>
      </c>
      <c r="G659" s="4">
        <f t="shared" si="66"/>
        <v>16.194999999999254</v>
      </c>
      <c r="W659" s="59">
        <f t="shared" si="67"/>
        <v>-2.5975486403260677E-2</v>
      </c>
      <c r="X659" s="59">
        <f t="shared" si="68"/>
        <v>-3.8531942401891409E-2</v>
      </c>
      <c r="Y659" s="59">
        <f t="shared" si="69"/>
        <v>-5.0221902099654672E-2</v>
      </c>
    </row>
    <row r="660" spans="1:25" x14ac:dyDescent="0.3">
      <c r="A660" s="2">
        <v>43185</v>
      </c>
      <c r="B660" s="1">
        <v>43.192500000000003</v>
      </c>
      <c r="C660" s="1">
        <v>1555.86</v>
      </c>
      <c r="D660" s="1">
        <v>160.06</v>
      </c>
      <c r="E660" s="3">
        <f t="shared" si="64"/>
        <v>2070.1449999999995</v>
      </c>
      <c r="F660" s="4">
        <f t="shared" si="65"/>
        <v>205.07499999999936</v>
      </c>
      <c r="G660" s="4">
        <f t="shared" si="66"/>
        <v>-205.07499999999936</v>
      </c>
      <c r="W660" s="59">
        <f t="shared" si="67"/>
        <v>4.6379458781481517E-2</v>
      </c>
      <c r="X660" s="59">
        <f t="shared" si="68"/>
        <v>3.9527728771062469E-2</v>
      </c>
      <c r="Y660" s="59">
        <f t="shared" si="69"/>
        <v>4.1947158079386655E-3</v>
      </c>
    </row>
    <row r="661" spans="1:25" x14ac:dyDescent="0.3">
      <c r="A661" s="2">
        <v>43182</v>
      </c>
      <c r="B661" s="1">
        <v>41.234999999999999</v>
      </c>
      <c r="C661" s="1">
        <v>1495.56</v>
      </c>
      <c r="D661" s="1">
        <v>159.38999999999999</v>
      </c>
      <c r="E661" s="3">
        <f t="shared" si="64"/>
        <v>1865.0700000000002</v>
      </c>
      <c r="F661" s="4">
        <f t="shared" si="65"/>
        <v>-37.595000000000255</v>
      </c>
      <c r="G661" s="4">
        <f t="shared" si="66"/>
        <v>37.595000000000255</v>
      </c>
      <c r="W661" s="59">
        <f t="shared" si="67"/>
        <v>-2.342897542636729E-2</v>
      </c>
      <c r="X661" s="59">
        <f t="shared" si="68"/>
        <v>-3.247141042965794E-2</v>
      </c>
      <c r="Y661" s="59">
        <f t="shared" si="69"/>
        <v>-3.3924555781915319E-2</v>
      </c>
    </row>
    <row r="662" spans="1:25" x14ac:dyDescent="0.3">
      <c r="A662" s="2">
        <v>43181</v>
      </c>
      <c r="B662" s="1">
        <v>42.212499999999999</v>
      </c>
      <c r="C662" s="1">
        <v>1544.92</v>
      </c>
      <c r="D662" s="1">
        <v>164.89</v>
      </c>
      <c r="E662" s="3">
        <f t="shared" si="64"/>
        <v>1902.6650000000004</v>
      </c>
      <c r="F662" s="4">
        <f t="shared" si="65"/>
        <v>-14.1299999999992</v>
      </c>
      <c r="G662" s="4">
        <f t="shared" si="66"/>
        <v>14.1299999999992</v>
      </c>
      <c r="W662" s="59">
        <f t="shared" si="67"/>
        <v>-1.4230511812700894E-2</v>
      </c>
      <c r="X662" s="59">
        <f t="shared" si="68"/>
        <v>-2.3629240780469761E-2</v>
      </c>
      <c r="Y662" s="59">
        <f t="shared" si="69"/>
        <v>-2.6925163685413624E-2</v>
      </c>
    </row>
    <row r="663" spans="1:25" x14ac:dyDescent="0.3">
      <c r="A663" s="2">
        <v>43180</v>
      </c>
      <c r="B663" s="1">
        <v>42.817500000000003</v>
      </c>
      <c r="C663" s="1">
        <v>1581.86</v>
      </c>
      <c r="D663" s="1">
        <v>169.39</v>
      </c>
      <c r="E663" s="3">
        <f t="shared" si="64"/>
        <v>1916.7949999999996</v>
      </c>
      <c r="F663" s="4">
        <f t="shared" si="65"/>
        <v>-83.725000000000819</v>
      </c>
      <c r="G663" s="4">
        <f t="shared" si="66"/>
        <v>83.725000000000819</v>
      </c>
      <c r="W663" s="59">
        <f t="shared" si="67"/>
        <v>-2.2915204301420231E-2</v>
      </c>
      <c r="X663" s="59">
        <f t="shared" si="68"/>
        <v>-2.9352653500792887E-3</v>
      </c>
      <c r="Y663" s="59">
        <f t="shared" si="69"/>
        <v>7.3473104120118701E-3</v>
      </c>
    </row>
    <row r="664" spans="1:25" x14ac:dyDescent="0.3">
      <c r="A664" s="2">
        <v>43179</v>
      </c>
      <c r="B664" s="1">
        <v>43.81</v>
      </c>
      <c r="C664" s="1">
        <v>1586.51</v>
      </c>
      <c r="D664" s="1">
        <v>168.15</v>
      </c>
      <c r="E664" s="3">
        <f t="shared" si="64"/>
        <v>2000.5200000000004</v>
      </c>
      <c r="F664" s="4">
        <f t="shared" si="65"/>
        <v>170.60999999999967</v>
      </c>
      <c r="G664" s="4">
        <f t="shared" si="66"/>
        <v>-170.60999999999967</v>
      </c>
      <c r="W664" s="59">
        <f t="shared" si="67"/>
        <v>-3.4232898149116111E-4</v>
      </c>
      <c r="X664" s="59">
        <f t="shared" si="68"/>
        <v>2.6558033324425717E-2</v>
      </c>
      <c r="Y664" s="59">
        <f t="shared" si="69"/>
        <v>-2.5888563894622307E-2</v>
      </c>
    </row>
    <row r="665" spans="1:25" x14ac:dyDescent="0.3">
      <c r="A665" s="2">
        <v>43178</v>
      </c>
      <c r="B665" s="1">
        <v>43.825000000000003</v>
      </c>
      <c r="C665" s="1">
        <v>1544.93</v>
      </c>
      <c r="D665" s="1">
        <v>172.56</v>
      </c>
      <c r="E665" s="3">
        <f t="shared" si="64"/>
        <v>1829.9100000000008</v>
      </c>
      <c r="F665" s="4">
        <f t="shared" si="65"/>
        <v>163.10000000000036</v>
      </c>
      <c r="G665" s="4">
        <f t="shared" si="66"/>
        <v>-163.10000000000036</v>
      </c>
      <c r="W665" s="59">
        <f t="shared" si="67"/>
        <v>-1.5397111603596634E-2</v>
      </c>
      <c r="X665" s="59">
        <f t="shared" si="68"/>
        <v>-1.7166509064492505E-2</v>
      </c>
      <c r="Y665" s="59">
        <f t="shared" si="69"/>
        <v>-7.0097191187724395E-2</v>
      </c>
    </row>
    <row r="666" spans="1:25" x14ac:dyDescent="0.3">
      <c r="A666" s="2">
        <v>43175</v>
      </c>
      <c r="B666" s="1">
        <v>44.505000000000003</v>
      </c>
      <c r="C666" s="1">
        <v>1571.68</v>
      </c>
      <c r="D666" s="1">
        <v>185.09</v>
      </c>
      <c r="E666" s="3">
        <f t="shared" si="64"/>
        <v>1666.8100000000004</v>
      </c>
      <c r="F666" s="4">
        <f t="shared" si="65"/>
        <v>-53.754999999998745</v>
      </c>
      <c r="G666" s="4">
        <f t="shared" si="66"/>
        <v>53.754999999998745</v>
      </c>
      <c r="W666" s="59">
        <f t="shared" si="67"/>
        <v>-3.5326809386333857E-3</v>
      </c>
      <c r="X666" s="59">
        <f t="shared" si="68"/>
        <v>-6.7470135465943762E-3</v>
      </c>
      <c r="Y666" s="59">
        <f t="shared" si="69"/>
        <v>6.6675948330165834E-3</v>
      </c>
    </row>
    <row r="667" spans="1:25" x14ac:dyDescent="0.3">
      <c r="A667" s="2">
        <v>43174</v>
      </c>
      <c r="B667" s="1">
        <v>44.662500000000001</v>
      </c>
      <c r="C667" s="1">
        <v>1582.32</v>
      </c>
      <c r="D667" s="1">
        <v>183.86</v>
      </c>
      <c r="E667" s="3">
        <f t="shared" si="64"/>
        <v>1720.5649999999991</v>
      </c>
      <c r="F667" s="4">
        <f t="shared" si="65"/>
        <v>-8.135000000000673</v>
      </c>
      <c r="G667" s="4">
        <f t="shared" si="66"/>
        <v>8.135000000000673</v>
      </c>
      <c r="W667" s="59">
        <f t="shared" si="67"/>
        <v>1.1761742093547428E-3</v>
      </c>
      <c r="X667" s="59">
        <f t="shared" si="68"/>
        <v>-5.4706248646330244E-3</v>
      </c>
      <c r="Y667" s="59">
        <f t="shared" si="69"/>
        <v>-1.7932350954028599E-3</v>
      </c>
    </row>
    <row r="668" spans="1:25" x14ac:dyDescent="0.3">
      <c r="A668" s="2">
        <v>43173</v>
      </c>
      <c r="B668" s="1">
        <v>44.61</v>
      </c>
      <c r="C668" s="1">
        <v>1591</v>
      </c>
      <c r="D668" s="1">
        <v>184.19</v>
      </c>
      <c r="E668" s="3">
        <f t="shared" si="64"/>
        <v>1728.6999999999998</v>
      </c>
      <c r="F668" s="4">
        <f t="shared" si="65"/>
        <v>-59.685000000000855</v>
      </c>
      <c r="G668" s="4">
        <f t="shared" si="66"/>
        <v>59.685000000000855</v>
      </c>
      <c r="W668" s="59">
        <f t="shared" si="67"/>
        <v>-8.5377600730474051E-3</v>
      </c>
      <c r="X668" s="59">
        <f t="shared" si="68"/>
        <v>1.7740428284014171E-3</v>
      </c>
      <c r="Y668" s="59">
        <f t="shared" si="69"/>
        <v>1.2620704574201631E-2</v>
      </c>
    </row>
    <row r="669" spans="1:25" x14ac:dyDescent="0.3">
      <c r="A669" s="2">
        <v>43172</v>
      </c>
      <c r="B669" s="1">
        <v>44.9925</v>
      </c>
      <c r="C669" s="1">
        <v>1588.18</v>
      </c>
      <c r="D669" s="1">
        <v>181.88</v>
      </c>
      <c r="E669" s="3">
        <f t="shared" si="64"/>
        <v>1788.3850000000007</v>
      </c>
      <c r="F669" s="4">
        <f t="shared" si="65"/>
        <v>15.304999999999836</v>
      </c>
      <c r="G669" s="4">
        <f t="shared" si="66"/>
        <v>-15.304999999999836</v>
      </c>
      <c r="W669" s="59">
        <f t="shared" si="67"/>
        <v>-9.6768705580911381E-3</v>
      </c>
      <c r="X669" s="59">
        <f t="shared" si="68"/>
        <v>-6.408166109076836E-3</v>
      </c>
      <c r="Y669" s="59">
        <f t="shared" si="69"/>
        <v>-1.5710556605594811E-2</v>
      </c>
    </row>
    <row r="670" spans="1:25" x14ac:dyDescent="0.3">
      <c r="A670" s="2">
        <v>43171</v>
      </c>
      <c r="B670" s="1">
        <v>45.43</v>
      </c>
      <c r="C670" s="1">
        <v>1598.39</v>
      </c>
      <c r="D670" s="1">
        <v>184.76</v>
      </c>
      <c r="E670" s="3">
        <f t="shared" si="64"/>
        <v>1773.0800000000008</v>
      </c>
      <c r="F670" s="4">
        <f t="shared" si="65"/>
        <v>70.150000000000091</v>
      </c>
      <c r="G670" s="4">
        <f t="shared" si="66"/>
        <v>-70.150000000000091</v>
      </c>
      <c r="W670" s="59">
        <f t="shared" si="67"/>
        <v>9.6213072854000967E-3</v>
      </c>
      <c r="X670" s="59">
        <f t="shared" si="68"/>
        <v>1.2274804134015284E-2</v>
      </c>
      <c r="Y670" s="59">
        <f t="shared" si="69"/>
        <v>-2.5406105722269958E-3</v>
      </c>
    </row>
    <row r="671" spans="1:25" x14ac:dyDescent="0.3">
      <c r="A671" s="2">
        <v>43168</v>
      </c>
      <c r="B671" s="1">
        <v>44.994999999999997</v>
      </c>
      <c r="C671" s="1">
        <v>1578.89</v>
      </c>
      <c r="D671" s="1">
        <v>185.23</v>
      </c>
      <c r="E671" s="3">
        <f t="shared" si="64"/>
        <v>1702.9300000000007</v>
      </c>
      <c r="F671" s="4">
        <f t="shared" si="65"/>
        <v>34.260000000001583</v>
      </c>
      <c r="G671" s="4">
        <f t="shared" si="66"/>
        <v>-34.260000000001583</v>
      </c>
      <c r="W671" s="59">
        <f t="shared" si="67"/>
        <v>1.7035041550562589E-2</v>
      </c>
      <c r="X671" s="59">
        <f t="shared" si="68"/>
        <v>1.7267856995672817E-2</v>
      </c>
      <c r="Y671" s="59">
        <f t="shared" si="69"/>
        <v>1.5725219977874981E-2</v>
      </c>
    </row>
    <row r="672" spans="1:25" x14ac:dyDescent="0.3">
      <c r="A672" s="2">
        <v>43167</v>
      </c>
      <c r="B672" s="1">
        <v>44.234999999999999</v>
      </c>
      <c r="C672" s="1">
        <v>1551.86</v>
      </c>
      <c r="D672" s="1">
        <v>182.34</v>
      </c>
      <c r="E672" s="3">
        <f t="shared" si="64"/>
        <v>1668.6699999999992</v>
      </c>
      <c r="F672" s="4">
        <f t="shared" si="65"/>
        <v>64.994999999999436</v>
      </c>
      <c r="G672" s="4">
        <f t="shared" si="66"/>
        <v>-64.994999999999436</v>
      </c>
      <c r="W672" s="59">
        <f t="shared" si="67"/>
        <v>1.0853304252495751E-2</v>
      </c>
      <c r="X672" s="59">
        <f t="shared" si="68"/>
        <v>4.4303011569285589E-3</v>
      </c>
      <c r="Y672" s="59">
        <f t="shared" si="69"/>
        <v>-7.4853511640890855E-3</v>
      </c>
    </row>
    <row r="673" spans="1:25" x14ac:dyDescent="0.3">
      <c r="A673" s="2">
        <v>43166</v>
      </c>
      <c r="B673" s="1">
        <v>43.7575</v>
      </c>
      <c r="C673" s="1">
        <v>1545</v>
      </c>
      <c r="D673" s="1">
        <v>183.71</v>
      </c>
      <c r="E673" s="3">
        <f t="shared" si="64"/>
        <v>1603.6749999999997</v>
      </c>
      <c r="F673" s="4">
        <f t="shared" si="65"/>
        <v>-84.380000000001019</v>
      </c>
      <c r="G673" s="4">
        <f t="shared" si="66"/>
        <v>84.380000000001019</v>
      </c>
      <c r="W673" s="59">
        <f t="shared" si="67"/>
        <v>-9.3261978218448192E-3</v>
      </c>
      <c r="X673" s="59">
        <f t="shared" si="68"/>
        <v>4.7751368860325097E-3</v>
      </c>
      <c r="Y673" s="59">
        <f t="shared" si="69"/>
        <v>2.1624546175592445E-2</v>
      </c>
    </row>
    <row r="674" spans="1:25" x14ac:dyDescent="0.3">
      <c r="A674" s="2">
        <v>43165</v>
      </c>
      <c r="B674" s="1">
        <v>44.167499999999997</v>
      </c>
      <c r="C674" s="1">
        <v>1537.64</v>
      </c>
      <c r="D674" s="1">
        <v>179.78</v>
      </c>
      <c r="E674" s="3">
        <f t="shared" si="64"/>
        <v>1688.0550000000007</v>
      </c>
      <c r="F674" s="4">
        <f t="shared" si="65"/>
        <v>38.585000000001401</v>
      </c>
      <c r="G674" s="4">
        <f t="shared" si="66"/>
        <v>-38.585000000001401</v>
      </c>
      <c r="W674" s="59">
        <f t="shared" si="67"/>
        <v>-8.4868035306926283E-4</v>
      </c>
      <c r="X674" s="59">
        <f t="shared" si="68"/>
        <v>9.1662544604355738E-3</v>
      </c>
      <c r="Y674" s="59">
        <f t="shared" si="69"/>
        <v>-3.4427264832700348E-3</v>
      </c>
    </row>
    <row r="675" spans="1:25" x14ac:dyDescent="0.3">
      <c r="A675" s="2">
        <v>43164</v>
      </c>
      <c r="B675" s="1">
        <v>44.204999999999998</v>
      </c>
      <c r="C675" s="1">
        <v>1523.61</v>
      </c>
      <c r="D675" s="1">
        <v>180.4</v>
      </c>
      <c r="E675" s="3">
        <f t="shared" si="64"/>
        <v>1649.4699999999993</v>
      </c>
      <c r="F675" s="4">
        <f t="shared" si="65"/>
        <v>-21.255000000000564</v>
      </c>
      <c r="G675" s="4">
        <f t="shared" si="66"/>
        <v>21.255000000000564</v>
      </c>
      <c r="W675" s="59">
        <f t="shared" si="67"/>
        <v>3.4558003970191075E-3</v>
      </c>
      <c r="X675" s="59">
        <f t="shared" si="68"/>
        <v>1.5450758115755579E-2</v>
      </c>
      <c r="Y675" s="59">
        <f t="shared" si="69"/>
        <v>2.1176075587867039E-2</v>
      </c>
    </row>
    <row r="676" spans="1:25" x14ac:dyDescent="0.3">
      <c r="A676" s="2">
        <v>43161</v>
      </c>
      <c r="B676" s="1">
        <v>44.052500000000002</v>
      </c>
      <c r="C676" s="1">
        <v>1500.25</v>
      </c>
      <c r="D676" s="1">
        <v>176.62</v>
      </c>
      <c r="E676" s="3">
        <f t="shared" si="64"/>
        <v>1670.7249999999999</v>
      </c>
      <c r="F676" s="4">
        <f t="shared" si="65"/>
        <v>15.125000000000455</v>
      </c>
      <c r="G676" s="4">
        <f t="shared" si="66"/>
        <v>-15.125000000000455</v>
      </c>
      <c r="W676" s="59">
        <f t="shared" si="67"/>
        <v>6.8904916571251255E-3</v>
      </c>
      <c r="X676" s="59">
        <f t="shared" si="68"/>
        <v>4.5428811802998839E-3</v>
      </c>
      <c r="Y676" s="59">
        <f t="shared" si="69"/>
        <v>3.8575042161276959E-3</v>
      </c>
    </row>
    <row r="677" spans="1:25" x14ac:dyDescent="0.3">
      <c r="A677" s="2">
        <v>43160</v>
      </c>
      <c r="B677" s="1">
        <v>43.75</v>
      </c>
      <c r="C677" s="1">
        <v>1493.45</v>
      </c>
      <c r="D677" s="1">
        <v>175.94</v>
      </c>
      <c r="E677" s="3">
        <f t="shared" si="64"/>
        <v>1655.5999999999995</v>
      </c>
      <c r="F677" s="4">
        <f t="shared" si="65"/>
        <v>-29.400000000000546</v>
      </c>
      <c r="G677" s="4">
        <f t="shared" si="66"/>
        <v>29.400000000000546</v>
      </c>
      <c r="W677" s="59">
        <f t="shared" si="67"/>
        <v>-1.7671506529987557E-2</v>
      </c>
      <c r="X677" s="59">
        <f t="shared" si="68"/>
        <v>-1.26419728180118E-2</v>
      </c>
      <c r="Y677" s="59">
        <f t="shared" si="69"/>
        <v>-1.3436661253084915E-2</v>
      </c>
    </row>
    <row r="678" spans="1:25" x14ac:dyDescent="0.3">
      <c r="A678" s="2">
        <v>43159</v>
      </c>
      <c r="B678" s="1">
        <v>44.53</v>
      </c>
      <c r="C678" s="1">
        <v>1512.45</v>
      </c>
      <c r="D678" s="1">
        <v>178.32</v>
      </c>
      <c r="E678" s="3">
        <f t="shared" si="64"/>
        <v>1685</v>
      </c>
      <c r="F678" s="4">
        <f t="shared" si="65"/>
        <v>60.365000000000236</v>
      </c>
      <c r="G678" s="4">
        <f t="shared" si="66"/>
        <v>-60.365000000000236</v>
      </c>
      <c r="W678" s="59">
        <f t="shared" si="67"/>
        <v>-1.5146843096745051E-3</v>
      </c>
      <c r="X678" s="59">
        <f t="shared" si="68"/>
        <v>3.1080236856756421E-4</v>
      </c>
      <c r="Y678" s="59">
        <f t="shared" si="69"/>
        <v>-1.7455554663869572E-2</v>
      </c>
    </row>
    <row r="679" spans="1:25" x14ac:dyDescent="0.3">
      <c r="A679" s="2">
        <v>43158</v>
      </c>
      <c r="B679" s="1">
        <v>44.597499999999997</v>
      </c>
      <c r="C679" s="1">
        <v>1511.98</v>
      </c>
      <c r="D679" s="1">
        <v>181.46</v>
      </c>
      <c r="E679" s="3">
        <f t="shared" si="64"/>
        <v>1624.6349999999998</v>
      </c>
      <c r="F679" s="4">
        <f t="shared" si="65"/>
        <v>42.210000000000491</v>
      </c>
      <c r="G679" s="4">
        <f t="shared" si="66"/>
        <v>-42.210000000000491</v>
      </c>
      <c r="W679" s="59">
        <f t="shared" si="67"/>
        <v>-3.2460292661408183E-3</v>
      </c>
      <c r="X679" s="59">
        <f t="shared" si="68"/>
        <v>-6.5723572320724394E-3</v>
      </c>
      <c r="Y679" s="59">
        <f t="shared" si="69"/>
        <v>-1.8942131355302337E-2</v>
      </c>
    </row>
    <row r="680" spans="1:25" x14ac:dyDescent="0.3">
      <c r="A680" s="2">
        <v>43157</v>
      </c>
      <c r="B680" s="1">
        <v>44.7425</v>
      </c>
      <c r="C680" s="1">
        <v>1521.95</v>
      </c>
      <c r="D680" s="1">
        <v>184.93</v>
      </c>
      <c r="E680" s="3">
        <f t="shared" si="64"/>
        <v>1582.4249999999993</v>
      </c>
      <c r="F680" s="4">
        <f t="shared" si="65"/>
        <v>54.474999999999</v>
      </c>
      <c r="G680" s="4">
        <f t="shared" si="66"/>
        <v>-54.474999999999</v>
      </c>
      <c r="W680" s="59">
        <f t="shared" si="67"/>
        <v>1.9579151123396435E-2</v>
      </c>
      <c r="X680" s="59">
        <f t="shared" si="68"/>
        <v>1.4527299280537431E-2</v>
      </c>
      <c r="Y680" s="59">
        <f t="shared" si="69"/>
        <v>8.9077771130287014E-3</v>
      </c>
    </row>
    <row r="681" spans="1:25" x14ac:dyDescent="0.3">
      <c r="A681" s="2">
        <v>43154</v>
      </c>
      <c r="B681" s="1">
        <v>43.875</v>
      </c>
      <c r="C681" s="1">
        <v>1500</v>
      </c>
      <c r="D681" s="1">
        <v>183.29</v>
      </c>
      <c r="E681" s="3">
        <f t="shared" si="64"/>
        <v>1527.9500000000003</v>
      </c>
      <c r="F681" s="4">
        <f t="shared" si="65"/>
        <v>-19.179999999999836</v>
      </c>
      <c r="G681" s="4">
        <f t="shared" si="66"/>
        <v>19.179999999999836</v>
      </c>
      <c r="W681" s="59">
        <f t="shared" si="67"/>
        <v>1.7241806434505954E-2</v>
      </c>
      <c r="X681" s="59">
        <f t="shared" si="68"/>
        <v>9.8214058310226431E-3</v>
      </c>
      <c r="Y681" s="59">
        <f t="shared" si="69"/>
        <v>2.3739659625347933E-2</v>
      </c>
    </row>
    <row r="682" spans="1:25" x14ac:dyDescent="0.3">
      <c r="A682" s="2">
        <v>43153</v>
      </c>
      <c r="B682" s="1">
        <v>43.125</v>
      </c>
      <c r="C682" s="1">
        <v>1485.34</v>
      </c>
      <c r="D682" s="1">
        <v>178.99</v>
      </c>
      <c r="E682" s="3">
        <f t="shared" si="64"/>
        <v>1547.13</v>
      </c>
      <c r="F682" s="4">
        <f t="shared" si="65"/>
        <v>1.1149999999997817</v>
      </c>
      <c r="G682" s="4">
        <f t="shared" si="66"/>
        <v>-1.1149999999997817</v>
      </c>
      <c r="W682" s="59">
        <f t="shared" si="67"/>
        <v>8.3244070072138639E-3</v>
      </c>
      <c r="X682" s="59">
        <f t="shared" si="68"/>
        <v>1.6305852830904124E-3</v>
      </c>
      <c r="Y682" s="59">
        <f t="shared" si="69"/>
        <v>6.0521339117246215E-3</v>
      </c>
    </row>
    <row r="683" spans="1:25" x14ac:dyDescent="0.3">
      <c r="A683" s="2">
        <v>43152</v>
      </c>
      <c r="B683" s="1">
        <v>42.767499999999998</v>
      </c>
      <c r="C683" s="1">
        <v>1482.92</v>
      </c>
      <c r="D683" s="1">
        <v>177.91</v>
      </c>
      <c r="E683" s="3">
        <f t="shared" si="64"/>
        <v>1546.0150000000003</v>
      </c>
      <c r="F683" s="4">
        <f t="shared" si="65"/>
        <v>-18.609999999999673</v>
      </c>
      <c r="G683" s="4">
        <f t="shared" si="66"/>
        <v>18.609999999999673</v>
      </c>
      <c r="W683" s="59">
        <f t="shared" si="67"/>
        <v>-4.5491738316423367E-3</v>
      </c>
      <c r="X683" s="59">
        <f t="shared" si="68"/>
        <v>9.8737956006394855E-3</v>
      </c>
      <c r="Y683" s="59">
        <f t="shared" si="69"/>
        <v>1.0736992840806009E-2</v>
      </c>
    </row>
    <row r="684" spans="1:25" x14ac:dyDescent="0.3">
      <c r="A684" s="2">
        <v>43151</v>
      </c>
      <c r="B684" s="1">
        <v>42.962499999999999</v>
      </c>
      <c r="C684" s="1">
        <v>1468.35</v>
      </c>
      <c r="D684" s="1">
        <v>176.01</v>
      </c>
      <c r="E684" s="3">
        <f t="shared" si="64"/>
        <v>1564.625</v>
      </c>
      <c r="F684" s="4">
        <f t="shared" si="65"/>
        <v>59.070000000000164</v>
      </c>
      <c r="G684" s="4">
        <f t="shared" si="66"/>
        <v>-59.070000000000164</v>
      </c>
      <c r="W684" s="59">
        <f t="shared" si="67"/>
        <v>-3.3693537161973816E-3</v>
      </c>
      <c r="X684" s="59">
        <f t="shared" si="68"/>
        <v>1.3479621592155065E-2</v>
      </c>
      <c r="Y684" s="59">
        <f t="shared" si="69"/>
        <v>-7.6407537021779383E-3</v>
      </c>
    </row>
    <row r="685" spans="1:25" x14ac:dyDescent="0.3">
      <c r="A685" s="2">
        <v>43150</v>
      </c>
      <c r="B685" s="1">
        <v>43.107500000000002</v>
      </c>
      <c r="C685" s="1">
        <v>1448.69</v>
      </c>
      <c r="D685" s="1">
        <v>177.36</v>
      </c>
      <c r="E685" s="3">
        <f t="shared" si="64"/>
        <v>1505.5549999999998</v>
      </c>
      <c r="F685" s="4">
        <f t="shared" si="65"/>
        <v>0</v>
      </c>
      <c r="G685" s="4">
        <f t="shared" si="66"/>
        <v>0</v>
      </c>
      <c r="W685" s="59">
        <f t="shared" si="67"/>
        <v>0</v>
      </c>
      <c r="X685" s="59">
        <f t="shared" si="68"/>
        <v>0</v>
      </c>
      <c r="Y685" s="59">
        <f t="shared" si="69"/>
        <v>0</v>
      </c>
    </row>
    <row r="686" spans="1:25" x14ac:dyDescent="0.3">
      <c r="A686" s="2">
        <v>43147</v>
      </c>
      <c r="B686" s="1">
        <v>43.107500000000002</v>
      </c>
      <c r="C686" s="1">
        <v>1448.69</v>
      </c>
      <c r="D686" s="1">
        <v>177.36</v>
      </c>
      <c r="E686" s="3">
        <f t="shared" si="64"/>
        <v>1505.5549999999998</v>
      </c>
      <c r="F686" s="4">
        <f t="shared" si="65"/>
        <v>18.859999999999673</v>
      </c>
      <c r="G686" s="4">
        <f t="shared" si="66"/>
        <v>-18.859999999999673</v>
      </c>
      <c r="W686" s="59">
        <f t="shared" si="67"/>
        <v>-3.242432346845786E-3</v>
      </c>
      <c r="X686" s="59">
        <f t="shared" si="68"/>
        <v>-8.9814893640873042E-3</v>
      </c>
      <c r="Y686" s="59">
        <f t="shared" si="69"/>
        <v>-1.4553038664915526E-2</v>
      </c>
    </row>
    <row r="687" spans="1:25" x14ac:dyDescent="0.3">
      <c r="A687" s="2">
        <v>43146</v>
      </c>
      <c r="B687" s="1">
        <v>43.247500000000002</v>
      </c>
      <c r="C687" s="1">
        <v>1461.76</v>
      </c>
      <c r="D687" s="1">
        <v>179.96</v>
      </c>
      <c r="E687" s="3">
        <f t="shared" si="64"/>
        <v>1486.6950000000002</v>
      </c>
      <c r="F687" s="4">
        <f t="shared" si="65"/>
        <v>82.869999999999891</v>
      </c>
      <c r="G687" s="4">
        <f t="shared" si="66"/>
        <v>-82.869999999999891</v>
      </c>
      <c r="W687" s="59">
        <f t="shared" si="67"/>
        <v>3.3026858833339452E-2</v>
      </c>
      <c r="X687" s="59">
        <f t="shared" si="68"/>
        <v>7.3537568631936012E-3</v>
      </c>
      <c r="Y687" s="59">
        <f t="shared" si="69"/>
        <v>2.4479816386400372E-3</v>
      </c>
    </row>
    <row r="688" spans="1:25" x14ac:dyDescent="0.3">
      <c r="A688" s="2">
        <v>43145</v>
      </c>
      <c r="B688" s="1">
        <v>41.842500000000001</v>
      </c>
      <c r="C688" s="1">
        <v>1451.05</v>
      </c>
      <c r="D688" s="1">
        <v>179.52</v>
      </c>
      <c r="E688" s="3">
        <f t="shared" si="64"/>
        <v>1403.8250000000003</v>
      </c>
      <c r="F688" s="4">
        <f t="shared" si="65"/>
        <v>-16.445000000000164</v>
      </c>
      <c r="G688" s="4">
        <f t="shared" si="66"/>
        <v>16.445000000000164</v>
      </c>
      <c r="W688" s="59">
        <f t="shared" si="67"/>
        <v>1.8269478022504962E-2</v>
      </c>
      <c r="X688" s="59">
        <f t="shared" si="68"/>
        <v>2.550425093174186E-2</v>
      </c>
      <c r="Y688" s="59">
        <f t="shared" si="69"/>
        <v>3.6128351485900587E-2</v>
      </c>
    </row>
    <row r="689" spans="1:25" x14ac:dyDescent="0.3">
      <c r="A689" s="2">
        <v>43144</v>
      </c>
      <c r="B689" s="1">
        <v>41.085000000000001</v>
      </c>
      <c r="C689" s="1">
        <v>1414.51</v>
      </c>
      <c r="D689" s="1">
        <v>173.15</v>
      </c>
      <c r="E689" s="3">
        <f t="shared" si="64"/>
        <v>1420.2700000000004</v>
      </c>
      <c r="F689" s="4">
        <f t="shared" si="65"/>
        <v>142.13500000000022</v>
      </c>
      <c r="G689" s="4">
        <f t="shared" si="66"/>
        <v>-142.13500000000022</v>
      </c>
      <c r="W689" s="59">
        <f t="shared" si="67"/>
        <v>9.9679773518140807E-3</v>
      </c>
      <c r="X689" s="59">
        <f t="shared" si="68"/>
        <v>2.0195349204128028E-2</v>
      </c>
      <c r="Y689" s="59">
        <f t="shared" si="69"/>
        <v>-1.8652560459883543E-2</v>
      </c>
    </row>
    <row r="690" spans="1:25" x14ac:dyDescent="0.3">
      <c r="A690" s="2">
        <v>43143</v>
      </c>
      <c r="B690" s="1">
        <v>40.677500000000002</v>
      </c>
      <c r="C690" s="1">
        <v>1386.23</v>
      </c>
      <c r="D690" s="1">
        <v>176.41</v>
      </c>
      <c r="E690" s="3">
        <f t="shared" si="64"/>
        <v>1278.1350000000002</v>
      </c>
      <c r="F690" s="4">
        <f t="shared" si="65"/>
        <v>166.01000000000067</v>
      </c>
      <c r="G690" s="4">
        <f t="shared" si="66"/>
        <v>-166.01000000000067</v>
      </c>
      <c r="W690" s="59">
        <f t="shared" si="67"/>
        <v>3.9488710465077473E-2</v>
      </c>
      <c r="X690" s="59">
        <f t="shared" si="68"/>
        <v>3.4216770228368242E-2</v>
      </c>
      <c r="Y690" s="59">
        <f t="shared" si="69"/>
        <v>1.7020315013204575E-3</v>
      </c>
    </row>
    <row r="691" spans="1:25" x14ac:dyDescent="0.3">
      <c r="A691" s="2">
        <v>43140</v>
      </c>
      <c r="B691" s="1">
        <v>39.102499999999999</v>
      </c>
      <c r="C691" s="1">
        <v>1339.6</v>
      </c>
      <c r="D691" s="1">
        <v>176.11</v>
      </c>
      <c r="E691" s="3">
        <f t="shared" si="64"/>
        <v>1112.1249999999995</v>
      </c>
      <c r="F691" s="4">
        <f t="shared" si="65"/>
        <v>-96.650000000000091</v>
      </c>
      <c r="G691" s="4">
        <f t="shared" si="66"/>
        <v>96.650000000000091</v>
      </c>
      <c r="W691" s="59">
        <f t="shared" si="67"/>
        <v>8.0883737917609132E-3</v>
      </c>
      <c r="X691" s="59">
        <f t="shared" si="68"/>
        <v>-8.103832312620754E-3</v>
      </c>
      <c r="Y691" s="59">
        <f t="shared" si="69"/>
        <v>2.6059169662174766E-2</v>
      </c>
    </row>
    <row r="692" spans="1:25" x14ac:dyDescent="0.3">
      <c r="A692" s="2">
        <v>43139</v>
      </c>
      <c r="B692" s="1">
        <v>38.787500000000001</v>
      </c>
      <c r="C692" s="1">
        <v>1350.5</v>
      </c>
      <c r="D692" s="1">
        <v>171.58</v>
      </c>
      <c r="E692" s="3">
        <f t="shared" si="64"/>
        <v>1208.7749999999996</v>
      </c>
      <c r="F692" s="4">
        <f t="shared" si="65"/>
        <v>-15.434999999999491</v>
      </c>
      <c r="G692" s="4">
        <f t="shared" si="66"/>
        <v>15.434999999999491</v>
      </c>
      <c r="W692" s="59">
        <f t="shared" si="67"/>
        <v>-2.7902283588594201E-2</v>
      </c>
      <c r="X692" s="59">
        <f t="shared" si="68"/>
        <v>-4.7911796817853181E-2</v>
      </c>
      <c r="Y692" s="59">
        <f t="shared" si="69"/>
        <v>-4.8906721078474748E-2</v>
      </c>
    </row>
    <row r="693" spans="1:25" x14ac:dyDescent="0.3">
      <c r="A693" s="2">
        <v>43138</v>
      </c>
      <c r="B693" s="1">
        <v>39.884999999999998</v>
      </c>
      <c r="C693" s="1">
        <v>1416.78</v>
      </c>
      <c r="D693" s="1">
        <v>180.18</v>
      </c>
      <c r="E693" s="3">
        <f t="shared" si="64"/>
        <v>1224.2099999999991</v>
      </c>
      <c r="F693" s="4">
        <f t="shared" si="65"/>
        <v>6.8549999999986539</v>
      </c>
      <c r="G693" s="4">
        <f t="shared" si="66"/>
        <v>-6.8549999999986539</v>
      </c>
      <c r="W693" s="59">
        <f t="shared" si="67"/>
        <v>-2.1639558468579508E-2</v>
      </c>
      <c r="X693" s="59">
        <f t="shared" si="68"/>
        <v>-1.8226702464813359E-2</v>
      </c>
      <c r="Y693" s="59">
        <f t="shared" si="69"/>
        <v>-2.8073747152623479E-2</v>
      </c>
    </row>
    <row r="694" spans="1:25" x14ac:dyDescent="0.3">
      <c r="A694" s="2">
        <v>43137</v>
      </c>
      <c r="B694" s="1">
        <v>40.7575</v>
      </c>
      <c r="C694" s="1">
        <v>1442.84</v>
      </c>
      <c r="D694" s="1">
        <v>185.31</v>
      </c>
      <c r="E694" s="3">
        <f t="shared" si="64"/>
        <v>1217.3550000000005</v>
      </c>
      <c r="F694" s="4">
        <f t="shared" si="65"/>
        <v>106.43000000000029</v>
      </c>
      <c r="G694" s="4">
        <f t="shared" si="66"/>
        <v>-106.43000000000029</v>
      </c>
      <c r="W694" s="59">
        <f t="shared" si="67"/>
        <v>4.09421227764823E-2</v>
      </c>
      <c r="X694" s="59">
        <f t="shared" si="68"/>
        <v>3.7309646390599326E-2</v>
      </c>
      <c r="Y694" s="59">
        <f t="shared" si="69"/>
        <v>2.2097633749281882E-2</v>
      </c>
    </row>
    <row r="695" spans="1:25" x14ac:dyDescent="0.3">
      <c r="A695" s="2">
        <v>43136</v>
      </c>
      <c r="B695" s="1">
        <v>39.122500000000002</v>
      </c>
      <c r="C695" s="1">
        <v>1390</v>
      </c>
      <c r="D695" s="1">
        <v>181.26</v>
      </c>
      <c r="E695" s="3">
        <f t="shared" si="64"/>
        <v>1110.9250000000002</v>
      </c>
      <c r="F695" s="4">
        <f t="shared" si="65"/>
        <v>50.375000000000455</v>
      </c>
      <c r="G695" s="4">
        <f t="shared" si="66"/>
        <v>-50.375000000000455</v>
      </c>
      <c r="W695" s="59">
        <f t="shared" si="67"/>
        <v>-2.5301832394989912E-2</v>
      </c>
      <c r="X695" s="59">
        <f t="shared" si="68"/>
        <v>-2.8335731482959443E-2</v>
      </c>
      <c r="Y695" s="59">
        <f t="shared" si="69"/>
        <v>-4.856420693744519E-2</v>
      </c>
    </row>
    <row r="696" spans="1:25" x14ac:dyDescent="0.3">
      <c r="A696" s="2">
        <v>43133</v>
      </c>
      <c r="B696" s="1">
        <v>40.125</v>
      </c>
      <c r="C696" s="1">
        <v>1429.95</v>
      </c>
      <c r="D696" s="1">
        <v>190.28</v>
      </c>
      <c r="E696" s="3">
        <f t="shared" si="64"/>
        <v>1060.5499999999997</v>
      </c>
      <c r="F696" s="4">
        <f t="shared" si="65"/>
        <v>45.099999999999909</v>
      </c>
      <c r="G696" s="4">
        <f t="shared" si="66"/>
        <v>-45.099999999999909</v>
      </c>
      <c r="W696" s="59">
        <f t="shared" si="67"/>
        <v>-4.435965484807803E-2</v>
      </c>
      <c r="X696" s="59">
        <f t="shared" si="68"/>
        <v>2.833573148295946E-2</v>
      </c>
      <c r="Y696" s="59">
        <f t="shared" si="69"/>
        <v>-1.4659729890366572E-2</v>
      </c>
    </row>
    <row r="697" spans="1:25" x14ac:dyDescent="0.3">
      <c r="A697" s="2">
        <v>43132</v>
      </c>
      <c r="B697" s="1">
        <v>41.945</v>
      </c>
      <c r="C697" s="1">
        <v>1390</v>
      </c>
      <c r="D697" s="1">
        <v>193.09</v>
      </c>
      <c r="E697" s="3">
        <f t="shared" si="64"/>
        <v>1015.4499999999998</v>
      </c>
      <c r="F697" s="4">
        <f t="shared" si="65"/>
        <v>-241.40500000000111</v>
      </c>
      <c r="G697" s="4">
        <f t="shared" si="66"/>
        <v>241.40500000000111</v>
      </c>
      <c r="W697" s="59">
        <f t="shared" si="67"/>
        <v>2.0882439496966842E-3</v>
      </c>
      <c r="X697" s="59">
        <f t="shared" si="68"/>
        <v>-4.287341409938919E-2</v>
      </c>
      <c r="Y697" s="59">
        <f t="shared" si="69"/>
        <v>3.2636192972236293E-2</v>
      </c>
    </row>
    <row r="698" spans="1:25" x14ac:dyDescent="0.3">
      <c r="A698" s="2">
        <v>43131</v>
      </c>
      <c r="B698" s="1">
        <v>41.857500000000002</v>
      </c>
      <c r="C698" s="1">
        <v>1450.89</v>
      </c>
      <c r="D698" s="1">
        <v>186.89</v>
      </c>
      <c r="E698" s="3">
        <f t="shared" si="64"/>
        <v>1256.8550000000009</v>
      </c>
      <c r="F698" s="4">
        <f t="shared" si="65"/>
        <v>36.490000000001601</v>
      </c>
      <c r="G698" s="4">
        <f t="shared" si="66"/>
        <v>-36.490000000001601</v>
      </c>
      <c r="W698" s="59">
        <f t="shared" si="67"/>
        <v>2.7511979075863237E-3</v>
      </c>
      <c r="X698" s="59">
        <f t="shared" si="68"/>
        <v>9.0490836306082109E-3</v>
      </c>
      <c r="Y698" s="59">
        <f t="shared" si="69"/>
        <v>-1.2299137937124367E-3</v>
      </c>
    </row>
    <row r="699" spans="1:25" x14ac:dyDescent="0.3">
      <c r="A699" s="2">
        <v>43130</v>
      </c>
      <c r="B699" s="1">
        <v>41.7425</v>
      </c>
      <c r="C699" s="1">
        <v>1437.82</v>
      </c>
      <c r="D699" s="1">
        <v>187.12</v>
      </c>
      <c r="E699" s="3">
        <f t="shared" si="64"/>
        <v>1220.3649999999993</v>
      </c>
      <c r="F699" s="4">
        <f t="shared" si="65"/>
        <v>5.1049999999986539</v>
      </c>
      <c r="G699" s="4">
        <f t="shared" si="66"/>
        <v>-5.1049999999986539</v>
      </c>
      <c r="W699" s="59">
        <f t="shared" si="67"/>
        <v>-5.9117002551268283E-3</v>
      </c>
      <c r="X699" s="59">
        <f t="shared" si="68"/>
        <v>1.4106344926428944E-2</v>
      </c>
      <c r="Y699" s="59">
        <f t="shared" si="69"/>
        <v>6.1109812258723951E-3</v>
      </c>
    </row>
    <row r="700" spans="1:25" x14ac:dyDescent="0.3">
      <c r="A700" s="2">
        <v>43129</v>
      </c>
      <c r="B700" s="1">
        <v>41.99</v>
      </c>
      <c r="C700" s="1">
        <v>1417.68</v>
      </c>
      <c r="D700" s="1">
        <v>185.98</v>
      </c>
      <c r="E700" s="3">
        <f t="shared" si="64"/>
        <v>1215.2600000000007</v>
      </c>
      <c r="F700" s="4">
        <f t="shared" si="65"/>
        <v>67.285000000000309</v>
      </c>
      <c r="G700" s="4">
        <f t="shared" si="66"/>
        <v>-67.285000000000309</v>
      </c>
      <c r="W700" s="59">
        <f t="shared" si="67"/>
        <v>-2.0915718127997005E-2</v>
      </c>
      <c r="X700" s="59">
        <f t="shared" si="68"/>
        <v>1.1086281370387465E-2</v>
      </c>
      <c r="Y700" s="59">
        <f t="shared" si="69"/>
        <v>-2.1384931110434966E-2</v>
      </c>
    </row>
    <row r="701" spans="1:25" x14ac:dyDescent="0.3">
      <c r="A701" s="2">
        <v>43126</v>
      </c>
      <c r="B701" s="1">
        <v>42.877499999999998</v>
      </c>
      <c r="C701" s="1">
        <v>1402.05</v>
      </c>
      <c r="D701" s="1">
        <v>190</v>
      </c>
      <c r="E701" s="3">
        <f t="shared" si="64"/>
        <v>1147.9750000000004</v>
      </c>
      <c r="F701" s="4">
        <f t="shared" si="65"/>
        <v>2.8000000000006366</v>
      </c>
      <c r="G701" s="4">
        <f t="shared" si="66"/>
        <v>-2.8000000000006366</v>
      </c>
      <c r="W701" s="59">
        <f t="shared" si="67"/>
        <v>2.3349494001105339E-3</v>
      </c>
      <c r="X701" s="59">
        <f t="shared" si="68"/>
        <v>1.7338563851642327E-2</v>
      </c>
      <c r="Y701" s="59">
        <f t="shared" si="69"/>
        <v>1.335189910598073E-2</v>
      </c>
    </row>
    <row r="702" spans="1:25" x14ac:dyDescent="0.3">
      <c r="A702" s="2">
        <v>43125</v>
      </c>
      <c r="B702" s="1">
        <v>42.777500000000003</v>
      </c>
      <c r="C702" s="1">
        <v>1377.95</v>
      </c>
      <c r="D702" s="1">
        <v>187.48</v>
      </c>
      <c r="E702" s="3">
        <f t="shared" si="64"/>
        <v>1145.1749999999997</v>
      </c>
      <c r="F702" s="4">
        <f t="shared" si="65"/>
        <v>-16.595000000000709</v>
      </c>
      <c r="G702" s="4">
        <f t="shared" si="66"/>
        <v>16.595000000000709</v>
      </c>
      <c r="W702" s="59">
        <f t="shared" si="67"/>
        <v>-1.8012243846866834E-2</v>
      </c>
      <c r="X702" s="59">
        <f t="shared" si="68"/>
        <v>1.4944748181597184E-2</v>
      </c>
      <c r="Y702" s="59">
        <f t="shared" si="69"/>
        <v>4.9728733873383602E-3</v>
      </c>
    </row>
    <row r="703" spans="1:25" x14ac:dyDescent="0.3">
      <c r="A703" s="2">
        <v>43124</v>
      </c>
      <c r="B703" s="1">
        <v>43.555</v>
      </c>
      <c r="C703" s="1">
        <v>1357.51</v>
      </c>
      <c r="D703" s="1">
        <v>186.55</v>
      </c>
      <c r="E703" s="3">
        <f t="shared" si="64"/>
        <v>1161.7700000000004</v>
      </c>
      <c r="F703" s="4">
        <f t="shared" si="65"/>
        <v>10.690000000000509</v>
      </c>
      <c r="G703" s="4">
        <f t="shared" si="66"/>
        <v>-10.690000000000509</v>
      </c>
      <c r="W703" s="59">
        <f t="shared" si="67"/>
        <v>-1.6056827352048247E-2</v>
      </c>
      <c r="X703" s="59">
        <f t="shared" si="68"/>
        <v>-3.6984656411698461E-3</v>
      </c>
      <c r="Y703" s="59">
        <f t="shared" si="69"/>
        <v>-1.4897854680636946E-2</v>
      </c>
    </row>
    <row r="704" spans="1:25" x14ac:dyDescent="0.3">
      <c r="A704" s="2">
        <v>43123</v>
      </c>
      <c r="B704" s="1">
        <v>44.26</v>
      </c>
      <c r="C704" s="1">
        <v>1362.54</v>
      </c>
      <c r="D704" s="1">
        <v>189.35</v>
      </c>
      <c r="E704" s="3">
        <f t="shared" si="64"/>
        <v>1151.08</v>
      </c>
      <c r="F704" s="4">
        <f t="shared" si="65"/>
        <v>-8.6399999999998727</v>
      </c>
      <c r="G704" s="4">
        <f t="shared" si="66"/>
        <v>8.6399999999998727</v>
      </c>
      <c r="W704" s="59">
        <f t="shared" si="67"/>
        <v>2.2596316896499895E-4</v>
      </c>
      <c r="X704" s="59">
        <f t="shared" si="68"/>
        <v>2.6196267209091777E-2</v>
      </c>
      <c r="Y704" s="59">
        <f t="shared" si="69"/>
        <v>2.124332660680581E-2</v>
      </c>
    </row>
    <row r="705" spans="1:25" x14ac:dyDescent="0.3">
      <c r="A705" s="2">
        <v>43122</v>
      </c>
      <c r="B705" s="1">
        <v>44.25</v>
      </c>
      <c r="C705" s="1">
        <v>1327.31</v>
      </c>
      <c r="D705" s="1">
        <v>185.37</v>
      </c>
      <c r="E705" s="3">
        <f t="shared" si="64"/>
        <v>1159.7199999999998</v>
      </c>
      <c r="F705" s="4">
        <f t="shared" si="65"/>
        <v>-34.390000000000327</v>
      </c>
      <c r="G705" s="4">
        <f t="shared" si="66"/>
        <v>34.390000000000327</v>
      </c>
      <c r="W705" s="59">
        <f t="shared" si="67"/>
        <v>-8.2147538981762434E-3</v>
      </c>
      <c r="X705" s="59">
        <f t="shared" si="68"/>
        <v>2.4968019490734943E-2</v>
      </c>
      <c r="Y705" s="59">
        <f t="shared" si="69"/>
        <v>2.2255868699421179E-2</v>
      </c>
    </row>
    <row r="706" spans="1:25" x14ac:dyDescent="0.3">
      <c r="A706" s="2">
        <v>43119</v>
      </c>
      <c r="B706" s="1">
        <v>44.615000000000002</v>
      </c>
      <c r="C706" s="1">
        <v>1294.58</v>
      </c>
      <c r="D706" s="1">
        <v>181.29</v>
      </c>
      <c r="E706" s="3">
        <f t="shared" si="64"/>
        <v>1194.1100000000001</v>
      </c>
      <c r="F706" s="4">
        <f t="shared" si="65"/>
        <v>-37.279999999999291</v>
      </c>
      <c r="G706" s="4">
        <f t="shared" si="66"/>
        <v>37.279999999999291</v>
      </c>
      <c r="W706" s="59">
        <f t="shared" si="67"/>
        <v>-4.4727794572101834E-3</v>
      </c>
      <c r="X706" s="59">
        <f t="shared" si="68"/>
        <v>9.7376258708788501E-4</v>
      </c>
      <c r="Y706" s="59">
        <f t="shared" si="69"/>
        <v>8.252837004056884E-3</v>
      </c>
    </row>
    <row r="707" spans="1:25" x14ac:dyDescent="0.3">
      <c r="A707" s="2">
        <v>43118</v>
      </c>
      <c r="B707" s="1">
        <v>44.814999999999998</v>
      </c>
      <c r="C707" s="1">
        <v>1293.32</v>
      </c>
      <c r="D707" s="1">
        <v>179.8</v>
      </c>
      <c r="E707" s="3">
        <f t="shared" si="64"/>
        <v>1231.3899999999994</v>
      </c>
      <c r="F707" s="4">
        <f t="shared" si="65"/>
        <v>-45.360000000000582</v>
      </c>
      <c r="G707" s="4">
        <f t="shared" si="66"/>
        <v>45.360000000000582</v>
      </c>
      <c r="W707" s="59">
        <f t="shared" si="67"/>
        <v>8.9295686254956019E-4</v>
      </c>
      <c r="X707" s="59">
        <f t="shared" si="68"/>
        <v>-1.2981395159202124E-3</v>
      </c>
      <c r="Y707" s="59">
        <f t="shared" si="69"/>
        <v>1.2311291479450249E-2</v>
      </c>
    </row>
    <row r="708" spans="1:25" x14ac:dyDescent="0.3">
      <c r="A708" s="2">
        <v>43117</v>
      </c>
      <c r="B708" s="1">
        <v>44.774999999999999</v>
      </c>
      <c r="C708" s="1">
        <v>1295</v>
      </c>
      <c r="D708" s="1">
        <v>177.6</v>
      </c>
      <c r="E708" s="3">
        <f t="shared" si="64"/>
        <v>1276.75</v>
      </c>
      <c r="F708" s="4">
        <f t="shared" si="65"/>
        <v>32.455000000000382</v>
      </c>
      <c r="G708" s="4">
        <f t="shared" si="66"/>
        <v>-32.455000000000382</v>
      </c>
      <c r="W708" s="59">
        <f t="shared" si="67"/>
        <v>1.6381350864128324E-2</v>
      </c>
      <c r="X708" s="59">
        <f t="shared" si="68"/>
        <v>-7.5850601747910525E-3</v>
      </c>
      <c r="Y708" s="59">
        <f t="shared" si="69"/>
        <v>-4.4383342051064296E-3</v>
      </c>
    </row>
    <row r="709" spans="1:25" x14ac:dyDescent="0.3">
      <c r="A709" s="2">
        <v>43116</v>
      </c>
      <c r="B709" s="1">
        <v>44.047499999999999</v>
      </c>
      <c r="C709" s="1">
        <v>1304.8599999999999</v>
      </c>
      <c r="D709" s="1">
        <v>178.39</v>
      </c>
      <c r="E709" s="3">
        <f t="shared" si="64"/>
        <v>1244.2949999999996</v>
      </c>
      <c r="F709" s="4">
        <f t="shared" si="65"/>
        <v>7.6700000000000728</v>
      </c>
      <c r="G709" s="4">
        <f t="shared" si="66"/>
        <v>-7.6700000000000728</v>
      </c>
      <c r="W709" s="59">
        <f t="shared" si="67"/>
        <v>-5.0951197181699319E-3</v>
      </c>
      <c r="X709" s="59">
        <f t="shared" si="68"/>
        <v>-2.6053041073632736E-4</v>
      </c>
      <c r="Y709" s="59">
        <f t="shared" si="69"/>
        <v>-5.4785467977466439E-3</v>
      </c>
    </row>
    <row r="710" spans="1:25" x14ac:dyDescent="0.3">
      <c r="A710" s="2">
        <v>43115</v>
      </c>
      <c r="B710" s="1">
        <v>44.272500000000001</v>
      </c>
      <c r="C710" s="1">
        <v>1305.2</v>
      </c>
      <c r="D710" s="1">
        <v>179.37</v>
      </c>
      <c r="E710" s="3">
        <f t="shared" ref="E710:E773" si="70">50*B710+2*C710-20*D710</f>
        <v>1236.6249999999995</v>
      </c>
      <c r="F710" s="4">
        <f t="shared" ref="F710:F773" si="71">E710-E711</f>
        <v>0</v>
      </c>
      <c r="G710" s="4">
        <f t="shared" ref="G710:G773" si="72">-F710</f>
        <v>0</v>
      </c>
      <c r="W710" s="59">
        <f t="shared" ref="W710:W773" si="73">LN(B710/B711)</f>
        <v>0</v>
      </c>
      <c r="X710" s="59">
        <f t="shared" ref="X710:X773" si="74">LN(C710/C711)</f>
        <v>0</v>
      </c>
      <c r="Y710" s="59">
        <f t="shared" ref="Y710:Y773" si="75">LN(D710/D711)</f>
        <v>0</v>
      </c>
    </row>
    <row r="711" spans="1:25" x14ac:dyDescent="0.3">
      <c r="A711" s="2">
        <v>43112</v>
      </c>
      <c r="B711" s="1">
        <v>44.272500000000001</v>
      </c>
      <c r="C711" s="1">
        <v>1305.2</v>
      </c>
      <c r="D711" s="1">
        <v>179.37</v>
      </c>
      <c r="E711" s="3">
        <f t="shared" si="70"/>
        <v>1236.6249999999995</v>
      </c>
      <c r="F711" s="4">
        <f t="shared" si="71"/>
        <v>247.66499999999905</v>
      </c>
      <c r="G711" s="4">
        <f t="shared" si="72"/>
        <v>-247.66499999999905</v>
      </c>
      <c r="W711" s="59">
        <f t="shared" si="73"/>
        <v>1.0273382633496518E-2</v>
      </c>
      <c r="X711" s="59">
        <f t="shared" si="74"/>
        <v>2.2093327402890661E-2</v>
      </c>
      <c r="Y711" s="59">
        <f t="shared" si="75"/>
        <v>-4.5767098043797111E-2</v>
      </c>
    </row>
    <row r="712" spans="1:25" x14ac:dyDescent="0.3">
      <c r="A712" s="2">
        <v>43111</v>
      </c>
      <c r="B712" s="1">
        <v>43.82</v>
      </c>
      <c r="C712" s="1">
        <v>1276.68</v>
      </c>
      <c r="D712" s="1">
        <v>187.77</v>
      </c>
      <c r="E712" s="3">
        <f t="shared" si="70"/>
        <v>988.96000000000049</v>
      </c>
      <c r="F712" s="4">
        <f t="shared" si="71"/>
        <v>58.475000000000819</v>
      </c>
      <c r="G712" s="4">
        <f t="shared" si="72"/>
        <v>-58.475000000000819</v>
      </c>
      <c r="W712" s="59">
        <f t="shared" si="73"/>
        <v>5.6641167536208006E-3</v>
      </c>
      <c r="X712" s="59">
        <f t="shared" si="74"/>
        <v>1.7661392848637474E-2</v>
      </c>
      <c r="Y712" s="59">
        <f t="shared" si="75"/>
        <v>-3.7272703501177332E-4</v>
      </c>
    </row>
    <row r="713" spans="1:25" x14ac:dyDescent="0.3">
      <c r="A713" s="2">
        <v>43110</v>
      </c>
      <c r="B713" s="1">
        <v>43.572499999999998</v>
      </c>
      <c r="C713" s="1">
        <v>1254.33</v>
      </c>
      <c r="D713" s="1">
        <v>187.84</v>
      </c>
      <c r="E713" s="3">
        <f t="shared" si="70"/>
        <v>930.48499999999967</v>
      </c>
      <c r="F713" s="4">
        <f t="shared" si="71"/>
        <v>3.3600000000001273</v>
      </c>
      <c r="G713" s="4">
        <f t="shared" si="72"/>
        <v>-3.3600000000001273</v>
      </c>
      <c r="W713" s="59">
        <f t="shared" si="73"/>
        <v>-2.2947622153374797E-4</v>
      </c>
      <c r="X713" s="59">
        <f t="shared" si="74"/>
        <v>1.3003436174912053E-3</v>
      </c>
      <c r="Y713" s="59">
        <f t="shared" si="75"/>
        <v>-1.5969763947597235E-4</v>
      </c>
    </row>
    <row r="714" spans="1:25" x14ac:dyDescent="0.3">
      <c r="A714" s="2">
        <v>43109</v>
      </c>
      <c r="B714" s="1">
        <v>43.582500000000003</v>
      </c>
      <c r="C714" s="1">
        <v>1252.7</v>
      </c>
      <c r="D714" s="1">
        <v>187.87</v>
      </c>
      <c r="E714" s="3">
        <f t="shared" si="70"/>
        <v>927.12499999999955</v>
      </c>
      <c r="F714" s="4">
        <f t="shared" si="71"/>
        <v>19.609999999999673</v>
      </c>
      <c r="G714" s="4">
        <f t="shared" si="72"/>
        <v>-19.609999999999673</v>
      </c>
      <c r="W714" s="59">
        <f t="shared" si="73"/>
        <v>-1.1471836653621983E-4</v>
      </c>
      <c r="X714" s="59">
        <f t="shared" si="74"/>
        <v>4.6648108050209424E-3</v>
      </c>
      <c r="Y714" s="59">
        <f t="shared" si="75"/>
        <v>-2.1799822537338807E-3</v>
      </c>
    </row>
    <row r="715" spans="1:25" x14ac:dyDescent="0.3">
      <c r="A715" s="2">
        <v>43108</v>
      </c>
      <c r="B715" s="1">
        <v>43.587499999999999</v>
      </c>
      <c r="C715" s="1">
        <v>1246.8699999999999</v>
      </c>
      <c r="D715" s="1">
        <v>188.28</v>
      </c>
      <c r="E715" s="3">
        <f t="shared" si="70"/>
        <v>907.51499999999987</v>
      </c>
      <c r="F715" s="4">
        <f t="shared" si="71"/>
        <v>-1.2650000000007822</v>
      </c>
      <c r="G715" s="4">
        <f t="shared" si="72"/>
        <v>1.2650000000007822</v>
      </c>
      <c r="W715" s="59">
        <f t="shared" si="73"/>
        <v>-3.7212008018539565E-3</v>
      </c>
      <c r="X715" s="59">
        <f t="shared" si="74"/>
        <v>1.4321673215751963E-2</v>
      </c>
      <c r="Y715" s="59">
        <f t="shared" si="75"/>
        <v>7.6240606014486099E-3</v>
      </c>
    </row>
    <row r="716" spans="1:25" x14ac:dyDescent="0.3">
      <c r="A716" s="2">
        <v>43105</v>
      </c>
      <c r="B716" s="1">
        <v>43.75</v>
      </c>
      <c r="C716" s="1">
        <v>1229.1400000000001</v>
      </c>
      <c r="D716" s="1">
        <v>186.85</v>
      </c>
      <c r="E716" s="3">
        <f t="shared" si="70"/>
        <v>908.78000000000065</v>
      </c>
      <c r="F716" s="4">
        <f t="shared" si="71"/>
        <v>13.325000000000728</v>
      </c>
      <c r="G716" s="4">
        <f t="shared" si="72"/>
        <v>-13.325000000000728</v>
      </c>
      <c r="W716" s="59">
        <f t="shared" si="73"/>
        <v>1.1320984054957106E-2</v>
      </c>
      <c r="X716" s="59">
        <f t="shared" si="74"/>
        <v>1.6033278634045491E-2</v>
      </c>
      <c r="Y716" s="59">
        <f t="shared" si="75"/>
        <v>1.3578526423410566E-2</v>
      </c>
    </row>
    <row r="717" spans="1:25" x14ac:dyDescent="0.3">
      <c r="A717" s="2">
        <v>43104</v>
      </c>
      <c r="B717" s="1">
        <v>43.2575</v>
      </c>
      <c r="C717" s="1">
        <v>1209.5899999999999</v>
      </c>
      <c r="D717" s="1">
        <v>184.33</v>
      </c>
      <c r="E717" s="3">
        <f t="shared" si="70"/>
        <v>895.45499999999993</v>
      </c>
      <c r="F717" s="4">
        <f t="shared" si="71"/>
        <v>27.579999999999927</v>
      </c>
      <c r="G717" s="4">
        <f t="shared" si="72"/>
        <v>-27.579999999999927</v>
      </c>
      <c r="W717" s="59">
        <f t="shared" si="73"/>
        <v>4.6341970209020132E-3</v>
      </c>
      <c r="X717" s="59">
        <f t="shared" si="74"/>
        <v>4.466013164980371E-3</v>
      </c>
      <c r="Y717" s="59">
        <f t="shared" si="75"/>
        <v>-1.8428189496988729E-3</v>
      </c>
    </row>
    <row r="718" spans="1:25" x14ac:dyDescent="0.3">
      <c r="A718" s="2">
        <v>43103</v>
      </c>
      <c r="B718" s="1">
        <v>43.057499999999997</v>
      </c>
      <c r="C718" s="1">
        <v>1204.2</v>
      </c>
      <c r="D718" s="1">
        <v>184.67</v>
      </c>
      <c r="E718" s="3">
        <f t="shared" si="70"/>
        <v>867.875</v>
      </c>
      <c r="F718" s="4">
        <f t="shared" si="71"/>
        <v>-34.9950000000008</v>
      </c>
      <c r="G718" s="4">
        <f t="shared" si="72"/>
        <v>34.9950000000008</v>
      </c>
      <c r="W718" s="59">
        <f t="shared" si="73"/>
        <v>-1.7417051337248623E-4</v>
      </c>
      <c r="X718" s="59">
        <f t="shared" si="74"/>
        <v>1.2694417946001181E-2</v>
      </c>
      <c r="Y718" s="59">
        <f t="shared" si="75"/>
        <v>1.7755663270983213E-2</v>
      </c>
    </row>
    <row r="719" spans="1:25" x14ac:dyDescent="0.3">
      <c r="A719" s="2">
        <v>43102</v>
      </c>
      <c r="B719" s="1">
        <v>43.064999999999998</v>
      </c>
      <c r="C719" s="1">
        <v>1189.01</v>
      </c>
      <c r="D719" s="1">
        <v>181.42</v>
      </c>
      <c r="E719" s="3">
        <f t="shared" si="70"/>
        <v>902.8700000000008</v>
      </c>
      <c r="F719" s="4">
        <f t="shared" si="71"/>
        <v>-22.244999999999436</v>
      </c>
      <c r="G719" s="4">
        <f t="shared" si="72"/>
        <v>22.244999999999436</v>
      </c>
      <c r="W719" s="59">
        <f t="shared" si="73"/>
        <v>1.7746226941033161E-2</v>
      </c>
      <c r="X719" s="59">
        <f t="shared" si="74"/>
        <v>1.6570373377159386E-2</v>
      </c>
      <c r="Y719" s="59">
        <f t="shared" si="75"/>
        <v>2.7720563392839223E-2</v>
      </c>
    </row>
    <row r="720" spans="1:25" x14ac:dyDescent="0.3">
      <c r="A720" s="2">
        <v>43101</v>
      </c>
      <c r="B720" s="1">
        <v>42.307499999999997</v>
      </c>
      <c r="C720" s="1">
        <v>1169.47</v>
      </c>
      <c r="D720" s="1">
        <v>176.46</v>
      </c>
      <c r="E720" s="3">
        <f t="shared" si="70"/>
        <v>925.11500000000024</v>
      </c>
      <c r="F720" s="4">
        <f t="shared" si="71"/>
        <v>0</v>
      </c>
      <c r="G720" s="4">
        <f t="shared" si="72"/>
        <v>0</v>
      </c>
      <c r="W720" s="59">
        <f t="shared" si="73"/>
        <v>0</v>
      </c>
      <c r="X720" s="59">
        <f t="shared" si="74"/>
        <v>0</v>
      </c>
      <c r="Y720" s="59">
        <f t="shared" si="75"/>
        <v>0</v>
      </c>
    </row>
    <row r="721" spans="1:25" x14ac:dyDescent="0.3">
      <c r="A721" s="2">
        <v>43098</v>
      </c>
      <c r="B721" s="1">
        <v>42.307499999999997</v>
      </c>
      <c r="C721" s="1">
        <v>1169.47</v>
      </c>
      <c r="D721" s="1">
        <v>176.46</v>
      </c>
      <c r="E721" s="3">
        <f t="shared" si="70"/>
        <v>925.11500000000024</v>
      </c>
      <c r="F721" s="4">
        <f t="shared" si="71"/>
        <v>-27.184999999999945</v>
      </c>
      <c r="G721" s="4">
        <f t="shared" si="72"/>
        <v>27.184999999999945</v>
      </c>
      <c r="W721" s="59">
        <f t="shared" si="73"/>
        <v>-1.0872546938713586E-2</v>
      </c>
      <c r="X721" s="59">
        <f t="shared" si="74"/>
        <v>-1.4119959328043252E-2</v>
      </c>
      <c r="Y721" s="59">
        <f t="shared" si="75"/>
        <v>-8.2397892682588014E-3</v>
      </c>
    </row>
    <row r="722" spans="1:25" x14ac:dyDescent="0.3">
      <c r="A722" s="2">
        <v>43097</v>
      </c>
      <c r="B722" s="1">
        <v>42.77</v>
      </c>
      <c r="C722" s="1">
        <v>1186.0999999999999</v>
      </c>
      <c r="D722" s="1">
        <v>177.92</v>
      </c>
      <c r="E722" s="3">
        <f t="shared" si="70"/>
        <v>952.30000000000018</v>
      </c>
      <c r="F722" s="4">
        <f t="shared" si="71"/>
        <v>7.6799999999998363</v>
      </c>
      <c r="G722" s="4">
        <f t="shared" si="72"/>
        <v>-7.6799999999998363</v>
      </c>
      <c r="W722" s="59">
        <f t="shared" si="73"/>
        <v>2.8096483011293425E-3</v>
      </c>
      <c r="X722" s="59">
        <f t="shared" si="74"/>
        <v>3.2427530991424479E-3</v>
      </c>
      <c r="Y722" s="59">
        <f t="shared" si="75"/>
        <v>1.6875742318593742E-3</v>
      </c>
    </row>
    <row r="723" spans="1:25" x14ac:dyDescent="0.3">
      <c r="A723" s="2">
        <v>43096</v>
      </c>
      <c r="B723" s="1">
        <v>42.65</v>
      </c>
      <c r="C723" s="1">
        <v>1182.26</v>
      </c>
      <c r="D723" s="1">
        <v>177.62</v>
      </c>
      <c r="E723" s="3">
        <f t="shared" si="70"/>
        <v>944.62000000000035</v>
      </c>
      <c r="F723" s="4">
        <f t="shared" si="71"/>
        <v>-21.224999999999909</v>
      </c>
      <c r="G723" s="4">
        <f t="shared" si="72"/>
        <v>21.224999999999909</v>
      </c>
      <c r="W723" s="59">
        <f t="shared" si="73"/>
        <v>1.7586540479718152E-4</v>
      </c>
      <c r="X723" s="59">
        <f t="shared" si="74"/>
        <v>4.6629617092141494E-3</v>
      </c>
      <c r="Y723" s="59">
        <f t="shared" si="75"/>
        <v>9.2192615882385493E-3</v>
      </c>
    </row>
    <row r="724" spans="1:25" x14ac:dyDescent="0.3">
      <c r="A724" s="2">
        <v>43095</v>
      </c>
      <c r="B724" s="1">
        <v>42.642499999999998</v>
      </c>
      <c r="C724" s="1">
        <v>1176.76</v>
      </c>
      <c r="D724" s="1">
        <v>175.99</v>
      </c>
      <c r="E724" s="3">
        <f t="shared" si="70"/>
        <v>965.84500000000025</v>
      </c>
      <c r="F724" s="4">
        <f t="shared" si="71"/>
        <v>-14.499999999999091</v>
      </c>
      <c r="G724" s="4">
        <f t="shared" si="72"/>
        <v>14.499999999999091</v>
      </c>
      <c r="W724" s="59">
        <f t="shared" si="73"/>
        <v>-2.5697345495284404E-2</v>
      </c>
      <c r="X724" s="59">
        <f t="shared" si="74"/>
        <v>7.1638431503917854E-3</v>
      </c>
      <c r="Y724" s="59">
        <f t="shared" si="75"/>
        <v>-6.8518629288608912E-3</v>
      </c>
    </row>
    <row r="725" spans="1:25" x14ac:dyDescent="0.3">
      <c r="A725" s="2">
        <v>43094</v>
      </c>
      <c r="B725" s="1">
        <v>43.752499999999998</v>
      </c>
      <c r="C725" s="1">
        <v>1168.3599999999999</v>
      </c>
      <c r="D725" s="1">
        <v>177.2</v>
      </c>
      <c r="E725" s="3">
        <f t="shared" si="70"/>
        <v>980.34499999999935</v>
      </c>
      <c r="F725" s="4">
        <f t="shared" si="71"/>
        <v>0</v>
      </c>
      <c r="G725" s="4">
        <f t="shared" si="72"/>
        <v>0</v>
      </c>
      <c r="W725" s="59">
        <f t="shared" si="73"/>
        <v>0</v>
      </c>
      <c r="X725" s="59">
        <f t="shared" si="74"/>
        <v>0</v>
      </c>
      <c r="Y725" s="59">
        <f t="shared" si="75"/>
        <v>0</v>
      </c>
    </row>
    <row r="726" spans="1:25" x14ac:dyDescent="0.3">
      <c r="A726" s="2">
        <v>43091</v>
      </c>
      <c r="B726" s="1">
        <v>43.752499999999998</v>
      </c>
      <c r="C726" s="1">
        <v>1168.3599999999999</v>
      </c>
      <c r="D726" s="1">
        <v>177.2</v>
      </c>
      <c r="E726" s="3">
        <f t="shared" si="70"/>
        <v>980.34499999999935</v>
      </c>
      <c r="F726" s="4">
        <f t="shared" si="71"/>
        <v>-7.8000000000010914</v>
      </c>
      <c r="G726" s="4">
        <f t="shared" si="72"/>
        <v>7.8000000000010914</v>
      </c>
      <c r="W726" s="59">
        <f t="shared" si="73"/>
        <v>0</v>
      </c>
      <c r="X726" s="59">
        <f t="shared" si="74"/>
        <v>-5.4628153196701577E-3</v>
      </c>
      <c r="Y726" s="59">
        <f t="shared" si="75"/>
        <v>-1.4098409215249571E-3</v>
      </c>
    </row>
    <row r="727" spans="1:25" x14ac:dyDescent="0.3">
      <c r="A727" s="2">
        <v>43090</v>
      </c>
      <c r="B727" s="1">
        <v>43.752499999999998</v>
      </c>
      <c r="C727" s="1">
        <v>1174.76</v>
      </c>
      <c r="D727" s="1">
        <v>177.45</v>
      </c>
      <c r="E727" s="3">
        <f t="shared" si="70"/>
        <v>988.14500000000044</v>
      </c>
      <c r="F727" s="4">
        <f t="shared" si="71"/>
        <v>11.330000000000382</v>
      </c>
      <c r="G727" s="4">
        <f t="shared" si="72"/>
        <v>-11.330000000000382</v>
      </c>
      <c r="W727" s="59">
        <f t="shared" si="73"/>
        <v>3.7783420264058997E-3</v>
      </c>
      <c r="X727" s="59">
        <f t="shared" si="74"/>
        <v>-2.4315811298908589E-3</v>
      </c>
      <c r="Y727" s="59">
        <f t="shared" si="75"/>
        <v>-2.4765026446729437E-3</v>
      </c>
    </row>
    <row r="728" spans="1:25" x14ac:dyDescent="0.3">
      <c r="A728" s="2">
        <v>43089</v>
      </c>
      <c r="B728" s="1">
        <v>43.587499999999999</v>
      </c>
      <c r="C728" s="1">
        <v>1177.6199999999999</v>
      </c>
      <c r="D728" s="1">
        <v>177.89</v>
      </c>
      <c r="E728" s="3">
        <f t="shared" si="70"/>
        <v>976.81500000000005</v>
      </c>
      <c r="F728" s="4">
        <f t="shared" si="71"/>
        <v>10.504999999999654</v>
      </c>
      <c r="G728" s="4">
        <f t="shared" si="72"/>
        <v>-10.504999999999654</v>
      </c>
      <c r="W728" s="59">
        <f t="shared" si="73"/>
        <v>-1.0891686135050998E-3</v>
      </c>
      <c r="X728" s="59">
        <f t="shared" si="74"/>
        <v>-8.2537466450136581E-3</v>
      </c>
      <c r="Y728" s="59">
        <f t="shared" si="75"/>
        <v>-9.0655349458003322E-3</v>
      </c>
    </row>
    <row r="729" spans="1:25" x14ac:dyDescent="0.3">
      <c r="A729" s="2">
        <v>43088</v>
      </c>
      <c r="B729" s="1">
        <v>43.634999999999998</v>
      </c>
      <c r="C729" s="1">
        <v>1187.3800000000001</v>
      </c>
      <c r="D729" s="1">
        <v>179.51</v>
      </c>
      <c r="E729" s="3">
        <f t="shared" si="70"/>
        <v>966.3100000000004</v>
      </c>
      <c r="F729" s="4">
        <f t="shared" si="71"/>
        <v>-3.6999999999998181</v>
      </c>
      <c r="G729" s="4">
        <f t="shared" si="72"/>
        <v>3.6999999999998181</v>
      </c>
      <c r="W729" s="59">
        <f t="shared" si="73"/>
        <v>-1.0713574095455545E-2</v>
      </c>
      <c r="X729" s="59">
        <f t="shared" si="74"/>
        <v>-2.6913841541594589E-3</v>
      </c>
      <c r="Y729" s="59">
        <f t="shared" si="75"/>
        <v>-7.2711446262416508E-3</v>
      </c>
    </row>
    <row r="730" spans="1:25" x14ac:dyDescent="0.3">
      <c r="A730" s="2">
        <v>43087</v>
      </c>
      <c r="B730" s="1">
        <v>44.104999999999997</v>
      </c>
      <c r="C730" s="1">
        <v>1190.58</v>
      </c>
      <c r="D730" s="1">
        <v>180.82</v>
      </c>
      <c r="E730" s="3">
        <f t="shared" si="70"/>
        <v>970.01000000000022</v>
      </c>
      <c r="F730" s="4">
        <f t="shared" si="71"/>
        <v>40.704999999999927</v>
      </c>
      <c r="G730" s="4">
        <f t="shared" si="72"/>
        <v>-40.704999999999927</v>
      </c>
      <c r="W730" s="59">
        <f t="shared" si="73"/>
        <v>1.3984645274161846E-2</v>
      </c>
      <c r="X730" s="59">
        <f t="shared" si="74"/>
        <v>9.6552241385410506E-3</v>
      </c>
      <c r="Y730" s="59">
        <f t="shared" si="75"/>
        <v>3.5457100859264926E-3</v>
      </c>
    </row>
    <row r="731" spans="1:25" x14ac:dyDescent="0.3">
      <c r="A731" s="2">
        <v>43084</v>
      </c>
      <c r="B731" s="1">
        <v>43.4925</v>
      </c>
      <c r="C731" s="1">
        <v>1179.1400000000001</v>
      </c>
      <c r="D731" s="1">
        <v>180.18</v>
      </c>
      <c r="E731" s="3">
        <f t="shared" si="70"/>
        <v>929.30500000000029</v>
      </c>
      <c r="F731" s="4">
        <f t="shared" si="71"/>
        <v>-4.1650000000004184</v>
      </c>
      <c r="G731" s="4">
        <f t="shared" si="72"/>
        <v>4.1650000000004184</v>
      </c>
      <c r="W731" s="59">
        <f t="shared" si="73"/>
        <v>1.0110141288439746E-2</v>
      </c>
      <c r="X731" s="59">
        <f t="shared" si="74"/>
        <v>4.1471972417419407E-3</v>
      </c>
      <c r="Y731" s="59">
        <f t="shared" si="75"/>
        <v>9.9841864601178301E-3</v>
      </c>
    </row>
    <row r="732" spans="1:25" x14ac:dyDescent="0.3">
      <c r="A732" s="2">
        <v>43083</v>
      </c>
      <c r="B732" s="1">
        <v>43.055</v>
      </c>
      <c r="C732" s="1">
        <v>1174.26</v>
      </c>
      <c r="D732" s="1">
        <v>178.39</v>
      </c>
      <c r="E732" s="3">
        <f t="shared" si="70"/>
        <v>933.47000000000071</v>
      </c>
      <c r="F732" s="4">
        <f t="shared" si="71"/>
        <v>17.835000000000491</v>
      </c>
      <c r="G732" s="4">
        <f t="shared" si="72"/>
        <v>-17.835000000000491</v>
      </c>
      <c r="W732" s="59">
        <f t="shared" si="73"/>
        <v>-2.9028419025872184E-4</v>
      </c>
      <c r="X732" s="59">
        <f t="shared" si="74"/>
        <v>8.6641350409289736E-3</v>
      </c>
      <c r="Y732" s="59">
        <f t="shared" si="75"/>
        <v>5.0463989408140665E-4</v>
      </c>
    </row>
    <row r="733" spans="1:25" x14ac:dyDescent="0.3">
      <c r="A733" s="2">
        <v>43082</v>
      </c>
      <c r="B733" s="1">
        <v>43.067500000000003</v>
      </c>
      <c r="C733" s="1">
        <v>1164.1300000000001</v>
      </c>
      <c r="D733" s="1">
        <v>178.3</v>
      </c>
      <c r="E733" s="3">
        <f t="shared" si="70"/>
        <v>915.63500000000022</v>
      </c>
      <c r="F733" s="4">
        <f t="shared" si="71"/>
        <v>-21.574999999999363</v>
      </c>
      <c r="G733" s="4">
        <f t="shared" si="72"/>
        <v>21.574999999999363</v>
      </c>
      <c r="W733" s="59">
        <f t="shared" si="73"/>
        <v>3.3142455548481132E-3</v>
      </c>
      <c r="X733" s="59">
        <f t="shared" si="74"/>
        <v>-8.1572726604997006E-4</v>
      </c>
      <c r="Y733" s="59">
        <f t="shared" si="75"/>
        <v>7.5438065351247389E-3</v>
      </c>
    </row>
    <row r="734" spans="1:25" x14ac:dyDescent="0.3">
      <c r="A734" s="2">
        <v>43081</v>
      </c>
      <c r="B734" s="1">
        <v>42.924999999999997</v>
      </c>
      <c r="C734" s="1">
        <v>1165.08</v>
      </c>
      <c r="D734" s="1">
        <v>176.96</v>
      </c>
      <c r="E734" s="3">
        <f t="shared" si="70"/>
        <v>937.20999999999958</v>
      </c>
      <c r="F734" s="4">
        <f t="shared" si="71"/>
        <v>21.794999999999163</v>
      </c>
      <c r="G734" s="4">
        <f t="shared" si="72"/>
        <v>-21.794999999999163</v>
      </c>
      <c r="W734" s="59">
        <f t="shared" si="73"/>
        <v>-5.6334905209090005E-3</v>
      </c>
      <c r="X734" s="59">
        <f t="shared" si="74"/>
        <v>-3.2904914008108827E-3</v>
      </c>
      <c r="Y734" s="59">
        <f t="shared" si="75"/>
        <v>-1.1685526229645056E-2</v>
      </c>
    </row>
    <row r="735" spans="1:25" x14ac:dyDescent="0.3">
      <c r="A735" s="2">
        <v>43080</v>
      </c>
      <c r="B735" s="1">
        <v>43.167499999999997</v>
      </c>
      <c r="C735" s="1">
        <v>1168.92</v>
      </c>
      <c r="D735" s="1">
        <v>179.04</v>
      </c>
      <c r="E735" s="3">
        <f t="shared" si="70"/>
        <v>915.41500000000042</v>
      </c>
      <c r="F735" s="4">
        <f t="shared" si="71"/>
        <v>54.290000000000418</v>
      </c>
      <c r="G735" s="4">
        <f t="shared" si="72"/>
        <v>-54.290000000000418</v>
      </c>
      <c r="W735" s="59">
        <f t="shared" si="73"/>
        <v>1.9296587521308941E-2</v>
      </c>
      <c r="X735" s="59">
        <f t="shared" si="74"/>
        <v>5.9375871590081463E-3</v>
      </c>
      <c r="Y735" s="59">
        <f t="shared" si="75"/>
        <v>2.2343872286002825E-4</v>
      </c>
    </row>
    <row r="736" spans="1:25" x14ac:dyDescent="0.3">
      <c r="A736" s="2">
        <v>43077</v>
      </c>
      <c r="B736" s="1">
        <v>42.342500000000001</v>
      </c>
      <c r="C736" s="1">
        <v>1162</v>
      </c>
      <c r="D736" s="1">
        <v>179</v>
      </c>
      <c r="E736" s="3">
        <f t="shared" si="70"/>
        <v>861.125</v>
      </c>
      <c r="F736" s="4">
        <f t="shared" si="71"/>
        <v>27.8449999999998</v>
      </c>
      <c r="G736" s="4">
        <f t="shared" si="72"/>
        <v>-27.8449999999998</v>
      </c>
      <c r="W736" s="59">
        <f t="shared" si="73"/>
        <v>2.9525525030693627E-4</v>
      </c>
      <c r="X736" s="59">
        <f t="shared" si="74"/>
        <v>1.9037041829248862E-3</v>
      </c>
      <c r="Y736" s="59">
        <f t="shared" si="75"/>
        <v>-6.3485205148416986E-3</v>
      </c>
    </row>
    <row r="737" spans="1:25" x14ac:dyDescent="0.3">
      <c r="A737" s="2">
        <v>43076</v>
      </c>
      <c r="B737" s="1">
        <v>42.33</v>
      </c>
      <c r="C737" s="1">
        <v>1159.79</v>
      </c>
      <c r="D737" s="1">
        <v>180.14</v>
      </c>
      <c r="E737" s="3">
        <f t="shared" si="70"/>
        <v>833.2800000000002</v>
      </c>
      <c r="F737" s="4">
        <f t="shared" si="71"/>
        <v>-62.8449999999998</v>
      </c>
      <c r="G737" s="4">
        <f t="shared" si="72"/>
        <v>62.8449999999998</v>
      </c>
      <c r="W737" s="59">
        <f t="shared" si="73"/>
        <v>1.8325308825863187E-3</v>
      </c>
      <c r="X737" s="59">
        <f t="shared" si="74"/>
        <v>6.4356186724323031E-3</v>
      </c>
      <c r="Y737" s="59">
        <f t="shared" si="75"/>
        <v>2.2909480322836635E-2</v>
      </c>
    </row>
    <row r="738" spans="1:25" x14ac:dyDescent="0.3">
      <c r="A738" s="2">
        <v>43075</v>
      </c>
      <c r="B738" s="1">
        <v>42.252499999999998</v>
      </c>
      <c r="C738" s="1">
        <v>1152.3499999999999</v>
      </c>
      <c r="D738" s="1">
        <v>176.06</v>
      </c>
      <c r="E738" s="3">
        <f t="shared" si="70"/>
        <v>896.125</v>
      </c>
      <c r="F738" s="4">
        <f t="shared" si="71"/>
        <v>-50.914999999999054</v>
      </c>
      <c r="G738" s="4">
        <f t="shared" si="72"/>
        <v>50.914999999999054</v>
      </c>
      <c r="W738" s="59">
        <f t="shared" si="73"/>
        <v>-3.7206598362532375E-3</v>
      </c>
      <c r="X738" s="59">
        <f t="shared" si="74"/>
        <v>9.3988276459670145E-3</v>
      </c>
      <c r="Y738" s="59">
        <f t="shared" si="75"/>
        <v>1.8516393620358628E-2</v>
      </c>
    </row>
    <row r="739" spans="1:25" x14ac:dyDescent="0.3">
      <c r="A739" s="2">
        <v>43074</v>
      </c>
      <c r="B739" s="1">
        <v>42.41</v>
      </c>
      <c r="C739" s="1">
        <v>1141.57</v>
      </c>
      <c r="D739" s="1">
        <v>172.83</v>
      </c>
      <c r="E739" s="3">
        <f t="shared" si="70"/>
        <v>947.03999999999905</v>
      </c>
      <c r="F739" s="4">
        <f t="shared" si="71"/>
        <v>-13.960000000000491</v>
      </c>
      <c r="G739" s="4">
        <f t="shared" si="72"/>
        <v>13.960000000000491</v>
      </c>
      <c r="W739" s="59">
        <f t="shared" si="73"/>
        <v>-9.42729270857073E-4</v>
      </c>
      <c r="X739" s="59">
        <f t="shared" si="74"/>
        <v>6.697395305661661E-3</v>
      </c>
      <c r="Y739" s="59">
        <f t="shared" si="75"/>
        <v>7.9001282216416557E-3</v>
      </c>
    </row>
    <row r="740" spans="1:25" x14ac:dyDescent="0.3">
      <c r="A740" s="2">
        <v>43073</v>
      </c>
      <c r="B740" s="1">
        <v>42.45</v>
      </c>
      <c r="C740" s="1">
        <v>1133.95</v>
      </c>
      <c r="D740" s="1">
        <v>171.47</v>
      </c>
      <c r="E740" s="3">
        <f t="shared" si="70"/>
        <v>960.99999999999955</v>
      </c>
      <c r="F740" s="4">
        <f t="shared" si="71"/>
        <v>0.17499999999972715</v>
      </c>
      <c r="G740" s="4">
        <f t="shared" si="72"/>
        <v>-0.17499999999972715</v>
      </c>
      <c r="W740" s="59">
        <f t="shared" si="73"/>
        <v>-7.3346375463667207E-3</v>
      </c>
      <c r="X740" s="59">
        <f t="shared" si="74"/>
        <v>-2.4736705273197868E-2</v>
      </c>
      <c r="Y740" s="59">
        <f t="shared" si="75"/>
        <v>-2.0948915101046191E-2</v>
      </c>
    </row>
    <row r="741" spans="1:25" x14ac:dyDescent="0.3">
      <c r="A741" s="2">
        <v>43070</v>
      </c>
      <c r="B741" s="1">
        <v>42.762500000000003</v>
      </c>
      <c r="C741" s="1">
        <v>1162.3499999999999</v>
      </c>
      <c r="D741" s="1">
        <v>175.1</v>
      </c>
      <c r="E741" s="3">
        <f t="shared" si="70"/>
        <v>960.82499999999982</v>
      </c>
      <c r="F741" s="4">
        <f t="shared" si="71"/>
        <v>2.8000000000001819</v>
      </c>
      <c r="G741" s="4">
        <f t="shared" si="72"/>
        <v>-2.8000000000001819</v>
      </c>
      <c r="W741" s="59">
        <f t="shared" si="73"/>
        <v>-4.666091872229057E-3</v>
      </c>
      <c r="X741" s="59">
        <f t="shared" si="74"/>
        <v>-1.2312583403182831E-2</v>
      </c>
      <c r="Y741" s="59">
        <f t="shared" si="75"/>
        <v>-1.1808925692080214E-2</v>
      </c>
    </row>
    <row r="742" spans="1:25" x14ac:dyDescent="0.3">
      <c r="A742" s="2">
        <v>43069</v>
      </c>
      <c r="B742" s="1">
        <v>42.962499999999999</v>
      </c>
      <c r="C742" s="1">
        <v>1176.75</v>
      </c>
      <c r="D742" s="1">
        <v>177.18</v>
      </c>
      <c r="E742" s="3">
        <f t="shared" si="70"/>
        <v>958.02499999999964</v>
      </c>
      <c r="F742" s="4">
        <f t="shared" si="71"/>
        <v>19.584999999999582</v>
      </c>
      <c r="G742" s="4">
        <f t="shared" si="72"/>
        <v>-19.584999999999582</v>
      </c>
      <c r="W742" s="59">
        <f t="shared" si="73"/>
        <v>1.3887077537484522E-2</v>
      </c>
      <c r="X742" s="59">
        <f t="shared" si="74"/>
        <v>1.3242167481277597E-2</v>
      </c>
      <c r="Y742" s="59">
        <f t="shared" si="75"/>
        <v>1.163760969931329E-2</v>
      </c>
    </row>
    <row r="743" spans="1:25" x14ac:dyDescent="0.3">
      <c r="A743" s="2">
        <v>43068</v>
      </c>
      <c r="B743" s="1">
        <v>42.37</v>
      </c>
      <c r="C743" s="1">
        <v>1161.27</v>
      </c>
      <c r="D743" s="1">
        <v>175.13</v>
      </c>
      <c r="E743" s="3">
        <f t="shared" si="70"/>
        <v>938.44</v>
      </c>
      <c r="F743" s="4">
        <f t="shared" si="71"/>
        <v>36.264999999999873</v>
      </c>
      <c r="G743" s="4">
        <f t="shared" si="72"/>
        <v>-36.264999999999873</v>
      </c>
      <c r="W743" s="59">
        <f t="shared" si="73"/>
        <v>-2.0961211178549322E-2</v>
      </c>
      <c r="X743" s="59">
        <f t="shared" si="74"/>
        <v>-2.7459716649522316E-2</v>
      </c>
      <c r="Y743" s="59">
        <f t="shared" si="75"/>
        <v>-4.0783165467439216E-2</v>
      </c>
    </row>
    <row r="744" spans="1:25" x14ac:dyDescent="0.3">
      <c r="A744" s="2">
        <v>43067</v>
      </c>
      <c r="B744" s="1">
        <v>43.267499999999998</v>
      </c>
      <c r="C744" s="1">
        <v>1193.5999999999999</v>
      </c>
      <c r="D744" s="1">
        <v>182.42</v>
      </c>
      <c r="E744" s="3">
        <f t="shared" si="70"/>
        <v>902.17500000000018</v>
      </c>
      <c r="F744" s="4">
        <f t="shared" si="71"/>
        <v>-5.0099999999997635</v>
      </c>
      <c r="G744" s="4">
        <f t="shared" si="72"/>
        <v>5.0099999999997635</v>
      </c>
      <c r="W744" s="59">
        <f t="shared" si="73"/>
        <v>-5.8762699337189415E-3</v>
      </c>
      <c r="X744" s="59">
        <f t="shared" si="74"/>
        <v>-1.8665544899395586E-3</v>
      </c>
      <c r="Y744" s="59">
        <f t="shared" si="75"/>
        <v>-3.3383530798585166E-3</v>
      </c>
    </row>
    <row r="745" spans="1:25" x14ac:dyDescent="0.3">
      <c r="A745" s="2">
        <v>43066</v>
      </c>
      <c r="B745" s="1">
        <v>43.522500000000001</v>
      </c>
      <c r="C745" s="1">
        <v>1195.83</v>
      </c>
      <c r="D745" s="1">
        <v>183.03</v>
      </c>
      <c r="E745" s="3">
        <f t="shared" si="70"/>
        <v>907.18499999999995</v>
      </c>
      <c r="F745" s="4">
        <f t="shared" si="71"/>
        <v>3.6599999999998545</v>
      </c>
      <c r="G745" s="4">
        <f t="shared" si="72"/>
        <v>-3.6599999999998545</v>
      </c>
      <c r="W745" s="59">
        <f t="shared" si="73"/>
        <v>-5.0421237859018418E-3</v>
      </c>
      <c r="X745" s="59">
        <f t="shared" si="74"/>
        <v>8.2542043817650738E-3</v>
      </c>
      <c r="Y745" s="59">
        <f t="shared" si="75"/>
        <v>1.3668299878152664E-3</v>
      </c>
    </row>
    <row r="746" spans="1:25" x14ac:dyDescent="0.3">
      <c r="A746" s="2">
        <v>43063</v>
      </c>
      <c r="B746" s="1">
        <v>43.7425</v>
      </c>
      <c r="C746" s="1">
        <v>1186</v>
      </c>
      <c r="D746" s="1">
        <v>182.78</v>
      </c>
      <c r="E746" s="3">
        <f t="shared" si="70"/>
        <v>903.52500000000009</v>
      </c>
      <c r="F746" s="4">
        <f t="shared" si="71"/>
        <v>21.605000000000473</v>
      </c>
      <c r="G746" s="4">
        <f t="shared" si="72"/>
        <v>-21.605000000000473</v>
      </c>
      <c r="W746" s="59">
        <f t="shared" si="73"/>
        <v>5.7154288015921329E-5</v>
      </c>
      <c r="X746" s="59">
        <f t="shared" si="74"/>
        <v>2.5482131598395377E-2</v>
      </c>
      <c r="Y746" s="59">
        <f t="shared" si="75"/>
        <v>1.0504702674631777E-2</v>
      </c>
    </row>
    <row r="747" spans="1:25" x14ac:dyDescent="0.3">
      <c r="A747" s="2">
        <v>43062</v>
      </c>
      <c r="B747" s="1">
        <v>43.74</v>
      </c>
      <c r="C747" s="1">
        <v>1156.1600000000001</v>
      </c>
      <c r="D747" s="1">
        <v>180.87</v>
      </c>
      <c r="E747" s="3">
        <f t="shared" si="70"/>
        <v>881.91999999999962</v>
      </c>
      <c r="F747" s="4">
        <f t="shared" si="71"/>
        <v>0</v>
      </c>
      <c r="G747" s="4">
        <f t="shared" si="72"/>
        <v>0</v>
      </c>
      <c r="W747" s="59">
        <f t="shared" si="73"/>
        <v>0</v>
      </c>
      <c r="X747" s="59">
        <f t="shared" si="74"/>
        <v>0</v>
      </c>
      <c r="Y747" s="59">
        <f t="shared" si="75"/>
        <v>0</v>
      </c>
    </row>
    <row r="748" spans="1:25" x14ac:dyDescent="0.3">
      <c r="A748" s="2">
        <v>43061</v>
      </c>
      <c r="B748" s="1">
        <v>43.74</v>
      </c>
      <c r="C748" s="1">
        <v>1156.1600000000001</v>
      </c>
      <c r="D748" s="1">
        <v>180.87</v>
      </c>
      <c r="E748" s="3">
        <f t="shared" si="70"/>
        <v>881.91999999999962</v>
      </c>
      <c r="F748" s="4">
        <f t="shared" si="71"/>
        <v>75.890000000000327</v>
      </c>
      <c r="G748" s="4">
        <f t="shared" si="72"/>
        <v>-75.890000000000327</v>
      </c>
      <c r="W748" s="59">
        <f t="shared" si="73"/>
        <v>1.0456860580884804E-2</v>
      </c>
      <c r="X748" s="59">
        <f t="shared" si="74"/>
        <v>1.4523375090894301E-2</v>
      </c>
      <c r="Y748" s="59">
        <f t="shared" si="75"/>
        <v>-5.4586191283429383E-3</v>
      </c>
    </row>
    <row r="749" spans="1:25" x14ac:dyDescent="0.3">
      <c r="A749" s="2">
        <v>43060</v>
      </c>
      <c r="B749" s="1">
        <v>43.284999999999997</v>
      </c>
      <c r="C749" s="1">
        <v>1139.49</v>
      </c>
      <c r="D749" s="1">
        <v>181.86</v>
      </c>
      <c r="E749" s="3">
        <f t="shared" si="70"/>
        <v>806.02999999999929</v>
      </c>
      <c r="F749" s="4">
        <f t="shared" si="71"/>
        <v>3.4599999999995816</v>
      </c>
      <c r="G749" s="4">
        <f t="shared" si="72"/>
        <v>-3.4599999999995816</v>
      </c>
      <c r="W749" s="59">
        <f t="shared" si="73"/>
        <v>1.8419732717147565E-2</v>
      </c>
      <c r="X749" s="59">
        <f t="shared" si="74"/>
        <v>1.1633991225005472E-2</v>
      </c>
      <c r="Y749" s="59">
        <f t="shared" si="75"/>
        <v>1.7304924344520918E-2</v>
      </c>
    </row>
    <row r="750" spans="1:25" x14ac:dyDescent="0.3">
      <c r="A750" s="2">
        <v>43059</v>
      </c>
      <c r="B750" s="1">
        <v>42.494999999999997</v>
      </c>
      <c r="C750" s="1">
        <v>1126.31</v>
      </c>
      <c r="D750" s="1">
        <v>178.74</v>
      </c>
      <c r="E750" s="3">
        <f t="shared" si="70"/>
        <v>802.56999999999971</v>
      </c>
      <c r="F750" s="4">
        <f t="shared" si="71"/>
        <v>-4.0650000000005093</v>
      </c>
      <c r="G750" s="4">
        <f t="shared" si="72"/>
        <v>4.0650000000005093</v>
      </c>
      <c r="W750" s="59">
        <f t="shared" si="73"/>
        <v>-9.9961787643464812E-4</v>
      </c>
      <c r="X750" s="59">
        <f t="shared" si="74"/>
        <v>-3.1646297336899161E-3</v>
      </c>
      <c r="Y750" s="59">
        <f t="shared" si="75"/>
        <v>-1.4535698875090171E-3</v>
      </c>
    </row>
    <row r="751" spans="1:25" x14ac:dyDescent="0.3">
      <c r="A751" s="2">
        <v>43056</v>
      </c>
      <c r="B751" s="1">
        <v>42.537500000000001</v>
      </c>
      <c r="C751" s="1">
        <v>1129.8800000000001</v>
      </c>
      <c r="D751" s="1">
        <v>179</v>
      </c>
      <c r="E751" s="3">
        <f t="shared" si="70"/>
        <v>806.63500000000022</v>
      </c>
      <c r="F751" s="4">
        <f t="shared" si="71"/>
        <v>-14.894999999999527</v>
      </c>
      <c r="G751" s="4">
        <f t="shared" si="72"/>
        <v>14.894999999999527</v>
      </c>
      <c r="W751" s="59">
        <f t="shared" si="73"/>
        <v>-5.5677799512330178E-3</v>
      </c>
      <c r="X751" s="59">
        <f t="shared" si="74"/>
        <v>-6.5368070199066904E-3</v>
      </c>
      <c r="Y751" s="59">
        <f t="shared" si="75"/>
        <v>-3.2906691898900776E-3</v>
      </c>
    </row>
    <row r="752" spans="1:25" x14ac:dyDescent="0.3">
      <c r="A752" s="2">
        <v>43055</v>
      </c>
      <c r="B752" s="1">
        <v>42.774999999999999</v>
      </c>
      <c r="C752" s="1">
        <v>1137.29</v>
      </c>
      <c r="D752" s="1">
        <v>179.59</v>
      </c>
      <c r="E752" s="3">
        <f t="shared" si="70"/>
        <v>821.52999999999975</v>
      </c>
      <c r="F752" s="4">
        <f t="shared" si="71"/>
        <v>13.649999999999636</v>
      </c>
      <c r="G752" s="4">
        <f t="shared" si="72"/>
        <v>-13.649999999999636</v>
      </c>
      <c r="W752" s="59">
        <f t="shared" si="73"/>
        <v>1.1876205199558535E-2</v>
      </c>
      <c r="X752" s="59">
        <f t="shared" si="74"/>
        <v>9.364108743296096E-3</v>
      </c>
      <c r="Y752" s="59">
        <f t="shared" si="75"/>
        <v>9.1738630744434523E-3</v>
      </c>
    </row>
    <row r="753" spans="1:25" x14ac:dyDescent="0.3">
      <c r="A753" s="2">
        <v>43054</v>
      </c>
      <c r="B753" s="1">
        <v>42.27</v>
      </c>
      <c r="C753" s="1">
        <v>1126.69</v>
      </c>
      <c r="D753" s="1">
        <v>177.95</v>
      </c>
      <c r="E753" s="3">
        <f t="shared" si="70"/>
        <v>807.88000000000011</v>
      </c>
      <c r="F753" s="4">
        <f t="shared" si="71"/>
        <v>-46.150000000000546</v>
      </c>
      <c r="G753" s="4">
        <f t="shared" si="72"/>
        <v>46.150000000000546</v>
      </c>
      <c r="W753" s="59">
        <f t="shared" si="73"/>
        <v>-1.3277910837308645E-2</v>
      </c>
      <c r="X753" s="59">
        <f t="shared" si="74"/>
        <v>-8.96835299857319E-3</v>
      </c>
      <c r="Y753" s="59">
        <f t="shared" si="75"/>
        <v>-6.7411945702135624E-4</v>
      </c>
    </row>
    <row r="754" spans="1:25" x14ac:dyDescent="0.3">
      <c r="A754" s="2">
        <v>43053</v>
      </c>
      <c r="B754" s="1">
        <v>42.835000000000001</v>
      </c>
      <c r="C754" s="1">
        <v>1136.8399999999999</v>
      </c>
      <c r="D754" s="1">
        <v>178.07</v>
      </c>
      <c r="E754" s="3">
        <f t="shared" si="70"/>
        <v>854.03000000000065</v>
      </c>
      <c r="F754" s="4">
        <f t="shared" si="71"/>
        <v>-3.5349999999993997</v>
      </c>
      <c r="G754" s="4">
        <f t="shared" si="72"/>
        <v>3.5349999999993997</v>
      </c>
      <c r="W754" s="59">
        <f t="shared" si="73"/>
        <v>-1.5232984020560969E-2</v>
      </c>
      <c r="X754" s="59">
        <f t="shared" si="74"/>
        <v>6.7696341072394969E-3</v>
      </c>
      <c r="Y754" s="59">
        <f t="shared" si="75"/>
        <v>-3.9233320137742993E-3</v>
      </c>
    </row>
    <row r="755" spans="1:25" x14ac:dyDescent="0.3">
      <c r="A755" s="2">
        <v>43052</v>
      </c>
      <c r="B755" s="1">
        <v>43.4925</v>
      </c>
      <c r="C755" s="1">
        <v>1129.17</v>
      </c>
      <c r="D755" s="1">
        <v>178.77</v>
      </c>
      <c r="E755" s="3">
        <f t="shared" si="70"/>
        <v>857.56500000000005</v>
      </c>
      <c r="F755" s="4">
        <f t="shared" si="71"/>
        <v>-7.3099999999994907</v>
      </c>
      <c r="G755" s="4">
        <f t="shared" si="72"/>
        <v>7.3099999999994907</v>
      </c>
      <c r="W755" s="59">
        <f t="shared" si="73"/>
        <v>-4.0156088838425369E-3</v>
      </c>
      <c r="X755" s="59">
        <f t="shared" si="74"/>
        <v>3.3887511804048384E-3</v>
      </c>
      <c r="Y755" s="59">
        <f t="shared" si="75"/>
        <v>1.7355769549918037E-3</v>
      </c>
    </row>
    <row r="756" spans="1:25" x14ac:dyDescent="0.3">
      <c r="A756" s="2">
        <v>43049</v>
      </c>
      <c r="B756" s="1">
        <v>43.667499999999997</v>
      </c>
      <c r="C756" s="1">
        <v>1125.3499999999999</v>
      </c>
      <c r="D756" s="1">
        <v>178.46</v>
      </c>
      <c r="E756" s="3">
        <f t="shared" si="70"/>
        <v>864.87499999999955</v>
      </c>
      <c r="F756" s="4">
        <f t="shared" si="71"/>
        <v>-5.885000000000673</v>
      </c>
      <c r="G756" s="4">
        <f t="shared" si="72"/>
        <v>5.885000000000673</v>
      </c>
      <c r="W756" s="59">
        <f t="shared" si="73"/>
        <v>-6.9034648723079357E-3</v>
      </c>
      <c r="X756" s="59">
        <f t="shared" si="74"/>
        <v>-3.3533263032811604E-3</v>
      </c>
      <c r="Y756" s="59">
        <f t="shared" si="75"/>
        <v>-4.6958941390817946E-3</v>
      </c>
    </row>
    <row r="757" spans="1:25" x14ac:dyDescent="0.3">
      <c r="A757" s="2">
        <v>43048</v>
      </c>
      <c r="B757" s="1">
        <v>43.97</v>
      </c>
      <c r="C757" s="1">
        <v>1129.1300000000001</v>
      </c>
      <c r="D757" s="1">
        <v>179.3</v>
      </c>
      <c r="E757" s="3">
        <f t="shared" si="70"/>
        <v>870.76000000000022</v>
      </c>
      <c r="F757" s="4">
        <f t="shared" si="71"/>
        <v>-6.8000000000001819</v>
      </c>
      <c r="G757" s="4">
        <f t="shared" si="72"/>
        <v>6.8000000000001819</v>
      </c>
      <c r="W757" s="59">
        <f t="shared" si="73"/>
        <v>-2.0447581814783686E-3</v>
      </c>
      <c r="X757" s="59">
        <f t="shared" si="74"/>
        <v>-3.3156382469173018E-3</v>
      </c>
      <c r="Y757" s="59">
        <f t="shared" si="75"/>
        <v>-1.4490333026441686E-3</v>
      </c>
    </row>
    <row r="758" spans="1:25" x14ac:dyDescent="0.3">
      <c r="A758" s="2">
        <v>43047</v>
      </c>
      <c r="B758" s="1">
        <v>44.06</v>
      </c>
      <c r="C758" s="1">
        <v>1132.8800000000001</v>
      </c>
      <c r="D758" s="1">
        <v>179.56</v>
      </c>
      <c r="E758" s="3">
        <f t="shared" si="70"/>
        <v>877.5600000000004</v>
      </c>
      <c r="F758" s="4">
        <f t="shared" si="71"/>
        <v>51.095000000000255</v>
      </c>
      <c r="G758" s="4">
        <f t="shared" si="72"/>
        <v>-51.095000000000255</v>
      </c>
      <c r="W758" s="59">
        <f t="shared" si="73"/>
        <v>8.1470326709951035E-3</v>
      </c>
      <c r="X758" s="59">
        <f t="shared" si="74"/>
        <v>8.6080184016684887E-3</v>
      </c>
      <c r="Y758" s="59">
        <f t="shared" si="75"/>
        <v>-3.8353622513270539E-3</v>
      </c>
    </row>
    <row r="759" spans="1:25" x14ac:dyDescent="0.3">
      <c r="A759" s="2">
        <v>43046</v>
      </c>
      <c r="B759" s="1">
        <v>43.702500000000001</v>
      </c>
      <c r="C759" s="1">
        <v>1123.17</v>
      </c>
      <c r="D759" s="1">
        <v>180.25</v>
      </c>
      <c r="E759" s="3">
        <f t="shared" si="70"/>
        <v>826.46500000000015</v>
      </c>
      <c r="F759" s="4">
        <f t="shared" si="71"/>
        <v>10.420000000000073</v>
      </c>
      <c r="G759" s="4">
        <f t="shared" si="72"/>
        <v>-10.420000000000073</v>
      </c>
      <c r="W759" s="59">
        <f t="shared" si="73"/>
        <v>3.208620182459215E-3</v>
      </c>
      <c r="X759" s="59">
        <f t="shared" si="74"/>
        <v>2.2372470703543048E-3</v>
      </c>
      <c r="Y759" s="59">
        <f t="shared" si="75"/>
        <v>4.4392653744981916E-4</v>
      </c>
    </row>
    <row r="760" spans="1:25" x14ac:dyDescent="0.3">
      <c r="A760" s="2">
        <v>43045</v>
      </c>
      <c r="B760" s="1">
        <v>43.5625</v>
      </c>
      <c r="C760" s="1">
        <v>1120.6600000000001</v>
      </c>
      <c r="D760" s="1">
        <v>180.17</v>
      </c>
      <c r="E760" s="3">
        <f t="shared" si="70"/>
        <v>816.04500000000007</v>
      </c>
      <c r="F760" s="4">
        <f t="shared" si="71"/>
        <v>14.994999999999891</v>
      </c>
      <c r="G760" s="4">
        <f t="shared" si="72"/>
        <v>-14.994999999999891</v>
      </c>
      <c r="W760" s="59">
        <f t="shared" si="73"/>
        <v>1.0093813169218906E-2</v>
      </c>
      <c r="X760" s="59">
        <f t="shared" si="74"/>
        <v>8.1173785744320884E-3</v>
      </c>
      <c r="Y760" s="59">
        <f t="shared" si="75"/>
        <v>6.9620710629613768E-3</v>
      </c>
    </row>
    <row r="761" spans="1:25" x14ac:dyDescent="0.3">
      <c r="A761" s="2">
        <v>43042</v>
      </c>
      <c r="B761" s="1">
        <v>43.125</v>
      </c>
      <c r="C761" s="1">
        <v>1111.5999999999999</v>
      </c>
      <c r="D761" s="1">
        <v>178.92</v>
      </c>
      <c r="E761" s="3">
        <f t="shared" si="70"/>
        <v>801.05000000000018</v>
      </c>
      <c r="F761" s="4">
        <f t="shared" si="71"/>
        <v>89.634999999999309</v>
      </c>
      <c r="G761" s="4">
        <f t="shared" si="72"/>
        <v>-89.634999999999309</v>
      </c>
      <c r="W761" s="59">
        <f t="shared" si="73"/>
        <v>2.5778709426447093E-2</v>
      </c>
      <c r="X761" s="59">
        <f t="shared" si="74"/>
        <v>1.5758638211552732E-2</v>
      </c>
      <c r="Y761" s="59">
        <f t="shared" si="75"/>
        <v>0</v>
      </c>
    </row>
    <row r="762" spans="1:25" x14ac:dyDescent="0.3">
      <c r="A762" s="2">
        <v>43041</v>
      </c>
      <c r="B762" s="1">
        <v>42.027500000000003</v>
      </c>
      <c r="C762" s="1">
        <v>1094.22</v>
      </c>
      <c r="D762" s="1">
        <v>178.92</v>
      </c>
      <c r="E762" s="3">
        <f t="shared" si="70"/>
        <v>711.41500000000087</v>
      </c>
      <c r="F762" s="4">
        <f t="shared" si="71"/>
        <v>71.130000000000109</v>
      </c>
      <c r="G762" s="4">
        <f t="shared" si="72"/>
        <v>-71.130000000000109</v>
      </c>
      <c r="W762" s="59">
        <f t="shared" si="73"/>
        <v>7.2836142896558582E-3</v>
      </c>
      <c r="X762" s="59">
        <f t="shared" si="74"/>
        <v>-8.6082700916803503E-3</v>
      </c>
      <c r="Y762" s="59">
        <f t="shared" si="75"/>
        <v>-2.0687722698885559E-2</v>
      </c>
    </row>
    <row r="763" spans="1:25" x14ac:dyDescent="0.3">
      <c r="A763" s="2">
        <v>43040</v>
      </c>
      <c r="B763" s="1">
        <v>41.722499999999997</v>
      </c>
      <c r="C763" s="1">
        <v>1103.68</v>
      </c>
      <c r="D763" s="1">
        <v>182.66</v>
      </c>
      <c r="E763" s="3">
        <f t="shared" si="70"/>
        <v>640.28500000000076</v>
      </c>
      <c r="F763" s="4">
        <f t="shared" si="71"/>
        <v>-82.074999999998909</v>
      </c>
      <c r="G763" s="4">
        <f t="shared" si="72"/>
        <v>82.074999999998909</v>
      </c>
      <c r="W763" s="59">
        <f t="shared" si="73"/>
        <v>-1.2800460552489778E-2</v>
      </c>
      <c r="X763" s="59">
        <f t="shared" si="74"/>
        <v>-1.4486457697829532E-3</v>
      </c>
      <c r="Y763" s="59">
        <f t="shared" si="75"/>
        <v>1.4336372583202165E-2</v>
      </c>
    </row>
    <row r="764" spans="1:25" x14ac:dyDescent="0.3">
      <c r="A764" s="2">
        <v>43039</v>
      </c>
      <c r="B764" s="1">
        <v>42.26</v>
      </c>
      <c r="C764" s="1">
        <v>1105.28</v>
      </c>
      <c r="D764" s="1">
        <v>180.06</v>
      </c>
      <c r="E764" s="3">
        <f t="shared" si="70"/>
        <v>722.35999999999967</v>
      </c>
      <c r="F764" s="4">
        <f t="shared" si="71"/>
        <v>14.059999999999945</v>
      </c>
      <c r="G764" s="4">
        <f t="shared" si="72"/>
        <v>-14.059999999999945</v>
      </c>
      <c r="W764" s="59">
        <f t="shared" si="73"/>
        <v>1.3819614742799051E-2</v>
      </c>
      <c r="X764" s="59">
        <f t="shared" si="74"/>
        <v>-5.0267915048775253E-3</v>
      </c>
      <c r="Y764" s="59">
        <f t="shared" si="75"/>
        <v>1.0557609404512891E-3</v>
      </c>
    </row>
    <row r="765" spans="1:25" x14ac:dyDescent="0.3">
      <c r="A765" s="2">
        <v>43038</v>
      </c>
      <c r="B765" s="1">
        <v>41.68</v>
      </c>
      <c r="C765" s="1">
        <v>1110.8499999999999</v>
      </c>
      <c r="D765" s="1">
        <v>179.87</v>
      </c>
      <c r="E765" s="3">
        <f t="shared" si="70"/>
        <v>708.29999999999973</v>
      </c>
      <c r="F765" s="4">
        <f t="shared" si="71"/>
        <v>25.874999999999091</v>
      </c>
      <c r="G765" s="4">
        <f t="shared" si="72"/>
        <v>-25.874999999999091</v>
      </c>
      <c r="W765" s="59">
        <f t="shared" si="73"/>
        <v>2.2258856329673924E-2</v>
      </c>
      <c r="X765" s="59">
        <f t="shared" si="74"/>
        <v>8.9520445923419439E-3</v>
      </c>
      <c r="Y765" s="59">
        <f t="shared" si="75"/>
        <v>1.1125202097383654E-2</v>
      </c>
    </row>
    <row r="766" spans="1:25" x14ac:dyDescent="0.3">
      <c r="A766" s="2">
        <v>43035</v>
      </c>
      <c r="B766" s="1">
        <v>40.762500000000003</v>
      </c>
      <c r="C766" s="1">
        <v>1100.95</v>
      </c>
      <c r="D766" s="1">
        <v>177.88</v>
      </c>
      <c r="E766" s="3">
        <f t="shared" si="70"/>
        <v>682.42500000000064</v>
      </c>
      <c r="F766" s="4">
        <f t="shared" si="71"/>
        <v>182.54020000000037</v>
      </c>
      <c r="G766" s="4">
        <f t="shared" si="72"/>
        <v>-182.54020000000037</v>
      </c>
      <c r="W766" s="59">
        <f t="shared" si="73"/>
        <v>3.5203035868598229E-2</v>
      </c>
      <c r="X766" s="59">
        <f t="shared" si="74"/>
        <v>0.12413073179845519</v>
      </c>
      <c r="Y766" s="59">
        <f t="shared" si="75"/>
        <v>4.1611696103322174E-2</v>
      </c>
    </row>
    <row r="767" spans="1:25" x14ac:dyDescent="0.3">
      <c r="A767" s="2">
        <v>43034</v>
      </c>
      <c r="B767" s="1">
        <v>39.352499999999999</v>
      </c>
      <c r="C767" s="1">
        <v>972.42989999999998</v>
      </c>
      <c r="D767" s="1">
        <v>170.63</v>
      </c>
      <c r="E767" s="3">
        <f t="shared" si="70"/>
        <v>499.88480000000027</v>
      </c>
      <c r="F767" s="4">
        <f t="shared" si="71"/>
        <v>10.940000000000055</v>
      </c>
      <c r="G767" s="4">
        <f t="shared" si="72"/>
        <v>-10.940000000000055</v>
      </c>
      <c r="W767" s="59">
        <f t="shared" si="73"/>
        <v>6.3731016805799413E-3</v>
      </c>
      <c r="X767" s="59">
        <f t="shared" si="74"/>
        <v>-4.9348706045207079E-4</v>
      </c>
      <c r="Y767" s="59">
        <f t="shared" si="75"/>
        <v>1.7583448159474348E-4</v>
      </c>
    </row>
    <row r="768" spans="1:25" x14ac:dyDescent="0.3">
      <c r="A768" s="2">
        <v>43033</v>
      </c>
      <c r="B768" s="1">
        <v>39.102499999999999</v>
      </c>
      <c r="C768" s="1">
        <v>972.90989999999999</v>
      </c>
      <c r="D768" s="1">
        <v>170.6</v>
      </c>
      <c r="E768" s="3">
        <f t="shared" si="70"/>
        <v>488.94480000000021</v>
      </c>
      <c r="F768" s="4">
        <f t="shared" si="71"/>
        <v>9.3950000000004366</v>
      </c>
      <c r="G768" s="4">
        <f t="shared" si="72"/>
        <v>-9.3950000000004366</v>
      </c>
      <c r="W768" s="59">
        <f t="shared" si="73"/>
        <v>-4.4017805754252856E-3</v>
      </c>
      <c r="X768" s="59">
        <f t="shared" si="74"/>
        <v>-3.0685419851033723E-3</v>
      </c>
      <c r="Y768" s="59">
        <f t="shared" si="75"/>
        <v>-7.0093744925763882E-3</v>
      </c>
    </row>
    <row r="769" spans="1:25" x14ac:dyDescent="0.3">
      <c r="A769" s="2">
        <v>43032</v>
      </c>
      <c r="B769" s="1">
        <v>39.274999999999999</v>
      </c>
      <c r="C769" s="1">
        <v>975.8999</v>
      </c>
      <c r="D769" s="1">
        <v>171.8</v>
      </c>
      <c r="E769" s="3">
        <f t="shared" si="70"/>
        <v>479.54979999999978</v>
      </c>
      <c r="F769" s="4">
        <f t="shared" si="71"/>
        <v>20.224800000000414</v>
      </c>
      <c r="G769" s="4">
        <f t="shared" si="72"/>
        <v>-20.224800000000414</v>
      </c>
      <c r="W769" s="59">
        <f t="shared" si="73"/>
        <v>5.9373877618210304E-3</v>
      </c>
      <c r="X769" s="59">
        <f t="shared" si="74"/>
        <v>9.8856746726321432E-3</v>
      </c>
      <c r="Y769" s="59">
        <f t="shared" si="75"/>
        <v>3.0897509058774521E-3</v>
      </c>
    </row>
    <row r="770" spans="1:25" x14ac:dyDescent="0.3">
      <c r="A770" s="2">
        <v>43031</v>
      </c>
      <c r="B770" s="1">
        <v>39.042499999999997</v>
      </c>
      <c r="C770" s="1">
        <v>966.3</v>
      </c>
      <c r="D770" s="1">
        <v>171.27</v>
      </c>
      <c r="E770" s="3">
        <f t="shared" si="70"/>
        <v>459.32499999999936</v>
      </c>
      <c r="F770" s="4">
        <f t="shared" si="71"/>
        <v>39.980199999999058</v>
      </c>
      <c r="G770" s="4">
        <f t="shared" si="72"/>
        <v>-39.980199999999058</v>
      </c>
      <c r="W770" s="59">
        <f t="shared" si="73"/>
        <v>-5.1213111675649757E-4</v>
      </c>
      <c r="X770" s="59">
        <f t="shared" si="74"/>
        <v>-1.7043112751818593E-2</v>
      </c>
      <c r="Y770" s="59">
        <f t="shared" si="75"/>
        <v>-2.1430423033840899E-2</v>
      </c>
    </row>
    <row r="771" spans="1:25" x14ac:dyDescent="0.3">
      <c r="A771" s="2">
        <v>43028</v>
      </c>
      <c r="B771" s="1">
        <v>39.0625</v>
      </c>
      <c r="C771" s="1">
        <v>982.90989999999999</v>
      </c>
      <c r="D771" s="1">
        <v>174.98</v>
      </c>
      <c r="E771" s="3">
        <f t="shared" si="70"/>
        <v>419.3448000000003</v>
      </c>
      <c r="F771" s="4">
        <f t="shared" si="71"/>
        <v>-12.425399999999627</v>
      </c>
      <c r="G771" s="4">
        <f t="shared" si="72"/>
        <v>12.425399999999627</v>
      </c>
      <c r="W771" s="59">
        <f t="shared" si="73"/>
        <v>1.7294947141589226E-3</v>
      </c>
      <c r="X771" s="59">
        <f t="shared" si="74"/>
        <v>-3.7574681683446472E-3</v>
      </c>
      <c r="Y771" s="59">
        <f t="shared" si="75"/>
        <v>2.4031595933577568E-3</v>
      </c>
    </row>
    <row r="772" spans="1:25" x14ac:dyDescent="0.3">
      <c r="A772" s="2">
        <v>43027</v>
      </c>
      <c r="B772" s="1">
        <v>38.994999999999997</v>
      </c>
      <c r="C772" s="1">
        <v>986.61009999999999</v>
      </c>
      <c r="D772" s="1">
        <v>174.56</v>
      </c>
      <c r="E772" s="3">
        <f t="shared" si="70"/>
        <v>431.77019999999993</v>
      </c>
      <c r="F772" s="4">
        <f t="shared" si="71"/>
        <v>-38.629800000000159</v>
      </c>
      <c r="G772" s="4">
        <f t="shared" si="72"/>
        <v>38.629800000000159</v>
      </c>
      <c r="W772" s="59">
        <f t="shared" si="73"/>
        <v>-2.3944895205207848E-2</v>
      </c>
      <c r="X772" s="59">
        <f t="shared" si="74"/>
        <v>-1.0475844036412272E-2</v>
      </c>
      <c r="Y772" s="59">
        <f t="shared" si="75"/>
        <v>-8.3859129731202083E-3</v>
      </c>
    </row>
    <row r="773" spans="1:25" x14ac:dyDescent="0.3">
      <c r="A773" s="2">
        <v>43026</v>
      </c>
      <c r="B773" s="1">
        <v>39.94</v>
      </c>
      <c r="C773" s="1">
        <v>997</v>
      </c>
      <c r="D773" s="1">
        <v>176.03</v>
      </c>
      <c r="E773" s="3">
        <f t="shared" si="70"/>
        <v>470.40000000000009</v>
      </c>
      <c r="F773" s="4">
        <f t="shared" si="71"/>
        <v>-31.534999999999854</v>
      </c>
      <c r="G773" s="4">
        <f t="shared" si="72"/>
        <v>31.534999999999854</v>
      </c>
      <c r="W773" s="59">
        <f t="shared" si="73"/>
        <v>-4.4343201037087146E-3</v>
      </c>
      <c r="X773" s="59">
        <f t="shared" si="74"/>
        <v>-1.2093082528629832E-2</v>
      </c>
      <c r="Y773" s="59">
        <f t="shared" si="75"/>
        <v>-4.5436474911296417E-4</v>
      </c>
    </row>
    <row r="774" spans="1:25" x14ac:dyDescent="0.3">
      <c r="A774" s="2">
        <v>43025</v>
      </c>
      <c r="B774" s="1">
        <v>40.1175</v>
      </c>
      <c r="C774" s="1">
        <v>1009.13</v>
      </c>
      <c r="D774" s="1">
        <v>176.11</v>
      </c>
      <c r="E774" s="3">
        <f t="shared" ref="E774:E837" si="76">50*B774+2*C774-20*D774</f>
        <v>501.93499999999995</v>
      </c>
      <c r="F774" s="4">
        <f t="shared" ref="F774:F837" si="77">E774-E775</f>
        <v>-18.845000000000255</v>
      </c>
      <c r="G774" s="4">
        <f t="shared" ref="G774:G837" si="78">-F774</f>
        <v>18.845000000000255</v>
      </c>
      <c r="W774" s="59">
        <f t="shared" ref="W774:W837" si="79">LN(B774/B775)</f>
        <v>3.6834753681455868E-3</v>
      </c>
      <c r="X774" s="59">
        <f t="shared" ref="X774:X837" si="80">LN(C774/C775)</f>
        <v>2.768586763513345E-3</v>
      </c>
      <c r="Y774" s="59">
        <f t="shared" ref="Y774:Y837" si="81">LN(D774/D775)</f>
        <v>9.0694515515850078E-3</v>
      </c>
    </row>
    <row r="775" spans="1:25" x14ac:dyDescent="0.3">
      <c r="A775" s="2">
        <v>43024</v>
      </c>
      <c r="B775" s="1">
        <v>39.97</v>
      </c>
      <c r="C775" s="1">
        <v>1006.34</v>
      </c>
      <c r="D775" s="1">
        <v>174.52</v>
      </c>
      <c r="E775" s="3">
        <f t="shared" si="76"/>
        <v>520.7800000000002</v>
      </c>
      <c r="F775" s="4">
        <f t="shared" si="77"/>
        <v>27.325000000000273</v>
      </c>
      <c r="G775" s="4">
        <f t="shared" si="78"/>
        <v>-27.325000000000273</v>
      </c>
      <c r="W775" s="59">
        <f t="shared" si="79"/>
        <v>1.8241424790896469E-2</v>
      </c>
      <c r="X775" s="59">
        <f t="shared" si="80"/>
        <v>3.3843000927237308E-3</v>
      </c>
      <c r="Y775" s="59">
        <f t="shared" si="81"/>
        <v>4.4794194236344809E-3</v>
      </c>
    </row>
    <row r="776" spans="1:25" x14ac:dyDescent="0.3">
      <c r="A776" s="2">
        <v>43021</v>
      </c>
      <c r="B776" s="1">
        <v>39.247500000000002</v>
      </c>
      <c r="C776" s="1">
        <v>1002.94</v>
      </c>
      <c r="D776" s="1">
        <v>173.74</v>
      </c>
      <c r="E776" s="3">
        <f t="shared" si="76"/>
        <v>493.45499999999993</v>
      </c>
      <c r="F776" s="4">
        <f t="shared" si="77"/>
        <v>-7.4049999999997453</v>
      </c>
      <c r="G776" s="4">
        <f t="shared" si="78"/>
        <v>7.4049999999997453</v>
      </c>
      <c r="W776" s="59">
        <f t="shared" si="79"/>
        <v>6.3261018026892456E-3</v>
      </c>
      <c r="X776" s="59">
        <f t="shared" si="80"/>
        <v>2.0061188341619508E-3</v>
      </c>
      <c r="Y776" s="59">
        <f t="shared" si="81"/>
        <v>6.8728792877620504E-3</v>
      </c>
    </row>
    <row r="777" spans="1:25" x14ac:dyDescent="0.3">
      <c r="A777" s="2">
        <v>43020</v>
      </c>
      <c r="B777" s="1">
        <v>39</v>
      </c>
      <c r="C777" s="1">
        <v>1000.93</v>
      </c>
      <c r="D777" s="1">
        <v>172.55</v>
      </c>
      <c r="E777" s="3">
        <f t="shared" si="76"/>
        <v>500.85999999999967</v>
      </c>
      <c r="F777" s="4">
        <f t="shared" si="77"/>
        <v>8.7849999999998545</v>
      </c>
      <c r="G777" s="4">
        <f t="shared" si="78"/>
        <v>-8.7849999999998545</v>
      </c>
      <c r="W777" s="59">
        <f t="shared" si="79"/>
        <v>-3.5194405228776925E-3</v>
      </c>
      <c r="X777" s="59">
        <f t="shared" si="80"/>
        <v>5.9421096414764302E-3</v>
      </c>
      <c r="Y777" s="59">
        <f t="shared" si="81"/>
        <v>-1.1005243081270786E-3</v>
      </c>
    </row>
    <row r="778" spans="1:25" x14ac:dyDescent="0.3">
      <c r="A778" s="2">
        <v>43019</v>
      </c>
      <c r="B778" s="1">
        <v>39.137500000000003</v>
      </c>
      <c r="C778" s="1">
        <v>995</v>
      </c>
      <c r="D778" s="1">
        <v>172.74</v>
      </c>
      <c r="E778" s="3">
        <f t="shared" si="76"/>
        <v>492.07499999999982</v>
      </c>
      <c r="F778" s="4">
        <f t="shared" si="77"/>
        <v>0.72499999999990905</v>
      </c>
      <c r="G778" s="4">
        <f t="shared" si="78"/>
        <v>-0.72499999999990905</v>
      </c>
      <c r="W778" s="59">
        <f t="shared" si="79"/>
        <v>4.1606717086839096E-3</v>
      </c>
      <c r="X778" s="59">
        <f t="shared" si="80"/>
        <v>7.8700840074693527E-3</v>
      </c>
      <c r="Y778" s="59">
        <f t="shared" si="81"/>
        <v>6.6796635546099437E-3</v>
      </c>
    </row>
    <row r="779" spans="1:25" x14ac:dyDescent="0.3">
      <c r="A779" s="2">
        <v>43018</v>
      </c>
      <c r="B779" s="1">
        <v>38.975000000000001</v>
      </c>
      <c r="C779" s="1">
        <v>987.2</v>
      </c>
      <c r="D779" s="1">
        <v>171.59</v>
      </c>
      <c r="E779" s="3">
        <f t="shared" si="76"/>
        <v>491.34999999999991</v>
      </c>
      <c r="F779" s="4">
        <f t="shared" si="77"/>
        <v>11.369999999999891</v>
      </c>
      <c r="G779" s="4">
        <f t="shared" si="78"/>
        <v>-11.369999999999891</v>
      </c>
      <c r="W779" s="59">
        <f t="shared" si="79"/>
        <v>3.8493616950590253E-4</v>
      </c>
      <c r="X779" s="59">
        <f t="shared" si="80"/>
        <v>-3.8317903105957139E-3</v>
      </c>
      <c r="Y779" s="59">
        <f t="shared" si="81"/>
        <v>-5.2893261738847126E-3</v>
      </c>
    </row>
    <row r="780" spans="1:25" x14ac:dyDescent="0.3">
      <c r="A780" s="2">
        <v>43017</v>
      </c>
      <c r="B780" s="1">
        <v>38.96</v>
      </c>
      <c r="C780" s="1">
        <v>990.99</v>
      </c>
      <c r="D780" s="1">
        <v>172.5</v>
      </c>
      <c r="E780" s="3">
        <f t="shared" si="76"/>
        <v>479.98</v>
      </c>
      <c r="F780" s="4">
        <f t="shared" si="77"/>
        <v>4.1697999999996682</v>
      </c>
      <c r="G780" s="4">
        <f t="shared" si="78"/>
        <v>-4.1697999999996682</v>
      </c>
      <c r="W780" s="59">
        <f t="shared" si="79"/>
        <v>3.4711097395836001E-3</v>
      </c>
      <c r="X780" s="59">
        <f t="shared" si="80"/>
        <v>1.4237317206364077E-3</v>
      </c>
      <c r="Y780" s="59">
        <f t="shared" si="81"/>
        <v>1.5664436237594254E-3</v>
      </c>
    </row>
    <row r="781" spans="1:25" x14ac:dyDescent="0.3">
      <c r="A781" s="2">
        <v>43014</v>
      </c>
      <c r="B781" s="1">
        <v>38.825000000000003</v>
      </c>
      <c r="C781" s="1">
        <v>989.58010000000002</v>
      </c>
      <c r="D781" s="1">
        <v>172.23</v>
      </c>
      <c r="E781" s="3">
        <f t="shared" si="76"/>
        <v>475.81020000000035</v>
      </c>
      <c r="F781" s="4">
        <f t="shared" si="77"/>
        <v>-3.464999999999236</v>
      </c>
      <c r="G781" s="4">
        <f t="shared" si="78"/>
        <v>3.464999999999236</v>
      </c>
      <c r="W781" s="59">
        <f t="shared" si="79"/>
        <v>-5.7935564400123834E-4</v>
      </c>
      <c r="X781" s="59">
        <f t="shared" si="80"/>
        <v>8.8610671133051312E-3</v>
      </c>
      <c r="Y781" s="59">
        <f t="shared" si="81"/>
        <v>5.7647115709095675E-3</v>
      </c>
    </row>
    <row r="782" spans="1:25" x14ac:dyDescent="0.3">
      <c r="A782" s="2">
        <v>43013</v>
      </c>
      <c r="B782" s="1">
        <v>38.847499999999997</v>
      </c>
      <c r="C782" s="1">
        <v>980.8501</v>
      </c>
      <c r="D782" s="1">
        <v>171.24</v>
      </c>
      <c r="E782" s="3">
        <f t="shared" si="76"/>
        <v>479.27519999999959</v>
      </c>
      <c r="F782" s="4">
        <f t="shared" si="77"/>
        <v>-1.724800000000414</v>
      </c>
      <c r="G782" s="4">
        <f t="shared" si="78"/>
        <v>1.724800000000414</v>
      </c>
      <c r="W782" s="59">
        <f t="shared" si="79"/>
        <v>1.2367820419891035E-2</v>
      </c>
      <c r="X782" s="59">
        <f t="shared" si="80"/>
        <v>1.5825330739229891E-2</v>
      </c>
      <c r="Y782" s="59">
        <f t="shared" si="81"/>
        <v>1.6605221674899348E-2</v>
      </c>
    </row>
    <row r="783" spans="1:25" x14ac:dyDescent="0.3">
      <c r="A783" s="2">
        <v>43012</v>
      </c>
      <c r="B783" s="1">
        <v>38.369999999999997</v>
      </c>
      <c r="C783" s="1">
        <v>965.45</v>
      </c>
      <c r="D783" s="1">
        <v>168.42</v>
      </c>
      <c r="E783" s="3">
        <f t="shared" si="76"/>
        <v>481</v>
      </c>
      <c r="F783" s="4">
        <f t="shared" si="77"/>
        <v>34.999800000000505</v>
      </c>
      <c r="G783" s="4">
        <f t="shared" si="78"/>
        <v>-34.999800000000505</v>
      </c>
      <c r="W783" s="59">
        <f t="shared" si="79"/>
        <v>-6.4943727415074171E-3</v>
      </c>
      <c r="X783" s="59">
        <f t="shared" si="80"/>
        <v>8.6863302044020915E-3</v>
      </c>
      <c r="Y783" s="59">
        <f t="shared" si="81"/>
        <v>-9.1022556447647625E-3</v>
      </c>
    </row>
    <row r="784" spans="1:25" x14ac:dyDescent="0.3">
      <c r="A784" s="2">
        <v>43011</v>
      </c>
      <c r="B784" s="1">
        <v>38.619999999999997</v>
      </c>
      <c r="C784" s="1">
        <v>957.1001</v>
      </c>
      <c r="D784" s="1">
        <v>169.96</v>
      </c>
      <c r="E784" s="3">
        <f t="shared" si="76"/>
        <v>446.0001999999995</v>
      </c>
      <c r="F784" s="4">
        <f t="shared" si="77"/>
        <v>-5.6046000000001186</v>
      </c>
      <c r="G784" s="4">
        <f t="shared" si="78"/>
        <v>5.6046000000001186</v>
      </c>
      <c r="W784" s="59">
        <f t="shared" si="79"/>
        <v>4.3465636565400059E-3</v>
      </c>
      <c r="X784" s="59">
        <f t="shared" si="80"/>
        <v>-2.1810903657154823E-3</v>
      </c>
      <c r="Y784" s="59">
        <f t="shared" si="81"/>
        <v>2.8871952413303398E-3</v>
      </c>
    </row>
    <row r="785" spans="1:25" x14ac:dyDescent="0.3">
      <c r="A785" s="2">
        <v>43010</v>
      </c>
      <c r="B785" s="1">
        <v>38.452500000000001</v>
      </c>
      <c r="C785" s="1">
        <v>959.18989999999997</v>
      </c>
      <c r="D785" s="1">
        <v>169.47</v>
      </c>
      <c r="E785" s="3">
        <f t="shared" si="76"/>
        <v>451.60479999999961</v>
      </c>
      <c r="F785" s="4">
        <f t="shared" si="77"/>
        <v>19.804599999999482</v>
      </c>
      <c r="G785" s="4">
        <f t="shared" si="78"/>
        <v>-19.804599999999482</v>
      </c>
      <c r="W785" s="59">
        <f t="shared" si="79"/>
        <v>-2.0134452942379699E-3</v>
      </c>
      <c r="X785" s="59">
        <f t="shared" si="80"/>
        <v>-2.2495765888670225E-3</v>
      </c>
      <c r="Y785" s="59">
        <f t="shared" si="81"/>
        <v>-8.2271134549016557E-3</v>
      </c>
    </row>
    <row r="786" spans="1:25" x14ac:dyDescent="0.3">
      <c r="A786" s="2">
        <v>43007</v>
      </c>
      <c r="B786" s="1">
        <v>38.53</v>
      </c>
      <c r="C786" s="1">
        <v>961.3501</v>
      </c>
      <c r="D786" s="1">
        <v>170.87</v>
      </c>
      <c r="E786" s="3">
        <f t="shared" si="76"/>
        <v>431.80020000000013</v>
      </c>
      <c r="F786" s="4">
        <f t="shared" si="77"/>
        <v>-22.399599999999737</v>
      </c>
      <c r="G786" s="4">
        <f t="shared" si="78"/>
        <v>22.399599999999737</v>
      </c>
      <c r="W786" s="59">
        <f t="shared" si="79"/>
        <v>5.4652055354064899E-3</v>
      </c>
      <c r="X786" s="59">
        <f t="shared" si="80"/>
        <v>5.1625196133259169E-3</v>
      </c>
      <c r="Y786" s="59">
        <f t="shared" si="81"/>
        <v>1.2603229249936019E-2</v>
      </c>
    </row>
    <row r="787" spans="1:25" x14ac:dyDescent="0.3">
      <c r="A787" s="2">
        <v>43006</v>
      </c>
      <c r="B787" s="1">
        <v>38.32</v>
      </c>
      <c r="C787" s="1">
        <v>956.3999</v>
      </c>
      <c r="D787" s="1">
        <v>168.73</v>
      </c>
      <c r="E787" s="3">
        <f t="shared" si="76"/>
        <v>454.19979999999987</v>
      </c>
      <c r="F787" s="4">
        <f t="shared" si="77"/>
        <v>-21.815399999999499</v>
      </c>
      <c r="G787" s="4">
        <f t="shared" si="78"/>
        <v>21.815399999999499</v>
      </c>
      <c r="W787" s="59">
        <f t="shared" si="79"/>
        <v>-6.178680512972482E-3</v>
      </c>
      <c r="X787" s="59">
        <f t="shared" si="80"/>
        <v>5.7986708696305079E-3</v>
      </c>
      <c r="Y787" s="59">
        <f t="shared" si="81"/>
        <v>6.2424030775686387E-3</v>
      </c>
    </row>
    <row r="788" spans="1:25" x14ac:dyDescent="0.3">
      <c r="A788" s="2">
        <v>43005</v>
      </c>
      <c r="B788" s="1">
        <v>38.557499999999997</v>
      </c>
      <c r="C788" s="1">
        <v>950.87009999999998</v>
      </c>
      <c r="D788" s="1">
        <v>167.68</v>
      </c>
      <c r="E788" s="3">
        <f t="shared" si="76"/>
        <v>476.01519999999937</v>
      </c>
      <c r="F788" s="4">
        <f t="shared" si="77"/>
        <v>-31.235000000000127</v>
      </c>
      <c r="G788" s="4">
        <f t="shared" si="78"/>
        <v>31.235000000000127</v>
      </c>
      <c r="W788" s="59">
        <f t="shared" si="79"/>
        <v>7.0924590505456082E-3</v>
      </c>
      <c r="X788" s="59">
        <f t="shared" si="80"/>
        <v>1.2987950253802311E-2</v>
      </c>
      <c r="Y788" s="59">
        <f t="shared" si="81"/>
        <v>2.091130462893126E-2</v>
      </c>
    </row>
    <row r="789" spans="1:25" x14ac:dyDescent="0.3">
      <c r="A789" s="2">
        <v>43004</v>
      </c>
      <c r="B789" s="1">
        <v>38.284999999999997</v>
      </c>
      <c r="C789" s="1">
        <v>938.6001</v>
      </c>
      <c r="D789" s="1">
        <v>164.21</v>
      </c>
      <c r="E789" s="3">
        <f t="shared" si="76"/>
        <v>507.2501999999995</v>
      </c>
      <c r="F789" s="4">
        <f t="shared" si="77"/>
        <v>3.1951999999996588</v>
      </c>
      <c r="G789" s="4">
        <f t="shared" si="78"/>
        <v>-3.1951999999996588</v>
      </c>
      <c r="W789" s="59">
        <f t="shared" si="79"/>
        <v>1.7057280757234353E-2</v>
      </c>
      <c r="X789" s="59">
        <f t="shared" si="80"/>
        <v>-1.2669361483130237E-3</v>
      </c>
      <c r="Y789" s="59">
        <f t="shared" si="81"/>
        <v>8.1937599182765296E-3</v>
      </c>
    </row>
    <row r="790" spans="1:25" x14ac:dyDescent="0.3">
      <c r="A790" s="2">
        <v>43003</v>
      </c>
      <c r="B790" s="1">
        <v>37.637500000000003</v>
      </c>
      <c r="C790" s="1">
        <v>939.79</v>
      </c>
      <c r="D790" s="1">
        <v>162.87</v>
      </c>
      <c r="E790" s="3">
        <f t="shared" si="76"/>
        <v>504.05499999999984</v>
      </c>
      <c r="F790" s="4">
        <f t="shared" si="77"/>
        <v>106.0297999999998</v>
      </c>
      <c r="G790" s="4">
        <f t="shared" si="78"/>
        <v>-106.0297999999998</v>
      </c>
      <c r="W790" s="59">
        <f t="shared" si="79"/>
        <v>-8.8613197221845217E-3</v>
      </c>
      <c r="X790" s="59">
        <f t="shared" si="80"/>
        <v>-1.6159705691482361E-2</v>
      </c>
      <c r="Y790" s="59">
        <f t="shared" si="81"/>
        <v>-4.601753672843404E-2</v>
      </c>
    </row>
    <row r="791" spans="1:25" x14ac:dyDescent="0.3">
      <c r="A791" s="2">
        <v>43000</v>
      </c>
      <c r="B791" s="1">
        <v>37.972499999999997</v>
      </c>
      <c r="C791" s="1">
        <v>955.1001</v>
      </c>
      <c r="D791" s="1">
        <v>170.54</v>
      </c>
      <c r="E791" s="3">
        <f t="shared" si="76"/>
        <v>398.02520000000004</v>
      </c>
      <c r="F791" s="4">
        <f t="shared" si="77"/>
        <v>-26.449599999999464</v>
      </c>
      <c r="G791" s="4">
        <f t="shared" si="78"/>
        <v>26.449599999999464</v>
      </c>
      <c r="W791" s="59">
        <f t="shared" si="79"/>
        <v>-9.8271231100900656E-3</v>
      </c>
      <c r="X791" s="59">
        <f t="shared" si="80"/>
        <v>-9.949085842670076E-3</v>
      </c>
      <c r="Y791" s="59">
        <f t="shared" si="81"/>
        <v>-3.3367512299756056E-3</v>
      </c>
    </row>
    <row r="792" spans="1:25" x14ac:dyDescent="0.3">
      <c r="A792" s="2">
        <v>42999</v>
      </c>
      <c r="B792" s="1">
        <v>38.347499999999997</v>
      </c>
      <c r="C792" s="1">
        <v>964.6499</v>
      </c>
      <c r="D792" s="1">
        <v>171.11</v>
      </c>
      <c r="E792" s="3">
        <f t="shared" si="76"/>
        <v>424.4747999999995</v>
      </c>
      <c r="F792" s="4">
        <f t="shared" si="77"/>
        <v>-29.420200000000932</v>
      </c>
      <c r="G792" s="4">
        <f t="shared" si="78"/>
        <v>29.420200000000932</v>
      </c>
      <c r="W792" s="59">
        <f t="shared" si="79"/>
        <v>-1.7320926794444726E-2</v>
      </c>
      <c r="X792" s="59">
        <f t="shared" si="80"/>
        <v>-8.8346486523304089E-3</v>
      </c>
      <c r="Y792" s="59">
        <f t="shared" si="81"/>
        <v>-6.1757362445016726E-3</v>
      </c>
    </row>
    <row r="793" spans="1:25" x14ac:dyDescent="0.3">
      <c r="A793" s="2">
        <v>42998</v>
      </c>
      <c r="B793" s="1">
        <v>39.017499999999998</v>
      </c>
      <c r="C793" s="1">
        <v>973.21</v>
      </c>
      <c r="D793" s="1">
        <v>172.17</v>
      </c>
      <c r="E793" s="3">
        <f t="shared" si="76"/>
        <v>453.89500000000044</v>
      </c>
      <c r="F793" s="4">
        <f t="shared" si="77"/>
        <v>-19.550199999999222</v>
      </c>
      <c r="G793" s="4">
        <f t="shared" si="78"/>
        <v>19.550199999999222</v>
      </c>
      <c r="W793" s="59">
        <f t="shared" si="79"/>
        <v>-1.6900021029687743E-2</v>
      </c>
      <c r="X793" s="59">
        <f t="shared" si="80"/>
        <v>3.448051945146208E-3</v>
      </c>
      <c r="Y793" s="59">
        <f t="shared" si="81"/>
        <v>-2.0308109912616609E-3</v>
      </c>
    </row>
    <row r="794" spans="1:25" x14ac:dyDescent="0.3">
      <c r="A794" s="2">
        <v>42997</v>
      </c>
      <c r="B794" s="1">
        <v>39.682499999999997</v>
      </c>
      <c r="C794" s="1">
        <v>969.86009999999999</v>
      </c>
      <c r="D794" s="1">
        <v>172.52</v>
      </c>
      <c r="E794" s="3">
        <f t="shared" si="76"/>
        <v>473.44519999999966</v>
      </c>
      <c r="F794" s="4">
        <f t="shared" si="77"/>
        <v>-58.109600000000228</v>
      </c>
      <c r="G794" s="4">
        <f t="shared" si="78"/>
        <v>58.109600000000228</v>
      </c>
      <c r="W794" s="59">
        <f t="shared" si="79"/>
        <v>3.7807183815172522E-4</v>
      </c>
      <c r="X794" s="59">
        <f t="shared" si="80"/>
        <v>-4.454419546070368E-3</v>
      </c>
      <c r="Y794" s="59">
        <f t="shared" si="81"/>
        <v>1.4655912930005021E-2</v>
      </c>
    </row>
    <row r="795" spans="1:25" x14ac:dyDescent="0.3">
      <c r="A795" s="2">
        <v>42996</v>
      </c>
      <c r="B795" s="1">
        <v>39.667499999999997</v>
      </c>
      <c r="C795" s="1">
        <v>974.18989999999997</v>
      </c>
      <c r="D795" s="1">
        <v>170.01</v>
      </c>
      <c r="E795" s="3">
        <f t="shared" si="76"/>
        <v>531.55479999999989</v>
      </c>
      <c r="F795" s="4">
        <f t="shared" si="77"/>
        <v>-7.7252000000003136</v>
      </c>
      <c r="G795" s="4">
        <f t="shared" si="78"/>
        <v>7.7252000000003136</v>
      </c>
      <c r="W795" s="59">
        <f t="shared" si="79"/>
        <v>-7.5969600971246042E-3</v>
      </c>
      <c r="X795" s="59">
        <f t="shared" si="80"/>
        <v>-1.2850997000457817E-2</v>
      </c>
      <c r="Y795" s="59">
        <f t="shared" si="81"/>
        <v>-9.5420012736863891E-3</v>
      </c>
    </row>
    <row r="796" spans="1:25" x14ac:dyDescent="0.3">
      <c r="A796" s="2">
        <v>42993</v>
      </c>
      <c r="B796" s="1">
        <v>39.97</v>
      </c>
      <c r="C796" s="1">
        <v>986.79</v>
      </c>
      <c r="D796" s="1">
        <v>171.64</v>
      </c>
      <c r="E796" s="3">
        <f t="shared" si="76"/>
        <v>539.2800000000002</v>
      </c>
      <c r="F796" s="4">
        <f t="shared" si="77"/>
        <v>-4.4399999999995998</v>
      </c>
      <c r="G796" s="4">
        <f t="shared" si="78"/>
        <v>4.4399999999995998</v>
      </c>
      <c r="W796" s="59">
        <f t="shared" si="79"/>
        <v>1.00579173258993E-2</v>
      </c>
      <c r="X796" s="59">
        <f t="shared" si="80"/>
        <v>-5.477527591195238E-3</v>
      </c>
      <c r="Y796" s="59">
        <f t="shared" si="81"/>
        <v>3.9696491124316521E-3</v>
      </c>
    </row>
    <row r="797" spans="1:25" x14ac:dyDescent="0.3">
      <c r="A797" s="2">
        <v>42992</v>
      </c>
      <c r="B797" s="1">
        <v>39.57</v>
      </c>
      <c r="C797" s="1">
        <v>992.21</v>
      </c>
      <c r="D797" s="1">
        <v>170.96</v>
      </c>
      <c r="E797" s="3">
        <f t="shared" si="76"/>
        <v>543.7199999999998</v>
      </c>
      <c r="F797" s="4">
        <f t="shared" si="77"/>
        <v>9.8947999999995773</v>
      </c>
      <c r="G797" s="4">
        <f t="shared" si="78"/>
        <v>-9.8947999999995773</v>
      </c>
      <c r="W797" s="59">
        <f t="shared" si="79"/>
        <v>-8.6183026435675235E-3</v>
      </c>
      <c r="X797" s="59">
        <f t="shared" si="80"/>
        <v>-7.4205205714657748E-3</v>
      </c>
      <c r="Y797" s="59">
        <f t="shared" si="81"/>
        <v>-1.2150959070461048E-2</v>
      </c>
    </row>
    <row r="798" spans="1:25" x14ac:dyDescent="0.3">
      <c r="A798" s="2">
        <v>42991</v>
      </c>
      <c r="B798" s="1">
        <v>39.912500000000001</v>
      </c>
      <c r="C798" s="1">
        <v>999.6001</v>
      </c>
      <c r="D798" s="1">
        <v>173.05</v>
      </c>
      <c r="E798" s="3">
        <f t="shared" si="76"/>
        <v>533.82520000000022</v>
      </c>
      <c r="F798" s="4">
        <f t="shared" si="77"/>
        <v>17.115000000000236</v>
      </c>
      <c r="G798" s="4">
        <f t="shared" si="78"/>
        <v>-17.115000000000236</v>
      </c>
      <c r="W798" s="59">
        <f t="shared" si="79"/>
        <v>-7.5505023151319238E-3</v>
      </c>
      <c r="X798" s="59">
        <f t="shared" si="80"/>
        <v>1.7173431862956917E-2</v>
      </c>
      <c r="Y798" s="59">
        <f t="shared" si="81"/>
        <v>5.2021619045517203E-4</v>
      </c>
    </row>
    <row r="799" spans="1:25" x14ac:dyDescent="0.3">
      <c r="A799" s="2">
        <v>42990</v>
      </c>
      <c r="B799" s="1">
        <v>40.215000000000003</v>
      </c>
      <c r="C799" s="1">
        <v>982.58010000000002</v>
      </c>
      <c r="D799" s="1">
        <v>172.96</v>
      </c>
      <c r="E799" s="3">
        <f t="shared" si="76"/>
        <v>516.71019999999999</v>
      </c>
      <c r="F799" s="4">
        <f t="shared" si="77"/>
        <v>12.240199999999732</v>
      </c>
      <c r="G799" s="4">
        <f t="shared" si="78"/>
        <v>-12.240199999999732</v>
      </c>
      <c r="W799" s="59">
        <f t="shared" si="79"/>
        <v>-3.9707211867881752E-3</v>
      </c>
      <c r="X799" s="59">
        <f t="shared" si="80"/>
        <v>4.7130977349545064E-3</v>
      </c>
      <c r="Y799" s="59">
        <f t="shared" si="81"/>
        <v>-3.1748807226821014E-3</v>
      </c>
    </row>
    <row r="800" spans="1:25" x14ac:dyDescent="0.3">
      <c r="A800" s="2">
        <v>42989</v>
      </c>
      <c r="B800" s="1">
        <v>40.375</v>
      </c>
      <c r="C800" s="1">
        <v>977.96</v>
      </c>
      <c r="D800" s="1">
        <v>173.51</v>
      </c>
      <c r="E800" s="3">
        <f t="shared" si="76"/>
        <v>504.47000000000025</v>
      </c>
      <c r="F800" s="4">
        <f t="shared" si="77"/>
        <v>8.7952000000004773</v>
      </c>
      <c r="G800" s="4">
        <f t="shared" si="78"/>
        <v>-8.7952000000004773</v>
      </c>
      <c r="W800" s="59">
        <f t="shared" si="79"/>
        <v>1.7930696242347288E-2</v>
      </c>
      <c r="X800" s="59">
        <f t="shared" si="80"/>
        <v>1.2408563748038275E-2</v>
      </c>
      <c r="Y800" s="59">
        <f t="shared" si="81"/>
        <v>1.4864118528270152E-2</v>
      </c>
    </row>
    <row r="801" spans="1:25" x14ac:dyDescent="0.3">
      <c r="A801" s="2">
        <v>42986</v>
      </c>
      <c r="B801" s="1">
        <v>39.657499999999999</v>
      </c>
      <c r="C801" s="1">
        <v>965.8999</v>
      </c>
      <c r="D801" s="1">
        <v>170.95</v>
      </c>
      <c r="E801" s="3">
        <f t="shared" si="76"/>
        <v>495.67479999999978</v>
      </c>
      <c r="F801" s="4">
        <f t="shared" si="77"/>
        <v>-14.815200000000004</v>
      </c>
      <c r="G801" s="4">
        <f t="shared" si="78"/>
        <v>14.815200000000004</v>
      </c>
      <c r="W801" s="59">
        <f t="shared" si="79"/>
        <v>-1.6443522836512098E-2</v>
      </c>
      <c r="X801" s="59">
        <f t="shared" si="80"/>
        <v>-1.3951403389331032E-2</v>
      </c>
      <c r="Y801" s="59">
        <f t="shared" si="81"/>
        <v>-1.3133615096878545E-2</v>
      </c>
    </row>
    <row r="802" spans="1:25" x14ac:dyDescent="0.3">
      <c r="A802" s="2">
        <v>42985</v>
      </c>
      <c r="B802" s="1">
        <v>40.314999999999998</v>
      </c>
      <c r="C802" s="1">
        <v>979.47</v>
      </c>
      <c r="D802" s="1">
        <v>173.21</v>
      </c>
      <c r="E802" s="3">
        <f t="shared" si="76"/>
        <v>510.48999999999978</v>
      </c>
      <c r="F802" s="4">
        <f t="shared" si="77"/>
        <v>-7.1849999999999454</v>
      </c>
      <c r="G802" s="4">
        <f t="shared" si="78"/>
        <v>7.1849999999999454</v>
      </c>
      <c r="W802" s="59">
        <f t="shared" si="79"/>
        <v>-4.022656041785126E-3</v>
      </c>
      <c r="X802" s="59">
        <f t="shared" si="80"/>
        <v>1.1986154684971547E-2</v>
      </c>
      <c r="Y802" s="59">
        <f t="shared" si="81"/>
        <v>6.4871354053691981E-3</v>
      </c>
    </row>
    <row r="803" spans="1:25" x14ac:dyDescent="0.3">
      <c r="A803" s="2">
        <v>42984</v>
      </c>
      <c r="B803" s="1">
        <v>40.477499999999999</v>
      </c>
      <c r="C803" s="1">
        <v>967.8</v>
      </c>
      <c r="D803" s="1">
        <v>172.09</v>
      </c>
      <c r="E803" s="3">
        <f t="shared" si="76"/>
        <v>517.67499999999973</v>
      </c>
      <c r="F803" s="4">
        <f t="shared" si="77"/>
        <v>-24.465000000000146</v>
      </c>
      <c r="G803" s="4">
        <f t="shared" si="78"/>
        <v>24.465000000000146</v>
      </c>
      <c r="W803" s="59">
        <f t="shared" si="79"/>
        <v>-1.0494152017122579E-3</v>
      </c>
      <c r="X803" s="59">
        <f t="shared" si="80"/>
        <v>2.6175994088090968E-3</v>
      </c>
      <c r="Y803" s="59">
        <f t="shared" si="81"/>
        <v>7.9928082233764446E-3</v>
      </c>
    </row>
    <row r="804" spans="1:25" x14ac:dyDescent="0.3">
      <c r="A804" s="2">
        <v>42983</v>
      </c>
      <c r="B804" s="1">
        <v>40.520000000000003</v>
      </c>
      <c r="C804" s="1">
        <v>965.27</v>
      </c>
      <c r="D804" s="1">
        <v>170.72</v>
      </c>
      <c r="E804" s="3">
        <f t="shared" si="76"/>
        <v>542.13999999999987</v>
      </c>
      <c r="F804" s="4">
        <f t="shared" si="77"/>
        <v>-24.585000000000036</v>
      </c>
      <c r="G804" s="4">
        <f t="shared" si="78"/>
        <v>24.585000000000036</v>
      </c>
      <c r="W804" s="59">
        <f t="shared" si="79"/>
        <v>-1.208121890673741E-2</v>
      </c>
      <c r="X804" s="59">
        <f t="shared" si="80"/>
        <v>-1.3357406140112747E-2</v>
      </c>
      <c r="Y804" s="59">
        <f t="shared" si="81"/>
        <v>-7.5859615698902604E-3</v>
      </c>
    </row>
    <row r="805" spans="1:25" x14ac:dyDescent="0.3">
      <c r="A805" s="2">
        <v>42982</v>
      </c>
      <c r="B805" s="1">
        <v>41.012500000000003</v>
      </c>
      <c r="C805" s="1">
        <v>978.25</v>
      </c>
      <c r="D805" s="1">
        <v>172.02</v>
      </c>
      <c r="E805" s="3">
        <f t="shared" si="76"/>
        <v>566.72499999999991</v>
      </c>
      <c r="F805" s="4">
        <f t="shared" si="77"/>
        <v>0</v>
      </c>
      <c r="G805" s="4">
        <f t="shared" si="78"/>
        <v>0</v>
      </c>
      <c r="W805" s="59">
        <f t="shared" si="79"/>
        <v>0</v>
      </c>
      <c r="X805" s="59">
        <f t="shared" si="80"/>
        <v>0</v>
      </c>
      <c r="Y805" s="59">
        <f t="shared" si="81"/>
        <v>0</v>
      </c>
    </row>
    <row r="806" spans="1:25" x14ac:dyDescent="0.3">
      <c r="A806" s="2">
        <v>42979</v>
      </c>
      <c r="B806" s="1">
        <v>41.012500000000003</v>
      </c>
      <c r="C806" s="1">
        <v>978.25</v>
      </c>
      <c r="D806" s="1">
        <v>172.02</v>
      </c>
      <c r="E806" s="3">
        <f t="shared" si="76"/>
        <v>566.72499999999991</v>
      </c>
      <c r="F806" s="4">
        <f t="shared" si="77"/>
        <v>-5.0752000000002226</v>
      </c>
      <c r="G806" s="4">
        <f t="shared" si="78"/>
        <v>5.0752000000002226</v>
      </c>
      <c r="W806" s="59">
        <f t="shared" si="79"/>
        <v>3.0483158291238273E-4</v>
      </c>
      <c r="X806" s="59">
        <f t="shared" si="80"/>
        <v>-2.399470104986381E-3</v>
      </c>
      <c r="Y806" s="59">
        <f t="shared" si="81"/>
        <v>2.9070612722547403E-4</v>
      </c>
    </row>
    <row r="807" spans="1:25" x14ac:dyDescent="0.3">
      <c r="A807" s="2">
        <v>42978</v>
      </c>
      <c r="B807" s="1">
        <v>41</v>
      </c>
      <c r="C807" s="1">
        <v>980.6001</v>
      </c>
      <c r="D807" s="1">
        <v>171.97</v>
      </c>
      <c r="E807" s="3">
        <f t="shared" si="76"/>
        <v>571.80020000000013</v>
      </c>
      <c r="F807" s="4">
        <f t="shared" si="77"/>
        <v>-6.8550000000000182</v>
      </c>
      <c r="G807" s="4">
        <f t="shared" si="78"/>
        <v>6.8550000000000182</v>
      </c>
      <c r="W807" s="59">
        <f t="shared" si="79"/>
        <v>3.9712897771193058E-3</v>
      </c>
      <c r="X807" s="59">
        <f t="shared" si="80"/>
        <v>1.3356184012598403E-2</v>
      </c>
      <c r="Y807" s="59">
        <f t="shared" si="81"/>
        <v>1.1992304942534107E-2</v>
      </c>
    </row>
    <row r="808" spans="1:25" x14ac:dyDescent="0.3">
      <c r="A808" s="2">
        <v>42977</v>
      </c>
      <c r="B808" s="1">
        <v>40.837499999999999</v>
      </c>
      <c r="C808" s="1">
        <v>967.59010000000001</v>
      </c>
      <c r="D808" s="1">
        <v>169.92</v>
      </c>
      <c r="E808" s="3">
        <f t="shared" si="76"/>
        <v>578.65520000000015</v>
      </c>
      <c r="F808" s="4">
        <f t="shared" si="77"/>
        <v>-4.8400000000001455</v>
      </c>
      <c r="G808" s="4">
        <f t="shared" si="78"/>
        <v>4.8400000000001455</v>
      </c>
      <c r="W808" s="59">
        <f t="shared" si="79"/>
        <v>2.6972369690011593E-3</v>
      </c>
      <c r="X808" s="59">
        <f t="shared" si="80"/>
        <v>1.4081879815344053E-2</v>
      </c>
      <c r="Y808" s="59">
        <f t="shared" si="81"/>
        <v>1.1066183882459307E-2</v>
      </c>
    </row>
    <row r="809" spans="1:25" x14ac:dyDescent="0.3">
      <c r="A809" s="2">
        <v>42976</v>
      </c>
      <c r="B809" s="1">
        <v>40.727499999999999</v>
      </c>
      <c r="C809" s="1">
        <v>954.06010000000003</v>
      </c>
      <c r="D809" s="1">
        <v>168.05</v>
      </c>
      <c r="E809" s="3">
        <f t="shared" si="76"/>
        <v>583.4952000000003</v>
      </c>
      <c r="F809" s="4">
        <f t="shared" si="77"/>
        <v>17.880200000000514</v>
      </c>
      <c r="G809" s="4">
        <f t="shared" si="78"/>
        <v>-17.880200000000514</v>
      </c>
      <c r="W809" s="59">
        <f t="shared" si="79"/>
        <v>8.878534184548318E-3</v>
      </c>
      <c r="X809" s="59">
        <f t="shared" si="80"/>
        <v>8.4629568901206428E-3</v>
      </c>
      <c r="Y809" s="59">
        <f t="shared" si="81"/>
        <v>4.8316476827503846E-3</v>
      </c>
    </row>
    <row r="810" spans="1:25" x14ac:dyDescent="0.3">
      <c r="A810" s="2">
        <v>42975</v>
      </c>
      <c r="B810" s="1">
        <v>40.3675</v>
      </c>
      <c r="C810" s="1">
        <v>946.02</v>
      </c>
      <c r="D810" s="1">
        <v>167.24</v>
      </c>
      <c r="E810" s="3">
        <f t="shared" si="76"/>
        <v>565.61499999999978</v>
      </c>
      <c r="F810" s="4">
        <f t="shared" si="77"/>
        <v>3.2449999999989814</v>
      </c>
      <c r="G810" s="4">
        <f t="shared" si="78"/>
        <v>-3.2449999999989814</v>
      </c>
      <c r="W810" s="59">
        <f t="shared" si="79"/>
        <v>1.0020934695656616E-2</v>
      </c>
      <c r="X810" s="59">
        <f t="shared" si="80"/>
        <v>8.036885505138346E-4</v>
      </c>
      <c r="Y810" s="59">
        <f t="shared" si="81"/>
        <v>5.5162629386069683E-3</v>
      </c>
    </row>
    <row r="811" spans="1:25" x14ac:dyDescent="0.3">
      <c r="A811" s="2">
        <v>42972</v>
      </c>
      <c r="B811" s="1">
        <v>39.965000000000003</v>
      </c>
      <c r="C811" s="1">
        <v>945.26</v>
      </c>
      <c r="D811" s="1">
        <v>166.32</v>
      </c>
      <c r="E811" s="3">
        <f t="shared" si="76"/>
        <v>562.3700000000008</v>
      </c>
      <c r="F811" s="4">
        <f t="shared" si="77"/>
        <v>21.395000000000437</v>
      </c>
      <c r="G811" s="4">
        <f t="shared" si="78"/>
        <v>-21.395000000000437</v>
      </c>
      <c r="W811" s="59">
        <f t="shared" si="79"/>
        <v>3.6975569341831244E-3</v>
      </c>
      <c r="X811" s="59">
        <f t="shared" si="80"/>
        <v>-7.5775902577756562E-3</v>
      </c>
      <c r="Y811" s="59">
        <f t="shared" si="81"/>
        <v>-8.5015180065080524E-3</v>
      </c>
    </row>
    <row r="812" spans="1:25" x14ac:dyDescent="0.3">
      <c r="A812" s="2">
        <v>42971</v>
      </c>
      <c r="B812" s="1">
        <v>39.817500000000003</v>
      </c>
      <c r="C812" s="1">
        <v>952.45</v>
      </c>
      <c r="D812" s="1">
        <v>167.74</v>
      </c>
      <c r="E812" s="3">
        <f t="shared" si="76"/>
        <v>540.97500000000036</v>
      </c>
      <c r="F812" s="4">
        <f t="shared" si="77"/>
        <v>-0.57499999999936335</v>
      </c>
      <c r="G812" s="4">
        <f t="shared" si="78"/>
        <v>0.57499999999936335</v>
      </c>
      <c r="W812" s="59">
        <f t="shared" si="79"/>
        <v>-4.4479321569858496E-3</v>
      </c>
      <c r="X812" s="59">
        <f t="shared" si="80"/>
        <v>-5.8101657861534296E-3</v>
      </c>
      <c r="Y812" s="59">
        <f t="shared" si="81"/>
        <v>-5.7661030616179901E-3</v>
      </c>
    </row>
    <row r="813" spans="1:25" x14ac:dyDescent="0.3">
      <c r="A813" s="2">
        <v>42970</v>
      </c>
      <c r="B813" s="1">
        <v>39.994999999999997</v>
      </c>
      <c r="C813" s="1">
        <v>958</v>
      </c>
      <c r="D813" s="1">
        <v>168.71</v>
      </c>
      <c r="E813" s="3">
        <f t="shared" si="76"/>
        <v>541.54999999999973</v>
      </c>
      <c r="F813" s="4">
        <f t="shared" si="77"/>
        <v>3.3001999999996769</v>
      </c>
      <c r="G813" s="4">
        <f t="shared" si="78"/>
        <v>-3.3001999999996769</v>
      </c>
      <c r="W813" s="59">
        <f t="shared" si="79"/>
        <v>1.2509383667799843E-3</v>
      </c>
      <c r="X813" s="59">
        <f t="shared" si="80"/>
        <v>-9.2471960953243743E-3</v>
      </c>
      <c r="Y813" s="59">
        <f t="shared" si="81"/>
        <v>-5.4972799885063765E-3</v>
      </c>
    </row>
    <row r="814" spans="1:25" x14ac:dyDescent="0.3">
      <c r="A814" s="2">
        <v>42969</v>
      </c>
      <c r="B814" s="1">
        <v>39.945</v>
      </c>
      <c r="C814" s="1">
        <v>966.8999</v>
      </c>
      <c r="D814" s="1">
        <v>169.64</v>
      </c>
      <c r="E814" s="3">
        <f t="shared" si="76"/>
        <v>538.24980000000005</v>
      </c>
      <c r="F814" s="4">
        <f t="shared" si="77"/>
        <v>22.144800000000032</v>
      </c>
      <c r="G814" s="4">
        <f t="shared" si="78"/>
        <v>-22.144800000000032</v>
      </c>
      <c r="W814" s="59">
        <f t="shared" si="79"/>
        <v>1.621537785047325E-2</v>
      </c>
      <c r="X814" s="59">
        <f t="shared" si="80"/>
        <v>1.4175814498940086E-2</v>
      </c>
      <c r="Y814" s="59">
        <f t="shared" si="81"/>
        <v>1.1024947188241277E-2</v>
      </c>
    </row>
    <row r="815" spans="1:25" x14ac:dyDescent="0.3">
      <c r="A815" s="2">
        <v>42968</v>
      </c>
      <c r="B815" s="1">
        <v>39.302500000000002</v>
      </c>
      <c r="C815" s="1">
        <v>953.29</v>
      </c>
      <c r="D815" s="1">
        <v>167.78</v>
      </c>
      <c r="E815" s="3">
        <f t="shared" si="76"/>
        <v>516.10500000000002</v>
      </c>
      <c r="F815" s="4">
        <f t="shared" si="77"/>
        <v>-21.385000000000218</v>
      </c>
      <c r="G815" s="4">
        <f t="shared" si="78"/>
        <v>21.385000000000218</v>
      </c>
      <c r="W815" s="59">
        <f t="shared" si="79"/>
        <v>-1.8429670622651449E-3</v>
      </c>
      <c r="X815" s="59">
        <f t="shared" si="80"/>
        <v>-5.4191035240950475E-3</v>
      </c>
      <c r="Y815" s="59">
        <f t="shared" si="81"/>
        <v>2.2077039904552427E-3</v>
      </c>
    </row>
    <row r="816" spans="1:25" x14ac:dyDescent="0.3">
      <c r="A816" s="2">
        <v>42965</v>
      </c>
      <c r="B816" s="1">
        <v>39.375</v>
      </c>
      <c r="C816" s="1">
        <v>958.47</v>
      </c>
      <c r="D816" s="1">
        <v>167.41</v>
      </c>
      <c r="E816" s="3">
        <f t="shared" si="76"/>
        <v>537.49000000000024</v>
      </c>
      <c r="F816" s="4">
        <f t="shared" si="77"/>
        <v>-18.700200000000223</v>
      </c>
      <c r="G816" s="4">
        <f t="shared" si="78"/>
        <v>18.700200000000223</v>
      </c>
      <c r="W816" s="59">
        <f t="shared" si="79"/>
        <v>-2.2831060145687434E-3</v>
      </c>
      <c r="X816" s="59">
        <f t="shared" si="80"/>
        <v>-2.1886992756020205E-3</v>
      </c>
      <c r="Y816" s="59">
        <f t="shared" si="81"/>
        <v>2.9911484373672235E-3</v>
      </c>
    </row>
    <row r="817" spans="1:25" x14ac:dyDescent="0.3">
      <c r="A817" s="2">
        <v>42964</v>
      </c>
      <c r="B817" s="1">
        <v>39.465000000000003</v>
      </c>
      <c r="C817" s="1">
        <v>960.57010000000002</v>
      </c>
      <c r="D817" s="1">
        <v>166.91</v>
      </c>
      <c r="E817" s="3">
        <f t="shared" si="76"/>
        <v>556.19020000000046</v>
      </c>
      <c r="F817" s="4">
        <f t="shared" si="77"/>
        <v>-12.044599999999264</v>
      </c>
      <c r="G817" s="4">
        <f t="shared" si="78"/>
        <v>12.044599999999264</v>
      </c>
      <c r="W817" s="59">
        <f t="shared" si="79"/>
        <v>-1.9385193464560663E-2</v>
      </c>
      <c r="X817" s="59">
        <f t="shared" si="80"/>
        <v>-1.8166637581997366E-2</v>
      </c>
      <c r="Y817" s="59">
        <f t="shared" si="81"/>
        <v>-1.8343692059935707E-2</v>
      </c>
    </row>
    <row r="818" spans="1:25" x14ac:dyDescent="0.3">
      <c r="A818" s="2">
        <v>42963</v>
      </c>
      <c r="B818" s="1">
        <v>40.237499999999997</v>
      </c>
      <c r="C818" s="1">
        <v>978.17989999999998</v>
      </c>
      <c r="D818" s="1">
        <v>170</v>
      </c>
      <c r="E818" s="3">
        <f t="shared" si="76"/>
        <v>568.23479999999972</v>
      </c>
      <c r="F818" s="4">
        <f t="shared" si="77"/>
        <v>2.7547999999997046</v>
      </c>
      <c r="G818" s="4">
        <f t="shared" si="78"/>
        <v>-2.7547999999997046</v>
      </c>
      <c r="W818" s="59">
        <f t="shared" si="79"/>
        <v>-4.0303883421779225E-3</v>
      </c>
      <c r="X818" s="59">
        <f t="shared" si="80"/>
        <v>-4.6509887734038228E-3</v>
      </c>
      <c r="Y818" s="59">
        <f t="shared" si="81"/>
        <v>-5.8651194523981339E-3</v>
      </c>
    </row>
    <row r="819" spans="1:25" x14ac:dyDescent="0.3">
      <c r="A819" s="2">
        <v>42962</v>
      </c>
      <c r="B819" s="1">
        <v>40.4</v>
      </c>
      <c r="C819" s="1">
        <v>982.74</v>
      </c>
      <c r="D819" s="1">
        <v>171</v>
      </c>
      <c r="E819" s="3">
        <f t="shared" si="76"/>
        <v>565.48</v>
      </c>
      <c r="F819" s="4">
        <f t="shared" si="77"/>
        <v>15.755000000000109</v>
      </c>
      <c r="G819" s="4">
        <f t="shared" si="78"/>
        <v>-15.755000000000109</v>
      </c>
      <c r="W819" s="59">
        <f t="shared" si="79"/>
        <v>1.0888270581144492E-2</v>
      </c>
      <c r="X819" s="59">
        <f t="shared" si="80"/>
        <v>-5.6967306376728944E-4</v>
      </c>
      <c r="Y819" s="59">
        <f t="shared" si="81"/>
        <v>1.4630580517603152E-3</v>
      </c>
    </row>
    <row r="820" spans="1:25" x14ac:dyDescent="0.3">
      <c r="A820" s="2">
        <v>42961</v>
      </c>
      <c r="B820" s="1">
        <v>39.962499999999999</v>
      </c>
      <c r="C820" s="1">
        <v>983.3</v>
      </c>
      <c r="D820" s="1">
        <v>170.75</v>
      </c>
      <c r="E820" s="3">
        <f t="shared" si="76"/>
        <v>549.72499999999991</v>
      </c>
      <c r="F820" s="4">
        <f t="shared" si="77"/>
        <v>6.8450000000007094</v>
      </c>
      <c r="G820" s="4">
        <f t="shared" si="78"/>
        <v>-6.8450000000007094</v>
      </c>
      <c r="W820" s="59">
        <f t="shared" si="79"/>
        <v>1.4937409430313778E-2</v>
      </c>
      <c r="X820" s="59">
        <f t="shared" si="80"/>
        <v>1.5692505141406559E-2</v>
      </c>
      <c r="Y820" s="59">
        <f t="shared" si="81"/>
        <v>1.5760441914154315E-2</v>
      </c>
    </row>
    <row r="821" spans="1:25" x14ac:dyDescent="0.3">
      <c r="A821" s="2">
        <v>42958</v>
      </c>
      <c r="B821" s="1">
        <v>39.369999999999997</v>
      </c>
      <c r="C821" s="1">
        <v>967.99</v>
      </c>
      <c r="D821" s="1">
        <v>168.08</v>
      </c>
      <c r="E821" s="3">
        <f t="shared" si="76"/>
        <v>542.8799999999992</v>
      </c>
      <c r="F821" s="4">
        <f t="shared" si="77"/>
        <v>35.540199999999459</v>
      </c>
      <c r="G821" s="4">
        <f t="shared" si="78"/>
        <v>-35.540199999999459</v>
      </c>
      <c r="W821" s="59">
        <f t="shared" si="79"/>
        <v>1.381096121207025E-2</v>
      </c>
      <c r="X821" s="59">
        <f t="shared" si="80"/>
        <v>1.1502067754272531E-2</v>
      </c>
      <c r="Y821" s="59">
        <f t="shared" si="81"/>
        <v>4.0538984813700621E-3</v>
      </c>
    </row>
    <row r="822" spans="1:25" x14ac:dyDescent="0.3">
      <c r="A822" s="2">
        <v>42957</v>
      </c>
      <c r="B822" s="1">
        <v>38.83</v>
      </c>
      <c r="C822" s="1">
        <v>956.91989999999998</v>
      </c>
      <c r="D822" s="1">
        <v>167.4</v>
      </c>
      <c r="E822" s="3">
        <f t="shared" si="76"/>
        <v>507.33979999999974</v>
      </c>
      <c r="F822" s="4">
        <f t="shared" si="77"/>
        <v>-46.330199999999877</v>
      </c>
      <c r="G822" s="4">
        <f t="shared" si="78"/>
        <v>46.330199999999877</v>
      </c>
      <c r="W822" s="59">
        <f t="shared" si="79"/>
        <v>-3.628946150393237E-2</v>
      </c>
      <c r="X822" s="59">
        <f t="shared" si="80"/>
        <v>-2.5881802711574118E-2</v>
      </c>
      <c r="Y822" s="59">
        <f t="shared" si="81"/>
        <v>-2.2329476398088657E-2</v>
      </c>
    </row>
    <row r="823" spans="1:25" x14ac:dyDescent="0.3">
      <c r="A823" s="2">
        <v>42956</v>
      </c>
      <c r="B823" s="1">
        <v>40.265000000000001</v>
      </c>
      <c r="C823" s="1">
        <v>982.01</v>
      </c>
      <c r="D823" s="1">
        <v>171.18</v>
      </c>
      <c r="E823" s="3">
        <f t="shared" si="76"/>
        <v>553.66999999999962</v>
      </c>
      <c r="F823" s="4">
        <f t="shared" si="77"/>
        <v>-2.4102000000007138</v>
      </c>
      <c r="G823" s="4">
        <f t="shared" si="78"/>
        <v>2.4102000000007138</v>
      </c>
      <c r="W823" s="59">
        <f t="shared" si="79"/>
        <v>6.1032760919208593E-3</v>
      </c>
      <c r="X823" s="59">
        <f t="shared" si="80"/>
        <v>-7.941923330138323E-3</v>
      </c>
      <c r="Y823" s="59">
        <f t="shared" si="81"/>
        <v>-2.9204754741600069E-4</v>
      </c>
    </row>
    <row r="824" spans="1:25" x14ac:dyDescent="0.3">
      <c r="A824" s="2">
        <v>42955</v>
      </c>
      <c r="B824" s="1">
        <v>40.020000000000003</v>
      </c>
      <c r="C824" s="1">
        <v>989.84010000000001</v>
      </c>
      <c r="D824" s="1">
        <v>171.23</v>
      </c>
      <c r="E824" s="3">
        <f t="shared" si="76"/>
        <v>556.08020000000033</v>
      </c>
      <c r="F824" s="4">
        <f t="shared" si="77"/>
        <v>26.015200000000277</v>
      </c>
      <c r="G824" s="4">
        <f t="shared" si="78"/>
        <v>-26.015200000000277</v>
      </c>
      <c r="W824" s="59">
        <f t="shared" si="79"/>
        <v>7.9651711529227162E-3</v>
      </c>
      <c r="X824" s="59">
        <f t="shared" si="80"/>
        <v>-2.4518327385297778E-3</v>
      </c>
      <c r="Y824" s="59">
        <f t="shared" si="81"/>
        <v>-4.3705089818706607E-3</v>
      </c>
    </row>
    <row r="825" spans="1:25" x14ac:dyDescent="0.3">
      <c r="A825" s="2">
        <v>42954</v>
      </c>
      <c r="B825" s="1">
        <v>39.702500000000001</v>
      </c>
      <c r="C825" s="1">
        <v>992.27</v>
      </c>
      <c r="D825" s="1">
        <v>171.98</v>
      </c>
      <c r="E825" s="3">
        <f t="shared" si="76"/>
        <v>530.06500000000005</v>
      </c>
      <c r="F825" s="4">
        <f t="shared" si="77"/>
        <v>-7.5701999999996588</v>
      </c>
      <c r="G825" s="4">
        <f t="shared" si="78"/>
        <v>7.5701999999996588</v>
      </c>
      <c r="W825" s="59">
        <f t="shared" si="79"/>
        <v>1.535563167443117E-2</v>
      </c>
      <c r="X825" s="59">
        <f t="shared" si="80"/>
        <v>4.7376402609024034E-3</v>
      </c>
      <c r="Y825" s="59">
        <f t="shared" si="81"/>
        <v>1.3817550049196376E-2</v>
      </c>
    </row>
    <row r="826" spans="1:25" x14ac:dyDescent="0.3">
      <c r="A826" s="2">
        <v>42951</v>
      </c>
      <c r="B826" s="1">
        <v>39.097499999999997</v>
      </c>
      <c r="C826" s="1">
        <v>987.58010000000002</v>
      </c>
      <c r="D826" s="1">
        <v>169.62</v>
      </c>
      <c r="E826" s="3">
        <f t="shared" si="76"/>
        <v>537.63519999999971</v>
      </c>
      <c r="F826" s="4">
        <f t="shared" si="77"/>
        <v>-9.0295999999998457</v>
      </c>
      <c r="G826" s="4">
        <f t="shared" si="78"/>
        <v>9.0295999999998457</v>
      </c>
      <c r="W826" s="59">
        <f t="shared" si="79"/>
        <v>5.2570963490941669E-3</v>
      </c>
      <c r="X826" s="59">
        <f t="shared" si="80"/>
        <v>6.6872628473350871E-4</v>
      </c>
      <c r="Y826" s="59">
        <f t="shared" si="81"/>
        <v>6.0909091058441982E-3</v>
      </c>
    </row>
    <row r="827" spans="1:25" x14ac:dyDescent="0.3">
      <c r="A827" s="2">
        <v>42950</v>
      </c>
      <c r="B827" s="1">
        <v>38.892499999999998</v>
      </c>
      <c r="C827" s="1">
        <v>986.91989999999998</v>
      </c>
      <c r="D827" s="1">
        <v>168.59</v>
      </c>
      <c r="E827" s="3">
        <f t="shared" si="76"/>
        <v>546.66479999999956</v>
      </c>
      <c r="F827" s="4">
        <f t="shared" si="77"/>
        <v>-23.365000000000236</v>
      </c>
      <c r="G827" s="4">
        <f t="shared" si="78"/>
        <v>23.365000000000236</v>
      </c>
      <c r="W827" s="59">
        <f t="shared" si="79"/>
        <v>-1.0041336648645385E-2</v>
      </c>
      <c r="X827" s="59">
        <f t="shared" si="80"/>
        <v>-9.0478281806501363E-3</v>
      </c>
      <c r="Y827" s="59">
        <f t="shared" si="81"/>
        <v>-4.2025573113798967E-3</v>
      </c>
    </row>
    <row r="828" spans="1:25" x14ac:dyDescent="0.3">
      <c r="A828" s="2">
        <v>42949</v>
      </c>
      <c r="B828" s="1">
        <v>39.284999999999997</v>
      </c>
      <c r="C828" s="1">
        <v>995.88990000000001</v>
      </c>
      <c r="D828" s="1">
        <v>169.3</v>
      </c>
      <c r="E828" s="3">
        <f t="shared" si="76"/>
        <v>570.0297999999998</v>
      </c>
      <c r="F828" s="4">
        <f t="shared" si="77"/>
        <v>99.224999999999909</v>
      </c>
      <c r="G828" s="4">
        <f t="shared" si="78"/>
        <v>-99.224999999999909</v>
      </c>
      <c r="W828" s="59">
        <f t="shared" si="79"/>
        <v>4.6168555861299192E-2</v>
      </c>
      <c r="X828" s="59">
        <f t="shared" si="80"/>
        <v>-3.0119275569977195E-4</v>
      </c>
      <c r="Y828" s="59">
        <f t="shared" si="81"/>
        <v>-3.3022792127736168E-3</v>
      </c>
    </row>
    <row r="829" spans="1:25" x14ac:dyDescent="0.3">
      <c r="A829" s="2">
        <v>42948</v>
      </c>
      <c r="B829" s="1">
        <v>37.512500000000003</v>
      </c>
      <c r="C829" s="1">
        <v>996.18989999999997</v>
      </c>
      <c r="D829" s="1">
        <v>169.86</v>
      </c>
      <c r="E829" s="3">
        <f t="shared" si="76"/>
        <v>470.80479999999989</v>
      </c>
      <c r="F829" s="4">
        <f t="shared" si="77"/>
        <v>21.119800000000396</v>
      </c>
      <c r="G829" s="4">
        <f t="shared" si="78"/>
        <v>-21.119800000000396</v>
      </c>
      <c r="W829" s="59">
        <f t="shared" si="79"/>
        <v>8.8359902818695938E-3</v>
      </c>
      <c r="X829" s="59">
        <f t="shared" si="80"/>
        <v>8.477901173402063E-3</v>
      </c>
      <c r="Y829" s="59">
        <f t="shared" si="81"/>
        <v>3.5976565594789071E-3</v>
      </c>
    </row>
    <row r="830" spans="1:25" x14ac:dyDescent="0.3">
      <c r="A830" s="2">
        <v>42947</v>
      </c>
      <c r="B830" s="1">
        <v>37.182499999999997</v>
      </c>
      <c r="C830" s="1">
        <v>987.78</v>
      </c>
      <c r="D830" s="1">
        <v>169.25</v>
      </c>
      <c r="E830" s="3">
        <f t="shared" si="76"/>
        <v>449.68499999999949</v>
      </c>
      <c r="F830" s="4">
        <f t="shared" si="77"/>
        <v>-10.145000000000437</v>
      </c>
      <c r="G830" s="4">
        <f t="shared" si="78"/>
        <v>10.145000000000437</v>
      </c>
      <c r="W830" s="59">
        <f t="shared" si="79"/>
        <v>-5.1638112262346004E-3</v>
      </c>
      <c r="X830" s="59">
        <f t="shared" si="80"/>
        <v>-3.2137120307690885E-2</v>
      </c>
      <c r="Y830" s="59">
        <f t="shared" si="81"/>
        <v>-1.8730427590465514E-2</v>
      </c>
    </row>
    <row r="831" spans="1:25" x14ac:dyDescent="0.3">
      <c r="A831" s="2">
        <v>42944</v>
      </c>
      <c r="B831" s="1">
        <v>37.375</v>
      </c>
      <c r="C831" s="1">
        <v>1020.04</v>
      </c>
      <c r="D831" s="1">
        <v>172.45</v>
      </c>
      <c r="E831" s="3">
        <f t="shared" si="76"/>
        <v>459.82999999999993</v>
      </c>
      <c r="F831" s="4">
        <f t="shared" si="77"/>
        <v>-105.36999999999989</v>
      </c>
      <c r="G831" s="4">
        <f t="shared" si="78"/>
        <v>105.36999999999989</v>
      </c>
      <c r="W831" s="59">
        <f t="shared" si="79"/>
        <v>-7.0652830063284164E-3</v>
      </c>
      <c r="X831" s="59">
        <f t="shared" si="80"/>
        <v>-2.5131523429191845E-2</v>
      </c>
      <c r="Y831" s="59">
        <f t="shared" si="81"/>
        <v>1.1724010751138481E-2</v>
      </c>
    </row>
    <row r="832" spans="1:25" x14ac:dyDescent="0.3">
      <c r="A832" s="2">
        <v>42943</v>
      </c>
      <c r="B832" s="1">
        <v>37.64</v>
      </c>
      <c r="C832" s="1">
        <v>1046</v>
      </c>
      <c r="D832" s="1">
        <v>170.44</v>
      </c>
      <c r="E832" s="3">
        <f t="shared" si="76"/>
        <v>565.19999999999982</v>
      </c>
      <c r="F832" s="4">
        <f t="shared" si="77"/>
        <v>-146.44999999999982</v>
      </c>
      <c r="G832" s="4">
        <f t="shared" si="78"/>
        <v>146.44999999999982</v>
      </c>
      <c r="W832" s="59">
        <f t="shared" si="79"/>
        <v>-1.9078270912449683E-2</v>
      </c>
      <c r="X832" s="59">
        <f t="shared" si="80"/>
        <v>-6.4799159461845007E-3</v>
      </c>
      <c r="Y832" s="59">
        <f t="shared" si="81"/>
        <v>2.8747702030311517E-2</v>
      </c>
    </row>
    <row r="833" spans="1:25" x14ac:dyDescent="0.3">
      <c r="A833" s="2">
        <v>42942</v>
      </c>
      <c r="B833" s="1">
        <v>38.365000000000002</v>
      </c>
      <c r="C833" s="1">
        <v>1052.8</v>
      </c>
      <c r="D833" s="1">
        <v>165.61</v>
      </c>
      <c r="E833" s="3">
        <f t="shared" si="76"/>
        <v>711.64999999999964</v>
      </c>
      <c r="F833" s="4">
        <f t="shared" si="77"/>
        <v>28.259999999999764</v>
      </c>
      <c r="G833" s="4">
        <f t="shared" si="78"/>
        <v>-28.259999999999764</v>
      </c>
      <c r="W833" s="59">
        <f t="shared" si="79"/>
        <v>4.7028172892811118E-3</v>
      </c>
      <c r="X833" s="59">
        <f t="shared" si="80"/>
        <v>1.2357576248785522E-2</v>
      </c>
      <c r="Y833" s="59">
        <f t="shared" si="81"/>
        <v>1.9946212300712392E-3</v>
      </c>
    </row>
    <row r="834" spans="1:25" x14ac:dyDescent="0.3">
      <c r="A834" s="2">
        <v>42941</v>
      </c>
      <c r="B834" s="1">
        <v>38.185000000000002</v>
      </c>
      <c r="C834" s="1">
        <v>1039.8699999999999</v>
      </c>
      <c r="D834" s="1">
        <v>165.28</v>
      </c>
      <c r="E834" s="3">
        <f t="shared" si="76"/>
        <v>683.38999999999987</v>
      </c>
      <c r="F834" s="4">
        <f t="shared" si="77"/>
        <v>24.364999999999782</v>
      </c>
      <c r="G834" s="4">
        <f t="shared" si="78"/>
        <v>-24.364999999999782</v>
      </c>
      <c r="W834" s="59">
        <f t="shared" si="79"/>
        <v>4.2646785759607713E-3</v>
      </c>
      <c r="X834" s="59">
        <f t="shared" si="80"/>
        <v>8.8511757637805427E-4</v>
      </c>
      <c r="Y834" s="59">
        <f t="shared" si="81"/>
        <v>-4.3467829852147947E-3</v>
      </c>
    </row>
    <row r="835" spans="1:25" x14ac:dyDescent="0.3">
      <c r="A835" s="2">
        <v>42940</v>
      </c>
      <c r="B835" s="1">
        <v>38.022500000000001</v>
      </c>
      <c r="C835" s="1">
        <v>1038.95</v>
      </c>
      <c r="D835" s="1">
        <v>166</v>
      </c>
      <c r="E835" s="3">
        <f t="shared" si="76"/>
        <v>659.02500000000009</v>
      </c>
      <c r="F835" s="4">
        <f t="shared" si="77"/>
        <v>17.910000000000309</v>
      </c>
      <c r="G835" s="4">
        <f t="shared" si="78"/>
        <v>-17.910000000000309</v>
      </c>
      <c r="W835" s="59">
        <f t="shared" si="79"/>
        <v>1.2038774846642139E-2</v>
      </c>
      <c r="X835" s="59">
        <f t="shared" si="80"/>
        <v>1.2864530178485982E-2</v>
      </c>
      <c r="Y835" s="59">
        <f t="shared" si="81"/>
        <v>9.5028406304085693E-3</v>
      </c>
    </row>
    <row r="836" spans="1:25" x14ac:dyDescent="0.3">
      <c r="A836" s="2">
        <v>42937</v>
      </c>
      <c r="B836" s="1">
        <v>37.567500000000003</v>
      </c>
      <c r="C836" s="1">
        <v>1025.67</v>
      </c>
      <c r="D836" s="1">
        <v>164.43</v>
      </c>
      <c r="E836" s="3">
        <f t="shared" si="76"/>
        <v>641.11499999999978</v>
      </c>
      <c r="F836" s="4">
        <f t="shared" si="77"/>
        <v>-4.9350000000004002</v>
      </c>
      <c r="G836" s="4">
        <f t="shared" si="78"/>
        <v>4.9350000000004002</v>
      </c>
      <c r="W836" s="59">
        <f t="shared" si="79"/>
        <v>-4.6571971168764259E-4</v>
      </c>
      <c r="X836" s="59">
        <f t="shared" si="80"/>
        <v>-2.9498115695811662E-3</v>
      </c>
      <c r="Y836" s="59">
        <f t="shared" si="81"/>
        <v>-6.079766724239996E-4</v>
      </c>
    </row>
    <row r="837" spans="1:25" x14ac:dyDescent="0.3">
      <c r="A837" s="2">
        <v>42936</v>
      </c>
      <c r="B837" s="1">
        <v>37.585000000000001</v>
      </c>
      <c r="C837" s="1">
        <v>1028.7</v>
      </c>
      <c r="D837" s="1">
        <v>164.53</v>
      </c>
      <c r="E837" s="3">
        <f t="shared" si="76"/>
        <v>646.05000000000018</v>
      </c>
      <c r="F837" s="4">
        <f t="shared" si="77"/>
        <v>-12.639999999999873</v>
      </c>
      <c r="G837" s="4">
        <f t="shared" si="78"/>
        <v>12.639999999999873</v>
      </c>
      <c r="W837" s="59">
        <f t="shared" si="79"/>
        <v>-4.5128826259567597E-3</v>
      </c>
      <c r="X837" s="59">
        <f t="shared" si="80"/>
        <v>1.7805284991199619E-3</v>
      </c>
      <c r="Y837" s="59">
        <f t="shared" si="81"/>
        <v>2.3732021969931683E-3</v>
      </c>
    </row>
    <row r="838" spans="1:25" x14ac:dyDescent="0.3">
      <c r="A838" s="2">
        <v>42935</v>
      </c>
      <c r="B838" s="1">
        <v>37.755000000000003</v>
      </c>
      <c r="C838" s="1">
        <v>1026.8699999999999</v>
      </c>
      <c r="D838" s="1">
        <v>164.14</v>
      </c>
      <c r="E838" s="3">
        <f t="shared" ref="E838:E901" si="82">50*B838+2*C838-20*D838</f>
        <v>658.69</v>
      </c>
      <c r="F838" s="4">
        <f t="shared" ref="F838:F901" si="83">E838-E839</f>
        <v>-9.0100000000002183</v>
      </c>
      <c r="G838" s="4">
        <f t="shared" ref="G838:G901" si="84">-F838</f>
        <v>9.0100000000002183</v>
      </c>
      <c r="W838" s="59">
        <f t="shared" ref="W838:W901" si="85">LN(B838/B839)</f>
        <v>6.2437931173649416E-3</v>
      </c>
      <c r="X838" s="59">
        <f t="shared" ref="X838:X901" si="86">LN(C838/C839)</f>
        <v>2.3594574446560465E-3</v>
      </c>
      <c r="Y838" s="59">
        <f t="shared" ref="Y838:Y901" si="87">LN(D838/D839)</f>
        <v>7.8287861625802226E-3</v>
      </c>
    </row>
    <row r="839" spans="1:25" x14ac:dyDescent="0.3">
      <c r="A839" s="2">
        <v>42934</v>
      </c>
      <c r="B839" s="1">
        <v>37.520000000000003</v>
      </c>
      <c r="C839" s="1">
        <v>1024.45</v>
      </c>
      <c r="D839" s="1">
        <v>162.86000000000001</v>
      </c>
      <c r="E839" s="3">
        <f t="shared" si="82"/>
        <v>667.70000000000027</v>
      </c>
      <c r="F839" s="4">
        <f t="shared" si="83"/>
        <v>-27.279999999999745</v>
      </c>
      <c r="G839" s="4">
        <f t="shared" si="84"/>
        <v>27.279999999999745</v>
      </c>
      <c r="W839" s="59">
        <f t="shared" si="85"/>
        <v>3.4708351490016173E-3</v>
      </c>
      <c r="X839" s="59">
        <f t="shared" si="86"/>
        <v>1.4165949181723174E-2</v>
      </c>
      <c r="Y839" s="59">
        <f t="shared" si="87"/>
        <v>1.9406046237120108E-2</v>
      </c>
    </row>
    <row r="840" spans="1:25" x14ac:dyDescent="0.3">
      <c r="A840" s="2">
        <v>42933</v>
      </c>
      <c r="B840" s="1">
        <v>37.39</v>
      </c>
      <c r="C840" s="1">
        <v>1010.04</v>
      </c>
      <c r="D840" s="1">
        <v>159.72999999999999</v>
      </c>
      <c r="E840" s="3">
        <f t="shared" si="82"/>
        <v>694.98</v>
      </c>
      <c r="F840" s="4">
        <f t="shared" si="83"/>
        <v>27.760000000000218</v>
      </c>
      <c r="G840" s="4">
        <f t="shared" si="84"/>
        <v>-27.760000000000218</v>
      </c>
      <c r="W840" s="59">
        <f t="shared" si="85"/>
        <v>3.4829238155799683E-3</v>
      </c>
      <c r="X840" s="59">
        <f t="shared" si="86"/>
        <v>8.181570105446942E-3</v>
      </c>
      <c r="Y840" s="59">
        <f t="shared" si="87"/>
        <v>-1.5014078516390949E-3</v>
      </c>
    </row>
    <row r="841" spans="1:25" x14ac:dyDescent="0.3">
      <c r="A841" s="2">
        <v>42930</v>
      </c>
      <c r="B841" s="1">
        <v>37.26</v>
      </c>
      <c r="C841" s="1">
        <v>1001.81</v>
      </c>
      <c r="D841" s="1">
        <v>159.97</v>
      </c>
      <c r="E841" s="3">
        <f t="shared" si="82"/>
        <v>667.2199999999998</v>
      </c>
      <c r="F841" s="4">
        <f t="shared" si="83"/>
        <v>4.0349999999993997</v>
      </c>
      <c r="G841" s="4">
        <f t="shared" si="84"/>
        <v>-4.0349999999993997</v>
      </c>
      <c r="W841" s="59">
        <f t="shared" si="85"/>
        <v>8.557715377790362E-3</v>
      </c>
      <c r="X841" s="59">
        <f t="shared" si="86"/>
        <v>1.1785622905913498E-3</v>
      </c>
      <c r="Y841" s="59">
        <f t="shared" si="87"/>
        <v>4.4482108242055755E-3</v>
      </c>
    </row>
    <row r="842" spans="1:25" x14ac:dyDescent="0.3">
      <c r="A842" s="2">
        <v>42929</v>
      </c>
      <c r="B842" s="1">
        <v>36.942500000000003</v>
      </c>
      <c r="C842" s="1">
        <v>1000.63</v>
      </c>
      <c r="D842" s="1">
        <v>159.26</v>
      </c>
      <c r="E842" s="3">
        <f t="shared" si="82"/>
        <v>663.1850000000004</v>
      </c>
      <c r="F842" s="4">
        <f t="shared" si="83"/>
        <v>6.4150000000004184</v>
      </c>
      <c r="G842" s="4">
        <f t="shared" si="84"/>
        <v>-6.4150000000004184</v>
      </c>
      <c r="W842" s="59">
        <f t="shared" si="85"/>
        <v>1.3832798673406475E-2</v>
      </c>
      <c r="X842" s="59">
        <f t="shared" si="86"/>
        <v>-5.8590998348149702E-3</v>
      </c>
      <c r="Y842" s="59">
        <f t="shared" si="87"/>
        <v>2.2630132866283919E-3</v>
      </c>
    </row>
    <row r="843" spans="1:25" x14ac:dyDescent="0.3">
      <c r="A843" s="2">
        <v>42928</v>
      </c>
      <c r="B843" s="1">
        <v>36.435000000000002</v>
      </c>
      <c r="C843" s="1">
        <v>1006.51</v>
      </c>
      <c r="D843" s="1">
        <v>158.9</v>
      </c>
      <c r="E843" s="3">
        <f t="shared" si="82"/>
        <v>656.77</v>
      </c>
      <c r="F843" s="4">
        <f t="shared" si="83"/>
        <v>-45.214799999999741</v>
      </c>
      <c r="G843" s="4">
        <f t="shared" si="84"/>
        <v>45.214799999999741</v>
      </c>
      <c r="W843" s="59">
        <f t="shared" si="85"/>
        <v>1.4419613169014058E-3</v>
      </c>
      <c r="X843" s="59">
        <f t="shared" si="86"/>
        <v>1.2376298227483628E-2</v>
      </c>
      <c r="Y843" s="59">
        <f t="shared" si="87"/>
        <v>2.31095365495919E-2</v>
      </c>
    </row>
    <row r="844" spans="1:25" x14ac:dyDescent="0.3">
      <c r="A844" s="2">
        <v>42927</v>
      </c>
      <c r="B844" s="1">
        <v>36.3825</v>
      </c>
      <c r="C844" s="1">
        <v>994.12990000000002</v>
      </c>
      <c r="D844" s="1">
        <v>155.27000000000001</v>
      </c>
      <c r="E844" s="3">
        <f t="shared" si="82"/>
        <v>701.98479999999972</v>
      </c>
      <c r="F844" s="4">
        <f t="shared" si="83"/>
        <v>-34.205200000000332</v>
      </c>
      <c r="G844" s="4">
        <f t="shared" si="84"/>
        <v>34.205200000000332</v>
      </c>
      <c r="W844" s="59">
        <f t="shared" si="85"/>
        <v>3.2348009899685797E-3</v>
      </c>
      <c r="X844" s="59">
        <f t="shared" si="86"/>
        <v>-2.3511516081048661E-3</v>
      </c>
      <c r="Y844" s="59">
        <f t="shared" si="87"/>
        <v>1.1464969965826651E-2</v>
      </c>
    </row>
    <row r="845" spans="1:25" x14ac:dyDescent="0.3">
      <c r="A845" s="2">
        <v>42926</v>
      </c>
      <c r="B845" s="1">
        <v>36.265000000000001</v>
      </c>
      <c r="C845" s="1">
        <v>996.47</v>
      </c>
      <c r="D845" s="1">
        <v>153.5</v>
      </c>
      <c r="E845" s="3">
        <f t="shared" si="82"/>
        <v>736.19</v>
      </c>
      <c r="F845" s="4">
        <f t="shared" si="83"/>
        <v>5.2200000000002547</v>
      </c>
      <c r="G845" s="4">
        <f t="shared" si="84"/>
        <v>-5.2200000000002547</v>
      </c>
      <c r="W845" s="59">
        <f t="shared" si="85"/>
        <v>6.0849309588338184E-3</v>
      </c>
      <c r="X845" s="59">
        <f t="shared" si="86"/>
        <v>1.7932569464399147E-2</v>
      </c>
      <c r="Y845" s="59">
        <f t="shared" si="87"/>
        <v>1.3511060126184346E-2</v>
      </c>
    </row>
    <row r="846" spans="1:25" x14ac:dyDescent="0.3">
      <c r="A846" s="2">
        <v>42923</v>
      </c>
      <c r="B846" s="1">
        <v>36.045000000000002</v>
      </c>
      <c r="C846" s="1">
        <v>978.76</v>
      </c>
      <c r="D846" s="1">
        <v>151.44</v>
      </c>
      <c r="E846" s="3">
        <f t="shared" si="82"/>
        <v>730.9699999999998</v>
      </c>
      <c r="F846" s="4">
        <f t="shared" si="83"/>
        <v>-7.0348000000003594</v>
      </c>
      <c r="G846" s="4">
        <f t="shared" si="84"/>
        <v>7.0348000000003594</v>
      </c>
      <c r="W846" s="59">
        <f t="shared" si="85"/>
        <v>1.010778533475562E-2</v>
      </c>
      <c r="X846" s="59">
        <f t="shared" si="86"/>
        <v>1.4013399441961996E-2</v>
      </c>
      <c r="Y846" s="59">
        <f t="shared" si="87"/>
        <v>1.7451984931952276E-2</v>
      </c>
    </row>
    <row r="847" spans="1:25" x14ac:dyDescent="0.3">
      <c r="A847" s="2">
        <v>42922</v>
      </c>
      <c r="B847" s="1">
        <v>35.682499999999997</v>
      </c>
      <c r="C847" s="1">
        <v>965.13990000000001</v>
      </c>
      <c r="D847" s="1">
        <v>148.82</v>
      </c>
      <c r="E847" s="3">
        <f t="shared" si="82"/>
        <v>738.00480000000016</v>
      </c>
      <c r="F847" s="4">
        <f t="shared" si="83"/>
        <v>0.88000000000056389</v>
      </c>
      <c r="G847" s="4">
        <f t="shared" si="84"/>
        <v>-0.88000000000056389</v>
      </c>
      <c r="W847" s="59">
        <f t="shared" si="85"/>
        <v>-9.4833707031657041E-3</v>
      </c>
      <c r="X847" s="59">
        <f t="shared" si="86"/>
        <v>-6.4651620429130299E-3</v>
      </c>
      <c r="Y847" s="59">
        <f t="shared" si="87"/>
        <v>-1.0161873780207708E-2</v>
      </c>
    </row>
    <row r="848" spans="1:25" x14ac:dyDescent="0.3">
      <c r="A848" s="2">
        <v>42921</v>
      </c>
      <c r="B848" s="1">
        <v>36.022500000000001</v>
      </c>
      <c r="C848" s="1">
        <v>971.3999</v>
      </c>
      <c r="D848" s="1">
        <v>150.34</v>
      </c>
      <c r="E848" s="3">
        <f t="shared" si="82"/>
        <v>737.1247999999996</v>
      </c>
      <c r="F848" s="4">
        <f t="shared" si="83"/>
        <v>4.6549999999997453</v>
      </c>
      <c r="G848" s="4">
        <f t="shared" si="84"/>
        <v>-4.6549999999997453</v>
      </c>
      <c r="W848" s="59">
        <f t="shared" si="85"/>
        <v>4.1030691451670312E-3</v>
      </c>
      <c r="X848" s="59">
        <f t="shared" si="86"/>
        <v>1.8431118031788457E-2</v>
      </c>
      <c r="Y848" s="59">
        <f t="shared" si="87"/>
        <v>1.2785929112649235E-2</v>
      </c>
    </row>
    <row r="849" spans="1:25" x14ac:dyDescent="0.3">
      <c r="A849" s="2">
        <v>42920</v>
      </c>
      <c r="B849" s="1">
        <v>35.875</v>
      </c>
      <c r="C849" s="1">
        <v>953.65989999999999</v>
      </c>
      <c r="D849" s="1">
        <v>148.43</v>
      </c>
      <c r="E849" s="3">
        <f t="shared" si="82"/>
        <v>732.46979999999985</v>
      </c>
      <c r="F849" s="4">
        <f t="shared" si="83"/>
        <v>0</v>
      </c>
      <c r="G849" s="4">
        <f t="shared" si="84"/>
        <v>0</v>
      </c>
      <c r="W849" s="59">
        <f t="shared" si="85"/>
        <v>0</v>
      </c>
      <c r="X849" s="59">
        <f t="shared" si="86"/>
        <v>0</v>
      </c>
      <c r="Y849" s="59">
        <f t="shared" si="87"/>
        <v>0</v>
      </c>
    </row>
    <row r="850" spans="1:25" x14ac:dyDescent="0.3">
      <c r="A850" s="2">
        <v>42919</v>
      </c>
      <c r="B850" s="1">
        <v>35.875</v>
      </c>
      <c r="C850" s="1">
        <v>953.65989999999999</v>
      </c>
      <c r="D850" s="1">
        <v>148.43</v>
      </c>
      <c r="E850" s="3">
        <f t="shared" si="82"/>
        <v>732.46979999999985</v>
      </c>
      <c r="F850" s="4">
        <f t="shared" si="83"/>
        <v>15.819799999999759</v>
      </c>
      <c r="G850" s="4">
        <f t="shared" si="84"/>
        <v>-15.819799999999759</v>
      </c>
      <c r="W850" s="59">
        <f t="shared" si="85"/>
        <v>-3.6171436210450537E-3</v>
      </c>
      <c r="X850" s="59">
        <f t="shared" si="86"/>
        <v>-1.4924978340930426E-2</v>
      </c>
      <c r="Y850" s="59">
        <f t="shared" si="87"/>
        <v>-1.7033911074805119E-2</v>
      </c>
    </row>
    <row r="851" spans="1:25" x14ac:dyDescent="0.3">
      <c r="A851" s="2">
        <v>42916</v>
      </c>
      <c r="B851" s="1">
        <v>36.005000000000003</v>
      </c>
      <c r="C851" s="1">
        <v>968</v>
      </c>
      <c r="D851" s="1">
        <v>150.97999999999999</v>
      </c>
      <c r="E851" s="3">
        <f t="shared" si="82"/>
        <v>716.65000000000009</v>
      </c>
      <c r="F851" s="4">
        <f t="shared" si="83"/>
        <v>-10.409800000000359</v>
      </c>
      <c r="G851" s="4">
        <f t="shared" si="84"/>
        <v>10.409800000000359</v>
      </c>
      <c r="W851" s="59">
        <f t="shared" si="85"/>
        <v>2.3635742668312349E-3</v>
      </c>
      <c r="X851" s="59">
        <f t="shared" si="86"/>
        <v>-8.1586727865731404E-3</v>
      </c>
      <c r="Y851" s="59">
        <f t="shared" si="87"/>
        <v>-3.9732468571173518E-4</v>
      </c>
    </row>
    <row r="852" spans="1:25" x14ac:dyDescent="0.3">
      <c r="A852" s="2">
        <v>42915</v>
      </c>
      <c r="B852" s="1">
        <v>35.92</v>
      </c>
      <c r="C852" s="1">
        <v>975.92989999999998</v>
      </c>
      <c r="D852" s="1">
        <v>151.04</v>
      </c>
      <c r="E852" s="3">
        <f t="shared" si="82"/>
        <v>727.05980000000045</v>
      </c>
      <c r="F852" s="4">
        <f t="shared" si="83"/>
        <v>-11.675399999999627</v>
      </c>
      <c r="G852" s="4">
        <f t="shared" si="84"/>
        <v>11.675399999999627</v>
      </c>
      <c r="W852" s="59">
        <f t="shared" si="85"/>
        <v>-1.4852955171584368E-2</v>
      </c>
      <c r="X852" s="59">
        <f t="shared" si="86"/>
        <v>-1.4647561832042933E-2</v>
      </c>
      <c r="Y852" s="59">
        <f t="shared" si="87"/>
        <v>-1.4460617435257795E-2</v>
      </c>
    </row>
    <row r="853" spans="1:25" x14ac:dyDescent="0.3">
      <c r="A853" s="2">
        <v>42914</v>
      </c>
      <c r="B853" s="1">
        <v>36.457500000000003</v>
      </c>
      <c r="C853" s="1">
        <v>990.33010000000002</v>
      </c>
      <c r="D853" s="1">
        <v>153.24</v>
      </c>
      <c r="E853" s="3">
        <f t="shared" si="82"/>
        <v>738.73520000000008</v>
      </c>
      <c r="F853" s="4">
        <f t="shared" si="83"/>
        <v>0.15020000000095024</v>
      </c>
      <c r="G853" s="4">
        <f t="shared" si="84"/>
        <v>-0.15020000000095024</v>
      </c>
      <c r="W853" s="59">
        <f t="shared" si="85"/>
        <v>1.4505020162333486E-2</v>
      </c>
      <c r="X853" s="59">
        <f t="shared" si="86"/>
        <v>1.3776874328789357E-2</v>
      </c>
      <c r="Y853" s="59">
        <f t="shared" si="87"/>
        <v>1.7510815410472017E-2</v>
      </c>
    </row>
    <row r="854" spans="1:25" x14ac:dyDescent="0.3">
      <c r="A854" s="2">
        <v>42913</v>
      </c>
      <c r="B854" s="1">
        <v>35.932499999999997</v>
      </c>
      <c r="C854" s="1">
        <v>976.78</v>
      </c>
      <c r="D854" s="1">
        <v>150.58000000000001</v>
      </c>
      <c r="E854" s="3">
        <f t="shared" si="82"/>
        <v>738.58499999999913</v>
      </c>
      <c r="F854" s="4">
        <f t="shared" si="83"/>
        <v>-0.3250000000007276</v>
      </c>
      <c r="G854" s="4">
        <f t="shared" si="84"/>
        <v>0.3250000000007276</v>
      </c>
      <c r="W854" s="59">
        <f t="shared" si="85"/>
        <v>-1.4436444815143772E-2</v>
      </c>
      <c r="X854" s="59">
        <f t="shared" si="86"/>
        <v>-1.745563816339972E-2</v>
      </c>
      <c r="Y854" s="59">
        <f t="shared" si="87"/>
        <v>-1.9792210005560588E-2</v>
      </c>
    </row>
    <row r="855" spans="1:25" x14ac:dyDescent="0.3">
      <c r="A855" s="2">
        <v>42912</v>
      </c>
      <c r="B855" s="1">
        <v>36.454999999999998</v>
      </c>
      <c r="C855" s="1">
        <v>993.98</v>
      </c>
      <c r="D855" s="1">
        <v>153.59</v>
      </c>
      <c r="E855" s="3">
        <f t="shared" si="82"/>
        <v>738.90999999999985</v>
      </c>
      <c r="F855" s="4">
        <f t="shared" si="83"/>
        <v>4.3299999999994725</v>
      </c>
      <c r="G855" s="4">
        <f t="shared" si="84"/>
        <v>-4.3299999999994725</v>
      </c>
      <c r="W855" s="59">
        <f t="shared" si="85"/>
        <v>-3.14960890289622E-3</v>
      </c>
      <c r="X855" s="59">
        <f t="shared" si="86"/>
        <v>-9.7712168414409058E-3</v>
      </c>
      <c r="Y855" s="59">
        <f t="shared" si="87"/>
        <v>-9.589913448520648E-3</v>
      </c>
    </row>
    <row r="856" spans="1:25" x14ac:dyDescent="0.3">
      <c r="A856" s="2">
        <v>42909</v>
      </c>
      <c r="B856" s="1">
        <v>36.57</v>
      </c>
      <c r="C856" s="1">
        <v>1003.74</v>
      </c>
      <c r="D856" s="1">
        <v>155.07</v>
      </c>
      <c r="E856" s="3">
        <f t="shared" si="82"/>
        <v>734.58000000000038</v>
      </c>
      <c r="F856" s="4">
        <f t="shared" si="83"/>
        <v>-20.394999999999527</v>
      </c>
      <c r="G856" s="4">
        <f t="shared" si="84"/>
        <v>20.394999999999527</v>
      </c>
      <c r="W856" s="59">
        <f t="shared" si="85"/>
        <v>4.4534347866914481E-3</v>
      </c>
      <c r="X856" s="59">
        <f t="shared" si="86"/>
        <v>2.4338678574874041E-3</v>
      </c>
      <c r="Y856" s="59">
        <f t="shared" si="87"/>
        <v>1.0827738942901854E-2</v>
      </c>
    </row>
    <row r="857" spans="1:25" x14ac:dyDescent="0.3">
      <c r="A857" s="2">
        <v>42908</v>
      </c>
      <c r="B857" s="1">
        <v>36.407499999999999</v>
      </c>
      <c r="C857" s="1">
        <v>1001.3</v>
      </c>
      <c r="D857" s="1">
        <v>153.4</v>
      </c>
      <c r="E857" s="3">
        <f t="shared" si="82"/>
        <v>754.97499999999991</v>
      </c>
      <c r="F857" s="4">
        <f t="shared" si="83"/>
        <v>5.3399999999996908</v>
      </c>
      <c r="G857" s="4">
        <f t="shared" si="84"/>
        <v>-5.3399999999996908</v>
      </c>
      <c r="W857" s="59">
        <f t="shared" si="85"/>
        <v>-1.6466556036329122E-3</v>
      </c>
      <c r="X857" s="59">
        <f t="shared" si="86"/>
        <v>-9.2836150873090576E-4</v>
      </c>
      <c r="Y857" s="59">
        <f t="shared" si="87"/>
        <v>-3.3191270587067979E-3</v>
      </c>
    </row>
    <row r="858" spans="1:25" x14ac:dyDescent="0.3">
      <c r="A858" s="2">
        <v>42907</v>
      </c>
      <c r="B858" s="1">
        <v>36.467500000000001</v>
      </c>
      <c r="C858" s="1">
        <v>1002.23</v>
      </c>
      <c r="D858" s="1">
        <v>153.91</v>
      </c>
      <c r="E858" s="3">
        <f t="shared" si="82"/>
        <v>749.63500000000022</v>
      </c>
      <c r="F858" s="4">
        <f t="shared" si="83"/>
        <v>-3.1701999999995678</v>
      </c>
      <c r="G858" s="4">
        <f t="shared" si="84"/>
        <v>3.1701999999995678</v>
      </c>
      <c r="W858" s="59">
        <f t="shared" si="85"/>
        <v>5.9131085383181889E-3</v>
      </c>
      <c r="X858" s="59">
        <f t="shared" si="86"/>
        <v>9.6650069250518583E-3</v>
      </c>
      <c r="Y858" s="59">
        <f t="shared" si="87"/>
        <v>1.0844109401856279E-2</v>
      </c>
    </row>
    <row r="859" spans="1:25" x14ac:dyDescent="0.3">
      <c r="A859" s="2">
        <v>42906</v>
      </c>
      <c r="B859" s="1">
        <v>36.252499999999998</v>
      </c>
      <c r="C859" s="1">
        <v>992.59010000000001</v>
      </c>
      <c r="D859" s="1">
        <v>152.25</v>
      </c>
      <c r="E859" s="3">
        <f t="shared" si="82"/>
        <v>752.80519999999979</v>
      </c>
      <c r="F859" s="4">
        <f t="shared" si="83"/>
        <v>-9.3845999999998639</v>
      </c>
      <c r="G859" s="4">
        <f t="shared" si="84"/>
        <v>9.3845999999998639</v>
      </c>
      <c r="W859" s="59">
        <f t="shared" si="85"/>
        <v>-9.129975896080186E-3</v>
      </c>
      <c r="X859" s="59">
        <f t="shared" si="86"/>
        <v>-2.5956870532354865E-3</v>
      </c>
      <c r="Y859" s="59">
        <f t="shared" si="87"/>
        <v>-4.0639804229364099E-3</v>
      </c>
    </row>
    <row r="860" spans="1:25" x14ac:dyDescent="0.3">
      <c r="A860" s="2">
        <v>42905</v>
      </c>
      <c r="B860" s="1">
        <v>36.585000000000001</v>
      </c>
      <c r="C860" s="1">
        <v>995.16989999999998</v>
      </c>
      <c r="D860" s="1">
        <v>152.87</v>
      </c>
      <c r="E860" s="3">
        <f t="shared" si="82"/>
        <v>762.18979999999965</v>
      </c>
      <c r="F860" s="4">
        <f t="shared" si="83"/>
        <v>21.194799999999304</v>
      </c>
      <c r="G860" s="4">
        <f t="shared" si="84"/>
        <v>-21.194799999999304</v>
      </c>
      <c r="W860" s="59">
        <f t="shared" si="85"/>
        <v>2.8206020792808203E-2</v>
      </c>
      <c r="X860" s="59">
        <f t="shared" si="86"/>
        <v>7.5243439561021846E-3</v>
      </c>
      <c r="Y860" s="59">
        <f t="shared" si="87"/>
        <v>1.4695002664045994E-2</v>
      </c>
    </row>
    <row r="861" spans="1:25" x14ac:dyDescent="0.3">
      <c r="A861" s="2">
        <v>42902</v>
      </c>
      <c r="B861" s="1">
        <v>35.567500000000003</v>
      </c>
      <c r="C861" s="1">
        <v>987.71</v>
      </c>
      <c r="D861" s="1">
        <v>150.63999999999999</v>
      </c>
      <c r="E861" s="3">
        <f t="shared" si="82"/>
        <v>740.99500000000035</v>
      </c>
      <c r="F861" s="4">
        <f t="shared" si="83"/>
        <v>5.0302000000006046</v>
      </c>
      <c r="G861" s="4">
        <f t="shared" si="84"/>
        <v>-5.0302000000006046</v>
      </c>
      <c r="W861" s="59">
        <f t="shared" si="85"/>
        <v>-1.4098502646088614E-2</v>
      </c>
      <c r="X861" s="59">
        <f t="shared" si="86"/>
        <v>2.4121608500038132E-2</v>
      </c>
      <c r="Y861" s="59">
        <f t="shared" si="87"/>
        <v>5.5918132657777134E-3</v>
      </c>
    </row>
    <row r="862" spans="1:25" x14ac:dyDescent="0.3">
      <c r="A862" s="2">
        <v>42901</v>
      </c>
      <c r="B862" s="1">
        <v>36.072499999999998</v>
      </c>
      <c r="C862" s="1">
        <v>964.16989999999998</v>
      </c>
      <c r="D862" s="1">
        <v>149.80000000000001</v>
      </c>
      <c r="E862" s="3">
        <f t="shared" si="82"/>
        <v>735.96479999999974</v>
      </c>
      <c r="F862" s="4">
        <f t="shared" si="83"/>
        <v>-26.475200000000314</v>
      </c>
      <c r="G862" s="4">
        <f t="shared" si="84"/>
        <v>26.475200000000314</v>
      </c>
      <c r="W862" s="59">
        <f t="shared" si="85"/>
        <v>-6.0114190357052092E-3</v>
      </c>
      <c r="X862" s="59">
        <f t="shared" si="86"/>
        <v>-1.2676503984067429E-2</v>
      </c>
      <c r="Y862" s="59">
        <f t="shared" si="87"/>
        <v>-2.9995023321978316E-3</v>
      </c>
    </row>
    <row r="863" spans="1:25" x14ac:dyDescent="0.3">
      <c r="A863" s="2">
        <v>42900</v>
      </c>
      <c r="B863" s="1">
        <v>36.29</v>
      </c>
      <c r="C863" s="1">
        <v>976.47</v>
      </c>
      <c r="D863" s="1">
        <v>150.25</v>
      </c>
      <c r="E863" s="3">
        <f t="shared" si="82"/>
        <v>762.44</v>
      </c>
      <c r="F863" s="4">
        <f t="shared" si="83"/>
        <v>-17.914999999999509</v>
      </c>
      <c r="G863" s="4">
        <f t="shared" si="84"/>
        <v>17.914999999999509</v>
      </c>
      <c r="W863" s="59">
        <f t="shared" si="85"/>
        <v>-9.8029919570702291E-3</v>
      </c>
      <c r="X863" s="59">
        <f t="shared" si="86"/>
        <v>-4.4143414928068808E-3</v>
      </c>
      <c r="Y863" s="59">
        <f t="shared" si="87"/>
        <v>-2.8578094085233595E-3</v>
      </c>
    </row>
    <row r="864" spans="1:25" x14ac:dyDescent="0.3">
      <c r="A864" s="2">
        <v>42899</v>
      </c>
      <c r="B864" s="1">
        <v>36.647500000000001</v>
      </c>
      <c r="C864" s="1">
        <v>980.79</v>
      </c>
      <c r="D864" s="1">
        <v>150.68</v>
      </c>
      <c r="E864" s="3">
        <f t="shared" si="82"/>
        <v>780.35499999999956</v>
      </c>
      <c r="F864" s="4">
        <f t="shared" si="83"/>
        <v>1.5851999999999862</v>
      </c>
      <c r="G864" s="4">
        <f t="shared" si="84"/>
        <v>-1.5851999999999862</v>
      </c>
      <c r="W864" s="59">
        <f t="shared" si="85"/>
        <v>8.0134670800289676E-3</v>
      </c>
      <c r="X864" s="59">
        <f t="shared" si="86"/>
        <v>1.632364026711864E-2</v>
      </c>
      <c r="Y864" s="59">
        <f t="shared" si="87"/>
        <v>1.4977546631443529E-2</v>
      </c>
    </row>
    <row r="865" spans="1:25" x14ac:dyDescent="0.3">
      <c r="A865" s="2">
        <v>42898</v>
      </c>
      <c r="B865" s="1">
        <v>36.354999999999997</v>
      </c>
      <c r="C865" s="1">
        <v>964.90989999999999</v>
      </c>
      <c r="D865" s="1">
        <v>148.44</v>
      </c>
      <c r="E865" s="3">
        <f t="shared" si="82"/>
        <v>778.76979999999958</v>
      </c>
      <c r="F865" s="4">
        <f t="shared" si="83"/>
        <v>-48.100400000000263</v>
      </c>
      <c r="G865" s="4">
        <f t="shared" si="84"/>
        <v>48.100400000000263</v>
      </c>
      <c r="W865" s="59">
        <f t="shared" si="85"/>
        <v>-2.4185961526219508E-2</v>
      </c>
      <c r="X865" s="59">
        <f t="shared" si="86"/>
        <v>-1.3791966337287132E-2</v>
      </c>
      <c r="Y865" s="59">
        <f t="shared" si="87"/>
        <v>-7.7842293479799688E-3</v>
      </c>
    </row>
    <row r="866" spans="1:25" x14ac:dyDescent="0.3">
      <c r="A866" s="2">
        <v>42895</v>
      </c>
      <c r="B866" s="1">
        <v>37.244999999999997</v>
      </c>
      <c r="C866" s="1">
        <v>978.31010000000003</v>
      </c>
      <c r="D866" s="1">
        <v>149.6</v>
      </c>
      <c r="E866" s="3">
        <f t="shared" si="82"/>
        <v>826.87019999999984</v>
      </c>
      <c r="F866" s="4">
        <f t="shared" si="83"/>
        <v>-36.84479999999985</v>
      </c>
      <c r="G866" s="4">
        <f t="shared" si="84"/>
        <v>36.84479999999985</v>
      </c>
      <c r="W866" s="59">
        <f t="shared" si="85"/>
        <v>-3.9548529960829276E-2</v>
      </c>
      <c r="X866" s="59">
        <f t="shared" si="86"/>
        <v>-3.2146205400980253E-2</v>
      </c>
      <c r="Y866" s="59">
        <f t="shared" si="87"/>
        <v>-3.3587331190600471E-2</v>
      </c>
    </row>
    <row r="867" spans="1:25" x14ac:dyDescent="0.3">
      <c r="A867" s="2">
        <v>42894</v>
      </c>
      <c r="B867" s="1">
        <v>38.747500000000002</v>
      </c>
      <c r="C867" s="1">
        <v>1010.27</v>
      </c>
      <c r="D867" s="1">
        <v>154.71</v>
      </c>
      <c r="E867" s="3">
        <f t="shared" si="82"/>
        <v>863.71499999999969</v>
      </c>
      <c r="F867" s="4">
        <f t="shared" si="83"/>
        <v>-36.150000000000546</v>
      </c>
      <c r="G867" s="4">
        <f t="shared" si="84"/>
        <v>36.150000000000546</v>
      </c>
      <c r="W867" s="59">
        <f t="shared" si="85"/>
        <v>-2.4487703949503327E-3</v>
      </c>
      <c r="X867" s="59">
        <f t="shared" si="86"/>
        <v>1.9798647817020556E-4</v>
      </c>
      <c r="Y867" s="59">
        <f t="shared" si="87"/>
        <v>1.0330469026333158E-2</v>
      </c>
    </row>
    <row r="868" spans="1:25" x14ac:dyDescent="0.3">
      <c r="A868" s="2">
        <v>42893</v>
      </c>
      <c r="B868" s="1">
        <v>38.842500000000001</v>
      </c>
      <c r="C868" s="1">
        <v>1010.07</v>
      </c>
      <c r="D868" s="1">
        <v>153.12</v>
      </c>
      <c r="E868" s="3">
        <f t="shared" si="82"/>
        <v>899.86500000000024</v>
      </c>
      <c r="F868" s="4">
        <f t="shared" si="83"/>
        <v>19.440000000000055</v>
      </c>
      <c r="G868" s="4">
        <f t="shared" si="84"/>
        <v>-19.440000000000055</v>
      </c>
      <c r="W868" s="59">
        <f t="shared" si="85"/>
        <v>5.9389497393191742E-3</v>
      </c>
      <c r="X868" s="59">
        <f t="shared" si="86"/>
        <v>7.0241264024484499E-3</v>
      </c>
      <c r="Y868" s="59">
        <f t="shared" si="87"/>
        <v>2.0266080874782135E-3</v>
      </c>
    </row>
    <row r="869" spans="1:25" x14ac:dyDescent="0.3">
      <c r="A869" s="2">
        <v>42892</v>
      </c>
      <c r="B869" s="1">
        <v>38.612499999999997</v>
      </c>
      <c r="C869" s="1">
        <v>1003</v>
      </c>
      <c r="D869" s="1">
        <v>152.81</v>
      </c>
      <c r="E869" s="3">
        <f t="shared" si="82"/>
        <v>880.42500000000018</v>
      </c>
      <c r="F869" s="4">
        <f t="shared" si="83"/>
        <v>6.2199999999997999</v>
      </c>
      <c r="G869" s="4">
        <f t="shared" si="84"/>
        <v>-6.2199999999997999</v>
      </c>
      <c r="W869" s="59">
        <f t="shared" si="85"/>
        <v>3.3724657426073769E-3</v>
      </c>
      <c r="X869" s="59">
        <f t="shared" si="86"/>
        <v>-8.2806752145169488E-3</v>
      </c>
      <c r="Y869" s="59">
        <f t="shared" si="87"/>
        <v>-5.3517945254028063E-3</v>
      </c>
    </row>
    <row r="870" spans="1:25" x14ac:dyDescent="0.3">
      <c r="A870" s="2">
        <v>42891</v>
      </c>
      <c r="B870" s="1">
        <v>38.482500000000002</v>
      </c>
      <c r="C870" s="1">
        <v>1011.34</v>
      </c>
      <c r="D870" s="1">
        <v>153.63</v>
      </c>
      <c r="E870" s="3">
        <f t="shared" si="82"/>
        <v>874.20500000000038</v>
      </c>
      <c r="F870" s="4">
        <f t="shared" si="83"/>
        <v>-10.179999999999382</v>
      </c>
      <c r="G870" s="4">
        <f t="shared" si="84"/>
        <v>10.179999999999382</v>
      </c>
      <c r="W870" s="59">
        <f t="shared" si="85"/>
        <v>-9.8261828827795952E-3</v>
      </c>
      <c r="X870" s="59">
        <f t="shared" si="86"/>
        <v>4.5687295473589972E-3</v>
      </c>
      <c r="Y870" s="59">
        <f t="shared" si="87"/>
        <v>1.3019138151426933E-4</v>
      </c>
    </row>
    <row r="871" spans="1:25" x14ac:dyDescent="0.3">
      <c r="A871" s="2">
        <v>42888</v>
      </c>
      <c r="B871" s="1">
        <v>38.862499999999997</v>
      </c>
      <c r="C871" s="1">
        <v>1006.73</v>
      </c>
      <c r="D871" s="1">
        <v>153.61000000000001</v>
      </c>
      <c r="E871" s="3">
        <f t="shared" si="82"/>
        <v>884.38499999999976</v>
      </c>
      <c r="F871" s="4">
        <f t="shared" si="83"/>
        <v>8.3349999999995816</v>
      </c>
      <c r="G871" s="4">
        <f t="shared" si="84"/>
        <v>-8.3349999999995816</v>
      </c>
      <c r="W871" s="59">
        <f t="shared" si="85"/>
        <v>1.471043602331527E-2</v>
      </c>
      <c r="X871" s="59">
        <f t="shared" si="86"/>
        <v>1.0765678107810529E-2</v>
      </c>
      <c r="Y871" s="59">
        <f t="shared" si="87"/>
        <v>1.3633297612983456E-2</v>
      </c>
    </row>
    <row r="872" spans="1:25" x14ac:dyDescent="0.3">
      <c r="A872" s="2">
        <v>42887</v>
      </c>
      <c r="B872" s="1">
        <v>38.295000000000002</v>
      </c>
      <c r="C872" s="1">
        <v>995.95</v>
      </c>
      <c r="D872" s="1">
        <v>151.53</v>
      </c>
      <c r="E872" s="3">
        <f t="shared" si="82"/>
        <v>876.05000000000018</v>
      </c>
      <c r="F872" s="4">
        <f t="shared" si="83"/>
        <v>6.5098000000002685</v>
      </c>
      <c r="G872" s="4">
        <f t="shared" si="84"/>
        <v>-6.5098000000002685</v>
      </c>
      <c r="W872" s="59">
        <f t="shared" si="85"/>
        <v>2.7456381241321975E-3</v>
      </c>
      <c r="X872" s="59">
        <f t="shared" si="86"/>
        <v>1.3362003155483718E-3</v>
      </c>
      <c r="Y872" s="59">
        <f t="shared" si="87"/>
        <v>4.6206146239423081E-4</v>
      </c>
    </row>
    <row r="873" spans="1:25" x14ac:dyDescent="0.3">
      <c r="A873" s="2">
        <v>42886</v>
      </c>
      <c r="B873" s="1">
        <v>38.19</v>
      </c>
      <c r="C873" s="1">
        <v>994.62009999999998</v>
      </c>
      <c r="D873" s="1">
        <v>151.46</v>
      </c>
      <c r="E873" s="3">
        <f t="shared" si="82"/>
        <v>869.54019999999991</v>
      </c>
      <c r="F873" s="4">
        <f t="shared" si="83"/>
        <v>2.8652000000001863</v>
      </c>
      <c r="G873" s="4">
        <f t="shared" si="84"/>
        <v>-2.8652000000001863</v>
      </c>
      <c r="W873" s="59">
        <f t="shared" si="85"/>
        <v>-5.9393837099254738E-3</v>
      </c>
      <c r="X873" s="59">
        <f t="shared" si="86"/>
        <v>-2.0889667676759764E-3</v>
      </c>
      <c r="Y873" s="59">
        <f t="shared" si="87"/>
        <v>-6.0558373591869238E-3</v>
      </c>
    </row>
    <row r="874" spans="1:25" x14ac:dyDescent="0.3">
      <c r="A874" s="2">
        <v>42885</v>
      </c>
      <c r="B874" s="1">
        <v>38.417499999999997</v>
      </c>
      <c r="C874" s="1">
        <v>996.7</v>
      </c>
      <c r="D874" s="1">
        <v>152.38</v>
      </c>
      <c r="E874" s="3">
        <f t="shared" si="82"/>
        <v>866.67499999999973</v>
      </c>
      <c r="F874" s="4">
        <f t="shared" si="83"/>
        <v>-2.410000000000764</v>
      </c>
      <c r="G874" s="4">
        <f t="shared" si="84"/>
        <v>2.410000000000764</v>
      </c>
      <c r="W874" s="59">
        <f t="shared" si="85"/>
        <v>3.9052330618671995E-4</v>
      </c>
      <c r="X874" s="59">
        <f t="shared" si="86"/>
        <v>9.2347232130956039E-4</v>
      </c>
      <c r="Y874" s="59">
        <f t="shared" si="87"/>
        <v>1.6419825698262664E-3</v>
      </c>
    </row>
    <row r="875" spans="1:25" x14ac:dyDescent="0.3">
      <c r="A875" s="2">
        <v>42884</v>
      </c>
      <c r="B875" s="1">
        <v>38.402500000000003</v>
      </c>
      <c r="C875" s="1">
        <v>995.78</v>
      </c>
      <c r="D875" s="1">
        <v>152.13</v>
      </c>
      <c r="E875" s="3">
        <f t="shared" si="82"/>
        <v>869.08500000000049</v>
      </c>
      <c r="F875" s="4">
        <f t="shared" si="83"/>
        <v>0</v>
      </c>
      <c r="G875" s="4">
        <f t="shared" si="84"/>
        <v>0</v>
      </c>
      <c r="W875" s="59">
        <f t="shared" si="85"/>
        <v>0</v>
      </c>
      <c r="X875" s="59">
        <f t="shared" si="86"/>
        <v>0</v>
      </c>
      <c r="Y875" s="59">
        <f t="shared" si="87"/>
        <v>0</v>
      </c>
    </row>
    <row r="876" spans="1:25" x14ac:dyDescent="0.3">
      <c r="A876" s="2">
        <v>42881</v>
      </c>
      <c r="B876" s="1">
        <v>38.402500000000003</v>
      </c>
      <c r="C876" s="1">
        <v>995.78</v>
      </c>
      <c r="D876" s="1">
        <v>152.13</v>
      </c>
      <c r="E876" s="3">
        <f t="shared" si="82"/>
        <v>869.08500000000049</v>
      </c>
      <c r="F876" s="4">
        <f t="shared" si="83"/>
        <v>-1.8497999999990498</v>
      </c>
      <c r="G876" s="4">
        <f t="shared" si="84"/>
        <v>1.8497999999990498</v>
      </c>
      <c r="W876" s="59">
        <f t="shared" si="85"/>
        <v>-1.6911673082325529E-3</v>
      </c>
      <c r="X876" s="59">
        <f t="shared" si="86"/>
        <v>2.4131807249247977E-3</v>
      </c>
      <c r="Y876" s="59">
        <f t="shared" si="87"/>
        <v>1.1180901556124691E-3</v>
      </c>
    </row>
    <row r="877" spans="1:25" x14ac:dyDescent="0.3">
      <c r="A877" s="2">
        <v>42880</v>
      </c>
      <c r="B877" s="1">
        <v>38.467500000000001</v>
      </c>
      <c r="C877" s="1">
        <v>993.37990000000002</v>
      </c>
      <c r="D877" s="1">
        <v>151.96</v>
      </c>
      <c r="E877" s="3">
        <f t="shared" si="82"/>
        <v>870.93479999999954</v>
      </c>
      <c r="F877" s="4">
        <f t="shared" si="83"/>
        <v>-5.7154000000009546</v>
      </c>
      <c r="G877" s="4">
        <f t="shared" si="84"/>
        <v>5.7154000000009546</v>
      </c>
      <c r="W877" s="59">
        <f t="shared" si="85"/>
        <v>3.4504119385383686E-3</v>
      </c>
      <c r="X877" s="59">
        <f t="shared" si="86"/>
        <v>1.3203416161364457E-2</v>
      </c>
      <c r="Y877" s="59">
        <f t="shared" si="87"/>
        <v>1.2715403105738265E-2</v>
      </c>
    </row>
    <row r="878" spans="1:25" x14ac:dyDescent="0.3">
      <c r="A878" s="2">
        <v>42879</v>
      </c>
      <c r="B878" s="1">
        <v>38.335000000000001</v>
      </c>
      <c r="C878" s="1">
        <v>980.3501</v>
      </c>
      <c r="D878" s="1">
        <v>150.04</v>
      </c>
      <c r="E878" s="3">
        <f t="shared" si="82"/>
        <v>876.6502000000005</v>
      </c>
      <c r="F878" s="4">
        <f t="shared" si="83"/>
        <v>-27.529799999999796</v>
      </c>
      <c r="G878" s="4">
        <f t="shared" si="84"/>
        <v>27.529799999999796</v>
      </c>
      <c r="W878" s="59">
        <f t="shared" si="85"/>
        <v>-2.9953789407952572E-3</v>
      </c>
      <c r="X878" s="59">
        <f t="shared" si="86"/>
        <v>9.0273113527908622E-3</v>
      </c>
      <c r="Y878" s="59">
        <f t="shared" si="87"/>
        <v>1.3216790293059099E-2</v>
      </c>
    </row>
    <row r="879" spans="1:25" x14ac:dyDescent="0.3">
      <c r="A879" s="2">
        <v>42878</v>
      </c>
      <c r="B879" s="1">
        <v>38.450000000000003</v>
      </c>
      <c r="C879" s="1">
        <v>971.54</v>
      </c>
      <c r="D879" s="1">
        <v>148.07</v>
      </c>
      <c r="E879" s="3">
        <f t="shared" si="82"/>
        <v>904.18000000000029</v>
      </c>
      <c r="F879" s="4">
        <f t="shared" si="83"/>
        <v>2.765200000000732</v>
      </c>
      <c r="G879" s="4">
        <f t="shared" si="84"/>
        <v>-2.765200000000732</v>
      </c>
      <c r="W879" s="59">
        <f t="shared" si="85"/>
        <v>-1.2346081687778711E-3</v>
      </c>
      <c r="X879" s="59">
        <f t="shared" si="86"/>
        <v>8.9598972614592196E-4</v>
      </c>
      <c r="Y879" s="59">
        <f t="shared" si="87"/>
        <v>-1.1474470564769093E-3</v>
      </c>
    </row>
    <row r="880" spans="1:25" x14ac:dyDescent="0.3">
      <c r="A880" s="2">
        <v>42877</v>
      </c>
      <c r="B880" s="1">
        <v>38.497500000000002</v>
      </c>
      <c r="C880" s="1">
        <v>970.66989999999998</v>
      </c>
      <c r="D880" s="1">
        <v>148.24</v>
      </c>
      <c r="E880" s="3">
        <f t="shared" si="82"/>
        <v>901.41479999999956</v>
      </c>
      <c r="F880" s="4">
        <f t="shared" si="83"/>
        <v>29.684599999999591</v>
      </c>
      <c r="G880" s="4">
        <f t="shared" si="84"/>
        <v>-29.684599999999591</v>
      </c>
      <c r="W880" s="59">
        <f t="shared" si="85"/>
        <v>6.0576638585464375E-3</v>
      </c>
      <c r="X880" s="59">
        <f t="shared" si="86"/>
        <v>1.1219743598066888E-2</v>
      </c>
      <c r="Y880" s="59">
        <f t="shared" si="87"/>
        <v>1.2149849621520264E-3</v>
      </c>
    </row>
    <row r="881" spans="1:25" x14ac:dyDescent="0.3">
      <c r="A881" s="2">
        <v>42874</v>
      </c>
      <c r="B881" s="1">
        <v>38.265000000000001</v>
      </c>
      <c r="C881" s="1">
        <v>959.84010000000001</v>
      </c>
      <c r="D881" s="1">
        <v>148.06</v>
      </c>
      <c r="E881" s="3">
        <f t="shared" si="82"/>
        <v>871.73019999999997</v>
      </c>
      <c r="F881" s="4">
        <f t="shared" si="83"/>
        <v>1.2001999999997679</v>
      </c>
      <c r="G881" s="4">
        <f t="shared" si="84"/>
        <v>-1.2001999999997679</v>
      </c>
      <c r="W881" s="59">
        <f t="shared" si="85"/>
        <v>3.4031446456825984E-3</v>
      </c>
      <c r="X881" s="59">
        <f t="shared" si="86"/>
        <v>1.4075786257122917E-3</v>
      </c>
      <c r="Y881" s="59">
        <f t="shared" si="87"/>
        <v>2.7052633839328029E-3</v>
      </c>
    </row>
    <row r="882" spans="1:25" x14ac:dyDescent="0.3">
      <c r="A882" s="2">
        <v>42873</v>
      </c>
      <c r="B882" s="1">
        <v>38.134999999999998</v>
      </c>
      <c r="C882" s="1">
        <v>958.49</v>
      </c>
      <c r="D882" s="1">
        <v>147.66</v>
      </c>
      <c r="E882" s="3">
        <f t="shared" si="82"/>
        <v>870.5300000000002</v>
      </c>
      <c r="F882" s="4">
        <f t="shared" si="83"/>
        <v>-0.11499999999978172</v>
      </c>
      <c r="G882" s="4">
        <f t="shared" si="84"/>
        <v>0.11499999999978172</v>
      </c>
      <c r="W882" s="59">
        <f t="shared" si="85"/>
        <v>1.5126283320775607E-2</v>
      </c>
      <c r="X882" s="59">
        <f t="shared" si="86"/>
        <v>1.4428202478719744E-2</v>
      </c>
      <c r="Y882" s="59">
        <f t="shared" si="87"/>
        <v>1.9213609415660162E-2</v>
      </c>
    </row>
    <row r="883" spans="1:25" x14ac:dyDescent="0.3">
      <c r="A883" s="2">
        <v>42872</v>
      </c>
      <c r="B883" s="1">
        <v>37.5625</v>
      </c>
      <c r="C883" s="1">
        <v>944.76</v>
      </c>
      <c r="D883" s="1">
        <v>144.85</v>
      </c>
      <c r="E883" s="3">
        <f t="shared" si="82"/>
        <v>870.64499999999998</v>
      </c>
      <c r="F883" s="4">
        <f t="shared" si="83"/>
        <v>-9.2701999999999316</v>
      </c>
      <c r="G883" s="4">
        <f t="shared" si="84"/>
        <v>9.2701999999999316</v>
      </c>
      <c r="W883" s="59">
        <f t="shared" si="85"/>
        <v>-3.4152213546332452E-2</v>
      </c>
      <c r="X883" s="59">
        <f t="shared" si="86"/>
        <v>-2.2305471883048295E-2</v>
      </c>
      <c r="Y883" s="59">
        <f t="shared" si="87"/>
        <v>-3.3468826605861722E-2</v>
      </c>
    </row>
    <row r="884" spans="1:25" x14ac:dyDescent="0.3">
      <c r="A884" s="2">
        <v>42871</v>
      </c>
      <c r="B884" s="1">
        <v>38.8675</v>
      </c>
      <c r="C884" s="1">
        <v>966.07010000000002</v>
      </c>
      <c r="D884" s="1">
        <v>149.78</v>
      </c>
      <c r="E884" s="3">
        <f t="shared" si="82"/>
        <v>879.91519999999991</v>
      </c>
      <c r="F884" s="4">
        <f t="shared" si="83"/>
        <v>21.525200000000495</v>
      </c>
      <c r="G884" s="4">
        <f t="shared" si="84"/>
        <v>-21.525200000000495</v>
      </c>
      <c r="W884" s="59">
        <f t="shared" si="85"/>
        <v>-1.4782918783032496E-3</v>
      </c>
      <c r="X884" s="59">
        <f t="shared" si="86"/>
        <v>8.419936626979688E-3</v>
      </c>
      <c r="Y884" s="59">
        <f t="shared" si="87"/>
        <v>-2.7336083962683213E-3</v>
      </c>
    </row>
    <row r="885" spans="1:25" x14ac:dyDescent="0.3">
      <c r="A885" s="2">
        <v>42870</v>
      </c>
      <c r="B885" s="1">
        <v>38.924999999999997</v>
      </c>
      <c r="C885" s="1">
        <v>957.97</v>
      </c>
      <c r="D885" s="1">
        <v>150.19</v>
      </c>
      <c r="E885" s="3">
        <f t="shared" si="82"/>
        <v>858.38999999999942</v>
      </c>
      <c r="F885" s="4">
        <f t="shared" si="83"/>
        <v>-8.9602000000004409</v>
      </c>
      <c r="G885" s="4">
        <f t="shared" si="84"/>
        <v>8.9602000000004409</v>
      </c>
      <c r="W885" s="59">
        <f t="shared" si="85"/>
        <v>-2.5657486814337572E-3</v>
      </c>
      <c r="X885" s="59">
        <f t="shared" si="86"/>
        <v>-3.5221883982834486E-3</v>
      </c>
      <c r="Y885" s="59">
        <f t="shared" si="87"/>
        <v>-9.3171842225365674E-4</v>
      </c>
    </row>
    <row r="886" spans="1:25" x14ac:dyDescent="0.3">
      <c r="A886" s="2">
        <v>42867</v>
      </c>
      <c r="B886" s="1">
        <v>39.024999999999999</v>
      </c>
      <c r="C886" s="1">
        <v>961.3501</v>
      </c>
      <c r="D886" s="1">
        <v>150.33000000000001</v>
      </c>
      <c r="E886" s="3">
        <f t="shared" si="82"/>
        <v>867.35019999999986</v>
      </c>
      <c r="F886" s="4">
        <f t="shared" si="83"/>
        <v>48.534999999999854</v>
      </c>
      <c r="G886" s="4">
        <f t="shared" si="84"/>
        <v>-48.534999999999854</v>
      </c>
      <c r="W886" s="59">
        <f t="shared" si="85"/>
        <v>1.3868953150877047E-2</v>
      </c>
      <c r="X886" s="59">
        <f t="shared" si="86"/>
        <v>1.4384967097420263E-2</v>
      </c>
      <c r="Y886" s="59">
        <f t="shared" si="87"/>
        <v>1.930952426056486E-3</v>
      </c>
    </row>
    <row r="887" spans="1:25" x14ac:dyDescent="0.3">
      <c r="A887" s="2">
        <v>42866</v>
      </c>
      <c r="B887" s="1">
        <v>38.487499999999997</v>
      </c>
      <c r="C887" s="1">
        <v>947.62009999999998</v>
      </c>
      <c r="D887" s="1">
        <v>150.04</v>
      </c>
      <c r="E887" s="3">
        <f t="shared" si="82"/>
        <v>818.8152</v>
      </c>
      <c r="F887" s="4">
        <f t="shared" si="83"/>
        <v>10.965199999999641</v>
      </c>
      <c r="G887" s="4">
        <f t="shared" si="84"/>
        <v>-10.965199999999641</v>
      </c>
      <c r="W887" s="59">
        <f t="shared" si="85"/>
        <v>4.4920488282511736E-3</v>
      </c>
      <c r="X887" s="59">
        <f t="shared" si="86"/>
        <v>-1.4024266416207789E-3</v>
      </c>
      <c r="Y887" s="59">
        <f t="shared" si="87"/>
        <v>-1.664835732316329E-3</v>
      </c>
    </row>
    <row r="888" spans="1:25" x14ac:dyDescent="0.3">
      <c r="A888" s="2">
        <v>42865</v>
      </c>
      <c r="B888" s="1">
        <v>38.314999999999998</v>
      </c>
      <c r="C888" s="1">
        <v>948.95</v>
      </c>
      <c r="D888" s="1">
        <v>150.29</v>
      </c>
      <c r="E888" s="3">
        <f t="shared" si="82"/>
        <v>807.85000000000036</v>
      </c>
      <c r="F888" s="4">
        <f t="shared" si="83"/>
        <v>-13.06519999999955</v>
      </c>
      <c r="G888" s="4">
        <f t="shared" si="84"/>
        <v>13.06519999999955</v>
      </c>
      <c r="W888" s="59">
        <f t="shared" si="85"/>
        <v>-4.7518396980633926E-3</v>
      </c>
      <c r="X888" s="59">
        <f t="shared" si="86"/>
        <v>-4.070003353534221E-3</v>
      </c>
      <c r="Y888" s="59">
        <f t="shared" si="87"/>
        <v>-1.2634240467720174E-3</v>
      </c>
    </row>
    <row r="889" spans="1:25" x14ac:dyDescent="0.3">
      <c r="A889" s="2">
        <v>42864</v>
      </c>
      <c r="B889" s="1">
        <v>38.497500000000002</v>
      </c>
      <c r="C889" s="1">
        <v>952.82010000000002</v>
      </c>
      <c r="D889" s="1">
        <v>150.47999999999999</v>
      </c>
      <c r="E889" s="3">
        <f t="shared" si="82"/>
        <v>820.91519999999991</v>
      </c>
      <c r="F889" s="4">
        <f t="shared" si="83"/>
        <v>31.410199999999804</v>
      </c>
      <c r="G889" s="4">
        <f t="shared" si="84"/>
        <v>-31.410199999999804</v>
      </c>
      <c r="W889" s="59">
        <f t="shared" si="85"/>
        <v>6.384386506599499E-3</v>
      </c>
      <c r="X889" s="59">
        <f t="shared" si="86"/>
        <v>3.9751661836151036E-3</v>
      </c>
      <c r="Y889" s="59">
        <f t="shared" si="87"/>
        <v>-3.8469238925270891E-3</v>
      </c>
    </row>
    <row r="890" spans="1:25" x14ac:dyDescent="0.3">
      <c r="A890" s="2">
        <v>42863</v>
      </c>
      <c r="B890" s="1">
        <v>38.252499999999998</v>
      </c>
      <c r="C890" s="1">
        <v>949.04</v>
      </c>
      <c r="D890" s="1">
        <v>151.06</v>
      </c>
      <c r="E890" s="3">
        <f t="shared" si="82"/>
        <v>789.50500000000011</v>
      </c>
      <c r="F890" s="4">
        <f t="shared" si="83"/>
        <v>64.005200000000514</v>
      </c>
      <c r="G890" s="4">
        <f t="shared" si="84"/>
        <v>-64.005200000000514</v>
      </c>
      <c r="W890" s="59">
        <f t="shared" si="85"/>
        <v>2.6825465204965E-2</v>
      </c>
      <c r="X890" s="59">
        <f t="shared" si="86"/>
        <v>1.5814029496196157E-2</v>
      </c>
      <c r="Y890" s="59">
        <f t="shared" si="87"/>
        <v>5.443093425349029E-3</v>
      </c>
    </row>
    <row r="891" spans="1:25" x14ac:dyDescent="0.3">
      <c r="A891" s="2">
        <v>42860</v>
      </c>
      <c r="B891" s="1">
        <v>37.24</v>
      </c>
      <c r="C891" s="1">
        <v>934.1499</v>
      </c>
      <c r="D891" s="1">
        <v>150.24</v>
      </c>
      <c r="E891" s="3">
        <f t="shared" si="82"/>
        <v>725.4997999999996</v>
      </c>
      <c r="F891" s="4">
        <f t="shared" si="83"/>
        <v>35.81479999999965</v>
      </c>
      <c r="G891" s="4">
        <f t="shared" si="84"/>
        <v>-35.81479999999965</v>
      </c>
      <c r="W891" s="59">
        <f t="shared" si="85"/>
        <v>1.644762787882318E-2</v>
      </c>
      <c r="X891" s="59">
        <f t="shared" si="86"/>
        <v>-3.6118394759251612E-3</v>
      </c>
      <c r="Y891" s="59">
        <f t="shared" si="87"/>
        <v>-4.0519501451172649E-3</v>
      </c>
    </row>
    <row r="892" spans="1:25" x14ac:dyDescent="0.3">
      <c r="A892" s="2">
        <v>42859</v>
      </c>
      <c r="B892" s="1">
        <v>36.6325</v>
      </c>
      <c r="C892" s="1">
        <v>937.53</v>
      </c>
      <c r="D892" s="1">
        <v>150.85</v>
      </c>
      <c r="E892" s="3">
        <f t="shared" si="82"/>
        <v>689.68499999999995</v>
      </c>
      <c r="F892" s="4">
        <f t="shared" si="83"/>
        <v>5.375</v>
      </c>
      <c r="G892" s="4">
        <f t="shared" si="84"/>
        <v>-5.375</v>
      </c>
      <c r="W892" s="59">
        <f t="shared" si="85"/>
        <v>-3.6104811181424407E-3</v>
      </c>
      <c r="X892" s="59">
        <f t="shared" si="86"/>
        <v>-3.7262627222985891E-3</v>
      </c>
      <c r="Y892" s="59">
        <f t="shared" si="87"/>
        <v>-6.2778993564596023E-3</v>
      </c>
    </row>
    <row r="893" spans="1:25" x14ac:dyDescent="0.3">
      <c r="A893" s="2">
        <v>42858</v>
      </c>
      <c r="B893" s="1">
        <v>36.765000000000001</v>
      </c>
      <c r="C893" s="1">
        <v>941.03</v>
      </c>
      <c r="D893" s="1">
        <v>151.80000000000001</v>
      </c>
      <c r="E893" s="3">
        <f t="shared" si="82"/>
        <v>684.31</v>
      </c>
      <c r="F893" s="4">
        <f t="shared" si="83"/>
        <v>2.1552000000001499</v>
      </c>
      <c r="G893" s="4">
        <f t="shared" si="84"/>
        <v>-2.1552000000001499</v>
      </c>
      <c r="W893" s="59">
        <f t="shared" si="85"/>
        <v>-3.055303323881437E-3</v>
      </c>
      <c r="X893" s="59">
        <f t="shared" si="86"/>
        <v>-6.2606075481396097E-3</v>
      </c>
      <c r="Y893" s="59">
        <f t="shared" si="87"/>
        <v>-6.4351131516840448E-3</v>
      </c>
    </row>
    <row r="894" spans="1:25" x14ac:dyDescent="0.3">
      <c r="A894" s="2">
        <v>42857</v>
      </c>
      <c r="B894" s="1">
        <v>36.877499999999998</v>
      </c>
      <c r="C894" s="1">
        <v>946.93989999999997</v>
      </c>
      <c r="D894" s="1">
        <v>152.78</v>
      </c>
      <c r="E894" s="3">
        <f t="shared" si="82"/>
        <v>682.1547999999998</v>
      </c>
      <c r="F894" s="4">
        <f t="shared" si="83"/>
        <v>2.644800000000032</v>
      </c>
      <c r="G894" s="4">
        <f t="shared" si="84"/>
        <v>-2.644800000000032</v>
      </c>
      <c r="W894" s="59">
        <f t="shared" si="85"/>
        <v>6.3246155942534759E-3</v>
      </c>
      <c r="X894" s="59">
        <f t="shared" si="86"/>
        <v>-1.361461259251775E-3</v>
      </c>
      <c r="Y894" s="59">
        <f t="shared" si="87"/>
        <v>2.0967115530858395E-3</v>
      </c>
    </row>
    <row r="895" spans="1:25" x14ac:dyDescent="0.3">
      <c r="A895" s="2">
        <v>42856</v>
      </c>
      <c r="B895" s="1">
        <v>36.645000000000003</v>
      </c>
      <c r="C895" s="1">
        <v>948.23</v>
      </c>
      <c r="D895" s="1">
        <v>152.46</v>
      </c>
      <c r="E895" s="3">
        <f t="shared" si="82"/>
        <v>679.50999999999976</v>
      </c>
      <c r="F895" s="4">
        <f t="shared" si="83"/>
        <v>38.904999999999745</v>
      </c>
      <c r="G895" s="4">
        <f t="shared" si="84"/>
        <v>-38.904999999999745</v>
      </c>
      <c r="W895" s="59">
        <f t="shared" si="85"/>
        <v>2.0191569072405522E-2</v>
      </c>
      <c r="X895" s="59">
        <f t="shared" si="86"/>
        <v>2.4814162219089522E-2</v>
      </c>
      <c r="Y895" s="59">
        <f t="shared" si="87"/>
        <v>1.4601693144810902E-2</v>
      </c>
    </row>
    <row r="896" spans="1:25" x14ac:dyDescent="0.3">
      <c r="A896" s="2">
        <v>42853</v>
      </c>
      <c r="B896" s="1">
        <v>35.912500000000001</v>
      </c>
      <c r="C896" s="1">
        <v>924.99</v>
      </c>
      <c r="D896" s="1">
        <v>150.25</v>
      </c>
      <c r="E896" s="3">
        <f t="shared" si="82"/>
        <v>640.60500000000002</v>
      </c>
      <c r="F896" s="4">
        <f t="shared" si="83"/>
        <v>-39.529799999999796</v>
      </c>
      <c r="G896" s="4">
        <f t="shared" si="84"/>
        <v>39.529799999999796</v>
      </c>
      <c r="W896" s="59">
        <f t="shared" si="85"/>
        <v>-9.7411641435093705E-4</v>
      </c>
      <c r="X896" s="59">
        <f t="shared" si="86"/>
        <v>7.1717872058764155E-3</v>
      </c>
      <c r="Y896" s="59">
        <f t="shared" si="87"/>
        <v>1.7117383877982981E-2</v>
      </c>
    </row>
    <row r="897" spans="1:25" x14ac:dyDescent="0.3">
      <c r="A897" s="2">
        <v>42852</v>
      </c>
      <c r="B897" s="1">
        <v>35.947499999999998</v>
      </c>
      <c r="C897" s="1">
        <v>918.37990000000002</v>
      </c>
      <c r="D897" s="1">
        <v>147.69999999999999</v>
      </c>
      <c r="E897" s="3">
        <f t="shared" si="82"/>
        <v>680.13479999999981</v>
      </c>
      <c r="F897" s="4">
        <f t="shared" si="83"/>
        <v>-3.2452000000002954</v>
      </c>
      <c r="G897" s="4">
        <f t="shared" si="84"/>
        <v>3.2452000000002954</v>
      </c>
      <c r="W897" s="59">
        <f t="shared" si="85"/>
        <v>7.6529728576000828E-4</v>
      </c>
      <c r="X897" s="59">
        <f t="shared" si="86"/>
        <v>9.9470642364880273E-3</v>
      </c>
      <c r="Y897" s="59">
        <f t="shared" si="87"/>
        <v>7.7482886115138568E-3</v>
      </c>
    </row>
    <row r="898" spans="1:25" x14ac:dyDescent="0.3">
      <c r="A898" s="2">
        <v>42851</v>
      </c>
      <c r="B898" s="1">
        <v>35.92</v>
      </c>
      <c r="C898" s="1">
        <v>909.29</v>
      </c>
      <c r="D898" s="1">
        <v>146.56</v>
      </c>
      <c r="E898" s="3">
        <f t="shared" si="82"/>
        <v>683.38000000000011</v>
      </c>
      <c r="F898" s="4">
        <f t="shared" si="83"/>
        <v>-8.6851999999998952</v>
      </c>
      <c r="G898" s="4">
        <f t="shared" si="84"/>
        <v>8.6851999999998952</v>
      </c>
      <c r="W898" s="59">
        <f t="shared" si="85"/>
        <v>-5.8984939068610935E-3</v>
      </c>
      <c r="X898" s="59">
        <f t="shared" si="86"/>
        <v>1.8381762203874541E-3</v>
      </c>
      <c r="Y898" s="59">
        <f t="shared" si="87"/>
        <v>4.7773418414141333E-4</v>
      </c>
    </row>
    <row r="899" spans="1:25" x14ac:dyDescent="0.3">
      <c r="A899" s="2">
        <v>42850</v>
      </c>
      <c r="B899" s="1">
        <v>36.1325</v>
      </c>
      <c r="C899" s="1">
        <v>907.62009999999998</v>
      </c>
      <c r="D899" s="1">
        <v>146.49</v>
      </c>
      <c r="E899" s="3">
        <f t="shared" si="82"/>
        <v>692.0652</v>
      </c>
      <c r="F899" s="4">
        <f t="shared" si="83"/>
        <v>-8.8545999999996639</v>
      </c>
      <c r="G899" s="4">
        <f t="shared" si="84"/>
        <v>8.8545999999996639</v>
      </c>
      <c r="W899" s="59">
        <f t="shared" si="85"/>
        <v>6.1769291028687112E-3</v>
      </c>
      <c r="X899" s="59">
        <f t="shared" si="86"/>
        <v>2.3162151693335511E-4</v>
      </c>
      <c r="Y899" s="59">
        <f t="shared" si="87"/>
        <v>6.9872869563079682E-3</v>
      </c>
    </row>
    <row r="900" spans="1:25" x14ac:dyDescent="0.3">
      <c r="A900" s="2">
        <v>42849</v>
      </c>
      <c r="B900" s="1">
        <v>35.909999999999997</v>
      </c>
      <c r="C900" s="1">
        <v>907.40989999999999</v>
      </c>
      <c r="D900" s="1">
        <v>145.47</v>
      </c>
      <c r="E900" s="3">
        <f t="shared" si="82"/>
        <v>700.91979999999967</v>
      </c>
      <c r="F900" s="4">
        <f t="shared" si="83"/>
        <v>-0.91520000000036816</v>
      </c>
      <c r="G900" s="4">
        <f t="shared" si="84"/>
        <v>0.91520000000036816</v>
      </c>
      <c r="W900" s="59">
        <f t="shared" si="85"/>
        <v>9.5835086948062049E-3</v>
      </c>
      <c r="X900" s="59">
        <f t="shared" si="86"/>
        <v>9.8341828156418409E-3</v>
      </c>
      <c r="Y900" s="59">
        <f t="shared" si="87"/>
        <v>1.2381275231481019E-2</v>
      </c>
    </row>
    <row r="901" spans="1:25" x14ac:dyDescent="0.3">
      <c r="A901" s="2">
        <v>42846</v>
      </c>
      <c r="B901" s="1">
        <v>35.567500000000003</v>
      </c>
      <c r="C901" s="1">
        <v>898.53</v>
      </c>
      <c r="D901" s="1">
        <v>143.68</v>
      </c>
      <c r="E901" s="3">
        <f t="shared" si="82"/>
        <v>701.83500000000004</v>
      </c>
      <c r="F901" s="4">
        <f t="shared" si="83"/>
        <v>-6.785200000000259</v>
      </c>
      <c r="G901" s="4">
        <f t="shared" si="84"/>
        <v>6.785200000000259</v>
      </c>
      <c r="W901" s="59">
        <f t="shared" si="85"/>
        <v>-1.1941977465013051E-3</v>
      </c>
      <c r="X901" s="59">
        <f t="shared" si="86"/>
        <v>-3.9210529068646081E-3</v>
      </c>
      <c r="Y901" s="59">
        <f t="shared" si="87"/>
        <v>-8.3484073305688071E-4</v>
      </c>
    </row>
    <row r="902" spans="1:25" x14ac:dyDescent="0.3">
      <c r="A902" s="2">
        <v>42845</v>
      </c>
      <c r="B902" s="1">
        <v>35.61</v>
      </c>
      <c r="C902" s="1">
        <v>902.06010000000003</v>
      </c>
      <c r="D902" s="1">
        <v>143.80000000000001</v>
      </c>
      <c r="E902" s="3">
        <f t="shared" ref="E902:E965" si="88">50*B902+2*C902-20*D902</f>
        <v>708.6202000000003</v>
      </c>
      <c r="F902" s="4">
        <f t="shared" ref="F902:F965" si="89">E902-E903</f>
        <v>-2.8797999999997046</v>
      </c>
      <c r="G902" s="4">
        <f t="shared" ref="G902:G965" si="90">-F902</f>
        <v>2.8797999999997046</v>
      </c>
      <c r="W902" s="59">
        <f t="shared" ref="W902:W965" si="91">LN(B902/B903)</f>
        <v>1.2433050803795163E-2</v>
      </c>
      <c r="X902" s="59">
        <f t="shared" ref="X902:X965" si="92">LN(C902/C903)</f>
        <v>3.1756684152880886E-3</v>
      </c>
      <c r="Y902" s="59">
        <f t="shared" ref="Y902:Y965" si="93">LN(D902/D903)</f>
        <v>1.0696784623870781E-2</v>
      </c>
    </row>
    <row r="903" spans="1:25" x14ac:dyDescent="0.3">
      <c r="A903" s="2">
        <v>42844</v>
      </c>
      <c r="B903" s="1">
        <v>35.17</v>
      </c>
      <c r="C903" s="1">
        <v>899.2</v>
      </c>
      <c r="D903" s="1">
        <v>142.27000000000001</v>
      </c>
      <c r="E903" s="3">
        <f t="shared" si="88"/>
        <v>711.5</v>
      </c>
      <c r="F903" s="4">
        <f t="shared" si="89"/>
        <v>-41.859999999999218</v>
      </c>
      <c r="G903" s="4">
        <f t="shared" si="90"/>
        <v>41.859999999999218</v>
      </c>
      <c r="W903" s="59">
        <f t="shared" si="91"/>
        <v>-3.6895174533598273E-3</v>
      </c>
      <c r="X903" s="59">
        <f t="shared" si="92"/>
        <v>-5.0804888033521159E-3</v>
      </c>
      <c r="Y903" s="59">
        <f t="shared" si="93"/>
        <v>9.2504984752063372E-3</v>
      </c>
    </row>
    <row r="904" spans="1:25" x14ac:dyDescent="0.3">
      <c r="A904" s="2">
        <v>42843</v>
      </c>
      <c r="B904" s="1">
        <v>35.299999999999997</v>
      </c>
      <c r="C904" s="1">
        <v>903.78</v>
      </c>
      <c r="D904" s="1">
        <v>140.96</v>
      </c>
      <c r="E904" s="3">
        <f t="shared" si="88"/>
        <v>753.35999999999922</v>
      </c>
      <c r="F904" s="4">
        <f t="shared" si="89"/>
        <v>4.9049999999983811</v>
      </c>
      <c r="G904" s="4">
        <f t="shared" si="90"/>
        <v>-4.9049999999983811</v>
      </c>
      <c r="W904" s="59">
        <f t="shared" si="91"/>
        <v>-4.4518322473746808E-3</v>
      </c>
      <c r="X904" s="59">
        <f t="shared" si="92"/>
        <v>1.9825344161115508E-3</v>
      </c>
      <c r="Y904" s="59">
        <f t="shared" si="93"/>
        <v>-3.2580239882251715E-3</v>
      </c>
    </row>
    <row r="905" spans="1:25" x14ac:dyDescent="0.3">
      <c r="A905" s="2">
        <v>42842</v>
      </c>
      <c r="B905" s="1">
        <v>35.457500000000003</v>
      </c>
      <c r="C905" s="1">
        <v>901.99</v>
      </c>
      <c r="D905" s="1">
        <v>141.41999999999999</v>
      </c>
      <c r="E905" s="3">
        <f t="shared" si="88"/>
        <v>748.45500000000084</v>
      </c>
      <c r="F905" s="4">
        <f t="shared" si="89"/>
        <v>3.7902000000003682</v>
      </c>
      <c r="G905" s="4">
        <f t="shared" si="90"/>
        <v>-3.7902000000003682</v>
      </c>
      <c r="W905" s="59">
        <f t="shared" si="91"/>
        <v>5.5147198585110014E-3</v>
      </c>
      <c r="X905" s="59">
        <f t="shared" si="92"/>
        <v>1.9388852448715289E-2</v>
      </c>
      <c r="Y905" s="59">
        <f t="shared" si="93"/>
        <v>1.445842643429983E-2</v>
      </c>
    </row>
    <row r="906" spans="1:25" x14ac:dyDescent="0.3">
      <c r="A906" s="2">
        <v>42839</v>
      </c>
      <c r="B906" s="1">
        <v>35.262500000000003</v>
      </c>
      <c r="C906" s="1">
        <v>884.66989999999998</v>
      </c>
      <c r="D906" s="1">
        <v>139.38999999999999</v>
      </c>
      <c r="E906" s="3">
        <f t="shared" si="88"/>
        <v>744.66480000000047</v>
      </c>
      <c r="F906" s="4">
        <f t="shared" si="89"/>
        <v>0</v>
      </c>
      <c r="G906" s="4">
        <f t="shared" si="90"/>
        <v>0</v>
      </c>
      <c r="W906" s="59">
        <f t="shared" si="91"/>
        <v>0</v>
      </c>
      <c r="X906" s="59">
        <f t="shared" si="92"/>
        <v>0</v>
      </c>
      <c r="Y906" s="59">
        <f t="shared" si="93"/>
        <v>0</v>
      </c>
    </row>
    <row r="907" spans="1:25" x14ac:dyDescent="0.3">
      <c r="A907" s="2">
        <v>42838</v>
      </c>
      <c r="B907" s="1">
        <v>35.262500000000003</v>
      </c>
      <c r="C907" s="1">
        <v>884.66989999999998</v>
      </c>
      <c r="D907" s="1">
        <v>139.38999999999999</v>
      </c>
      <c r="E907" s="3">
        <f t="shared" si="88"/>
        <v>744.66480000000047</v>
      </c>
      <c r="F907" s="4">
        <f t="shared" si="89"/>
        <v>-28.695199999999204</v>
      </c>
      <c r="G907" s="4">
        <f t="shared" si="90"/>
        <v>28.695199999999204</v>
      </c>
      <c r="W907" s="59">
        <f t="shared" si="91"/>
        <v>-5.3031766500218781E-3</v>
      </c>
      <c r="X907" s="59">
        <f t="shared" si="92"/>
        <v>-1.2982495384658836E-2</v>
      </c>
      <c r="Y907" s="59">
        <f t="shared" si="93"/>
        <v>-1.362153847210745E-3</v>
      </c>
    </row>
    <row r="908" spans="1:25" x14ac:dyDescent="0.3">
      <c r="A908" s="2">
        <v>42837</v>
      </c>
      <c r="B908" s="1">
        <v>35.450000000000003</v>
      </c>
      <c r="C908" s="1">
        <v>896.23</v>
      </c>
      <c r="D908" s="1">
        <v>139.58000000000001</v>
      </c>
      <c r="E908" s="3">
        <f t="shared" si="88"/>
        <v>773.35999999999967</v>
      </c>
      <c r="F908" s="4">
        <f t="shared" si="89"/>
        <v>-3.3352000000004409</v>
      </c>
      <c r="G908" s="4">
        <f t="shared" si="90"/>
        <v>3.3352000000004409</v>
      </c>
      <c r="W908" s="59">
        <f t="shared" si="91"/>
        <v>1.1995908717221987E-3</v>
      </c>
      <c r="X908" s="59">
        <f t="shared" si="92"/>
        <v>-6.8165878781209915E-3</v>
      </c>
      <c r="Y908" s="59">
        <f t="shared" si="93"/>
        <v>-2.4329171213408451E-3</v>
      </c>
    </row>
    <row r="909" spans="1:25" x14ac:dyDescent="0.3">
      <c r="A909" s="2">
        <v>42836</v>
      </c>
      <c r="B909" s="1">
        <v>35.407499999999999</v>
      </c>
      <c r="C909" s="1">
        <v>902.36009999999999</v>
      </c>
      <c r="D909" s="1">
        <v>139.91999999999999</v>
      </c>
      <c r="E909" s="3">
        <f t="shared" si="88"/>
        <v>776.69520000000011</v>
      </c>
      <c r="F909" s="4">
        <f t="shared" si="89"/>
        <v>-6.2098000000000866</v>
      </c>
      <c r="G909" s="4">
        <f t="shared" si="90"/>
        <v>6.2098000000000866</v>
      </c>
      <c r="W909" s="59">
        <f t="shared" si="91"/>
        <v>-1.0814712145931032E-2</v>
      </c>
      <c r="X909" s="59">
        <f t="shared" si="92"/>
        <v>-5.1728862352617248E-3</v>
      </c>
      <c r="Y909" s="59">
        <f t="shared" si="93"/>
        <v>-7.9727073792682426E-3</v>
      </c>
    </row>
    <row r="910" spans="1:25" x14ac:dyDescent="0.3">
      <c r="A910" s="2">
        <v>42835</v>
      </c>
      <c r="B910" s="1">
        <v>35.792499999999997</v>
      </c>
      <c r="C910" s="1">
        <v>907.04</v>
      </c>
      <c r="D910" s="1">
        <v>141.04</v>
      </c>
      <c r="E910" s="3">
        <f t="shared" si="88"/>
        <v>782.9050000000002</v>
      </c>
      <c r="F910" s="4">
        <f t="shared" si="89"/>
        <v>16.995200000000295</v>
      </c>
      <c r="G910" s="4">
        <f t="shared" si="90"/>
        <v>-16.995200000000295</v>
      </c>
      <c r="W910" s="59">
        <f t="shared" si="91"/>
        <v>-1.1866951935371264E-3</v>
      </c>
      <c r="X910" s="59">
        <f t="shared" si="92"/>
        <v>1.3497031249548309E-2</v>
      </c>
      <c r="Y910" s="59">
        <f t="shared" si="93"/>
        <v>1.8451499096292074E-3</v>
      </c>
    </row>
    <row r="911" spans="1:25" x14ac:dyDescent="0.3">
      <c r="A911" s="2">
        <v>42832</v>
      </c>
      <c r="B911" s="1">
        <v>35.835000000000001</v>
      </c>
      <c r="C911" s="1">
        <v>894.87990000000002</v>
      </c>
      <c r="D911" s="1">
        <v>140.78</v>
      </c>
      <c r="E911" s="3">
        <f t="shared" si="88"/>
        <v>765.9097999999999</v>
      </c>
      <c r="F911" s="4">
        <f t="shared" si="89"/>
        <v>-3.0002000000004045</v>
      </c>
      <c r="G911" s="4">
        <f t="shared" si="90"/>
        <v>3.0002000000004045</v>
      </c>
      <c r="W911" s="59">
        <f t="shared" si="91"/>
        <v>-2.2299660808823615E-3</v>
      </c>
      <c r="X911" s="59">
        <f t="shared" si="92"/>
        <v>-3.7923043838954057E-3</v>
      </c>
      <c r="Y911" s="59">
        <f t="shared" si="93"/>
        <v>-2.7664497161225651E-3</v>
      </c>
    </row>
    <row r="912" spans="1:25" x14ac:dyDescent="0.3">
      <c r="A912" s="2">
        <v>42831</v>
      </c>
      <c r="B912" s="1">
        <v>35.914999999999999</v>
      </c>
      <c r="C912" s="1">
        <v>898.28</v>
      </c>
      <c r="D912" s="1">
        <v>141.16999999999999</v>
      </c>
      <c r="E912" s="3">
        <f t="shared" si="88"/>
        <v>768.91000000000031</v>
      </c>
      <c r="F912" s="4">
        <f t="shared" si="89"/>
        <v>-12.900000000000091</v>
      </c>
      <c r="G912" s="4">
        <f t="shared" si="90"/>
        <v>12.900000000000091</v>
      </c>
      <c r="W912" s="59">
        <f t="shared" si="91"/>
        <v>-2.5027821740653254E-3</v>
      </c>
      <c r="X912" s="59">
        <f t="shared" si="92"/>
        <v>-1.2171253838470657E-2</v>
      </c>
      <c r="Y912" s="59">
        <f t="shared" si="93"/>
        <v>-4.8053233587521376E-3</v>
      </c>
    </row>
    <row r="913" spans="1:25" x14ac:dyDescent="0.3">
      <c r="A913" s="2">
        <v>42830</v>
      </c>
      <c r="B913" s="1">
        <v>36.005000000000003</v>
      </c>
      <c r="C913" s="1">
        <v>909.28</v>
      </c>
      <c r="D913" s="1">
        <v>141.85</v>
      </c>
      <c r="E913" s="3">
        <f t="shared" si="88"/>
        <v>781.8100000000004</v>
      </c>
      <c r="F913" s="4">
        <f t="shared" si="89"/>
        <v>-6.8751999999999498</v>
      </c>
      <c r="G913" s="4">
        <f t="shared" si="90"/>
        <v>6.8751999999999498</v>
      </c>
      <c r="W913" s="59">
        <f t="shared" si="91"/>
        <v>-5.1940973452314866E-3</v>
      </c>
      <c r="X913" s="59">
        <f t="shared" si="92"/>
        <v>2.6979658183413995E-3</v>
      </c>
      <c r="Y913" s="59">
        <f t="shared" si="93"/>
        <v>8.4632207604640652E-4</v>
      </c>
    </row>
    <row r="914" spans="1:25" x14ac:dyDescent="0.3">
      <c r="A914" s="2">
        <v>42829</v>
      </c>
      <c r="B914" s="1">
        <v>36.192500000000003</v>
      </c>
      <c r="C914" s="1">
        <v>906.83010000000002</v>
      </c>
      <c r="D914" s="1">
        <v>141.72999999999999</v>
      </c>
      <c r="E914" s="3">
        <f t="shared" si="88"/>
        <v>788.68520000000035</v>
      </c>
      <c r="F914" s="4">
        <f t="shared" si="89"/>
        <v>55.015200000000732</v>
      </c>
      <c r="G914" s="4">
        <f t="shared" si="90"/>
        <v>-55.015200000000732</v>
      </c>
      <c r="W914" s="59">
        <f t="shared" si="91"/>
        <v>7.4184830809730347E-3</v>
      </c>
      <c r="X914" s="59">
        <f t="shared" si="92"/>
        <v>1.7038457440269588E-2</v>
      </c>
      <c r="Y914" s="59">
        <f t="shared" si="93"/>
        <v>-3.8731079014404837E-3</v>
      </c>
    </row>
    <row r="915" spans="1:25" x14ac:dyDescent="0.3">
      <c r="A915" s="2">
        <v>42828</v>
      </c>
      <c r="B915" s="1">
        <v>35.924999999999997</v>
      </c>
      <c r="C915" s="1">
        <v>891.51</v>
      </c>
      <c r="D915" s="1">
        <v>142.28</v>
      </c>
      <c r="E915" s="3">
        <f t="shared" si="88"/>
        <v>733.66999999999962</v>
      </c>
      <c r="F915" s="4">
        <f t="shared" si="89"/>
        <v>5.8399999999996908</v>
      </c>
      <c r="G915" s="4">
        <f t="shared" si="90"/>
        <v>-5.8399999999996908</v>
      </c>
      <c r="W915" s="59">
        <f t="shared" si="91"/>
        <v>2.7839643832359615E-4</v>
      </c>
      <c r="X915" s="59">
        <f t="shared" si="92"/>
        <v>5.5904085304760145E-3</v>
      </c>
      <c r="Y915" s="59">
        <f t="shared" si="93"/>
        <v>1.6178387800573353E-3</v>
      </c>
    </row>
    <row r="916" spans="1:25" x14ac:dyDescent="0.3">
      <c r="A916" s="2">
        <v>42825</v>
      </c>
      <c r="B916" s="1">
        <v>35.914999999999999</v>
      </c>
      <c r="C916" s="1">
        <v>886.54</v>
      </c>
      <c r="D916" s="1">
        <v>142.05000000000001</v>
      </c>
      <c r="E916" s="3">
        <f t="shared" si="88"/>
        <v>727.82999999999993</v>
      </c>
      <c r="F916" s="4">
        <f t="shared" si="89"/>
        <v>24.224799999999959</v>
      </c>
      <c r="G916" s="4">
        <f t="shared" si="90"/>
        <v>-24.224799999999959</v>
      </c>
      <c r="W916" s="59">
        <f t="shared" si="91"/>
        <v>-1.877673627923934E-3</v>
      </c>
      <c r="X916" s="59">
        <f t="shared" si="92"/>
        <v>1.1571988160628164E-2</v>
      </c>
      <c r="Y916" s="59">
        <f t="shared" si="93"/>
        <v>-2.5311129311393621E-3</v>
      </c>
    </row>
    <row r="917" spans="1:25" x14ac:dyDescent="0.3">
      <c r="A917" s="2">
        <v>42824</v>
      </c>
      <c r="B917" s="1">
        <v>35.982500000000002</v>
      </c>
      <c r="C917" s="1">
        <v>876.34010000000001</v>
      </c>
      <c r="D917" s="1">
        <v>142.41</v>
      </c>
      <c r="E917" s="3">
        <f t="shared" si="88"/>
        <v>703.60519999999997</v>
      </c>
      <c r="F917" s="4">
        <f t="shared" si="89"/>
        <v>6.4650000000001455</v>
      </c>
      <c r="G917" s="4">
        <f t="shared" si="90"/>
        <v>-6.4650000000001455</v>
      </c>
      <c r="W917" s="59">
        <f t="shared" si="91"/>
        <v>-1.3192156053131116E-3</v>
      </c>
      <c r="X917" s="59">
        <f t="shared" si="92"/>
        <v>2.3077018560850272E-3</v>
      </c>
      <c r="Y917" s="59">
        <f t="shared" si="93"/>
        <v>-1.6838564281726764E-3</v>
      </c>
    </row>
    <row r="918" spans="1:25" x14ac:dyDescent="0.3">
      <c r="A918" s="2">
        <v>42823</v>
      </c>
      <c r="B918" s="1">
        <v>36.03</v>
      </c>
      <c r="C918" s="1">
        <v>874.32010000000002</v>
      </c>
      <c r="D918" s="1">
        <v>142.65</v>
      </c>
      <c r="E918" s="3">
        <f t="shared" si="88"/>
        <v>697.14019999999982</v>
      </c>
      <c r="F918" s="4">
        <f t="shared" si="89"/>
        <v>22.840199999999641</v>
      </c>
      <c r="G918" s="4">
        <f t="shared" si="90"/>
        <v>-22.840199999999641</v>
      </c>
      <c r="W918" s="59">
        <f t="shared" si="91"/>
        <v>2.2228405929461993E-3</v>
      </c>
      <c r="X918" s="59">
        <f t="shared" si="92"/>
        <v>2.1176179601269066E-2</v>
      </c>
      <c r="Y918" s="59">
        <f t="shared" si="93"/>
        <v>6.2585908027382106E-3</v>
      </c>
    </row>
    <row r="919" spans="1:25" x14ac:dyDescent="0.3">
      <c r="A919" s="2">
        <v>42822</v>
      </c>
      <c r="B919" s="1">
        <v>35.950000000000003</v>
      </c>
      <c r="C919" s="1">
        <v>856</v>
      </c>
      <c r="D919" s="1">
        <v>141.76</v>
      </c>
      <c r="E919" s="3">
        <f t="shared" si="88"/>
        <v>674.30000000000018</v>
      </c>
      <c r="F919" s="4">
        <f t="shared" si="89"/>
        <v>26.059799999999996</v>
      </c>
      <c r="G919" s="4">
        <f t="shared" si="90"/>
        <v>-26.059799999999996</v>
      </c>
      <c r="W919" s="59">
        <f t="shared" si="91"/>
        <v>2.0514981098995685E-2</v>
      </c>
      <c r="X919" s="59">
        <f t="shared" si="92"/>
        <v>1.0782100743274936E-2</v>
      </c>
      <c r="Y919" s="59">
        <f t="shared" si="93"/>
        <v>1.0209958232897946E-2</v>
      </c>
    </row>
    <row r="920" spans="1:25" x14ac:dyDescent="0.3">
      <c r="A920" s="2">
        <v>42821</v>
      </c>
      <c r="B920" s="1">
        <v>35.22</v>
      </c>
      <c r="C920" s="1">
        <v>846.82010000000002</v>
      </c>
      <c r="D920" s="1">
        <v>140.32</v>
      </c>
      <c r="E920" s="3">
        <f t="shared" si="88"/>
        <v>648.24020000000019</v>
      </c>
      <c r="F920" s="4">
        <f t="shared" si="89"/>
        <v>5.8200000000006185</v>
      </c>
      <c r="G920" s="4">
        <f t="shared" si="90"/>
        <v>-5.8200000000006185</v>
      </c>
      <c r="W920" s="59">
        <f t="shared" si="91"/>
        <v>1.7050302510839691E-3</v>
      </c>
      <c r="X920" s="59">
        <f t="shared" si="92"/>
        <v>1.4298967321243565E-3</v>
      </c>
      <c r="Y920" s="59">
        <f t="shared" si="93"/>
        <v>-1.4252120026984454E-4</v>
      </c>
    </row>
    <row r="921" spans="1:25" x14ac:dyDescent="0.3">
      <c r="A921" s="2">
        <v>42818</v>
      </c>
      <c r="B921" s="1">
        <v>35.159999999999997</v>
      </c>
      <c r="C921" s="1">
        <v>845.61009999999999</v>
      </c>
      <c r="D921" s="1">
        <v>140.34</v>
      </c>
      <c r="E921" s="3">
        <f t="shared" si="88"/>
        <v>642.42019999999957</v>
      </c>
      <c r="F921" s="4">
        <f t="shared" si="89"/>
        <v>-23.239600000000337</v>
      </c>
      <c r="G921" s="4">
        <f t="shared" si="90"/>
        <v>23.239600000000337</v>
      </c>
      <c r="W921" s="59">
        <f t="shared" si="91"/>
        <v>-1.9889195361700784E-3</v>
      </c>
      <c r="X921" s="59">
        <f t="shared" si="92"/>
        <v>-2.0907396318678327E-3</v>
      </c>
      <c r="Y921" s="59">
        <f t="shared" si="93"/>
        <v>5.7884179200273648E-3</v>
      </c>
    </row>
    <row r="922" spans="1:25" x14ac:dyDescent="0.3">
      <c r="A922" s="2">
        <v>42817</v>
      </c>
      <c r="B922" s="1">
        <v>35.229999999999997</v>
      </c>
      <c r="C922" s="1">
        <v>847.37990000000002</v>
      </c>
      <c r="D922" s="1">
        <v>139.53</v>
      </c>
      <c r="E922" s="3">
        <f t="shared" si="88"/>
        <v>665.6597999999999</v>
      </c>
      <c r="F922" s="4">
        <f t="shared" si="89"/>
        <v>-6.4103999999997541</v>
      </c>
      <c r="G922" s="4">
        <f t="shared" si="90"/>
        <v>6.4103999999997541</v>
      </c>
      <c r="W922" s="59">
        <f t="shared" si="91"/>
        <v>-3.5418327030578875E-3</v>
      </c>
      <c r="X922" s="59">
        <f t="shared" si="92"/>
        <v>-8.0238762385478717E-4</v>
      </c>
      <c r="Y922" s="59">
        <f t="shared" si="93"/>
        <v>-4.2992262055157097E-4</v>
      </c>
    </row>
    <row r="923" spans="1:25" x14ac:dyDescent="0.3">
      <c r="A923" s="2">
        <v>42816</v>
      </c>
      <c r="B923" s="1">
        <v>35.354999999999997</v>
      </c>
      <c r="C923" s="1">
        <v>848.06010000000003</v>
      </c>
      <c r="D923" s="1">
        <v>139.59</v>
      </c>
      <c r="E923" s="3">
        <f t="shared" si="88"/>
        <v>672.07019999999966</v>
      </c>
      <c r="F923" s="4">
        <f t="shared" si="89"/>
        <v>7.8701999999993859</v>
      </c>
      <c r="G923" s="4">
        <f t="shared" si="90"/>
        <v>-7.8701999999993859</v>
      </c>
      <c r="W923" s="59">
        <f t="shared" si="91"/>
        <v>1.123527426886921E-2</v>
      </c>
      <c r="X923" s="59">
        <f t="shared" si="92"/>
        <v>5.7473281349676676E-3</v>
      </c>
      <c r="Y923" s="59">
        <f t="shared" si="93"/>
        <v>7.7670293376595964E-3</v>
      </c>
    </row>
    <row r="924" spans="1:25" x14ac:dyDescent="0.3">
      <c r="A924" s="2">
        <v>42815</v>
      </c>
      <c r="B924" s="1">
        <v>34.96</v>
      </c>
      <c r="C924" s="1">
        <v>843.2</v>
      </c>
      <c r="D924" s="1">
        <v>138.51</v>
      </c>
      <c r="E924" s="3">
        <f t="shared" si="88"/>
        <v>664.20000000000027</v>
      </c>
      <c r="F924" s="4">
        <f t="shared" si="89"/>
        <v>-19.1899999999996</v>
      </c>
      <c r="G924" s="4">
        <f t="shared" si="90"/>
        <v>19.1899999999996</v>
      </c>
      <c r="W924" s="59">
        <f t="shared" si="91"/>
        <v>-1.1518079700618624E-2</v>
      </c>
      <c r="X924" s="59">
        <f t="shared" si="92"/>
        <v>-1.6198734363657687E-2</v>
      </c>
      <c r="Y924" s="59">
        <f t="shared" si="93"/>
        <v>-1.027123413074345E-2</v>
      </c>
    </row>
    <row r="925" spans="1:25" x14ac:dyDescent="0.3">
      <c r="A925" s="2">
        <v>42814</v>
      </c>
      <c r="B925" s="1">
        <v>35.365000000000002</v>
      </c>
      <c r="C925" s="1">
        <v>856.97</v>
      </c>
      <c r="D925" s="1">
        <v>139.94</v>
      </c>
      <c r="E925" s="3">
        <f t="shared" si="88"/>
        <v>683.38999999999987</v>
      </c>
      <c r="F925" s="4">
        <f t="shared" si="89"/>
        <v>25.694799999999759</v>
      </c>
      <c r="G925" s="4">
        <f t="shared" si="90"/>
        <v>-25.694799999999759</v>
      </c>
      <c r="W925" s="59">
        <f t="shared" si="91"/>
        <v>1.0446000121109985E-2</v>
      </c>
      <c r="X925" s="59">
        <f t="shared" si="92"/>
        <v>5.4524844052602182E-3</v>
      </c>
      <c r="Y925" s="59">
        <f t="shared" si="93"/>
        <v>7.1484741052520824E-4</v>
      </c>
    </row>
    <row r="926" spans="1:25" x14ac:dyDescent="0.3">
      <c r="A926" s="2">
        <v>42811</v>
      </c>
      <c r="B926" s="1">
        <v>34.997500000000002</v>
      </c>
      <c r="C926" s="1">
        <v>852.31010000000003</v>
      </c>
      <c r="D926" s="1">
        <v>139.84</v>
      </c>
      <c r="E926" s="3">
        <f t="shared" si="88"/>
        <v>657.69520000000011</v>
      </c>
      <c r="F926" s="4">
        <f t="shared" si="89"/>
        <v>-7.9695999999994456</v>
      </c>
      <c r="G926" s="4">
        <f t="shared" si="90"/>
        <v>7.9695999999994456</v>
      </c>
      <c r="W926" s="59">
        <f t="shared" si="91"/>
        <v>-4.9878969023879095E-3</v>
      </c>
      <c r="X926" s="59">
        <f t="shared" si="92"/>
        <v>-1.3012612272753771E-3</v>
      </c>
      <c r="Y926" s="59">
        <f t="shared" si="93"/>
        <v>-1.0720795795085794E-3</v>
      </c>
    </row>
    <row r="927" spans="1:25" x14ac:dyDescent="0.3">
      <c r="A927" s="2">
        <v>42810</v>
      </c>
      <c r="B927" s="1">
        <v>35.172499999999999</v>
      </c>
      <c r="C927" s="1">
        <v>853.41989999999998</v>
      </c>
      <c r="D927" s="1">
        <v>139.99</v>
      </c>
      <c r="E927" s="3">
        <f t="shared" si="88"/>
        <v>665.66479999999956</v>
      </c>
      <c r="F927" s="4">
        <f t="shared" si="89"/>
        <v>-1.6252000000004045</v>
      </c>
      <c r="G927" s="4">
        <f t="shared" si="90"/>
        <v>1.6252000000004045</v>
      </c>
      <c r="W927" s="59">
        <f t="shared" si="91"/>
        <v>1.6361376582474541E-3</v>
      </c>
      <c r="X927" s="59">
        <f t="shared" si="92"/>
        <v>5.2731208784681266E-4</v>
      </c>
      <c r="Y927" s="59">
        <f t="shared" si="93"/>
        <v>1.9305715481027386E-3</v>
      </c>
    </row>
    <row r="928" spans="1:25" x14ac:dyDescent="0.3">
      <c r="A928" s="2">
        <v>42809</v>
      </c>
      <c r="B928" s="1">
        <v>35.115000000000002</v>
      </c>
      <c r="C928" s="1">
        <v>852.97</v>
      </c>
      <c r="D928" s="1">
        <v>139.72</v>
      </c>
      <c r="E928" s="3">
        <f t="shared" si="88"/>
        <v>667.29</v>
      </c>
      <c r="F928" s="4">
        <f t="shared" si="89"/>
        <v>11.254999999999654</v>
      </c>
      <c r="G928" s="4">
        <f t="shared" si="90"/>
        <v>-11.254999999999654</v>
      </c>
      <c r="W928" s="59">
        <f t="shared" si="91"/>
        <v>1.0520762634207644E-2</v>
      </c>
      <c r="X928" s="59">
        <f t="shared" si="92"/>
        <v>5.1597773059145998E-4</v>
      </c>
      <c r="Y928" s="59">
        <f t="shared" si="93"/>
        <v>2.8669744408309178E-3</v>
      </c>
    </row>
    <row r="929" spans="1:25" x14ac:dyDescent="0.3">
      <c r="A929" s="2">
        <v>42808</v>
      </c>
      <c r="B929" s="1">
        <v>34.747500000000002</v>
      </c>
      <c r="C929" s="1">
        <v>852.53</v>
      </c>
      <c r="D929" s="1">
        <v>139.32</v>
      </c>
      <c r="E929" s="3">
        <f t="shared" si="88"/>
        <v>656.03500000000031</v>
      </c>
      <c r="F929" s="4">
        <f t="shared" si="89"/>
        <v>-1.1451999999994769</v>
      </c>
      <c r="G929" s="4">
        <f t="shared" si="90"/>
        <v>1.1451999999994769</v>
      </c>
      <c r="W929" s="59">
        <f t="shared" si="91"/>
        <v>-1.5097598036524751E-3</v>
      </c>
      <c r="X929" s="59">
        <f t="shared" si="92"/>
        <v>-2.413539621537572E-3</v>
      </c>
      <c r="Y929" s="59">
        <f t="shared" si="93"/>
        <v>-2.0077448304716321E-3</v>
      </c>
    </row>
    <row r="930" spans="1:25" x14ac:dyDescent="0.3">
      <c r="A930" s="2">
        <v>42807</v>
      </c>
      <c r="B930" s="1">
        <v>34.799999999999997</v>
      </c>
      <c r="C930" s="1">
        <v>854.59010000000001</v>
      </c>
      <c r="D930" s="1">
        <v>139.6</v>
      </c>
      <c r="E930" s="3">
        <f t="shared" si="88"/>
        <v>657.18019999999979</v>
      </c>
      <c r="F930" s="4">
        <f t="shared" si="89"/>
        <v>-11.18980000000056</v>
      </c>
      <c r="G930" s="4">
        <f t="shared" si="90"/>
        <v>11.18980000000056</v>
      </c>
      <c r="W930" s="59">
        <f t="shared" si="91"/>
        <v>4.3112740482406615E-4</v>
      </c>
      <c r="X930" s="59">
        <f t="shared" si="92"/>
        <v>2.4956515401285324E-3</v>
      </c>
      <c r="Y930" s="59">
        <f t="shared" si="93"/>
        <v>5.8191909605235775E-3</v>
      </c>
    </row>
    <row r="931" spans="1:25" x14ac:dyDescent="0.3">
      <c r="A931" s="2">
        <v>42804</v>
      </c>
      <c r="B931" s="1">
        <v>34.784999999999997</v>
      </c>
      <c r="C931" s="1">
        <v>852.46</v>
      </c>
      <c r="D931" s="1">
        <v>138.79</v>
      </c>
      <c r="E931" s="3">
        <f t="shared" si="88"/>
        <v>668.37000000000035</v>
      </c>
      <c r="F931" s="4">
        <f t="shared" si="89"/>
        <v>-6.3299999999994725</v>
      </c>
      <c r="G931" s="4">
        <f t="shared" si="90"/>
        <v>6.3299999999994725</v>
      </c>
      <c r="W931" s="59">
        <f t="shared" si="91"/>
        <v>3.3114996786725269E-3</v>
      </c>
      <c r="X931" s="59">
        <f t="shared" si="92"/>
        <v>-6.3326025593770697E-4</v>
      </c>
      <c r="Y931" s="59">
        <f t="shared" si="93"/>
        <v>3.9706943120027764E-3</v>
      </c>
    </row>
    <row r="932" spans="1:25" x14ac:dyDescent="0.3">
      <c r="A932" s="2">
        <v>42803</v>
      </c>
      <c r="B932" s="1">
        <v>34.67</v>
      </c>
      <c r="C932" s="1">
        <v>853</v>
      </c>
      <c r="D932" s="1">
        <v>138.24</v>
      </c>
      <c r="E932" s="3">
        <f t="shared" si="88"/>
        <v>674.69999999999982</v>
      </c>
      <c r="F932" s="4">
        <f t="shared" si="89"/>
        <v>-9.4000000000000909</v>
      </c>
      <c r="G932" s="4">
        <f t="shared" si="90"/>
        <v>9.4000000000000909</v>
      </c>
      <c r="W932" s="59">
        <f t="shared" si="91"/>
        <v>-2.3048123138689836E-3</v>
      </c>
      <c r="X932" s="59">
        <f t="shared" si="92"/>
        <v>2.9351356557625729E-3</v>
      </c>
      <c r="Y932" s="59">
        <f t="shared" si="93"/>
        <v>3.7686665854225784E-3</v>
      </c>
    </row>
    <row r="933" spans="1:25" x14ac:dyDescent="0.3">
      <c r="A933" s="2">
        <v>42802</v>
      </c>
      <c r="B933" s="1">
        <v>34.75</v>
      </c>
      <c r="C933" s="1">
        <v>850.5</v>
      </c>
      <c r="D933" s="1">
        <v>137.72</v>
      </c>
      <c r="E933" s="3">
        <f t="shared" si="88"/>
        <v>684.09999999999991</v>
      </c>
      <c r="F933" s="4">
        <f t="shared" si="89"/>
        <v>-5.9400000000000546</v>
      </c>
      <c r="G933" s="4">
        <f t="shared" si="90"/>
        <v>5.9400000000000546</v>
      </c>
      <c r="W933" s="59">
        <f t="shared" si="91"/>
        <v>-3.7340270299777954E-3</v>
      </c>
      <c r="X933" s="59">
        <f t="shared" si="92"/>
        <v>5.2814118471907843E-3</v>
      </c>
      <c r="Y933" s="59">
        <f t="shared" si="93"/>
        <v>3.0543256963975322E-3</v>
      </c>
    </row>
    <row r="934" spans="1:25" x14ac:dyDescent="0.3">
      <c r="A934" s="2">
        <v>42801</v>
      </c>
      <c r="B934" s="1">
        <v>34.880000000000003</v>
      </c>
      <c r="C934" s="1">
        <v>846.02</v>
      </c>
      <c r="D934" s="1">
        <v>137.30000000000001</v>
      </c>
      <c r="E934" s="3">
        <f t="shared" si="88"/>
        <v>690.04</v>
      </c>
      <c r="F934" s="4">
        <f t="shared" si="89"/>
        <v>3.4697999999998501</v>
      </c>
      <c r="G934" s="4">
        <f t="shared" si="90"/>
        <v>-3.4697999999998501</v>
      </c>
      <c r="W934" s="59">
        <f t="shared" si="91"/>
        <v>1.2909705586968097E-3</v>
      </c>
      <c r="X934" s="59">
        <f t="shared" si="92"/>
        <v>-6.9725810016896825E-4</v>
      </c>
      <c r="Y934" s="59">
        <f t="shared" si="93"/>
        <v>-8.7361682900431118E-4</v>
      </c>
    </row>
    <row r="935" spans="1:25" x14ac:dyDescent="0.3">
      <c r="A935" s="2">
        <v>42800</v>
      </c>
      <c r="B935" s="1">
        <v>34.835000000000001</v>
      </c>
      <c r="C935" s="1">
        <v>846.61009999999999</v>
      </c>
      <c r="D935" s="1">
        <v>137.41999999999999</v>
      </c>
      <c r="E935" s="3">
        <f t="shared" si="88"/>
        <v>686.57020000000011</v>
      </c>
      <c r="F935" s="4">
        <f t="shared" si="89"/>
        <v>-17.039600000000064</v>
      </c>
      <c r="G935" s="4">
        <f t="shared" si="90"/>
        <v>17.039600000000064</v>
      </c>
      <c r="W935" s="59">
        <f t="shared" si="91"/>
        <v>-3.1527684470101171E-3</v>
      </c>
      <c r="X935" s="59">
        <f t="shared" si="92"/>
        <v>-3.8547872948662418E-3</v>
      </c>
      <c r="Y935" s="59">
        <f t="shared" si="93"/>
        <v>1.8208971126143676E-3</v>
      </c>
    </row>
    <row r="936" spans="1:25" x14ac:dyDescent="0.3">
      <c r="A936" s="2">
        <v>42797</v>
      </c>
      <c r="B936" s="1">
        <v>34.945</v>
      </c>
      <c r="C936" s="1">
        <v>849.87990000000002</v>
      </c>
      <c r="D936" s="1">
        <v>137.16999999999999</v>
      </c>
      <c r="E936" s="3">
        <f t="shared" si="88"/>
        <v>703.60980000000018</v>
      </c>
      <c r="F936" s="4">
        <f t="shared" si="89"/>
        <v>3.9899999999997817</v>
      </c>
      <c r="G936" s="4">
        <f t="shared" si="90"/>
        <v>-3.9899999999997817</v>
      </c>
      <c r="W936" s="59">
        <f t="shared" si="91"/>
        <v>5.8836361161334651E-3</v>
      </c>
      <c r="X936" s="59">
        <f t="shared" si="92"/>
        <v>1.1419895568221909E-3</v>
      </c>
      <c r="Y936" s="59">
        <f t="shared" si="93"/>
        <v>2.9934677192150058E-3</v>
      </c>
    </row>
    <row r="937" spans="1:25" x14ac:dyDescent="0.3">
      <c r="A937" s="2">
        <v>42796</v>
      </c>
      <c r="B937" s="1">
        <v>34.74</v>
      </c>
      <c r="C937" s="1">
        <v>848.90989999999999</v>
      </c>
      <c r="D937" s="1">
        <v>136.76</v>
      </c>
      <c r="E937" s="3">
        <f t="shared" si="88"/>
        <v>699.6198000000004</v>
      </c>
      <c r="F937" s="4">
        <f t="shared" si="89"/>
        <v>-5.515400000000227</v>
      </c>
      <c r="G937" s="4">
        <f t="shared" si="90"/>
        <v>5.515400000000227</v>
      </c>
      <c r="W937" s="59">
        <f t="shared" si="91"/>
        <v>-5.9551745501874942E-3</v>
      </c>
      <c r="X937" s="59">
        <f t="shared" si="92"/>
        <v>-4.900391124746893E-3</v>
      </c>
      <c r="Y937" s="59">
        <f t="shared" si="93"/>
        <v>-4.814364831829389E-3</v>
      </c>
    </row>
    <row r="938" spans="1:25" x14ac:dyDescent="0.3">
      <c r="A938" s="2">
        <v>42795</v>
      </c>
      <c r="B938" s="1">
        <v>34.947499999999998</v>
      </c>
      <c r="C938" s="1">
        <v>853.08010000000002</v>
      </c>
      <c r="D938" s="1">
        <v>137.41999999999999</v>
      </c>
      <c r="E938" s="3">
        <f t="shared" si="88"/>
        <v>705.13520000000062</v>
      </c>
      <c r="F938" s="4">
        <f t="shared" si="89"/>
        <v>13.480200000000423</v>
      </c>
      <c r="G938" s="4">
        <f t="shared" si="90"/>
        <v>-13.480200000000423</v>
      </c>
      <c r="W938" s="59">
        <f t="shared" si="91"/>
        <v>2.0233366019738803E-2</v>
      </c>
      <c r="X938" s="59">
        <f t="shared" si="92"/>
        <v>9.4694834367788604E-3</v>
      </c>
      <c r="Y938" s="59">
        <f t="shared" si="93"/>
        <v>1.377512989496287E-2</v>
      </c>
    </row>
    <row r="939" spans="1:25" x14ac:dyDescent="0.3">
      <c r="A939" s="2">
        <v>42794</v>
      </c>
      <c r="B939" s="1">
        <v>34.247500000000002</v>
      </c>
      <c r="C939" s="1">
        <v>845.04</v>
      </c>
      <c r="D939" s="1">
        <v>135.54</v>
      </c>
      <c r="E939" s="3">
        <f t="shared" si="88"/>
        <v>691.6550000000002</v>
      </c>
      <c r="F939" s="4">
        <f t="shared" si="89"/>
        <v>10.950199999999768</v>
      </c>
      <c r="G939" s="4">
        <f t="shared" si="90"/>
        <v>-10.950199999999768</v>
      </c>
      <c r="W939" s="59">
        <f t="shared" si="91"/>
        <v>4.3808411915595798E-4</v>
      </c>
      <c r="X939" s="59">
        <f t="shared" si="92"/>
        <v>-4.2509867668788712E-3</v>
      </c>
      <c r="Y939" s="59">
        <f t="shared" si="93"/>
        <v>-6.3982567970619899E-3</v>
      </c>
    </row>
    <row r="940" spans="1:25" x14ac:dyDescent="0.3">
      <c r="A940" s="2">
        <v>42793</v>
      </c>
      <c r="B940" s="1">
        <v>34.232500000000002</v>
      </c>
      <c r="C940" s="1">
        <v>848.63990000000001</v>
      </c>
      <c r="D940" s="1">
        <v>136.41</v>
      </c>
      <c r="E940" s="3">
        <f t="shared" si="88"/>
        <v>680.70480000000043</v>
      </c>
      <c r="F940" s="4">
        <f t="shared" si="89"/>
        <v>-9.2251999999994041</v>
      </c>
      <c r="G940" s="4">
        <f t="shared" si="90"/>
        <v>9.2251999999994041</v>
      </c>
      <c r="W940" s="59">
        <f t="shared" si="91"/>
        <v>1.9737569915101072E-3</v>
      </c>
      <c r="X940" s="59">
        <f t="shared" si="92"/>
        <v>4.0143395830591231E-3</v>
      </c>
      <c r="Y940" s="59">
        <f t="shared" si="93"/>
        <v>7.1363186801489684E-3</v>
      </c>
    </row>
    <row r="941" spans="1:25" x14ac:dyDescent="0.3">
      <c r="A941" s="2">
        <v>42790</v>
      </c>
      <c r="B941" s="1">
        <v>34.164999999999999</v>
      </c>
      <c r="C941" s="1">
        <v>845.24</v>
      </c>
      <c r="D941" s="1">
        <v>135.44</v>
      </c>
      <c r="E941" s="3">
        <f t="shared" si="88"/>
        <v>689.92999999999984</v>
      </c>
      <c r="F941" s="4">
        <f t="shared" si="89"/>
        <v>-13.874799999999595</v>
      </c>
      <c r="G941" s="4">
        <f t="shared" si="90"/>
        <v>13.874799999999595</v>
      </c>
      <c r="W941" s="59">
        <f t="shared" si="91"/>
        <v>9.5171865597192136E-4</v>
      </c>
      <c r="X941" s="59">
        <f t="shared" si="92"/>
        <v>-8.1887786188435917E-3</v>
      </c>
      <c r="Y941" s="59">
        <f t="shared" si="93"/>
        <v>5.9084196696664471E-4</v>
      </c>
    </row>
    <row r="942" spans="1:25" x14ac:dyDescent="0.3">
      <c r="A942" s="2">
        <v>42789</v>
      </c>
      <c r="B942" s="1">
        <v>34.1325</v>
      </c>
      <c r="C942" s="1">
        <v>852.18989999999997</v>
      </c>
      <c r="D942" s="1">
        <v>135.36000000000001</v>
      </c>
      <c r="E942" s="3">
        <f t="shared" si="88"/>
        <v>703.80479999999943</v>
      </c>
      <c r="F942" s="4">
        <f t="shared" si="89"/>
        <v>1.1095999999993182</v>
      </c>
      <c r="G942" s="4">
        <f t="shared" si="90"/>
        <v>-1.1095999999993182</v>
      </c>
      <c r="W942" s="59">
        <f t="shared" si="91"/>
        <v>-4.2391526719033979E-3</v>
      </c>
      <c r="X942" s="59">
        <f t="shared" si="92"/>
        <v>-4.005392402587106E-3</v>
      </c>
      <c r="Y942" s="59">
        <f t="shared" si="93"/>
        <v>-5.5989537747917657E-3</v>
      </c>
    </row>
    <row r="943" spans="1:25" x14ac:dyDescent="0.3">
      <c r="A943" s="2">
        <v>42788</v>
      </c>
      <c r="B943" s="1">
        <v>34.277500000000003</v>
      </c>
      <c r="C943" s="1">
        <v>855.61009999999999</v>
      </c>
      <c r="D943" s="1">
        <v>136.12</v>
      </c>
      <c r="E943" s="3">
        <f t="shared" si="88"/>
        <v>702.69520000000011</v>
      </c>
      <c r="F943" s="4">
        <f t="shared" si="89"/>
        <v>-44.5345999999995</v>
      </c>
      <c r="G943" s="4">
        <f t="shared" si="90"/>
        <v>44.5345999999995</v>
      </c>
      <c r="W943" s="59">
        <f t="shared" si="91"/>
        <v>2.9947796386600037E-3</v>
      </c>
      <c r="X943" s="59">
        <f t="shared" si="92"/>
        <v>-9.6936428840039375E-4</v>
      </c>
      <c r="Y943" s="59">
        <f t="shared" si="93"/>
        <v>1.7788788080807222E-2</v>
      </c>
    </row>
    <row r="944" spans="1:25" x14ac:dyDescent="0.3">
      <c r="A944" s="2">
        <v>42787</v>
      </c>
      <c r="B944" s="1">
        <v>34.174999999999997</v>
      </c>
      <c r="C944" s="1">
        <v>856.43989999999997</v>
      </c>
      <c r="D944" s="1">
        <v>133.72</v>
      </c>
      <c r="E944" s="3">
        <f t="shared" si="88"/>
        <v>747.22979999999961</v>
      </c>
      <c r="F944" s="4">
        <f t="shared" si="89"/>
        <v>31.1895999999997</v>
      </c>
      <c r="G944" s="4">
        <f t="shared" si="90"/>
        <v>-31.1895999999997</v>
      </c>
      <c r="W944" s="59">
        <f t="shared" si="91"/>
        <v>7.1948038138743703E-3</v>
      </c>
      <c r="X944" s="59">
        <f t="shared" si="92"/>
        <v>1.3364563512374862E-2</v>
      </c>
      <c r="Y944" s="59">
        <f t="shared" si="93"/>
        <v>1.4218898560251817E-3</v>
      </c>
    </row>
    <row r="945" spans="1:25" x14ac:dyDescent="0.3">
      <c r="A945" s="2">
        <v>42786</v>
      </c>
      <c r="B945" s="1">
        <v>33.93</v>
      </c>
      <c r="C945" s="1">
        <v>845.07010000000002</v>
      </c>
      <c r="D945" s="1">
        <v>133.53</v>
      </c>
      <c r="E945" s="3">
        <f t="shared" si="88"/>
        <v>716.04019999999991</v>
      </c>
      <c r="F945" s="4">
        <f t="shared" si="89"/>
        <v>0</v>
      </c>
      <c r="G945" s="4">
        <f t="shared" si="90"/>
        <v>0</v>
      </c>
      <c r="W945" s="59">
        <f t="shared" si="91"/>
        <v>0</v>
      </c>
      <c r="X945" s="59">
        <f t="shared" si="92"/>
        <v>0</v>
      </c>
      <c r="Y945" s="59">
        <f t="shared" si="93"/>
        <v>0</v>
      </c>
    </row>
    <row r="946" spans="1:25" x14ac:dyDescent="0.3">
      <c r="A946" s="2">
        <v>42783</v>
      </c>
      <c r="B946" s="1">
        <v>33.93</v>
      </c>
      <c r="C946" s="1">
        <v>845.07010000000002</v>
      </c>
      <c r="D946" s="1">
        <v>133.53</v>
      </c>
      <c r="E946" s="3">
        <f t="shared" si="88"/>
        <v>716.04019999999991</v>
      </c>
      <c r="F946" s="4">
        <f t="shared" si="89"/>
        <v>12.750400000000354</v>
      </c>
      <c r="G946" s="4">
        <f t="shared" si="90"/>
        <v>-12.750400000000354</v>
      </c>
      <c r="W946" s="59">
        <f t="shared" si="91"/>
        <v>2.7683435076714829E-3</v>
      </c>
      <c r="X946" s="59">
        <f t="shared" si="92"/>
        <v>1.1013433427748474E-3</v>
      </c>
      <c r="Y946" s="59">
        <f t="shared" si="93"/>
        <v>-2.3188849826959097E-3</v>
      </c>
    </row>
    <row r="947" spans="1:25" x14ac:dyDescent="0.3">
      <c r="A947" s="2">
        <v>42782</v>
      </c>
      <c r="B947" s="1">
        <v>33.836199999999998</v>
      </c>
      <c r="C947" s="1">
        <v>844.13990000000001</v>
      </c>
      <c r="D947" s="1">
        <v>133.84</v>
      </c>
      <c r="E947" s="3">
        <f t="shared" si="88"/>
        <v>703.28979999999956</v>
      </c>
      <c r="F947" s="4">
        <f t="shared" si="89"/>
        <v>-7.18520000000035</v>
      </c>
      <c r="G947" s="4">
        <f t="shared" si="90"/>
        <v>7.18520000000035</v>
      </c>
      <c r="W947" s="59">
        <f t="shared" si="91"/>
        <v>-1.2198419262644939E-3</v>
      </c>
      <c r="X947" s="59">
        <f t="shared" si="92"/>
        <v>1.7072163751001104E-3</v>
      </c>
      <c r="Y947" s="59">
        <f t="shared" si="93"/>
        <v>2.9931180681318859E-3</v>
      </c>
    </row>
    <row r="948" spans="1:25" x14ac:dyDescent="0.3">
      <c r="A948" s="2">
        <v>42781</v>
      </c>
      <c r="B948" s="1">
        <v>33.877499999999998</v>
      </c>
      <c r="C948" s="1">
        <v>842.7</v>
      </c>
      <c r="D948" s="1">
        <v>133.44</v>
      </c>
      <c r="E948" s="3">
        <f t="shared" si="88"/>
        <v>710.47499999999991</v>
      </c>
      <c r="F948" s="4">
        <f t="shared" si="89"/>
        <v>26.945199999999659</v>
      </c>
      <c r="G948" s="4">
        <f t="shared" si="90"/>
        <v>-26.945199999999659</v>
      </c>
      <c r="W948" s="59">
        <f t="shared" si="91"/>
        <v>3.6225227208978531E-3</v>
      </c>
      <c r="X948" s="59">
        <f t="shared" si="92"/>
        <v>7.5161308586714987E-3</v>
      </c>
      <c r="Y948" s="59">
        <f t="shared" si="93"/>
        <v>-3.0678313559249076E-3</v>
      </c>
    </row>
    <row r="949" spans="1:25" x14ac:dyDescent="0.3">
      <c r="A949" s="2">
        <v>42780</v>
      </c>
      <c r="B949" s="1">
        <v>33.755000000000003</v>
      </c>
      <c r="C949" s="1">
        <v>836.38990000000001</v>
      </c>
      <c r="D949" s="1">
        <v>133.85</v>
      </c>
      <c r="E949" s="3">
        <f t="shared" si="88"/>
        <v>683.52980000000025</v>
      </c>
      <c r="F949" s="4">
        <f t="shared" si="89"/>
        <v>25.344800000000305</v>
      </c>
      <c r="G949" s="4">
        <f t="shared" si="90"/>
        <v>-25.344800000000305</v>
      </c>
      <c r="W949" s="59">
        <f t="shared" si="91"/>
        <v>1.2895709997797765E-2</v>
      </c>
      <c r="X949" s="59">
        <f t="shared" si="92"/>
        <v>-1.6749158202674711E-4</v>
      </c>
      <c r="Y949" s="59">
        <f t="shared" si="93"/>
        <v>-1.4930947156069057E-3</v>
      </c>
    </row>
    <row r="950" spans="1:25" x14ac:dyDescent="0.3">
      <c r="A950" s="2">
        <v>42779</v>
      </c>
      <c r="B950" s="1">
        <v>33.322499999999998</v>
      </c>
      <c r="C950" s="1">
        <v>836.53</v>
      </c>
      <c r="D950" s="1">
        <v>134.05000000000001</v>
      </c>
      <c r="E950" s="3">
        <f t="shared" si="88"/>
        <v>658.18499999999995</v>
      </c>
      <c r="F950" s="4">
        <f t="shared" si="89"/>
        <v>35.565000000000055</v>
      </c>
      <c r="G950" s="4">
        <f t="shared" si="90"/>
        <v>-35.565000000000055</v>
      </c>
      <c r="W950" s="59">
        <f t="shared" si="91"/>
        <v>8.8166050933378287E-3</v>
      </c>
      <c r="X950" s="59">
        <f t="shared" si="92"/>
        <v>1.0901615787361667E-2</v>
      </c>
      <c r="Y950" s="59">
        <f t="shared" si="93"/>
        <v>-1.0438414308979978E-3</v>
      </c>
    </row>
    <row r="951" spans="1:25" x14ac:dyDescent="0.3">
      <c r="A951" s="2">
        <v>42776</v>
      </c>
      <c r="B951" s="1">
        <v>33.03</v>
      </c>
      <c r="C951" s="1">
        <v>827.46</v>
      </c>
      <c r="D951" s="1">
        <v>134.19</v>
      </c>
      <c r="E951" s="3">
        <f t="shared" si="88"/>
        <v>622.61999999999989</v>
      </c>
      <c r="F951" s="4">
        <f t="shared" si="89"/>
        <v>7.4497999999998683</v>
      </c>
      <c r="G951" s="4">
        <f t="shared" si="90"/>
        <v>-7.4497999999998683</v>
      </c>
      <c r="W951" s="59">
        <f t="shared" si="91"/>
        <v>-2.2680889741110437E-3</v>
      </c>
      <c r="X951" s="59">
        <f t="shared" si="92"/>
        <v>7.3991429743055417E-3</v>
      </c>
      <c r="Y951" s="59">
        <f t="shared" si="93"/>
        <v>3.7267544127530833E-4</v>
      </c>
    </row>
    <row r="952" spans="1:25" x14ac:dyDescent="0.3">
      <c r="A952" s="2">
        <v>42775</v>
      </c>
      <c r="B952" s="1">
        <v>33.104999999999997</v>
      </c>
      <c r="C952" s="1">
        <v>821.36009999999999</v>
      </c>
      <c r="D952" s="1">
        <v>134.13999999999999</v>
      </c>
      <c r="E952" s="3">
        <f t="shared" si="88"/>
        <v>615.17020000000002</v>
      </c>
      <c r="F952" s="4">
        <f t="shared" si="89"/>
        <v>9.2501999999999498</v>
      </c>
      <c r="G952" s="4">
        <f t="shared" si="90"/>
        <v>-9.2501999999999498</v>
      </c>
      <c r="W952" s="59">
        <f t="shared" si="91"/>
        <v>2.8737825117077787E-3</v>
      </c>
      <c r="X952" s="59">
        <f t="shared" si="92"/>
        <v>2.0110055702109533E-3</v>
      </c>
      <c r="Y952" s="59">
        <f t="shared" si="93"/>
        <v>-4.4719386599027415E-4</v>
      </c>
    </row>
    <row r="953" spans="1:25" x14ac:dyDescent="0.3">
      <c r="A953" s="2">
        <v>42774</v>
      </c>
      <c r="B953" s="1">
        <v>33.01</v>
      </c>
      <c r="C953" s="1">
        <v>819.71</v>
      </c>
      <c r="D953" s="1">
        <v>134.19999999999999</v>
      </c>
      <c r="E953" s="3">
        <f t="shared" si="88"/>
        <v>605.92000000000007</v>
      </c>
      <c r="F953" s="4">
        <f t="shared" si="89"/>
        <v>-26.404999999999745</v>
      </c>
      <c r="G953" s="4">
        <f t="shared" si="90"/>
        <v>26.404999999999745</v>
      </c>
      <c r="W953" s="59">
        <f t="shared" si="91"/>
        <v>3.8699445043049257E-3</v>
      </c>
      <c r="X953" s="59">
        <f t="shared" si="92"/>
        <v>8.8347049658922591E-3</v>
      </c>
      <c r="Y953" s="59">
        <f t="shared" si="93"/>
        <v>1.7742158376419803E-2</v>
      </c>
    </row>
    <row r="954" spans="1:25" x14ac:dyDescent="0.3">
      <c r="A954" s="2">
        <v>42773</v>
      </c>
      <c r="B954" s="1">
        <v>32.8825</v>
      </c>
      <c r="C954" s="1">
        <v>812.5</v>
      </c>
      <c r="D954" s="1">
        <v>131.84</v>
      </c>
      <c r="E954" s="3">
        <f t="shared" si="88"/>
        <v>632.32499999999982</v>
      </c>
      <c r="F954" s="4">
        <f t="shared" si="89"/>
        <v>29.620199999999386</v>
      </c>
      <c r="G954" s="4">
        <f t="shared" si="90"/>
        <v>-29.620199999999386</v>
      </c>
      <c r="W954" s="59">
        <f t="shared" si="91"/>
        <v>9.4722272658471583E-3</v>
      </c>
      <c r="X954" s="59">
        <f t="shared" si="92"/>
        <v>5.9996233392693304E-3</v>
      </c>
      <c r="Y954" s="59">
        <f t="shared" si="93"/>
        <v>-1.6672986052637267E-3</v>
      </c>
    </row>
    <row r="955" spans="1:25" x14ac:dyDescent="0.3">
      <c r="A955" s="2">
        <v>42772</v>
      </c>
      <c r="B955" s="1">
        <v>32.572499999999998</v>
      </c>
      <c r="C955" s="1">
        <v>807.63990000000001</v>
      </c>
      <c r="D955" s="1">
        <v>132.06</v>
      </c>
      <c r="E955" s="3">
        <f t="shared" si="88"/>
        <v>602.70480000000043</v>
      </c>
      <c r="F955" s="4">
        <f t="shared" si="89"/>
        <v>-11.595200000000204</v>
      </c>
      <c r="G955" s="4">
        <f t="shared" si="90"/>
        <v>11.595200000000204</v>
      </c>
      <c r="W955" s="59">
        <f t="shared" si="91"/>
        <v>9.3303680310790529E-3</v>
      </c>
      <c r="X955" s="59">
        <f t="shared" si="92"/>
        <v>-3.1648399039669044E-3</v>
      </c>
      <c r="Y955" s="59">
        <f t="shared" si="93"/>
        <v>8.2117249765179048E-3</v>
      </c>
    </row>
    <row r="956" spans="1:25" x14ac:dyDescent="0.3">
      <c r="A956" s="2">
        <v>42769</v>
      </c>
      <c r="B956" s="1">
        <v>32.270000000000003</v>
      </c>
      <c r="C956" s="1">
        <v>810.2</v>
      </c>
      <c r="D956" s="1">
        <v>130.97999999999999</v>
      </c>
      <c r="E956" s="3">
        <f t="shared" si="88"/>
        <v>614.30000000000064</v>
      </c>
      <c r="F956" s="4">
        <f t="shared" si="89"/>
        <v>-55.424999999999272</v>
      </c>
      <c r="G956" s="4">
        <f t="shared" si="90"/>
        <v>55.424999999999272</v>
      </c>
      <c r="W956" s="59">
        <f t="shared" si="91"/>
        <v>4.2700270617207076E-3</v>
      </c>
      <c r="X956" s="59">
        <f t="shared" si="92"/>
        <v>-3.606123548763307E-2</v>
      </c>
      <c r="Y956" s="59">
        <f t="shared" si="93"/>
        <v>1.0694371197241964E-3</v>
      </c>
    </row>
    <row r="957" spans="1:25" x14ac:dyDescent="0.3">
      <c r="A957" s="2">
        <v>42768</v>
      </c>
      <c r="B957" s="1">
        <v>32.1325</v>
      </c>
      <c r="C957" s="1">
        <v>839.95</v>
      </c>
      <c r="D957" s="1">
        <v>130.84</v>
      </c>
      <c r="E957" s="3">
        <f t="shared" si="88"/>
        <v>669.72499999999991</v>
      </c>
      <c r="F957" s="4">
        <f t="shared" si="89"/>
        <v>60.249799999999595</v>
      </c>
      <c r="G957" s="4">
        <f t="shared" si="90"/>
        <v>-60.249799999999595</v>
      </c>
      <c r="W957" s="59">
        <f t="shared" si="91"/>
        <v>-1.7101994218050403E-3</v>
      </c>
      <c r="X957" s="59">
        <f t="shared" si="92"/>
        <v>9.0892206744433574E-3</v>
      </c>
      <c r="Y957" s="59">
        <f t="shared" si="93"/>
        <v>-1.8101755301937361E-2</v>
      </c>
    </row>
    <row r="958" spans="1:25" x14ac:dyDescent="0.3">
      <c r="A958" s="2">
        <v>42767</v>
      </c>
      <c r="B958" s="1">
        <v>32.1875</v>
      </c>
      <c r="C958" s="1">
        <v>832.3501</v>
      </c>
      <c r="D958" s="1">
        <v>133.22999999999999</v>
      </c>
      <c r="E958" s="3">
        <f t="shared" si="88"/>
        <v>609.47520000000031</v>
      </c>
      <c r="F958" s="4">
        <f t="shared" si="89"/>
        <v>52.040199999999913</v>
      </c>
      <c r="G958" s="4">
        <f t="shared" si="90"/>
        <v>-52.040199999999913</v>
      </c>
      <c r="W958" s="59">
        <f t="shared" si="91"/>
        <v>5.9193607371235211E-2</v>
      </c>
      <c r="X958" s="59">
        <f t="shared" si="92"/>
        <v>1.0713882840672397E-2</v>
      </c>
      <c r="Y958" s="59">
        <f t="shared" si="93"/>
        <v>2.2083993678330971E-2</v>
      </c>
    </row>
    <row r="959" spans="1:25" x14ac:dyDescent="0.3">
      <c r="A959" s="2">
        <v>42766</v>
      </c>
      <c r="B959" s="1">
        <v>30.337499999999999</v>
      </c>
      <c r="C959" s="1">
        <v>823.48</v>
      </c>
      <c r="D959" s="1">
        <v>130.32</v>
      </c>
      <c r="E959" s="3">
        <f t="shared" si="88"/>
        <v>557.4350000000004</v>
      </c>
      <c r="F959" s="4">
        <f t="shared" si="89"/>
        <v>-4.0997999999995045</v>
      </c>
      <c r="G959" s="4">
        <f t="shared" si="90"/>
        <v>4.0997999999995045</v>
      </c>
      <c r="W959" s="59">
        <f t="shared" si="91"/>
        <v>-2.3047174577346796E-3</v>
      </c>
      <c r="X959" s="59">
        <f t="shared" si="92"/>
        <v>-8.3440441752538619E-3</v>
      </c>
      <c r="Y959" s="59">
        <f t="shared" si="93"/>
        <v>-5.0516754961178337E-3</v>
      </c>
    </row>
    <row r="960" spans="1:25" x14ac:dyDescent="0.3">
      <c r="A960" s="2">
        <v>42765</v>
      </c>
      <c r="B960" s="1">
        <v>30.407499999999999</v>
      </c>
      <c r="C960" s="1">
        <v>830.37990000000002</v>
      </c>
      <c r="D960" s="1">
        <v>130.97999999999999</v>
      </c>
      <c r="E960" s="3">
        <f t="shared" si="88"/>
        <v>561.5347999999999</v>
      </c>
      <c r="F960" s="4">
        <f t="shared" si="89"/>
        <v>9.2198000000003049</v>
      </c>
      <c r="G960" s="4">
        <f t="shared" si="90"/>
        <v>-9.2198000000003049</v>
      </c>
      <c r="W960" s="59">
        <f t="shared" si="91"/>
        <v>-2.6274750315843321E-3</v>
      </c>
      <c r="X960" s="59">
        <f t="shared" si="92"/>
        <v>-6.4701486987706345E-3</v>
      </c>
      <c r="Y960" s="59">
        <f t="shared" si="93"/>
        <v>-9.1199902523993372E-3</v>
      </c>
    </row>
    <row r="961" spans="1:25" x14ac:dyDescent="0.3">
      <c r="A961" s="2">
        <v>42762</v>
      </c>
      <c r="B961" s="1">
        <v>30.487500000000001</v>
      </c>
      <c r="C961" s="1">
        <v>835.77</v>
      </c>
      <c r="D961" s="1">
        <v>132.18</v>
      </c>
      <c r="E961" s="3">
        <f t="shared" si="88"/>
        <v>552.3149999999996</v>
      </c>
      <c r="F961" s="4">
        <f t="shared" si="89"/>
        <v>5.3651999999997315</v>
      </c>
      <c r="G961" s="4">
        <f t="shared" si="90"/>
        <v>-5.3651999999997315</v>
      </c>
      <c r="W961" s="59">
        <f t="shared" si="91"/>
        <v>8.2004182259253584E-5</v>
      </c>
      <c r="X961" s="59">
        <f t="shared" si="92"/>
        <v>-4.0358999708431306E-3</v>
      </c>
      <c r="Y961" s="59">
        <f t="shared" si="93"/>
        <v>-4.5289932487064481E-3</v>
      </c>
    </row>
    <row r="962" spans="1:25" x14ac:dyDescent="0.3">
      <c r="A962" s="2">
        <v>42761</v>
      </c>
      <c r="B962" s="1">
        <v>30.484999999999999</v>
      </c>
      <c r="C962" s="1">
        <v>839.1499</v>
      </c>
      <c r="D962" s="1">
        <v>132.78</v>
      </c>
      <c r="E962" s="3">
        <f t="shared" si="88"/>
        <v>546.94979999999987</v>
      </c>
      <c r="F962" s="4">
        <f t="shared" si="89"/>
        <v>-19.990200000000186</v>
      </c>
      <c r="G962" s="4">
        <f t="shared" si="90"/>
        <v>19.990200000000186</v>
      </c>
      <c r="W962" s="59">
        <f t="shared" si="91"/>
        <v>4.9216636216183518E-4</v>
      </c>
      <c r="X962" s="59">
        <f t="shared" si="92"/>
        <v>3.1389262996676598E-3</v>
      </c>
      <c r="Y962" s="59">
        <f t="shared" si="93"/>
        <v>9.8388744949946469E-3</v>
      </c>
    </row>
    <row r="963" spans="1:25" x14ac:dyDescent="0.3">
      <c r="A963" s="2">
        <v>42760</v>
      </c>
      <c r="B963" s="1">
        <v>30.47</v>
      </c>
      <c r="C963" s="1">
        <v>836.52</v>
      </c>
      <c r="D963" s="1">
        <v>131.47999999999999</v>
      </c>
      <c r="E963" s="3">
        <f t="shared" si="88"/>
        <v>566.94000000000005</v>
      </c>
      <c r="F963" s="4">
        <f t="shared" si="89"/>
        <v>9.8352000000004409</v>
      </c>
      <c r="G963" s="4">
        <f t="shared" si="90"/>
        <v>-9.8352000000004409</v>
      </c>
      <c r="W963" s="59">
        <f t="shared" si="91"/>
        <v>1.5795242590671537E-2</v>
      </c>
      <c r="X963" s="59">
        <f t="shared" si="92"/>
        <v>1.6975019225331119E-2</v>
      </c>
      <c r="Y963" s="59">
        <f t="shared" si="93"/>
        <v>1.6178232866207926E-2</v>
      </c>
    </row>
    <row r="964" spans="1:25" x14ac:dyDescent="0.3">
      <c r="A964" s="2">
        <v>42759</v>
      </c>
      <c r="B964" s="1">
        <v>29.9925</v>
      </c>
      <c r="C964" s="1">
        <v>822.43989999999997</v>
      </c>
      <c r="D964" s="1">
        <v>129.37</v>
      </c>
      <c r="E964" s="3">
        <f t="shared" si="88"/>
        <v>557.10479999999961</v>
      </c>
      <c r="F964" s="4">
        <f t="shared" si="89"/>
        <v>-1.0549999999998363</v>
      </c>
      <c r="G964" s="4">
        <f t="shared" si="90"/>
        <v>1.0549999999998363</v>
      </c>
      <c r="W964" s="59">
        <f t="shared" si="91"/>
        <v>-9.1647579836979999E-4</v>
      </c>
      <c r="X964" s="59">
        <f t="shared" si="92"/>
        <v>5.5599057534557956E-3</v>
      </c>
      <c r="Y964" s="59">
        <f t="shared" si="93"/>
        <v>3.406894507064398E-3</v>
      </c>
    </row>
    <row r="965" spans="1:25" x14ac:dyDescent="0.3">
      <c r="A965" s="2">
        <v>42758</v>
      </c>
      <c r="B965" s="1">
        <v>30.02</v>
      </c>
      <c r="C965" s="1">
        <v>817.87990000000002</v>
      </c>
      <c r="D965" s="1">
        <v>128.93</v>
      </c>
      <c r="E965" s="3">
        <f t="shared" si="88"/>
        <v>558.15979999999945</v>
      </c>
      <c r="F965" s="4">
        <f t="shared" si="89"/>
        <v>-17.700400000000627</v>
      </c>
      <c r="G965" s="4">
        <f t="shared" si="90"/>
        <v>17.700400000000627</v>
      </c>
      <c r="W965" s="59">
        <f t="shared" si="91"/>
        <v>6.6644454316044683E-4</v>
      </c>
      <c r="X965" s="59">
        <f t="shared" si="92"/>
        <v>1.1744989612046973E-2</v>
      </c>
      <c r="Y965" s="59">
        <f t="shared" si="93"/>
        <v>1.4767623923920673E-2</v>
      </c>
    </row>
    <row r="966" spans="1:25" x14ac:dyDescent="0.3">
      <c r="A966" s="2">
        <v>42755</v>
      </c>
      <c r="B966" s="1">
        <v>30</v>
      </c>
      <c r="C966" s="1">
        <v>808.33010000000002</v>
      </c>
      <c r="D966" s="1">
        <v>127.04</v>
      </c>
      <c r="E966" s="3">
        <f t="shared" ref="E966:E1029" si="94">50*B966+2*C966-20*D966</f>
        <v>575.86020000000008</v>
      </c>
      <c r="F966" s="4">
        <f t="shared" ref="F966:F1029" si="95">E966-E967</f>
        <v>11.53020000000015</v>
      </c>
      <c r="G966" s="4">
        <f t="shared" ref="G966:G1029" si="96">-F966</f>
        <v>-11.53020000000015</v>
      </c>
      <c r="W966" s="59">
        <f t="shared" ref="W966:W1029" si="97">LN(B966/B967)</f>
        <v>1.8350159457296321E-3</v>
      </c>
      <c r="X966" s="59">
        <f t="shared" ref="X966:X1029" si="98">LN(C966/C967)</f>
        <v>-8.7784489844105378E-4</v>
      </c>
      <c r="Y966" s="59">
        <f t="shared" ref="Y966:Y1029" si="99">LN(D966/D967)</f>
        <v>-4.0064470889947731E-3</v>
      </c>
    </row>
    <row r="967" spans="1:25" x14ac:dyDescent="0.3">
      <c r="A967" s="2">
        <v>42754</v>
      </c>
      <c r="B967" s="1">
        <v>29.945</v>
      </c>
      <c r="C967" s="1">
        <v>809.04</v>
      </c>
      <c r="D967" s="1">
        <v>127.55</v>
      </c>
      <c r="E967" s="3">
        <f t="shared" si="94"/>
        <v>564.32999999999993</v>
      </c>
      <c r="F967" s="4">
        <f t="shared" si="95"/>
        <v>7.8949999999999818</v>
      </c>
      <c r="G967" s="4">
        <f t="shared" si="96"/>
        <v>-7.8949999999999818</v>
      </c>
      <c r="W967" s="59">
        <f t="shared" si="97"/>
        <v>-1.7516791399811071E-3</v>
      </c>
      <c r="X967" s="59">
        <f t="shared" si="98"/>
        <v>1.9300726056880146E-3</v>
      </c>
      <c r="Y967" s="59">
        <f t="shared" si="99"/>
        <v>-2.896623937878407E-3</v>
      </c>
    </row>
    <row r="968" spans="1:25" x14ac:dyDescent="0.3">
      <c r="A968" s="2">
        <v>42753</v>
      </c>
      <c r="B968" s="1">
        <v>29.997499999999999</v>
      </c>
      <c r="C968" s="1">
        <v>807.48</v>
      </c>
      <c r="D968" s="1">
        <v>127.92</v>
      </c>
      <c r="E968" s="3">
        <f t="shared" si="94"/>
        <v>556.43499999999995</v>
      </c>
      <c r="F968" s="4">
        <f t="shared" si="95"/>
        <v>-5.6050000000000182</v>
      </c>
      <c r="G968" s="4">
        <f t="shared" si="96"/>
        <v>5.6050000000000182</v>
      </c>
      <c r="W968" s="59">
        <f t="shared" si="97"/>
        <v>-8.3336805748459669E-5</v>
      </c>
      <c r="X968" s="59">
        <f t="shared" si="98"/>
        <v>-2.7702219051496352E-3</v>
      </c>
      <c r="Y968" s="59">
        <f t="shared" si="99"/>
        <v>3.9094570262183519E-4</v>
      </c>
    </row>
    <row r="969" spans="1:25" x14ac:dyDescent="0.3">
      <c r="A969" s="2">
        <v>42752</v>
      </c>
      <c r="B969" s="1">
        <v>30</v>
      </c>
      <c r="C969" s="1">
        <v>809.72</v>
      </c>
      <c r="D969" s="1">
        <v>127.87</v>
      </c>
      <c r="E969" s="3">
        <f t="shared" si="94"/>
        <v>562.04</v>
      </c>
      <c r="F969" s="4">
        <f t="shared" si="95"/>
        <v>6.5601999999998952</v>
      </c>
      <c r="G969" s="4">
        <f t="shared" si="96"/>
        <v>-6.5601999999998952</v>
      </c>
      <c r="W969" s="59">
        <f t="shared" si="97"/>
        <v>8.0321716972642527E-3</v>
      </c>
      <c r="X969" s="59">
        <f t="shared" si="98"/>
        <v>-9.1218075374866793E-3</v>
      </c>
      <c r="Y969" s="59">
        <f t="shared" si="99"/>
        <v>-3.6688694992923626E-3</v>
      </c>
    </row>
    <row r="970" spans="1:25" x14ac:dyDescent="0.3">
      <c r="A970" s="2">
        <v>42751</v>
      </c>
      <c r="B970" s="1">
        <v>29.76</v>
      </c>
      <c r="C970" s="1">
        <v>817.13990000000001</v>
      </c>
      <c r="D970" s="1">
        <v>128.34</v>
      </c>
      <c r="E970" s="3">
        <f t="shared" si="94"/>
        <v>555.47980000000007</v>
      </c>
      <c r="F970" s="4">
        <f t="shared" si="95"/>
        <v>0</v>
      </c>
      <c r="G970" s="4">
        <f t="shared" si="96"/>
        <v>0</v>
      </c>
      <c r="W970" s="59">
        <f t="shared" si="97"/>
        <v>0</v>
      </c>
      <c r="X970" s="59">
        <f t="shared" si="98"/>
        <v>0</v>
      </c>
      <c r="Y970" s="59">
        <f t="shared" si="99"/>
        <v>0</v>
      </c>
    </row>
    <row r="971" spans="1:25" x14ac:dyDescent="0.3">
      <c r="A971" s="2">
        <v>42748</v>
      </c>
      <c r="B971" s="1">
        <v>29.76</v>
      </c>
      <c r="C971" s="1">
        <v>817.13990000000001</v>
      </c>
      <c r="D971" s="1">
        <v>128.34</v>
      </c>
      <c r="E971" s="3">
        <f t="shared" si="94"/>
        <v>555.47980000000007</v>
      </c>
      <c r="F971" s="4">
        <f t="shared" si="95"/>
        <v>-30.025000000000091</v>
      </c>
      <c r="G971" s="4">
        <f t="shared" si="96"/>
        <v>30.025000000000091</v>
      </c>
      <c r="W971" s="59">
        <f t="shared" si="97"/>
        <v>-1.7625586836687735E-3</v>
      </c>
      <c r="X971" s="59">
        <f t="shared" si="98"/>
        <v>4.2924316010630867E-3</v>
      </c>
      <c r="Y971" s="59">
        <f t="shared" si="99"/>
        <v>1.3492517206388848E-2</v>
      </c>
    </row>
    <row r="972" spans="1:25" x14ac:dyDescent="0.3">
      <c r="A972" s="2">
        <v>42747</v>
      </c>
      <c r="B972" s="1">
        <v>29.8125</v>
      </c>
      <c r="C972" s="1">
        <v>813.63990000000001</v>
      </c>
      <c r="D972" s="1">
        <v>126.62</v>
      </c>
      <c r="E972" s="3">
        <f t="shared" si="94"/>
        <v>585.50480000000016</v>
      </c>
      <c r="F972" s="4">
        <f t="shared" si="95"/>
        <v>12.389800000000378</v>
      </c>
      <c r="G972" s="4">
        <f t="shared" si="96"/>
        <v>-12.389800000000378</v>
      </c>
      <c r="W972" s="59">
        <f t="shared" si="97"/>
        <v>-4.1841065225739849E-3</v>
      </c>
      <c r="X972" s="59">
        <f t="shared" si="98"/>
        <v>1.8131908087691578E-2</v>
      </c>
      <c r="Y972" s="59">
        <f t="shared" si="99"/>
        <v>4.1945374308454408E-3</v>
      </c>
    </row>
    <row r="973" spans="1:25" x14ac:dyDescent="0.3">
      <c r="A973" s="2">
        <v>42746</v>
      </c>
      <c r="B973" s="1">
        <v>29.9375</v>
      </c>
      <c r="C973" s="1">
        <v>799.02</v>
      </c>
      <c r="D973" s="1">
        <v>126.09</v>
      </c>
      <c r="E973" s="3">
        <f t="shared" si="94"/>
        <v>573.11499999999978</v>
      </c>
      <c r="F973" s="4">
        <f t="shared" si="95"/>
        <v>-20.559799999999996</v>
      </c>
      <c r="G973" s="4">
        <f t="shared" si="96"/>
        <v>20.559799999999996</v>
      </c>
      <c r="W973" s="59">
        <f t="shared" si="97"/>
        <v>5.3588003982151678E-3</v>
      </c>
      <c r="X973" s="59">
        <f t="shared" si="98"/>
        <v>3.9125525742379806E-3</v>
      </c>
      <c r="Y973" s="59">
        <f t="shared" si="99"/>
        <v>1.3895767435721379E-2</v>
      </c>
    </row>
    <row r="974" spans="1:25" x14ac:dyDescent="0.3">
      <c r="A974" s="2">
        <v>42745</v>
      </c>
      <c r="B974" s="1">
        <v>29.7775</v>
      </c>
      <c r="C974" s="1">
        <v>795.8999</v>
      </c>
      <c r="D974" s="1">
        <v>124.35</v>
      </c>
      <c r="E974" s="3">
        <f t="shared" si="94"/>
        <v>593.67479999999978</v>
      </c>
      <c r="F974" s="4">
        <f t="shared" si="95"/>
        <v>10.460000000000036</v>
      </c>
      <c r="G974" s="4">
        <f t="shared" si="96"/>
        <v>-10.460000000000036</v>
      </c>
      <c r="W974" s="59">
        <f t="shared" si="97"/>
        <v>1.0079799257474574E-3</v>
      </c>
      <c r="X974" s="59">
        <f t="shared" si="98"/>
        <v>-1.2807476896341285E-3</v>
      </c>
      <c r="Y974" s="59">
        <f t="shared" si="99"/>
        <v>-4.4132468821184503E-3</v>
      </c>
    </row>
    <row r="975" spans="1:25" x14ac:dyDescent="0.3">
      <c r="A975" s="2">
        <v>42744</v>
      </c>
      <c r="B975" s="1">
        <v>29.747499999999999</v>
      </c>
      <c r="C975" s="1">
        <v>796.91989999999998</v>
      </c>
      <c r="D975" s="1">
        <v>124.9</v>
      </c>
      <c r="E975" s="3">
        <f t="shared" si="94"/>
        <v>583.21479999999974</v>
      </c>
      <c r="F975" s="4">
        <f t="shared" si="95"/>
        <v>-14.440200000000459</v>
      </c>
      <c r="G975" s="4">
        <f t="shared" si="96"/>
        <v>14.440200000000459</v>
      </c>
      <c r="W975" s="59">
        <f t="shared" si="97"/>
        <v>9.1178343784800442E-3</v>
      </c>
      <c r="X975" s="59">
        <f t="shared" si="98"/>
        <v>1.167548906104953E-3</v>
      </c>
      <c r="Y975" s="59">
        <f t="shared" si="99"/>
        <v>1.2001271666439902E-2</v>
      </c>
    </row>
    <row r="976" spans="1:25" x14ac:dyDescent="0.3">
      <c r="A976" s="2">
        <v>42741</v>
      </c>
      <c r="B976" s="1">
        <v>29.477499999999999</v>
      </c>
      <c r="C976" s="1">
        <v>795.99</v>
      </c>
      <c r="D976" s="1">
        <v>123.41</v>
      </c>
      <c r="E976" s="3">
        <f t="shared" si="94"/>
        <v>597.6550000000002</v>
      </c>
      <c r="F976" s="4">
        <f t="shared" si="95"/>
        <v>-7.4699999999997999</v>
      </c>
      <c r="G976" s="4">
        <f t="shared" si="96"/>
        <v>7.4699999999997999</v>
      </c>
      <c r="W976" s="59">
        <f t="shared" si="97"/>
        <v>1.108658805634055E-2</v>
      </c>
      <c r="X976" s="59">
        <f t="shared" si="98"/>
        <v>1.9715946546977541E-2</v>
      </c>
      <c r="Y976" s="59">
        <f t="shared" si="99"/>
        <v>2.2452598379582772E-2</v>
      </c>
    </row>
    <row r="977" spans="1:25" x14ac:dyDescent="0.3">
      <c r="A977" s="2">
        <v>42740</v>
      </c>
      <c r="B977" s="1">
        <v>29.1525</v>
      </c>
      <c r="C977" s="1">
        <v>780.45</v>
      </c>
      <c r="D977" s="1">
        <v>120.67</v>
      </c>
      <c r="E977" s="3">
        <f t="shared" si="94"/>
        <v>605.125</v>
      </c>
      <c r="F977" s="4">
        <f t="shared" si="95"/>
        <v>14.315200000000004</v>
      </c>
      <c r="G977" s="4">
        <f t="shared" si="96"/>
        <v>-14.315200000000004</v>
      </c>
      <c r="W977" s="59">
        <f t="shared" si="97"/>
        <v>5.0724434943232788E-3</v>
      </c>
      <c r="X977" s="59">
        <f t="shared" si="98"/>
        <v>3.0269802587986113E-2</v>
      </c>
      <c r="Y977" s="59">
        <f t="shared" si="99"/>
        <v>1.6544495017095671E-2</v>
      </c>
    </row>
    <row r="978" spans="1:25" x14ac:dyDescent="0.3">
      <c r="A978" s="2">
        <v>42739</v>
      </c>
      <c r="B978" s="1">
        <v>29.004999999999999</v>
      </c>
      <c r="C978" s="1">
        <v>757.17989999999998</v>
      </c>
      <c r="D978" s="1">
        <v>118.69</v>
      </c>
      <c r="E978" s="3">
        <f t="shared" si="94"/>
        <v>590.8098</v>
      </c>
      <c r="F978" s="4">
        <f t="shared" si="95"/>
        <v>-31.204999999999927</v>
      </c>
      <c r="G978" s="4">
        <f t="shared" si="96"/>
        <v>31.204999999999927</v>
      </c>
      <c r="W978" s="59">
        <f t="shared" si="97"/>
        <v>-1.1198691784999829E-3</v>
      </c>
      <c r="X978" s="59">
        <f t="shared" si="98"/>
        <v>4.6464000786709944E-3</v>
      </c>
      <c r="Y978" s="59">
        <f t="shared" si="99"/>
        <v>1.5538414942122956E-2</v>
      </c>
    </row>
    <row r="979" spans="1:25" x14ac:dyDescent="0.3">
      <c r="A979" s="2">
        <v>42738</v>
      </c>
      <c r="B979" s="1">
        <v>29.037500000000001</v>
      </c>
      <c r="C979" s="1">
        <v>753.66989999999998</v>
      </c>
      <c r="D979" s="1">
        <v>116.86</v>
      </c>
      <c r="E979" s="3">
        <f t="shared" si="94"/>
        <v>622.01479999999992</v>
      </c>
      <c r="F979" s="4">
        <f t="shared" si="95"/>
        <v>-24.475400000000263</v>
      </c>
      <c r="G979" s="4">
        <f t="shared" si="96"/>
        <v>24.475400000000263</v>
      </c>
      <c r="W979" s="59">
        <f t="shared" si="97"/>
        <v>2.8451974187745023E-3</v>
      </c>
      <c r="X979" s="59">
        <f t="shared" si="98"/>
        <v>5.0544822082609813E-3</v>
      </c>
      <c r="Y979" s="59">
        <f t="shared" si="99"/>
        <v>1.5609820644916084E-2</v>
      </c>
    </row>
    <row r="980" spans="1:25" x14ac:dyDescent="0.3">
      <c r="A980" s="2">
        <v>42737</v>
      </c>
      <c r="B980" s="1">
        <v>28.954999999999998</v>
      </c>
      <c r="C980" s="1">
        <v>749.87009999999998</v>
      </c>
      <c r="D980" s="1">
        <v>115.05</v>
      </c>
      <c r="E980" s="3">
        <f t="shared" si="94"/>
        <v>646.49020000000019</v>
      </c>
      <c r="F980" s="4">
        <f t="shared" si="95"/>
        <v>0</v>
      </c>
      <c r="G980" s="4">
        <f t="shared" si="96"/>
        <v>0</v>
      </c>
      <c r="W980" s="59">
        <f t="shared" si="97"/>
        <v>0</v>
      </c>
      <c r="X980" s="59">
        <f t="shared" si="98"/>
        <v>0</v>
      </c>
      <c r="Y980" s="59">
        <f t="shared" si="99"/>
        <v>0</v>
      </c>
    </row>
    <row r="981" spans="1:25" x14ac:dyDescent="0.3">
      <c r="A981" s="2">
        <v>42734</v>
      </c>
      <c r="B981" s="1">
        <v>28.954999999999998</v>
      </c>
      <c r="C981" s="1">
        <v>749.87009999999998</v>
      </c>
      <c r="D981" s="1">
        <v>115.05</v>
      </c>
      <c r="E981" s="3">
        <f t="shared" si="94"/>
        <v>646.49020000000019</v>
      </c>
      <c r="F981" s="4">
        <f t="shared" si="95"/>
        <v>-15.934599999999591</v>
      </c>
      <c r="G981" s="4">
        <f t="shared" si="96"/>
        <v>15.934599999999591</v>
      </c>
      <c r="W981" s="59">
        <f t="shared" si="97"/>
        <v>-7.8263138669282771E-3</v>
      </c>
      <c r="X981" s="59">
        <f t="shared" si="98"/>
        <v>-2.0171770814204619E-2</v>
      </c>
      <c r="Y981" s="59">
        <f t="shared" si="99"/>
        <v>-1.1236073266925842E-2</v>
      </c>
    </row>
    <row r="982" spans="1:25" x14ac:dyDescent="0.3">
      <c r="A982" s="2">
        <v>42733</v>
      </c>
      <c r="B982" s="1">
        <v>29.182500000000001</v>
      </c>
      <c r="C982" s="1">
        <v>765.1499</v>
      </c>
      <c r="D982" s="1">
        <v>116.35</v>
      </c>
      <c r="E982" s="3">
        <f t="shared" si="94"/>
        <v>662.42479999999978</v>
      </c>
      <c r="F982" s="4">
        <f t="shared" si="95"/>
        <v>-2.9349999999999454</v>
      </c>
      <c r="G982" s="4">
        <f t="shared" si="96"/>
        <v>2.9349999999999454</v>
      </c>
      <c r="W982" s="59">
        <f t="shared" si="97"/>
        <v>-2.5697032134212199E-4</v>
      </c>
      <c r="X982" s="59">
        <f t="shared" si="98"/>
        <v>-9.0810377749314143E-3</v>
      </c>
      <c r="Y982" s="59">
        <f t="shared" si="99"/>
        <v>-4.887050494744501E-3</v>
      </c>
    </row>
    <row r="983" spans="1:25" x14ac:dyDescent="0.3">
      <c r="A983" s="2">
        <v>42732</v>
      </c>
      <c r="B983" s="1">
        <v>29.19</v>
      </c>
      <c r="C983" s="1">
        <v>772.12990000000002</v>
      </c>
      <c r="D983" s="1">
        <v>116.92</v>
      </c>
      <c r="E983" s="3">
        <f t="shared" si="94"/>
        <v>665.35979999999972</v>
      </c>
      <c r="F983" s="4">
        <f t="shared" si="95"/>
        <v>17.010000000000218</v>
      </c>
      <c r="G983" s="4">
        <f t="shared" si="96"/>
        <v>-17.010000000000218</v>
      </c>
      <c r="W983" s="59">
        <f t="shared" si="97"/>
        <v>-4.2731455501550204E-3</v>
      </c>
      <c r="X983" s="59">
        <f t="shared" si="98"/>
        <v>9.4588397895179778E-4</v>
      </c>
      <c r="Y983" s="59">
        <f t="shared" si="99"/>
        <v>-9.2794263946121558E-3</v>
      </c>
    </row>
    <row r="984" spans="1:25" x14ac:dyDescent="0.3">
      <c r="A984" s="2">
        <v>42731</v>
      </c>
      <c r="B984" s="1">
        <v>29.315000000000001</v>
      </c>
      <c r="C984" s="1">
        <v>771.3999</v>
      </c>
      <c r="D984" s="1">
        <v>118.01</v>
      </c>
      <c r="E984" s="3">
        <f t="shared" si="94"/>
        <v>648.3497999999995</v>
      </c>
      <c r="F984" s="4">
        <f t="shared" si="95"/>
        <v>16.069599999999809</v>
      </c>
      <c r="G984" s="4">
        <f t="shared" si="96"/>
        <v>-16.069599999999809</v>
      </c>
      <c r="W984" s="59">
        <f t="shared" si="97"/>
        <v>6.3307594448351514E-3</v>
      </c>
      <c r="X984" s="59">
        <f t="shared" si="98"/>
        <v>1.4112336770206586E-2</v>
      </c>
      <c r="Y984" s="59">
        <f t="shared" si="99"/>
        <v>6.2903981646843452E-3</v>
      </c>
    </row>
    <row r="985" spans="1:25" x14ac:dyDescent="0.3">
      <c r="A985" s="2">
        <v>42730</v>
      </c>
      <c r="B985" s="1">
        <v>29.13</v>
      </c>
      <c r="C985" s="1">
        <v>760.59010000000001</v>
      </c>
      <c r="D985" s="1">
        <v>117.27</v>
      </c>
      <c r="E985" s="3">
        <f t="shared" si="94"/>
        <v>632.2801999999997</v>
      </c>
      <c r="F985" s="4">
        <f t="shared" si="95"/>
        <v>0</v>
      </c>
      <c r="G985" s="4">
        <f t="shared" si="96"/>
        <v>0</v>
      </c>
      <c r="W985" s="59">
        <f t="shared" si="97"/>
        <v>0</v>
      </c>
      <c r="X985" s="59">
        <f t="shared" si="98"/>
        <v>0</v>
      </c>
      <c r="Y985" s="59">
        <f t="shared" si="99"/>
        <v>0</v>
      </c>
    </row>
    <row r="986" spans="1:25" x14ac:dyDescent="0.3">
      <c r="A986" s="2">
        <v>42727</v>
      </c>
      <c r="B986" s="1">
        <v>29.13</v>
      </c>
      <c r="C986" s="1">
        <v>760.59010000000001</v>
      </c>
      <c r="D986" s="1">
        <v>117.27</v>
      </c>
      <c r="E986" s="3">
        <f t="shared" si="94"/>
        <v>632.2801999999997</v>
      </c>
      <c r="F986" s="4">
        <f t="shared" si="95"/>
        <v>-6.0250000000000909</v>
      </c>
      <c r="G986" s="4">
        <f t="shared" si="96"/>
        <v>6.0250000000000909</v>
      </c>
      <c r="W986" s="59">
        <f t="shared" si="97"/>
        <v>1.9758607862818589E-3</v>
      </c>
      <c r="X986" s="59">
        <f t="shared" si="98"/>
        <v>-7.5314866126616796E-3</v>
      </c>
      <c r="Y986" s="59">
        <f t="shared" si="99"/>
        <v>-1.1079389210230477E-3</v>
      </c>
    </row>
    <row r="987" spans="1:25" x14ac:dyDescent="0.3">
      <c r="A987" s="2">
        <v>42726</v>
      </c>
      <c r="B987" s="1">
        <v>29.072500000000002</v>
      </c>
      <c r="C987" s="1">
        <v>766.34010000000001</v>
      </c>
      <c r="D987" s="1">
        <v>117.4</v>
      </c>
      <c r="E987" s="3">
        <f t="shared" si="94"/>
        <v>638.30519999999979</v>
      </c>
      <c r="F987" s="4">
        <f t="shared" si="95"/>
        <v>14.654999999999745</v>
      </c>
      <c r="G987" s="4">
        <f t="shared" si="96"/>
        <v>-14.654999999999745</v>
      </c>
      <c r="W987" s="59">
        <f t="shared" si="97"/>
        <v>-6.5995525581229991E-3</v>
      </c>
      <c r="X987" s="59">
        <f t="shared" si="98"/>
        <v>-5.5434959789168034E-3</v>
      </c>
      <c r="Y987" s="59">
        <f t="shared" si="99"/>
        <v>-1.3872663690785677E-2</v>
      </c>
    </row>
    <row r="988" spans="1:25" x14ac:dyDescent="0.3">
      <c r="A988" s="2">
        <v>42725</v>
      </c>
      <c r="B988" s="1">
        <v>29.265000000000001</v>
      </c>
      <c r="C988" s="1">
        <v>770.6001</v>
      </c>
      <c r="D988" s="1">
        <v>119.04</v>
      </c>
      <c r="E988" s="3">
        <f t="shared" si="94"/>
        <v>623.65020000000004</v>
      </c>
      <c r="F988" s="4">
        <f t="shared" si="95"/>
        <v>1.1352000000001681</v>
      </c>
      <c r="G988" s="4">
        <f t="shared" si="96"/>
        <v>-1.1352000000001681</v>
      </c>
      <c r="W988" s="59">
        <f t="shared" si="97"/>
        <v>9.4013083288691185E-4</v>
      </c>
      <c r="X988" s="59">
        <f t="shared" si="98"/>
        <v>-8.0411460896419274E-4</v>
      </c>
      <c r="Y988" s="59">
        <f t="shared" si="99"/>
        <v>-4.1993869512267472E-4</v>
      </c>
    </row>
    <row r="989" spans="1:25" x14ac:dyDescent="0.3">
      <c r="A989" s="2">
        <v>42724</v>
      </c>
      <c r="B989" s="1">
        <v>29.237500000000001</v>
      </c>
      <c r="C989" s="1">
        <v>771.22</v>
      </c>
      <c r="D989" s="1">
        <v>119.09</v>
      </c>
      <c r="E989" s="3">
        <f t="shared" si="94"/>
        <v>622.51499999999987</v>
      </c>
      <c r="F989" s="4">
        <f t="shared" si="95"/>
        <v>17.3149999999996</v>
      </c>
      <c r="G989" s="4">
        <f t="shared" si="96"/>
        <v>-17.3149999999996</v>
      </c>
      <c r="W989" s="59">
        <f t="shared" si="97"/>
        <v>2.6542247698399584E-3</v>
      </c>
      <c r="X989" s="59">
        <f t="shared" si="98"/>
        <v>6.791506829432763E-3</v>
      </c>
      <c r="Y989" s="59">
        <f t="shared" si="99"/>
        <v>-1.2587590299661673E-3</v>
      </c>
    </row>
    <row r="990" spans="1:25" x14ac:dyDescent="0.3">
      <c r="A990" s="2">
        <v>42723</v>
      </c>
      <c r="B990" s="1">
        <v>29.16</v>
      </c>
      <c r="C990" s="1">
        <v>766</v>
      </c>
      <c r="D990" s="1">
        <v>119.24</v>
      </c>
      <c r="E990" s="3">
        <f t="shared" si="94"/>
        <v>605.20000000000027</v>
      </c>
      <c r="F990" s="4">
        <f t="shared" si="95"/>
        <v>37.4350000000004</v>
      </c>
      <c r="G990" s="4">
        <f t="shared" si="96"/>
        <v>-37.4350000000004</v>
      </c>
      <c r="W990" s="59">
        <f t="shared" si="97"/>
        <v>5.7607312917360935E-3</v>
      </c>
      <c r="X990" s="59">
        <f t="shared" si="98"/>
        <v>1.0802260221596208E-2</v>
      </c>
      <c r="Y990" s="59">
        <f t="shared" si="99"/>
        <v>-5.2695534091378778E-3</v>
      </c>
    </row>
    <row r="991" spans="1:25" x14ac:dyDescent="0.3">
      <c r="A991" s="2">
        <v>42720</v>
      </c>
      <c r="B991" s="1">
        <v>28.9925</v>
      </c>
      <c r="C991" s="1">
        <v>757.77</v>
      </c>
      <c r="D991" s="1">
        <v>119.87</v>
      </c>
      <c r="E991" s="3">
        <f t="shared" si="94"/>
        <v>567.76499999999987</v>
      </c>
      <c r="F991" s="4">
        <f t="shared" si="95"/>
        <v>9.4149999999995089</v>
      </c>
      <c r="G991" s="4">
        <f t="shared" si="96"/>
        <v>-9.4149999999995089</v>
      </c>
      <c r="W991" s="59">
        <f t="shared" si="97"/>
        <v>1.2942751709681189E-3</v>
      </c>
      <c r="X991" s="59">
        <f t="shared" si="98"/>
        <v>-4.2534483426906588E-3</v>
      </c>
      <c r="Y991" s="59">
        <f t="shared" si="99"/>
        <v>-5.8226749102108328E-3</v>
      </c>
    </row>
    <row r="992" spans="1:25" x14ac:dyDescent="0.3">
      <c r="A992" s="2">
        <v>42719</v>
      </c>
      <c r="B992" s="1">
        <v>28.954999999999998</v>
      </c>
      <c r="C992" s="1">
        <v>761</v>
      </c>
      <c r="D992" s="1">
        <v>120.57</v>
      </c>
      <c r="E992" s="3">
        <f t="shared" si="94"/>
        <v>558.35000000000036</v>
      </c>
      <c r="F992" s="4">
        <f t="shared" si="95"/>
        <v>-14.965199999999641</v>
      </c>
      <c r="G992" s="4">
        <f t="shared" si="96"/>
        <v>14.965199999999641</v>
      </c>
      <c r="W992" s="59">
        <f t="shared" si="97"/>
        <v>5.4543228592287716E-3</v>
      </c>
      <c r="X992" s="59">
        <f t="shared" si="98"/>
        <v>-1.0223644093630692E-2</v>
      </c>
      <c r="Y992" s="59">
        <f t="shared" si="99"/>
        <v>2.9902838130564592E-3</v>
      </c>
    </row>
    <row r="993" spans="1:25" x14ac:dyDescent="0.3">
      <c r="A993" s="2">
        <v>42718</v>
      </c>
      <c r="B993" s="1">
        <v>28.797499999999999</v>
      </c>
      <c r="C993" s="1">
        <v>768.82010000000002</v>
      </c>
      <c r="D993" s="1">
        <v>120.21</v>
      </c>
      <c r="E993" s="3">
        <f t="shared" si="94"/>
        <v>573.3152</v>
      </c>
      <c r="F993" s="4">
        <f t="shared" si="95"/>
        <v>-9.0399999999999636</v>
      </c>
      <c r="G993" s="4">
        <f t="shared" si="96"/>
        <v>9.0399999999999636</v>
      </c>
      <c r="W993" s="59">
        <f t="shared" si="97"/>
        <v>0</v>
      </c>
      <c r="X993" s="59">
        <f t="shared" si="98"/>
        <v>-7.1541808087576576E-3</v>
      </c>
      <c r="Y993" s="59">
        <f t="shared" si="99"/>
        <v>-8.3153172927027919E-4</v>
      </c>
    </row>
    <row r="994" spans="1:25" x14ac:dyDescent="0.3">
      <c r="A994" s="2">
        <v>42717</v>
      </c>
      <c r="B994" s="1">
        <v>28.797499999999999</v>
      </c>
      <c r="C994" s="1">
        <v>774.34010000000001</v>
      </c>
      <c r="D994" s="1">
        <v>120.31</v>
      </c>
      <c r="E994" s="3">
        <f t="shared" si="94"/>
        <v>582.35519999999997</v>
      </c>
      <c r="F994" s="4">
        <f t="shared" si="95"/>
        <v>1.2649999999998727</v>
      </c>
      <c r="G994" s="4">
        <f t="shared" si="96"/>
        <v>-1.2649999999998727</v>
      </c>
      <c r="W994" s="59">
        <f t="shared" si="97"/>
        <v>1.6543770904454361E-2</v>
      </c>
      <c r="X994" s="59">
        <f t="shared" si="98"/>
        <v>1.8534735652750881E-2</v>
      </c>
      <c r="Y994" s="59">
        <f t="shared" si="99"/>
        <v>2.1338175191976054E-2</v>
      </c>
    </row>
    <row r="995" spans="1:25" x14ac:dyDescent="0.3">
      <c r="A995" s="2">
        <v>42716</v>
      </c>
      <c r="B995" s="1">
        <v>28.324999999999999</v>
      </c>
      <c r="C995" s="1">
        <v>760.12009999999998</v>
      </c>
      <c r="D995" s="1">
        <v>117.77</v>
      </c>
      <c r="E995" s="3">
        <f t="shared" si="94"/>
        <v>581.0902000000001</v>
      </c>
      <c r="F995" s="4">
        <f t="shared" si="95"/>
        <v>12.995400000000245</v>
      </c>
      <c r="G995" s="4">
        <f t="shared" si="96"/>
        <v>-12.995400000000245</v>
      </c>
      <c r="W995" s="59">
        <f t="shared" si="97"/>
        <v>-5.7205876577327156E-3</v>
      </c>
      <c r="X995" s="59">
        <f t="shared" si="98"/>
        <v>-1.1172161888534047E-2</v>
      </c>
      <c r="Y995" s="59">
        <f t="shared" si="99"/>
        <v>-1.6087944372710147E-2</v>
      </c>
    </row>
    <row r="996" spans="1:25" x14ac:dyDescent="0.3">
      <c r="A996" s="2">
        <v>42713</v>
      </c>
      <c r="B996" s="1">
        <v>28.487500000000001</v>
      </c>
      <c r="C996" s="1">
        <v>768.65989999999999</v>
      </c>
      <c r="D996" s="1">
        <v>119.68</v>
      </c>
      <c r="E996" s="3">
        <f t="shared" si="94"/>
        <v>568.09479999999985</v>
      </c>
      <c r="F996" s="4">
        <f t="shared" si="95"/>
        <v>10.134599999999409</v>
      </c>
      <c r="G996" s="4">
        <f t="shared" si="96"/>
        <v>-10.134599999999409</v>
      </c>
      <c r="W996" s="59">
        <f t="shared" si="97"/>
        <v>1.6190029395105703E-2</v>
      </c>
      <c r="X996" s="59">
        <f t="shared" si="98"/>
        <v>1.7315221222104279E-3</v>
      </c>
      <c r="Y996" s="59">
        <f t="shared" si="99"/>
        <v>6.4546097766796928E-3</v>
      </c>
    </row>
    <row r="997" spans="1:25" x14ac:dyDescent="0.3">
      <c r="A997" s="2">
        <v>42712</v>
      </c>
      <c r="B997" s="1">
        <v>28.03</v>
      </c>
      <c r="C997" s="1">
        <v>767.33010000000002</v>
      </c>
      <c r="D997" s="1">
        <v>118.91</v>
      </c>
      <c r="E997" s="3">
        <f t="shared" si="94"/>
        <v>557.96020000000044</v>
      </c>
      <c r="F997" s="4">
        <f t="shared" si="95"/>
        <v>-11.7545999999993</v>
      </c>
      <c r="G997" s="4">
        <f t="shared" si="96"/>
        <v>11.7545999999993</v>
      </c>
      <c r="W997" s="59">
        <f t="shared" si="97"/>
        <v>9.7692912304132417E-3</v>
      </c>
      <c r="X997" s="59">
        <f t="shared" si="98"/>
        <v>-4.0186040099406137E-3</v>
      </c>
      <c r="Y997" s="59">
        <f t="shared" si="99"/>
        <v>8.1060985958034317E-3</v>
      </c>
    </row>
    <row r="998" spans="1:25" x14ac:dyDescent="0.3">
      <c r="A998" s="2">
        <v>42711</v>
      </c>
      <c r="B998" s="1">
        <v>27.7575</v>
      </c>
      <c r="C998" s="1">
        <v>770.41989999999998</v>
      </c>
      <c r="D998" s="1">
        <v>117.95</v>
      </c>
      <c r="E998" s="3">
        <f t="shared" si="94"/>
        <v>569.71479999999974</v>
      </c>
      <c r="F998" s="4">
        <f t="shared" si="95"/>
        <v>12.099799999999505</v>
      </c>
      <c r="G998" s="4">
        <f t="shared" si="96"/>
        <v>-12.099799999999505</v>
      </c>
      <c r="W998" s="59">
        <f t="shared" si="97"/>
        <v>9.7747180654041942E-3</v>
      </c>
      <c r="X998" s="59">
        <f t="shared" si="98"/>
        <v>7.4259371320800844E-3</v>
      </c>
      <c r="Y998" s="59">
        <f t="shared" si="99"/>
        <v>5.4408023360551809E-3</v>
      </c>
    </row>
    <row r="999" spans="1:25" x14ac:dyDescent="0.3">
      <c r="A999" s="2">
        <v>42710</v>
      </c>
      <c r="B999" s="1">
        <v>27.487500000000001</v>
      </c>
      <c r="C999" s="1">
        <v>764.72</v>
      </c>
      <c r="D999" s="1">
        <v>117.31</v>
      </c>
      <c r="E999" s="3">
        <f t="shared" si="94"/>
        <v>557.61500000000024</v>
      </c>
      <c r="F999" s="4">
        <f t="shared" si="95"/>
        <v>23.619800000000851</v>
      </c>
      <c r="G999" s="4">
        <f t="shared" si="96"/>
        <v>-23.619800000000851</v>
      </c>
      <c r="W999" s="59">
        <f t="shared" si="97"/>
        <v>7.6691693337627865E-3</v>
      </c>
      <c r="X999" s="59">
        <f t="shared" si="98"/>
        <v>7.0336488182730743E-3</v>
      </c>
      <c r="Y999" s="59">
        <f t="shared" si="99"/>
        <v>-1.0224078593608682E-3</v>
      </c>
    </row>
    <row r="1000" spans="1:25" x14ac:dyDescent="0.3">
      <c r="A1000" s="2">
        <v>42709</v>
      </c>
      <c r="B1000" s="1">
        <v>27.2775</v>
      </c>
      <c r="C1000" s="1">
        <v>759.36009999999999</v>
      </c>
      <c r="D1000" s="1">
        <v>117.43</v>
      </c>
      <c r="E1000" s="3">
        <f t="shared" si="94"/>
        <v>533.99519999999939</v>
      </c>
      <c r="F1000" s="4">
        <f t="shared" si="95"/>
        <v>-12.4350000000004</v>
      </c>
      <c r="G1000" s="4">
        <f t="shared" si="96"/>
        <v>12.4350000000004</v>
      </c>
      <c r="W1000" s="59">
        <f t="shared" si="97"/>
        <v>-7.2143137425683991E-3</v>
      </c>
      <c r="X1000" s="59">
        <f t="shared" si="98"/>
        <v>2.5366429725671307E-2</v>
      </c>
      <c r="Y1000" s="59">
        <f t="shared" si="99"/>
        <v>1.7438057302990639E-2</v>
      </c>
    </row>
    <row r="1001" spans="1:25" x14ac:dyDescent="0.3">
      <c r="A1001" s="2">
        <v>42706</v>
      </c>
      <c r="B1001" s="1">
        <v>27.475000000000001</v>
      </c>
      <c r="C1001" s="1">
        <v>740.34010000000001</v>
      </c>
      <c r="D1001" s="1">
        <v>115.4</v>
      </c>
      <c r="E1001" s="3">
        <f t="shared" si="94"/>
        <v>546.43019999999979</v>
      </c>
      <c r="F1001" s="4">
        <f t="shared" si="95"/>
        <v>-7.4945999999999913</v>
      </c>
      <c r="G1001" s="4">
        <f t="shared" si="96"/>
        <v>7.4945999999999913</v>
      </c>
      <c r="W1001" s="59">
        <f t="shared" si="97"/>
        <v>3.7376405242421679E-3</v>
      </c>
      <c r="X1001" s="59">
        <f t="shared" si="98"/>
        <v>-4.4606843551733113E-3</v>
      </c>
      <c r="Y1001" s="59">
        <f t="shared" si="99"/>
        <v>2.6030383461624297E-3</v>
      </c>
    </row>
    <row r="1002" spans="1:25" x14ac:dyDescent="0.3">
      <c r="A1002" s="2">
        <v>42705</v>
      </c>
      <c r="B1002" s="1">
        <v>27.372499999999999</v>
      </c>
      <c r="C1002" s="1">
        <v>743.6499</v>
      </c>
      <c r="D1002" s="1">
        <v>115.1</v>
      </c>
      <c r="E1002" s="3">
        <f t="shared" si="94"/>
        <v>553.92479999999978</v>
      </c>
      <c r="F1002" s="4">
        <f t="shared" si="95"/>
        <v>39.684600000000046</v>
      </c>
      <c r="G1002" s="4">
        <f t="shared" si="96"/>
        <v>-39.684600000000046</v>
      </c>
      <c r="W1002" s="59">
        <f t="shared" si="97"/>
        <v>-9.3632791698822597E-3</v>
      </c>
      <c r="X1002" s="59">
        <f t="shared" si="98"/>
        <v>-9.2626915419300616E-3</v>
      </c>
      <c r="Y1002" s="59">
        <f t="shared" si="99"/>
        <v>-2.8436311375793159E-2</v>
      </c>
    </row>
    <row r="1003" spans="1:25" x14ac:dyDescent="0.3">
      <c r="A1003" s="2">
        <v>42704</v>
      </c>
      <c r="B1003" s="1">
        <v>27.63</v>
      </c>
      <c r="C1003" s="1">
        <v>750.57010000000002</v>
      </c>
      <c r="D1003" s="1">
        <v>118.42</v>
      </c>
      <c r="E1003" s="3">
        <f t="shared" si="94"/>
        <v>514.24019999999973</v>
      </c>
      <c r="F1003" s="4">
        <f t="shared" si="95"/>
        <v>13.350199999999859</v>
      </c>
      <c r="G1003" s="4">
        <f t="shared" si="96"/>
        <v>-13.350199999999859</v>
      </c>
      <c r="W1003" s="59">
        <f t="shared" si="97"/>
        <v>-8.4692820861744476E-3</v>
      </c>
      <c r="X1003" s="59">
        <f t="shared" si="98"/>
        <v>-1.5795686537109624E-2</v>
      </c>
      <c r="Y1003" s="59">
        <f t="shared" si="99"/>
        <v>-2.04779607677355E-2</v>
      </c>
    </row>
    <row r="1004" spans="1:25" x14ac:dyDescent="0.3">
      <c r="A1004" s="2">
        <v>42703</v>
      </c>
      <c r="B1004" s="1">
        <v>27.864999999999998</v>
      </c>
      <c r="C1004" s="1">
        <v>762.52</v>
      </c>
      <c r="D1004" s="1">
        <v>120.87</v>
      </c>
      <c r="E1004" s="3">
        <f t="shared" si="94"/>
        <v>500.88999999999987</v>
      </c>
      <c r="F1004" s="4">
        <f t="shared" si="95"/>
        <v>-19.075000000000273</v>
      </c>
      <c r="G1004" s="4">
        <f t="shared" si="96"/>
        <v>19.075000000000273</v>
      </c>
      <c r="W1004" s="59">
        <f t="shared" si="97"/>
        <v>-9.8641446369802759E-4</v>
      </c>
      <c r="X1004" s="59">
        <f t="shared" si="98"/>
        <v>-5.5581491296913775E-3</v>
      </c>
      <c r="Y1004" s="59">
        <f t="shared" si="99"/>
        <v>3.8130019672379593E-3</v>
      </c>
    </row>
    <row r="1005" spans="1:25" x14ac:dyDescent="0.3">
      <c r="A1005" s="2">
        <v>42702</v>
      </c>
      <c r="B1005" s="1">
        <v>27.892499999999998</v>
      </c>
      <c r="C1005" s="1">
        <v>766.77</v>
      </c>
      <c r="D1005" s="1">
        <v>120.41</v>
      </c>
      <c r="E1005" s="3">
        <f t="shared" si="94"/>
        <v>519.96500000000015</v>
      </c>
      <c r="F1005" s="4">
        <f t="shared" si="95"/>
        <v>-30.550200000000132</v>
      </c>
      <c r="G1005" s="4">
        <f t="shared" si="96"/>
        <v>30.550200000000132</v>
      </c>
      <c r="W1005" s="59">
        <f t="shared" si="97"/>
        <v>-1.9699146771461227E-3</v>
      </c>
      <c r="X1005" s="59">
        <f t="shared" si="98"/>
        <v>-1.7581407554211299E-2</v>
      </c>
      <c r="Y1005" s="59">
        <f t="shared" si="99"/>
        <v>2.4917978450289524E-4</v>
      </c>
    </row>
    <row r="1006" spans="1:25" x14ac:dyDescent="0.3">
      <c r="A1006" s="2">
        <v>42699</v>
      </c>
      <c r="B1006" s="1">
        <v>27.947500000000002</v>
      </c>
      <c r="C1006" s="1">
        <v>780.37009999999998</v>
      </c>
      <c r="D1006" s="1">
        <v>120.38</v>
      </c>
      <c r="E1006" s="3">
        <f t="shared" si="94"/>
        <v>550.51520000000028</v>
      </c>
      <c r="F1006" s="4">
        <f t="shared" si="95"/>
        <v>16.700000000000273</v>
      </c>
      <c r="G1006" s="4">
        <f t="shared" si="96"/>
        <v>-16.700000000000273</v>
      </c>
      <c r="W1006" s="59">
        <f t="shared" si="97"/>
        <v>5.0219816782963982E-3</v>
      </c>
      <c r="X1006" s="59">
        <f t="shared" si="98"/>
        <v>3.2041213990177182E-4</v>
      </c>
      <c r="Y1006" s="59">
        <f t="shared" si="99"/>
        <v>-3.813950398846566E-3</v>
      </c>
    </row>
    <row r="1007" spans="1:25" x14ac:dyDescent="0.3">
      <c r="A1007" s="2">
        <v>42698</v>
      </c>
      <c r="B1007" s="1">
        <v>27.807500000000001</v>
      </c>
      <c r="C1007" s="1">
        <v>780.12009999999998</v>
      </c>
      <c r="D1007" s="1">
        <v>120.84</v>
      </c>
      <c r="E1007" s="3">
        <f t="shared" si="94"/>
        <v>533.8152</v>
      </c>
      <c r="F1007" s="4">
        <f t="shared" si="95"/>
        <v>0</v>
      </c>
      <c r="G1007" s="4">
        <f t="shared" si="96"/>
        <v>0</v>
      </c>
      <c r="W1007" s="59">
        <f t="shared" si="97"/>
        <v>0</v>
      </c>
      <c r="X1007" s="59">
        <f t="shared" si="98"/>
        <v>0</v>
      </c>
      <c r="Y1007" s="59">
        <f t="shared" si="99"/>
        <v>0</v>
      </c>
    </row>
    <row r="1008" spans="1:25" x14ac:dyDescent="0.3">
      <c r="A1008" s="2">
        <v>42697</v>
      </c>
      <c r="B1008" s="1">
        <v>27.807500000000001</v>
      </c>
      <c r="C1008" s="1">
        <v>780.12009999999998</v>
      </c>
      <c r="D1008" s="1">
        <v>120.84</v>
      </c>
      <c r="E1008" s="3">
        <f t="shared" si="94"/>
        <v>533.8152</v>
      </c>
      <c r="F1008" s="4">
        <f t="shared" si="95"/>
        <v>-4.9450000000001637</v>
      </c>
      <c r="G1008" s="4">
        <f t="shared" si="96"/>
        <v>4.9450000000001637</v>
      </c>
      <c r="W1008" s="59">
        <f t="shared" si="97"/>
        <v>-5.1114311170608285E-3</v>
      </c>
      <c r="X1008" s="59">
        <f t="shared" si="98"/>
        <v>-6.6562567574073887E-3</v>
      </c>
      <c r="Y1008" s="59">
        <f t="shared" si="99"/>
        <v>-5.1999621937081474E-3</v>
      </c>
    </row>
    <row r="1009" spans="1:25" x14ac:dyDescent="0.3">
      <c r="A1009" s="2">
        <v>42696</v>
      </c>
      <c r="B1009" s="1">
        <v>27.95</v>
      </c>
      <c r="C1009" s="1">
        <v>785.33010000000002</v>
      </c>
      <c r="D1009" s="1">
        <v>121.47</v>
      </c>
      <c r="E1009" s="3">
        <f t="shared" si="94"/>
        <v>538.76020000000017</v>
      </c>
      <c r="F1009" s="4">
        <f t="shared" si="95"/>
        <v>17.535200000000259</v>
      </c>
      <c r="G1009" s="4">
        <f t="shared" si="96"/>
        <v>-17.535200000000259</v>
      </c>
      <c r="W1009" s="59">
        <f t="shared" si="97"/>
        <v>6.2631416175222608E-4</v>
      </c>
      <c r="X1009" s="59">
        <f t="shared" si="98"/>
        <v>6.8102192635467566E-3</v>
      </c>
      <c r="Y1009" s="59">
        <f t="shared" si="99"/>
        <v>-2.4667008067365509E-3</v>
      </c>
    </row>
    <row r="1010" spans="1:25" x14ac:dyDescent="0.3">
      <c r="A1010" s="2">
        <v>42695</v>
      </c>
      <c r="B1010" s="1">
        <v>27.932500000000001</v>
      </c>
      <c r="C1010" s="1">
        <v>780</v>
      </c>
      <c r="D1010" s="1">
        <v>121.77</v>
      </c>
      <c r="E1010" s="3">
        <f t="shared" si="94"/>
        <v>521.22499999999991</v>
      </c>
      <c r="F1010" s="4">
        <f t="shared" si="95"/>
        <v>-34.444800000000214</v>
      </c>
      <c r="G1010" s="4">
        <f t="shared" si="96"/>
        <v>34.444800000000214</v>
      </c>
      <c r="W1010" s="59">
        <f t="shared" si="97"/>
        <v>1.5059574927633901E-2</v>
      </c>
      <c r="X1010" s="59">
        <f t="shared" si="98"/>
        <v>2.5765113796287344E-2</v>
      </c>
      <c r="Y1010" s="59">
        <f t="shared" si="99"/>
        <v>3.9789159158825964E-2</v>
      </c>
    </row>
    <row r="1011" spans="1:25" x14ac:dyDescent="0.3">
      <c r="A1011" s="2">
        <v>42692</v>
      </c>
      <c r="B1011" s="1">
        <v>27.515000000000001</v>
      </c>
      <c r="C1011" s="1">
        <v>760.15989999999999</v>
      </c>
      <c r="D1011" s="1">
        <v>117.02</v>
      </c>
      <c r="E1011" s="3">
        <f t="shared" si="94"/>
        <v>555.66980000000012</v>
      </c>
      <c r="F1011" s="4">
        <f t="shared" si="95"/>
        <v>24.295000000000528</v>
      </c>
      <c r="G1011" s="4">
        <f t="shared" si="96"/>
        <v>-24.295000000000528</v>
      </c>
      <c r="W1011" s="59">
        <f t="shared" si="97"/>
        <v>9.9995463084251814E-4</v>
      </c>
      <c r="X1011" s="59">
        <f t="shared" si="98"/>
        <v>4.9586013082388337E-3</v>
      </c>
      <c r="Y1011" s="59">
        <f t="shared" si="99"/>
        <v>-6.5585176106031616E-3</v>
      </c>
    </row>
    <row r="1012" spans="1:25" x14ac:dyDescent="0.3">
      <c r="A1012" s="2">
        <v>42691</v>
      </c>
      <c r="B1012" s="1">
        <v>27.487500000000001</v>
      </c>
      <c r="C1012" s="1">
        <v>756.3999</v>
      </c>
      <c r="D1012" s="1">
        <v>117.79</v>
      </c>
      <c r="E1012" s="3">
        <f t="shared" si="94"/>
        <v>531.3747999999996</v>
      </c>
      <c r="F1012" s="4">
        <f t="shared" si="95"/>
        <v>-9.6802000000002408</v>
      </c>
      <c r="G1012" s="4">
        <f t="shared" si="96"/>
        <v>9.6802000000002408</v>
      </c>
      <c r="W1012" s="59">
        <f t="shared" si="97"/>
        <v>-3.6373556825501359E-4</v>
      </c>
      <c r="X1012" s="59">
        <f t="shared" si="98"/>
        <v>1.3187983536878667E-2</v>
      </c>
      <c r="Y1012" s="59">
        <f t="shared" si="99"/>
        <v>1.2386439488077633E-2</v>
      </c>
    </row>
    <row r="1013" spans="1:25" x14ac:dyDescent="0.3">
      <c r="A1013" s="2">
        <v>42690</v>
      </c>
      <c r="B1013" s="1">
        <v>27.497499999999999</v>
      </c>
      <c r="C1013" s="1">
        <v>746.49</v>
      </c>
      <c r="D1013" s="1">
        <v>116.34</v>
      </c>
      <c r="E1013" s="3">
        <f t="shared" si="94"/>
        <v>541.05499999999984</v>
      </c>
      <c r="F1013" s="4">
        <f t="shared" si="95"/>
        <v>59.699999999999818</v>
      </c>
      <c r="G1013" s="4">
        <f t="shared" si="96"/>
        <v>-59.699999999999818</v>
      </c>
      <c r="W1013" s="59">
        <f t="shared" si="97"/>
        <v>2.6533108792486944E-2</v>
      </c>
      <c r="X1013" s="59">
        <f t="shared" si="98"/>
        <v>4.3632136776787676E-3</v>
      </c>
      <c r="Y1013" s="59">
        <f t="shared" si="99"/>
        <v>-7.3649386602967675E-3</v>
      </c>
    </row>
    <row r="1014" spans="1:25" x14ac:dyDescent="0.3">
      <c r="A1014" s="2">
        <v>42689</v>
      </c>
      <c r="B1014" s="1">
        <v>26.7775</v>
      </c>
      <c r="C1014" s="1">
        <v>743.24</v>
      </c>
      <c r="D1014" s="1">
        <v>117.2</v>
      </c>
      <c r="E1014" s="3">
        <f t="shared" si="94"/>
        <v>481.35500000000002</v>
      </c>
      <c r="F1014" s="4">
        <f t="shared" si="95"/>
        <v>23.439800000000105</v>
      </c>
      <c r="G1014" s="4">
        <f t="shared" si="96"/>
        <v>-23.439800000000105</v>
      </c>
      <c r="W1014" s="59">
        <f t="shared" si="97"/>
        <v>1.3156847995966614E-2</v>
      </c>
      <c r="X1014" s="59">
        <f t="shared" si="98"/>
        <v>3.3060157873035706E-2</v>
      </c>
      <c r="Y1014" s="59">
        <f t="shared" si="99"/>
        <v>1.8254338459565166E-2</v>
      </c>
    </row>
    <row r="1015" spans="1:25" x14ac:dyDescent="0.3">
      <c r="A1015" s="2">
        <v>42688</v>
      </c>
      <c r="B1015" s="1">
        <v>26.427499999999998</v>
      </c>
      <c r="C1015" s="1">
        <v>719.07010000000002</v>
      </c>
      <c r="D1015" s="1">
        <v>115.08</v>
      </c>
      <c r="E1015" s="3">
        <f t="shared" si="94"/>
        <v>457.91519999999991</v>
      </c>
      <c r="F1015" s="4">
        <f t="shared" si="95"/>
        <v>4.9202000000000226</v>
      </c>
      <c r="G1015" s="4">
        <f t="shared" si="96"/>
        <v>-4.9202000000000226</v>
      </c>
      <c r="W1015" s="59">
        <f t="shared" si="97"/>
        <v>-2.5405307703519071E-2</v>
      </c>
      <c r="X1015" s="59">
        <f t="shared" si="98"/>
        <v>-2.7352603164859008E-2</v>
      </c>
      <c r="Y1015" s="59">
        <f t="shared" si="99"/>
        <v>-3.3664007533358881E-2</v>
      </c>
    </row>
    <row r="1016" spans="1:25" x14ac:dyDescent="0.3">
      <c r="A1016" s="2">
        <v>42685</v>
      </c>
      <c r="B1016" s="1">
        <v>27.107500000000002</v>
      </c>
      <c r="C1016" s="1">
        <v>739.01</v>
      </c>
      <c r="D1016" s="1">
        <v>119.02</v>
      </c>
      <c r="E1016" s="3">
        <f t="shared" si="94"/>
        <v>452.99499999999989</v>
      </c>
      <c r="F1016" s="4">
        <f t="shared" si="95"/>
        <v>36.860200000000077</v>
      </c>
      <c r="G1016" s="4">
        <f t="shared" si="96"/>
        <v>-36.860200000000077</v>
      </c>
      <c r="W1016" s="59">
        <f t="shared" si="97"/>
        <v>5.919913690553503E-3</v>
      </c>
      <c r="X1016" s="59">
        <f t="shared" si="98"/>
        <v>-4.5496540956484937E-3</v>
      </c>
      <c r="Y1016" s="59">
        <f t="shared" si="99"/>
        <v>-1.4844739284008524E-2</v>
      </c>
    </row>
    <row r="1017" spans="1:25" x14ac:dyDescent="0.3">
      <c r="A1017" s="2">
        <v>42684</v>
      </c>
      <c r="B1017" s="1">
        <v>26.947500000000002</v>
      </c>
      <c r="C1017" s="1">
        <v>742.37990000000002</v>
      </c>
      <c r="D1017" s="1">
        <v>120.8</v>
      </c>
      <c r="E1017" s="3">
        <f t="shared" si="94"/>
        <v>416.13479999999981</v>
      </c>
      <c r="F1017" s="4">
        <f t="shared" si="95"/>
        <v>-50.024999999999636</v>
      </c>
      <c r="G1017" s="4">
        <f t="shared" si="96"/>
        <v>50.024999999999636</v>
      </c>
      <c r="W1017" s="59">
        <f t="shared" si="97"/>
        <v>-2.8263645648055998E-2</v>
      </c>
      <c r="X1017" s="59">
        <f t="shared" si="98"/>
        <v>-3.8967861222304473E-2</v>
      </c>
      <c r="Y1017" s="59">
        <f t="shared" si="99"/>
        <v>-1.9510414758182763E-2</v>
      </c>
    </row>
    <row r="1018" spans="1:25" x14ac:dyDescent="0.3">
      <c r="A1018" s="2">
        <v>42683</v>
      </c>
      <c r="B1018" s="1">
        <v>27.72</v>
      </c>
      <c r="C1018" s="1">
        <v>771.87990000000002</v>
      </c>
      <c r="D1018" s="1">
        <v>123.18</v>
      </c>
      <c r="E1018" s="3">
        <f t="shared" si="94"/>
        <v>466.15979999999945</v>
      </c>
      <c r="F1018" s="4">
        <f t="shared" si="95"/>
        <v>-13.190200000000459</v>
      </c>
      <c r="G1018" s="4">
        <f t="shared" si="96"/>
        <v>13.190200000000459</v>
      </c>
      <c r="W1018" s="59">
        <f t="shared" si="97"/>
        <v>-1.6220603718680551E-3</v>
      </c>
      <c r="X1018" s="59">
        <f t="shared" si="98"/>
        <v>-2.0351812663053886E-2</v>
      </c>
      <c r="Y1018" s="59">
        <f t="shared" si="99"/>
        <v>-8.407486872259666E-3</v>
      </c>
    </row>
    <row r="1019" spans="1:25" x14ac:dyDescent="0.3">
      <c r="A1019" s="2">
        <v>42682</v>
      </c>
      <c r="B1019" s="1">
        <v>27.765000000000001</v>
      </c>
      <c r="C1019" s="1">
        <v>787.75</v>
      </c>
      <c r="D1019" s="1">
        <v>124.22</v>
      </c>
      <c r="E1019" s="3">
        <f t="shared" si="94"/>
        <v>479.34999999999991</v>
      </c>
      <c r="F1019" s="4">
        <f t="shared" si="95"/>
        <v>-27.634800000000268</v>
      </c>
      <c r="G1019" s="4">
        <f t="shared" si="96"/>
        <v>27.634800000000268</v>
      </c>
      <c r="W1019" s="59">
        <f t="shared" si="97"/>
        <v>5.8698863624154869E-3</v>
      </c>
      <c r="X1019" s="59">
        <f t="shared" si="98"/>
        <v>3.5863662054584607E-3</v>
      </c>
      <c r="Y1019" s="59">
        <f t="shared" si="99"/>
        <v>1.6804389427407279E-2</v>
      </c>
    </row>
    <row r="1020" spans="1:25" x14ac:dyDescent="0.3">
      <c r="A1020" s="2">
        <v>42681</v>
      </c>
      <c r="B1020" s="1">
        <v>27.602499999999999</v>
      </c>
      <c r="C1020" s="1">
        <v>784.92989999999998</v>
      </c>
      <c r="D1020" s="1">
        <v>122.15</v>
      </c>
      <c r="E1020" s="3">
        <f t="shared" si="94"/>
        <v>506.98480000000018</v>
      </c>
      <c r="F1020" s="4">
        <f t="shared" si="95"/>
        <v>51.384800000000268</v>
      </c>
      <c r="G1020" s="4">
        <f t="shared" si="96"/>
        <v>-51.384800000000268</v>
      </c>
      <c r="W1020" s="59">
        <f t="shared" si="97"/>
        <v>1.4321795536000046E-2</v>
      </c>
      <c r="X1020" s="59">
        <f t="shared" si="98"/>
        <v>3.8810442210127569E-2</v>
      </c>
      <c r="Y1020" s="59">
        <f t="shared" si="99"/>
        <v>1.1527505171067414E-2</v>
      </c>
    </row>
    <row r="1021" spans="1:25" x14ac:dyDescent="0.3">
      <c r="A1021" s="2">
        <v>42678</v>
      </c>
      <c r="B1021" s="1">
        <v>27.21</v>
      </c>
      <c r="C1021" s="1">
        <v>755.05</v>
      </c>
      <c r="D1021" s="1">
        <v>120.75</v>
      </c>
      <c r="E1021" s="3">
        <f t="shared" si="94"/>
        <v>455.59999999999991</v>
      </c>
      <c r="F1021" s="4">
        <f t="shared" si="95"/>
        <v>-51.335000000000036</v>
      </c>
      <c r="G1021" s="4">
        <f t="shared" si="96"/>
        <v>51.335000000000036</v>
      </c>
      <c r="W1021" s="59">
        <f t="shared" si="97"/>
        <v>-9.0548018852088866E-3</v>
      </c>
      <c r="X1021" s="59">
        <f t="shared" si="98"/>
        <v>-1.5741941809491792E-2</v>
      </c>
      <c r="Y1021" s="59">
        <f t="shared" si="99"/>
        <v>6.2305497506361628E-3</v>
      </c>
    </row>
    <row r="1022" spans="1:25" x14ac:dyDescent="0.3">
      <c r="A1022" s="2">
        <v>42677</v>
      </c>
      <c r="B1022" s="1">
        <v>27.4575</v>
      </c>
      <c r="C1022" s="1">
        <v>767.03</v>
      </c>
      <c r="D1022" s="1">
        <v>120</v>
      </c>
      <c r="E1022" s="3">
        <f t="shared" si="94"/>
        <v>506.93499999999995</v>
      </c>
      <c r="F1022" s="4">
        <f t="shared" si="95"/>
        <v>124.33979999999974</v>
      </c>
      <c r="G1022" s="4">
        <f t="shared" si="96"/>
        <v>-124.33979999999974</v>
      </c>
      <c r="W1022" s="59">
        <f t="shared" si="97"/>
        <v>-1.5897724397355366E-2</v>
      </c>
      <c r="X1022" s="59">
        <f t="shared" si="98"/>
        <v>1.9181912380912853E-3</v>
      </c>
      <c r="Y1022" s="59">
        <f t="shared" si="99"/>
        <v>-5.8033031250609497E-2</v>
      </c>
    </row>
    <row r="1023" spans="1:25" x14ac:dyDescent="0.3">
      <c r="A1023" s="2">
        <v>42676</v>
      </c>
      <c r="B1023" s="1">
        <v>27.897500000000001</v>
      </c>
      <c r="C1023" s="1">
        <v>765.56010000000003</v>
      </c>
      <c r="D1023" s="1">
        <v>127.17</v>
      </c>
      <c r="E1023" s="3">
        <f t="shared" si="94"/>
        <v>382.5952000000002</v>
      </c>
      <c r="F1023" s="4">
        <f t="shared" si="95"/>
        <v>8.1503999999999905</v>
      </c>
      <c r="G1023" s="4">
        <f t="shared" si="96"/>
        <v>-8.1503999999999905</v>
      </c>
      <c r="W1023" s="59">
        <f t="shared" si="97"/>
        <v>8.9653941812972823E-4</v>
      </c>
      <c r="X1023" s="59">
        <f t="shared" si="98"/>
        <v>-2.559802431328467E-2</v>
      </c>
      <c r="Y1023" s="59">
        <f t="shared" si="99"/>
        <v>-1.8156107106936974E-2</v>
      </c>
    </row>
    <row r="1024" spans="1:25" x14ac:dyDescent="0.3">
      <c r="A1024" s="2">
        <v>42675</v>
      </c>
      <c r="B1024" s="1">
        <v>27.872499999999999</v>
      </c>
      <c r="C1024" s="1">
        <v>785.40989999999999</v>
      </c>
      <c r="D1024" s="1">
        <v>129.5</v>
      </c>
      <c r="E1024" s="3">
        <f t="shared" si="94"/>
        <v>374.44480000000021</v>
      </c>
      <c r="F1024" s="4">
        <f t="shared" si="95"/>
        <v>-4.6453999999994267</v>
      </c>
      <c r="G1024" s="4">
        <f t="shared" si="96"/>
        <v>4.6453999999994267</v>
      </c>
      <c r="W1024" s="59">
        <f t="shared" si="97"/>
        <v>-1.8220296963100194E-2</v>
      </c>
      <c r="X1024" s="59">
        <f t="shared" si="98"/>
        <v>-5.5994509031145898E-3</v>
      </c>
      <c r="Y1024" s="59">
        <f t="shared" si="99"/>
        <v>-1.1440103269965208E-2</v>
      </c>
    </row>
    <row r="1025" spans="1:25" x14ac:dyDescent="0.3">
      <c r="A1025" s="2">
        <v>42674</v>
      </c>
      <c r="B1025" s="1">
        <v>28.385000000000002</v>
      </c>
      <c r="C1025" s="1">
        <v>789.82010000000002</v>
      </c>
      <c r="D1025" s="1">
        <v>130.99</v>
      </c>
      <c r="E1025" s="3">
        <f t="shared" si="94"/>
        <v>379.09019999999964</v>
      </c>
      <c r="F1025" s="4">
        <f t="shared" si="95"/>
        <v>30.749999999999545</v>
      </c>
      <c r="G1025" s="4">
        <f t="shared" si="96"/>
        <v>-30.749999999999545</v>
      </c>
      <c r="W1025" s="59">
        <f t="shared" si="97"/>
        <v>-1.5840890402188459E-3</v>
      </c>
      <c r="X1025" s="59">
        <f t="shared" si="98"/>
        <v>1.724026288111466E-2</v>
      </c>
      <c r="Y1025" s="59">
        <f t="shared" si="99"/>
        <v>-2.2876325364613649E-3</v>
      </c>
    </row>
    <row r="1026" spans="1:25" x14ac:dyDescent="0.3">
      <c r="A1026" s="2">
        <v>42671</v>
      </c>
      <c r="B1026" s="1">
        <v>28.43</v>
      </c>
      <c r="C1026" s="1">
        <v>776.32010000000002</v>
      </c>
      <c r="D1026" s="1">
        <v>131.29</v>
      </c>
      <c r="E1026" s="3">
        <f t="shared" si="94"/>
        <v>348.3402000000001</v>
      </c>
      <c r="F1026" s="4">
        <f t="shared" si="95"/>
        <v>-125.57999999999947</v>
      </c>
      <c r="G1026" s="4">
        <f t="shared" si="96"/>
        <v>125.57999999999947</v>
      </c>
      <c r="W1026" s="59">
        <f t="shared" si="97"/>
        <v>-6.6608484653964579E-3</v>
      </c>
      <c r="X1026" s="59">
        <f t="shared" si="98"/>
        <v>-5.2737524654745925E-2</v>
      </c>
      <c r="Y1026" s="59">
        <f t="shared" si="99"/>
        <v>1.2261629598368816E-2</v>
      </c>
    </row>
    <row r="1027" spans="1:25" x14ac:dyDescent="0.3">
      <c r="A1027" s="2">
        <v>42670</v>
      </c>
      <c r="B1027" s="1">
        <v>28.62</v>
      </c>
      <c r="C1027" s="1">
        <v>818.36009999999999</v>
      </c>
      <c r="D1027" s="1">
        <v>129.69</v>
      </c>
      <c r="E1027" s="3">
        <f t="shared" si="94"/>
        <v>473.92019999999957</v>
      </c>
      <c r="F1027" s="4">
        <f t="shared" si="95"/>
        <v>4.6649999999995089</v>
      </c>
      <c r="G1027" s="4">
        <f t="shared" si="96"/>
        <v>-4.6649999999995089</v>
      </c>
      <c r="W1027" s="59">
        <f t="shared" si="97"/>
        <v>-9.649312057980421E-3</v>
      </c>
      <c r="X1027" s="59">
        <f t="shared" si="98"/>
        <v>-5.1555609297324837E-3</v>
      </c>
      <c r="Y1027" s="59">
        <f t="shared" si="99"/>
        <v>-1.0355632757109153E-2</v>
      </c>
    </row>
    <row r="1028" spans="1:25" x14ac:dyDescent="0.3">
      <c r="A1028" s="2">
        <v>42669</v>
      </c>
      <c r="B1028" s="1">
        <v>28.897500000000001</v>
      </c>
      <c r="C1028" s="1">
        <v>822.59010000000001</v>
      </c>
      <c r="D1028" s="1">
        <v>131.04</v>
      </c>
      <c r="E1028" s="3">
        <f t="shared" si="94"/>
        <v>469.25520000000006</v>
      </c>
      <c r="F1028" s="4">
        <f t="shared" si="95"/>
        <v>-33.429600000000391</v>
      </c>
      <c r="G1028" s="4">
        <f t="shared" si="96"/>
        <v>33.429600000000391</v>
      </c>
      <c r="W1028" s="59">
        <f t="shared" si="97"/>
        <v>-2.2751580065866368E-2</v>
      </c>
      <c r="X1028" s="59">
        <f t="shared" si="98"/>
        <v>-1.5189130033865716E-2</v>
      </c>
      <c r="Y1028" s="59">
        <f t="shared" si="99"/>
        <v>-9.4938623695294422E-3</v>
      </c>
    </row>
    <row r="1029" spans="1:25" x14ac:dyDescent="0.3">
      <c r="A1029" s="2">
        <v>42668</v>
      </c>
      <c r="B1029" s="1">
        <v>29.5625</v>
      </c>
      <c r="C1029" s="1">
        <v>835.17989999999998</v>
      </c>
      <c r="D1029" s="1">
        <v>132.29</v>
      </c>
      <c r="E1029" s="3">
        <f t="shared" si="94"/>
        <v>502.68480000000045</v>
      </c>
      <c r="F1029" s="4">
        <f t="shared" si="95"/>
        <v>21.479600000000573</v>
      </c>
      <c r="G1029" s="4">
        <f t="shared" si="96"/>
        <v>-21.479600000000573</v>
      </c>
      <c r="W1029" s="59">
        <f t="shared" si="97"/>
        <v>5.08691219867088E-3</v>
      </c>
      <c r="X1029" s="59">
        <f t="shared" si="98"/>
        <v>-3.4784618553821405E-3</v>
      </c>
      <c r="Y1029" s="59">
        <f t="shared" si="99"/>
        <v>-7.4556959442439348E-3</v>
      </c>
    </row>
    <row r="1030" spans="1:25" x14ac:dyDescent="0.3">
      <c r="A1030" s="2">
        <v>42667</v>
      </c>
      <c r="B1030" s="1">
        <v>29.412500000000001</v>
      </c>
      <c r="C1030" s="1">
        <v>838.09010000000001</v>
      </c>
      <c r="D1030" s="1">
        <v>133.28</v>
      </c>
      <c r="E1030" s="3">
        <f t="shared" ref="E1030:E1093" si="100">50*B1030+2*C1030-20*D1030</f>
        <v>481.20519999999988</v>
      </c>
      <c r="F1030" s="4">
        <f t="shared" ref="F1030:F1093" si="101">E1030-E1031</f>
        <v>27.125199999999495</v>
      </c>
      <c r="G1030" s="4">
        <f t="shared" ref="G1030:G1093" si="102">-F1030</f>
        <v>-27.125199999999495</v>
      </c>
      <c r="W1030" s="59">
        <f t="shared" ref="W1030:W1093" si="103">LN(B1030/B1031)</f>
        <v>8.9648412569796696E-3</v>
      </c>
      <c r="X1030" s="59">
        <f t="shared" ref="X1030:X1093" si="104">LN(C1030/C1031)</f>
        <v>2.3053738835892689E-2</v>
      </c>
      <c r="Y1030" s="59">
        <f t="shared" ref="Y1030:Y1093" si="105">LN(D1030/D1031)</f>
        <v>9.1200933628196434E-3</v>
      </c>
    </row>
    <row r="1031" spans="1:25" x14ac:dyDescent="0.3">
      <c r="A1031" s="2">
        <v>42664</v>
      </c>
      <c r="B1031" s="1">
        <v>29.15</v>
      </c>
      <c r="C1031" s="1">
        <v>818.99</v>
      </c>
      <c r="D1031" s="1">
        <v>132.07</v>
      </c>
      <c r="E1031" s="3">
        <f t="shared" si="100"/>
        <v>454.08000000000038</v>
      </c>
      <c r="F1031" s="4">
        <f t="shared" si="101"/>
        <v>-29.81019999999944</v>
      </c>
      <c r="G1031" s="4">
        <f t="shared" si="102"/>
        <v>29.81019999999944</v>
      </c>
      <c r="W1031" s="59">
        <f t="shared" si="103"/>
        <v>-3.9373499466828664E-3</v>
      </c>
      <c r="X1031" s="59">
        <f t="shared" si="104"/>
        <v>1.064251897974608E-2</v>
      </c>
      <c r="Y1031" s="59">
        <f t="shared" si="105"/>
        <v>1.5797634600130568E-2</v>
      </c>
    </row>
    <row r="1032" spans="1:25" x14ac:dyDescent="0.3">
      <c r="A1032" s="2">
        <v>42663</v>
      </c>
      <c r="B1032" s="1">
        <v>29.265000000000001</v>
      </c>
      <c r="C1032" s="1">
        <v>810.32010000000002</v>
      </c>
      <c r="D1032" s="1">
        <v>130</v>
      </c>
      <c r="E1032" s="3">
        <f t="shared" si="100"/>
        <v>483.89019999999982</v>
      </c>
      <c r="F1032" s="4">
        <f t="shared" si="101"/>
        <v>-13.289599999999609</v>
      </c>
      <c r="G1032" s="4">
        <f t="shared" si="102"/>
        <v>13.289599999999609</v>
      </c>
      <c r="W1032" s="59">
        <f t="shared" si="103"/>
        <v>-5.1242634992663396E-4</v>
      </c>
      <c r="X1032" s="59">
        <f t="shared" si="104"/>
        <v>-9.0538145868438637E-3</v>
      </c>
      <c r="Y1032" s="59">
        <f t="shared" si="105"/>
        <v>-8.4579605980223348E-4</v>
      </c>
    </row>
    <row r="1033" spans="1:25" x14ac:dyDescent="0.3">
      <c r="A1033" s="2">
        <v>42662</v>
      </c>
      <c r="B1033" s="1">
        <v>29.28</v>
      </c>
      <c r="C1033" s="1">
        <v>817.68989999999997</v>
      </c>
      <c r="D1033" s="1">
        <v>130.11000000000001</v>
      </c>
      <c r="E1033" s="3">
        <f t="shared" si="100"/>
        <v>497.17979999999943</v>
      </c>
      <c r="F1033" s="4">
        <f t="shared" si="101"/>
        <v>-35.095000000000709</v>
      </c>
      <c r="G1033" s="4">
        <f t="shared" si="102"/>
        <v>35.095000000000709</v>
      </c>
      <c r="W1033" s="59">
        <f t="shared" si="103"/>
        <v>-2.9839316227930884E-3</v>
      </c>
      <c r="X1033" s="59">
        <f t="shared" si="104"/>
        <v>4.8919496740651004E-5</v>
      </c>
      <c r="Y1033" s="59">
        <f t="shared" si="105"/>
        <v>1.1906743419227135E-2</v>
      </c>
    </row>
    <row r="1034" spans="1:25" x14ac:dyDescent="0.3">
      <c r="A1034" s="2">
        <v>42661</v>
      </c>
      <c r="B1034" s="1">
        <v>29.3675</v>
      </c>
      <c r="C1034" s="1">
        <v>817.6499</v>
      </c>
      <c r="D1034" s="1">
        <v>128.57</v>
      </c>
      <c r="E1034" s="3">
        <f t="shared" si="100"/>
        <v>532.27480000000014</v>
      </c>
      <c r="F1034" s="4">
        <f t="shared" si="101"/>
        <v>-12.200199999999768</v>
      </c>
      <c r="G1034" s="4">
        <f t="shared" si="102"/>
        <v>12.200199999999768</v>
      </c>
      <c r="W1034" s="59">
        <f t="shared" si="103"/>
        <v>-6.8079315028392567E-4</v>
      </c>
      <c r="X1034" s="59">
        <f t="shared" si="104"/>
        <v>5.7646428351097161E-3</v>
      </c>
      <c r="Y1034" s="59">
        <f t="shared" si="105"/>
        <v>8.043462209031781E-3</v>
      </c>
    </row>
    <row r="1035" spans="1:25" x14ac:dyDescent="0.3">
      <c r="A1035" s="2">
        <v>42660</v>
      </c>
      <c r="B1035" s="1">
        <v>29.387499999999999</v>
      </c>
      <c r="C1035" s="1">
        <v>812.95</v>
      </c>
      <c r="D1035" s="1">
        <v>127.54</v>
      </c>
      <c r="E1035" s="3">
        <f t="shared" si="100"/>
        <v>544.47499999999991</v>
      </c>
      <c r="F1035" s="4">
        <f t="shared" si="101"/>
        <v>-14.220000000000255</v>
      </c>
      <c r="G1035" s="4">
        <f t="shared" si="102"/>
        <v>14.220000000000255</v>
      </c>
      <c r="W1035" s="59">
        <f t="shared" si="103"/>
        <v>-6.8032998627144583E-4</v>
      </c>
      <c r="X1035" s="59">
        <f t="shared" si="104"/>
        <v>-1.2237989781210471E-2</v>
      </c>
      <c r="Y1035" s="59">
        <f t="shared" si="105"/>
        <v>-2.6622833045150565E-3</v>
      </c>
    </row>
    <row r="1036" spans="1:25" x14ac:dyDescent="0.3">
      <c r="A1036" s="2">
        <v>42657</v>
      </c>
      <c r="B1036" s="1">
        <v>29.407499999999999</v>
      </c>
      <c r="C1036" s="1">
        <v>822.96</v>
      </c>
      <c r="D1036" s="1">
        <v>127.88</v>
      </c>
      <c r="E1036" s="3">
        <f t="shared" si="100"/>
        <v>558.69500000000016</v>
      </c>
      <c r="F1036" s="4">
        <f t="shared" si="101"/>
        <v>-5.7150000000001455</v>
      </c>
      <c r="G1036" s="4">
        <f t="shared" si="102"/>
        <v>5.7150000000001455</v>
      </c>
      <c r="W1036" s="59">
        <f t="shared" si="103"/>
        <v>5.5411249574702287E-3</v>
      </c>
      <c r="X1036" s="59">
        <f t="shared" si="104"/>
        <v>-7.6502576186217005E-3</v>
      </c>
      <c r="Y1036" s="59">
        <f t="shared" si="105"/>
        <v>4.6929996950496753E-4</v>
      </c>
    </row>
    <row r="1037" spans="1:25" x14ac:dyDescent="0.3">
      <c r="A1037" s="2">
        <v>42656</v>
      </c>
      <c r="B1037" s="1">
        <v>29.245000000000001</v>
      </c>
      <c r="C1037" s="1">
        <v>829.28</v>
      </c>
      <c r="D1037" s="1">
        <v>127.82</v>
      </c>
      <c r="E1037" s="3">
        <f t="shared" si="100"/>
        <v>564.41000000000031</v>
      </c>
      <c r="F1037" s="4">
        <f t="shared" si="101"/>
        <v>10.479800000000523</v>
      </c>
      <c r="G1037" s="4">
        <f t="shared" si="102"/>
        <v>-10.479800000000523</v>
      </c>
      <c r="W1037" s="59">
        <f t="shared" si="103"/>
        <v>-3.0727234828341367E-3</v>
      </c>
      <c r="X1037" s="59">
        <f t="shared" si="104"/>
        <v>-5.7835756552856174E-3</v>
      </c>
      <c r="Y1037" s="59">
        <f t="shared" si="105"/>
        <v>-9.5769019424872606E-3</v>
      </c>
    </row>
    <row r="1038" spans="1:25" x14ac:dyDescent="0.3">
      <c r="A1038" s="2">
        <v>42655</v>
      </c>
      <c r="B1038" s="1">
        <v>29.335000000000001</v>
      </c>
      <c r="C1038" s="1">
        <v>834.09010000000001</v>
      </c>
      <c r="D1038" s="1">
        <v>129.05000000000001</v>
      </c>
      <c r="E1038" s="3">
        <f t="shared" si="100"/>
        <v>553.93019999999979</v>
      </c>
      <c r="F1038" s="4">
        <f t="shared" si="101"/>
        <v>15.780199999999695</v>
      </c>
      <c r="G1038" s="4">
        <f t="shared" si="102"/>
        <v>-15.780199999999695</v>
      </c>
      <c r="W1038" s="59">
        <f t="shared" si="103"/>
        <v>8.9026439730950733E-3</v>
      </c>
      <c r="X1038" s="59">
        <f t="shared" si="104"/>
        <v>3.7116352412338957E-3</v>
      </c>
      <c r="Y1038" s="59">
        <f t="shared" si="105"/>
        <v>1.3181872959039938E-3</v>
      </c>
    </row>
    <row r="1039" spans="1:25" x14ac:dyDescent="0.3">
      <c r="A1039" s="2">
        <v>42654</v>
      </c>
      <c r="B1039" s="1">
        <v>29.074999999999999</v>
      </c>
      <c r="C1039" s="1">
        <v>831</v>
      </c>
      <c r="D1039" s="1">
        <v>128.88</v>
      </c>
      <c r="E1039" s="3">
        <f t="shared" si="100"/>
        <v>538.15000000000009</v>
      </c>
      <c r="F1039" s="4">
        <f t="shared" si="101"/>
        <v>8.9050000000002001</v>
      </c>
      <c r="G1039" s="4">
        <f t="shared" si="102"/>
        <v>-8.9050000000002001</v>
      </c>
      <c r="W1039" s="59">
        <f t="shared" si="103"/>
        <v>2.1519268041726661E-3</v>
      </c>
      <c r="X1039" s="59">
        <f t="shared" si="104"/>
        <v>-1.280574200910242E-2</v>
      </c>
      <c r="Y1039" s="59">
        <f t="shared" si="105"/>
        <v>-1.0497163385511385E-2</v>
      </c>
    </row>
    <row r="1040" spans="1:25" x14ac:dyDescent="0.3">
      <c r="A1040" s="2">
        <v>42653</v>
      </c>
      <c r="B1040" s="1">
        <v>29.012499999999999</v>
      </c>
      <c r="C1040" s="1">
        <v>841.71</v>
      </c>
      <c r="D1040" s="1">
        <v>130.24</v>
      </c>
      <c r="E1040" s="3">
        <f t="shared" si="100"/>
        <v>529.24499999999989</v>
      </c>
      <c r="F1040" s="4">
        <f t="shared" si="101"/>
        <v>4.4351999999998952</v>
      </c>
      <c r="G1040" s="4">
        <f t="shared" si="102"/>
        <v>-4.4351999999998952</v>
      </c>
      <c r="W1040" s="59">
        <f t="shared" si="103"/>
        <v>1.7296506992053193E-2</v>
      </c>
      <c r="X1040" s="59">
        <f t="shared" si="104"/>
        <v>2.7125659180223661E-3</v>
      </c>
      <c r="Y1040" s="59">
        <f t="shared" si="105"/>
        <v>9.6440202771853611E-3</v>
      </c>
    </row>
    <row r="1041" spans="1:25" x14ac:dyDescent="0.3">
      <c r="A1041" s="2">
        <v>42650</v>
      </c>
      <c r="B1041" s="1">
        <v>28.515000000000001</v>
      </c>
      <c r="C1041" s="1">
        <v>839.42989999999998</v>
      </c>
      <c r="D1041" s="1">
        <v>128.99</v>
      </c>
      <c r="E1041" s="3">
        <f t="shared" si="100"/>
        <v>524.8098</v>
      </c>
      <c r="F1041" s="4">
        <f t="shared" si="101"/>
        <v>-7.3350000000000364</v>
      </c>
      <c r="G1041" s="4">
        <f t="shared" si="102"/>
        <v>7.3350000000000364</v>
      </c>
      <c r="W1041" s="59">
        <f t="shared" si="103"/>
        <v>1.4915554421331136E-3</v>
      </c>
      <c r="X1041" s="59">
        <f t="shared" si="104"/>
        <v>-2.6530424585441566E-3</v>
      </c>
      <c r="Y1041" s="59">
        <f t="shared" si="105"/>
        <v>1.9400153525750163E-3</v>
      </c>
    </row>
    <row r="1042" spans="1:25" x14ac:dyDescent="0.3">
      <c r="A1042" s="2">
        <v>42649</v>
      </c>
      <c r="B1042" s="1">
        <v>28.4725</v>
      </c>
      <c r="C1042" s="1">
        <v>841.65989999999999</v>
      </c>
      <c r="D1042" s="1">
        <v>128.74</v>
      </c>
      <c r="E1042" s="3">
        <f t="shared" si="100"/>
        <v>532.14480000000003</v>
      </c>
      <c r="F1042" s="4">
        <f t="shared" si="101"/>
        <v>-0.30039999999962674</v>
      </c>
      <c r="G1042" s="4">
        <f t="shared" si="102"/>
        <v>0.30039999999962674</v>
      </c>
      <c r="W1042" s="59">
        <f t="shared" si="103"/>
        <v>7.4028715622808808E-3</v>
      </c>
      <c r="X1042" s="59">
        <f t="shared" si="104"/>
        <v>-3.2030489656862337E-3</v>
      </c>
      <c r="Y1042" s="59">
        <f t="shared" si="105"/>
        <v>2.0994525809515507E-3</v>
      </c>
    </row>
    <row r="1043" spans="1:25" x14ac:dyDescent="0.3">
      <c r="A1043" s="2">
        <v>42648</v>
      </c>
      <c r="B1043" s="1">
        <v>28.262499999999999</v>
      </c>
      <c r="C1043" s="1">
        <v>844.36009999999999</v>
      </c>
      <c r="D1043" s="1">
        <v>128.47</v>
      </c>
      <c r="E1043" s="3">
        <f t="shared" si="100"/>
        <v>532.44519999999966</v>
      </c>
      <c r="F1043" s="4">
        <f t="shared" si="101"/>
        <v>15.685199999999895</v>
      </c>
      <c r="G1043" s="4">
        <f t="shared" si="102"/>
        <v>-15.685199999999895</v>
      </c>
      <c r="W1043" s="59">
        <f t="shared" si="103"/>
        <v>4.4238001163816198E-4</v>
      </c>
      <c r="X1043" s="59">
        <f t="shared" si="104"/>
        <v>1.2309689435939127E-2</v>
      </c>
      <c r="Y1043" s="59">
        <f t="shared" si="105"/>
        <v>2.1818757194750167E-3</v>
      </c>
    </row>
    <row r="1044" spans="1:25" x14ac:dyDescent="0.3">
      <c r="A1044" s="2">
        <v>42647</v>
      </c>
      <c r="B1044" s="1">
        <v>28.25</v>
      </c>
      <c r="C1044" s="1">
        <v>834.03</v>
      </c>
      <c r="D1044" s="1">
        <v>128.19</v>
      </c>
      <c r="E1044" s="3">
        <f t="shared" si="100"/>
        <v>516.75999999999976</v>
      </c>
      <c r="F1044" s="4">
        <f t="shared" si="101"/>
        <v>12.179999999999836</v>
      </c>
      <c r="G1044" s="4">
        <f t="shared" si="102"/>
        <v>-12.179999999999836</v>
      </c>
      <c r="W1044" s="59">
        <f t="shared" si="103"/>
        <v>4.2568350906844613E-3</v>
      </c>
      <c r="X1044" s="59">
        <f t="shared" si="104"/>
        <v>-3.2440160843065311E-3</v>
      </c>
      <c r="Y1044" s="59">
        <f t="shared" si="105"/>
        <v>-4.5143289616492365E-3</v>
      </c>
    </row>
    <row r="1045" spans="1:25" x14ac:dyDescent="0.3">
      <c r="A1045" s="2">
        <v>42646</v>
      </c>
      <c r="B1045" s="1">
        <v>28.13</v>
      </c>
      <c r="C1045" s="1">
        <v>836.74</v>
      </c>
      <c r="D1045" s="1">
        <v>128.77000000000001</v>
      </c>
      <c r="E1045" s="3">
        <f t="shared" si="100"/>
        <v>504.57999999999993</v>
      </c>
      <c r="F1045" s="4">
        <f t="shared" si="101"/>
        <v>-17.765200000000277</v>
      </c>
      <c r="G1045" s="4">
        <f t="shared" si="102"/>
        <v>17.765200000000277</v>
      </c>
      <c r="W1045" s="59">
        <f t="shared" si="103"/>
        <v>-4.6992151023227237E-3</v>
      </c>
      <c r="X1045" s="59">
        <f t="shared" si="104"/>
        <v>-6.8110270061708632E-4</v>
      </c>
      <c r="Y1045" s="59">
        <f t="shared" si="105"/>
        <v>3.8904499739330798E-3</v>
      </c>
    </row>
    <row r="1046" spans="1:25" x14ac:dyDescent="0.3">
      <c r="A1046" s="2">
        <v>42643</v>
      </c>
      <c r="B1046" s="1">
        <v>28.262499999999999</v>
      </c>
      <c r="C1046" s="1">
        <v>837.31010000000003</v>
      </c>
      <c r="D1046" s="1">
        <v>128.27000000000001</v>
      </c>
      <c r="E1046" s="3">
        <f t="shared" si="100"/>
        <v>522.3452000000002</v>
      </c>
      <c r="F1046" s="4">
        <f t="shared" si="101"/>
        <v>23.795200000000477</v>
      </c>
      <c r="G1046" s="4">
        <f t="shared" si="102"/>
        <v>-23.795200000000477</v>
      </c>
      <c r="W1046" s="59">
        <f t="shared" si="103"/>
        <v>7.7254746437879426E-3</v>
      </c>
      <c r="X1046" s="59">
        <f t="shared" si="104"/>
        <v>9.9140247723615207E-3</v>
      </c>
      <c r="Y1046" s="59">
        <f t="shared" si="105"/>
        <v>1.404275468714761E-3</v>
      </c>
    </row>
    <row r="1047" spans="1:25" x14ac:dyDescent="0.3">
      <c r="A1047" s="2">
        <v>42642</v>
      </c>
      <c r="B1047" s="1">
        <v>28.045000000000002</v>
      </c>
      <c r="C1047" s="1">
        <v>829.05</v>
      </c>
      <c r="D1047" s="1">
        <v>128.09</v>
      </c>
      <c r="E1047" s="3">
        <f t="shared" si="100"/>
        <v>498.54999999999973</v>
      </c>
      <c r="F1047" s="4">
        <f t="shared" si="101"/>
        <v>1.3349999999995816</v>
      </c>
      <c r="G1047" s="4">
        <f t="shared" si="102"/>
        <v>-1.3349999999995816</v>
      </c>
      <c r="W1047" s="59">
        <f t="shared" si="103"/>
        <v>-1.5655031611502342E-2</v>
      </c>
      <c r="X1047" s="59">
        <f t="shared" si="104"/>
        <v>3.9812519753491869E-4</v>
      </c>
      <c r="Y1047" s="59">
        <f t="shared" si="105"/>
        <v>-8.8606206940551498E-3</v>
      </c>
    </row>
    <row r="1048" spans="1:25" x14ac:dyDescent="0.3">
      <c r="A1048" s="2">
        <v>42641</v>
      </c>
      <c r="B1048" s="1">
        <v>28.487500000000001</v>
      </c>
      <c r="C1048" s="1">
        <v>828.72</v>
      </c>
      <c r="D1048" s="1">
        <v>129.22999999999999</v>
      </c>
      <c r="E1048" s="3">
        <f t="shared" si="100"/>
        <v>497.21500000000015</v>
      </c>
      <c r="F1048" s="4">
        <f t="shared" si="101"/>
        <v>25.169800000000578</v>
      </c>
      <c r="G1048" s="4">
        <f t="shared" si="102"/>
        <v>-25.169800000000578</v>
      </c>
      <c r="W1048" s="59">
        <f t="shared" si="103"/>
        <v>7.5757938084577226E-3</v>
      </c>
      <c r="X1048" s="59">
        <f t="shared" si="104"/>
        <v>1.533306941690895E-2</v>
      </c>
      <c r="Y1048" s="59">
        <f t="shared" si="105"/>
        <v>4.1873510315263863E-3</v>
      </c>
    </row>
    <row r="1049" spans="1:25" x14ac:dyDescent="0.3">
      <c r="A1049" s="2">
        <v>42640</v>
      </c>
      <c r="B1049" s="1">
        <v>28.272500000000001</v>
      </c>
      <c r="C1049" s="1">
        <v>816.11009999999999</v>
      </c>
      <c r="D1049" s="1">
        <v>128.69</v>
      </c>
      <c r="E1049" s="3">
        <f t="shared" si="100"/>
        <v>472.04519999999957</v>
      </c>
      <c r="F1049" s="4">
        <f t="shared" si="101"/>
        <v>8.925399999999172</v>
      </c>
      <c r="G1049" s="4">
        <f t="shared" si="102"/>
        <v>-8.925399999999172</v>
      </c>
      <c r="W1049" s="59">
        <f t="shared" si="103"/>
        <v>1.8586543386770787E-3</v>
      </c>
      <c r="X1049" s="59">
        <f t="shared" si="104"/>
        <v>2.0988221432585254E-2</v>
      </c>
      <c r="Y1049" s="59">
        <f t="shared" si="105"/>
        <v>1.0781354432019536E-2</v>
      </c>
    </row>
    <row r="1050" spans="1:25" x14ac:dyDescent="0.3">
      <c r="A1050" s="2">
        <v>42639</v>
      </c>
      <c r="B1050" s="1">
        <v>28.22</v>
      </c>
      <c r="C1050" s="1">
        <v>799.15989999999999</v>
      </c>
      <c r="D1050" s="1">
        <v>127.31</v>
      </c>
      <c r="E1050" s="3">
        <f t="shared" si="100"/>
        <v>463.1198000000004</v>
      </c>
      <c r="F1050" s="4">
        <f t="shared" si="101"/>
        <v>1.9448000000002139</v>
      </c>
      <c r="G1050" s="4">
        <f t="shared" si="102"/>
        <v>-1.9448000000002139</v>
      </c>
      <c r="W1050" s="59">
        <f t="shared" si="103"/>
        <v>1.5071592905713386E-3</v>
      </c>
      <c r="X1050" s="59">
        <f t="shared" si="104"/>
        <v>-8.2124697951949099E-3</v>
      </c>
      <c r="Y1050" s="59">
        <f t="shared" si="105"/>
        <v>-5.0926580077631373E-3</v>
      </c>
    </row>
    <row r="1051" spans="1:25" x14ac:dyDescent="0.3">
      <c r="A1051" s="2">
        <v>42636</v>
      </c>
      <c r="B1051" s="1">
        <v>28.177499999999998</v>
      </c>
      <c r="C1051" s="1">
        <v>805.75</v>
      </c>
      <c r="D1051" s="1">
        <v>127.96</v>
      </c>
      <c r="E1051" s="3">
        <f t="shared" si="100"/>
        <v>461.17500000000018</v>
      </c>
      <c r="F1051" s="4">
        <f t="shared" si="101"/>
        <v>20.625000000000455</v>
      </c>
      <c r="G1051" s="4">
        <f t="shared" si="102"/>
        <v>-20.625000000000455</v>
      </c>
      <c r="W1051" s="59">
        <f t="shared" si="103"/>
        <v>-1.6804160869604234E-2</v>
      </c>
      <c r="X1051" s="59">
        <f t="shared" si="104"/>
        <v>1.303983543460026E-3</v>
      </c>
      <c r="Y1051" s="59">
        <f t="shared" si="105"/>
        <v>-1.6431930718183378E-2</v>
      </c>
    </row>
    <row r="1052" spans="1:25" x14ac:dyDescent="0.3">
      <c r="A1052" s="2">
        <v>42635</v>
      </c>
      <c r="B1052" s="1">
        <v>28.655000000000001</v>
      </c>
      <c r="C1052" s="1">
        <v>804.7</v>
      </c>
      <c r="D1052" s="1">
        <v>130.08000000000001</v>
      </c>
      <c r="E1052" s="3">
        <f t="shared" si="100"/>
        <v>440.54999999999973</v>
      </c>
      <c r="F1052" s="4">
        <f t="shared" si="101"/>
        <v>40.494999999999891</v>
      </c>
      <c r="G1052" s="4">
        <f t="shared" si="102"/>
        <v>-40.494999999999891</v>
      </c>
      <c r="W1052" s="59">
        <f t="shared" si="103"/>
        <v>9.3790405720239837E-3</v>
      </c>
      <c r="X1052" s="59">
        <f t="shared" si="104"/>
        <v>1.8765759784943808E-2</v>
      </c>
      <c r="Y1052" s="59">
        <f t="shared" si="105"/>
        <v>1.0768403471156612E-3</v>
      </c>
    </row>
    <row r="1053" spans="1:25" x14ac:dyDescent="0.3">
      <c r="A1053" s="2">
        <v>42634</v>
      </c>
      <c r="B1053" s="1">
        <v>28.387499999999999</v>
      </c>
      <c r="C1053" s="1">
        <v>789.74</v>
      </c>
      <c r="D1053" s="1">
        <v>129.94</v>
      </c>
      <c r="E1053" s="3">
        <f t="shared" si="100"/>
        <v>400.05499999999984</v>
      </c>
      <c r="F1053" s="4">
        <f t="shared" si="101"/>
        <v>-7.2100000000004911</v>
      </c>
      <c r="G1053" s="4">
        <f t="shared" si="102"/>
        <v>7.2100000000004911</v>
      </c>
      <c r="W1053" s="59">
        <f t="shared" si="103"/>
        <v>-1.7611835198741793E-4</v>
      </c>
      <c r="X1053" s="59">
        <f t="shared" si="104"/>
        <v>1.2127846170439731E-2</v>
      </c>
      <c r="Y1053" s="59">
        <f t="shared" si="105"/>
        <v>1.0055000021728737E-2</v>
      </c>
    </row>
    <row r="1054" spans="1:25" x14ac:dyDescent="0.3">
      <c r="A1054" s="2">
        <v>42633</v>
      </c>
      <c r="B1054" s="1">
        <v>28.392499999999998</v>
      </c>
      <c r="C1054" s="1">
        <v>780.22</v>
      </c>
      <c r="D1054" s="1">
        <v>128.63999999999999</v>
      </c>
      <c r="E1054" s="3">
        <f t="shared" si="100"/>
        <v>407.26500000000033</v>
      </c>
      <c r="F1054" s="4">
        <f t="shared" si="101"/>
        <v>10.314800000000105</v>
      </c>
      <c r="G1054" s="4">
        <f t="shared" si="102"/>
        <v>-10.314800000000105</v>
      </c>
      <c r="W1054" s="59">
        <f t="shared" si="103"/>
        <v>-8.8047545731592599E-5</v>
      </c>
      <c r="X1054" s="59">
        <f t="shared" si="104"/>
        <v>6.5837488936353735E-3</v>
      </c>
      <c r="Y1054" s="59">
        <f t="shared" si="105"/>
        <v>-7.7733297097057035E-5</v>
      </c>
    </row>
    <row r="1055" spans="1:25" x14ac:dyDescent="0.3">
      <c r="A1055" s="2">
        <v>42632</v>
      </c>
      <c r="B1055" s="1">
        <v>28.395</v>
      </c>
      <c r="C1055" s="1">
        <v>775.1001</v>
      </c>
      <c r="D1055" s="1">
        <v>128.65</v>
      </c>
      <c r="E1055" s="3">
        <f t="shared" si="100"/>
        <v>396.95020000000022</v>
      </c>
      <c r="F1055" s="4">
        <f t="shared" si="101"/>
        <v>-15.189800000000105</v>
      </c>
      <c r="G1055" s="4">
        <f t="shared" si="102"/>
        <v>15.189800000000105</v>
      </c>
      <c r="W1055" s="59">
        <f t="shared" si="103"/>
        <v>-1.1728799661802349E-2</v>
      </c>
      <c r="X1055" s="59">
        <f t="shared" si="104"/>
        <v>-4.4024990713059835E-3</v>
      </c>
      <c r="Y1055" s="59">
        <f t="shared" si="105"/>
        <v>-3.2593541193430171E-3</v>
      </c>
    </row>
    <row r="1056" spans="1:25" x14ac:dyDescent="0.3">
      <c r="A1056" s="2">
        <v>42629</v>
      </c>
      <c r="B1056" s="1">
        <v>28.73</v>
      </c>
      <c r="C1056" s="1">
        <v>778.52</v>
      </c>
      <c r="D1056" s="1">
        <v>129.07</v>
      </c>
      <c r="E1056" s="3">
        <f t="shared" si="100"/>
        <v>412.14000000000033</v>
      </c>
      <c r="F1056" s="4">
        <f t="shared" si="101"/>
        <v>-4.8647999999993772</v>
      </c>
      <c r="G1056" s="4">
        <f t="shared" si="102"/>
        <v>4.8647999999993772</v>
      </c>
      <c r="W1056" s="59">
        <f t="shared" si="103"/>
        <v>-5.6401728762610851E-3</v>
      </c>
      <c r="X1056" s="59">
        <f t="shared" si="104"/>
        <v>1.1406974915779491E-2</v>
      </c>
      <c r="Y1056" s="59">
        <f t="shared" si="105"/>
        <v>5.5939855299470126E-3</v>
      </c>
    </row>
    <row r="1057" spans="1:25" x14ac:dyDescent="0.3">
      <c r="A1057" s="2">
        <v>42628</v>
      </c>
      <c r="B1057" s="1">
        <v>28.892499999999998</v>
      </c>
      <c r="C1057" s="1">
        <v>769.68989999999997</v>
      </c>
      <c r="D1057" s="1">
        <v>128.35</v>
      </c>
      <c r="E1057" s="3">
        <f t="shared" si="100"/>
        <v>417.0047999999997</v>
      </c>
      <c r="F1057" s="4">
        <f t="shared" si="101"/>
        <v>53.099600000000009</v>
      </c>
      <c r="G1057" s="4">
        <f t="shared" si="102"/>
        <v>-53.099600000000009</v>
      </c>
      <c r="W1057" s="59">
        <f t="shared" si="103"/>
        <v>3.3433218589829811E-2</v>
      </c>
      <c r="X1057" s="59">
        <f t="shared" si="104"/>
        <v>1.1235958759007521E-2</v>
      </c>
      <c r="Y1057" s="59">
        <f t="shared" si="105"/>
        <v>4.5291347139176565E-3</v>
      </c>
    </row>
    <row r="1058" spans="1:25" x14ac:dyDescent="0.3">
      <c r="A1058" s="2">
        <v>42627</v>
      </c>
      <c r="B1058" s="1">
        <v>27.942499999999999</v>
      </c>
      <c r="C1058" s="1">
        <v>761.09010000000001</v>
      </c>
      <c r="D1058" s="1">
        <v>127.77</v>
      </c>
      <c r="E1058" s="3">
        <f t="shared" si="100"/>
        <v>363.9051999999997</v>
      </c>
      <c r="F1058" s="4">
        <f t="shared" si="101"/>
        <v>36.710199999999531</v>
      </c>
      <c r="G1058" s="4">
        <f t="shared" si="102"/>
        <v>-36.710199999999531</v>
      </c>
      <c r="W1058" s="59">
        <f t="shared" si="103"/>
        <v>3.4775031436703706E-2</v>
      </c>
      <c r="X1058" s="59">
        <f t="shared" si="104"/>
        <v>1.0524931977065412E-4</v>
      </c>
      <c r="Y1058" s="59">
        <f t="shared" si="105"/>
        <v>4.3925084351121961E-3</v>
      </c>
    </row>
    <row r="1059" spans="1:25" x14ac:dyDescent="0.3">
      <c r="A1059" s="2">
        <v>42626</v>
      </c>
      <c r="B1059" s="1">
        <v>26.987500000000001</v>
      </c>
      <c r="C1059" s="1">
        <v>761.01</v>
      </c>
      <c r="D1059" s="1">
        <v>127.21</v>
      </c>
      <c r="E1059" s="3">
        <f t="shared" si="100"/>
        <v>327.19500000000016</v>
      </c>
      <c r="F1059" s="4">
        <f t="shared" si="101"/>
        <v>40.015000000000327</v>
      </c>
      <c r="G1059" s="4">
        <f t="shared" si="102"/>
        <v>-40.015000000000327</v>
      </c>
      <c r="W1059" s="59">
        <f t="shared" si="103"/>
        <v>2.3526086206619421E-2</v>
      </c>
      <c r="X1059" s="59">
        <f t="shared" si="104"/>
        <v>-1.3677211576594791E-2</v>
      </c>
      <c r="Y1059" s="59">
        <f t="shared" si="105"/>
        <v>-1.1567147337454007E-2</v>
      </c>
    </row>
    <row r="1060" spans="1:25" x14ac:dyDescent="0.3">
      <c r="A1060" s="2">
        <v>42625</v>
      </c>
      <c r="B1060" s="1">
        <v>26.36</v>
      </c>
      <c r="C1060" s="1">
        <v>771.49</v>
      </c>
      <c r="D1060" s="1">
        <v>128.69</v>
      </c>
      <c r="E1060" s="3">
        <f t="shared" si="100"/>
        <v>287.17999999999984</v>
      </c>
      <c r="F1060" s="4">
        <f t="shared" si="101"/>
        <v>19.775199999999586</v>
      </c>
      <c r="G1060" s="4">
        <f t="shared" si="102"/>
        <v>-19.775199999999586</v>
      </c>
      <c r="W1060" s="59">
        <f t="shared" si="103"/>
        <v>2.215174242621944E-2</v>
      </c>
      <c r="X1060" s="59">
        <f t="shared" si="104"/>
        <v>1.4821214669116867E-2</v>
      </c>
      <c r="Y1060" s="59">
        <f t="shared" si="105"/>
        <v>1.243223331016507E-2</v>
      </c>
    </row>
    <row r="1061" spans="1:25" x14ac:dyDescent="0.3">
      <c r="A1061" s="2">
        <v>42622</v>
      </c>
      <c r="B1061" s="1">
        <v>25.782499999999999</v>
      </c>
      <c r="C1061" s="1">
        <v>760.13990000000001</v>
      </c>
      <c r="D1061" s="1">
        <v>127.1</v>
      </c>
      <c r="E1061" s="3">
        <f t="shared" si="100"/>
        <v>267.40480000000025</v>
      </c>
      <c r="F1061" s="4">
        <f t="shared" si="101"/>
        <v>-14.315399999999954</v>
      </c>
      <c r="G1061" s="4">
        <f t="shared" si="102"/>
        <v>14.315399999999954</v>
      </c>
      <c r="W1061" s="59">
        <f t="shared" si="103"/>
        <v>-2.291018008108156E-2</v>
      </c>
      <c r="X1061" s="59">
        <f t="shared" si="104"/>
        <v>-3.098318028829174E-2</v>
      </c>
      <c r="Y1061" s="59">
        <f t="shared" si="105"/>
        <v>-2.4635041514064444E-2</v>
      </c>
    </row>
    <row r="1062" spans="1:25" x14ac:dyDescent="0.3">
      <c r="A1062" s="2">
        <v>42621</v>
      </c>
      <c r="B1062" s="1">
        <v>26.38</v>
      </c>
      <c r="C1062" s="1">
        <v>784.06010000000003</v>
      </c>
      <c r="D1062" s="1">
        <v>130.27000000000001</v>
      </c>
      <c r="E1062" s="3">
        <f t="shared" si="100"/>
        <v>281.7202000000002</v>
      </c>
      <c r="F1062" s="4">
        <f t="shared" si="101"/>
        <v>-20.739799999999832</v>
      </c>
      <c r="G1062" s="4">
        <f t="shared" si="102"/>
        <v>20.739799999999832</v>
      </c>
      <c r="W1062" s="59">
        <f t="shared" si="103"/>
        <v>-2.6558508807835241E-2</v>
      </c>
      <c r="X1062" s="59">
        <f t="shared" si="104"/>
        <v>-5.3540232733679681E-4</v>
      </c>
      <c r="Y1062" s="59">
        <f t="shared" si="105"/>
        <v>-5.9697100599427093E-3</v>
      </c>
    </row>
    <row r="1063" spans="1:25" x14ac:dyDescent="0.3">
      <c r="A1063" s="2">
        <v>42620</v>
      </c>
      <c r="B1063" s="1">
        <v>27.09</v>
      </c>
      <c r="C1063" s="1">
        <v>784.48</v>
      </c>
      <c r="D1063" s="1">
        <v>131.05000000000001</v>
      </c>
      <c r="E1063" s="3">
        <f t="shared" si="100"/>
        <v>302.46000000000004</v>
      </c>
      <c r="F1063" s="4">
        <f t="shared" si="101"/>
        <v>-26.930200000000241</v>
      </c>
      <c r="G1063" s="4">
        <f t="shared" si="102"/>
        <v>26.930200000000241</v>
      </c>
      <c r="W1063" s="59">
        <f t="shared" si="103"/>
        <v>6.1094330545515222E-3</v>
      </c>
      <c r="X1063" s="59">
        <f t="shared" si="104"/>
        <v>-5.5805906052289172E-3</v>
      </c>
      <c r="Y1063" s="59">
        <f t="shared" si="105"/>
        <v>1.01235621864945E-2</v>
      </c>
    </row>
    <row r="1064" spans="1:25" x14ac:dyDescent="0.3">
      <c r="A1064" s="2">
        <v>42619</v>
      </c>
      <c r="B1064" s="1">
        <v>26.925000000000001</v>
      </c>
      <c r="C1064" s="1">
        <v>788.87009999999998</v>
      </c>
      <c r="D1064" s="1">
        <v>129.72999999999999</v>
      </c>
      <c r="E1064" s="3">
        <f t="shared" si="100"/>
        <v>329.39020000000028</v>
      </c>
      <c r="F1064" s="4">
        <f t="shared" si="101"/>
        <v>-31.914599999999155</v>
      </c>
      <c r="G1064" s="4">
        <f t="shared" si="102"/>
        <v>31.914599999999155</v>
      </c>
      <c r="W1064" s="59">
        <f t="shared" si="103"/>
        <v>-2.7851274375833776E-4</v>
      </c>
      <c r="X1064" s="59">
        <f t="shared" si="104"/>
        <v>2.1047462115528909E-2</v>
      </c>
      <c r="Y1064" s="59">
        <f t="shared" si="105"/>
        <v>2.5134011156342815E-2</v>
      </c>
    </row>
    <row r="1065" spans="1:25" x14ac:dyDescent="0.3">
      <c r="A1065" s="2">
        <v>42618</v>
      </c>
      <c r="B1065" s="1">
        <v>26.932500000000001</v>
      </c>
      <c r="C1065" s="1">
        <v>772.43989999999997</v>
      </c>
      <c r="D1065" s="1">
        <v>126.51</v>
      </c>
      <c r="E1065" s="3">
        <f t="shared" si="100"/>
        <v>361.30479999999943</v>
      </c>
      <c r="F1065" s="4">
        <f t="shared" si="101"/>
        <v>0</v>
      </c>
      <c r="G1065" s="4">
        <f t="shared" si="102"/>
        <v>0</v>
      </c>
      <c r="W1065" s="59">
        <f t="shared" si="103"/>
        <v>0</v>
      </c>
      <c r="X1065" s="59">
        <f t="shared" si="104"/>
        <v>0</v>
      </c>
      <c r="Y1065" s="59">
        <f t="shared" si="105"/>
        <v>0</v>
      </c>
    </row>
    <row r="1066" spans="1:25" x14ac:dyDescent="0.3">
      <c r="A1066" s="2">
        <v>42615</v>
      </c>
      <c r="B1066" s="1">
        <v>26.932500000000001</v>
      </c>
      <c r="C1066" s="1">
        <v>772.43989999999997</v>
      </c>
      <c r="D1066" s="1">
        <v>126.51</v>
      </c>
      <c r="E1066" s="3">
        <f t="shared" si="100"/>
        <v>361.30479999999943</v>
      </c>
      <c r="F1066" s="4">
        <f t="shared" si="101"/>
        <v>9.3395999999993364</v>
      </c>
      <c r="G1066" s="4">
        <f t="shared" si="102"/>
        <v>-9.3395999999993364</v>
      </c>
      <c r="W1066" s="59">
        <f t="shared" si="103"/>
        <v>9.3258159802275167E-3</v>
      </c>
      <c r="X1066" s="59">
        <f t="shared" si="104"/>
        <v>2.358690969493074E-3</v>
      </c>
      <c r="Y1066" s="59">
        <f t="shared" si="105"/>
        <v>2.691152486928243E-3</v>
      </c>
    </row>
    <row r="1067" spans="1:25" x14ac:dyDescent="0.3">
      <c r="A1067" s="2">
        <v>42614</v>
      </c>
      <c r="B1067" s="1">
        <v>26.682500000000001</v>
      </c>
      <c r="C1067" s="1">
        <v>770.62009999999998</v>
      </c>
      <c r="D1067" s="1">
        <v>126.17</v>
      </c>
      <c r="E1067" s="3">
        <f t="shared" si="100"/>
        <v>351.9652000000001</v>
      </c>
      <c r="F1067" s="4">
        <f t="shared" si="101"/>
        <v>9.7953999999999724</v>
      </c>
      <c r="G1067" s="4">
        <f t="shared" si="102"/>
        <v>-9.7953999999999724</v>
      </c>
      <c r="W1067" s="59">
        <f t="shared" si="103"/>
        <v>5.9202353059362436E-3</v>
      </c>
      <c r="X1067" s="59">
        <f t="shared" si="104"/>
        <v>1.896635152713007E-3</v>
      </c>
      <c r="Y1067" s="59">
        <f t="shared" si="105"/>
        <v>3.963692627897331E-4</v>
      </c>
    </row>
    <row r="1068" spans="1:25" x14ac:dyDescent="0.3">
      <c r="A1068" s="2">
        <v>42613</v>
      </c>
      <c r="B1068" s="1">
        <v>26.524999999999999</v>
      </c>
      <c r="C1068" s="1">
        <v>769.15989999999999</v>
      </c>
      <c r="D1068" s="1">
        <v>126.12</v>
      </c>
      <c r="E1068" s="3">
        <f t="shared" si="100"/>
        <v>342.16980000000012</v>
      </c>
      <c r="F1068" s="4">
        <f t="shared" si="101"/>
        <v>-1.1903999999999542</v>
      </c>
      <c r="G1068" s="4">
        <f t="shared" si="102"/>
        <v>1.1903999999999542</v>
      </c>
      <c r="W1068" s="59">
        <f t="shared" si="103"/>
        <v>9.4295150787036277E-4</v>
      </c>
      <c r="X1068" s="59">
        <f t="shared" si="104"/>
        <v>2.0560414338467313E-3</v>
      </c>
      <c r="Y1068" s="59">
        <f t="shared" si="105"/>
        <v>2.2225759268376336E-3</v>
      </c>
    </row>
    <row r="1069" spans="1:25" x14ac:dyDescent="0.3">
      <c r="A1069" s="2">
        <v>42612</v>
      </c>
      <c r="B1069" s="1">
        <v>26.5</v>
      </c>
      <c r="C1069" s="1">
        <v>767.58010000000002</v>
      </c>
      <c r="D1069" s="1">
        <v>125.84</v>
      </c>
      <c r="E1069" s="3">
        <f t="shared" si="100"/>
        <v>343.36020000000008</v>
      </c>
      <c r="F1069" s="4">
        <f t="shared" si="101"/>
        <v>-3.6697999999996682</v>
      </c>
      <c r="G1069" s="4">
        <f t="shared" si="102"/>
        <v>3.6697999999996682</v>
      </c>
      <c r="W1069" s="59">
        <f t="shared" si="103"/>
        <v>-7.7060807995570574E-3</v>
      </c>
      <c r="X1069" s="59">
        <f t="shared" si="104"/>
        <v>-4.8215988955184041E-3</v>
      </c>
      <c r="Y1069" s="59">
        <f t="shared" si="105"/>
        <v>-5.5472049687158367E-3</v>
      </c>
    </row>
    <row r="1070" spans="1:25" x14ac:dyDescent="0.3">
      <c r="A1070" s="2">
        <v>42611</v>
      </c>
      <c r="B1070" s="1">
        <v>26.704999999999998</v>
      </c>
      <c r="C1070" s="1">
        <v>771.29</v>
      </c>
      <c r="D1070" s="1">
        <v>126.54</v>
      </c>
      <c r="E1070" s="3">
        <f t="shared" si="100"/>
        <v>347.02999999999975</v>
      </c>
      <c r="F1070" s="4">
        <f t="shared" si="101"/>
        <v>-28.520000000000437</v>
      </c>
      <c r="G1070" s="4">
        <f t="shared" si="102"/>
        <v>28.520000000000437</v>
      </c>
      <c r="W1070" s="59">
        <f t="shared" si="103"/>
        <v>-1.1227546089612784E-3</v>
      </c>
      <c r="X1070" s="59">
        <f t="shared" si="104"/>
        <v>2.9734682264446984E-3</v>
      </c>
      <c r="Y1070" s="59">
        <f t="shared" si="105"/>
        <v>1.2564777627362411E-2</v>
      </c>
    </row>
    <row r="1071" spans="1:25" x14ac:dyDescent="0.3">
      <c r="A1071" s="2">
        <v>42608</v>
      </c>
      <c r="B1071" s="1">
        <v>26.734999999999999</v>
      </c>
      <c r="C1071" s="1">
        <v>769</v>
      </c>
      <c r="D1071" s="1">
        <v>124.96</v>
      </c>
      <c r="E1071" s="3">
        <f t="shared" si="100"/>
        <v>375.55000000000018</v>
      </c>
      <c r="F1071" s="4">
        <f t="shared" si="101"/>
        <v>-9.7149999999996908</v>
      </c>
      <c r="G1071" s="4">
        <f t="shared" si="102"/>
        <v>9.7149999999996908</v>
      </c>
      <c r="W1071" s="59">
        <f t="shared" si="103"/>
        <v>-5.8738689233285308E-3</v>
      </c>
      <c r="X1071" s="59">
        <f t="shared" si="104"/>
        <v>1.2799379037416101E-2</v>
      </c>
      <c r="Y1071" s="59">
        <f t="shared" si="105"/>
        <v>8.5996109637282315E-3</v>
      </c>
    </row>
    <row r="1072" spans="1:25" x14ac:dyDescent="0.3">
      <c r="A1072" s="2">
        <v>42607</v>
      </c>
      <c r="B1072" s="1">
        <v>26.892499999999998</v>
      </c>
      <c r="C1072" s="1">
        <v>759.22</v>
      </c>
      <c r="D1072" s="1">
        <v>123.89</v>
      </c>
      <c r="E1072" s="3">
        <f t="shared" si="100"/>
        <v>385.26499999999987</v>
      </c>
      <c r="F1072" s="4">
        <f t="shared" si="101"/>
        <v>-10.010000000000218</v>
      </c>
      <c r="G1072" s="4">
        <f t="shared" si="102"/>
        <v>10.010000000000218</v>
      </c>
      <c r="W1072" s="59">
        <f t="shared" si="103"/>
        <v>-4.2671678849795294E-3</v>
      </c>
      <c r="X1072" s="59">
        <f t="shared" si="104"/>
        <v>2.5981405608812456E-3</v>
      </c>
      <c r="Y1072" s="59">
        <f t="shared" si="105"/>
        <v>3.3148754936889692E-3</v>
      </c>
    </row>
    <row r="1073" spans="1:25" x14ac:dyDescent="0.3">
      <c r="A1073" s="2">
        <v>42606</v>
      </c>
      <c r="B1073" s="1">
        <v>27.0075</v>
      </c>
      <c r="C1073" s="1">
        <v>757.25</v>
      </c>
      <c r="D1073" s="1">
        <v>123.48</v>
      </c>
      <c r="E1073" s="3">
        <f t="shared" si="100"/>
        <v>395.27500000000009</v>
      </c>
      <c r="F1073" s="4">
        <f t="shared" si="101"/>
        <v>-2.8499999999999091</v>
      </c>
      <c r="G1073" s="4">
        <f t="shared" si="102"/>
        <v>2.8499999999999091</v>
      </c>
      <c r="W1073" s="59">
        <f t="shared" si="103"/>
        <v>-7.5618213516628141E-3</v>
      </c>
      <c r="X1073" s="59">
        <f t="shared" si="104"/>
        <v>-6.8434826536745664E-3</v>
      </c>
      <c r="Y1073" s="59">
        <f t="shared" si="105"/>
        <v>-7.1817940316910691E-3</v>
      </c>
    </row>
    <row r="1074" spans="1:25" x14ac:dyDescent="0.3">
      <c r="A1074" s="2">
        <v>42605</v>
      </c>
      <c r="B1074" s="1">
        <v>27.212499999999999</v>
      </c>
      <c r="C1074" s="1">
        <v>762.45</v>
      </c>
      <c r="D1074" s="1">
        <v>124.37</v>
      </c>
      <c r="E1074" s="3">
        <f t="shared" si="100"/>
        <v>398.125</v>
      </c>
      <c r="F1074" s="4">
        <f t="shared" si="101"/>
        <v>5.7899999999999636</v>
      </c>
      <c r="G1074" s="4">
        <f t="shared" si="102"/>
        <v>-5.7899999999999636</v>
      </c>
      <c r="W1074" s="59">
        <f t="shared" si="103"/>
        <v>3.1284530484400911E-3</v>
      </c>
      <c r="X1074" s="59">
        <f t="shared" si="104"/>
        <v>3.9029439858069797E-3</v>
      </c>
      <c r="Y1074" s="59">
        <f t="shared" si="105"/>
        <v>1.7704817114740717E-3</v>
      </c>
    </row>
    <row r="1075" spans="1:25" x14ac:dyDescent="0.3">
      <c r="A1075" s="2">
        <v>42604</v>
      </c>
      <c r="B1075" s="1">
        <v>27.127500000000001</v>
      </c>
      <c r="C1075" s="1">
        <v>759.48</v>
      </c>
      <c r="D1075" s="1">
        <v>124.15</v>
      </c>
      <c r="E1075" s="3">
        <f t="shared" si="100"/>
        <v>392.33500000000004</v>
      </c>
      <c r="F1075" s="4">
        <f t="shared" si="101"/>
        <v>-18.085200000000441</v>
      </c>
      <c r="G1075" s="4">
        <f t="shared" si="102"/>
        <v>18.085200000000441</v>
      </c>
      <c r="W1075" s="59">
        <f t="shared" si="103"/>
        <v>-7.8028577835777997E-3</v>
      </c>
      <c r="X1075" s="59">
        <f t="shared" si="104"/>
        <v>2.8611756897572805E-3</v>
      </c>
      <c r="Y1075" s="59">
        <f t="shared" si="105"/>
        <v>4.7636439037946586E-3</v>
      </c>
    </row>
    <row r="1076" spans="1:25" x14ac:dyDescent="0.3">
      <c r="A1076" s="2">
        <v>42601</v>
      </c>
      <c r="B1076" s="1">
        <v>27.34</v>
      </c>
      <c r="C1076" s="1">
        <v>757.31010000000003</v>
      </c>
      <c r="D1076" s="1">
        <v>123.56</v>
      </c>
      <c r="E1076" s="3">
        <f t="shared" si="100"/>
        <v>410.42020000000048</v>
      </c>
      <c r="F1076" s="4">
        <f t="shared" si="101"/>
        <v>-3.7997999999997774</v>
      </c>
      <c r="G1076" s="4">
        <f t="shared" si="102"/>
        <v>3.7997999999997774</v>
      </c>
      <c r="W1076" s="59">
        <f t="shared" si="103"/>
        <v>2.5636344383064371E-3</v>
      </c>
      <c r="X1076" s="59">
        <f t="shared" si="104"/>
        <v>-9.3968893358874293E-3</v>
      </c>
      <c r="Y1076" s="59">
        <f t="shared" si="105"/>
        <v>-2.8286275780205158E-3</v>
      </c>
    </row>
    <row r="1077" spans="1:25" x14ac:dyDescent="0.3">
      <c r="A1077" s="2">
        <v>42600</v>
      </c>
      <c r="B1077" s="1">
        <v>27.27</v>
      </c>
      <c r="C1077" s="1">
        <v>764.46</v>
      </c>
      <c r="D1077" s="1">
        <v>123.91</v>
      </c>
      <c r="E1077" s="3">
        <f t="shared" si="100"/>
        <v>414.22000000000025</v>
      </c>
      <c r="F1077" s="4">
        <f t="shared" si="101"/>
        <v>7.1102000000005319</v>
      </c>
      <c r="G1077" s="4">
        <f t="shared" si="102"/>
        <v>-7.1102000000005319</v>
      </c>
      <c r="W1077" s="59">
        <f t="shared" si="103"/>
        <v>-1.2826387466199037E-3</v>
      </c>
      <c r="X1077" s="59">
        <f t="shared" si="104"/>
        <v>-2.2222369096702314E-4</v>
      </c>
      <c r="Y1077" s="59">
        <f t="shared" si="105"/>
        <v>-3.7054980372482186E-3</v>
      </c>
    </row>
    <row r="1078" spans="1:25" x14ac:dyDescent="0.3">
      <c r="A1078" s="2">
        <v>42599</v>
      </c>
      <c r="B1078" s="1">
        <v>27.305</v>
      </c>
      <c r="C1078" s="1">
        <v>764.62990000000002</v>
      </c>
      <c r="D1078" s="1">
        <v>124.37</v>
      </c>
      <c r="E1078" s="3">
        <f t="shared" si="100"/>
        <v>407.10979999999972</v>
      </c>
      <c r="F1078" s="4">
        <f t="shared" si="101"/>
        <v>-22.220200000000204</v>
      </c>
      <c r="G1078" s="4">
        <f t="shared" si="102"/>
        <v>22.220200000000204</v>
      </c>
      <c r="W1078" s="59">
        <f t="shared" si="103"/>
        <v>-1.4638611946190139E-3</v>
      </c>
      <c r="X1078" s="59">
        <f t="shared" si="104"/>
        <v>7.7178209537723046E-4</v>
      </c>
      <c r="Y1078" s="59">
        <f t="shared" si="105"/>
        <v>8.6405834953511163E-3</v>
      </c>
    </row>
    <row r="1079" spans="1:25" x14ac:dyDescent="0.3">
      <c r="A1079" s="2">
        <v>42598</v>
      </c>
      <c r="B1079" s="1">
        <v>27.344999999999999</v>
      </c>
      <c r="C1079" s="1">
        <v>764.04</v>
      </c>
      <c r="D1079" s="1">
        <v>123.3</v>
      </c>
      <c r="E1079" s="3">
        <f t="shared" si="100"/>
        <v>429.32999999999993</v>
      </c>
      <c r="F1079" s="4">
        <f t="shared" si="101"/>
        <v>1.8499999999999091</v>
      </c>
      <c r="G1079" s="4">
        <f t="shared" si="102"/>
        <v>-1.8499999999999091</v>
      </c>
      <c r="W1079" s="59">
        <f t="shared" si="103"/>
        <v>-9.1382625385175945E-4</v>
      </c>
      <c r="X1079" s="59">
        <f t="shared" si="104"/>
        <v>-5.8074067153111517E-3</v>
      </c>
      <c r="Y1079" s="59">
        <f t="shared" si="105"/>
        <v>-4.8543784647981994E-3</v>
      </c>
    </row>
    <row r="1080" spans="1:25" x14ac:dyDescent="0.3">
      <c r="A1080" s="2">
        <v>42597</v>
      </c>
      <c r="B1080" s="1">
        <v>27.37</v>
      </c>
      <c r="C1080" s="1">
        <v>768.49</v>
      </c>
      <c r="D1080" s="1">
        <v>123.9</v>
      </c>
      <c r="E1080" s="3">
        <f t="shared" si="100"/>
        <v>427.48</v>
      </c>
      <c r="F1080" s="4">
        <f t="shared" si="101"/>
        <v>27.709799999999632</v>
      </c>
      <c r="G1080" s="4">
        <f t="shared" si="102"/>
        <v>-27.709799999999632</v>
      </c>
      <c r="W1080" s="59">
        <f t="shared" si="103"/>
        <v>1.1945377729197485E-2</v>
      </c>
      <c r="X1080" s="59">
        <f t="shared" si="104"/>
        <v>-5.2822545661932643E-3</v>
      </c>
      <c r="Y1080" s="59">
        <f t="shared" si="105"/>
        <v>-7.8784875720798279E-3</v>
      </c>
    </row>
    <row r="1081" spans="1:25" x14ac:dyDescent="0.3">
      <c r="A1081" s="2">
        <v>42594</v>
      </c>
      <c r="B1081" s="1">
        <v>27.045000000000002</v>
      </c>
      <c r="C1081" s="1">
        <v>772.56010000000003</v>
      </c>
      <c r="D1081" s="1">
        <v>124.88</v>
      </c>
      <c r="E1081" s="3">
        <f t="shared" si="100"/>
        <v>399.77020000000039</v>
      </c>
      <c r="F1081" s="4">
        <f t="shared" si="101"/>
        <v>6.1652000000003682</v>
      </c>
      <c r="G1081" s="4">
        <f t="shared" si="102"/>
        <v>-6.1652000000003682</v>
      </c>
      <c r="W1081" s="59">
        <f t="shared" si="103"/>
        <v>2.313637606025929E-3</v>
      </c>
      <c r="X1081" s="59">
        <f t="shared" si="104"/>
        <v>1.7101959272434555E-3</v>
      </c>
      <c r="Y1081" s="59">
        <f t="shared" si="105"/>
        <v>-1.6014092435549755E-4</v>
      </c>
    </row>
    <row r="1082" spans="1:25" x14ac:dyDescent="0.3">
      <c r="A1082" s="2">
        <v>42593</v>
      </c>
      <c r="B1082" s="1">
        <v>26.982500000000002</v>
      </c>
      <c r="C1082" s="1">
        <v>771.24</v>
      </c>
      <c r="D1082" s="1">
        <v>124.9</v>
      </c>
      <c r="E1082" s="3">
        <f t="shared" si="100"/>
        <v>393.60500000000002</v>
      </c>
      <c r="F1082" s="4">
        <f t="shared" si="101"/>
        <v>4.0847999999996318</v>
      </c>
      <c r="G1082" s="4">
        <f t="shared" si="102"/>
        <v>-4.0847999999996318</v>
      </c>
      <c r="W1082" s="59">
        <f t="shared" si="103"/>
        <v>-6.4835828696466755E-4</v>
      </c>
      <c r="X1082" s="59">
        <f t="shared" si="104"/>
        <v>3.4808449562616574E-3</v>
      </c>
      <c r="Y1082" s="59">
        <f t="shared" si="105"/>
        <v>1.6014092435537598E-4</v>
      </c>
    </row>
    <row r="1083" spans="1:25" x14ac:dyDescent="0.3">
      <c r="A1083" s="2">
        <v>42592</v>
      </c>
      <c r="B1083" s="1">
        <v>27</v>
      </c>
      <c r="C1083" s="1">
        <v>768.56010000000003</v>
      </c>
      <c r="D1083" s="1">
        <v>124.88</v>
      </c>
      <c r="E1083" s="3">
        <f t="shared" si="100"/>
        <v>389.52020000000039</v>
      </c>
      <c r="F1083" s="4">
        <f t="shared" si="101"/>
        <v>-6.0250000000000909</v>
      </c>
      <c r="G1083" s="4">
        <f t="shared" si="102"/>
        <v>6.0250000000000909</v>
      </c>
      <c r="W1083" s="59">
        <f t="shared" si="103"/>
        <v>-7.472014838701066E-3</v>
      </c>
      <c r="X1083" s="59">
        <f t="shared" si="104"/>
        <v>3.2533652120410192E-4</v>
      </c>
      <c r="Y1083" s="59">
        <f t="shared" si="105"/>
        <v>-1.4403459319752383E-3</v>
      </c>
    </row>
    <row r="1084" spans="1:25" x14ac:dyDescent="0.3">
      <c r="A1084" s="2">
        <v>42591</v>
      </c>
      <c r="B1084" s="1">
        <v>27.202500000000001</v>
      </c>
      <c r="C1084" s="1">
        <v>768.31010000000003</v>
      </c>
      <c r="D1084" s="1">
        <v>125.06</v>
      </c>
      <c r="E1084" s="3">
        <f t="shared" si="100"/>
        <v>395.54520000000048</v>
      </c>
      <c r="F1084" s="4">
        <f t="shared" si="101"/>
        <v>13.000000000000455</v>
      </c>
      <c r="G1084" s="4">
        <f t="shared" si="102"/>
        <v>-13.000000000000455</v>
      </c>
      <c r="W1084" s="59">
        <f t="shared" si="103"/>
        <v>4.0519440280167721E-3</v>
      </c>
      <c r="X1084" s="59">
        <f t="shared" si="104"/>
        <v>2.2803241059934955E-3</v>
      </c>
      <c r="Y1084" s="59">
        <f t="shared" si="105"/>
        <v>-1.5979549581149404E-3</v>
      </c>
    </row>
    <row r="1085" spans="1:25" x14ac:dyDescent="0.3">
      <c r="A1085" s="2">
        <v>42590</v>
      </c>
      <c r="B1085" s="1">
        <v>27.092500000000001</v>
      </c>
      <c r="C1085" s="1">
        <v>766.56010000000003</v>
      </c>
      <c r="D1085" s="1">
        <v>125.26</v>
      </c>
      <c r="E1085" s="3">
        <f t="shared" si="100"/>
        <v>382.54520000000002</v>
      </c>
      <c r="F1085" s="4">
        <f t="shared" si="101"/>
        <v>10.085199999999986</v>
      </c>
      <c r="G1085" s="4">
        <f t="shared" si="102"/>
        <v>-10.085199999999986</v>
      </c>
      <c r="W1085" s="59">
        <f t="shared" si="103"/>
        <v>8.2465141876132825E-3</v>
      </c>
      <c r="X1085" s="59">
        <f t="shared" si="104"/>
        <v>7.5704384858232973E-4</v>
      </c>
      <c r="Y1085" s="59">
        <f t="shared" si="105"/>
        <v>8.7855921948361152E-4</v>
      </c>
    </row>
    <row r="1086" spans="1:25" x14ac:dyDescent="0.3">
      <c r="A1086" s="2">
        <v>42587</v>
      </c>
      <c r="B1086" s="1">
        <v>26.87</v>
      </c>
      <c r="C1086" s="1">
        <v>765.98</v>
      </c>
      <c r="D1086" s="1">
        <v>125.15</v>
      </c>
      <c r="E1086" s="3">
        <f t="shared" si="100"/>
        <v>372.46000000000004</v>
      </c>
      <c r="F1086" s="4">
        <f t="shared" si="101"/>
        <v>14.744999999999891</v>
      </c>
      <c r="G1086" s="4">
        <f t="shared" si="102"/>
        <v>-14.744999999999891</v>
      </c>
      <c r="W1086" s="59">
        <f t="shared" si="103"/>
        <v>1.5092857392002005E-2</v>
      </c>
      <c r="X1086" s="59">
        <f t="shared" si="104"/>
        <v>6.8249814620980993E-3</v>
      </c>
      <c r="Y1086" s="59">
        <f t="shared" si="105"/>
        <v>6.3324326872301953E-3</v>
      </c>
    </row>
    <row r="1087" spans="1:25" x14ac:dyDescent="0.3">
      <c r="A1087" s="2">
        <v>42586</v>
      </c>
      <c r="B1087" s="1">
        <v>26.467500000000001</v>
      </c>
      <c r="C1087" s="1">
        <v>760.77</v>
      </c>
      <c r="D1087" s="1">
        <v>124.36</v>
      </c>
      <c r="E1087" s="3">
        <f t="shared" si="100"/>
        <v>357.71500000000015</v>
      </c>
      <c r="F1087" s="4">
        <f t="shared" si="101"/>
        <v>-23.739799999999832</v>
      </c>
      <c r="G1087" s="4">
        <f t="shared" si="102"/>
        <v>23.739799999999832</v>
      </c>
      <c r="W1087" s="59">
        <f t="shared" si="103"/>
        <v>7.5592935660507004E-4</v>
      </c>
      <c r="X1087" s="59">
        <f t="shared" si="104"/>
        <v>8.0903964489830657E-3</v>
      </c>
      <c r="Y1087" s="59">
        <f t="shared" si="105"/>
        <v>1.4987925884473768E-2</v>
      </c>
    </row>
    <row r="1088" spans="1:25" x14ac:dyDescent="0.3">
      <c r="A1088" s="2">
        <v>42585</v>
      </c>
      <c r="B1088" s="1">
        <v>26.447500000000002</v>
      </c>
      <c r="C1088" s="1">
        <v>754.63990000000001</v>
      </c>
      <c r="D1088" s="1">
        <v>122.51</v>
      </c>
      <c r="E1088" s="3">
        <f t="shared" si="100"/>
        <v>381.45479999999998</v>
      </c>
      <c r="F1088" s="4">
        <f t="shared" si="101"/>
        <v>16.0945999999999</v>
      </c>
      <c r="G1088" s="4">
        <f t="shared" si="102"/>
        <v>-16.0945999999999</v>
      </c>
      <c r="W1088" s="59">
        <f t="shared" si="103"/>
        <v>1.2460331470562304E-2</v>
      </c>
      <c r="X1088" s="59">
        <f t="shared" si="104"/>
        <v>-7.8407497687268297E-3</v>
      </c>
      <c r="Y1088" s="59">
        <f t="shared" si="105"/>
        <v>-4.7231358161252089E-3</v>
      </c>
    </row>
    <row r="1089" spans="1:25" x14ac:dyDescent="0.3">
      <c r="A1089" s="2">
        <v>42584</v>
      </c>
      <c r="B1089" s="1">
        <v>26.12</v>
      </c>
      <c r="C1089" s="1">
        <v>760.58010000000002</v>
      </c>
      <c r="D1089" s="1">
        <v>123.09</v>
      </c>
      <c r="E1089" s="3">
        <f t="shared" si="100"/>
        <v>365.36020000000008</v>
      </c>
      <c r="F1089" s="4">
        <f t="shared" si="101"/>
        <v>-9.544800000000123</v>
      </c>
      <c r="G1089" s="4">
        <f t="shared" si="102"/>
        <v>9.544800000000123</v>
      </c>
      <c r="W1089" s="59">
        <f t="shared" si="103"/>
        <v>-1.4915015482570418E-2</v>
      </c>
      <c r="X1089" s="59">
        <f t="shared" si="104"/>
        <v>-9.3697025660393288E-3</v>
      </c>
      <c r="Y1089" s="59">
        <f t="shared" si="105"/>
        <v>-9.8626506814196921E-3</v>
      </c>
    </row>
    <row r="1090" spans="1:25" x14ac:dyDescent="0.3">
      <c r="A1090" s="2">
        <v>42583</v>
      </c>
      <c r="B1090" s="1">
        <v>26.512499999999999</v>
      </c>
      <c r="C1090" s="1">
        <v>767.74</v>
      </c>
      <c r="D1090" s="1">
        <v>124.31</v>
      </c>
      <c r="E1090" s="3">
        <f t="shared" si="100"/>
        <v>374.9050000000002</v>
      </c>
      <c r="F1090" s="4">
        <f t="shared" si="101"/>
        <v>33.459800000000087</v>
      </c>
      <c r="G1090" s="4">
        <f t="shared" si="102"/>
        <v>-33.459800000000087</v>
      </c>
      <c r="W1090" s="59">
        <f t="shared" si="103"/>
        <v>1.7502587006355461E-2</v>
      </c>
      <c r="X1090" s="59">
        <f t="shared" si="104"/>
        <v>1.169958570031563E-2</v>
      </c>
      <c r="Y1090" s="59">
        <f t="shared" si="105"/>
        <v>2.9808682696626436E-3</v>
      </c>
    </row>
    <row r="1091" spans="1:25" x14ac:dyDescent="0.3">
      <c r="A1091" s="2">
        <v>42580</v>
      </c>
      <c r="B1091" s="1">
        <v>26.052499999999998</v>
      </c>
      <c r="C1091" s="1">
        <v>758.81010000000003</v>
      </c>
      <c r="D1091" s="1">
        <v>123.94</v>
      </c>
      <c r="E1091" s="3">
        <f t="shared" si="100"/>
        <v>341.44520000000011</v>
      </c>
      <c r="F1091" s="4">
        <f t="shared" si="101"/>
        <v>31.975000000000364</v>
      </c>
      <c r="G1091" s="4">
        <f t="shared" si="102"/>
        <v>-31.975000000000364</v>
      </c>
      <c r="W1091" s="59">
        <f t="shared" si="103"/>
        <v>-1.2467035899106247E-3</v>
      </c>
      <c r="X1091" s="59">
        <f t="shared" si="104"/>
        <v>8.2042502497330048E-3</v>
      </c>
      <c r="Y1091" s="59">
        <f t="shared" si="105"/>
        <v>-8.5161597683397414E-3</v>
      </c>
    </row>
    <row r="1092" spans="1:25" x14ac:dyDescent="0.3">
      <c r="A1092" s="2">
        <v>42579</v>
      </c>
      <c r="B1092" s="1">
        <v>26.085000000000001</v>
      </c>
      <c r="C1092" s="1">
        <v>752.61009999999999</v>
      </c>
      <c r="D1092" s="1">
        <v>125</v>
      </c>
      <c r="E1092" s="3">
        <f t="shared" si="100"/>
        <v>309.47019999999975</v>
      </c>
      <c r="F1092" s="4">
        <f t="shared" si="101"/>
        <v>16.055400000000191</v>
      </c>
      <c r="G1092" s="4">
        <f t="shared" si="102"/>
        <v>-16.055400000000191</v>
      </c>
      <c r="W1092" s="59">
        <f t="shared" si="103"/>
        <v>1.3411364120448282E-2</v>
      </c>
      <c r="X1092" s="59">
        <f t="shared" si="104"/>
        <v>2.1407403238462075E-2</v>
      </c>
      <c r="Y1092" s="59">
        <f t="shared" si="105"/>
        <v>1.3368967738954254E-2</v>
      </c>
    </row>
    <row r="1093" spans="1:25" x14ac:dyDescent="0.3">
      <c r="A1093" s="2">
        <v>42578</v>
      </c>
      <c r="B1093" s="1">
        <v>25.737500000000001</v>
      </c>
      <c r="C1093" s="1">
        <v>736.66989999999998</v>
      </c>
      <c r="D1093" s="1">
        <v>123.34</v>
      </c>
      <c r="E1093" s="3">
        <f t="shared" si="100"/>
        <v>293.41479999999956</v>
      </c>
      <c r="F1093" s="4">
        <f t="shared" si="101"/>
        <v>38.259599999999864</v>
      </c>
      <c r="G1093" s="4">
        <f t="shared" si="102"/>
        <v>-38.259599999999864</v>
      </c>
      <c r="W1093" s="59">
        <f t="shared" si="103"/>
        <v>6.2940316997284321E-2</v>
      </c>
      <c r="X1093" s="59">
        <f t="shared" si="104"/>
        <v>1.4668607360320571E-3</v>
      </c>
      <c r="Y1093" s="59">
        <f t="shared" si="105"/>
        <v>1.7337693040207873E-2</v>
      </c>
    </row>
    <row r="1094" spans="1:25" x14ac:dyDescent="0.3">
      <c r="A1094" s="2">
        <v>42577</v>
      </c>
      <c r="B1094" s="1">
        <v>24.1675</v>
      </c>
      <c r="C1094" s="1">
        <v>735.59010000000001</v>
      </c>
      <c r="D1094" s="1">
        <v>121.22</v>
      </c>
      <c r="E1094" s="3">
        <f t="shared" ref="E1094:E1157" si="106">50*B1094+2*C1094-20*D1094</f>
        <v>255.1551999999997</v>
      </c>
      <c r="F1094" s="4">
        <f t="shared" ref="F1094:F1157" si="107">E1094-E1095</f>
        <v>-8.2150000000001455</v>
      </c>
      <c r="G1094" s="4">
        <f t="shared" ref="G1094:G1157" si="108">-F1094</f>
        <v>8.2150000000001455</v>
      </c>
      <c r="W1094" s="59">
        <f t="shared" ref="W1094:W1157" si="109">LN(B1094/B1095)</f>
        <v>-6.9068879287942165E-3</v>
      </c>
      <c r="X1094" s="59">
        <f t="shared" ref="X1094:X1157" si="110">LN(C1094/C1095)</f>
        <v>-5.4501212117177627E-3</v>
      </c>
      <c r="Y1094" s="59">
        <f t="shared" ref="Y1094:Y1157" si="111">LN(D1094/D1095)</f>
        <v>-3.3765731072060269E-3</v>
      </c>
    </row>
    <row r="1095" spans="1:25" x14ac:dyDescent="0.3">
      <c r="A1095" s="2">
        <v>42576</v>
      </c>
      <c r="B1095" s="1">
        <v>24.335000000000001</v>
      </c>
      <c r="C1095" s="1">
        <v>739.61009999999999</v>
      </c>
      <c r="D1095" s="1">
        <v>121.63</v>
      </c>
      <c r="E1095" s="3">
        <f t="shared" si="106"/>
        <v>263.37019999999984</v>
      </c>
      <c r="F1095" s="4">
        <f t="shared" si="107"/>
        <v>-39.599999999999909</v>
      </c>
      <c r="G1095" s="4">
        <f t="shared" si="108"/>
        <v>39.599999999999909</v>
      </c>
      <c r="W1095" s="59">
        <f t="shared" si="109"/>
        <v>-1.3469591400283898E-2</v>
      </c>
      <c r="X1095" s="59">
        <f t="shared" si="110"/>
        <v>-7.0732600607916161E-3</v>
      </c>
      <c r="Y1095" s="59">
        <f t="shared" si="111"/>
        <v>5.1931040336038329E-3</v>
      </c>
    </row>
    <row r="1096" spans="1:25" x14ac:dyDescent="0.3">
      <c r="A1096" s="2">
        <v>42573</v>
      </c>
      <c r="B1096" s="1">
        <v>24.664999999999999</v>
      </c>
      <c r="C1096" s="1">
        <v>744.86009999999999</v>
      </c>
      <c r="D1096" s="1">
        <v>121</v>
      </c>
      <c r="E1096" s="3">
        <f t="shared" si="106"/>
        <v>302.97019999999975</v>
      </c>
      <c r="F1096" s="4">
        <f t="shared" si="107"/>
        <v>-16.56460000000061</v>
      </c>
      <c r="G1096" s="4">
        <f t="shared" si="108"/>
        <v>16.56460000000061</v>
      </c>
      <c r="W1096" s="59">
        <f t="shared" si="109"/>
        <v>-7.7742831863901784E-3</v>
      </c>
      <c r="X1096" s="59">
        <f t="shared" si="110"/>
        <v>5.777249722559956E-4</v>
      </c>
      <c r="Y1096" s="59">
        <f t="shared" si="111"/>
        <v>3.2283460015896043E-3</v>
      </c>
    </row>
    <row r="1097" spans="1:25" x14ac:dyDescent="0.3">
      <c r="A1097" s="2">
        <v>42572</v>
      </c>
      <c r="B1097" s="1">
        <v>24.857500000000002</v>
      </c>
      <c r="C1097" s="1">
        <v>744.42989999999998</v>
      </c>
      <c r="D1097" s="1">
        <v>120.61</v>
      </c>
      <c r="E1097" s="3">
        <f t="shared" si="106"/>
        <v>319.53480000000036</v>
      </c>
      <c r="F1097" s="4">
        <f t="shared" si="107"/>
        <v>16.994800000000396</v>
      </c>
      <c r="G1097" s="4">
        <f t="shared" si="108"/>
        <v>-16.994800000000396</v>
      </c>
      <c r="W1097" s="59">
        <f t="shared" si="109"/>
        <v>-5.316226974769335E-3</v>
      </c>
      <c r="X1097" s="59">
        <f t="shared" si="110"/>
        <v>-1.7315040887114302E-3</v>
      </c>
      <c r="Y1097" s="59">
        <f t="shared" si="111"/>
        <v>-1.0802892343184585E-2</v>
      </c>
    </row>
    <row r="1098" spans="1:25" x14ac:dyDescent="0.3">
      <c r="A1098" s="2">
        <v>42571</v>
      </c>
      <c r="B1098" s="1">
        <v>24.99</v>
      </c>
      <c r="C1098" s="1">
        <v>745.72</v>
      </c>
      <c r="D1098" s="1">
        <v>121.92</v>
      </c>
      <c r="E1098" s="3">
        <f t="shared" si="106"/>
        <v>302.53999999999996</v>
      </c>
      <c r="F1098" s="4">
        <f t="shared" si="107"/>
        <v>-13.535000000000309</v>
      </c>
      <c r="G1098" s="4">
        <f t="shared" si="108"/>
        <v>13.535000000000309</v>
      </c>
      <c r="W1098" s="59">
        <f t="shared" si="109"/>
        <v>9.007657117083525E-4</v>
      </c>
      <c r="X1098" s="59">
        <f t="shared" si="110"/>
        <v>7.7675782794038853E-3</v>
      </c>
      <c r="Y1098" s="59">
        <f t="shared" si="111"/>
        <v>1.0802892343184524E-2</v>
      </c>
    </row>
    <row r="1099" spans="1:25" x14ac:dyDescent="0.3">
      <c r="A1099" s="2">
        <v>42570</v>
      </c>
      <c r="B1099" s="1">
        <v>24.967500000000001</v>
      </c>
      <c r="C1099" s="1">
        <v>739.95</v>
      </c>
      <c r="D1099" s="1">
        <v>120.61</v>
      </c>
      <c r="E1099" s="3">
        <f t="shared" si="106"/>
        <v>316.07500000000027</v>
      </c>
      <c r="F1099" s="4">
        <f t="shared" si="107"/>
        <v>-16.540199999999459</v>
      </c>
      <c r="G1099" s="4">
        <f t="shared" si="108"/>
        <v>16.540199999999459</v>
      </c>
      <c r="W1099" s="59">
        <f t="shared" si="109"/>
        <v>4.0060090670953914E-4</v>
      </c>
      <c r="X1099" s="59">
        <f t="shared" si="110"/>
        <v>5.2572575892390521E-3</v>
      </c>
      <c r="Y1099" s="59">
        <f t="shared" si="111"/>
        <v>1.0334286488204586E-2</v>
      </c>
    </row>
    <row r="1100" spans="1:25" x14ac:dyDescent="0.3">
      <c r="A1100" s="2">
        <v>42569</v>
      </c>
      <c r="B1100" s="1">
        <v>24.9575</v>
      </c>
      <c r="C1100" s="1">
        <v>736.07010000000002</v>
      </c>
      <c r="D1100" s="1">
        <v>119.37</v>
      </c>
      <c r="E1100" s="3">
        <f t="shared" si="106"/>
        <v>332.61519999999973</v>
      </c>
      <c r="F1100" s="4">
        <f t="shared" si="107"/>
        <v>-35.814600000000155</v>
      </c>
      <c r="G1100" s="4">
        <f t="shared" si="108"/>
        <v>35.814600000000155</v>
      </c>
      <c r="W1100" s="59">
        <f t="shared" si="109"/>
        <v>1.0573584235855006E-2</v>
      </c>
      <c r="X1100" s="59">
        <f t="shared" si="110"/>
        <v>8.565351761510979E-4</v>
      </c>
      <c r="Y1100" s="59">
        <f t="shared" si="111"/>
        <v>2.1251275980655935E-2</v>
      </c>
    </row>
    <row r="1101" spans="1:25" x14ac:dyDescent="0.3">
      <c r="A1101" s="2">
        <v>42566</v>
      </c>
      <c r="B1101" s="1">
        <v>24.695</v>
      </c>
      <c r="C1101" s="1">
        <v>735.43989999999997</v>
      </c>
      <c r="D1101" s="1">
        <v>116.86</v>
      </c>
      <c r="E1101" s="3">
        <f t="shared" si="106"/>
        <v>368.42979999999989</v>
      </c>
      <c r="F1101" s="4">
        <f t="shared" si="107"/>
        <v>-3.0452000000000226</v>
      </c>
      <c r="G1101" s="4">
        <f t="shared" si="108"/>
        <v>3.0452000000000226</v>
      </c>
      <c r="W1101" s="59">
        <f t="shared" si="109"/>
        <v>-1.0122994390392363E-4</v>
      </c>
      <c r="X1101" s="59">
        <f t="shared" si="110"/>
        <v>-7.8016708287378684E-3</v>
      </c>
      <c r="Y1101" s="59">
        <f t="shared" si="111"/>
        <v>-3.6728634071227918E-3</v>
      </c>
    </row>
    <row r="1102" spans="1:25" x14ac:dyDescent="0.3">
      <c r="A1102" s="2">
        <v>42565</v>
      </c>
      <c r="B1102" s="1">
        <v>24.697500000000002</v>
      </c>
      <c r="C1102" s="1">
        <v>741.2</v>
      </c>
      <c r="D1102" s="1">
        <v>117.29</v>
      </c>
      <c r="E1102" s="3">
        <f t="shared" si="106"/>
        <v>371.47499999999991</v>
      </c>
      <c r="F1102" s="4">
        <f t="shared" si="107"/>
        <v>10.940200000000004</v>
      </c>
      <c r="G1102" s="4">
        <f t="shared" si="108"/>
        <v>-10.940200000000004</v>
      </c>
      <c r="W1102" s="59">
        <f t="shared" si="109"/>
        <v>1.9626511618089013E-2</v>
      </c>
      <c r="X1102" s="59">
        <f t="shared" si="110"/>
        <v>-1.9273104587212559E-3</v>
      </c>
      <c r="Y1102" s="59">
        <f t="shared" si="111"/>
        <v>4.357677678022134E-3</v>
      </c>
    </row>
    <row r="1103" spans="1:25" x14ac:dyDescent="0.3">
      <c r="A1103" s="2">
        <v>42564</v>
      </c>
      <c r="B1103" s="1">
        <v>24.217500000000001</v>
      </c>
      <c r="C1103" s="1">
        <v>742.62990000000002</v>
      </c>
      <c r="D1103" s="1">
        <v>116.78</v>
      </c>
      <c r="E1103" s="3">
        <f t="shared" si="106"/>
        <v>360.5347999999999</v>
      </c>
      <c r="F1103" s="4">
        <f t="shared" si="107"/>
        <v>4.9648000000001957</v>
      </c>
      <c r="G1103" s="4">
        <f t="shared" si="108"/>
        <v>-4.9648000000001957</v>
      </c>
      <c r="W1103" s="59">
        <f t="shared" si="109"/>
        <v>-5.6616549401030556E-3</v>
      </c>
      <c r="X1103" s="59">
        <f t="shared" si="110"/>
        <v>-7.4858823651216648E-3</v>
      </c>
      <c r="Y1103" s="59">
        <f t="shared" si="111"/>
        <v>-9.7994052464871421E-3</v>
      </c>
    </row>
    <row r="1104" spans="1:25" x14ac:dyDescent="0.3">
      <c r="A1104" s="2">
        <v>42563</v>
      </c>
      <c r="B1104" s="1">
        <v>24.355</v>
      </c>
      <c r="C1104" s="1">
        <v>748.21</v>
      </c>
      <c r="D1104" s="1">
        <v>117.93</v>
      </c>
      <c r="E1104" s="3">
        <f t="shared" si="106"/>
        <v>355.56999999999971</v>
      </c>
      <c r="F1104" s="4">
        <f t="shared" si="107"/>
        <v>-6.8400000000001455</v>
      </c>
      <c r="G1104" s="4">
        <f t="shared" si="108"/>
        <v>6.8400000000001455</v>
      </c>
      <c r="W1104" s="59">
        <f t="shared" si="109"/>
        <v>4.5267567011902836E-3</v>
      </c>
      <c r="X1104" s="59">
        <f t="shared" si="110"/>
        <v>-7.4168610093338768E-3</v>
      </c>
      <c r="Y1104" s="59">
        <f t="shared" si="111"/>
        <v>5.0890586340066805E-4</v>
      </c>
    </row>
    <row r="1105" spans="1:25" x14ac:dyDescent="0.3">
      <c r="A1105" s="2">
        <v>42562</v>
      </c>
      <c r="B1105" s="1">
        <v>24.245000000000001</v>
      </c>
      <c r="C1105" s="1">
        <v>753.78</v>
      </c>
      <c r="D1105" s="1">
        <v>117.87</v>
      </c>
      <c r="E1105" s="3">
        <f t="shared" si="106"/>
        <v>362.40999999999985</v>
      </c>
      <c r="F1105" s="4">
        <f t="shared" si="107"/>
        <v>7.0897999999992862</v>
      </c>
      <c r="G1105" s="4">
        <f t="shared" si="108"/>
        <v>-7.0897999999992862</v>
      </c>
      <c r="W1105" s="59">
        <f t="shared" si="109"/>
        <v>3.0982158419239209E-3</v>
      </c>
      <c r="X1105" s="59">
        <f t="shared" si="110"/>
        <v>1.0629538086666817E-2</v>
      </c>
      <c r="Y1105" s="59">
        <f t="shared" si="111"/>
        <v>5.3592063957865026E-3</v>
      </c>
    </row>
    <row r="1106" spans="1:25" x14ac:dyDescent="0.3">
      <c r="A1106" s="2">
        <v>42559</v>
      </c>
      <c r="B1106" s="1">
        <v>24.17</v>
      </c>
      <c r="C1106" s="1">
        <v>745.81010000000003</v>
      </c>
      <c r="D1106" s="1">
        <v>117.24</v>
      </c>
      <c r="E1106" s="3">
        <f t="shared" si="106"/>
        <v>355.32020000000057</v>
      </c>
      <c r="F1106" s="4">
        <f t="shared" si="107"/>
        <v>-6.9999999999254214E-2</v>
      </c>
      <c r="G1106" s="4">
        <f t="shared" si="108"/>
        <v>6.9999999999254214E-2</v>
      </c>
      <c r="W1106" s="59">
        <f t="shared" si="109"/>
        <v>7.6835597613645161E-3</v>
      </c>
      <c r="X1106" s="59">
        <f t="shared" si="110"/>
        <v>1.2466598879393368E-2</v>
      </c>
      <c r="Y1106" s="59">
        <f t="shared" si="111"/>
        <v>1.1926864964306425E-2</v>
      </c>
    </row>
    <row r="1107" spans="1:25" x14ac:dyDescent="0.3">
      <c r="A1107" s="2">
        <v>42558</v>
      </c>
      <c r="B1107" s="1">
        <v>23.984999999999999</v>
      </c>
      <c r="C1107" s="1">
        <v>736.57010000000002</v>
      </c>
      <c r="D1107" s="1">
        <v>115.85</v>
      </c>
      <c r="E1107" s="3">
        <f t="shared" si="106"/>
        <v>355.39019999999982</v>
      </c>
      <c r="F1107" s="4">
        <f t="shared" si="107"/>
        <v>20.045000000000073</v>
      </c>
      <c r="G1107" s="4">
        <f t="shared" si="108"/>
        <v>-20.045000000000073</v>
      </c>
      <c r="W1107" s="59">
        <f t="shared" si="109"/>
        <v>4.2826617920007281E-3</v>
      </c>
      <c r="X1107" s="59">
        <f t="shared" si="110"/>
        <v>-1.410953928882158E-3</v>
      </c>
      <c r="Y1107" s="59">
        <f t="shared" si="111"/>
        <v>-7.310288414125142E-3</v>
      </c>
    </row>
    <row r="1108" spans="1:25" x14ac:dyDescent="0.3">
      <c r="A1108" s="2">
        <v>42557</v>
      </c>
      <c r="B1108" s="1">
        <v>23.8825</v>
      </c>
      <c r="C1108" s="1">
        <v>737.61009999999999</v>
      </c>
      <c r="D1108" s="1">
        <v>116.7</v>
      </c>
      <c r="E1108" s="3">
        <f t="shared" si="106"/>
        <v>335.34519999999975</v>
      </c>
      <c r="F1108" s="4">
        <f t="shared" si="107"/>
        <v>-28.230000000000473</v>
      </c>
      <c r="G1108" s="4">
        <f t="shared" si="108"/>
        <v>28.230000000000473</v>
      </c>
      <c r="W1108" s="59">
        <f t="shared" si="109"/>
        <v>5.6687113798260681E-3</v>
      </c>
      <c r="X1108" s="59">
        <f t="shared" si="110"/>
        <v>1.2976826462775906E-2</v>
      </c>
      <c r="Y1108" s="59">
        <f t="shared" si="111"/>
        <v>2.3408090898014804E-2</v>
      </c>
    </row>
    <row r="1109" spans="1:25" x14ac:dyDescent="0.3">
      <c r="A1109" s="2">
        <v>42556</v>
      </c>
      <c r="B1109" s="1">
        <v>23.747499999999999</v>
      </c>
      <c r="C1109" s="1">
        <v>728.1001</v>
      </c>
      <c r="D1109" s="1">
        <v>114</v>
      </c>
      <c r="E1109" s="3">
        <f t="shared" si="106"/>
        <v>363.57520000000022</v>
      </c>
      <c r="F1109" s="4">
        <f t="shared" si="107"/>
        <v>-2.609599999999773</v>
      </c>
      <c r="G1109" s="4">
        <f t="shared" si="108"/>
        <v>2.609599999999773</v>
      </c>
      <c r="W1109" s="59">
        <f t="shared" si="109"/>
        <v>-9.4300782634987503E-3</v>
      </c>
      <c r="X1109" s="59">
        <f t="shared" si="110"/>
        <v>3.329530239534259E-3</v>
      </c>
      <c r="Y1109" s="59">
        <f t="shared" si="111"/>
        <v>-1.6652793190612089E-3</v>
      </c>
    </row>
    <row r="1110" spans="1:25" x14ac:dyDescent="0.3">
      <c r="A1110" s="2">
        <v>42555</v>
      </c>
      <c r="B1110" s="1">
        <v>23.9725</v>
      </c>
      <c r="C1110" s="1">
        <v>725.67989999999998</v>
      </c>
      <c r="D1110" s="1">
        <v>114.19</v>
      </c>
      <c r="E1110" s="3">
        <f t="shared" si="106"/>
        <v>366.1848</v>
      </c>
      <c r="F1110" s="4">
        <f t="shared" si="107"/>
        <v>0</v>
      </c>
      <c r="G1110" s="4">
        <f t="shared" si="108"/>
        <v>0</v>
      </c>
      <c r="W1110" s="59">
        <f t="shared" si="109"/>
        <v>0</v>
      </c>
      <c r="X1110" s="59">
        <f t="shared" si="110"/>
        <v>0</v>
      </c>
      <c r="Y1110" s="59">
        <f t="shared" si="111"/>
        <v>0</v>
      </c>
    </row>
    <row r="1111" spans="1:25" x14ac:dyDescent="0.3">
      <c r="A1111" s="2">
        <v>42552</v>
      </c>
      <c r="B1111" s="1">
        <v>23.9725</v>
      </c>
      <c r="C1111" s="1">
        <v>725.67989999999998</v>
      </c>
      <c r="D1111" s="1">
        <v>114.19</v>
      </c>
      <c r="E1111" s="3">
        <f t="shared" si="106"/>
        <v>366.1848</v>
      </c>
      <c r="F1111" s="4">
        <f t="shared" si="107"/>
        <v>25.544599999999718</v>
      </c>
      <c r="G1111" s="4">
        <f t="shared" si="108"/>
        <v>-25.544599999999718</v>
      </c>
      <c r="W1111" s="59">
        <f t="shared" si="109"/>
        <v>3.028881108234357E-3</v>
      </c>
      <c r="X1111" s="59">
        <f t="shared" si="110"/>
        <v>1.3959568947302738E-2</v>
      </c>
      <c r="Y1111" s="59">
        <f t="shared" si="111"/>
        <v>-7.8784964901565206E-4</v>
      </c>
    </row>
    <row r="1112" spans="1:25" x14ac:dyDescent="0.3">
      <c r="A1112" s="2">
        <v>42551</v>
      </c>
      <c r="B1112" s="1">
        <v>23.9</v>
      </c>
      <c r="C1112" s="1">
        <v>715.62009999999998</v>
      </c>
      <c r="D1112" s="1">
        <v>114.28</v>
      </c>
      <c r="E1112" s="3">
        <f t="shared" si="106"/>
        <v>340.64020000000028</v>
      </c>
      <c r="F1112" s="4">
        <f t="shared" si="107"/>
        <v>12.639999999999873</v>
      </c>
      <c r="G1112" s="4">
        <f t="shared" si="108"/>
        <v>-12.639999999999873</v>
      </c>
      <c r="W1112" s="59">
        <f t="shared" si="109"/>
        <v>1.2631746905900564E-2</v>
      </c>
      <c r="X1112" s="59">
        <f t="shared" si="110"/>
        <v>2.7948180163058935E-5</v>
      </c>
      <c r="Y1112" s="59">
        <f t="shared" si="111"/>
        <v>1.0506041939913687E-3</v>
      </c>
    </row>
    <row r="1113" spans="1:25" x14ac:dyDescent="0.3">
      <c r="A1113" s="2">
        <v>42550</v>
      </c>
      <c r="B1113" s="1">
        <v>23.6</v>
      </c>
      <c r="C1113" s="1">
        <v>715.6001</v>
      </c>
      <c r="D1113" s="1">
        <v>114.16</v>
      </c>
      <c r="E1113" s="3">
        <f t="shared" si="106"/>
        <v>328.0002000000004</v>
      </c>
      <c r="F1113" s="4">
        <f t="shared" si="107"/>
        <v>-3.7747999999996864</v>
      </c>
      <c r="G1113" s="4">
        <f t="shared" si="108"/>
        <v>3.7747999999996864</v>
      </c>
      <c r="W1113" s="59">
        <f t="shared" si="109"/>
        <v>8.6175329822899237E-3</v>
      </c>
      <c r="X1113" s="59">
        <f t="shared" si="110"/>
        <v>1.0748021646447618E-2</v>
      </c>
      <c r="Y1113" s="59">
        <f t="shared" si="111"/>
        <v>1.2871552122850237E-2</v>
      </c>
    </row>
    <row r="1114" spans="1:25" x14ac:dyDescent="0.3">
      <c r="A1114" s="2">
        <v>42549</v>
      </c>
      <c r="B1114" s="1">
        <v>23.397500000000001</v>
      </c>
      <c r="C1114" s="1">
        <v>707.95</v>
      </c>
      <c r="D1114" s="1">
        <v>112.7</v>
      </c>
      <c r="E1114" s="3">
        <f t="shared" si="106"/>
        <v>331.77500000000009</v>
      </c>
      <c r="F1114" s="4">
        <f t="shared" si="107"/>
        <v>-22.045199999999568</v>
      </c>
      <c r="G1114" s="4">
        <f t="shared" si="108"/>
        <v>22.045199999999568</v>
      </c>
      <c r="W1114" s="59">
        <f t="shared" si="109"/>
        <v>1.6700275001999953E-2</v>
      </c>
      <c r="X1114" s="59">
        <f t="shared" si="110"/>
        <v>2.3712652904923408E-2</v>
      </c>
      <c r="Y1114" s="59">
        <f t="shared" si="111"/>
        <v>3.3656806056935898E-2</v>
      </c>
    </row>
    <row r="1115" spans="1:25" x14ac:dyDescent="0.3">
      <c r="A1115" s="2">
        <v>42548</v>
      </c>
      <c r="B1115" s="1">
        <v>23.01</v>
      </c>
      <c r="C1115" s="1">
        <v>691.36009999999999</v>
      </c>
      <c r="D1115" s="1">
        <v>108.97</v>
      </c>
      <c r="E1115" s="3">
        <f t="shared" si="106"/>
        <v>353.82019999999966</v>
      </c>
      <c r="F1115" s="4">
        <f t="shared" si="107"/>
        <v>30.000199999999495</v>
      </c>
      <c r="G1115" s="4">
        <f t="shared" si="108"/>
        <v>-30.000199999999495</v>
      </c>
      <c r="W1115" s="59">
        <f t="shared" si="109"/>
        <v>-1.4668080067631806E-2</v>
      </c>
      <c r="X1115" s="59">
        <f t="shared" si="110"/>
        <v>-1.0932699163782773E-2</v>
      </c>
      <c r="Y1115" s="59">
        <f t="shared" si="111"/>
        <v>-2.8140287039956777E-2</v>
      </c>
    </row>
    <row r="1116" spans="1:25" x14ac:dyDescent="0.3">
      <c r="A1116" s="2">
        <v>42545</v>
      </c>
      <c r="B1116" s="1">
        <v>23.35</v>
      </c>
      <c r="C1116" s="1">
        <v>698.96</v>
      </c>
      <c r="D1116" s="1">
        <v>112.08</v>
      </c>
      <c r="E1116" s="3">
        <f t="shared" si="106"/>
        <v>323.82000000000016</v>
      </c>
      <c r="F1116" s="4">
        <f t="shared" si="107"/>
        <v>-19.990200000000186</v>
      </c>
      <c r="G1116" s="4">
        <f t="shared" si="108"/>
        <v>19.990200000000186</v>
      </c>
      <c r="W1116" s="59">
        <f t="shared" si="109"/>
        <v>-2.8497970741449767E-2</v>
      </c>
      <c r="X1116" s="59">
        <f t="shared" si="110"/>
        <v>-3.2542558577652356E-2</v>
      </c>
      <c r="Y1116" s="59">
        <f t="shared" si="111"/>
        <v>-2.6414636654595567E-2</v>
      </c>
    </row>
    <row r="1117" spans="1:25" x14ac:dyDescent="0.3">
      <c r="A1117" s="2">
        <v>42544</v>
      </c>
      <c r="B1117" s="1">
        <v>24.024999999999999</v>
      </c>
      <c r="C1117" s="1">
        <v>722.08010000000002</v>
      </c>
      <c r="D1117" s="1">
        <v>115.08</v>
      </c>
      <c r="E1117" s="3">
        <f t="shared" si="106"/>
        <v>343.81020000000035</v>
      </c>
      <c r="F1117" s="4">
        <f t="shared" si="107"/>
        <v>6.4349999999999454</v>
      </c>
      <c r="G1117" s="4">
        <f t="shared" si="108"/>
        <v>-6.4349999999999454</v>
      </c>
      <c r="W1117" s="59">
        <f t="shared" si="109"/>
        <v>5.7396452899648375E-3</v>
      </c>
      <c r="X1117" s="59">
        <f t="shared" si="110"/>
        <v>1.6026250254427919E-2</v>
      </c>
      <c r="Y1117" s="59">
        <f t="shared" si="111"/>
        <v>1.0218875771526598E-2</v>
      </c>
    </row>
    <row r="1118" spans="1:25" x14ac:dyDescent="0.3">
      <c r="A1118" s="2">
        <v>42543</v>
      </c>
      <c r="B1118" s="1">
        <v>23.887499999999999</v>
      </c>
      <c r="C1118" s="1">
        <v>710.6001</v>
      </c>
      <c r="D1118" s="1">
        <v>113.91</v>
      </c>
      <c r="E1118" s="3">
        <f t="shared" si="106"/>
        <v>337.3752000000004</v>
      </c>
      <c r="F1118" s="4">
        <f t="shared" si="107"/>
        <v>-5.5399999999995089</v>
      </c>
      <c r="G1118" s="4">
        <f t="shared" si="108"/>
        <v>5.5399999999995089</v>
      </c>
      <c r="W1118" s="59">
        <f t="shared" si="109"/>
        <v>-3.7605810535777133E-3</v>
      </c>
      <c r="X1118" s="59">
        <f t="shared" si="110"/>
        <v>-7.3190540940175726E-3</v>
      </c>
      <c r="Y1118" s="59">
        <f t="shared" si="111"/>
        <v>-4.117575575349447E-3</v>
      </c>
    </row>
    <row r="1119" spans="1:25" x14ac:dyDescent="0.3">
      <c r="A1119" s="2">
        <v>42542</v>
      </c>
      <c r="B1119" s="1">
        <v>23.977499999999999</v>
      </c>
      <c r="C1119" s="1">
        <v>715.82010000000002</v>
      </c>
      <c r="D1119" s="1">
        <v>114.38</v>
      </c>
      <c r="E1119" s="3">
        <f t="shared" si="106"/>
        <v>342.91519999999991</v>
      </c>
      <c r="F1119" s="4">
        <f t="shared" si="107"/>
        <v>-6.4547999999999774</v>
      </c>
      <c r="G1119" s="4">
        <f t="shared" si="108"/>
        <v>6.4547999999999774</v>
      </c>
      <c r="W1119" s="59">
        <f t="shared" si="109"/>
        <v>8.4812821885151407E-3</v>
      </c>
      <c r="X1119" s="59">
        <f t="shared" si="110"/>
        <v>2.5319105633335101E-3</v>
      </c>
      <c r="Y1119" s="59">
        <f t="shared" si="111"/>
        <v>8.8694324576627757E-3</v>
      </c>
    </row>
    <row r="1120" spans="1:25" x14ac:dyDescent="0.3">
      <c r="A1120" s="2">
        <v>42541</v>
      </c>
      <c r="B1120" s="1">
        <v>23.774999999999999</v>
      </c>
      <c r="C1120" s="1">
        <v>714.01</v>
      </c>
      <c r="D1120" s="1">
        <v>113.37</v>
      </c>
      <c r="E1120" s="3">
        <f t="shared" si="106"/>
        <v>349.36999999999989</v>
      </c>
      <c r="F1120" s="4">
        <f t="shared" si="107"/>
        <v>5.3651999999997315</v>
      </c>
      <c r="G1120" s="4">
        <f t="shared" si="108"/>
        <v>-5.3651999999997315</v>
      </c>
      <c r="W1120" s="59">
        <f t="shared" si="109"/>
        <v>-2.4155869541422023E-3</v>
      </c>
      <c r="X1120" s="59">
        <f t="shared" si="110"/>
        <v>1.0729616504457333E-2</v>
      </c>
      <c r="Y1120" s="59">
        <f t="shared" si="111"/>
        <v>3.092011827810162E-3</v>
      </c>
    </row>
    <row r="1121" spans="1:25" x14ac:dyDescent="0.3">
      <c r="A1121" s="2">
        <v>42538</v>
      </c>
      <c r="B1121" s="1">
        <v>23.8325</v>
      </c>
      <c r="C1121" s="1">
        <v>706.38990000000001</v>
      </c>
      <c r="D1121" s="1">
        <v>113.02</v>
      </c>
      <c r="E1121" s="3">
        <f t="shared" si="106"/>
        <v>344.00480000000016</v>
      </c>
      <c r="F1121" s="4">
        <f t="shared" si="107"/>
        <v>-22.590199999999641</v>
      </c>
      <c r="G1121" s="4">
        <f t="shared" si="108"/>
        <v>22.590199999999641</v>
      </c>
      <c r="W1121" s="59">
        <f t="shared" si="109"/>
        <v>-2.3020510563633398E-2</v>
      </c>
      <c r="X1121" s="59">
        <f t="shared" si="110"/>
        <v>-1.5619533479592718E-2</v>
      </c>
      <c r="Y1121" s="59">
        <f t="shared" si="111"/>
        <v>-1.2048868335884859E-2</v>
      </c>
    </row>
    <row r="1122" spans="1:25" x14ac:dyDescent="0.3">
      <c r="A1122" s="2">
        <v>42537</v>
      </c>
      <c r="B1122" s="1">
        <v>24.387499999999999</v>
      </c>
      <c r="C1122" s="1">
        <v>717.51</v>
      </c>
      <c r="D1122" s="1">
        <v>114.39</v>
      </c>
      <c r="E1122" s="3">
        <f t="shared" si="106"/>
        <v>366.5949999999998</v>
      </c>
      <c r="F1122" s="4">
        <f t="shared" si="107"/>
        <v>15.824999999999818</v>
      </c>
      <c r="G1122" s="4">
        <f t="shared" si="108"/>
        <v>-15.824999999999818</v>
      </c>
      <c r="W1122" s="59">
        <f t="shared" si="109"/>
        <v>4.2118301515214254E-3</v>
      </c>
      <c r="X1122" s="59">
        <f t="shared" si="110"/>
        <v>4.5398431059746648E-3</v>
      </c>
      <c r="Y1122" s="59">
        <f t="shared" si="111"/>
        <v>-1.8341417430570964E-3</v>
      </c>
    </row>
    <row r="1123" spans="1:25" x14ac:dyDescent="0.3">
      <c r="A1123" s="2">
        <v>42536</v>
      </c>
      <c r="B1123" s="1">
        <v>24.285</v>
      </c>
      <c r="C1123" s="1">
        <v>714.26</v>
      </c>
      <c r="D1123" s="1">
        <v>114.6</v>
      </c>
      <c r="E1123" s="3">
        <f t="shared" si="106"/>
        <v>350.77</v>
      </c>
      <c r="F1123" s="4">
        <f t="shared" si="107"/>
        <v>-7.2799999999997453</v>
      </c>
      <c r="G1123" s="4">
        <f t="shared" si="108"/>
        <v>7.2799999999997453</v>
      </c>
      <c r="W1123" s="59">
        <f t="shared" si="109"/>
        <v>-3.2888004977613215E-3</v>
      </c>
      <c r="X1123" s="59">
        <f t="shared" si="110"/>
        <v>-7.0314751604019319E-3</v>
      </c>
      <c r="Y1123" s="59">
        <f t="shared" si="111"/>
        <v>-2.962448798956257E-3</v>
      </c>
    </row>
    <row r="1124" spans="1:25" x14ac:dyDescent="0.3">
      <c r="A1124" s="2">
        <v>42535</v>
      </c>
      <c r="B1124" s="1">
        <v>24.364999999999998</v>
      </c>
      <c r="C1124" s="1">
        <v>719.3</v>
      </c>
      <c r="D1124" s="1">
        <v>114.94</v>
      </c>
      <c r="E1124" s="3">
        <f t="shared" si="106"/>
        <v>358.04999999999973</v>
      </c>
      <c r="F1124" s="4">
        <f t="shared" si="107"/>
        <v>-10.180000000000291</v>
      </c>
      <c r="G1124" s="4">
        <f t="shared" si="108"/>
        <v>10.180000000000291</v>
      </c>
      <c r="W1124" s="59">
        <f t="shared" si="109"/>
        <v>1.2320330100518142E-3</v>
      </c>
      <c r="X1124" s="59">
        <f t="shared" si="110"/>
        <v>5.6603661663082597E-3</v>
      </c>
      <c r="Y1124" s="59">
        <f t="shared" si="111"/>
        <v>8.6504973879021306E-3</v>
      </c>
    </row>
    <row r="1125" spans="1:25" x14ac:dyDescent="0.3">
      <c r="A1125" s="2">
        <v>42534</v>
      </c>
      <c r="B1125" s="1">
        <v>24.335000000000001</v>
      </c>
      <c r="C1125" s="1">
        <v>715.24</v>
      </c>
      <c r="D1125" s="1">
        <v>113.95</v>
      </c>
      <c r="E1125" s="3">
        <f t="shared" si="106"/>
        <v>368.23</v>
      </c>
      <c r="F1125" s="4">
        <f t="shared" si="107"/>
        <v>29.435199999999895</v>
      </c>
      <c r="G1125" s="4">
        <f t="shared" si="108"/>
        <v>-29.435199999999895</v>
      </c>
      <c r="W1125" s="59">
        <f t="shared" si="109"/>
        <v>-1.5191197982784177E-2</v>
      </c>
      <c r="X1125" s="59">
        <f t="shared" si="110"/>
        <v>-3.7259230018301857E-3</v>
      </c>
      <c r="Y1125" s="59">
        <f t="shared" si="111"/>
        <v>-2.316103010231672E-2</v>
      </c>
    </row>
    <row r="1126" spans="1:25" x14ac:dyDescent="0.3">
      <c r="A1126" s="2">
        <v>42531</v>
      </c>
      <c r="B1126" s="1">
        <v>24.7075</v>
      </c>
      <c r="C1126" s="1">
        <v>717.90989999999999</v>
      </c>
      <c r="D1126" s="1">
        <v>116.62</v>
      </c>
      <c r="E1126" s="3">
        <f t="shared" si="106"/>
        <v>338.79480000000012</v>
      </c>
      <c r="F1126" s="4">
        <f t="shared" si="107"/>
        <v>9.0700000000001637</v>
      </c>
      <c r="G1126" s="4">
        <f t="shared" si="108"/>
        <v>-9.0700000000001637</v>
      </c>
      <c r="W1126" s="59">
        <f t="shared" si="109"/>
        <v>-8.2628442707112226E-3</v>
      </c>
      <c r="X1126" s="59">
        <f t="shared" si="110"/>
        <v>-1.3475952221784507E-2</v>
      </c>
      <c r="Y1126" s="59">
        <f t="shared" si="111"/>
        <v>-1.649837575376685E-2</v>
      </c>
    </row>
    <row r="1127" spans="1:25" x14ac:dyDescent="0.3">
      <c r="A1127" s="2">
        <v>42530</v>
      </c>
      <c r="B1127" s="1">
        <v>24.912500000000001</v>
      </c>
      <c r="C1127" s="1">
        <v>727.6499</v>
      </c>
      <c r="D1127" s="1">
        <v>118.56</v>
      </c>
      <c r="E1127" s="3">
        <f t="shared" si="106"/>
        <v>329.72479999999996</v>
      </c>
      <c r="F1127" s="4">
        <f t="shared" si="107"/>
        <v>7.4949999999998909</v>
      </c>
      <c r="G1127" s="4">
        <f t="shared" si="108"/>
        <v>-7.4949999999998909</v>
      </c>
      <c r="W1127" s="59">
        <f t="shared" si="109"/>
        <v>7.1504408592411653E-3</v>
      </c>
      <c r="X1127" s="59">
        <f t="shared" si="110"/>
        <v>1.3889943563974135E-3</v>
      </c>
      <c r="Y1127" s="59">
        <f t="shared" si="111"/>
        <v>1.4349021242318772E-3</v>
      </c>
    </row>
    <row r="1128" spans="1:25" x14ac:dyDescent="0.3">
      <c r="A1128" s="2">
        <v>42529</v>
      </c>
      <c r="B1128" s="1">
        <v>24.734999999999999</v>
      </c>
      <c r="C1128" s="1">
        <v>726.63990000000001</v>
      </c>
      <c r="D1128" s="1">
        <v>118.39</v>
      </c>
      <c r="E1128" s="3">
        <f t="shared" si="106"/>
        <v>322.22980000000007</v>
      </c>
      <c r="F1128" s="4">
        <f t="shared" si="107"/>
        <v>-7.9251999999996769</v>
      </c>
      <c r="G1128" s="4">
        <f t="shared" si="108"/>
        <v>7.9251999999996769</v>
      </c>
      <c r="W1128" s="59">
        <f t="shared" si="109"/>
        <v>-9.0922873364883351E-4</v>
      </c>
      <c r="X1128" s="59">
        <f t="shared" si="110"/>
        <v>3.998819708203186E-3</v>
      </c>
      <c r="Y1128" s="59">
        <f t="shared" si="111"/>
        <v>5.3356044429787829E-3</v>
      </c>
    </row>
    <row r="1129" spans="1:25" x14ac:dyDescent="0.3">
      <c r="A1129" s="2">
        <v>42528</v>
      </c>
      <c r="B1129" s="1">
        <v>24.7575</v>
      </c>
      <c r="C1129" s="1">
        <v>723.74</v>
      </c>
      <c r="D1129" s="1">
        <v>117.76</v>
      </c>
      <c r="E1129" s="3">
        <f t="shared" si="106"/>
        <v>330.15499999999975</v>
      </c>
      <c r="F1129" s="4">
        <f t="shared" si="107"/>
        <v>19.619999999999891</v>
      </c>
      <c r="G1129" s="4">
        <f t="shared" si="108"/>
        <v>-19.619999999999891</v>
      </c>
      <c r="W1129" s="59">
        <f t="shared" si="109"/>
        <v>4.047359567309298E-3</v>
      </c>
      <c r="X1129" s="59">
        <f t="shared" si="110"/>
        <v>-4.1228074144510672E-3</v>
      </c>
      <c r="Y1129" s="59">
        <f t="shared" si="111"/>
        <v>-8.708573320882193E-3</v>
      </c>
    </row>
    <row r="1130" spans="1:25" x14ac:dyDescent="0.3">
      <c r="A1130" s="2">
        <v>42527</v>
      </c>
      <c r="B1130" s="1">
        <v>24.657499999999999</v>
      </c>
      <c r="C1130" s="1">
        <v>726.73</v>
      </c>
      <c r="D1130" s="1">
        <v>118.79</v>
      </c>
      <c r="E1130" s="3">
        <f t="shared" si="106"/>
        <v>310.53499999999985</v>
      </c>
      <c r="F1130" s="4">
        <f t="shared" si="107"/>
        <v>4.8550000000000182</v>
      </c>
      <c r="G1130" s="4">
        <f t="shared" si="108"/>
        <v>-4.8550000000000182</v>
      </c>
      <c r="W1130" s="59">
        <f t="shared" si="109"/>
        <v>7.2246562018861218E-3</v>
      </c>
      <c r="X1130" s="59">
        <f t="shared" si="110"/>
        <v>1.638814085993853E-3</v>
      </c>
      <c r="Y1130" s="59">
        <f t="shared" si="111"/>
        <v>2.6974643347805788E-3</v>
      </c>
    </row>
    <row r="1131" spans="1:25" x14ac:dyDescent="0.3">
      <c r="A1131" s="2">
        <v>42524</v>
      </c>
      <c r="B1131" s="1">
        <v>24.48</v>
      </c>
      <c r="C1131" s="1">
        <v>725.54</v>
      </c>
      <c r="D1131" s="1">
        <v>118.47</v>
      </c>
      <c r="E1131" s="3">
        <f t="shared" si="106"/>
        <v>305.67999999999984</v>
      </c>
      <c r="F1131" s="4">
        <f t="shared" si="107"/>
        <v>6.3000000000001819</v>
      </c>
      <c r="G1131" s="4">
        <f t="shared" si="108"/>
        <v>-6.3000000000001819</v>
      </c>
      <c r="W1131" s="59">
        <f t="shared" si="109"/>
        <v>2.0445723744762284E-3</v>
      </c>
      <c r="X1131" s="59">
        <f t="shared" si="110"/>
        <v>-3.7144590025596316E-3</v>
      </c>
      <c r="Y1131" s="59">
        <f t="shared" si="111"/>
        <v>-3.8753207724862692E-3</v>
      </c>
    </row>
    <row r="1132" spans="1:25" x14ac:dyDescent="0.3">
      <c r="A1132" s="2">
        <v>42523</v>
      </c>
      <c r="B1132" s="1">
        <v>24.43</v>
      </c>
      <c r="C1132" s="1">
        <v>728.24</v>
      </c>
      <c r="D1132" s="1">
        <v>118.93</v>
      </c>
      <c r="E1132" s="3">
        <f t="shared" si="106"/>
        <v>299.37999999999965</v>
      </c>
      <c r="F1132" s="4">
        <f t="shared" si="107"/>
        <v>5.3501999999998588</v>
      </c>
      <c r="G1132" s="4">
        <f t="shared" si="108"/>
        <v>-5.3501999999998588</v>
      </c>
      <c r="W1132" s="59">
        <f t="shared" si="109"/>
        <v>-7.544127940514813E-3</v>
      </c>
      <c r="X1132" s="59">
        <f t="shared" si="110"/>
        <v>1.2157671587780696E-2</v>
      </c>
      <c r="Y1132" s="59">
        <f t="shared" si="111"/>
        <v>1.2620421514398389E-3</v>
      </c>
    </row>
    <row r="1133" spans="1:25" x14ac:dyDescent="0.3">
      <c r="A1133" s="2">
        <v>42522</v>
      </c>
      <c r="B1133" s="1">
        <v>24.614999999999998</v>
      </c>
      <c r="C1133" s="1">
        <v>719.43989999999997</v>
      </c>
      <c r="D1133" s="1">
        <v>118.78</v>
      </c>
      <c r="E1133" s="3">
        <f t="shared" si="106"/>
        <v>294.0297999999998</v>
      </c>
      <c r="F1133" s="4">
        <f t="shared" si="107"/>
        <v>-23.600200000000314</v>
      </c>
      <c r="G1133" s="4">
        <f t="shared" si="108"/>
        <v>23.600200000000314</v>
      </c>
      <c r="W1133" s="59">
        <f t="shared" si="109"/>
        <v>-1.4118830742408803E-2</v>
      </c>
      <c r="X1133" s="59">
        <f t="shared" si="110"/>
        <v>-4.6457309273375078E-3</v>
      </c>
      <c r="Y1133" s="59">
        <f t="shared" si="111"/>
        <v>-2.5253588248185627E-4</v>
      </c>
    </row>
    <row r="1134" spans="1:25" x14ac:dyDescent="0.3">
      <c r="A1134" s="2">
        <v>42521</v>
      </c>
      <c r="B1134" s="1">
        <v>24.965</v>
      </c>
      <c r="C1134" s="1">
        <v>722.79</v>
      </c>
      <c r="D1134" s="1">
        <v>118.81</v>
      </c>
      <c r="E1134" s="3">
        <f t="shared" si="106"/>
        <v>317.63000000000011</v>
      </c>
      <c r="F1134" s="4">
        <f t="shared" si="107"/>
        <v>26.375</v>
      </c>
      <c r="G1134" s="4">
        <f t="shared" si="108"/>
        <v>-26.375</v>
      </c>
      <c r="W1134" s="59">
        <f t="shared" si="109"/>
        <v>-4.8948701698838908E-3</v>
      </c>
      <c r="X1134" s="59">
        <f t="shared" si="110"/>
        <v>1.4703790271174312E-2</v>
      </c>
      <c r="Y1134" s="59">
        <f t="shared" si="111"/>
        <v>-4.7861042703077434E-3</v>
      </c>
    </row>
    <row r="1135" spans="1:25" x14ac:dyDescent="0.3">
      <c r="A1135" s="2">
        <v>42520</v>
      </c>
      <c r="B1135" s="1">
        <v>25.087499999999999</v>
      </c>
      <c r="C1135" s="1">
        <v>712.24</v>
      </c>
      <c r="D1135" s="1">
        <v>119.38</v>
      </c>
      <c r="E1135" s="3">
        <f t="shared" si="106"/>
        <v>291.25500000000011</v>
      </c>
      <c r="F1135" s="4">
        <f t="shared" si="107"/>
        <v>0</v>
      </c>
      <c r="G1135" s="4">
        <f t="shared" si="108"/>
        <v>0</v>
      </c>
      <c r="W1135" s="59">
        <f t="shared" si="109"/>
        <v>0</v>
      </c>
      <c r="X1135" s="59">
        <f t="shared" si="110"/>
        <v>0</v>
      </c>
      <c r="Y1135" s="59">
        <f t="shared" si="111"/>
        <v>0</v>
      </c>
    </row>
    <row r="1136" spans="1:25" x14ac:dyDescent="0.3">
      <c r="A1136" s="2">
        <v>42517</v>
      </c>
      <c r="B1136" s="1">
        <v>25.087499999999999</v>
      </c>
      <c r="C1136" s="1">
        <v>712.24</v>
      </c>
      <c r="D1136" s="1">
        <v>119.38</v>
      </c>
      <c r="E1136" s="3">
        <f t="shared" si="106"/>
        <v>291.25500000000011</v>
      </c>
      <c r="F1136" s="4">
        <f t="shared" si="107"/>
        <v>-4.2898000000000138</v>
      </c>
      <c r="G1136" s="4">
        <f t="shared" si="108"/>
        <v>4.2898000000000138</v>
      </c>
      <c r="W1136" s="59">
        <f t="shared" si="109"/>
        <v>-5.977286489978514E-4</v>
      </c>
      <c r="X1136" s="59">
        <f t="shared" si="110"/>
        <v>-3.7415875021484541E-3</v>
      </c>
      <c r="Y1136" s="59">
        <f t="shared" si="111"/>
        <v>-7.5361108862865873E-4</v>
      </c>
    </row>
    <row r="1137" spans="1:25" x14ac:dyDescent="0.3">
      <c r="A1137" s="2">
        <v>42516</v>
      </c>
      <c r="B1137" s="1">
        <v>25.102499999999999</v>
      </c>
      <c r="C1137" s="1">
        <v>714.90989999999999</v>
      </c>
      <c r="D1137" s="1">
        <v>119.47</v>
      </c>
      <c r="E1137" s="3">
        <f t="shared" si="106"/>
        <v>295.54480000000012</v>
      </c>
      <c r="F1137" s="4">
        <f t="shared" si="107"/>
        <v>-8.6053999999999178</v>
      </c>
      <c r="G1137" s="4">
        <f t="shared" si="108"/>
        <v>8.6053999999999178</v>
      </c>
      <c r="W1137" s="59">
        <f t="shared" si="109"/>
        <v>7.8988562462074825E-3</v>
      </c>
      <c r="X1137" s="59">
        <f t="shared" si="110"/>
        <v>9.2180577690655022E-3</v>
      </c>
      <c r="Y1137" s="59">
        <f t="shared" si="111"/>
        <v>1.3313307525096315E-2</v>
      </c>
    </row>
    <row r="1138" spans="1:25" x14ac:dyDescent="0.3">
      <c r="A1138" s="2">
        <v>42515</v>
      </c>
      <c r="B1138" s="1">
        <v>24.905000000000001</v>
      </c>
      <c r="C1138" s="1">
        <v>708.3501</v>
      </c>
      <c r="D1138" s="1">
        <v>117.89</v>
      </c>
      <c r="E1138" s="3">
        <f t="shared" si="106"/>
        <v>304.15020000000004</v>
      </c>
      <c r="F1138" s="4">
        <f t="shared" si="107"/>
        <v>26.00019999999995</v>
      </c>
      <c r="G1138" s="4">
        <f t="shared" si="108"/>
        <v>-26.00019999999995</v>
      </c>
      <c r="W1138" s="59">
        <f t="shared" si="109"/>
        <v>1.7416398108672661E-2</v>
      </c>
      <c r="X1138" s="59">
        <f t="shared" si="110"/>
        <v>5.8760562775466941E-3</v>
      </c>
      <c r="Y1138" s="59">
        <f t="shared" si="111"/>
        <v>1.6129720378051293E-3</v>
      </c>
    </row>
    <row r="1139" spans="1:25" x14ac:dyDescent="0.3">
      <c r="A1139" s="2">
        <v>42514</v>
      </c>
      <c r="B1139" s="1">
        <v>24.475000000000001</v>
      </c>
      <c r="C1139" s="1">
        <v>704.2</v>
      </c>
      <c r="D1139" s="1">
        <v>117.7</v>
      </c>
      <c r="E1139" s="3">
        <f t="shared" si="106"/>
        <v>278.15000000000009</v>
      </c>
      <c r="F1139" s="4">
        <f t="shared" si="107"/>
        <v>-1.3249999999998181</v>
      </c>
      <c r="G1139" s="4">
        <f t="shared" si="108"/>
        <v>1.3249999999998181</v>
      </c>
      <c r="W1139" s="59">
        <f t="shared" si="109"/>
        <v>1.5129193014171627E-2</v>
      </c>
      <c r="X1139" s="59">
        <f t="shared" si="110"/>
        <v>1.0635740358894665E-2</v>
      </c>
      <c r="Y1139" s="59">
        <f t="shared" si="111"/>
        <v>1.4807477297619259E-2</v>
      </c>
    </row>
    <row r="1140" spans="1:25" x14ac:dyDescent="0.3">
      <c r="A1140" s="2">
        <v>42513</v>
      </c>
      <c r="B1140" s="1">
        <v>24.107500000000002</v>
      </c>
      <c r="C1140" s="1">
        <v>696.75</v>
      </c>
      <c r="D1140" s="1">
        <v>115.97</v>
      </c>
      <c r="E1140" s="3">
        <f t="shared" si="106"/>
        <v>279.47499999999991</v>
      </c>
      <c r="F1140" s="4">
        <f t="shared" si="107"/>
        <v>30.625</v>
      </c>
      <c r="G1140" s="4">
        <f t="shared" si="108"/>
        <v>-30.625</v>
      </c>
      <c r="W1140" s="59">
        <f t="shared" si="109"/>
        <v>1.2627352755920473E-2</v>
      </c>
      <c r="X1140" s="59">
        <f t="shared" si="110"/>
        <v>-8.6456899508845133E-3</v>
      </c>
      <c r="Y1140" s="59">
        <f t="shared" si="111"/>
        <v>-1.1829385328420575E-2</v>
      </c>
    </row>
    <row r="1141" spans="1:25" x14ac:dyDescent="0.3">
      <c r="A1141" s="2">
        <v>42510</v>
      </c>
      <c r="B1141" s="1">
        <v>23.805</v>
      </c>
      <c r="C1141" s="1">
        <v>702.8</v>
      </c>
      <c r="D1141" s="1">
        <v>117.35</v>
      </c>
      <c r="E1141" s="3">
        <f t="shared" si="106"/>
        <v>248.84999999999991</v>
      </c>
      <c r="F1141" s="4">
        <f t="shared" si="107"/>
        <v>10.509999999999764</v>
      </c>
      <c r="G1141" s="4">
        <f t="shared" si="108"/>
        <v>-10.509999999999764</v>
      </c>
      <c r="W1141" s="59">
        <f t="shared" si="109"/>
        <v>1.0769822184055219E-2</v>
      </c>
      <c r="X1141" s="59">
        <f t="shared" si="110"/>
        <v>6.1085452412977101E-3</v>
      </c>
      <c r="Y1141" s="59">
        <f t="shared" si="111"/>
        <v>4.6122391294276003E-3</v>
      </c>
    </row>
    <row r="1142" spans="1:25" x14ac:dyDescent="0.3">
      <c r="A1142" s="2">
        <v>42509</v>
      </c>
      <c r="B1142" s="1">
        <v>23.55</v>
      </c>
      <c r="C1142" s="1">
        <v>698.52</v>
      </c>
      <c r="D1142" s="1">
        <v>116.81</v>
      </c>
      <c r="E1142" s="3">
        <f t="shared" si="106"/>
        <v>238.34000000000015</v>
      </c>
      <c r="F1142" s="4">
        <f t="shared" si="107"/>
        <v>14.440000000000055</v>
      </c>
      <c r="G1142" s="4">
        <f t="shared" si="108"/>
        <v>-14.440000000000055</v>
      </c>
      <c r="W1142" s="59">
        <f t="shared" si="109"/>
        <v>-3.8143720754706774E-3</v>
      </c>
      <c r="X1142" s="59">
        <f t="shared" si="110"/>
        <v>1.53298453340018E-3</v>
      </c>
      <c r="Y1142" s="59">
        <f t="shared" si="111"/>
        <v>-7.1654320057667944E-3</v>
      </c>
    </row>
    <row r="1143" spans="1:25" x14ac:dyDescent="0.3">
      <c r="A1143" s="2">
        <v>42508</v>
      </c>
      <c r="B1143" s="1">
        <v>23.64</v>
      </c>
      <c r="C1143" s="1">
        <v>697.45</v>
      </c>
      <c r="D1143" s="1">
        <v>117.65</v>
      </c>
      <c r="E1143" s="3">
        <f t="shared" si="106"/>
        <v>223.90000000000009</v>
      </c>
      <c r="F1143" s="4">
        <f t="shared" si="107"/>
        <v>11.735000000000127</v>
      </c>
      <c r="G1143" s="4">
        <f t="shared" si="108"/>
        <v>-11.735000000000127</v>
      </c>
      <c r="W1143" s="59">
        <f t="shared" si="109"/>
        <v>1.1380074954563803E-2</v>
      </c>
      <c r="X1143" s="59">
        <f t="shared" si="110"/>
        <v>3.1305672072132998E-3</v>
      </c>
      <c r="Y1143" s="59">
        <f t="shared" si="111"/>
        <v>2.5531928763391758E-3</v>
      </c>
    </row>
    <row r="1144" spans="1:25" x14ac:dyDescent="0.3">
      <c r="A1144" s="2">
        <v>42507</v>
      </c>
      <c r="B1144" s="1">
        <v>23.372499999999999</v>
      </c>
      <c r="C1144" s="1">
        <v>695.27</v>
      </c>
      <c r="D1144" s="1">
        <v>117.35</v>
      </c>
      <c r="E1144" s="3">
        <f t="shared" si="106"/>
        <v>212.16499999999996</v>
      </c>
      <c r="F1144" s="4">
        <f t="shared" si="107"/>
        <v>-9.2548000000001593</v>
      </c>
      <c r="G1144" s="4">
        <f t="shared" si="108"/>
        <v>9.2548000000001593</v>
      </c>
      <c r="W1144" s="59">
        <f t="shared" si="109"/>
        <v>-4.1628922795984343E-3</v>
      </c>
      <c r="X1144" s="59">
        <f t="shared" si="110"/>
        <v>-2.1893715665278996E-2</v>
      </c>
      <c r="Y1144" s="59">
        <f t="shared" si="111"/>
        <v>-1.11856093800153E-2</v>
      </c>
    </row>
    <row r="1145" spans="1:25" x14ac:dyDescent="0.3">
      <c r="A1145" s="2">
        <v>42506</v>
      </c>
      <c r="B1145" s="1">
        <v>23.47</v>
      </c>
      <c r="C1145" s="1">
        <v>710.65989999999999</v>
      </c>
      <c r="D1145" s="1">
        <v>118.67</v>
      </c>
      <c r="E1145" s="3">
        <f t="shared" si="106"/>
        <v>221.41980000000012</v>
      </c>
      <c r="F1145" s="4">
        <f t="shared" si="107"/>
        <v>66.2800000000002</v>
      </c>
      <c r="G1145" s="4">
        <f t="shared" si="108"/>
        <v>-66.2800000000002</v>
      </c>
      <c r="W1145" s="59">
        <f t="shared" si="109"/>
        <v>3.644655021748619E-2</v>
      </c>
      <c r="X1145" s="59">
        <f t="shared" si="110"/>
        <v>1.0418282266625647E-3</v>
      </c>
      <c r="Y1145" s="59">
        <f t="shared" si="111"/>
        <v>-9.5606229747599268E-3</v>
      </c>
    </row>
    <row r="1146" spans="1:25" x14ac:dyDescent="0.3">
      <c r="A1146" s="2">
        <v>42503</v>
      </c>
      <c r="B1146" s="1">
        <v>22.63</v>
      </c>
      <c r="C1146" s="1">
        <v>709.91989999999998</v>
      </c>
      <c r="D1146" s="1">
        <v>119.81</v>
      </c>
      <c r="E1146" s="3">
        <f t="shared" si="106"/>
        <v>155.13979999999992</v>
      </c>
      <c r="F1146" s="4">
        <f t="shared" si="107"/>
        <v>-4.3700000000003456</v>
      </c>
      <c r="G1146" s="4">
        <f t="shared" si="108"/>
        <v>4.3700000000003456</v>
      </c>
      <c r="W1146" s="59">
        <f t="shared" si="109"/>
        <v>1.9904905388783605E-3</v>
      </c>
      <c r="X1146" s="59">
        <f t="shared" si="110"/>
        <v>-1.121978520025471E-2</v>
      </c>
      <c r="Y1146" s="59">
        <f t="shared" si="111"/>
        <v>-3.9152034685205946E-3</v>
      </c>
    </row>
    <row r="1147" spans="1:25" x14ac:dyDescent="0.3">
      <c r="A1147" s="2">
        <v>42502</v>
      </c>
      <c r="B1147" s="1">
        <v>22.585000000000001</v>
      </c>
      <c r="C1147" s="1">
        <v>717.92989999999998</v>
      </c>
      <c r="D1147" s="1">
        <v>120.28</v>
      </c>
      <c r="E1147" s="3">
        <f t="shared" si="106"/>
        <v>159.50980000000027</v>
      </c>
      <c r="F1147" s="4">
        <f t="shared" si="107"/>
        <v>-32.925199999999677</v>
      </c>
      <c r="G1147" s="4">
        <f t="shared" si="108"/>
        <v>32.925199999999677</v>
      </c>
      <c r="W1147" s="59">
        <f t="shared" si="109"/>
        <v>-2.3736416556769113E-2</v>
      </c>
      <c r="X1147" s="59">
        <f t="shared" si="110"/>
        <v>6.5679829283948393E-3</v>
      </c>
      <c r="Y1147" s="59">
        <f t="shared" si="111"/>
        <v>6.3386367358212216E-3</v>
      </c>
    </row>
    <row r="1148" spans="1:25" x14ac:dyDescent="0.3">
      <c r="A1148" s="2">
        <v>42501</v>
      </c>
      <c r="B1148" s="1">
        <v>23.127500000000001</v>
      </c>
      <c r="C1148" s="1">
        <v>713.23</v>
      </c>
      <c r="D1148" s="1">
        <v>119.52</v>
      </c>
      <c r="E1148" s="3">
        <f t="shared" si="106"/>
        <v>192.43499999999995</v>
      </c>
      <c r="F1148" s="4">
        <f t="shared" si="107"/>
        <v>28.544800000000123</v>
      </c>
      <c r="G1148" s="4">
        <f t="shared" si="108"/>
        <v>-28.544800000000123</v>
      </c>
      <c r="W1148" s="59">
        <f t="shared" si="109"/>
        <v>-9.7887082907347212E-3</v>
      </c>
      <c r="X1148" s="59">
        <f t="shared" si="110"/>
        <v>1.4347346697124166E-2</v>
      </c>
      <c r="Y1148" s="59">
        <f t="shared" si="111"/>
        <v>-8.1660315462025266E-3</v>
      </c>
    </row>
    <row r="1149" spans="1:25" x14ac:dyDescent="0.3">
      <c r="A1149" s="2">
        <v>42500</v>
      </c>
      <c r="B1149" s="1">
        <v>23.355</v>
      </c>
      <c r="C1149" s="1">
        <v>703.07010000000002</v>
      </c>
      <c r="D1149" s="1">
        <v>120.5</v>
      </c>
      <c r="E1149" s="3">
        <f t="shared" si="106"/>
        <v>163.89019999999982</v>
      </c>
      <c r="F1149" s="4">
        <f t="shared" si="107"/>
        <v>29.31519999999955</v>
      </c>
      <c r="G1149" s="4">
        <f t="shared" si="108"/>
        <v>-29.31519999999955</v>
      </c>
      <c r="W1149" s="59">
        <f t="shared" si="109"/>
        <v>6.7665797088739005E-3</v>
      </c>
      <c r="X1149" s="59">
        <f t="shared" si="110"/>
        <v>3.3731518831802997E-2</v>
      </c>
      <c r="Y1149" s="59">
        <f t="shared" si="111"/>
        <v>1.0511484120839139E-2</v>
      </c>
    </row>
    <row r="1150" spans="1:25" x14ac:dyDescent="0.3">
      <c r="A1150" s="2">
        <v>42499</v>
      </c>
      <c r="B1150" s="1">
        <v>23.197500000000002</v>
      </c>
      <c r="C1150" s="1">
        <v>679.75</v>
      </c>
      <c r="D1150" s="1">
        <v>119.24</v>
      </c>
      <c r="E1150" s="3">
        <f t="shared" si="106"/>
        <v>134.57500000000027</v>
      </c>
      <c r="F1150" s="4">
        <f t="shared" si="107"/>
        <v>17.474999999999909</v>
      </c>
      <c r="G1150" s="4">
        <f t="shared" si="108"/>
        <v>-17.474999999999909</v>
      </c>
      <c r="W1150" s="59">
        <f t="shared" si="109"/>
        <v>7.5467633359174344E-4</v>
      </c>
      <c r="X1150" s="59">
        <f t="shared" si="110"/>
        <v>8.5691593283012697E-3</v>
      </c>
      <c r="Y1150" s="59">
        <f t="shared" si="111"/>
        <v>-2.0944170517918554E-3</v>
      </c>
    </row>
    <row r="1151" spans="1:25" x14ac:dyDescent="0.3">
      <c r="A1151" s="2">
        <v>42496</v>
      </c>
      <c r="B1151" s="1">
        <v>23.18</v>
      </c>
      <c r="C1151" s="1">
        <v>673.95</v>
      </c>
      <c r="D1151" s="1">
        <v>119.49</v>
      </c>
      <c r="E1151" s="3">
        <f t="shared" si="106"/>
        <v>117.10000000000036</v>
      </c>
      <c r="F1151" s="4">
        <f t="shared" si="107"/>
        <v>-10.380199999999604</v>
      </c>
      <c r="G1151" s="4">
        <f t="shared" si="108"/>
        <v>10.380199999999604</v>
      </c>
      <c r="W1151" s="59">
        <f t="shared" si="109"/>
        <v>-5.592615136060115E-3</v>
      </c>
      <c r="X1151" s="59">
        <f t="shared" si="110"/>
        <v>2.2295676720889179E-2</v>
      </c>
      <c r="Y1151" s="59">
        <f t="shared" si="111"/>
        <v>1.4159528603634515E-2</v>
      </c>
    </row>
    <row r="1152" spans="1:25" x14ac:dyDescent="0.3">
      <c r="A1152" s="2">
        <v>42495</v>
      </c>
      <c r="B1152" s="1">
        <v>23.31</v>
      </c>
      <c r="C1152" s="1">
        <v>659.09010000000001</v>
      </c>
      <c r="D1152" s="1">
        <v>117.81</v>
      </c>
      <c r="E1152" s="3">
        <f t="shared" si="106"/>
        <v>127.48019999999997</v>
      </c>
      <c r="F1152" s="4">
        <f t="shared" si="107"/>
        <v>-30.494599999999991</v>
      </c>
      <c r="G1152" s="4">
        <f t="shared" si="108"/>
        <v>30.494599999999991</v>
      </c>
      <c r="W1152" s="59">
        <f t="shared" si="109"/>
        <v>-1.0137204667169365E-2</v>
      </c>
      <c r="X1152" s="59">
        <f t="shared" si="110"/>
        <v>-1.7759698051931453E-2</v>
      </c>
      <c r="Y1152" s="59">
        <f t="shared" si="111"/>
        <v>-2.1198125545153186E-3</v>
      </c>
    </row>
    <row r="1153" spans="1:25" x14ac:dyDescent="0.3">
      <c r="A1153" s="2">
        <v>42494</v>
      </c>
      <c r="B1153" s="1">
        <v>23.547499999999999</v>
      </c>
      <c r="C1153" s="1">
        <v>670.8999</v>
      </c>
      <c r="D1153" s="1">
        <v>118.06</v>
      </c>
      <c r="E1153" s="3">
        <f t="shared" si="106"/>
        <v>157.97479999999996</v>
      </c>
      <c r="F1153" s="4">
        <f t="shared" si="107"/>
        <v>-25.815399999999499</v>
      </c>
      <c r="G1153" s="4">
        <f t="shared" si="108"/>
        <v>25.815399999999499</v>
      </c>
      <c r="W1153" s="59">
        <f t="shared" si="109"/>
        <v>-1.045581685823873E-2</v>
      </c>
      <c r="X1153" s="59">
        <f t="shared" si="110"/>
        <v>-6.2612688490373825E-4</v>
      </c>
      <c r="Y1153" s="59">
        <f t="shared" si="111"/>
        <v>5.3505584355534258E-3</v>
      </c>
    </row>
    <row r="1154" spans="1:25" x14ac:dyDescent="0.3">
      <c r="A1154" s="2">
        <v>42493</v>
      </c>
      <c r="B1154" s="1">
        <v>23.795000000000002</v>
      </c>
      <c r="C1154" s="1">
        <v>671.32010000000002</v>
      </c>
      <c r="D1154" s="1">
        <v>117.43</v>
      </c>
      <c r="E1154" s="3">
        <f t="shared" si="106"/>
        <v>183.79019999999946</v>
      </c>
      <c r="F1154" s="4">
        <f t="shared" si="107"/>
        <v>16.989999999998872</v>
      </c>
      <c r="G1154" s="4">
        <f t="shared" si="108"/>
        <v>-16.989999999998872</v>
      </c>
      <c r="W1154" s="59">
        <f t="shared" si="109"/>
        <v>1.6312193070254537E-2</v>
      </c>
      <c r="X1154" s="59">
        <f t="shared" si="110"/>
        <v>-1.8492669158223143E-2</v>
      </c>
      <c r="Y1154" s="59">
        <f t="shared" si="111"/>
        <v>-9.6610920929892964E-3</v>
      </c>
    </row>
    <row r="1155" spans="1:25" x14ac:dyDescent="0.3">
      <c r="A1155" s="2">
        <v>42492</v>
      </c>
      <c r="B1155" s="1">
        <v>23.41</v>
      </c>
      <c r="C1155" s="1">
        <v>683.8501</v>
      </c>
      <c r="D1155" s="1">
        <v>118.57</v>
      </c>
      <c r="E1155" s="3">
        <f t="shared" si="106"/>
        <v>166.80020000000059</v>
      </c>
      <c r="F1155" s="4">
        <f t="shared" si="107"/>
        <v>27.470000000000709</v>
      </c>
      <c r="G1155" s="4">
        <f t="shared" si="108"/>
        <v>-27.470000000000709</v>
      </c>
      <c r="W1155" s="59">
        <f t="shared" si="109"/>
        <v>-1.0673498718499414E-3</v>
      </c>
      <c r="X1155" s="59">
        <f t="shared" si="110"/>
        <v>3.6120160082063812E-2</v>
      </c>
      <c r="Y1155" s="59">
        <f t="shared" si="111"/>
        <v>8.3845504958702712E-3</v>
      </c>
    </row>
    <row r="1156" spans="1:25" x14ac:dyDescent="0.3">
      <c r="A1156" s="2">
        <v>42489</v>
      </c>
      <c r="B1156" s="1">
        <v>23.434999999999999</v>
      </c>
      <c r="C1156" s="1">
        <v>659.59010000000001</v>
      </c>
      <c r="D1156" s="1">
        <v>117.58</v>
      </c>
      <c r="E1156" s="3">
        <f t="shared" si="106"/>
        <v>139.33019999999988</v>
      </c>
      <c r="F1156" s="4">
        <f t="shared" si="107"/>
        <v>84.555199999999786</v>
      </c>
      <c r="G1156" s="4">
        <f t="shared" si="108"/>
        <v>-84.555199999999786</v>
      </c>
      <c r="W1156" s="59">
        <f t="shared" si="109"/>
        <v>-1.1560822401075971E-2</v>
      </c>
      <c r="X1156" s="59">
        <f t="shared" si="110"/>
        <v>9.1361136167563195E-2</v>
      </c>
      <c r="Y1156" s="59">
        <f t="shared" si="111"/>
        <v>7.2553773095369607E-3</v>
      </c>
    </row>
    <row r="1157" spans="1:25" x14ac:dyDescent="0.3">
      <c r="A1157" s="2">
        <v>42488</v>
      </c>
      <c r="B1157" s="1">
        <v>23.7075</v>
      </c>
      <c r="C1157" s="1">
        <v>602</v>
      </c>
      <c r="D1157" s="1">
        <v>116.73</v>
      </c>
      <c r="E1157" s="3">
        <f t="shared" si="106"/>
        <v>54.775000000000091</v>
      </c>
      <c r="F1157" s="4">
        <f t="shared" si="107"/>
        <v>-203.31519999999955</v>
      </c>
      <c r="G1157" s="4">
        <f t="shared" si="108"/>
        <v>203.31519999999955</v>
      </c>
      <c r="W1157" s="59">
        <f t="shared" si="109"/>
        <v>-3.1043240215575026E-2</v>
      </c>
      <c r="X1157" s="59">
        <f t="shared" si="110"/>
        <v>-7.5628575999185481E-3</v>
      </c>
      <c r="Y1157" s="59">
        <f t="shared" si="111"/>
        <v>6.9525377306602285E-2</v>
      </c>
    </row>
    <row r="1158" spans="1:25" x14ac:dyDescent="0.3">
      <c r="A1158" s="2">
        <v>42487</v>
      </c>
      <c r="B1158" s="1">
        <v>24.454999999999998</v>
      </c>
      <c r="C1158" s="1">
        <v>606.57010000000002</v>
      </c>
      <c r="D1158" s="1">
        <v>108.89</v>
      </c>
      <c r="E1158" s="3">
        <f t="shared" ref="E1158:E1221" si="112">50*B1158+2*C1158-20*D1158</f>
        <v>258.09019999999964</v>
      </c>
      <c r="F1158" s="4">
        <f t="shared" ref="F1158:F1221" si="113">E1158-E1159</f>
        <v>-104.8445999999999</v>
      </c>
      <c r="G1158" s="4">
        <f t="shared" ref="G1158:G1221" si="114">-F1158</f>
        <v>104.8445999999999</v>
      </c>
      <c r="W1158" s="59">
        <f t="shared" ref="W1158:W1221" si="115">LN(B1158/B1159)</f>
        <v>-6.4621578411998601E-2</v>
      </c>
      <c r="X1158" s="59">
        <f t="shared" ref="X1158:X1221" si="116">LN(C1158/C1159)</f>
        <v>-1.6854050509870318E-2</v>
      </c>
      <c r="Y1158" s="59">
        <f t="shared" ref="Y1158:Y1221" si="117">LN(D1158/D1159)</f>
        <v>1.1945785936996374E-3</v>
      </c>
    </row>
    <row r="1159" spans="1:25" x14ac:dyDescent="0.3">
      <c r="A1159" s="2">
        <v>42486</v>
      </c>
      <c r="B1159" s="1">
        <v>26.087499999999999</v>
      </c>
      <c r="C1159" s="1">
        <v>616.87990000000002</v>
      </c>
      <c r="D1159" s="1">
        <v>108.76</v>
      </c>
      <c r="E1159" s="3">
        <f t="shared" si="112"/>
        <v>362.93479999999954</v>
      </c>
      <c r="F1159" s="4">
        <f t="shared" si="113"/>
        <v>-0.96520000000055006</v>
      </c>
      <c r="G1159" s="4">
        <f t="shared" si="114"/>
        <v>0.96520000000055006</v>
      </c>
      <c r="W1159" s="59">
        <f t="shared" si="115"/>
        <v>-6.9713312941294065E-3</v>
      </c>
      <c r="X1159" s="59">
        <f t="shared" si="116"/>
        <v>-1.4995455473695563E-2</v>
      </c>
      <c r="Y1159" s="59">
        <f t="shared" si="117"/>
        <v>-1.2245423964364273E-2</v>
      </c>
    </row>
    <row r="1160" spans="1:25" x14ac:dyDescent="0.3">
      <c r="A1160" s="2">
        <v>42485</v>
      </c>
      <c r="B1160" s="1">
        <v>26.27</v>
      </c>
      <c r="C1160" s="1">
        <v>626.20000000000005</v>
      </c>
      <c r="D1160" s="1">
        <v>110.1</v>
      </c>
      <c r="E1160" s="3">
        <f t="shared" si="112"/>
        <v>363.90000000000009</v>
      </c>
      <c r="F1160" s="4">
        <f t="shared" si="113"/>
        <v>13.099999999999909</v>
      </c>
      <c r="G1160" s="4">
        <f t="shared" si="114"/>
        <v>-13.099999999999909</v>
      </c>
      <c r="W1160" s="59">
        <f t="shared" si="115"/>
        <v>-5.6936953967308144E-3</v>
      </c>
      <c r="X1160" s="59">
        <f t="shared" si="116"/>
        <v>9.1442042476435458E-3</v>
      </c>
      <c r="Y1160" s="59">
        <f t="shared" si="117"/>
        <v>-4.1693162907255592E-3</v>
      </c>
    </row>
    <row r="1161" spans="1:25" x14ac:dyDescent="0.3">
      <c r="A1161" s="2">
        <v>42482</v>
      </c>
      <c r="B1161" s="1">
        <v>26.42</v>
      </c>
      <c r="C1161" s="1">
        <v>620.5</v>
      </c>
      <c r="D1161" s="1">
        <v>110.56</v>
      </c>
      <c r="E1161" s="3">
        <f t="shared" si="112"/>
        <v>350.80000000000018</v>
      </c>
      <c r="F1161" s="4">
        <f t="shared" si="113"/>
        <v>32.975000000000364</v>
      </c>
      <c r="G1161" s="4">
        <f t="shared" si="114"/>
        <v>-32.975000000000364</v>
      </c>
      <c r="W1161" s="59">
        <f t="shared" si="115"/>
        <v>-2.7403749726747071E-3</v>
      </c>
      <c r="X1161" s="59">
        <f t="shared" si="116"/>
        <v>-1.6780257896551229E-2</v>
      </c>
      <c r="Y1161" s="59">
        <f t="shared" si="117"/>
        <v>-2.5715702764457563E-2</v>
      </c>
    </row>
    <row r="1162" spans="1:25" x14ac:dyDescent="0.3">
      <c r="A1162" s="2">
        <v>42481</v>
      </c>
      <c r="B1162" s="1">
        <v>26.4925</v>
      </c>
      <c r="C1162" s="1">
        <v>631</v>
      </c>
      <c r="D1162" s="1">
        <v>113.44</v>
      </c>
      <c r="E1162" s="3">
        <f t="shared" si="112"/>
        <v>317.82499999999982</v>
      </c>
      <c r="F1162" s="4">
        <f t="shared" si="113"/>
        <v>-38.880000000000109</v>
      </c>
      <c r="G1162" s="4">
        <f t="shared" si="114"/>
        <v>38.880000000000109</v>
      </c>
      <c r="W1162" s="59">
        <f t="shared" si="115"/>
        <v>-1.0887015087722151E-2</v>
      </c>
      <c r="X1162" s="59">
        <f t="shared" si="116"/>
        <v>-3.1487616898670384E-3</v>
      </c>
      <c r="Y1162" s="59">
        <f t="shared" si="117"/>
        <v>9.0322052098884536E-3</v>
      </c>
    </row>
    <row r="1163" spans="1:25" x14ac:dyDescent="0.3">
      <c r="A1163" s="2">
        <v>42480</v>
      </c>
      <c r="B1163" s="1">
        <v>26.782499999999999</v>
      </c>
      <c r="C1163" s="1">
        <v>632.99</v>
      </c>
      <c r="D1163" s="1">
        <v>112.42</v>
      </c>
      <c r="E1163" s="3">
        <f t="shared" si="112"/>
        <v>356.70499999999993</v>
      </c>
      <c r="F1163" s="4">
        <f t="shared" si="113"/>
        <v>10.330200000000332</v>
      </c>
      <c r="G1163" s="4">
        <f t="shared" si="114"/>
        <v>-10.330200000000332</v>
      </c>
      <c r="W1163" s="59">
        <f t="shared" si="115"/>
        <v>2.0556912490581592E-3</v>
      </c>
      <c r="X1163" s="59">
        <f t="shared" si="116"/>
        <v>8.0738653720579482E-3</v>
      </c>
      <c r="Y1163" s="59">
        <f t="shared" si="117"/>
        <v>1.1570469894816894E-3</v>
      </c>
    </row>
    <row r="1164" spans="1:25" x14ac:dyDescent="0.3">
      <c r="A1164" s="2">
        <v>42479</v>
      </c>
      <c r="B1164" s="1">
        <v>26.727499999999999</v>
      </c>
      <c r="C1164" s="1">
        <v>627.8999</v>
      </c>
      <c r="D1164" s="1">
        <v>112.29</v>
      </c>
      <c r="E1164" s="3">
        <f t="shared" si="112"/>
        <v>346.3747999999996</v>
      </c>
      <c r="F1164" s="4">
        <f t="shared" si="113"/>
        <v>-58.825400000000627</v>
      </c>
      <c r="G1164" s="4">
        <f t="shared" si="114"/>
        <v>58.825400000000627</v>
      </c>
      <c r="W1164" s="59">
        <f t="shared" si="115"/>
        <v>-5.3174247218820058E-3</v>
      </c>
      <c r="X1164" s="59">
        <f t="shared" si="116"/>
        <v>-1.1795426685071348E-2</v>
      </c>
      <c r="Y1164" s="59">
        <f t="shared" si="117"/>
        <v>1.6521880718321124E-2</v>
      </c>
    </row>
    <row r="1165" spans="1:25" x14ac:dyDescent="0.3">
      <c r="A1165" s="2">
        <v>42478</v>
      </c>
      <c r="B1165" s="1">
        <v>26.87</v>
      </c>
      <c r="C1165" s="1">
        <v>635.3501</v>
      </c>
      <c r="D1165" s="1">
        <v>110.45</v>
      </c>
      <c r="E1165" s="3">
        <f t="shared" si="112"/>
        <v>405.20020000000022</v>
      </c>
      <c r="F1165" s="4">
        <f t="shared" si="113"/>
        <v>-26.904599999999846</v>
      </c>
      <c r="G1165" s="4">
        <f t="shared" si="114"/>
        <v>26.904599999999846</v>
      </c>
      <c r="W1165" s="59">
        <f t="shared" si="115"/>
        <v>-2.1811015083328677E-2</v>
      </c>
      <c r="X1165" s="59">
        <f t="shared" si="116"/>
        <v>1.5001708506697837E-2</v>
      </c>
      <c r="Y1165" s="59">
        <f t="shared" si="117"/>
        <v>7.3606584315412367E-3</v>
      </c>
    </row>
    <row r="1166" spans="1:25" x14ac:dyDescent="0.3">
      <c r="A1166" s="2">
        <v>42475</v>
      </c>
      <c r="B1166" s="1">
        <v>27.462499999999999</v>
      </c>
      <c r="C1166" s="1">
        <v>625.88990000000001</v>
      </c>
      <c r="D1166" s="1">
        <v>109.64</v>
      </c>
      <c r="E1166" s="3">
        <f t="shared" si="112"/>
        <v>432.10480000000007</v>
      </c>
      <c r="F1166" s="4">
        <f t="shared" si="113"/>
        <v>6.1548000000002503</v>
      </c>
      <c r="G1166" s="4">
        <f t="shared" si="114"/>
        <v>-6.1548000000002503</v>
      </c>
      <c r="W1166" s="59">
        <f t="shared" si="115"/>
        <v>-2.0275531247495048E-2</v>
      </c>
      <c r="X1166" s="59">
        <f t="shared" si="116"/>
        <v>8.2460526491197252E-3</v>
      </c>
      <c r="Y1166" s="59">
        <f t="shared" si="117"/>
        <v>-1.0885448560192619E-2</v>
      </c>
    </row>
    <row r="1167" spans="1:25" x14ac:dyDescent="0.3">
      <c r="A1167" s="2">
        <v>42474</v>
      </c>
      <c r="B1167" s="1">
        <v>28.024999999999999</v>
      </c>
      <c r="C1167" s="1">
        <v>620.75</v>
      </c>
      <c r="D1167" s="1">
        <v>110.84</v>
      </c>
      <c r="E1167" s="3">
        <f t="shared" si="112"/>
        <v>425.94999999999982</v>
      </c>
      <c r="F1167" s="4">
        <f t="shared" si="113"/>
        <v>6.0098000000002685</v>
      </c>
      <c r="G1167" s="4">
        <f t="shared" si="114"/>
        <v>-6.0098000000002685</v>
      </c>
      <c r="W1167" s="59">
        <f t="shared" si="115"/>
        <v>5.3537968620642859E-4</v>
      </c>
      <c r="X1167" s="59">
        <f t="shared" si="116"/>
        <v>9.5987196993769872E-3</v>
      </c>
      <c r="Y1167" s="59">
        <f t="shared" si="117"/>
        <v>2.981705394086708E-3</v>
      </c>
    </row>
    <row r="1168" spans="1:25" x14ac:dyDescent="0.3">
      <c r="A1168" s="2">
        <v>42473</v>
      </c>
      <c r="B1168" s="1">
        <v>28.01</v>
      </c>
      <c r="C1168" s="1">
        <v>614.82010000000002</v>
      </c>
      <c r="D1168" s="1">
        <v>110.51</v>
      </c>
      <c r="E1168" s="3">
        <f t="shared" si="112"/>
        <v>419.94019999999955</v>
      </c>
      <c r="F1168" s="4">
        <f t="shared" si="113"/>
        <v>45.300399999999627</v>
      </c>
      <c r="G1168" s="4">
        <f t="shared" si="114"/>
        <v>-45.300399999999627</v>
      </c>
      <c r="W1168" s="59">
        <f t="shared" si="115"/>
        <v>1.4383563329954082E-2</v>
      </c>
      <c r="X1168" s="59">
        <f t="shared" si="116"/>
        <v>1.9130789770729604E-2</v>
      </c>
      <c r="Y1168" s="59">
        <f t="shared" si="117"/>
        <v>-9.044863134719084E-4</v>
      </c>
    </row>
    <row r="1169" spans="1:25" x14ac:dyDescent="0.3">
      <c r="A1169" s="2">
        <v>42472</v>
      </c>
      <c r="B1169" s="1">
        <v>27.61</v>
      </c>
      <c r="C1169" s="1">
        <v>603.16989999999998</v>
      </c>
      <c r="D1169" s="1">
        <v>110.61</v>
      </c>
      <c r="E1169" s="3">
        <f t="shared" si="112"/>
        <v>374.63979999999992</v>
      </c>
      <c r="F1169" s="4">
        <f t="shared" si="113"/>
        <v>-0.17000000000052751</v>
      </c>
      <c r="G1169" s="4">
        <f t="shared" si="114"/>
        <v>0.17000000000052751</v>
      </c>
      <c r="W1169" s="59">
        <f t="shared" si="115"/>
        <v>1.2941035425818974E-2</v>
      </c>
      <c r="X1169" s="59">
        <f t="shared" si="116"/>
        <v>1.207587221995887E-2</v>
      </c>
      <c r="Y1169" s="59">
        <f t="shared" si="117"/>
        <v>1.4754366012942546E-2</v>
      </c>
    </row>
    <row r="1170" spans="1:25" x14ac:dyDescent="0.3">
      <c r="A1170" s="2">
        <v>42471</v>
      </c>
      <c r="B1170" s="1">
        <v>27.254999999999999</v>
      </c>
      <c r="C1170" s="1">
        <v>595.92989999999998</v>
      </c>
      <c r="D1170" s="1">
        <v>108.99</v>
      </c>
      <c r="E1170" s="3">
        <f t="shared" si="112"/>
        <v>374.80980000000045</v>
      </c>
      <c r="F1170" s="4">
        <f t="shared" si="113"/>
        <v>39.959600000000137</v>
      </c>
      <c r="G1170" s="4">
        <f t="shared" si="114"/>
        <v>-39.959600000000137</v>
      </c>
      <c r="W1170" s="59">
        <f t="shared" si="115"/>
        <v>3.307610512757814E-3</v>
      </c>
      <c r="X1170" s="59">
        <f t="shared" si="116"/>
        <v>2.2339639539381197E-3</v>
      </c>
      <c r="Y1170" s="59">
        <f t="shared" si="117"/>
        <v>-1.4935165145599257E-2</v>
      </c>
    </row>
    <row r="1171" spans="1:25" x14ac:dyDescent="0.3">
      <c r="A1171" s="2">
        <v>42468</v>
      </c>
      <c r="B1171" s="1">
        <v>27.164999999999999</v>
      </c>
      <c r="C1171" s="1">
        <v>594.6001</v>
      </c>
      <c r="D1171" s="1">
        <v>110.63</v>
      </c>
      <c r="E1171" s="3">
        <f t="shared" si="112"/>
        <v>334.85020000000031</v>
      </c>
      <c r="F1171" s="4">
        <f t="shared" si="113"/>
        <v>68.040400000000318</v>
      </c>
      <c r="G1171" s="4">
        <f t="shared" si="114"/>
        <v>-68.040400000000318</v>
      </c>
      <c r="W1171" s="59">
        <f t="shared" si="115"/>
        <v>1.1049724881182432E-3</v>
      </c>
      <c r="X1171" s="59">
        <f t="shared" si="116"/>
        <v>5.3459146059372537E-3</v>
      </c>
      <c r="Y1171" s="59">
        <f t="shared" si="117"/>
        <v>-2.6844256939167713E-2</v>
      </c>
    </row>
    <row r="1172" spans="1:25" x14ac:dyDescent="0.3">
      <c r="A1172" s="2">
        <v>42467</v>
      </c>
      <c r="B1172" s="1">
        <v>27.135000000000002</v>
      </c>
      <c r="C1172" s="1">
        <v>591.42989999999998</v>
      </c>
      <c r="D1172" s="1">
        <v>113.64</v>
      </c>
      <c r="E1172" s="3">
        <f t="shared" si="112"/>
        <v>266.8098</v>
      </c>
      <c r="F1172" s="4">
        <f t="shared" si="113"/>
        <v>-50.150400000000445</v>
      </c>
      <c r="G1172" s="4">
        <f t="shared" si="114"/>
        <v>50.150400000000445</v>
      </c>
      <c r="W1172" s="59">
        <f t="shared" si="115"/>
        <v>-2.2051007371317311E-2</v>
      </c>
      <c r="X1172" s="59">
        <f t="shared" si="116"/>
        <v>-1.7847328797663046E-2</v>
      </c>
      <c r="Y1172" s="59">
        <f t="shared" si="117"/>
        <v>-6.1579065064422498E-4</v>
      </c>
    </row>
    <row r="1173" spans="1:25" x14ac:dyDescent="0.3">
      <c r="A1173" s="2">
        <v>42466</v>
      </c>
      <c r="B1173" s="1">
        <v>27.74</v>
      </c>
      <c r="C1173" s="1">
        <v>602.08010000000002</v>
      </c>
      <c r="D1173" s="1">
        <v>113.71</v>
      </c>
      <c r="E1173" s="3">
        <f t="shared" si="112"/>
        <v>316.96020000000044</v>
      </c>
      <c r="F1173" s="4">
        <f t="shared" si="113"/>
        <v>16.455400000000282</v>
      </c>
      <c r="G1173" s="4">
        <f t="shared" si="114"/>
        <v>-16.455400000000282</v>
      </c>
      <c r="W1173" s="59">
        <f t="shared" si="115"/>
        <v>1.0418176396954113E-2</v>
      </c>
      <c r="X1173" s="59">
        <f t="shared" si="116"/>
        <v>2.6831994650811271E-2</v>
      </c>
      <c r="Y1173" s="59">
        <f t="shared" si="117"/>
        <v>1.3190117313805479E-2</v>
      </c>
    </row>
    <row r="1174" spans="1:25" x14ac:dyDescent="0.3">
      <c r="A1174" s="2">
        <v>42465</v>
      </c>
      <c r="B1174" s="1">
        <v>27.452500000000001</v>
      </c>
      <c r="C1174" s="1">
        <v>586.13990000000001</v>
      </c>
      <c r="D1174" s="1">
        <v>112.22</v>
      </c>
      <c r="E1174" s="3">
        <f t="shared" si="112"/>
        <v>300.50480000000016</v>
      </c>
      <c r="F1174" s="4">
        <f t="shared" si="113"/>
        <v>-23.874999999999545</v>
      </c>
      <c r="G1174" s="4">
        <f t="shared" si="114"/>
        <v>23.874999999999545</v>
      </c>
      <c r="W1174" s="59">
        <f t="shared" si="115"/>
        <v>-1.1859098836466433E-2</v>
      </c>
      <c r="X1174" s="59">
        <f t="shared" si="116"/>
        <v>-1.195608553559644E-2</v>
      </c>
      <c r="Y1174" s="59">
        <f t="shared" si="117"/>
        <v>-2.9363370299152901E-3</v>
      </c>
    </row>
    <row r="1175" spans="1:25" x14ac:dyDescent="0.3">
      <c r="A1175" s="2">
        <v>42464</v>
      </c>
      <c r="B1175" s="1">
        <v>27.78</v>
      </c>
      <c r="C1175" s="1">
        <v>593.18989999999997</v>
      </c>
      <c r="D1175" s="1">
        <v>112.55</v>
      </c>
      <c r="E1175" s="3">
        <f t="shared" si="112"/>
        <v>324.3797999999997</v>
      </c>
      <c r="F1175" s="4">
        <f t="shared" si="113"/>
        <v>73.704799999999523</v>
      </c>
      <c r="G1175" s="4">
        <f t="shared" si="114"/>
        <v>-73.704799999999523</v>
      </c>
      <c r="W1175" s="59">
        <f t="shared" si="115"/>
        <v>1.022124587706315E-2</v>
      </c>
      <c r="X1175" s="59">
        <f t="shared" si="116"/>
        <v>-8.9119411772444167E-3</v>
      </c>
      <c r="Y1175" s="59">
        <f t="shared" si="117"/>
        <v>-3.0709731409721042E-2</v>
      </c>
    </row>
    <row r="1176" spans="1:25" x14ac:dyDescent="0.3">
      <c r="A1176" s="2">
        <v>42461</v>
      </c>
      <c r="B1176" s="1">
        <v>27.497499999999999</v>
      </c>
      <c r="C1176" s="1">
        <v>598.5</v>
      </c>
      <c r="D1176" s="1">
        <v>116.06</v>
      </c>
      <c r="E1176" s="3">
        <f t="shared" si="112"/>
        <v>250.67500000000018</v>
      </c>
      <c r="F1176" s="4">
        <f t="shared" si="113"/>
        <v>-16.979800000000068</v>
      </c>
      <c r="G1176" s="4">
        <f t="shared" si="114"/>
        <v>16.979800000000068</v>
      </c>
      <c r="W1176" s="59">
        <f t="shared" si="115"/>
        <v>9.1333176678050718E-3</v>
      </c>
      <c r="X1176" s="59">
        <f t="shared" si="116"/>
        <v>8.153618422685022E-3</v>
      </c>
      <c r="Y1176" s="59">
        <f t="shared" si="117"/>
        <v>1.7032041894432387E-2</v>
      </c>
    </row>
    <row r="1177" spans="1:25" x14ac:dyDescent="0.3">
      <c r="A1177" s="2">
        <v>42460</v>
      </c>
      <c r="B1177" s="1">
        <v>27.247499999999999</v>
      </c>
      <c r="C1177" s="1">
        <v>593.63990000000001</v>
      </c>
      <c r="D1177" s="1">
        <v>114.1</v>
      </c>
      <c r="E1177" s="3">
        <f t="shared" si="112"/>
        <v>267.65480000000025</v>
      </c>
      <c r="F1177" s="4">
        <f t="shared" si="113"/>
        <v>-5.2249999999994543</v>
      </c>
      <c r="G1177" s="4">
        <f t="shared" si="114"/>
        <v>5.2249999999994543</v>
      </c>
      <c r="W1177" s="59">
        <f t="shared" si="115"/>
        <v>-5.2162094936572482E-3</v>
      </c>
      <c r="X1177" s="59">
        <f t="shared" si="116"/>
        <v>-8.4708613289151916E-3</v>
      </c>
      <c r="Y1177" s="59">
        <f t="shared" si="117"/>
        <v>-5.2447672672950767E-3</v>
      </c>
    </row>
    <row r="1178" spans="1:25" x14ac:dyDescent="0.3">
      <c r="A1178" s="2">
        <v>42459</v>
      </c>
      <c r="B1178" s="1">
        <v>27.39</v>
      </c>
      <c r="C1178" s="1">
        <v>598.68989999999997</v>
      </c>
      <c r="D1178" s="1">
        <v>114.7</v>
      </c>
      <c r="E1178" s="3">
        <f t="shared" si="112"/>
        <v>272.8797999999997</v>
      </c>
      <c r="F1178" s="4">
        <f t="shared" si="113"/>
        <v>61.959600000000137</v>
      </c>
      <c r="G1178" s="4">
        <f t="shared" si="114"/>
        <v>-61.959600000000137</v>
      </c>
      <c r="W1178" s="59">
        <f t="shared" si="115"/>
        <v>1.7308478498459675E-2</v>
      </c>
      <c r="X1178" s="59">
        <f t="shared" si="116"/>
        <v>8.0999981667697098E-3</v>
      </c>
      <c r="Y1178" s="59">
        <f t="shared" si="117"/>
        <v>-1.2476335808578837E-2</v>
      </c>
    </row>
    <row r="1179" spans="1:25" x14ac:dyDescent="0.3">
      <c r="A1179" s="2">
        <v>42458</v>
      </c>
      <c r="B1179" s="1">
        <v>26.92</v>
      </c>
      <c r="C1179" s="1">
        <v>593.86009999999999</v>
      </c>
      <c r="D1179" s="1">
        <v>116.14</v>
      </c>
      <c r="E1179" s="3">
        <f t="shared" si="112"/>
        <v>210.92019999999957</v>
      </c>
      <c r="F1179" s="4">
        <f t="shared" si="113"/>
        <v>10.104999999999563</v>
      </c>
      <c r="G1179" s="4">
        <f t="shared" si="114"/>
        <v>-10.104999999999563</v>
      </c>
      <c r="W1179" s="59">
        <f t="shared" si="115"/>
        <v>2.339562714523493E-2</v>
      </c>
      <c r="X1179" s="59">
        <f t="shared" si="116"/>
        <v>2.383965679828625E-2</v>
      </c>
      <c r="Y1179" s="59">
        <f t="shared" si="117"/>
        <v>2.1320913802888603E-2</v>
      </c>
    </row>
    <row r="1180" spans="1:25" x14ac:dyDescent="0.3">
      <c r="A1180" s="2">
        <v>42457</v>
      </c>
      <c r="B1180" s="1">
        <v>26.297499999999999</v>
      </c>
      <c r="C1180" s="1">
        <v>579.87009999999998</v>
      </c>
      <c r="D1180" s="1">
        <v>113.69</v>
      </c>
      <c r="E1180" s="3">
        <f t="shared" si="112"/>
        <v>200.8152</v>
      </c>
      <c r="F1180" s="4">
        <f t="shared" si="113"/>
        <v>-24.959800000000087</v>
      </c>
      <c r="G1180" s="4">
        <f t="shared" si="114"/>
        <v>24.959800000000087</v>
      </c>
      <c r="W1180" s="59">
        <f t="shared" si="115"/>
        <v>-4.5527917017567539E-3</v>
      </c>
      <c r="X1180" s="59">
        <f t="shared" si="116"/>
        <v>-5.2973064400987204E-3</v>
      </c>
      <c r="Y1180" s="59">
        <f t="shared" si="117"/>
        <v>5.645247417036303E-3</v>
      </c>
    </row>
    <row r="1181" spans="1:25" x14ac:dyDescent="0.3">
      <c r="A1181" s="2">
        <v>42454</v>
      </c>
      <c r="B1181" s="1">
        <v>26.4175</v>
      </c>
      <c r="C1181" s="1">
        <v>582.95000000000005</v>
      </c>
      <c r="D1181" s="1">
        <v>113.05</v>
      </c>
      <c r="E1181" s="3">
        <f t="shared" si="112"/>
        <v>225.77500000000009</v>
      </c>
      <c r="F1181" s="4">
        <f t="shared" si="113"/>
        <v>0</v>
      </c>
      <c r="G1181" s="4">
        <f t="shared" si="114"/>
        <v>0</v>
      </c>
      <c r="W1181" s="59">
        <f t="shared" si="115"/>
        <v>0</v>
      </c>
      <c r="X1181" s="59">
        <f t="shared" si="116"/>
        <v>0</v>
      </c>
      <c r="Y1181" s="59">
        <f t="shared" si="117"/>
        <v>0</v>
      </c>
    </row>
    <row r="1182" spans="1:25" x14ac:dyDescent="0.3">
      <c r="A1182" s="2">
        <v>42453</v>
      </c>
      <c r="B1182" s="1">
        <v>26.4175</v>
      </c>
      <c r="C1182" s="1">
        <v>582.95000000000005</v>
      </c>
      <c r="D1182" s="1">
        <v>113.05</v>
      </c>
      <c r="E1182" s="3">
        <f t="shared" si="112"/>
        <v>225.77500000000009</v>
      </c>
      <c r="F1182" s="4">
        <f t="shared" si="113"/>
        <v>10.690200000000459</v>
      </c>
      <c r="G1182" s="4">
        <f t="shared" si="114"/>
        <v>-10.690200000000459</v>
      </c>
      <c r="W1182" s="59">
        <f t="shared" si="115"/>
        <v>-4.343727320791608E-3</v>
      </c>
      <c r="X1182" s="59">
        <f t="shared" si="116"/>
        <v>2.311456768171443E-2</v>
      </c>
      <c r="Y1182" s="59">
        <f t="shared" si="117"/>
        <v>4.5214847188458371E-3</v>
      </c>
    </row>
    <row r="1183" spans="1:25" x14ac:dyDescent="0.3">
      <c r="A1183" s="2">
        <v>42452</v>
      </c>
      <c r="B1183" s="1">
        <v>26.532499999999999</v>
      </c>
      <c r="C1183" s="1">
        <v>569.62990000000002</v>
      </c>
      <c r="D1183" s="1">
        <v>112.54</v>
      </c>
      <c r="E1183" s="3">
        <f t="shared" si="112"/>
        <v>215.08479999999963</v>
      </c>
      <c r="F1183" s="4">
        <f t="shared" si="113"/>
        <v>5.1247999999995955</v>
      </c>
      <c r="G1183" s="4">
        <f t="shared" si="114"/>
        <v>-5.1247999999995955</v>
      </c>
      <c r="W1183" s="59">
        <f t="shared" si="115"/>
        <v>-5.5438243935825304E-3</v>
      </c>
      <c r="X1183" s="59">
        <f t="shared" si="116"/>
        <v>1.6193292248409395E-2</v>
      </c>
      <c r="Y1183" s="59">
        <f t="shared" si="117"/>
        <v>2.5801873827693261E-3</v>
      </c>
    </row>
    <row r="1184" spans="1:25" x14ac:dyDescent="0.3">
      <c r="A1184" s="2">
        <v>42451</v>
      </c>
      <c r="B1184" s="1">
        <v>26.68</v>
      </c>
      <c r="C1184" s="1">
        <v>560.48</v>
      </c>
      <c r="D1184" s="1">
        <v>112.25</v>
      </c>
      <c r="E1184" s="3">
        <f t="shared" si="112"/>
        <v>209.96000000000004</v>
      </c>
      <c r="F1184" s="4">
        <f t="shared" si="113"/>
        <v>15.125</v>
      </c>
      <c r="G1184" s="4">
        <f t="shared" si="114"/>
        <v>-15.125</v>
      </c>
      <c r="W1184" s="59">
        <f t="shared" si="115"/>
        <v>7.6189053117358633E-3</v>
      </c>
      <c r="X1184" s="59">
        <f t="shared" si="116"/>
        <v>1.1664974436585202E-2</v>
      </c>
      <c r="Y1184" s="59">
        <f t="shared" si="117"/>
        <v>3.5698386862250387E-3</v>
      </c>
    </row>
    <row r="1185" spans="1:25" x14ac:dyDescent="0.3">
      <c r="A1185" s="2">
        <v>42450</v>
      </c>
      <c r="B1185" s="1">
        <v>26.477499999999999</v>
      </c>
      <c r="C1185" s="1">
        <v>553.98</v>
      </c>
      <c r="D1185" s="1">
        <v>111.85</v>
      </c>
      <c r="E1185" s="3">
        <f t="shared" si="112"/>
        <v>194.83500000000004</v>
      </c>
      <c r="F1185" s="4">
        <f t="shared" si="113"/>
        <v>-4.3252000000002226</v>
      </c>
      <c r="G1185" s="4">
        <f t="shared" si="114"/>
        <v>4.3252000000002226</v>
      </c>
      <c r="W1185" s="59">
        <f t="shared" si="115"/>
        <v>-9.4415333120226888E-5</v>
      </c>
      <c r="X1185" s="59">
        <f t="shared" si="116"/>
        <v>3.4354405670925315E-3</v>
      </c>
      <c r="Y1185" s="59">
        <f t="shared" si="117"/>
        <v>3.5826281042605902E-3</v>
      </c>
    </row>
    <row r="1186" spans="1:25" x14ac:dyDescent="0.3">
      <c r="A1186" s="2">
        <v>42447</v>
      </c>
      <c r="B1186" s="1">
        <v>26.48</v>
      </c>
      <c r="C1186" s="1">
        <v>552.08010000000002</v>
      </c>
      <c r="D1186" s="1">
        <v>111.45</v>
      </c>
      <c r="E1186" s="3">
        <f t="shared" si="112"/>
        <v>199.16020000000026</v>
      </c>
      <c r="F1186" s="4">
        <f t="shared" si="113"/>
        <v>-21.819599999999355</v>
      </c>
      <c r="G1186" s="4">
        <f t="shared" si="114"/>
        <v>21.819599999999355</v>
      </c>
      <c r="W1186" s="59">
        <f t="shared" si="115"/>
        <v>1.1335727644991723E-3</v>
      </c>
      <c r="X1186" s="59">
        <f t="shared" si="116"/>
        <v>-1.324296019991753E-2</v>
      </c>
      <c r="Y1186" s="59">
        <f t="shared" si="117"/>
        <v>3.8656945698626612E-3</v>
      </c>
    </row>
    <row r="1187" spans="1:25" x14ac:dyDescent="0.3">
      <c r="A1187" s="2">
        <v>42446</v>
      </c>
      <c r="B1187" s="1">
        <v>26.45</v>
      </c>
      <c r="C1187" s="1">
        <v>559.43989999999997</v>
      </c>
      <c r="D1187" s="1">
        <v>111.02</v>
      </c>
      <c r="E1187" s="3">
        <f t="shared" si="112"/>
        <v>220.97979999999961</v>
      </c>
      <c r="F1187" s="4">
        <f t="shared" si="113"/>
        <v>-8.5851999999999862</v>
      </c>
      <c r="G1187" s="4">
        <f t="shared" si="114"/>
        <v>8.5851999999999862</v>
      </c>
      <c r="W1187" s="59">
        <f t="shared" si="115"/>
        <v>-1.605515762545627E-3</v>
      </c>
      <c r="X1187" s="59">
        <f t="shared" si="116"/>
        <v>-2.6163564353878413E-2</v>
      </c>
      <c r="Y1187" s="59">
        <f t="shared" si="117"/>
        <v>-1.0394358818175667E-2</v>
      </c>
    </row>
    <row r="1188" spans="1:25" x14ac:dyDescent="0.3">
      <c r="A1188" s="2">
        <v>42445</v>
      </c>
      <c r="B1188" s="1">
        <v>26.4925</v>
      </c>
      <c r="C1188" s="1">
        <v>574.27</v>
      </c>
      <c r="D1188" s="1">
        <v>112.18</v>
      </c>
      <c r="E1188" s="3">
        <f t="shared" si="112"/>
        <v>229.5649999999996</v>
      </c>
      <c r="F1188" s="4">
        <f t="shared" si="113"/>
        <v>-18.325000000000273</v>
      </c>
      <c r="G1188" s="4">
        <f t="shared" si="114"/>
        <v>18.325000000000273</v>
      </c>
      <c r="W1188" s="59">
        <f t="shared" si="115"/>
        <v>1.3203706426760121E-2</v>
      </c>
      <c r="X1188" s="59">
        <f t="shared" si="116"/>
        <v>-4.777258953150316E-3</v>
      </c>
      <c r="Y1188" s="59">
        <f t="shared" si="117"/>
        <v>1.3551923803497052E-2</v>
      </c>
    </row>
    <row r="1189" spans="1:25" x14ac:dyDescent="0.3">
      <c r="A1189" s="2">
        <v>42444</v>
      </c>
      <c r="B1189" s="1">
        <v>26.145</v>
      </c>
      <c r="C1189" s="1">
        <v>577.02</v>
      </c>
      <c r="D1189" s="1">
        <v>110.67</v>
      </c>
      <c r="E1189" s="3">
        <f t="shared" si="112"/>
        <v>247.88999999999987</v>
      </c>
      <c r="F1189" s="4">
        <f t="shared" si="113"/>
        <v>17.449799999999868</v>
      </c>
      <c r="G1189" s="4">
        <f t="shared" si="114"/>
        <v>-17.449799999999868</v>
      </c>
      <c r="W1189" s="59">
        <f t="shared" si="115"/>
        <v>1.9894427264114126E-2</v>
      </c>
      <c r="X1189" s="59">
        <f t="shared" si="116"/>
        <v>6.3455209621859979E-3</v>
      </c>
      <c r="Y1189" s="59">
        <f t="shared" si="117"/>
        <v>7.0729348178612816E-3</v>
      </c>
    </row>
    <row r="1190" spans="1:25" x14ac:dyDescent="0.3">
      <c r="A1190" s="2">
        <v>42443</v>
      </c>
      <c r="B1190" s="1">
        <v>25.63</v>
      </c>
      <c r="C1190" s="1">
        <v>573.37009999999998</v>
      </c>
      <c r="D1190" s="1">
        <v>109.89</v>
      </c>
      <c r="E1190" s="3">
        <f t="shared" si="112"/>
        <v>230.4402</v>
      </c>
      <c r="F1190" s="4">
        <f t="shared" si="113"/>
        <v>1.1700000000000728</v>
      </c>
      <c r="G1190" s="4">
        <f t="shared" si="114"/>
        <v>-1.1700000000000728</v>
      </c>
      <c r="W1190" s="59">
        <f t="shared" si="115"/>
        <v>2.5393118440170601E-3</v>
      </c>
      <c r="X1190" s="59">
        <f t="shared" si="116"/>
        <v>6.5793153081259211E-3</v>
      </c>
      <c r="Y1190" s="59">
        <f t="shared" si="117"/>
        <v>4.3775719701341746E-3</v>
      </c>
    </row>
    <row r="1191" spans="1:25" x14ac:dyDescent="0.3">
      <c r="A1191" s="2">
        <v>42440</v>
      </c>
      <c r="B1191" s="1">
        <v>25.565000000000001</v>
      </c>
      <c r="C1191" s="1">
        <v>569.61009999999999</v>
      </c>
      <c r="D1191" s="1">
        <v>109.41</v>
      </c>
      <c r="E1191" s="3">
        <f t="shared" si="112"/>
        <v>229.27019999999993</v>
      </c>
      <c r="F1191" s="4">
        <f t="shared" si="113"/>
        <v>-6.8146000000006097</v>
      </c>
      <c r="G1191" s="4">
        <f t="shared" si="114"/>
        <v>6.8146000000006097</v>
      </c>
      <c r="W1191" s="59">
        <f t="shared" si="115"/>
        <v>1.0716319434054199E-2</v>
      </c>
      <c r="X1191" s="59">
        <f t="shared" si="116"/>
        <v>1.8928028895058228E-2</v>
      </c>
      <c r="Y1191" s="59">
        <f t="shared" si="117"/>
        <v>1.9287267931275085E-2</v>
      </c>
    </row>
    <row r="1192" spans="1:25" x14ac:dyDescent="0.3">
      <c r="A1192" s="2">
        <v>42439</v>
      </c>
      <c r="B1192" s="1">
        <v>25.2925</v>
      </c>
      <c r="C1192" s="1">
        <v>558.92989999999998</v>
      </c>
      <c r="D1192" s="1">
        <v>107.32</v>
      </c>
      <c r="E1192" s="3">
        <f t="shared" si="112"/>
        <v>236.08480000000054</v>
      </c>
      <c r="F1192" s="4">
        <f t="shared" si="113"/>
        <v>3.3448000000007596</v>
      </c>
      <c r="G1192" s="4">
        <f t="shared" si="114"/>
        <v>-3.3448000000007596</v>
      </c>
      <c r="W1192" s="59">
        <f t="shared" si="115"/>
        <v>4.9433981925171714E-4</v>
      </c>
      <c r="X1192" s="59">
        <f t="shared" si="116"/>
        <v>-9.6584422438928948E-4</v>
      </c>
      <c r="Y1192" s="59">
        <f t="shared" si="117"/>
        <v>-1.7688409397134492E-3</v>
      </c>
    </row>
    <row r="1193" spans="1:25" x14ac:dyDescent="0.3">
      <c r="A1193" s="2">
        <v>42438</v>
      </c>
      <c r="B1193" s="1">
        <v>25.28</v>
      </c>
      <c r="C1193" s="1">
        <v>559.47</v>
      </c>
      <c r="D1193" s="1">
        <v>107.51</v>
      </c>
      <c r="E1193" s="3">
        <f t="shared" si="112"/>
        <v>232.73999999999978</v>
      </c>
      <c r="F1193" s="4">
        <f t="shared" si="113"/>
        <v>-32.054999999999836</v>
      </c>
      <c r="G1193" s="4">
        <f t="shared" si="114"/>
        <v>32.054999999999836</v>
      </c>
      <c r="W1193" s="59">
        <f t="shared" si="115"/>
        <v>8.9042795890644552E-4</v>
      </c>
      <c r="X1193" s="59">
        <f t="shared" si="116"/>
        <v>-1.4110546847527173E-3</v>
      </c>
      <c r="Y1193" s="59">
        <f t="shared" si="117"/>
        <v>1.4805367888731965E-2</v>
      </c>
    </row>
    <row r="1194" spans="1:25" x14ac:dyDescent="0.3">
      <c r="A1194" s="2">
        <v>42437</v>
      </c>
      <c r="B1194" s="1">
        <v>25.2575</v>
      </c>
      <c r="C1194" s="1">
        <v>560.26</v>
      </c>
      <c r="D1194" s="1">
        <v>105.93</v>
      </c>
      <c r="E1194" s="3">
        <f t="shared" si="112"/>
        <v>264.79499999999962</v>
      </c>
      <c r="F1194" s="4">
        <f t="shared" si="113"/>
        <v>-19.580000000000382</v>
      </c>
      <c r="G1194" s="4">
        <f t="shared" si="114"/>
        <v>19.580000000000382</v>
      </c>
      <c r="W1194" s="59">
        <f t="shared" si="115"/>
        <v>-8.2799881623341638E-3</v>
      </c>
      <c r="X1194" s="59">
        <f t="shared" si="116"/>
        <v>-4.5233635440164845E-3</v>
      </c>
      <c r="Y1194" s="59">
        <f t="shared" si="117"/>
        <v>1.8898238639695343E-3</v>
      </c>
    </row>
    <row r="1195" spans="1:25" x14ac:dyDescent="0.3">
      <c r="A1195" s="2">
        <v>42436</v>
      </c>
      <c r="B1195" s="1">
        <v>25.467500000000001</v>
      </c>
      <c r="C1195" s="1">
        <v>562.79999999999995</v>
      </c>
      <c r="D1195" s="1">
        <v>105.73</v>
      </c>
      <c r="E1195" s="3">
        <f t="shared" si="112"/>
        <v>284.375</v>
      </c>
      <c r="F1195" s="4">
        <f t="shared" si="113"/>
        <v>14.270199999999932</v>
      </c>
      <c r="G1195" s="4">
        <f t="shared" si="114"/>
        <v>-14.270199999999932</v>
      </c>
      <c r="W1195" s="59">
        <f t="shared" si="115"/>
        <v>-1.1128580293627087E-2</v>
      </c>
      <c r="X1195" s="59">
        <f t="shared" si="116"/>
        <v>-2.1688990311239855E-2</v>
      </c>
      <c r="Y1195" s="59">
        <f t="shared" si="117"/>
        <v>-2.4847159083223408E-2</v>
      </c>
    </row>
    <row r="1196" spans="1:25" x14ac:dyDescent="0.3">
      <c r="A1196" s="2">
        <v>42433</v>
      </c>
      <c r="B1196" s="1">
        <v>25.752500000000001</v>
      </c>
      <c r="C1196" s="1">
        <v>575.13990000000001</v>
      </c>
      <c r="D1196" s="1">
        <v>108.39</v>
      </c>
      <c r="E1196" s="3">
        <f t="shared" si="112"/>
        <v>270.10480000000007</v>
      </c>
      <c r="F1196" s="4">
        <f t="shared" si="113"/>
        <v>37.974799999999959</v>
      </c>
      <c r="G1196" s="4">
        <f t="shared" si="114"/>
        <v>-37.974799999999959</v>
      </c>
      <c r="W1196" s="59">
        <f t="shared" si="115"/>
        <v>1.4767272413760036E-2</v>
      </c>
      <c r="X1196" s="59">
        <f t="shared" si="116"/>
        <v>-4.0778106772348856E-3</v>
      </c>
      <c r="Y1196" s="59">
        <f t="shared" si="117"/>
        <v>-1.0919042282611129E-2</v>
      </c>
    </row>
    <row r="1197" spans="1:25" x14ac:dyDescent="0.3">
      <c r="A1197" s="2">
        <v>42432</v>
      </c>
      <c r="B1197" s="1">
        <v>25.375</v>
      </c>
      <c r="C1197" s="1">
        <v>577.49</v>
      </c>
      <c r="D1197" s="1">
        <v>109.58</v>
      </c>
      <c r="E1197" s="3">
        <f t="shared" si="112"/>
        <v>232.13000000000011</v>
      </c>
      <c r="F1197" s="4">
        <f t="shared" si="113"/>
        <v>11.335000000000036</v>
      </c>
      <c r="G1197" s="4">
        <f t="shared" si="114"/>
        <v>-11.335000000000036</v>
      </c>
      <c r="W1197" s="59">
        <f t="shared" si="115"/>
        <v>7.4165976550496192E-3</v>
      </c>
      <c r="X1197" s="59">
        <f t="shared" si="116"/>
        <v>-4.6989807461231157E-3</v>
      </c>
      <c r="Y1197" s="59">
        <f t="shared" si="117"/>
        <v>-3.3708408905006059E-3</v>
      </c>
    </row>
    <row r="1198" spans="1:25" x14ac:dyDescent="0.3">
      <c r="A1198" s="2">
        <v>42431</v>
      </c>
      <c r="B1198" s="1">
        <v>25.1875</v>
      </c>
      <c r="C1198" s="1">
        <v>580.21</v>
      </c>
      <c r="D1198" s="1">
        <v>109.95</v>
      </c>
      <c r="E1198" s="3">
        <f t="shared" si="112"/>
        <v>220.79500000000007</v>
      </c>
      <c r="F1198" s="4">
        <f t="shared" si="113"/>
        <v>2.4899999999997817</v>
      </c>
      <c r="G1198" s="4">
        <f t="shared" si="114"/>
        <v>-2.4899999999997817</v>
      </c>
      <c r="W1198" s="59">
        <f t="shared" si="115"/>
        <v>2.1860104094636292E-3</v>
      </c>
      <c r="X1198" s="59">
        <f t="shared" si="116"/>
        <v>2.0185471593994679E-3</v>
      </c>
      <c r="Y1198" s="59">
        <f t="shared" si="117"/>
        <v>1.1830551500436289E-3</v>
      </c>
    </row>
    <row r="1199" spans="1:25" x14ac:dyDescent="0.3">
      <c r="A1199" s="2">
        <v>42430</v>
      </c>
      <c r="B1199" s="1">
        <v>25.1325</v>
      </c>
      <c r="C1199" s="1">
        <v>579.04</v>
      </c>
      <c r="D1199" s="1">
        <v>109.82</v>
      </c>
      <c r="E1199" s="3">
        <f t="shared" si="112"/>
        <v>218.30500000000029</v>
      </c>
      <c r="F1199" s="4">
        <f t="shared" si="113"/>
        <v>43.040000000000418</v>
      </c>
      <c r="G1199" s="4">
        <f t="shared" si="114"/>
        <v>-43.040000000000418</v>
      </c>
      <c r="W1199" s="59">
        <f t="shared" si="115"/>
        <v>3.8946205921872597E-2</v>
      </c>
      <c r="X1199" s="59">
        <f t="shared" si="116"/>
        <v>4.6881927983673272E-2</v>
      </c>
      <c r="Y1199" s="59">
        <f t="shared" si="117"/>
        <v>2.6761770580008244E-2</v>
      </c>
    </row>
    <row r="1200" spans="1:25" x14ac:dyDescent="0.3">
      <c r="A1200" s="2">
        <v>42429</v>
      </c>
      <c r="B1200" s="1">
        <v>24.172499999999999</v>
      </c>
      <c r="C1200" s="1">
        <v>552.52</v>
      </c>
      <c r="D1200" s="1">
        <v>106.92</v>
      </c>
      <c r="E1200" s="3">
        <f t="shared" si="112"/>
        <v>175.26499999999987</v>
      </c>
      <c r="F1200" s="4">
        <f t="shared" si="113"/>
        <v>11.829999999999927</v>
      </c>
      <c r="G1200" s="4">
        <f t="shared" si="114"/>
        <v>-11.829999999999927</v>
      </c>
      <c r="W1200" s="59">
        <f t="shared" si="115"/>
        <v>-2.2727282510024553E-3</v>
      </c>
      <c r="X1200" s="59">
        <f t="shared" si="116"/>
        <v>-4.8928104831528945E-3</v>
      </c>
      <c r="Y1200" s="59">
        <f t="shared" si="117"/>
        <v>-9.3093206287821473E-3</v>
      </c>
    </row>
    <row r="1201" spans="1:25" x14ac:dyDescent="0.3">
      <c r="A1201" s="2">
        <v>42426</v>
      </c>
      <c r="B1201" s="1">
        <v>24.227499999999999</v>
      </c>
      <c r="C1201" s="1">
        <v>555.23</v>
      </c>
      <c r="D1201" s="1">
        <v>107.92</v>
      </c>
      <c r="E1201" s="3">
        <f t="shared" si="112"/>
        <v>163.43499999999995</v>
      </c>
      <c r="F1201" s="4">
        <f t="shared" si="113"/>
        <v>5.0351999999998043</v>
      </c>
      <c r="G1201" s="4">
        <f t="shared" si="114"/>
        <v>-5.0351999999998043</v>
      </c>
      <c r="W1201" s="59">
        <f t="shared" si="115"/>
        <v>1.5490270046320453E-3</v>
      </c>
      <c r="X1201" s="59">
        <f t="shared" si="116"/>
        <v>1.4427494614954563E-4</v>
      </c>
      <c r="Y1201" s="59">
        <f t="shared" si="117"/>
        <v>-1.3889534155737784E-3</v>
      </c>
    </row>
    <row r="1202" spans="1:25" x14ac:dyDescent="0.3">
      <c r="A1202" s="2">
        <v>42425</v>
      </c>
      <c r="B1202" s="1">
        <v>24.19</v>
      </c>
      <c r="C1202" s="1">
        <v>555.1499</v>
      </c>
      <c r="D1202" s="1">
        <v>108.07</v>
      </c>
      <c r="E1202" s="3">
        <f t="shared" si="112"/>
        <v>158.39980000000014</v>
      </c>
      <c r="F1202" s="4">
        <f t="shared" si="113"/>
        <v>-13.330199999999877</v>
      </c>
      <c r="G1202" s="4">
        <f t="shared" si="114"/>
        <v>13.330199999999877</v>
      </c>
      <c r="W1202" s="59">
        <f t="shared" si="115"/>
        <v>6.8443697655797536E-3</v>
      </c>
      <c r="X1202" s="59">
        <f t="shared" si="116"/>
        <v>2.0012810618646646E-3</v>
      </c>
      <c r="Y1202" s="59">
        <f t="shared" si="117"/>
        <v>1.1072455526738708E-2</v>
      </c>
    </row>
    <row r="1203" spans="1:25" x14ac:dyDescent="0.3">
      <c r="A1203" s="2">
        <v>42424</v>
      </c>
      <c r="B1203" s="1">
        <v>24.024999999999999</v>
      </c>
      <c r="C1203" s="1">
        <v>554.04</v>
      </c>
      <c r="D1203" s="1">
        <v>106.88</v>
      </c>
      <c r="E1203" s="3">
        <f t="shared" si="112"/>
        <v>171.73000000000002</v>
      </c>
      <c r="F1203" s="4">
        <f t="shared" si="113"/>
        <v>-8.5747999999998683</v>
      </c>
      <c r="G1203" s="4">
        <f t="shared" si="114"/>
        <v>8.5747999999998683</v>
      </c>
      <c r="W1203" s="59">
        <f t="shared" si="115"/>
        <v>1.4780917980837959E-2</v>
      </c>
      <c r="X1203" s="59">
        <f t="shared" si="116"/>
        <v>1.9875706183215842E-3</v>
      </c>
      <c r="Y1203" s="59">
        <f t="shared" si="117"/>
        <v>1.3374975686011851E-2</v>
      </c>
    </row>
    <row r="1204" spans="1:25" x14ac:dyDescent="0.3">
      <c r="A1204" s="2">
        <v>42423</v>
      </c>
      <c r="B1204" s="1">
        <v>23.672499999999999</v>
      </c>
      <c r="C1204" s="1">
        <v>552.93989999999997</v>
      </c>
      <c r="D1204" s="1">
        <v>105.46</v>
      </c>
      <c r="E1204" s="3">
        <f t="shared" si="112"/>
        <v>180.30479999999989</v>
      </c>
      <c r="F1204" s="4">
        <f t="shared" si="113"/>
        <v>-6.4952000000002954</v>
      </c>
      <c r="G1204" s="4">
        <f t="shared" si="114"/>
        <v>6.4952000000002954</v>
      </c>
      <c r="W1204" s="59">
        <f t="shared" si="115"/>
        <v>-2.2864701249428066E-2</v>
      </c>
      <c r="X1204" s="59">
        <f t="shared" si="116"/>
        <v>-1.1794212063403744E-2</v>
      </c>
      <c r="Y1204" s="59">
        <f t="shared" si="117"/>
        <v>-1.5991310574084303E-2</v>
      </c>
    </row>
    <row r="1205" spans="1:25" x14ac:dyDescent="0.3">
      <c r="A1205" s="2">
        <v>42422</v>
      </c>
      <c r="B1205" s="1">
        <v>24.22</v>
      </c>
      <c r="C1205" s="1">
        <v>559.5</v>
      </c>
      <c r="D1205" s="1">
        <v>107.16</v>
      </c>
      <c r="E1205" s="3">
        <f t="shared" si="112"/>
        <v>186.80000000000018</v>
      </c>
      <c r="F1205" s="4">
        <f t="shared" si="113"/>
        <v>7.9002000000000407</v>
      </c>
      <c r="G1205" s="4">
        <f t="shared" si="114"/>
        <v>-7.9002000000000407</v>
      </c>
      <c r="W1205" s="59">
        <f t="shared" si="115"/>
        <v>8.7083278917841934E-3</v>
      </c>
      <c r="X1205" s="59">
        <f t="shared" si="116"/>
        <v>4.4963901165625007E-2</v>
      </c>
      <c r="Y1205" s="59">
        <f t="shared" si="117"/>
        <v>2.4466341065910592E-2</v>
      </c>
    </row>
    <row r="1206" spans="1:25" x14ac:dyDescent="0.3">
      <c r="A1206" s="2">
        <v>42419</v>
      </c>
      <c r="B1206" s="1">
        <v>24.01</v>
      </c>
      <c r="C1206" s="1">
        <v>534.8999</v>
      </c>
      <c r="D1206" s="1">
        <v>104.57</v>
      </c>
      <c r="E1206" s="3">
        <f t="shared" si="112"/>
        <v>178.89980000000014</v>
      </c>
      <c r="F1206" s="4">
        <f t="shared" si="113"/>
        <v>-4.9501999999997679</v>
      </c>
      <c r="G1206" s="4">
        <f t="shared" si="114"/>
        <v>4.9501999999997679</v>
      </c>
      <c r="W1206" s="59">
        <f t="shared" si="115"/>
        <v>-2.2880925219108225E-3</v>
      </c>
      <c r="X1206" s="59">
        <f t="shared" si="116"/>
        <v>1.8681363994731193E-2</v>
      </c>
      <c r="Y1206" s="59">
        <f t="shared" si="117"/>
        <v>1.0574987993638174E-2</v>
      </c>
    </row>
    <row r="1207" spans="1:25" x14ac:dyDescent="0.3">
      <c r="A1207" s="2">
        <v>42418</v>
      </c>
      <c r="B1207" s="1">
        <v>24.065000000000001</v>
      </c>
      <c r="C1207" s="1">
        <v>525</v>
      </c>
      <c r="D1207" s="1">
        <v>103.47</v>
      </c>
      <c r="E1207" s="3">
        <f t="shared" si="112"/>
        <v>183.84999999999991</v>
      </c>
      <c r="F1207" s="4">
        <f t="shared" si="113"/>
        <v>-6.8502000000003136</v>
      </c>
      <c r="G1207" s="4">
        <f t="shared" si="114"/>
        <v>6.8502000000003136</v>
      </c>
      <c r="W1207" s="59">
        <f t="shared" si="115"/>
        <v>-1.9138355515325198E-2</v>
      </c>
      <c r="X1207" s="59">
        <f t="shared" si="116"/>
        <v>-1.7185011984938971E-2</v>
      </c>
      <c r="Y1207" s="59">
        <f t="shared" si="117"/>
        <v>-1.6581584686750288E-2</v>
      </c>
    </row>
    <row r="1208" spans="1:25" x14ac:dyDescent="0.3">
      <c r="A1208" s="2">
        <v>42417</v>
      </c>
      <c r="B1208" s="1">
        <v>24.53</v>
      </c>
      <c r="C1208" s="1">
        <v>534.1001</v>
      </c>
      <c r="D1208" s="1">
        <v>105.2</v>
      </c>
      <c r="E1208" s="3">
        <f t="shared" si="112"/>
        <v>190.70020000000022</v>
      </c>
      <c r="F1208" s="4">
        <f t="shared" si="113"/>
        <v>-27.299999999999955</v>
      </c>
      <c r="G1208" s="4">
        <f t="shared" si="114"/>
        <v>27.299999999999955</v>
      </c>
      <c r="W1208" s="59">
        <f t="shared" si="115"/>
        <v>1.5198485203783745E-2</v>
      </c>
      <c r="X1208" s="59">
        <f t="shared" si="116"/>
        <v>2.4641120759665895E-2</v>
      </c>
      <c r="Y1208" s="59">
        <f t="shared" si="117"/>
        <v>3.472134480581951E-2</v>
      </c>
    </row>
    <row r="1209" spans="1:25" x14ac:dyDescent="0.3">
      <c r="A1209" s="2">
        <v>42416</v>
      </c>
      <c r="B1209" s="1">
        <v>24.16</v>
      </c>
      <c r="C1209" s="1">
        <v>521.1001</v>
      </c>
      <c r="D1209" s="1">
        <v>101.61</v>
      </c>
      <c r="E1209" s="3">
        <f t="shared" si="112"/>
        <v>218.00020000000018</v>
      </c>
      <c r="F1209" s="4">
        <f t="shared" si="113"/>
        <v>69.164999999999964</v>
      </c>
      <c r="G1209" s="4">
        <f t="shared" si="114"/>
        <v>-69.164999999999964</v>
      </c>
      <c r="W1209" s="59">
        <f t="shared" si="115"/>
        <v>2.7804340554294881E-2</v>
      </c>
      <c r="X1209" s="59">
        <f t="shared" si="116"/>
        <v>2.7273174538849181E-2</v>
      </c>
      <c r="Y1209" s="59">
        <f t="shared" si="117"/>
        <v>-3.928892196637588E-3</v>
      </c>
    </row>
    <row r="1210" spans="1:25" x14ac:dyDescent="0.3">
      <c r="A1210" s="2">
        <v>42415</v>
      </c>
      <c r="B1210" s="1">
        <v>23.497499999999999</v>
      </c>
      <c r="C1210" s="1">
        <v>507.08010000000002</v>
      </c>
      <c r="D1210" s="1">
        <v>102.01</v>
      </c>
      <c r="E1210" s="3">
        <f t="shared" si="112"/>
        <v>148.83520000000021</v>
      </c>
      <c r="F1210" s="4">
        <f t="shared" si="113"/>
        <v>0</v>
      </c>
      <c r="G1210" s="4">
        <f t="shared" si="114"/>
        <v>0</v>
      </c>
      <c r="W1210" s="59">
        <f t="shared" si="115"/>
        <v>0</v>
      </c>
      <c r="X1210" s="59">
        <f t="shared" si="116"/>
        <v>0</v>
      </c>
      <c r="Y1210" s="59">
        <f t="shared" si="117"/>
        <v>0</v>
      </c>
    </row>
    <row r="1211" spans="1:25" x14ac:dyDescent="0.3">
      <c r="A1211" s="2">
        <v>42412</v>
      </c>
      <c r="B1211" s="1">
        <v>23.497499999999999</v>
      </c>
      <c r="C1211" s="1">
        <v>507.08010000000002</v>
      </c>
      <c r="D1211" s="1">
        <v>102.01</v>
      </c>
      <c r="E1211" s="3">
        <f t="shared" si="112"/>
        <v>148.83520000000021</v>
      </c>
      <c r="F1211" s="4">
        <f t="shared" si="113"/>
        <v>8.1450000000002092</v>
      </c>
      <c r="G1211" s="4">
        <f t="shared" si="114"/>
        <v>-8.1450000000002092</v>
      </c>
      <c r="W1211" s="59">
        <f t="shared" si="115"/>
        <v>3.0902043878334577E-3</v>
      </c>
      <c r="X1211" s="59">
        <f t="shared" si="116"/>
        <v>6.449719370955077E-3</v>
      </c>
      <c r="Y1211" s="59">
        <f t="shared" si="117"/>
        <v>9.8077685382534792E-4</v>
      </c>
    </row>
    <row r="1212" spans="1:25" x14ac:dyDescent="0.3">
      <c r="A1212" s="2">
        <v>42411</v>
      </c>
      <c r="B1212" s="1">
        <v>23.425000000000001</v>
      </c>
      <c r="C1212" s="1">
        <v>503.82010000000002</v>
      </c>
      <c r="D1212" s="1">
        <v>101.91</v>
      </c>
      <c r="E1212" s="3">
        <f t="shared" si="112"/>
        <v>140.6902</v>
      </c>
      <c r="F1212" s="4">
        <f t="shared" si="113"/>
        <v>1.355199999999968</v>
      </c>
      <c r="G1212" s="4">
        <f t="shared" si="114"/>
        <v>-1.355199999999968</v>
      </c>
      <c r="W1212" s="59">
        <f t="shared" si="115"/>
        <v>-6.0648161636824398E-3</v>
      </c>
      <c r="X1212" s="59">
        <f t="shared" si="116"/>
        <v>2.6834756452660053E-2</v>
      </c>
      <c r="Y1212" s="59">
        <f t="shared" si="117"/>
        <v>8.9695539993427977E-3</v>
      </c>
    </row>
    <row r="1213" spans="1:25" x14ac:dyDescent="0.3">
      <c r="A1213" s="2">
        <v>42410</v>
      </c>
      <c r="B1213" s="1">
        <v>23.567499999999999</v>
      </c>
      <c r="C1213" s="1">
        <v>490.48</v>
      </c>
      <c r="D1213" s="1">
        <v>101</v>
      </c>
      <c r="E1213" s="3">
        <f t="shared" si="112"/>
        <v>139.33500000000004</v>
      </c>
      <c r="F1213" s="4">
        <f t="shared" si="113"/>
        <v>-21.380199999999604</v>
      </c>
      <c r="G1213" s="4">
        <f t="shared" si="114"/>
        <v>21.380199999999604</v>
      </c>
      <c r="W1213" s="59">
        <f t="shared" si="115"/>
        <v>-7.6086174940320859E-3</v>
      </c>
      <c r="X1213" s="59">
        <f t="shared" si="116"/>
        <v>1.7294964293928662E-2</v>
      </c>
      <c r="Y1213" s="59">
        <f t="shared" si="117"/>
        <v>1.4560943410851318E-2</v>
      </c>
    </row>
    <row r="1214" spans="1:25" x14ac:dyDescent="0.3">
      <c r="A1214" s="2">
        <v>42409</v>
      </c>
      <c r="B1214" s="1">
        <v>23.747499999999999</v>
      </c>
      <c r="C1214" s="1">
        <v>482.07010000000002</v>
      </c>
      <c r="D1214" s="1">
        <v>99.54</v>
      </c>
      <c r="E1214" s="3">
        <f t="shared" si="112"/>
        <v>160.71519999999964</v>
      </c>
      <c r="F1214" s="4">
        <f t="shared" si="113"/>
        <v>-8.1100000000005821</v>
      </c>
      <c r="G1214" s="4">
        <f t="shared" si="114"/>
        <v>8.1100000000005821</v>
      </c>
      <c r="W1214" s="59">
        <f t="shared" si="115"/>
        <v>-2.1052631656720084E-4</v>
      </c>
      <c r="X1214" s="59">
        <f t="shared" si="116"/>
        <v>-1.2430968608627082E-2</v>
      </c>
      <c r="Y1214" s="59">
        <f t="shared" si="117"/>
        <v>-2.1074823395646983E-3</v>
      </c>
    </row>
    <row r="1215" spans="1:25" x14ac:dyDescent="0.3">
      <c r="A1215" s="2">
        <v>42408</v>
      </c>
      <c r="B1215" s="1">
        <v>23.752500000000001</v>
      </c>
      <c r="C1215" s="1">
        <v>488.1001</v>
      </c>
      <c r="D1215" s="1">
        <v>99.75</v>
      </c>
      <c r="E1215" s="3">
        <f t="shared" si="112"/>
        <v>168.82520000000022</v>
      </c>
      <c r="F1215" s="4">
        <f t="shared" si="113"/>
        <v>70.715400000000045</v>
      </c>
      <c r="G1215" s="4">
        <f t="shared" si="114"/>
        <v>-70.715400000000045</v>
      </c>
      <c r="W1215" s="59">
        <f t="shared" si="115"/>
        <v>1.0474623622673842E-2</v>
      </c>
      <c r="X1215" s="59">
        <f t="shared" si="116"/>
        <v>-2.8338343388964727E-2</v>
      </c>
      <c r="Y1215" s="59">
        <f t="shared" si="117"/>
        <v>-4.2396693879795132E-2</v>
      </c>
    </row>
    <row r="1216" spans="1:25" x14ac:dyDescent="0.3">
      <c r="A1216" s="2">
        <v>42405</v>
      </c>
      <c r="B1216" s="1">
        <v>23.504999999999999</v>
      </c>
      <c r="C1216" s="1">
        <v>502.12990000000002</v>
      </c>
      <c r="D1216" s="1">
        <v>104.07</v>
      </c>
      <c r="E1216" s="3">
        <f t="shared" si="112"/>
        <v>98.109800000000178</v>
      </c>
      <c r="F1216" s="4">
        <f t="shared" si="113"/>
        <v>27.889799999999923</v>
      </c>
      <c r="G1216" s="4">
        <f t="shared" si="114"/>
        <v>-27.889799999999923</v>
      </c>
      <c r="W1216" s="59">
        <f t="shared" si="115"/>
        <v>-2.7071215622487824E-2</v>
      </c>
      <c r="X1216" s="59">
        <f t="shared" si="116"/>
        <v>-6.5760266928907032E-2</v>
      </c>
      <c r="Y1216" s="59">
        <f t="shared" si="117"/>
        <v>-5.9861269475315622E-2</v>
      </c>
    </row>
    <row r="1217" spans="1:25" x14ac:dyDescent="0.3">
      <c r="A1217" s="2">
        <v>42404</v>
      </c>
      <c r="B1217" s="1">
        <v>24.15</v>
      </c>
      <c r="C1217" s="1">
        <v>536.26</v>
      </c>
      <c r="D1217" s="1">
        <v>110.49</v>
      </c>
      <c r="E1217" s="3">
        <f t="shared" si="112"/>
        <v>70.220000000000255</v>
      </c>
      <c r="F1217" s="4">
        <f t="shared" si="113"/>
        <v>57.504800000000614</v>
      </c>
      <c r="G1217" s="4">
        <f t="shared" si="114"/>
        <v>-57.504800000000614</v>
      </c>
      <c r="W1217" s="59">
        <f t="shared" si="115"/>
        <v>2.5913463580968894E-3</v>
      </c>
      <c r="X1217" s="59">
        <f t="shared" si="116"/>
        <v>9.7250904923724176E-3</v>
      </c>
      <c r="Y1217" s="59">
        <f t="shared" si="117"/>
        <v>-1.9715666839174379E-2</v>
      </c>
    </row>
    <row r="1218" spans="1:25" x14ac:dyDescent="0.3">
      <c r="A1218" s="2">
        <v>42403</v>
      </c>
      <c r="B1218" s="1">
        <v>24.087499999999999</v>
      </c>
      <c r="C1218" s="1">
        <v>531.07010000000002</v>
      </c>
      <c r="D1218" s="1">
        <v>112.69</v>
      </c>
      <c r="E1218" s="3">
        <f t="shared" si="112"/>
        <v>12.715199999999641</v>
      </c>
      <c r="F1218" s="4">
        <f t="shared" si="113"/>
        <v>19.714999999999236</v>
      </c>
      <c r="G1218" s="4">
        <f t="shared" si="114"/>
        <v>-19.714999999999236</v>
      </c>
      <c r="W1218" s="59">
        <f t="shared" si="115"/>
        <v>1.9599222971268371E-2</v>
      </c>
      <c r="X1218" s="59">
        <f t="shared" si="116"/>
        <v>-3.8835342821959773E-2</v>
      </c>
      <c r="Y1218" s="59">
        <f t="shared" si="117"/>
        <v>-1.689437454434985E-2</v>
      </c>
    </row>
    <row r="1219" spans="1:25" x14ac:dyDescent="0.3">
      <c r="A1219" s="2">
        <v>42402</v>
      </c>
      <c r="B1219" s="1">
        <v>23.62</v>
      </c>
      <c r="C1219" s="1">
        <v>552.1001</v>
      </c>
      <c r="D1219" s="1">
        <v>114.61</v>
      </c>
      <c r="E1219" s="3">
        <f t="shared" si="112"/>
        <v>-6.9997999999995955</v>
      </c>
      <c r="F1219" s="4">
        <f t="shared" si="113"/>
        <v>-60.194999999999709</v>
      </c>
      <c r="G1219" s="4">
        <f t="shared" si="114"/>
        <v>60.194999999999709</v>
      </c>
      <c r="W1219" s="59">
        <f t="shared" si="115"/>
        <v>-2.0429184633186166E-2</v>
      </c>
      <c r="X1219" s="59">
        <f t="shared" si="116"/>
        <v>-4.0310354963063913E-2</v>
      </c>
      <c r="Y1219" s="59">
        <f t="shared" si="117"/>
        <v>-4.1793704717919631E-3</v>
      </c>
    </row>
    <row r="1220" spans="1:25" x14ac:dyDescent="0.3">
      <c r="A1220" s="2">
        <v>42401</v>
      </c>
      <c r="B1220" s="1">
        <v>24.107500000000002</v>
      </c>
      <c r="C1220" s="1">
        <v>574.81010000000003</v>
      </c>
      <c r="D1220" s="1">
        <v>115.09</v>
      </c>
      <c r="E1220" s="3">
        <f t="shared" si="112"/>
        <v>53.195200000000114</v>
      </c>
      <c r="F1220" s="4">
        <f t="shared" si="113"/>
        <v>-93.354800000000068</v>
      </c>
      <c r="G1220" s="4">
        <f t="shared" si="114"/>
        <v>93.354800000000068</v>
      </c>
      <c r="W1220" s="59">
        <f t="shared" si="115"/>
        <v>-9.3926478830152049E-3</v>
      </c>
      <c r="X1220" s="59">
        <f t="shared" si="116"/>
        <v>-2.0985094448442598E-2</v>
      </c>
      <c r="Y1220" s="59">
        <f t="shared" si="117"/>
        <v>2.5342315303624876E-2</v>
      </c>
    </row>
    <row r="1221" spans="1:25" x14ac:dyDescent="0.3">
      <c r="A1221" s="2">
        <v>42398</v>
      </c>
      <c r="B1221" s="1">
        <v>24.335000000000001</v>
      </c>
      <c r="C1221" s="1">
        <v>587</v>
      </c>
      <c r="D1221" s="1">
        <v>112.21</v>
      </c>
      <c r="E1221" s="3">
        <f t="shared" si="112"/>
        <v>146.55000000000018</v>
      </c>
      <c r="F1221" s="4">
        <f t="shared" si="113"/>
        <v>-118.07520000000022</v>
      </c>
      <c r="G1221" s="4">
        <f t="shared" si="114"/>
        <v>118.07520000000022</v>
      </c>
      <c r="W1221" s="59">
        <f t="shared" si="115"/>
        <v>3.3958233386633882E-2</v>
      </c>
      <c r="X1221" s="59">
        <f t="shared" si="116"/>
        <v>-7.9151365715997082E-2</v>
      </c>
      <c r="Y1221" s="59">
        <f t="shared" si="117"/>
        <v>2.8015568009767452E-2</v>
      </c>
    </row>
    <row r="1222" spans="1:25" x14ac:dyDescent="0.3">
      <c r="A1222" s="2">
        <v>42397</v>
      </c>
      <c r="B1222" s="1">
        <v>23.522500000000001</v>
      </c>
      <c r="C1222" s="1">
        <v>635.3501</v>
      </c>
      <c r="D1222" s="1">
        <v>109.11</v>
      </c>
      <c r="E1222" s="3">
        <f t="shared" ref="E1222:E1285" si="118">50*B1222+2*C1222-20*D1222</f>
        <v>264.6252000000004</v>
      </c>
      <c r="F1222" s="4">
        <f t="shared" ref="F1222:F1285" si="119">E1222-E1223</f>
        <v>-180.82499999999982</v>
      </c>
      <c r="G1222" s="4">
        <f t="shared" ref="G1222:G1285" si="120">-F1222</f>
        <v>180.82499999999982</v>
      </c>
      <c r="W1222" s="59">
        <f t="shared" ref="W1222:W1285" si="121">LN(B1222/B1223)</f>
        <v>7.1463159447123174E-3</v>
      </c>
      <c r="X1222" s="59">
        <f t="shared" ref="X1222:X1285" si="122">LN(C1222/C1223)</f>
        <v>8.538866485056873E-2</v>
      </c>
      <c r="Y1222" s="59">
        <f t="shared" ref="Y1222:Y1285" si="123">LN(D1222/D1223)</f>
        <v>0.14428595371948885</v>
      </c>
    </row>
    <row r="1223" spans="1:25" x14ac:dyDescent="0.3">
      <c r="A1223" s="2">
        <v>42396</v>
      </c>
      <c r="B1223" s="1">
        <v>23.355</v>
      </c>
      <c r="C1223" s="1">
        <v>583.3501</v>
      </c>
      <c r="D1223" s="1">
        <v>94.45</v>
      </c>
      <c r="E1223" s="3">
        <f t="shared" si="118"/>
        <v>445.45020000000022</v>
      </c>
      <c r="F1223" s="4">
        <f t="shared" si="119"/>
        <v>-60.124799999999595</v>
      </c>
      <c r="G1223" s="4">
        <f t="shared" si="120"/>
        <v>60.124799999999595</v>
      </c>
      <c r="W1223" s="59">
        <f t="shared" si="121"/>
        <v>-6.7964725913795987E-2</v>
      </c>
      <c r="X1223" s="59">
        <f t="shared" si="122"/>
        <v>-3.0223300726445981E-2</v>
      </c>
      <c r="Y1223" s="59">
        <f t="shared" si="123"/>
        <v>-3.0139410457789739E-2</v>
      </c>
    </row>
    <row r="1224" spans="1:25" x14ac:dyDescent="0.3">
      <c r="A1224" s="2">
        <v>42395</v>
      </c>
      <c r="B1224" s="1">
        <v>24.997499999999999</v>
      </c>
      <c r="C1224" s="1">
        <v>601.25</v>
      </c>
      <c r="D1224" s="1">
        <v>97.34</v>
      </c>
      <c r="E1224" s="3">
        <f t="shared" si="118"/>
        <v>505.57499999999982</v>
      </c>
      <c r="F1224" s="4">
        <f t="shared" si="119"/>
        <v>9.7149999999999181</v>
      </c>
      <c r="G1224" s="4">
        <f t="shared" si="120"/>
        <v>-9.7149999999999181</v>
      </c>
      <c r="W1224" s="59">
        <f t="shared" si="121"/>
        <v>5.5157337853022625E-3</v>
      </c>
      <c r="X1224" s="59">
        <f t="shared" si="122"/>
        <v>7.8812877686310536E-3</v>
      </c>
      <c r="Y1224" s="59">
        <f t="shared" si="123"/>
        <v>3.3959384321161435E-3</v>
      </c>
    </row>
    <row r="1225" spans="1:25" x14ac:dyDescent="0.3">
      <c r="A1225" s="2">
        <v>42394</v>
      </c>
      <c r="B1225" s="1">
        <v>24.86</v>
      </c>
      <c r="C1225" s="1">
        <v>596.53</v>
      </c>
      <c r="D1225" s="1">
        <v>97.01</v>
      </c>
      <c r="E1225" s="3">
        <f t="shared" si="118"/>
        <v>495.8599999999999</v>
      </c>
      <c r="F1225" s="4">
        <f t="shared" si="119"/>
        <v>-5.8497999999999593</v>
      </c>
      <c r="G1225" s="4">
        <f t="shared" si="120"/>
        <v>5.8497999999999593</v>
      </c>
      <c r="W1225" s="59">
        <f t="shared" si="121"/>
        <v>-1.9715863164417317E-2</v>
      </c>
      <c r="X1225" s="59">
        <f t="shared" si="122"/>
        <v>2.5165354196851917E-4</v>
      </c>
      <c r="Y1225" s="59">
        <f t="shared" si="123"/>
        <v>-9.540980300979043E-3</v>
      </c>
    </row>
    <row r="1226" spans="1:25" x14ac:dyDescent="0.3">
      <c r="A1226" s="2">
        <v>42391</v>
      </c>
      <c r="B1226" s="1">
        <v>25.355</v>
      </c>
      <c r="C1226" s="1">
        <v>596.37990000000002</v>
      </c>
      <c r="D1226" s="1">
        <v>97.94</v>
      </c>
      <c r="E1226" s="3">
        <f t="shared" si="118"/>
        <v>501.70979999999986</v>
      </c>
      <c r="F1226" s="4">
        <f t="shared" si="119"/>
        <v>31.119799999999714</v>
      </c>
      <c r="G1226" s="4">
        <f t="shared" si="120"/>
        <v>-31.119799999999714</v>
      </c>
      <c r="W1226" s="59">
        <f t="shared" si="121"/>
        <v>5.1801991562793151E-2</v>
      </c>
      <c r="X1226" s="59">
        <f t="shared" si="122"/>
        <v>3.6473057308226281E-2</v>
      </c>
      <c r="Y1226" s="59">
        <f t="shared" si="123"/>
        <v>3.9359583322150081E-2</v>
      </c>
    </row>
    <row r="1227" spans="1:25" x14ac:dyDescent="0.3">
      <c r="A1227" s="2">
        <v>42390</v>
      </c>
      <c r="B1227" s="1">
        <v>24.074999999999999</v>
      </c>
      <c r="C1227" s="1">
        <v>575.02</v>
      </c>
      <c r="D1227" s="1">
        <v>94.16</v>
      </c>
      <c r="E1227" s="3">
        <f t="shared" si="118"/>
        <v>470.59000000000015</v>
      </c>
      <c r="F1227" s="4">
        <f t="shared" si="119"/>
        <v>4.1750000000001819</v>
      </c>
      <c r="G1227" s="4">
        <f t="shared" si="120"/>
        <v>-4.1750000000001819</v>
      </c>
      <c r="W1227" s="59">
        <f t="shared" si="121"/>
        <v>-5.0753643569174979E-3</v>
      </c>
      <c r="X1227" s="59">
        <f t="shared" si="122"/>
        <v>5.6680101864840073E-3</v>
      </c>
      <c r="Y1227" s="59">
        <f t="shared" si="123"/>
        <v>-2.0158088625379048E-3</v>
      </c>
    </row>
    <row r="1228" spans="1:25" x14ac:dyDescent="0.3">
      <c r="A1228" s="2">
        <v>42389</v>
      </c>
      <c r="B1228" s="1">
        <v>24.197500000000002</v>
      </c>
      <c r="C1228" s="1">
        <v>571.77</v>
      </c>
      <c r="D1228" s="1">
        <v>94.35</v>
      </c>
      <c r="E1228" s="3">
        <f t="shared" si="118"/>
        <v>466.41499999999996</v>
      </c>
      <c r="F1228" s="4">
        <f t="shared" si="119"/>
        <v>14.404999999999973</v>
      </c>
      <c r="G1228" s="4">
        <f t="shared" si="120"/>
        <v>-14.404999999999973</v>
      </c>
      <c r="W1228" s="59">
        <f t="shared" si="121"/>
        <v>1.3440167440593278E-3</v>
      </c>
      <c r="X1228" s="59">
        <f t="shared" si="122"/>
        <v>-4.7284711874008845E-3</v>
      </c>
      <c r="Y1228" s="59">
        <f t="shared" si="123"/>
        <v>-9.5987235581552737E-3</v>
      </c>
    </row>
    <row r="1229" spans="1:25" x14ac:dyDescent="0.3">
      <c r="A1229" s="2">
        <v>42388</v>
      </c>
      <c r="B1229" s="1">
        <v>24.164999999999999</v>
      </c>
      <c r="C1229" s="1">
        <v>574.48</v>
      </c>
      <c r="D1229" s="1">
        <v>95.26</v>
      </c>
      <c r="E1229" s="3">
        <f t="shared" si="118"/>
        <v>452.01</v>
      </c>
      <c r="F1229" s="4">
        <f t="shared" si="119"/>
        <v>-3.0748000000000957</v>
      </c>
      <c r="G1229" s="4">
        <f t="shared" si="120"/>
        <v>3.0748000000000957</v>
      </c>
      <c r="W1229" s="59">
        <f t="shared" si="121"/>
        <v>-4.8506209973011123E-3</v>
      </c>
      <c r="X1229" s="59">
        <f t="shared" si="122"/>
        <v>7.5133587340110598E-3</v>
      </c>
      <c r="Y1229" s="59">
        <f t="shared" si="123"/>
        <v>3.0489431178531883E-3</v>
      </c>
    </row>
    <row r="1230" spans="1:25" x14ac:dyDescent="0.3">
      <c r="A1230" s="2">
        <v>42387</v>
      </c>
      <c r="B1230" s="1">
        <v>24.282499999999999</v>
      </c>
      <c r="C1230" s="1">
        <v>570.17989999999998</v>
      </c>
      <c r="D1230" s="1">
        <v>94.97</v>
      </c>
      <c r="E1230" s="3">
        <f t="shared" si="118"/>
        <v>455.08480000000009</v>
      </c>
      <c r="F1230" s="4">
        <f t="shared" si="119"/>
        <v>0</v>
      </c>
      <c r="G1230" s="4">
        <f t="shared" si="120"/>
        <v>0</v>
      </c>
      <c r="W1230" s="59">
        <f t="shared" si="121"/>
        <v>0</v>
      </c>
      <c r="X1230" s="59">
        <f t="shared" si="122"/>
        <v>0</v>
      </c>
      <c r="Y1230" s="59">
        <f t="shared" si="123"/>
        <v>0</v>
      </c>
    </row>
    <row r="1231" spans="1:25" x14ac:dyDescent="0.3">
      <c r="A1231" s="2">
        <v>42384</v>
      </c>
      <c r="B1231" s="1">
        <v>24.282499999999999</v>
      </c>
      <c r="C1231" s="1">
        <v>570.17989999999998</v>
      </c>
      <c r="D1231" s="1">
        <v>94.97</v>
      </c>
      <c r="E1231" s="3">
        <f t="shared" si="118"/>
        <v>455.08480000000009</v>
      </c>
      <c r="F1231" s="4">
        <f t="shared" si="119"/>
        <v>-7.5151999999998225</v>
      </c>
      <c r="G1231" s="4">
        <f t="shared" si="120"/>
        <v>7.5151999999998225</v>
      </c>
      <c r="W1231" s="59">
        <f t="shared" si="121"/>
        <v>-2.430834157663014E-2</v>
      </c>
      <c r="X1231" s="59">
        <f t="shared" si="122"/>
        <v>-3.9242473929674331E-2</v>
      </c>
      <c r="Y1231" s="59">
        <f t="shared" si="123"/>
        <v>-3.5174827269805545E-2</v>
      </c>
    </row>
    <row r="1232" spans="1:25" x14ac:dyDescent="0.3">
      <c r="A1232" s="2">
        <v>42383</v>
      </c>
      <c r="B1232" s="1">
        <v>24.88</v>
      </c>
      <c r="C1232" s="1">
        <v>593</v>
      </c>
      <c r="D1232" s="1">
        <v>98.37</v>
      </c>
      <c r="E1232" s="3">
        <f t="shared" si="118"/>
        <v>462.59999999999991</v>
      </c>
      <c r="F1232" s="4">
        <f t="shared" si="119"/>
        <v>-9.5952000000004318</v>
      </c>
      <c r="G1232" s="4">
        <f t="shared" si="120"/>
        <v>9.5952000000004318</v>
      </c>
      <c r="W1232" s="59">
        <f t="shared" si="121"/>
        <v>2.1635093017761481E-2</v>
      </c>
      <c r="X1232" s="59">
        <f t="shared" si="122"/>
        <v>1.9050293169808358E-2</v>
      </c>
      <c r="Y1232" s="59">
        <f t="shared" si="123"/>
        <v>3.0238101735005924E-2</v>
      </c>
    </row>
    <row r="1233" spans="1:25" x14ac:dyDescent="0.3">
      <c r="A1233" s="2">
        <v>42382</v>
      </c>
      <c r="B1233" s="1">
        <v>24.3475</v>
      </c>
      <c r="C1233" s="1">
        <v>581.81010000000003</v>
      </c>
      <c r="D1233" s="1">
        <v>95.44</v>
      </c>
      <c r="E1233" s="3">
        <f t="shared" si="118"/>
        <v>472.19520000000034</v>
      </c>
      <c r="F1233" s="4">
        <f t="shared" si="119"/>
        <v>-25.684599999999818</v>
      </c>
      <c r="G1233" s="4">
        <f t="shared" si="120"/>
        <v>25.684599999999818</v>
      </c>
      <c r="W1233" s="59">
        <f t="shared" si="121"/>
        <v>-2.6046569993643694E-2</v>
      </c>
      <c r="X1233" s="59">
        <f t="shared" si="122"/>
        <v>-6.0166180418420236E-2</v>
      </c>
      <c r="Y1233" s="59">
        <f t="shared" si="123"/>
        <v>-4.0352479453611395E-2</v>
      </c>
    </row>
    <row r="1234" spans="1:25" x14ac:dyDescent="0.3">
      <c r="A1234" s="2">
        <v>42381</v>
      </c>
      <c r="B1234" s="1">
        <v>24.99</v>
      </c>
      <c r="C1234" s="1">
        <v>617.88990000000001</v>
      </c>
      <c r="D1234" s="1">
        <v>99.37</v>
      </c>
      <c r="E1234" s="3">
        <f t="shared" si="118"/>
        <v>497.87980000000016</v>
      </c>
      <c r="F1234" s="4">
        <f t="shared" si="119"/>
        <v>-19.025199999999813</v>
      </c>
      <c r="G1234" s="4">
        <f t="shared" si="120"/>
        <v>19.025199999999813</v>
      </c>
      <c r="W1234" s="59">
        <f t="shared" si="121"/>
        <v>1.4409035632368394E-2</v>
      </c>
      <c r="X1234" s="59">
        <f t="shared" si="122"/>
        <v>2.4262928686884385E-4</v>
      </c>
      <c r="Y1234" s="59">
        <f t="shared" si="123"/>
        <v>1.889532039624436E-2</v>
      </c>
    </row>
    <row r="1235" spans="1:25" x14ac:dyDescent="0.3">
      <c r="A1235" s="2">
        <v>42380</v>
      </c>
      <c r="B1235" s="1">
        <v>24.6325</v>
      </c>
      <c r="C1235" s="1">
        <v>617.74</v>
      </c>
      <c r="D1235" s="1">
        <v>97.51</v>
      </c>
      <c r="E1235" s="3">
        <f t="shared" si="118"/>
        <v>516.90499999999997</v>
      </c>
      <c r="F1235" s="4">
        <f t="shared" si="119"/>
        <v>37.404999999999973</v>
      </c>
      <c r="G1235" s="4">
        <f t="shared" si="120"/>
        <v>-37.404999999999973</v>
      </c>
      <c r="W1235" s="59">
        <f t="shared" si="121"/>
        <v>1.6062548013378874E-2</v>
      </c>
      <c r="X1235" s="59">
        <f t="shared" si="122"/>
        <v>1.7456496969484439E-2</v>
      </c>
      <c r="Y1235" s="59">
        <f t="shared" si="123"/>
        <v>1.8476704086253797E-3</v>
      </c>
    </row>
    <row r="1236" spans="1:25" x14ac:dyDescent="0.3">
      <c r="A1236" s="2">
        <v>42377</v>
      </c>
      <c r="B1236" s="1">
        <v>24.24</v>
      </c>
      <c r="C1236" s="1">
        <v>607.04999999999995</v>
      </c>
      <c r="D1236" s="1">
        <v>97.33</v>
      </c>
      <c r="E1236" s="3">
        <f t="shared" si="118"/>
        <v>479.5</v>
      </c>
      <c r="F1236" s="4">
        <f t="shared" si="119"/>
        <v>16.395200000000386</v>
      </c>
      <c r="G1236" s="4">
        <f t="shared" si="120"/>
        <v>-16.395200000000386</v>
      </c>
      <c r="W1236" s="59">
        <f t="shared" si="121"/>
        <v>5.2737829692661537E-3</v>
      </c>
      <c r="X1236" s="59">
        <f t="shared" si="122"/>
        <v>-1.4648684061190744E-3</v>
      </c>
      <c r="Y1236" s="59">
        <f t="shared" si="123"/>
        <v>-6.0435523256137449E-3</v>
      </c>
    </row>
    <row r="1237" spans="1:25" x14ac:dyDescent="0.3">
      <c r="A1237" s="2">
        <v>42376</v>
      </c>
      <c r="B1237" s="1">
        <v>24.112500000000001</v>
      </c>
      <c r="C1237" s="1">
        <v>607.93989999999997</v>
      </c>
      <c r="D1237" s="1">
        <v>97.92</v>
      </c>
      <c r="E1237" s="3">
        <f t="shared" si="118"/>
        <v>463.10479999999961</v>
      </c>
      <c r="F1237" s="4">
        <f t="shared" si="119"/>
        <v>-1.5450000000000728</v>
      </c>
      <c r="G1237" s="4">
        <f t="shared" si="120"/>
        <v>1.5450000000000728</v>
      </c>
      <c r="W1237" s="59">
        <f t="shared" si="121"/>
        <v>-4.3121060372778568E-2</v>
      </c>
      <c r="X1237" s="59">
        <f t="shared" si="122"/>
        <v>-3.9841160173875928E-2</v>
      </c>
      <c r="Y1237" s="59">
        <f t="shared" si="123"/>
        <v>-5.0286864904643486E-2</v>
      </c>
    </row>
    <row r="1238" spans="1:25" x14ac:dyDescent="0.3">
      <c r="A1238" s="2">
        <v>42375</v>
      </c>
      <c r="B1238" s="1">
        <v>25.175000000000001</v>
      </c>
      <c r="C1238" s="1">
        <v>632.6499</v>
      </c>
      <c r="D1238" s="1">
        <v>102.97</v>
      </c>
      <c r="E1238" s="3">
        <f t="shared" si="118"/>
        <v>464.64979999999969</v>
      </c>
      <c r="F1238" s="4">
        <f t="shared" si="119"/>
        <v>-32.205200000000332</v>
      </c>
      <c r="G1238" s="4">
        <f t="shared" si="120"/>
        <v>32.205200000000332</v>
      </c>
      <c r="W1238" s="59">
        <f t="shared" si="121"/>
        <v>-1.9763683453196328E-2</v>
      </c>
      <c r="X1238" s="59">
        <f t="shared" si="122"/>
        <v>-1.8004807144680072E-3</v>
      </c>
      <c r="Y1238" s="59">
        <f t="shared" si="123"/>
        <v>2.3334964404870639E-3</v>
      </c>
    </row>
    <row r="1239" spans="1:25" x14ac:dyDescent="0.3">
      <c r="A1239" s="2">
        <v>42374</v>
      </c>
      <c r="B1239" s="1">
        <v>25.677499999999998</v>
      </c>
      <c r="C1239" s="1">
        <v>633.79</v>
      </c>
      <c r="D1239" s="1">
        <v>102.73</v>
      </c>
      <c r="E1239" s="3">
        <f t="shared" si="118"/>
        <v>496.85500000000002</v>
      </c>
      <c r="F1239" s="4">
        <f t="shared" si="119"/>
        <v>-49.599999999999909</v>
      </c>
      <c r="G1239" s="4">
        <f t="shared" si="120"/>
        <v>49.599999999999909</v>
      </c>
      <c r="W1239" s="59">
        <f t="shared" si="121"/>
        <v>-2.5378657072485072E-2</v>
      </c>
      <c r="X1239" s="59">
        <f t="shared" si="122"/>
        <v>-5.0362875773648629E-3</v>
      </c>
      <c r="Y1239" s="59">
        <f t="shared" si="123"/>
        <v>4.9768338880388794E-3</v>
      </c>
    </row>
    <row r="1240" spans="1:25" x14ac:dyDescent="0.3">
      <c r="A1240" s="2">
        <v>42373</v>
      </c>
      <c r="B1240" s="1">
        <v>26.337499999999999</v>
      </c>
      <c r="C1240" s="1">
        <v>636.99</v>
      </c>
      <c r="D1240" s="1">
        <v>102.22</v>
      </c>
      <c r="E1240" s="3">
        <f t="shared" si="118"/>
        <v>546.45499999999993</v>
      </c>
      <c r="F1240" s="4">
        <f t="shared" si="119"/>
        <v>-27.874800000000505</v>
      </c>
      <c r="G1240" s="4">
        <f t="shared" si="120"/>
        <v>27.874800000000505</v>
      </c>
      <c r="W1240" s="59">
        <f t="shared" si="121"/>
        <v>8.5466032456495264E-4</v>
      </c>
      <c r="X1240" s="59">
        <f t="shared" si="122"/>
        <v>-5.9276236093936993E-2</v>
      </c>
      <c r="Y1240" s="59">
        <f t="shared" si="123"/>
        <v>-2.3589647603928184E-2</v>
      </c>
    </row>
    <row r="1241" spans="1:25" x14ac:dyDescent="0.3">
      <c r="A1241" s="2">
        <v>42370</v>
      </c>
      <c r="B1241" s="1">
        <v>26.315000000000001</v>
      </c>
      <c r="C1241" s="1">
        <v>675.88990000000001</v>
      </c>
      <c r="D1241" s="1">
        <v>104.66</v>
      </c>
      <c r="E1241" s="3">
        <f t="shared" si="118"/>
        <v>574.32980000000043</v>
      </c>
      <c r="F1241" s="4">
        <f t="shared" si="119"/>
        <v>0</v>
      </c>
      <c r="G1241" s="4">
        <f t="shared" si="120"/>
        <v>0</v>
      </c>
      <c r="W1241" s="59">
        <f t="shared" si="121"/>
        <v>0</v>
      </c>
      <c r="X1241" s="59">
        <f t="shared" si="122"/>
        <v>0</v>
      </c>
      <c r="Y1241" s="59">
        <f t="shared" si="123"/>
        <v>0</v>
      </c>
    </row>
    <row r="1242" spans="1:25" x14ac:dyDescent="0.3">
      <c r="A1242" s="2">
        <v>42369</v>
      </c>
      <c r="B1242" s="1">
        <v>26.315000000000001</v>
      </c>
      <c r="C1242" s="1">
        <v>675.88990000000001</v>
      </c>
      <c r="D1242" s="1">
        <v>104.66</v>
      </c>
      <c r="E1242" s="3">
        <f t="shared" si="118"/>
        <v>574.32980000000043</v>
      </c>
      <c r="F1242" s="4">
        <f t="shared" si="119"/>
        <v>-20.910399999999299</v>
      </c>
      <c r="G1242" s="4">
        <f t="shared" si="120"/>
        <v>20.910399999999299</v>
      </c>
      <c r="W1242" s="59">
        <f t="shared" si="121"/>
        <v>-1.9381545631790353E-2</v>
      </c>
      <c r="X1242" s="59">
        <f t="shared" si="122"/>
        <v>-1.9312814537150232E-2</v>
      </c>
      <c r="Y1242" s="59">
        <f t="shared" si="123"/>
        <v>-1.479541405019133E-2</v>
      </c>
    </row>
    <row r="1243" spans="1:25" x14ac:dyDescent="0.3">
      <c r="A1243" s="2">
        <v>42368</v>
      </c>
      <c r="B1243" s="1">
        <v>26.83</v>
      </c>
      <c r="C1243" s="1">
        <v>689.07010000000002</v>
      </c>
      <c r="D1243" s="1">
        <v>106.22</v>
      </c>
      <c r="E1243" s="3">
        <f t="shared" si="118"/>
        <v>595.24019999999973</v>
      </c>
      <c r="F1243" s="4">
        <f t="shared" si="119"/>
        <v>-6.7498000000000502</v>
      </c>
      <c r="G1243" s="4">
        <f t="shared" si="120"/>
        <v>6.7498000000000502</v>
      </c>
      <c r="W1243" s="59">
        <f t="shared" si="121"/>
        <v>-1.3144686160351211E-2</v>
      </c>
      <c r="X1243" s="59">
        <f t="shared" si="122"/>
        <v>-7.0857244138566909E-3</v>
      </c>
      <c r="Y1243" s="59">
        <f t="shared" si="123"/>
        <v>-9.7433785605260826E-3</v>
      </c>
    </row>
    <row r="1244" spans="1:25" x14ac:dyDescent="0.3">
      <c r="A1244" s="2">
        <v>42367</v>
      </c>
      <c r="B1244" s="1">
        <v>27.184999999999999</v>
      </c>
      <c r="C1244" s="1">
        <v>693.97</v>
      </c>
      <c r="D1244" s="1">
        <v>107.26</v>
      </c>
      <c r="E1244" s="3">
        <f t="shared" si="118"/>
        <v>601.98999999999978</v>
      </c>
      <c r="F1244" s="4">
        <f t="shared" si="119"/>
        <v>34.940000000000055</v>
      </c>
      <c r="G1244" s="4">
        <f t="shared" si="120"/>
        <v>-34.940000000000055</v>
      </c>
      <c r="W1244" s="59">
        <f t="shared" si="121"/>
        <v>1.7814536806150302E-2</v>
      </c>
      <c r="X1244" s="59">
        <f t="shared" si="122"/>
        <v>2.7419788625008688E-2</v>
      </c>
      <c r="Y1244" s="59">
        <f t="shared" si="123"/>
        <v>1.247729494637448E-2</v>
      </c>
    </row>
    <row r="1245" spans="1:25" x14ac:dyDescent="0.3">
      <c r="A1245" s="2">
        <v>42366</v>
      </c>
      <c r="B1245" s="1">
        <v>26.704999999999998</v>
      </c>
      <c r="C1245" s="1">
        <v>675.2</v>
      </c>
      <c r="D1245" s="1">
        <v>105.93</v>
      </c>
      <c r="E1245" s="3">
        <f t="shared" si="118"/>
        <v>567.04999999999973</v>
      </c>
      <c r="F1245" s="4">
        <f t="shared" si="119"/>
        <v>-8.5050000000001091</v>
      </c>
      <c r="G1245" s="4">
        <f t="shared" si="120"/>
        <v>8.5050000000001091</v>
      </c>
      <c r="W1245" s="59">
        <f t="shared" si="121"/>
        <v>-1.1263791417269345E-2</v>
      </c>
      <c r="X1245" s="59">
        <f t="shared" si="122"/>
        <v>1.8550745350700993E-2</v>
      </c>
      <c r="Y1245" s="59">
        <f t="shared" si="123"/>
        <v>8.6276903986915281E-3</v>
      </c>
    </row>
    <row r="1246" spans="1:25" x14ac:dyDescent="0.3">
      <c r="A1246" s="2">
        <v>42363</v>
      </c>
      <c r="B1246" s="1">
        <v>27.0075</v>
      </c>
      <c r="C1246" s="1">
        <v>662.79</v>
      </c>
      <c r="D1246" s="1">
        <v>105.02</v>
      </c>
      <c r="E1246" s="3">
        <f t="shared" si="118"/>
        <v>575.55499999999984</v>
      </c>
      <c r="F1246" s="4">
        <f t="shared" si="119"/>
        <v>0</v>
      </c>
      <c r="G1246" s="4">
        <f t="shared" si="120"/>
        <v>0</v>
      </c>
      <c r="W1246" s="59">
        <f t="shared" si="121"/>
        <v>0</v>
      </c>
      <c r="X1246" s="59">
        <f t="shared" si="122"/>
        <v>0</v>
      </c>
      <c r="Y1246" s="59">
        <f t="shared" si="123"/>
        <v>0</v>
      </c>
    </row>
    <row r="1247" spans="1:25" x14ac:dyDescent="0.3">
      <c r="A1247" s="2">
        <v>42362</v>
      </c>
      <c r="B1247" s="1">
        <v>27.0075</v>
      </c>
      <c r="C1247" s="1">
        <v>662.79</v>
      </c>
      <c r="D1247" s="1">
        <v>105.02</v>
      </c>
      <c r="E1247" s="3">
        <f t="shared" si="118"/>
        <v>575.55499999999984</v>
      </c>
      <c r="F1247" s="4">
        <f t="shared" si="119"/>
        <v>-16.870000000000346</v>
      </c>
      <c r="G1247" s="4">
        <f t="shared" si="120"/>
        <v>16.870000000000346</v>
      </c>
      <c r="W1247" s="59">
        <f t="shared" si="121"/>
        <v>-5.3545179630511315E-3</v>
      </c>
      <c r="X1247" s="59">
        <f t="shared" si="122"/>
        <v>-1.3720422208329198E-3</v>
      </c>
      <c r="Y1247" s="59">
        <f t="shared" si="123"/>
        <v>3.7204908167572724E-3</v>
      </c>
    </row>
    <row r="1248" spans="1:25" x14ac:dyDescent="0.3">
      <c r="A1248" s="2">
        <v>42361</v>
      </c>
      <c r="B1248" s="1">
        <v>27.1525</v>
      </c>
      <c r="C1248" s="1">
        <v>663.7</v>
      </c>
      <c r="D1248" s="1">
        <v>104.63</v>
      </c>
      <c r="E1248" s="3">
        <f t="shared" si="118"/>
        <v>592.42500000000018</v>
      </c>
      <c r="F1248" s="4">
        <f t="shared" si="119"/>
        <v>35.950200000000677</v>
      </c>
      <c r="G1248" s="4">
        <f t="shared" si="120"/>
        <v>-35.950200000000677</v>
      </c>
      <c r="W1248" s="59">
        <f t="shared" si="121"/>
        <v>1.2787424059890272E-2</v>
      </c>
      <c r="X1248" s="59">
        <f t="shared" si="122"/>
        <v>8.2918200697483144E-4</v>
      </c>
      <c r="Y1248" s="59">
        <f t="shared" si="123"/>
        <v>-8.3754177610448812E-3</v>
      </c>
    </row>
    <row r="1249" spans="1:25" x14ac:dyDescent="0.3">
      <c r="A1249" s="2">
        <v>42360</v>
      </c>
      <c r="B1249" s="1">
        <v>26.807500000000001</v>
      </c>
      <c r="C1249" s="1">
        <v>663.1499</v>
      </c>
      <c r="D1249" s="1">
        <v>105.51</v>
      </c>
      <c r="E1249" s="3">
        <f t="shared" si="118"/>
        <v>556.4747999999995</v>
      </c>
      <c r="F1249" s="4">
        <f t="shared" si="119"/>
        <v>-18.770200000000386</v>
      </c>
      <c r="G1249" s="4">
        <f t="shared" si="120"/>
        <v>18.770200000000386</v>
      </c>
      <c r="W1249" s="59">
        <f t="shared" si="121"/>
        <v>-9.3214026137874116E-4</v>
      </c>
      <c r="X1249" s="59">
        <f t="shared" si="122"/>
        <v>-2.0488688041158066E-3</v>
      </c>
      <c r="Y1249" s="59">
        <f t="shared" si="123"/>
        <v>7.0382637891273966E-3</v>
      </c>
    </row>
    <row r="1250" spans="1:25" x14ac:dyDescent="0.3">
      <c r="A1250" s="2">
        <v>42359</v>
      </c>
      <c r="B1250" s="1">
        <v>26.8325</v>
      </c>
      <c r="C1250" s="1">
        <v>664.51</v>
      </c>
      <c r="D1250" s="1">
        <v>104.77</v>
      </c>
      <c r="E1250" s="3">
        <f t="shared" si="118"/>
        <v>575.24499999999989</v>
      </c>
      <c r="F1250" s="4">
        <f t="shared" si="119"/>
        <v>2.3901999999998225</v>
      </c>
      <c r="G1250" s="4">
        <f t="shared" si="120"/>
        <v>-2.3901999999998225</v>
      </c>
      <c r="W1250" s="59">
        <f t="shared" si="121"/>
        <v>1.2186127555726241E-2</v>
      </c>
      <c r="X1250" s="59">
        <f t="shared" si="122"/>
        <v>5.5710689410693088E-4</v>
      </c>
      <c r="Y1250" s="59">
        <f t="shared" si="123"/>
        <v>6.9920307844225666E-3</v>
      </c>
    </row>
    <row r="1251" spans="1:25" x14ac:dyDescent="0.3">
      <c r="A1251" s="2">
        <v>42356</v>
      </c>
      <c r="B1251" s="1">
        <v>26.5075</v>
      </c>
      <c r="C1251" s="1">
        <v>664.13990000000001</v>
      </c>
      <c r="D1251" s="1">
        <v>104.04</v>
      </c>
      <c r="E1251" s="3">
        <f t="shared" si="118"/>
        <v>572.85480000000007</v>
      </c>
      <c r="F1251" s="4">
        <f t="shared" si="119"/>
        <v>-6.294999999999618</v>
      </c>
      <c r="G1251" s="4">
        <f t="shared" si="120"/>
        <v>6.294999999999618</v>
      </c>
      <c r="W1251" s="59">
        <f t="shared" si="121"/>
        <v>-2.7442306217245496E-2</v>
      </c>
      <c r="X1251" s="59">
        <f t="shared" si="122"/>
        <v>-9.7544221841014776E-3</v>
      </c>
      <c r="Y1251" s="59">
        <f t="shared" si="123"/>
        <v>-2.0736974413802269E-2</v>
      </c>
    </row>
    <row r="1252" spans="1:25" x14ac:dyDescent="0.3">
      <c r="A1252" s="2">
        <v>42355</v>
      </c>
      <c r="B1252" s="1">
        <v>27.245000000000001</v>
      </c>
      <c r="C1252" s="1">
        <v>670.6499</v>
      </c>
      <c r="D1252" s="1">
        <v>106.22</v>
      </c>
      <c r="E1252" s="3">
        <f t="shared" si="118"/>
        <v>579.14979999999969</v>
      </c>
      <c r="F1252" s="4">
        <f t="shared" si="119"/>
        <v>-28.340200000000095</v>
      </c>
      <c r="G1252" s="4">
        <f t="shared" si="120"/>
        <v>28.340200000000095</v>
      </c>
      <c r="W1252" s="59">
        <f t="shared" si="121"/>
        <v>-2.1424203600409426E-2</v>
      </c>
      <c r="X1252" s="59">
        <f t="shared" si="122"/>
        <v>-7.6055392239251932E-3</v>
      </c>
      <c r="Y1252" s="59">
        <f t="shared" si="123"/>
        <v>-5.3518741892007761E-3</v>
      </c>
    </row>
    <row r="1253" spans="1:25" x14ac:dyDescent="0.3">
      <c r="A1253" s="2">
        <v>42354</v>
      </c>
      <c r="B1253" s="1">
        <v>27.835000000000001</v>
      </c>
      <c r="C1253" s="1">
        <v>675.77</v>
      </c>
      <c r="D1253" s="1">
        <v>106.79</v>
      </c>
      <c r="E1253" s="3">
        <f t="shared" si="118"/>
        <v>607.48999999999978</v>
      </c>
      <c r="F1253" s="4">
        <f t="shared" si="119"/>
        <v>8.5199999999531428E-2</v>
      </c>
      <c r="G1253" s="4">
        <f t="shared" si="120"/>
        <v>-8.5199999999531428E-2</v>
      </c>
      <c r="W1253" s="59">
        <f t="shared" si="121"/>
        <v>7.6635636302782627E-3</v>
      </c>
      <c r="X1253" s="59">
        <f t="shared" si="122"/>
        <v>2.567583030079024E-2</v>
      </c>
      <c r="Y1253" s="59">
        <f t="shared" si="123"/>
        <v>2.1198863308811301E-2</v>
      </c>
    </row>
    <row r="1254" spans="1:25" x14ac:dyDescent="0.3">
      <c r="A1254" s="2">
        <v>42353</v>
      </c>
      <c r="B1254" s="1">
        <v>27.622499999999999</v>
      </c>
      <c r="C1254" s="1">
        <v>658.63990000000001</v>
      </c>
      <c r="D1254" s="1">
        <v>104.55</v>
      </c>
      <c r="E1254" s="3">
        <f t="shared" si="118"/>
        <v>607.40480000000025</v>
      </c>
      <c r="F1254" s="4">
        <f t="shared" si="119"/>
        <v>-21.215000000000146</v>
      </c>
      <c r="G1254" s="4">
        <f t="shared" si="120"/>
        <v>21.215000000000146</v>
      </c>
      <c r="W1254" s="59">
        <f t="shared" si="121"/>
        <v>-1.7850408937271273E-2</v>
      </c>
      <c r="X1254" s="59">
        <f t="shared" si="122"/>
        <v>1.1089593037988412E-3</v>
      </c>
      <c r="Y1254" s="59">
        <f t="shared" si="123"/>
        <v>-1.0515750694191333E-3</v>
      </c>
    </row>
    <row r="1255" spans="1:25" x14ac:dyDescent="0.3">
      <c r="A1255" s="2">
        <v>42352</v>
      </c>
      <c r="B1255" s="1">
        <v>28.12</v>
      </c>
      <c r="C1255" s="1">
        <v>657.90989999999999</v>
      </c>
      <c r="D1255" s="1">
        <v>104.66</v>
      </c>
      <c r="E1255" s="3">
        <f t="shared" si="118"/>
        <v>628.6198000000004</v>
      </c>
      <c r="F1255" s="4">
        <f t="shared" si="119"/>
        <v>-24.029999999999291</v>
      </c>
      <c r="G1255" s="4">
        <f t="shared" si="120"/>
        <v>24.029999999999291</v>
      </c>
      <c r="W1255" s="59">
        <f t="shared" si="121"/>
        <v>-6.204043652023046E-3</v>
      </c>
      <c r="X1255" s="59">
        <f t="shared" si="122"/>
        <v>2.7365624179562696E-2</v>
      </c>
      <c r="Y1255" s="59">
        <f t="shared" si="123"/>
        <v>2.4568408570778581E-2</v>
      </c>
    </row>
    <row r="1256" spans="1:25" x14ac:dyDescent="0.3">
      <c r="A1256" s="2">
        <v>42349</v>
      </c>
      <c r="B1256" s="1">
        <v>28.295000000000002</v>
      </c>
      <c r="C1256" s="1">
        <v>640.1499</v>
      </c>
      <c r="D1256" s="1">
        <v>102.12</v>
      </c>
      <c r="E1256" s="3">
        <f t="shared" si="118"/>
        <v>652.64979999999969</v>
      </c>
      <c r="F1256" s="4">
        <f t="shared" si="119"/>
        <v>-15.715400000000045</v>
      </c>
      <c r="G1256" s="4">
        <f t="shared" si="120"/>
        <v>15.715400000000045</v>
      </c>
      <c r="W1256" s="59">
        <f t="shared" si="121"/>
        <v>-2.607516381100564E-2</v>
      </c>
      <c r="X1256" s="59">
        <f t="shared" si="122"/>
        <v>-3.4046606136169159E-2</v>
      </c>
      <c r="Y1256" s="59">
        <f t="shared" si="123"/>
        <v>-3.1803779053777667E-2</v>
      </c>
    </row>
    <row r="1257" spans="1:25" x14ac:dyDescent="0.3">
      <c r="A1257" s="2">
        <v>42348</v>
      </c>
      <c r="B1257" s="1">
        <v>29.0425</v>
      </c>
      <c r="C1257" s="1">
        <v>662.32010000000002</v>
      </c>
      <c r="D1257" s="1">
        <v>105.42</v>
      </c>
      <c r="E1257" s="3">
        <f t="shared" si="118"/>
        <v>668.36519999999973</v>
      </c>
      <c r="F1257" s="4">
        <f t="shared" si="119"/>
        <v>-14.464800000000196</v>
      </c>
      <c r="G1257" s="4">
        <f t="shared" si="120"/>
        <v>14.464800000000196</v>
      </c>
      <c r="W1257" s="59">
        <f t="shared" si="121"/>
        <v>4.7456838710532908E-3</v>
      </c>
      <c r="X1257" s="59">
        <f t="shared" si="122"/>
        <v>-3.7222274952169385E-3</v>
      </c>
      <c r="Y1257" s="59">
        <f t="shared" si="123"/>
        <v>7.8088197962384049E-3</v>
      </c>
    </row>
    <row r="1258" spans="1:25" x14ac:dyDescent="0.3">
      <c r="A1258" s="2">
        <v>42347</v>
      </c>
      <c r="B1258" s="1">
        <v>28.905000000000001</v>
      </c>
      <c r="C1258" s="1">
        <v>664.79</v>
      </c>
      <c r="D1258" s="1">
        <v>104.6</v>
      </c>
      <c r="E1258" s="3">
        <f t="shared" si="118"/>
        <v>682.82999999999993</v>
      </c>
      <c r="F1258" s="4">
        <f t="shared" si="119"/>
        <v>-19.905200000000605</v>
      </c>
      <c r="G1258" s="4">
        <f t="shared" si="120"/>
        <v>19.905200000000605</v>
      </c>
      <c r="W1258" s="59">
        <f t="shared" si="121"/>
        <v>-2.2322928220692005E-2</v>
      </c>
      <c r="X1258" s="59">
        <f t="shared" si="122"/>
        <v>-1.8687545086647488E-2</v>
      </c>
      <c r="Y1258" s="59">
        <f t="shared" si="123"/>
        <v>-1.7907532396469909E-2</v>
      </c>
    </row>
    <row r="1259" spans="1:25" x14ac:dyDescent="0.3">
      <c r="A1259" s="2">
        <v>42346</v>
      </c>
      <c r="B1259" s="1">
        <v>29.557500000000001</v>
      </c>
      <c r="C1259" s="1">
        <v>677.33010000000002</v>
      </c>
      <c r="D1259" s="1">
        <v>106.49</v>
      </c>
      <c r="E1259" s="3">
        <f t="shared" si="118"/>
        <v>702.73520000000053</v>
      </c>
      <c r="F1259" s="4">
        <f t="shared" si="119"/>
        <v>-3.2249999999999091</v>
      </c>
      <c r="G1259" s="4">
        <f t="shared" si="120"/>
        <v>3.2249999999999091</v>
      </c>
      <c r="W1259" s="59">
        <f t="shared" si="121"/>
        <v>-4.2281510925448393E-4</v>
      </c>
      <c r="X1259" s="59">
        <f t="shared" si="122"/>
        <v>1.1134648258736951E-2</v>
      </c>
      <c r="Y1259" s="59">
        <f t="shared" si="123"/>
        <v>8.2980202689092192E-3</v>
      </c>
    </row>
    <row r="1260" spans="1:25" x14ac:dyDescent="0.3">
      <c r="A1260" s="2">
        <v>42345</v>
      </c>
      <c r="B1260" s="1">
        <v>29.57</v>
      </c>
      <c r="C1260" s="1">
        <v>669.83010000000002</v>
      </c>
      <c r="D1260" s="1">
        <v>105.61</v>
      </c>
      <c r="E1260" s="3">
        <f t="shared" si="118"/>
        <v>705.96020000000044</v>
      </c>
      <c r="F1260" s="4">
        <f t="shared" si="119"/>
        <v>-3.5945999999994456</v>
      </c>
      <c r="G1260" s="4">
        <f t="shared" si="120"/>
        <v>3.5945999999994456</v>
      </c>
      <c r="W1260" s="59">
        <f t="shared" si="121"/>
        <v>-6.3208671955119781E-3</v>
      </c>
      <c r="X1260" s="59">
        <f t="shared" si="122"/>
        <v>-4.186021442500347E-3</v>
      </c>
      <c r="Y1260" s="59">
        <f t="shared" si="123"/>
        <v>-5.3827033971424517E-3</v>
      </c>
    </row>
    <row r="1261" spans="1:25" x14ac:dyDescent="0.3">
      <c r="A1261" s="2">
        <v>42342</v>
      </c>
      <c r="B1261" s="1">
        <v>29.7575</v>
      </c>
      <c r="C1261" s="1">
        <v>672.63990000000001</v>
      </c>
      <c r="D1261" s="1">
        <v>106.18</v>
      </c>
      <c r="E1261" s="3">
        <f t="shared" si="118"/>
        <v>709.55479999999989</v>
      </c>
      <c r="F1261" s="4">
        <f t="shared" si="119"/>
        <v>24.654799999999796</v>
      </c>
      <c r="G1261" s="4">
        <f t="shared" si="120"/>
        <v>-24.654799999999796</v>
      </c>
      <c r="W1261" s="59">
        <f t="shared" si="121"/>
        <v>3.2705813917997574E-2</v>
      </c>
      <c r="X1261" s="59">
        <f t="shared" si="122"/>
        <v>9.5451441005309605E-3</v>
      </c>
      <c r="Y1261" s="59">
        <f t="shared" si="123"/>
        <v>1.7097680940258413E-2</v>
      </c>
    </row>
    <row r="1262" spans="1:25" x14ac:dyDescent="0.3">
      <c r="A1262" s="2">
        <v>42341</v>
      </c>
      <c r="B1262" s="1">
        <v>28.8</v>
      </c>
      <c r="C1262" s="1">
        <v>666.25</v>
      </c>
      <c r="D1262" s="1">
        <v>104.38</v>
      </c>
      <c r="E1262" s="3">
        <f t="shared" si="118"/>
        <v>684.90000000000009</v>
      </c>
      <c r="F1262" s="4">
        <f t="shared" si="119"/>
        <v>0.77999999999974534</v>
      </c>
      <c r="G1262" s="4">
        <f t="shared" si="120"/>
        <v>-0.77999999999974534</v>
      </c>
      <c r="W1262" s="59">
        <f t="shared" si="121"/>
        <v>-9.3313274288843052E-3</v>
      </c>
      <c r="X1262" s="59">
        <f t="shared" si="122"/>
        <v>-1.4542893352904247E-2</v>
      </c>
      <c r="Y1262" s="59">
        <f t="shared" si="123"/>
        <v>-1.6061167302111625E-2</v>
      </c>
    </row>
    <row r="1263" spans="1:25" x14ac:dyDescent="0.3">
      <c r="A1263" s="2">
        <v>42340</v>
      </c>
      <c r="B1263" s="1">
        <v>29.07</v>
      </c>
      <c r="C1263" s="1">
        <v>676.01</v>
      </c>
      <c r="D1263" s="1">
        <v>106.07</v>
      </c>
      <c r="E1263" s="3">
        <f t="shared" si="118"/>
        <v>684.12000000000035</v>
      </c>
      <c r="F1263" s="4">
        <f t="shared" si="119"/>
        <v>1.6498000000001412</v>
      </c>
      <c r="G1263" s="4">
        <f t="shared" si="120"/>
        <v>-1.6498000000001412</v>
      </c>
      <c r="W1263" s="59">
        <f t="shared" si="121"/>
        <v>-9.0746278070386668E-3</v>
      </c>
      <c r="X1263" s="59">
        <f t="shared" si="122"/>
        <v>-4.5017673271452487E-3</v>
      </c>
      <c r="Y1263" s="59">
        <f t="shared" si="123"/>
        <v>-9.8504478655383476E-3</v>
      </c>
    </row>
    <row r="1264" spans="1:25" x14ac:dyDescent="0.3">
      <c r="A1264" s="2">
        <v>42339</v>
      </c>
      <c r="B1264" s="1">
        <v>29.335000000000001</v>
      </c>
      <c r="C1264" s="1">
        <v>679.06010000000003</v>
      </c>
      <c r="D1264" s="1">
        <v>107.12</v>
      </c>
      <c r="E1264" s="3">
        <f t="shared" si="118"/>
        <v>682.4702000000002</v>
      </c>
      <c r="F1264" s="4">
        <f t="shared" si="119"/>
        <v>-41.079799999999977</v>
      </c>
      <c r="G1264" s="4">
        <f t="shared" si="120"/>
        <v>41.079799999999977</v>
      </c>
      <c r="W1264" s="59">
        <f t="shared" si="121"/>
        <v>-8.1480674866271745E-3</v>
      </c>
      <c r="X1264" s="59">
        <f t="shared" si="122"/>
        <v>2.1223392618865508E-2</v>
      </c>
      <c r="Y1264" s="59">
        <f t="shared" si="123"/>
        <v>2.7253768566327431E-2</v>
      </c>
    </row>
    <row r="1265" spans="1:25" x14ac:dyDescent="0.3">
      <c r="A1265" s="2">
        <v>42338</v>
      </c>
      <c r="B1265" s="1">
        <v>29.574999999999999</v>
      </c>
      <c r="C1265" s="1">
        <v>664.8</v>
      </c>
      <c r="D1265" s="1">
        <v>104.24</v>
      </c>
      <c r="E1265" s="3">
        <f t="shared" si="118"/>
        <v>723.55000000000018</v>
      </c>
      <c r="F1265" s="4">
        <f t="shared" si="119"/>
        <v>13.4050000000002</v>
      </c>
      <c r="G1265" s="4">
        <f t="shared" si="120"/>
        <v>-13.4050000000002</v>
      </c>
      <c r="W1265" s="59">
        <f t="shared" si="121"/>
        <v>4.1506137263132145E-3</v>
      </c>
      <c r="X1265" s="59">
        <f t="shared" si="122"/>
        <v>-1.2645341363591489E-2</v>
      </c>
      <c r="Y1265" s="59">
        <f t="shared" si="123"/>
        <v>-1.1540974108194036E-2</v>
      </c>
    </row>
    <row r="1266" spans="1:25" x14ac:dyDescent="0.3">
      <c r="A1266" s="2">
        <v>42335</v>
      </c>
      <c r="B1266" s="1">
        <v>29.452500000000001</v>
      </c>
      <c r="C1266" s="1">
        <v>673.26</v>
      </c>
      <c r="D1266" s="1">
        <v>105.45</v>
      </c>
      <c r="E1266" s="3">
        <f t="shared" si="118"/>
        <v>710.14499999999998</v>
      </c>
      <c r="F1266" s="4">
        <f t="shared" si="119"/>
        <v>-7.7101999999999862</v>
      </c>
      <c r="G1266" s="4">
        <f t="shared" si="120"/>
        <v>7.7101999999999862</v>
      </c>
      <c r="W1266" s="59">
        <f t="shared" si="121"/>
        <v>-1.8656721829497342E-3</v>
      </c>
      <c r="X1266" s="59">
        <f t="shared" si="122"/>
        <v>-3.0848309288285052E-3</v>
      </c>
      <c r="Y1266" s="59">
        <f t="shared" si="123"/>
        <v>3.7939865768586944E-4</v>
      </c>
    </row>
    <row r="1267" spans="1:25" x14ac:dyDescent="0.3">
      <c r="A1267" s="2">
        <v>42334</v>
      </c>
      <c r="B1267" s="1">
        <v>29.5075</v>
      </c>
      <c r="C1267" s="1">
        <v>675.34010000000001</v>
      </c>
      <c r="D1267" s="1">
        <v>105.41</v>
      </c>
      <c r="E1267" s="3">
        <f t="shared" si="118"/>
        <v>717.85519999999997</v>
      </c>
      <c r="F1267" s="4">
        <f t="shared" si="119"/>
        <v>0</v>
      </c>
      <c r="G1267" s="4">
        <f t="shared" si="120"/>
        <v>0</v>
      </c>
      <c r="W1267" s="59">
        <f t="shared" si="121"/>
        <v>0</v>
      </c>
      <c r="X1267" s="59">
        <f t="shared" si="122"/>
        <v>0</v>
      </c>
      <c r="Y1267" s="59">
        <f t="shared" si="123"/>
        <v>0</v>
      </c>
    </row>
    <row r="1268" spans="1:25" x14ac:dyDescent="0.3">
      <c r="A1268" s="2">
        <v>42333</v>
      </c>
      <c r="B1268" s="1">
        <v>29.5075</v>
      </c>
      <c r="C1268" s="1">
        <v>675.34010000000001</v>
      </c>
      <c r="D1268" s="1">
        <v>105.41</v>
      </c>
      <c r="E1268" s="3">
        <f t="shared" si="118"/>
        <v>717.85519999999997</v>
      </c>
      <c r="F1268" s="4">
        <f t="shared" si="119"/>
        <v>4.3553999999999178</v>
      </c>
      <c r="G1268" s="4">
        <f t="shared" si="120"/>
        <v>-4.3553999999999178</v>
      </c>
      <c r="W1268" s="59">
        <f t="shared" si="121"/>
        <v>-7.1757515284713606E-3</v>
      </c>
      <c r="X1268" s="59">
        <f t="shared" si="122"/>
        <v>6.2239058980127831E-3</v>
      </c>
      <c r="Y1268" s="59">
        <f t="shared" si="123"/>
        <v>-3.1257425402063028E-3</v>
      </c>
    </row>
    <row r="1269" spans="1:25" x14ac:dyDescent="0.3">
      <c r="A1269" s="2">
        <v>42332</v>
      </c>
      <c r="B1269" s="1">
        <v>29.72</v>
      </c>
      <c r="C1269" s="1">
        <v>671.1499</v>
      </c>
      <c r="D1269" s="1">
        <v>105.74</v>
      </c>
      <c r="E1269" s="3">
        <f t="shared" si="118"/>
        <v>713.49980000000005</v>
      </c>
      <c r="F1269" s="4">
        <f t="shared" si="119"/>
        <v>22.644800000000032</v>
      </c>
      <c r="G1269" s="4">
        <f t="shared" si="120"/>
        <v>-22.644800000000032</v>
      </c>
      <c r="W1269" s="59">
        <f t="shared" si="121"/>
        <v>9.5508480729218151E-3</v>
      </c>
      <c r="X1269" s="59">
        <f t="shared" si="122"/>
        <v>-1.1613889974098658E-2</v>
      </c>
      <c r="Y1269" s="59">
        <f t="shared" si="123"/>
        <v>-1.1378184721110593E-2</v>
      </c>
    </row>
    <row r="1270" spans="1:25" x14ac:dyDescent="0.3">
      <c r="A1270" s="2">
        <v>42331</v>
      </c>
      <c r="B1270" s="1">
        <v>29.4375</v>
      </c>
      <c r="C1270" s="1">
        <v>678.99</v>
      </c>
      <c r="D1270" s="1">
        <v>106.95</v>
      </c>
      <c r="E1270" s="3">
        <f t="shared" si="118"/>
        <v>690.85500000000002</v>
      </c>
      <c r="F1270" s="4">
        <f t="shared" si="119"/>
        <v>9.1049999999995634</v>
      </c>
      <c r="G1270" s="4">
        <f t="shared" si="120"/>
        <v>-9.1049999999995634</v>
      </c>
      <c r="W1270" s="59">
        <f t="shared" si="121"/>
        <v>-1.3077596207343322E-2</v>
      </c>
      <c r="X1270" s="59">
        <f t="shared" si="122"/>
        <v>1.5644800480612585E-2</v>
      </c>
      <c r="Y1270" s="59">
        <f t="shared" si="123"/>
        <v>-3.4535900290086239E-3</v>
      </c>
    </row>
    <row r="1271" spans="1:25" x14ac:dyDescent="0.3">
      <c r="A1271" s="2">
        <v>42328</v>
      </c>
      <c r="B1271" s="1">
        <v>29.824999999999999</v>
      </c>
      <c r="C1271" s="1">
        <v>668.45</v>
      </c>
      <c r="D1271" s="1">
        <v>107.32</v>
      </c>
      <c r="E1271" s="3">
        <f t="shared" si="118"/>
        <v>681.75000000000045</v>
      </c>
      <c r="F1271" s="4">
        <f t="shared" si="119"/>
        <v>-0.33999999999923602</v>
      </c>
      <c r="G1271" s="4">
        <f t="shared" si="120"/>
        <v>0.33999999999923602</v>
      </c>
      <c r="W1271" s="59">
        <f t="shared" si="121"/>
        <v>4.3682865161562296E-3</v>
      </c>
      <c r="X1271" s="59">
        <f t="shared" si="122"/>
        <v>1.0799370967324095E-2</v>
      </c>
      <c r="Y1271" s="59">
        <f t="shared" si="123"/>
        <v>9.9261045346262129E-3</v>
      </c>
    </row>
    <row r="1272" spans="1:25" x14ac:dyDescent="0.3">
      <c r="A1272" s="2">
        <v>42327</v>
      </c>
      <c r="B1272" s="1">
        <v>29.695</v>
      </c>
      <c r="C1272" s="1">
        <v>661.27</v>
      </c>
      <c r="D1272" s="1">
        <v>106.26</v>
      </c>
      <c r="E1272" s="3">
        <f t="shared" si="118"/>
        <v>682.08999999999969</v>
      </c>
      <c r="F1272" s="4">
        <f t="shared" si="119"/>
        <v>44.284999999999854</v>
      </c>
      <c r="G1272" s="4">
        <f t="shared" si="120"/>
        <v>-44.284999999999854</v>
      </c>
      <c r="W1272" s="59">
        <f t="shared" si="121"/>
        <v>1.2623542054300465E-2</v>
      </c>
      <c r="X1272" s="59">
        <f t="shared" si="122"/>
        <v>-3.4269098535159971E-3</v>
      </c>
      <c r="Y1272" s="59">
        <f t="shared" si="123"/>
        <v>-1.4110405585943099E-2</v>
      </c>
    </row>
    <row r="1273" spans="1:25" x14ac:dyDescent="0.3">
      <c r="A1273" s="2">
        <v>42326</v>
      </c>
      <c r="B1273" s="1">
        <v>29.322500000000002</v>
      </c>
      <c r="C1273" s="1">
        <v>663.54</v>
      </c>
      <c r="D1273" s="1">
        <v>107.77</v>
      </c>
      <c r="E1273" s="3">
        <f t="shared" si="118"/>
        <v>637.80499999999984</v>
      </c>
      <c r="F1273" s="4">
        <f t="shared" si="119"/>
        <v>32.679999999999836</v>
      </c>
      <c r="G1273" s="4">
        <f t="shared" si="120"/>
        <v>-32.679999999999836</v>
      </c>
      <c r="W1273" s="59">
        <f t="shared" si="121"/>
        <v>3.1174054392398474E-2</v>
      </c>
      <c r="X1273" s="59">
        <f t="shared" si="122"/>
        <v>3.0977959898369069E-2</v>
      </c>
      <c r="Y1273" s="59">
        <f t="shared" si="123"/>
        <v>2.4801647021000878E-2</v>
      </c>
    </row>
    <row r="1274" spans="1:25" x14ac:dyDescent="0.3">
      <c r="A1274" s="2">
        <v>42325</v>
      </c>
      <c r="B1274" s="1">
        <v>28.422499999999999</v>
      </c>
      <c r="C1274" s="1">
        <v>643.29999999999995</v>
      </c>
      <c r="D1274" s="1">
        <v>105.13</v>
      </c>
      <c r="E1274" s="3">
        <f t="shared" si="118"/>
        <v>605.125</v>
      </c>
      <c r="F1274" s="4">
        <f t="shared" si="119"/>
        <v>-36.880199999999604</v>
      </c>
      <c r="G1274" s="4">
        <f t="shared" si="120"/>
        <v>36.880199999999604</v>
      </c>
      <c r="W1274" s="59">
        <f t="shared" si="121"/>
        <v>-4.2551612315568539E-3</v>
      </c>
      <c r="X1274" s="59">
        <f t="shared" si="122"/>
        <v>-6.9864194305940715E-3</v>
      </c>
      <c r="Y1274" s="59">
        <f t="shared" si="123"/>
        <v>1.0422239007288597E-2</v>
      </c>
    </row>
    <row r="1275" spans="1:25" x14ac:dyDescent="0.3">
      <c r="A1275" s="2">
        <v>42324</v>
      </c>
      <c r="B1275" s="1">
        <v>28.543700000000001</v>
      </c>
      <c r="C1275" s="1">
        <v>647.81010000000003</v>
      </c>
      <c r="D1275" s="1">
        <v>104.04</v>
      </c>
      <c r="E1275" s="3">
        <f t="shared" si="118"/>
        <v>642.0051999999996</v>
      </c>
      <c r="F1275" s="4">
        <f t="shared" si="119"/>
        <v>32.054999999999382</v>
      </c>
      <c r="G1275" s="4">
        <f t="shared" si="120"/>
        <v>-32.054999999999382</v>
      </c>
      <c r="W1275" s="59">
        <f t="shared" si="121"/>
        <v>1.6200620268285306E-2</v>
      </c>
      <c r="X1275" s="59">
        <f t="shared" si="122"/>
        <v>8.4641156915736659E-3</v>
      </c>
      <c r="Y1275" s="59">
        <f t="shared" si="123"/>
        <v>8.6542627642890145E-4</v>
      </c>
    </row>
    <row r="1276" spans="1:25" x14ac:dyDescent="0.3">
      <c r="A1276" s="2">
        <v>42321</v>
      </c>
      <c r="B1276" s="1">
        <v>28.085000000000001</v>
      </c>
      <c r="C1276" s="1">
        <v>642.3501</v>
      </c>
      <c r="D1276" s="1">
        <v>103.95</v>
      </c>
      <c r="E1276" s="3">
        <f t="shared" si="118"/>
        <v>609.95020000000022</v>
      </c>
      <c r="F1276" s="4">
        <f t="shared" si="119"/>
        <v>-7.3499999999999091</v>
      </c>
      <c r="G1276" s="4">
        <f t="shared" si="120"/>
        <v>7.3499999999999091</v>
      </c>
      <c r="W1276" s="59">
        <f t="shared" si="121"/>
        <v>-2.9643493003647593E-2</v>
      </c>
      <c r="X1276" s="59">
        <f t="shared" si="122"/>
        <v>-3.5555557591397086E-2</v>
      </c>
      <c r="Y1276" s="59">
        <f t="shared" si="123"/>
        <v>-3.8406380860723122E-2</v>
      </c>
    </row>
    <row r="1277" spans="1:25" x14ac:dyDescent="0.3">
      <c r="A1277" s="2">
        <v>42320</v>
      </c>
      <c r="B1277" s="1">
        <v>28.93</v>
      </c>
      <c r="C1277" s="1">
        <v>665.6001</v>
      </c>
      <c r="D1277" s="1">
        <v>108.02</v>
      </c>
      <c r="E1277" s="3">
        <f t="shared" si="118"/>
        <v>617.30020000000013</v>
      </c>
      <c r="F1277" s="4">
        <f t="shared" si="119"/>
        <v>-0.37479999999959546</v>
      </c>
      <c r="G1277" s="4">
        <f t="shared" si="120"/>
        <v>0.37479999999959546</v>
      </c>
      <c r="W1277" s="59">
        <f t="shared" si="121"/>
        <v>-3.3645375309804674E-3</v>
      </c>
      <c r="X1277" s="59">
        <f t="shared" si="122"/>
        <v>-1.1427691944336096E-2</v>
      </c>
      <c r="Y1277" s="59">
        <f t="shared" si="123"/>
        <v>-9.1232259755221756E-3</v>
      </c>
    </row>
    <row r="1278" spans="1:25" x14ac:dyDescent="0.3">
      <c r="A1278" s="2">
        <v>42319</v>
      </c>
      <c r="B1278" s="1">
        <v>29.0275</v>
      </c>
      <c r="C1278" s="1">
        <v>673.25</v>
      </c>
      <c r="D1278" s="1">
        <v>109.01</v>
      </c>
      <c r="E1278" s="3">
        <f t="shared" si="118"/>
        <v>617.67499999999973</v>
      </c>
      <c r="F1278" s="4">
        <f t="shared" si="119"/>
        <v>-3.1098000000006323</v>
      </c>
      <c r="G1278" s="4">
        <f t="shared" si="120"/>
        <v>3.1098000000006323</v>
      </c>
      <c r="W1278" s="59">
        <f t="shared" si="121"/>
        <v>-5.6681704487087283E-3</v>
      </c>
      <c r="X1278" s="59">
        <f t="shared" si="122"/>
        <v>2.0362014321778928E-2</v>
      </c>
      <c r="Y1278" s="59">
        <f t="shared" si="123"/>
        <v>1.0142074764624896E-2</v>
      </c>
    </row>
    <row r="1279" spans="1:25" x14ac:dyDescent="0.3">
      <c r="A1279" s="2">
        <v>42318</v>
      </c>
      <c r="B1279" s="1">
        <v>29.192499999999999</v>
      </c>
      <c r="C1279" s="1">
        <v>659.67989999999998</v>
      </c>
      <c r="D1279" s="1">
        <v>107.91</v>
      </c>
      <c r="E1279" s="3">
        <f t="shared" si="118"/>
        <v>620.78480000000036</v>
      </c>
      <c r="F1279" s="4">
        <f t="shared" si="119"/>
        <v>-67.520199999999932</v>
      </c>
      <c r="G1279" s="4">
        <f t="shared" si="120"/>
        <v>67.520199999999932</v>
      </c>
      <c r="W1279" s="59">
        <f t="shared" si="121"/>
        <v>-3.2024309041595929E-2</v>
      </c>
      <c r="X1279" s="59">
        <f t="shared" si="122"/>
        <v>6.3716698126713182E-3</v>
      </c>
      <c r="Y1279" s="59">
        <f t="shared" si="123"/>
        <v>1.3246462348349931E-2</v>
      </c>
    </row>
    <row r="1280" spans="1:25" x14ac:dyDescent="0.3">
      <c r="A1280" s="2">
        <v>42317</v>
      </c>
      <c r="B1280" s="1">
        <v>30.142499999999998</v>
      </c>
      <c r="C1280" s="1">
        <v>655.49</v>
      </c>
      <c r="D1280" s="1">
        <v>106.49</v>
      </c>
      <c r="E1280" s="3">
        <f t="shared" si="118"/>
        <v>688.30500000000029</v>
      </c>
      <c r="F1280" s="4">
        <f t="shared" si="119"/>
        <v>-1.7851999999998043</v>
      </c>
      <c r="G1280" s="4">
        <f t="shared" si="120"/>
        <v>1.7851999999998043</v>
      </c>
      <c r="W1280" s="59">
        <f t="shared" si="121"/>
        <v>-4.0557933343218378E-3</v>
      </c>
      <c r="X1280" s="59">
        <f t="shared" si="122"/>
        <v>-5.9019377999402906E-3</v>
      </c>
      <c r="Y1280" s="59">
        <f t="shared" si="123"/>
        <v>-5.6652069958132859E-3</v>
      </c>
    </row>
    <row r="1281" spans="1:25" x14ac:dyDescent="0.3">
      <c r="A1281" s="2">
        <v>42314</v>
      </c>
      <c r="B1281" s="1">
        <v>30.265000000000001</v>
      </c>
      <c r="C1281" s="1">
        <v>659.37009999999998</v>
      </c>
      <c r="D1281" s="1">
        <v>107.095</v>
      </c>
      <c r="E1281" s="3">
        <f t="shared" si="118"/>
        <v>690.0902000000001</v>
      </c>
      <c r="F1281" s="4">
        <f t="shared" si="119"/>
        <v>42.490400000000591</v>
      </c>
      <c r="G1281" s="4">
        <f t="shared" si="120"/>
        <v>-42.490400000000591</v>
      </c>
      <c r="W1281" s="59">
        <f t="shared" si="121"/>
        <v>1.1571205522838241E-3</v>
      </c>
      <c r="X1281" s="59">
        <f t="shared" si="122"/>
        <v>5.6580279001762534E-3</v>
      </c>
      <c r="Y1281" s="59">
        <f t="shared" si="123"/>
        <v>-1.54273287411644E-2</v>
      </c>
    </row>
    <row r="1282" spans="1:25" x14ac:dyDescent="0.3">
      <c r="A1282" s="2">
        <v>42313</v>
      </c>
      <c r="B1282" s="1">
        <v>30.23</v>
      </c>
      <c r="C1282" s="1">
        <v>655.6499</v>
      </c>
      <c r="D1282" s="1">
        <v>108.76</v>
      </c>
      <c r="E1282" s="3">
        <f t="shared" si="118"/>
        <v>647.5997999999995</v>
      </c>
      <c r="F1282" s="4">
        <f t="shared" si="119"/>
        <v>-80.500200000000405</v>
      </c>
      <c r="G1282" s="4">
        <f t="shared" si="120"/>
        <v>80.500200000000405</v>
      </c>
      <c r="W1282" s="59">
        <f t="shared" si="121"/>
        <v>-8.8918748219992336E-3</v>
      </c>
      <c r="X1282" s="59">
        <f t="shared" si="122"/>
        <v>2.2675506698878359E-2</v>
      </c>
      <c r="Y1282" s="59">
        <f t="shared" si="123"/>
        <v>4.5329810183974292E-2</v>
      </c>
    </row>
    <row r="1283" spans="1:25" x14ac:dyDescent="0.3">
      <c r="A1283" s="2">
        <v>42312</v>
      </c>
      <c r="B1283" s="1">
        <v>30.5</v>
      </c>
      <c r="C1283" s="1">
        <v>640.95000000000005</v>
      </c>
      <c r="D1283" s="1">
        <v>103.94</v>
      </c>
      <c r="E1283" s="3">
        <f t="shared" si="118"/>
        <v>728.09999999999991</v>
      </c>
      <c r="F1283" s="4">
        <f t="shared" si="119"/>
        <v>-3.0452000000004773</v>
      </c>
      <c r="G1283" s="4">
        <f t="shared" si="120"/>
        <v>3.0452000000004773</v>
      </c>
      <c r="W1283" s="59">
        <f t="shared" si="121"/>
        <v>-4.6612506198171815E-3</v>
      </c>
      <c r="X1283" s="59">
        <f t="shared" si="122"/>
        <v>2.4703764068416078E-2</v>
      </c>
      <c r="Y1283" s="59">
        <f t="shared" si="123"/>
        <v>1.3170827619173455E-2</v>
      </c>
    </row>
    <row r="1284" spans="1:25" x14ac:dyDescent="0.3">
      <c r="A1284" s="2">
        <v>42311</v>
      </c>
      <c r="B1284" s="1">
        <v>30.642499999999998</v>
      </c>
      <c r="C1284" s="1">
        <v>625.31010000000003</v>
      </c>
      <c r="D1284" s="1">
        <v>102.58</v>
      </c>
      <c r="E1284" s="3">
        <f t="shared" si="118"/>
        <v>731.14520000000039</v>
      </c>
      <c r="F1284" s="4">
        <f t="shared" si="119"/>
        <v>25.894999999999982</v>
      </c>
      <c r="G1284" s="4">
        <f t="shared" si="120"/>
        <v>-25.894999999999982</v>
      </c>
      <c r="W1284" s="59">
        <f t="shared" si="121"/>
        <v>1.1405251836230734E-2</v>
      </c>
      <c r="X1284" s="59">
        <f t="shared" si="122"/>
        <v>-4.8498085183855452E-3</v>
      </c>
      <c r="Y1284" s="59">
        <f t="shared" si="123"/>
        <v>-7.0911949002317167E-3</v>
      </c>
    </row>
    <row r="1285" spans="1:25" x14ac:dyDescent="0.3">
      <c r="A1285" s="2">
        <v>42310</v>
      </c>
      <c r="B1285" s="1">
        <v>30.295000000000002</v>
      </c>
      <c r="C1285" s="1">
        <v>628.3501</v>
      </c>
      <c r="D1285" s="1">
        <v>103.31</v>
      </c>
      <c r="E1285" s="3">
        <f t="shared" si="118"/>
        <v>705.2502000000004</v>
      </c>
      <c r="F1285" s="4">
        <f t="shared" si="119"/>
        <v>-0.89959999999928186</v>
      </c>
      <c r="G1285" s="4">
        <f t="shared" si="120"/>
        <v>0.89959999999928186</v>
      </c>
      <c r="W1285" s="59">
        <f t="shared" si="121"/>
        <v>1.3960672145277594E-2</v>
      </c>
      <c r="X1285" s="59">
        <f t="shared" si="122"/>
        <v>3.907041047401417E-3</v>
      </c>
      <c r="Y1285" s="59">
        <f t="shared" si="123"/>
        <v>1.3055524485219705E-2</v>
      </c>
    </row>
    <row r="1286" spans="1:25" x14ac:dyDescent="0.3">
      <c r="A1286" s="2">
        <v>42307</v>
      </c>
      <c r="B1286" s="1">
        <v>29.875</v>
      </c>
      <c r="C1286" s="1">
        <v>625.8999</v>
      </c>
      <c r="D1286" s="1">
        <v>101.97</v>
      </c>
      <c r="E1286" s="3">
        <f t="shared" ref="E1286:E1303" si="124">50*B1286+2*C1286-20*D1286</f>
        <v>706.14979999999969</v>
      </c>
      <c r="F1286" s="4">
        <f t="shared" ref="F1286:F1303" si="125">E1286-E1287</f>
        <v>44.024799999999686</v>
      </c>
      <c r="G1286" s="4">
        <f t="shared" ref="G1286:G1303" si="126">-F1286</f>
        <v>-44.024799999999686</v>
      </c>
      <c r="W1286" s="59">
        <f t="shared" ref="W1286:W1303" si="127">LN(B1286/B1287)</f>
        <v>-8.5823132286868865E-3</v>
      </c>
      <c r="X1286" s="59">
        <f t="shared" ref="X1286:X1303" si="128">LN(C1286/C1287)</f>
        <v>-1.0381254505822789E-3</v>
      </c>
      <c r="Y1286" s="59">
        <f t="shared" ref="Y1286:Y1303" si="129">LN(D1286/D1287)</f>
        <v>-2.8138187079309995E-2</v>
      </c>
    </row>
    <row r="1287" spans="1:25" x14ac:dyDescent="0.3">
      <c r="A1287" s="2">
        <v>42306</v>
      </c>
      <c r="B1287" s="1">
        <v>30.1325</v>
      </c>
      <c r="C1287" s="1">
        <v>626.54999999999995</v>
      </c>
      <c r="D1287" s="1">
        <v>104.88</v>
      </c>
      <c r="E1287" s="3">
        <f t="shared" si="124"/>
        <v>662.125</v>
      </c>
      <c r="F1287" s="4">
        <f t="shared" si="125"/>
        <v>21.049799999999777</v>
      </c>
      <c r="G1287" s="4">
        <f t="shared" si="126"/>
        <v>-21.049799999999777</v>
      </c>
      <c r="W1287" s="59">
        <f t="shared" si="127"/>
        <v>1.0508854009674704E-2</v>
      </c>
      <c r="X1287" s="59">
        <f t="shared" si="128"/>
        <v>1.5197332235995452E-2</v>
      </c>
      <c r="Y1287" s="59">
        <f t="shared" si="129"/>
        <v>6.50471013617773E-3</v>
      </c>
    </row>
    <row r="1288" spans="1:25" x14ac:dyDescent="0.3">
      <c r="A1288" s="2">
        <v>42305</v>
      </c>
      <c r="B1288" s="1">
        <v>29.817499999999999</v>
      </c>
      <c r="C1288" s="1">
        <v>617.1001</v>
      </c>
      <c r="D1288" s="1">
        <v>104.2</v>
      </c>
      <c r="E1288" s="3">
        <f t="shared" si="124"/>
        <v>641.07520000000022</v>
      </c>
      <c r="F1288" s="4">
        <f t="shared" si="125"/>
        <v>61.180200000000241</v>
      </c>
      <c r="G1288" s="4">
        <f t="shared" si="126"/>
        <v>-61.180200000000241</v>
      </c>
      <c r="W1288" s="59">
        <f t="shared" si="127"/>
        <v>4.0378421691073148E-2</v>
      </c>
      <c r="X1288" s="59">
        <f t="shared" si="128"/>
        <v>9.9179217255232748E-3</v>
      </c>
      <c r="Y1288" s="59">
        <f t="shared" si="129"/>
        <v>4.810014083784878E-3</v>
      </c>
    </row>
    <row r="1289" spans="1:25" x14ac:dyDescent="0.3">
      <c r="A1289" s="2">
        <v>42304</v>
      </c>
      <c r="B1289" s="1">
        <v>28.637499999999999</v>
      </c>
      <c r="C1289" s="1">
        <v>611.01</v>
      </c>
      <c r="D1289" s="1">
        <v>103.7</v>
      </c>
      <c r="E1289" s="3">
        <f t="shared" si="124"/>
        <v>579.89499999999998</v>
      </c>
      <c r="F1289" s="4">
        <f t="shared" si="125"/>
        <v>-2.9251999999996769</v>
      </c>
      <c r="G1289" s="4">
        <f t="shared" si="126"/>
        <v>2.9251999999996769</v>
      </c>
      <c r="W1289" s="59">
        <f t="shared" si="127"/>
        <v>-6.3525427917621958E-3</v>
      </c>
      <c r="X1289" s="59">
        <f t="shared" si="128"/>
        <v>3.9354928596059911E-3</v>
      </c>
      <c r="Y1289" s="59">
        <f t="shared" si="129"/>
        <v>-6.747963817053652E-4</v>
      </c>
    </row>
    <row r="1290" spans="1:25" x14ac:dyDescent="0.3">
      <c r="A1290" s="2">
        <v>42303</v>
      </c>
      <c r="B1290" s="1">
        <v>28.82</v>
      </c>
      <c r="C1290" s="1">
        <v>608.61009999999999</v>
      </c>
      <c r="D1290" s="1">
        <v>103.77</v>
      </c>
      <c r="E1290" s="3">
        <f t="shared" si="124"/>
        <v>582.82019999999966</v>
      </c>
      <c r="F1290" s="4">
        <f t="shared" si="125"/>
        <v>-59.939800000000332</v>
      </c>
      <c r="G1290" s="4">
        <f t="shared" si="126"/>
        <v>59.939800000000332</v>
      </c>
      <c r="W1290" s="59">
        <f t="shared" si="127"/>
        <v>-3.2431584456309004E-2</v>
      </c>
      <c r="X1290" s="59">
        <f t="shared" si="128"/>
        <v>1.5866152456401023E-2</v>
      </c>
      <c r="Y1290" s="59">
        <f t="shared" si="129"/>
        <v>1.5343085993069234E-2</v>
      </c>
    </row>
    <row r="1291" spans="1:25" x14ac:dyDescent="0.3">
      <c r="A1291" s="2">
        <v>42300</v>
      </c>
      <c r="B1291" s="1">
        <v>29.77</v>
      </c>
      <c r="C1291" s="1">
        <v>599.03</v>
      </c>
      <c r="D1291" s="1">
        <v>102.19</v>
      </c>
      <c r="E1291" s="3">
        <f t="shared" si="124"/>
        <v>642.76</v>
      </c>
      <c r="F1291" s="4">
        <f t="shared" si="125"/>
        <v>64.590199999999868</v>
      </c>
      <c r="G1291" s="4">
        <f t="shared" si="126"/>
        <v>-64.590199999999868</v>
      </c>
      <c r="W1291" s="59">
        <f t="shared" si="127"/>
        <v>3.0525006185727319E-2</v>
      </c>
      <c r="X1291" s="59">
        <f t="shared" si="128"/>
        <v>6.0417193370432484E-2</v>
      </c>
      <c r="Y1291" s="59">
        <f t="shared" si="129"/>
        <v>2.496909664475273E-2</v>
      </c>
    </row>
    <row r="1292" spans="1:25" x14ac:dyDescent="0.3">
      <c r="A1292" s="2">
        <v>42299</v>
      </c>
      <c r="B1292" s="1">
        <v>28.875</v>
      </c>
      <c r="C1292" s="1">
        <v>563.90989999999999</v>
      </c>
      <c r="D1292" s="1">
        <v>99.67</v>
      </c>
      <c r="E1292" s="3">
        <f t="shared" si="124"/>
        <v>578.16980000000012</v>
      </c>
      <c r="F1292" s="4">
        <f t="shared" si="125"/>
        <v>-13.170199999999795</v>
      </c>
      <c r="G1292" s="4">
        <f t="shared" si="126"/>
        <v>13.170199999999795</v>
      </c>
      <c r="W1292" s="59">
        <f t="shared" si="127"/>
        <v>1.5179563906917493E-2</v>
      </c>
      <c r="X1292" s="59">
        <f t="shared" si="128"/>
        <v>1.4539947362152247E-2</v>
      </c>
      <c r="Y1292" s="59">
        <f t="shared" si="129"/>
        <v>2.6020372373102219E-2</v>
      </c>
    </row>
    <row r="1293" spans="1:25" x14ac:dyDescent="0.3">
      <c r="A1293" s="2">
        <v>42298</v>
      </c>
      <c r="B1293" s="1">
        <v>28.44</v>
      </c>
      <c r="C1293" s="1">
        <v>555.77</v>
      </c>
      <c r="D1293" s="1">
        <v>97.11</v>
      </c>
      <c r="E1293" s="3">
        <f t="shared" si="124"/>
        <v>591.33999999999992</v>
      </c>
      <c r="F1293" s="4">
        <f t="shared" si="125"/>
        <v>-12.544799999999896</v>
      </c>
      <c r="G1293" s="4">
        <f t="shared" si="126"/>
        <v>12.544799999999896</v>
      </c>
      <c r="W1293" s="59">
        <f t="shared" si="127"/>
        <v>-8.7900496694371974E-5</v>
      </c>
      <c r="X1293" s="59">
        <f t="shared" si="128"/>
        <v>-9.1522610062564937E-3</v>
      </c>
      <c r="Y1293" s="59">
        <f t="shared" si="129"/>
        <v>1.1333781028797594E-3</v>
      </c>
    </row>
    <row r="1294" spans="1:25" x14ac:dyDescent="0.3">
      <c r="A1294" s="2">
        <v>42297</v>
      </c>
      <c r="B1294" s="1">
        <v>28.442499999999999</v>
      </c>
      <c r="C1294" s="1">
        <v>560.87990000000002</v>
      </c>
      <c r="D1294" s="1">
        <v>97</v>
      </c>
      <c r="E1294" s="3">
        <f t="shared" si="124"/>
        <v>603.88479999999981</v>
      </c>
      <c r="F1294" s="4">
        <f t="shared" si="125"/>
        <v>30.360000000000127</v>
      </c>
      <c r="G1294" s="4">
        <f t="shared" si="126"/>
        <v>-30.360000000000127</v>
      </c>
      <c r="W1294" s="59">
        <f t="shared" si="127"/>
        <v>1.8093619992378587E-2</v>
      </c>
      <c r="X1294" s="59">
        <f t="shared" si="128"/>
        <v>-2.1640487479167782E-2</v>
      </c>
      <c r="Y1294" s="59">
        <f t="shared" si="129"/>
        <v>-1.5040954756327836E-2</v>
      </c>
    </row>
    <row r="1295" spans="1:25" x14ac:dyDescent="0.3">
      <c r="A1295" s="2">
        <v>42296</v>
      </c>
      <c r="B1295" s="1">
        <v>27.932500000000001</v>
      </c>
      <c r="C1295" s="1">
        <v>573.1499</v>
      </c>
      <c r="D1295" s="1">
        <v>98.47</v>
      </c>
      <c r="E1295" s="3">
        <f t="shared" si="124"/>
        <v>573.52479999999969</v>
      </c>
      <c r="F1295" s="4">
        <f t="shared" si="125"/>
        <v>-5.1952000000001135</v>
      </c>
      <c r="G1295" s="4">
        <f t="shared" si="126"/>
        <v>5.1952000000001135</v>
      </c>
      <c r="W1295" s="59">
        <f t="shared" si="127"/>
        <v>6.1947498007521714E-3</v>
      </c>
      <c r="X1295" s="59">
        <f t="shared" si="128"/>
        <v>4.1784820242330885E-3</v>
      </c>
      <c r="Y1295" s="59">
        <f t="shared" si="129"/>
        <v>9.4893829778040315E-3</v>
      </c>
    </row>
    <row r="1296" spans="1:25" x14ac:dyDescent="0.3">
      <c r="A1296" s="2">
        <v>42293</v>
      </c>
      <c r="B1296" s="1">
        <v>27.76</v>
      </c>
      <c r="C1296" s="1">
        <v>570.76</v>
      </c>
      <c r="D1296" s="1">
        <v>97.54</v>
      </c>
      <c r="E1296" s="3">
        <f t="shared" si="124"/>
        <v>578.7199999999998</v>
      </c>
      <c r="F1296" s="4">
        <f t="shared" si="125"/>
        <v>-25.209800000000087</v>
      </c>
      <c r="G1296" s="4">
        <f t="shared" si="126"/>
        <v>25.209800000000087</v>
      </c>
      <c r="W1296" s="59">
        <f t="shared" si="127"/>
        <v>-7.3575926349475351E-3</v>
      </c>
      <c r="X1296" s="59">
        <f t="shared" si="128"/>
        <v>1.4684522136517927E-2</v>
      </c>
      <c r="Y1296" s="59">
        <f t="shared" si="129"/>
        <v>1.6331112310412843E-2</v>
      </c>
    </row>
    <row r="1297" spans="1:25" x14ac:dyDescent="0.3">
      <c r="A1297" s="2">
        <v>42292</v>
      </c>
      <c r="B1297" s="1">
        <v>27.965</v>
      </c>
      <c r="C1297" s="1">
        <v>562.43989999999997</v>
      </c>
      <c r="D1297" s="1">
        <v>95.96</v>
      </c>
      <c r="E1297" s="3">
        <f t="shared" si="124"/>
        <v>603.92979999999989</v>
      </c>
      <c r="F1297" s="4">
        <f t="shared" si="125"/>
        <v>18.044599999999491</v>
      </c>
      <c r="G1297" s="4">
        <f t="shared" si="126"/>
        <v>-18.044599999999491</v>
      </c>
      <c r="W1297" s="59">
        <f t="shared" si="127"/>
        <v>1.4860452689991421E-2</v>
      </c>
      <c r="X1297" s="59">
        <f t="shared" si="128"/>
        <v>3.1810280983865714E-2</v>
      </c>
      <c r="Y1297" s="59">
        <f t="shared" si="129"/>
        <v>1.9892251987633745E-2</v>
      </c>
    </row>
    <row r="1298" spans="1:25" x14ac:dyDescent="0.3">
      <c r="A1298" s="2">
        <v>42291</v>
      </c>
      <c r="B1298" s="1">
        <v>27.552499999999998</v>
      </c>
      <c r="C1298" s="1">
        <v>544.83010000000002</v>
      </c>
      <c r="D1298" s="1">
        <v>94.07</v>
      </c>
      <c r="E1298" s="3">
        <f t="shared" si="124"/>
        <v>585.8852000000004</v>
      </c>
      <c r="F1298" s="4">
        <f t="shared" si="125"/>
        <v>-26.889599999999291</v>
      </c>
      <c r="G1298" s="4">
        <f t="shared" si="126"/>
        <v>26.889599999999291</v>
      </c>
      <c r="W1298" s="59">
        <f t="shared" si="127"/>
        <v>-1.4234474578783943E-2</v>
      </c>
      <c r="X1298" s="59">
        <f t="shared" si="128"/>
        <v>-7.4420904312893447E-3</v>
      </c>
      <c r="Y1298" s="59">
        <f t="shared" si="129"/>
        <v>-5.3137787530181549E-4</v>
      </c>
    </row>
    <row r="1299" spans="1:25" x14ac:dyDescent="0.3">
      <c r="A1299" s="2">
        <v>42290</v>
      </c>
      <c r="B1299" s="1">
        <v>27.947500000000002</v>
      </c>
      <c r="C1299" s="1">
        <v>548.8999</v>
      </c>
      <c r="D1299" s="1">
        <v>94.12</v>
      </c>
      <c r="E1299" s="3">
        <f t="shared" si="124"/>
        <v>612.77479999999969</v>
      </c>
      <c r="F1299" s="4">
        <f t="shared" si="125"/>
        <v>2.5950000000000273</v>
      </c>
      <c r="G1299" s="4">
        <f t="shared" si="126"/>
        <v>-2.5950000000000273</v>
      </c>
      <c r="W1299" s="59">
        <f t="shared" si="127"/>
        <v>1.7010613350238871E-3</v>
      </c>
      <c r="X1299" s="59">
        <f t="shared" si="128"/>
        <v>-2.3473979875979546E-3</v>
      </c>
      <c r="Y1299" s="59">
        <f t="shared" si="129"/>
        <v>-1.486357636423013E-3</v>
      </c>
    </row>
    <row r="1300" spans="1:25" x14ac:dyDescent="0.3">
      <c r="A1300" s="2">
        <v>42289</v>
      </c>
      <c r="B1300" s="1">
        <v>27.9</v>
      </c>
      <c r="C1300" s="1">
        <v>550.18989999999997</v>
      </c>
      <c r="D1300" s="1">
        <v>94.26</v>
      </c>
      <c r="E1300" s="3">
        <f t="shared" si="124"/>
        <v>610.17979999999966</v>
      </c>
      <c r="F1300" s="4">
        <f t="shared" si="125"/>
        <v>-6.1202000000002954</v>
      </c>
      <c r="G1300" s="4">
        <f t="shared" si="126"/>
        <v>6.1202000000002954</v>
      </c>
      <c r="W1300" s="59">
        <f t="shared" si="127"/>
        <v>-4.6486763493771115E-3</v>
      </c>
      <c r="X1300" s="59">
        <f t="shared" si="128"/>
        <v>1.9064790776973706E-2</v>
      </c>
      <c r="Y1300" s="59">
        <f t="shared" si="129"/>
        <v>1.0880107328028422E-2</v>
      </c>
    </row>
    <row r="1301" spans="1:25" x14ac:dyDescent="0.3">
      <c r="A1301" s="2">
        <v>42286</v>
      </c>
      <c r="B1301" s="1">
        <v>28.03</v>
      </c>
      <c r="C1301" s="1">
        <v>539.79999999999995</v>
      </c>
      <c r="D1301" s="1">
        <v>93.24</v>
      </c>
      <c r="E1301" s="3">
        <f t="shared" si="124"/>
        <v>616.29999999999995</v>
      </c>
      <c r="F1301" s="4">
        <f t="shared" si="125"/>
        <v>30.630199999999832</v>
      </c>
      <c r="G1301" s="4">
        <f t="shared" si="126"/>
        <v>-30.630199999999832</v>
      </c>
      <c r="W1301" s="59">
        <f t="shared" si="127"/>
        <v>2.3645177040032089E-2</v>
      </c>
      <c r="X1301" s="59">
        <f t="shared" si="128"/>
        <v>1.2377321409061622E-2</v>
      </c>
      <c r="Y1301" s="59">
        <f t="shared" si="129"/>
        <v>8.2925465780091436E-3</v>
      </c>
    </row>
    <row r="1302" spans="1:25" x14ac:dyDescent="0.3">
      <c r="A1302" s="2">
        <v>42285</v>
      </c>
      <c r="B1302" s="1">
        <v>27.375</v>
      </c>
      <c r="C1302" s="1">
        <v>533.15989999999999</v>
      </c>
      <c r="D1302" s="1">
        <v>92.47</v>
      </c>
      <c r="E1302" s="3">
        <f t="shared" si="124"/>
        <v>585.66980000000012</v>
      </c>
      <c r="F1302" s="4">
        <f t="shared" si="125"/>
        <v>-34.959999999999582</v>
      </c>
      <c r="G1302" s="4">
        <f t="shared" si="126"/>
        <v>34.959999999999582</v>
      </c>
      <c r="W1302" s="59">
        <f t="shared" si="127"/>
        <v>-1.1621703348402354E-2</v>
      </c>
      <c r="X1302" s="59">
        <f t="shared" si="128"/>
        <v>-1.6333730507683882E-2</v>
      </c>
      <c r="Y1302" s="59">
        <f t="shared" si="129"/>
        <v>7.5728894190875765E-4</v>
      </c>
    </row>
    <row r="1303" spans="1:25" x14ac:dyDescent="0.3">
      <c r="A1303" s="2">
        <v>42284</v>
      </c>
      <c r="B1303" s="1">
        <v>27.695</v>
      </c>
      <c r="C1303" s="1">
        <v>541.93989999999997</v>
      </c>
      <c r="D1303" s="1">
        <v>92.4</v>
      </c>
      <c r="E1303" s="3">
        <f t="shared" si="124"/>
        <v>620.6297999999997</v>
      </c>
      <c r="F1303" s="4">
        <f t="shared" si="125"/>
        <v>620.6297999999997</v>
      </c>
      <c r="G1303" s="4">
        <f t="shared" si="126"/>
        <v>-620.6297999999997</v>
      </c>
      <c r="W1303" s="59">
        <f t="shared" si="127"/>
        <v>-4.7728489001765736E-3</v>
      </c>
      <c r="X1303" s="59">
        <f t="shared" si="128"/>
        <v>8.2635596753173057E-3</v>
      </c>
      <c r="Y1303" s="59">
        <f t="shared" si="129"/>
        <v>-4.3196611445162842E-3</v>
      </c>
    </row>
    <row r="1304" spans="1:25" x14ac:dyDescent="0.3">
      <c r="A1304" s="2"/>
      <c r="B1304" s="1">
        <v>27.827500000000001</v>
      </c>
      <c r="C1304" s="1">
        <v>537.48</v>
      </c>
      <c r="D1304" s="1">
        <v>92.8</v>
      </c>
      <c r="E1304" s="3"/>
    </row>
  </sheetData>
  <mergeCells count="2">
    <mergeCell ref="I3:S3"/>
    <mergeCell ref="I6:J6"/>
  </mergeCells>
  <dataValidations count="1">
    <dataValidation allowBlank="1" showErrorMessage="1" promptTitle="TRAFO" prompt="$A$1:$D$1310" sqref="A1" xr:uid="{7C2695FF-56A3-438F-85ED-912F0F3B4324}"/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9BC-18B1-49F8-B237-7410278D003A}">
  <dimension ref="A1:AB1304"/>
  <sheetViews>
    <sheetView topLeftCell="A13" zoomScale="70" zoomScaleNormal="70" workbookViewId="0">
      <selection activeCell="O25" sqref="O25"/>
    </sheetView>
  </sheetViews>
  <sheetFormatPr defaultColWidth="8.77734375" defaultRowHeight="14.4" x14ac:dyDescent="0.3"/>
  <cols>
    <col min="1" max="3" width="18.6640625" style="1" customWidth="1"/>
    <col min="4" max="4" width="28.6640625" style="6" customWidth="1"/>
    <col min="5" max="5" width="18.33203125" style="4" customWidth="1"/>
    <col min="6" max="6" width="10.44140625" style="4" customWidth="1"/>
    <col min="8" max="9" width="13.6640625" customWidth="1"/>
    <col min="10" max="10" width="24.33203125" bestFit="1" customWidth="1"/>
    <col min="11" max="11" width="17.21875" bestFit="1" customWidth="1"/>
    <col min="12" max="12" width="19.33203125" bestFit="1" customWidth="1"/>
    <col min="13" max="13" width="9.88671875" bestFit="1" customWidth="1"/>
  </cols>
  <sheetData>
    <row r="1" spans="1:28" x14ac:dyDescent="0.3">
      <c r="A1" s="1" t="e">
        <f ca="1">_xll.Thomson.Reuters.AFOSpreadsheetFormulas.DSGRID("@AAPL,@AMZN,@FB"," ","-5Y","","D","RowHeader=true;ColHeader=true;Heading=true;LatestFirstValue=true;DispSeriesDescription=false;YearlyTSFormat=false;QuarterlyTSFormat=false","")</f>
        <v>#NAME?</v>
      </c>
      <c r="B1" s="2">
        <v>42283</v>
      </c>
    </row>
    <row r="2" spans="1:28" x14ac:dyDescent="0.3">
      <c r="A2" s="1" t="s">
        <v>0</v>
      </c>
      <c r="B2" s="2">
        <v>44110</v>
      </c>
    </row>
    <row r="3" spans="1:28" x14ac:dyDescent="0.3">
      <c r="A3" s="1" t="s">
        <v>1</v>
      </c>
      <c r="B3" s="1" t="s">
        <v>2</v>
      </c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1:28" x14ac:dyDescent="0.3">
      <c r="A4" s="10" t="s">
        <v>3</v>
      </c>
      <c r="B4" s="10" t="s">
        <v>4</v>
      </c>
      <c r="C4" s="10" t="s">
        <v>5</v>
      </c>
      <c r="D4" s="11" t="s">
        <v>15</v>
      </c>
      <c r="E4" s="12" t="s">
        <v>7</v>
      </c>
      <c r="F4" s="12" t="s">
        <v>8</v>
      </c>
    </row>
    <row r="5" spans="1:28" x14ac:dyDescent="0.3">
      <c r="A5" s="2">
        <v>44110</v>
      </c>
      <c r="B5" s="1">
        <v>113.16</v>
      </c>
      <c r="C5" s="1">
        <v>3099.96</v>
      </c>
      <c r="D5" s="22">
        <f>$M$16*B5+(1-$M$16)*C5</f>
        <v>1691.1383993087566</v>
      </c>
      <c r="E5" s="23">
        <f>D5-D6</f>
        <v>-54.005638306451601</v>
      </c>
      <c r="F5" s="23">
        <f>-E5</f>
        <v>54.005638306451601</v>
      </c>
      <c r="G5" s="13"/>
      <c r="H5" s="14"/>
      <c r="I5" s="14"/>
      <c r="J5" s="14"/>
      <c r="K5" s="7"/>
      <c r="L5" s="51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3">
      <c r="A6" s="2">
        <v>44109</v>
      </c>
      <c r="B6" s="1">
        <v>116.5</v>
      </c>
      <c r="C6" s="1">
        <v>3199.2</v>
      </c>
      <c r="D6" s="22">
        <f t="shared" ref="D6:D69" si="0">$M$16*B6+(1-$M$16)*C6</f>
        <v>1745.1440376152082</v>
      </c>
      <c r="E6" s="23">
        <f t="shared" ref="E6:E69" si="1">D6-D7</f>
        <v>40.842606267281099</v>
      </c>
      <c r="F6" s="23">
        <f t="shared" ref="F6:F69" si="2">-E6</f>
        <v>-40.842606267281099</v>
      </c>
      <c r="G6" s="13"/>
      <c r="H6" s="56" t="s">
        <v>10</v>
      </c>
      <c r="I6" s="56"/>
      <c r="J6" s="45"/>
      <c r="M6" s="27"/>
    </row>
    <row r="7" spans="1:28" x14ac:dyDescent="0.3">
      <c r="A7" s="2">
        <v>44106</v>
      </c>
      <c r="B7" s="1">
        <v>113.02</v>
      </c>
      <c r="C7" s="1">
        <v>3125</v>
      </c>
      <c r="D7" s="22">
        <f t="shared" si="0"/>
        <v>1704.3014313479271</v>
      </c>
      <c r="E7" s="23">
        <f t="shared" si="1"/>
        <v>-52.634075985022946</v>
      </c>
      <c r="F7" s="23">
        <f t="shared" si="2"/>
        <v>52.634075985022946</v>
      </c>
      <c r="G7" s="13"/>
      <c r="H7" s="13">
        <v>1</v>
      </c>
      <c r="I7" s="14">
        <f>COUNTIF($F:$F,"&gt;"&amp;H7)/COUNT(F:F)</f>
        <v>0.3872209391839877</v>
      </c>
      <c r="J7" s="13"/>
    </row>
    <row r="8" spans="1:28" x14ac:dyDescent="0.3">
      <c r="A8" s="2">
        <v>44105</v>
      </c>
      <c r="B8" s="1">
        <v>116.79</v>
      </c>
      <c r="C8" s="1">
        <v>3221.26</v>
      </c>
      <c r="D8" s="22">
        <f t="shared" si="0"/>
        <v>1756.93550733295</v>
      </c>
      <c r="E8" s="23">
        <f t="shared" si="1"/>
        <v>38.781109706221059</v>
      </c>
      <c r="F8" s="23">
        <f t="shared" si="2"/>
        <v>-38.781109706221059</v>
      </c>
      <c r="G8" s="13"/>
      <c r="H8" s="13">
        <v>2</v>
      </c>
      <c r="I8" s="14">
        <f t="shared" ref="I8:I52" si="3">COUNTIF($F:$F,"&gt;"&amp;H8)/COUNT(F:F)</f>
        <v>0.32948421862971516</v>
      </c>
      <c r="J8" s="13"/>
      <c r="L8" t="s">
        <v>42</v>
      </c>
      <c r="M8">
        <f>M16*'Historical Simulation'!AC5+'Punto 2'!N16*'Historical Simulation'!AD5</f>
        <v>8.5485972495066192E-4</v>
      </c>
    </row>
    <row r="9" spans="1:28" x14ac:dyDescent="0.3">
      <c r="A9" s="2">
        <v>44104</v>
      </c>
      <c r="B9" s="1">
        <v>115.81</v>
      </c>
      <c r="C9" s="1">
        <v>3148.73</v>
      </c>
      <c r="D9" s="22">
        <f t="shared" si="0"/>
        <v>1718.154397626729</v>
      </c>
      <c r="E9" s="23">
        <f t="shared" si="1"/>
        <v>2.8453160541475881</v>
      </c>
      <c r="F9" s="23">
        <f t="shared" si="2"/>
        <v>-2.8453160541475881</v>
      </c>
      <c r="G9" s="13"/>
      <c r="H9" s="13">
        <v>3</v>
      </c>
      <c r="I9" s="14">
        <f t="shared" si="3"/>
        <v>0.28714395688991534</v>
      </c>
      <c r="J9" s="13"/>
    </row>
    <row r="10" spans="1:28" x14ac:dyDescent="0.3">
      <c r="A10" s="2">
        <v>44103</v>
      </c>
      <c r="B10" s="1">
        <v>114.09</v>
      </c>
      <c r="C10" s="1">
        <v>3144.88</v>
      </c>
      <c r="D10" s="22">
        <f t="shared" si="0"/>
        <v>1715.3090815725814</v>
      </c>
      <c r="E10" s="23">
        <f t="shared" si="1"/>
        <v>-15.821382315668188</v>
      </c>
      <c r="F10" s="23">
        <f t="shared" si="2"/>
        <v>15.821382315668188</v>
      </c>
      <c r="G10" s="13"/>
      <c r="H10" s="13">
        <v>4</v>
      </c>
      <c r="I10" s="14">
        <f t="shared" si="3"/>
        <v>0.25173210161662818</v>
      </c>
      <c r="J10" s="13"/>
    </row>
    <row r="11" spans="1:28" x14ac:dyDescent="0.3">
      <c r="A11" s="2">
        <v>44102</v>
      </c>
      <c r="B11" s="1">
        <v>114.96</v>
      </c>
      <c r="C11" s="1">
        <v>3174.05</v>
      </c>
      <c r="D11" s="22">
        <f t="shared" si="0"/>
        <v>1731.1304638882496</v>
      </c>
      <c r="E11" s="23">
        <f t="shared" si="1"/>
        <v>42.958918294930982</v>
      </c>
      <c r="F11" s="23">
        <f t="shared" si="2"/>
        <v>-42.958918294930982</v>
      </c>
      <c r="G11" s="13"/>
      <c r="H11" s="13">
        <v>5</v>
      </c>
      <c r="I11" s="14">
        <f t="shared" si="3"/>
        <v>0.22786759045419552</v>
      </c>
      <c r="J11" s="13"/>
    </row>
    <row r="12" spans="1:28" x14ac:dyDescent="0.3">
      <c r="A12" s="2">
        <v>44099</v>
      </c>
      <c r="B12" s="1">
        <v>112.28</v>
      </c>
      <c r="C12" s="1">
        <v>3095.13</v>
      </c>
      <c r="D12" s="22">
        <f t="shared" si="0"/>
        <v>1688.1715455933186</v>
      </c>
      <c r="E12" s="23">
        <f t="shared" si="1"/>
        <v>41.718464009216632</v>
      </c>
      <c r="F12" s="23">
        <f t="shared" si="2"/>
        <v>-41.718464009216632</v>
      </c>
      <c r="G12" s="13"/>
      <c r="H12" s="13">
        <v>6</v>
      </c>
      <c r="I12" s="14">
        <f t="shared" si="3"/>
        <v>0.19861431870669746</v>
      </c>
      <c r="J12" s="13"/>
    </row>
    <row r="13" spans="1:28" x14ac:dyDescent="0.3">
      <c r="A13" s="2">
        <v>44098</v>
      </c>
      <c r="B13" s="1">
        <v>108.22</v>
      </c>
      <c r="C13" s="1">
        <v>3019.79</v>
      </c>
      <c r="D13" s="22">
        <f t="shared" si="0"/>
        <v>1646.4530815841019</v>
      </c>
      <c r="E13" s="23">
        <f t="shared" si="1"/>
        <v>11.048216572580486</v>
      </c>
      <c r="F13" s="23">
        <f t="shared" si="2"/>
        <v>-11.048216572580486</v>
      </c>
      <c r="G13" s="13"/>
      <c r="H13" s="13">
        <v>7</v>
      </c>
      <c r="I13" s="14">
        <f t="shared" si="3"/>
        <v>0.17705927636643573</v>
      </c>
      <c r="J13" s="13"/>
    </row>
    <row r="14" spans="1:28" x14ac:dyDescent="0.3">
      <c r="A14" s="2">
        <v>44097</v>
      </c>
      <c r="B14" s="1">
        <v>107.12</v>
      </c>
      <c r="C14" s="1">
        <v>2999.86</v>
      </c>
      <c r="D14" s="22">
        <f t="shared" si="0"/>
        <v>1635.4048650115215</v>
      </c>
      <c r="E14" s="23">
        <f t="shared" si="1"/>
        <v>-70.43381679723484</v>
      </c>
      <c r="F14" s="23">
        <f t="shared" si="2"/>
        <v>70.43381679723484</v>
      </c>
      <c r="G14" s="13"/>
      <c r="H14" s="13">
        <v>8</v>
      </c>
      <c r="I14" s="14">
        <f t="shared" si="3"/>
        <v>0.15704387990762125</v>
      </c>
      <c r="J14" s="13"/>
    </row>
    <row r="15" spans="1:28" x14ac:dyDescent="0.3">
      <c r="A15" s="2">
        <v>44096</v>
      </c>
      <c r="B15" s="1">
        <v>111.81</v>
      </c>
      <c r="C15" s="1">
        <v>3128.99</v>
      </c>
      <c r="D15" s="22">
        <f t="shared" si="0"/>
        <v>1705.8386818087563</v>
      </c>
      <c r="E15" s="23">
        <f t="shared" si="1"/>
        <v>89.848058531106062</v>
      </c>
      <c r="F15" s="23">
        <f t="shared" si="2"/>
        <v>-89.848058531106062</v>
      </c>
      <c r="G15" s="13"/>
      <c r="H15" s="13">
        <v>9</v>
      </c>
      <c r="I15" s="14">
        <f t="shared" si="3"/>
        <v>0.14934565050038492</v>
      </c>
      <c r="J15" s="13"/>
    </row>
    <row r="16" spans="1:28" x14ac:dyDescent="0.3">
      <c r="A16" s="2">
        <v>44095</v>
      </c>
      <c r="B16" s="1">
        <v>110.08</v>
      </c>
      <c r="C16" s="1">
        <v>2960.47</v>
      </c>
      <c r="D16" s="22">
        <f t="shared" si="0"/>
        <v>1615.9906232776502</v>
      </c>
      <c r="E16" s="23">
        <f t="shared" si="1"/>
        <v>4.4656963594470653</v>
      </c>
      <c r="F16" s="23">
        <f t="shared" si="2"/>
        <v>-4.4656963594470653</v>
      </c>
      <c r="G16" s="13"/>
      <c r="H16" s="13">
        <v>10</v>
      </c>
      <c r="I16" s="14">
        <f t="shared" si="3"/>
        <v>0.13394919168591224</v>
      </c>
      <c r="J16" s="13"/>
      <c r="L16" s="5" t="s">
        <v>16</v>
      </c>
      <c r="M16" s="8">
        <v>0.47168260368663578</v>
      </c>
      <c r="N16">
        <f>1-M16</f>
        <v>0.52831739631336427</v>
      </c>
    </row>
    <row r="17" spans="1:13" x14ac:dyDescent="0.3">
      <c r="A17" s="2">
        <v>44092</v>
      </c>
      <c r="B17" s="1">
        <v>106.84</v>
      </c>
      <c r="C17" s="1">
        <v>2954.91</v>
      </c>
      <c r="D17" s="22">
        <f t="shared" si="0"/>
        <v>1611.5249269182032</v>
      </c>
      <c r="E17" s="23">
        <f t="shared" si="1"/>
        <v>-30.084931382488776</v>
      </c>
      <c r="F17" s="23">
        <f t="shared" si="2"/>
        <v>30.084931382488776</v>
      </c>
      <c r="G17" s="13"/>
      <c r="H17" s="13">
        <v>11</v>
      </c>
      <c r="I17" s="14">
        <f t="shared" si="3"/>
        <v>0.123941493456505</v>
      </c>
      <c r="J17" s="13"/>
      <c r="L17" s="9" t="s">
        <v>11</v>
      </c>
      <c r="M17" s="21">
        <v>28</v>
      </c>
    </row>
    <row r="18" spans="1:13" x14ac:dyDescent="0.3">
      <c r="A18" s="2">
        <v>44091</v>
      </c>
      <c r="B18" s="1">
        <v>110.34</v>
      </c>
      <c r="C18" s="1">
        <v>3008.73</v>
      </c>
      <c r="D18" s="22">
        <f t="shared" si="0"/>
        <v>1641.6098583006919</v>
      </c>
      <c r="E18" s="23">
        <f t="shared" si="1"/>
        <v>-37.493689642856907</v>
      </c>
      <c r="F18" s="23">
        <f t="shared" si="2"/>
        <v>37.493689642856907</v>
      </c>
      <c r="G18" s="13"/>
      <c r="H18" s="13">
        <v>12</v>
      </c>
      <c r="I18" s="14">
        <f t="shared" si="3"/>
        <v>0.1216320246343341</v>
      </c>
      <c r="J18" s="13"/>
    </row>
    <row r="19" spans="1:13" x14ac:dyDescent="0.3">
      <c r="A19" s="2">
        <v>44090</v>
      </c>
      <c r="B19" s="1">
        <v>112.13</v>
      </c>
      <c r="C19" s="1">
        <v>3078.1</v>
      </c>
      <c r="D19" s="22">
        <f t="shared" si="0"/>
        <v>1679.1035479435488</v>
      </c>
      <c r="E19" s="23">
        <f t="shared" si="1"/>
        <v>-42.833044112903508</v>
      </c>
      <c r="F19" s="23">
        <f t="shared" si="2"/>
        <v>42.833044112903508</v>
      </c>
      <c r="G19" s="13"/>
      <c r="H19" s="13">
        <v>13</v>
      </c>
      <c r="I19" s="14">
        <f t="shared" si="3"/>
        <v>0.1100846805234796</v>
      </c>
      <c r="J19" s="13"/>
    </row>
    <row r="20" spans="1:13" x14ac:dyDescent="0.3">
      <c r="A20" s="2">
        <v>44089</v>
      </c>
      <c r="B20" s="1">
        <v>115.54</v>
      </c>
      <c r="C20" s="1">
        <v>3156.13</v>
      </c>
      <c r="D20" s="22">
        <f t="shared" si="0"/>
        <v>1721.9365920564524</v>
      </c>
      <c r="E20" s="23">
        <f t="shared" si="1"/>
        <v>28.172614069700558</v>
      </c>
      <c r="F20" s="23">
        <f t="shared" si="2"/>
        <v>-28.172614069700558</v>
      </c>
      <c r="G20" s="13"/>
      <c r="H20" s="13">
        <v>14</v>
      </c>
      <c r="I20" s="14">
        <f t="shared" si="3"/>
        <v>0.10392609699769054</v>
      </c>
      <c r="J20" s="20"/>
    </row>
    <row r="21" spans="1:13" x14ac:dyDescent="0.3">
      <c r="A21" s="2">
        <v>44088</v>
      </c>
      <c r="B21" s="1">
        <v>115.355</v>
      </c>
      <c r="C21" s="1">
        <v>3102.97</v>
      </c>
      <c r="D21" s="22">
        <f t="shared" si="0"/>
        <v>1693.7639779867518</v>
      </c>
      <c r="E21" s="23">
        <f t="shared" si="1"/>
        <v>-5.4177103657832504</v>
      </c>
      <c r="F21" s="23">
        <f t="shared" si="2"/>
        <v>5.4177103657832504</v>
      </c>
      <c r="G21" s="13"/>
      <c r="H21" s="13">
        <v>15</v>
      </c>
      <c r="I21" s="14">
        <f t="shared" si="3"/>
        <v>9.9307159353348731E-2</v>
      </c>
      <c r="J21" s="20"/>
    </row>
    <row r="22" spans="1:13" x14ac:dyDescent="0.3">
      <c r="A22" s="2">
        <v>44085</v>
      </c>
      <c r="B22" s="1">
        <v>112</v>
      </c>
      <c r="C22" s="1">
        <v>3116.22</v>
      </c>
      <c r="D22" s="22">
        <f t="shared" si="0"/>
        <v>1699.181688352535</v>
      </c>
      <c r="E22" s="23">
        <f t="shared" si="1"/>
        <v>-31.815418548387242</v>
      </c>
      <c r="F22" s="23">
        <f t="shared" si="2"/>
        <v>31.815418548387242</v>
      </c>
      <c r="G22" s="13"/>
      <c r="H22" s="13">
        <v>16</v>
      </c>
      <c r="I22" s="14">
        <f t="shared" si="3"/>
        <v>9.1608929946112388E-2</v>
      </c>
      <c r="J22" s="13"/>
    </row>
    <row r="23" spans="1:13" x14ac:dyDescent="0.3">
      <c r="A23" s="2">
        <v>44084</v>
      </c>
      <c r="B23" s="1">
        <v>113.49</v>
      </c>
      <c r="C23" s="1">
        <v>3175.11</v>
      </c>
      <c r="D23" s="22">
        <f t="shared" si="0"/>
        <v>1730.9971069009223</v>
      </c>
      <c r="E23" s="23">
        <f t="shared" si="1"/>
        <v>-51.204220927419328</v>
      </c>
      <c r="F23" s="23">
        <f t="shared" si="2"/>
        <v>51.204220927419328</v>
      </c>
      <c r="G23" s="13"/>
      <c r="H23" s="13">
        <v>17</v>
      </c>
      <c r="I23" s="14">
        <f t="shared" si="3"/>
        <v>8.6220169361046956E-2</v>
      </c>
      <c r="J23" s="13"/>
    </row>
    <row r="24" spans="1:13" x14ac:dyDescent="0.3">
      <c r="A24" s="2">
        <v>44083</v>
      </c>
      <c r="B24" s="1">
        <v>117.32</v>
      </c>
      <c r="C24" s="1">
        <v>3268.61</v>
      </c>
      <c r="D24" s="22">
        <f t="shared" si="0"/>
        <v>1782.2013278283416</v>
      </c>
      <c r="E24" s="23">
        <f t="shared" si="1"/>
        <v>64.870828876727956</v>
      </c>
      <c r="F24" s="23">
        <f t="shared" si="2"/>
        <v>-64.870828876727956</v>
      </c>
      <c r="G24" s="13"/>
      <c r="H24" s="13">
        <v>18</v>
      </c>
      <c r="I24" s="14">
        <f t="shared" si="3"/>
        <v>8.0061585835257895E-2</v>
      </c>
      <c r="J24" s="13"/>
    </row>
    <row r="25" spans="1:13" x14ac:dyDescent="0.3">
      <c r="A25" s="2">
        <v>44082</v>
      </c>
      <c r="B25" s="1">
        <v>112.82</v>
      </c>
      <c r="C25" s="1">
        <v>3149.84</v>
      </c>
      <c r="D25" s="22">
        <f t="shared" si="0"/>
        <v>1717.3304989516137</v>
      </c>
      <c r="E25" s="23">
        <f t="shared" si="1"/>
        <v>-80.329289032257975</v>
      </c>
      <c r="F25" s="23">
        <f t="shared" si="2"/>
        <v>80.329289032257975</v>
      </c>
      <c r="G25" s="13"/>
      <c r="H25" s="13">
        <v>19</v>
      </c>
      <c r="I25" s="14">
        <f t="shared" si="3"/>
        <v>7.6212471131639717E-2</v>
      </c>
      <c r="J25" s="13"/>
    </row>
    <row r="26" spans="1:13" x14ac:dyDescent="0.3">
      <c r="A26" s="2">
        <v>44078</v>
      </c>
      <c r="B26" s="1">
        <v>120.96</v>
      </c>
      <c r="C26" s="1">
        <v>3294.62</v>
      </c>
      <c r="D26" s="22">
        <f t="shared" si="0"/>
        <v>1797.6597879838716</v>
      </c>
      <c r="E26" s="23">
        <f t="shared" si="1"/>
        <v>-38.73019593317963</v>
      </c>
      <c r="F26" s="23">
        <f t="shared" si="2"/>
        <v>38.73019593317963</v>
      </c>
      <c r="G26" s="13"/>
      <c r="H26" s="13">
        <v>20</v>
      </c>
      <c r="I26" s="14">
        <f t="shared" si="3"/>
        <v>7.1593533487297925E-2</v>
      </c>
      <c r="J26" s="13"/>
    </row>
    <row r="27" spans="1:13" x14ac:dyDescent="0.3">
      <c r="A27" s="2">
        <v>44077</v>
      </c>
      <c r="B27" s="1">
        <v>120.88</v>
      </c>
      <c r="C27" s="1">
        <v>3368</v>
      </c>
      <c r="D27" s="22">
        <f t="shared" si="0"/>
        <v>1836.3899839170513</v>
      </c>
      <c r="E27" s="23">
        <f t="shared" si="1"/>
        <v>-91.315579418202788</v>
      </c>
      <c r="F27" s="23">
        <f t="shared" si="2"/>
        <v>91.315579418202788</v>
      </c>
      <c r="G27" s="13"/>
      <c r="H27" s="13">
        <v>21</v>
      </c>
      <c r="I27" s="14">
        <f t="shared" si="3"/>
        <v>6.5434949961508851E-2</v>
      </c>
      <c r="J27" s="13"/>
    </row>
    <row r="28" spans="1:13" x14ac:dyDescent="0.3">
      <c r="A28" s="2">
        <v>44076</v>
      </c>
      <c r="B28" s="1">
        <v>131.4</v>
      </c>
      <c r="C28" s="1">
        <v>3531.45</v>
      </c>
      <c r="D28" s="22">
        <f t="shared" si="0"/>
        <v>1927.7055633352541</v>
      </c>
      <c r="E28" s="23">
        <f t="shared" si="1"/>
        <v>15.7692237845622</v>
      </c>
      <c r="F28" s="23">
        <f t="shared" si="2"/>
        <v>-15.7692237845622</v>
      </c>
      <c r="G28" s="13"/>
      <c r="H28" s="13">
        <v>22</v>
      </c>
      <c r="I28" s="14">
        <f t="shared" si="3"/>
        <v>6.4665127020785224E-2</v>
      </c>
      <c r="J28" s="13"/>
    </row>
    <row r="29" spans="1:13" x14ac:dyDescent="0.3">
      <c r="A29" s="2">
        <v>44075</v>
      </c>
      <c r="B29" s="1">
        <v>134.18</v>
      </c>
      <c r="C29" s="1">
        <v>3499.12</v>
      </c>
      <c r="D29" s="22">
        <f t="shared" si="0"/>
        <v>1911.9363395506919</v>
      </c>
      <c r="E29" s="23">
        <f t="shared" si="1"/>
        <v>27.868214389400691</v>
      </c>
      <c r="F29" s="23">
        <f t="shared" si="2"/>
        <v>-27.868214389400691</v>
      </c>
      <c r="G29" s="13"/>
      <c r="H29" s="13">
        <v>23</v>
      </c>
      <c r="I29" s="14">
        <f t="shared" si="3"/>
        <v>6.0046189376443418E-2</v>
      </c>
      <c r="J29" s="13"/>
    </row>
    <row r="30" spans="1:13" x14ac:dyDescent="0.3">
      <c r="A30" s="2">
        <v>44074</v>
      </c>
      <c r="B30" s="1">
        <v>129.04</v>
      </c>
      <c r="C30" s="1">
        <v>3450.96</v>
      </c>
      <c r="D30" s="22">
        <f t="shared" si="0"/>
        <v>1884.0681251612912</v>
      </c>
      <c r="E30" s="23">
        <f t="shared" si="1"/>
        <v>27.96847982286863</v>
      </c>
      <c r="F30" s="23">
        <f t="shared" si="2"/>
        <v>-27.96847982286863</v>
      </c>
      <c r="G30" s="13"/>
      <c r="H30" s="13">
        <v>24</v>
      </c>
      <c r="I30" s="14">
        <f t="shared" si="3"/>
        <v>5.5427251732101619E-2</v>
      </c>
      <c r="J30" s="13"/>
    </row>
    <row r="31" spans="1:13" x14ac:dyDescent="0.3">
      <c r="A31" s="2">
        <v>44071</v>
      </c>
      <c r="B31" s="1">
        <v>124.8075</v>
      </c>
      <c r="C31" s="1">
        <v>3401.8</v>
      </c>
      <c r="D31" s="22">
        <f t="shared" si="0"/>
        <v>1856.0996453384225</v>
      </c>
      <c r="E31" s="23">
        <f t="shared" si="1"/>
        <v>0.85545558611784145</v>
      </c>
      <c r="F31" s="23">
        <f t="shared" si="2"/>
        <v>-0.85545558611784145</v>
      </c>
      <c r="G31" s="13"/>
      <c r="H31" s="13">
        <v>25</v>
      </c>
      <c r="I31" s="14">
        <f t="shared" si="3"/>
        <v>5.4657428791377985E-2</v>
      </c>
      <c r="J31" s="13"/>
    </row>
    <row r="32" spans="1:13" x14ac:dyDescent="0.3">
      <c r="A32" s="2">
        <v>44070</v>
      </c>
      <c r="B32" s="1">
        <v>125.01</v>
      </c>
      <c r="C32" s="1">
        <v>3400</v>
      </c>
      <c r="D32" s="22">
        <f t="shared" si="0"/>
        <v>1855.2441897523047</v>
      </c>
      <c r="E32" s="23">
        <f t="shared" si="1"/>
        <v>-22.823502973790482</v>
      </c>
      <c r="F32" s="23">
        <f t="shared" si="2"/>
        <v>22.823502973790482</v>
      </c>
      <c r="G32" s="13"/>
      <c r="H32" s="13">
        <v>26</v>
      </c>
      <c r="I32" s="14">
        <f t="shared" si="3"/>
        <v>5.3117782909930716E-2</v>
      </c>
      <c r="J32" s="13"/>
    </row>
    <row r="33" spans="1:13" x14ac:dyDescent="0.3">
      <c r="A33" s="2">
        <v>44069</v>
      </c>
      <c r="B33" s="1">
        <v>126.52249999999999</v>
      </c>
      <c r="C33" s="1">
        <v>3441.85</v>
      </c>
      <c r="D33" s="22">
        <f t="shared" si="0"/>
        <v>1878.0676927260952</v>
      </c>
      <c r="E33" s="23">
        <f t="shared" si="1"/>
        <v>51.181028132200709</v>
      </c>
      <c r="F33" s="23">
        <f t="shared" si="2"/>
        <v>-51.181028132200709</v>
      </c>
      <c r="G33" s="13"/>
      <c r="H33" s="13">
        <v>27</v>
      </c>
      <c r="I33" s="14">
        <f t="shared" si="3"/>
        <v>5.1578137028483448E-2</v>
      </c>
      <c r="J33" s="48" t="s">
        <v>34</v>
      </c>
      <c r="K33" s="48" t="s">
        <v>36</v>
      </c>
      <c r="L33" s="48" t="s">
        <v>37</v>
      </c>
      <c r="M33" s="48" t="s">
        <v>38</v>
      </c>
    </row>
    <row r="34" spans="1:13" x14ac:dyDescent="0.3">
      <c r="A34" s="2">
        <v>44068</v>
      </c>
      <c r="B34" s="1">
        <v>124.825</v>
      </c>
      <c r="C34" s="1">
        <v>3346.49</v>
      </c>
      <c r="D34" s="22">
        <f t="shared" si="0"/>
        <v>1826.8866645938945</v>
      </c>
      <c r="E34" s="23">
        <f t="shared" si="1"/>
        <v>20.133215689803819</v>
      </c>
      <c r="F34" s="23">
        <f t="shared" si="2"/>
        <v>-20.133215689803819</v>
      </c>
      <c r="G34" s="13"/>
      <c r="H34" s="25">
        <v>28</v>
      </c>
      <c r="I34" s="24">
        <f t="shared" si="3"/>
        <v>4.9268668206312545E-2</v>
      </c>
      <c r="J34">
        <f t="shared" ref="J34:J97" si="4">COUNTIF($F:$F,"&gt;"&amp;H34)</f>
        <v>64</v>
      </c>
      <c r="K34">
        <f>J34-J35</f>
        <v>3</v>
      </c>
      <c r="L34">
        <f t="shared" ref="L34:L97" si="5">K34/COUNT(F:F)</f>
        <v>2.3094688221709007E-3</v>
      </c>
      <c r="M34">
        <f t="shared" ref="M34:M97" si="6">H34*L34</f>
        <v>6.4665127020785224E-2</v>
      </c>
    </row>
    <row r="35" spans="1:13" x14ac:dyDescent="0.3">
      <c r="A35" s="2">
        <v>44067</v>
      </c>
      <c r="B35" s="1">
        <v>125.8575</v>
      </c>
      <c r="C35" s="1">
        <v>3307.46</v>
      </c>
      <c r="D35" s="22">
        <f t="shared" si="0"/>
        <v>1806.7534489040906</v>
      </c>
      <c r="E35" s="23">
        <f t="shared" si="1"/>
        <v>12.715565465149893</v>
      </c>
      <c r="F35" s="23">
        <f t="shared" si="2"/>
        <v>-12.715565465149893</v>
      </c>
      <c r="G35" s="13"/>
      <c r="H35" s="46">
        <v>29</v>
      </c>
      <c r="I35" s="47">
        <f t="shared" si="3"/>
        <v>4.6959199384141649E-2</v>
      </c>
      <c r="J35">
        <f t="shared" si="4"/>
        <v>61</v>
      </c>
      <c r="K35">
        <f t="shared" ref="K35:K98" si="7">J35-J36</f>
        <v>3</v>
      </c>
      <c r="L35">
        <f t="shared" si="5"/>
        <v>2.3094688221709007E-3</v>
      </c>
      <c r="M35">
        <f t="shared" si="6"/>
        <v>6.6974595842956119E-2</v>
      </c>
    </row>
    <row r="36" spans="1:13" x14ac:dyDescent="0.3">
      <c r="A36" s="2">
        <v>44064</v>
      </c>
      <c r="B36" s="1">
        <v>124.37</v>
      </c>
      <c r="C36" s="1">
        <v>3284.72</v>
      </c>
      <c r="D36" s="22">
        <f t="shared" si="0"/>
        <v>1794.0378834389408</v>
      </c>
      <c r="E36" s="23">
        <f t="shared" si="1"/>
        <v>-3.8083095938941369</v>
      </c>
      <c r="F36" s="23">
        <f t="shared" si="2"/>
        <v>3.8083095938941369</v>
      </c>
      <c r="G36" s="13"/>
      <c r="H36" s="46">
        <v>30</v>
      </c>
      <c r="I36" s="47">
        <f t="shared" si="3"/>
        <v>4.4649730561970746E-2</v>
      </c>
      <c r="J36">
        <f t="shared" si="4"/>
        <v>58</v>
      </c>
      <c r="K36">
        <f t="shared" si="7"/>
        <v>6</v>
      </c>
      <c r="L36">
        <f t="shared" si="5"/>
        <v>4.6189376443418013E-3</v>
      </c>
      <c r="M36">
        <f t="shared" si="6"/>
        <v>0.13856812933025403</v>
      </c>
    </row>
    <row r="37" spans="1:13" x14ac:dyDescent="0.3">
      <c r="A37" s="2">
        <v>44063</v>
      </c>
      <c r="B37" s="1">
        <v>118.27500000000001</v>
      </c>
      <c r="C37" s="1">
        <v>3297.37</v>
      </c>
      <c r="D37" s="22">
        <f t="shared" si="0"/>
        <v>1797.8461930328349</v>
      </c>
      <c r="E37" s="23">
        <f t="shared" si="1"/>
        <v>20.700673834965528</v>
      </c>
      <c r="F37" s="23">
        <f t="shared" si="2"/>
        <v>-20.700673834965528</v>
      </c>
      <c r="G37" s="13"/>
      <c r="H37" s="46">
        <v>31</v>
      </c>
      <c r="I37" s="47">
        <f t="shared" si="3"/>
        <v>4.0030792917628948E-2</v>
      </c>
      <c r="J37">
        <f t="shared" si="4"/>
        <v>52</v>
      </c>
      <c r="K37">
        <f t="shared" si="7"/>
        <v>6</v>
      </c>
      <c r="L37">
        <f t="shared" si="5"/>
        <v>4.6189376443418013E-3</v>
      </c>
      <c r="M37">
        <f t="shared" si="6"/>
        <v>0.14318706697459585</v>
      </c>
    </row>
    <row r="38" spans="1:13" x14ac:dyDescent="0.3">
      <c r="A38" s="2">
        <v>44062</v>
      </c>
      <c r="B38" s="1">
        <v>115.7075</v>
      </c>
      <c r="C38" s="1">
        <v>3260.48</v>
      </c>
      <c r="D38" s="22">
        <f t="shared" si="0"/>
        <v>1777.1455191978694</v>
      </c>
      <c r="E38" s="23">
        <f t="shared" si="1"/>
        <v>-27.409393804723322</v>
      </c>
      <c r="F38" s="23">
        <f t="shared" si="2"/>
        <v>27.409393804723322</v>
      </c>
      <c r="G38" s="13"/>
      <c r="H38" s="46">
        <v>32</v>
      </c>
      <c r="I38" s="47">
        <f t="shared" si="3"/>
        <v>3.5411855273287142E-2</v>
      </c>
      <c r="J38">
        <f t="shared" si="4"/>
        <v>46</v>
      </c>
      <c r="K38">
        <f t="shared" si="7"/>
        <v>2</v>
      </c>
      <c r="L38">
        <f t="shared" si="5"/>
        <v>1.539645881447267E-3</v>
      </c>
      <c r="M38">
        <f t="shared" si="6"/>
        <v>4.9268668206312545E-2</v>
      </c>
    </row>
    <row r="39" spans="1:13" x14ac:dyDescent="0.3">
      <c r="A39" s="2">
        <v>44061</v>
      </c>
      <c r="B39" s="1">
        <v>115.5625</v>
      </c>
      <c r="C39" s="1">
        <v>3312.49</v>
      </c>
      <c r="D39" s="22">
        <f t="shared" si="0"/>
        <v>1804.5549130025927</v>
      </c>
      <c r="E39" s="23">
        <f t="shared" si="1"/>
        <v>69.173983798963036</v>
      </c>
      <c r="F39" s="23">
        <f t="shared" si="2"/>
        <v>-69.173983798963036</v>
      </c>
      <c r="G39" s="13"/>
      <c r="H39" s="46">
        <v>33</v>
      </c>
      <c r="I39" s="47">
        <f t="shared" si="3"/>
        <v>3.3872209391839873E-2</v>
      </c>
      <c r="J39">
        <f t="shared" si="4"/>
        <v>44</v>
      </c>
      <c r="K39">
        <f t="shared" si="7"/>
        <v>4</v>
      </c>
      <c r="L39">
        <f t="shared" si="5"/>
        <v>3.0792917628945341E-3</v>
      </c>
      <c r="M39">
        <f t="shared" si="6"/>
        <v>0.10161662817551963</v>
      </c>
    </row>
    <row r="40" spans="1:13" x14ac:dyDescent="0.3">
      <c r="A40" s="2">
        <v>44060</v>
      </c>
      <c r="B40" s="1">
        <v>114.6075</v>
      </c>
      <c r="C40" s="1">
        <v>3182.41</v>
      </c>
      <c r="D40" s="22">
        <f t="shared" si="0"/>
        <v>1735.3809292036296</v>
      </c>
      <c r="E40" s="23">
        <f t="shared" si="1"/>
        <v>18.027330478110571</v>
      </c>
      <c r="F40" s="23">
        <f t="shared" si="2"/>
        <v>-18.027330478110571</v>
      </c>
      <c r="G40" s="13"/>
      <c r="H40" s="46">
        <v>34</v>
      </c>
      <c r="I40" s="47">
        <f t="shared" si="3"/>
        <v>3.0792917628945343E-2</v>
      </c>
      <c r="J40">
        <f t="shared" si="4"/>
        <v>40</v>
      </c>
      <c r="K40">
        <f t="shared" si="7"/>
        <v>2</v>
      </c>
      <c r="L40">
        <f t="shared" si="5"/>
        <v>1.539645881447267E-3</v>
      </c>
      <c r="M40">
        <f t="shared" si="6"/>
        <v>5.2347959969207082E-2</v>
      </c>
    </row>
    <row r="41" spans="1:13" x14ac:dyDescent="0.3">
      <c r="A41" s="2">
        <v>44057</v>
      </c>
      <c r="B41" s="1">
        <v>114.9075</v>
      </c>
      <c r="C41" s="1">
        <v>3148.02</v>
      </c>
      <c r="D41" s="22">
        <f t="shared" si="0"/>
        <v>1717.3535987255191</v>
      </c>
      <c r="E41" s="23">
        <f t="shared" si="1"/>
        <v>-6.9164736189516134</v>
      </c>
      <c r="F41" s="23">
        <f t="shared" si="2"/>
        <v>6.9164736189516134</v>
      </c>
      <c r="G41" s="13"/>
      <c r="H41" s="46">
        <v>35</v>
      </c>
      <c r="I41" s="47">
        <f t="shared" si="3"/>
        <v>2.9253271747498075E-2</v>
      </c>
      <c r="J41">
        <f t="shared" si="4"/>
        <v>38</v>
      </c>
      <c r="K41">
        <f t="shared" si="7"/>
        <v>3</v>
      </c>
      <c r="L41">
        <f t="shared" si="5"/>
        <v>2.3094688221709007E-3</v>
      </c>
      <c r="M41">
        <f t="shared" si="6"/>
        <v>8.0831408775981523E-2</v>
      </c>
    </row>
    <row r="42" spans="1:13" x14ac:dyDescent="0.3">
      <c r="A42" s="2">
        <v>44056</v>
      </c>
      <c r="B42" s="1">
        <v>115.01</v>
      </c>
      <c r="C42" s="1">
        <v>3161.02</v>
      </c>
      <c r="D42" s="22">
        <f t="shared" si="0"/>
        <v>1724.2700723444707</v>
      </c>
      <c r="E42" s="23">
        <f t="shared" si="1"/>
        <v>0.29881798387100389</v>
      </c>
      <c r="F42" s="23">
        <f t="shared" si="2"/>
        <v>-0.29881798387100389</v>
      </c>
      <c r="G42" s="13"/>
      <c r="H42" s="46">
        <v>36</v>
      </c>
      <c r="I42" s="47">
        <f t="shared" si="3"/>
        <v>2.6943802925327175E-2</v>
      </c>
      <c r="J42">
        <f t="shared" si="4"/>
        <v>35</v>
      </c>
      <c r="K42">
        <f t="shared" si="7"/>
        <v>1</v>
      </c>
      <c r="L42">
        <f t="shared" si="5"/>
        <v>7.6982294072363352E-4</v>
      </c>
      <c r="M42">
        <f t="shared" si="6"/>
        <v>2.7713625866050806E-2</v>
      </c>
    </row>
    <row r="43" spans="1:13" x14ac:dyDescent="0.3">
      <c r="A43" s="2">
        <v>44055</v>
      </c>
      <c r="B43" s="1">
        <v>113.01</v>
      </c>
      <c r="C43" s="1">
        <v>3162.24</v>
      </c>
      <c r="D43" s="22">
        <f t="shared" si="0"/>
        <v>1723.9712543605997</v>
      </c>
      <c r="E43" s="23">
        <f t="shared" si="1"/>
        <v>44.809416281681933</v>
      </c>
      <c r="F43" s="23">
        <f t="shared" si="2"/>
        <v>-44.809416281681933</v>
      </c>
      <c r="G43" s="13"/>
      <c r="H43" s="46">
        <v>37</v>
      </c>
      <c r="I43" s="47">
        <f t="shared" si="3"/>
        <v>2.6173979984603541E-2</v>
      </c>
      <c r="J43">
        <f t="shared" si="4"/>
        <v>34</v>
      </c>
      <c r="K43">
        <f t="shared" si="7"/>
        <v>4</v>
      </c>
      <c r="L43">
        <f t="shared" si="5"/>
        <v>3.0792917628945341E-3</v>
      </c>
      <c r="M43">
        <f t="shared" si="6"/>
        <v>0.11393379522709776</v>
      </c>
    </row>
    <row r="44" spans="1:13" x14ac:dyDescent="0.3">
      <c r="A44" s="2">
        <v>44054</v>
      </c>
      <c r="B44" s="1">
        <v>109.375</v>
      </c>
      <c r="C44" s="1">
        <v>3080.67</v>
      </c>
      <c r="D44" s="22">
        <f t="shared" si="0"/>
        <v>1679.1618380789178</v>
      </c>
      <c r="E44" s="23">
        <f t="shared" si="1"/>
        <v>-37.237409837787936</v>
      </c>
      <c r="F44" s="23">
        <f t="shared" si="2"/>
        <v>37.237409837787936</v>
      </c>
      <c r="G44" s="13"/>
      <c r="H44" s="46">
        <v>38</v>
      </c>
      <c r="I44" s="47">
        <f t="shared" si="3"/>
        <v>2.3094688221709007E-2</v>
      </c>
      <c r="J44">
        <f t="shared" si="4"/>
        <v>30</v>
      </c>
      <c r="K44">
        <f t="shared" si="7"/>
        <v>2</v>
      </c>
      <c r="L44">
        <f t="shared" si="5"/>
        <v>1.539645881447267E-3</v>
      </c>
      <c r="M44">
        <f t="shared" si="6"/>
        <v>5.8506543494996149E-2</v>
      </c>
    </row>
    <row r="45" spans="1:13" x14ac:dyDescent="0.3">
      <c r="A45" s="2">
        <v>44053</v>
      </c>
      <c r="B45" s="1">
        <v>112.7274</v>
      </c>
      <c r="C45" s="1">
        <v>3148.16</v>
      </c>
      <c r="D45" s="22">
        <f t="shared" si="0"/>
        <v>1716.3992479167057</v>
      </c>
      <c r="E45" s="23">
        <f t="shared" si="1"/>
        <v>-9.4348055121545258</v>
      </c>
      <c r="F45" s="23">
        <f t="shared" si="2"/>
        <v>9.4348055121545258</v>
      </c>
      <c r="G45" s="13"/>
      <c r="H45" s="46">
        <v>39</v>
      </c>
      <c r="I45" s="47">
        <f t="shared" si="3"/>
        <v>2.1555042340261739E-2</v>
      </c>
      <c r="J45">
        <f t="shared" si="4"/>
        <v>28</v>
      </c>
      <c r="K45">
        <f t="shared" si="7"/>
        <v>2</v>
      </c>
      <c r="L45">
        <f t="shared" si="5"/>
        <v>1.539645881447267E-3</v>
      </c>
      <c r="M45">
        <f t="shared" si="6"/>
        <v>6.0046189376443411E-2</v>
      </c>
    </row>
    <row r="46" spans="1:13" x14ac:dyDescent="0.3">
      <c r="A46" s="2">
        <v>44050</v>
      </c>
      <c r="B46" s="1">
        <v>111.1125</v>
      </c>
      <c r="C46" s="1">
        <v>3167.46</v>
      </c>
      <c r="D46" s="22">
        <f t="shared" si="0"/>
        <v>1725.8340534288602</v>
      </c>
      <c r="E46" s="23">
        <f t="shared" si="1"/>
        <v>-31.715377448156687</v>
      </c>
      <c r="F46" s="23">
        <f t="shared" si="2"/>
        <v>31.715377448156687</v>
      </c>
      <c r="G46" s="13"/>
      <c r="H46" s="13">
        <v>40</v>
      </c>
      <c r="I46" s="14">
        <f t="shared" si="3"/>
        <v>2.0015396458814474E-2</v>
      </c>
      <c r="J46">
        <f t="shared" si="4"/>
        <v>26</v>
      </c>
      <c r="K46">
        <f t="shared" si="7"/>
        <v>0</v>
      </c>
      <c r="L46">
        <f t="shared" si="5"/>
        <v>0</v>
      </c>
      <c r="M46">
        <f t="shared" si="6"/>
        <v>0</v>
      </c>
    </row>
    <row r="47" spans="1:13" x14ac:dyDescent="0.3">
      <c r="A47" s="2">
        <v>44049</v>
      </c>
      <c r="B47" s="1">
        <v>113.9025</v>
      </c>
      <c r="C47" s="1">
        <v>3225</v>
      </c>
      <c r="D47" s="22">
        <f t="shared" si="0"/>
        <v>1757.5494308770169</v>
      </c>
      <c r="E47" s="23">
        <f t="shared" si="1"/>
        <v>12.361759602534448</v>
      </c>
      <c r="F47" s="23">
        <f t="shared" si="2"/>
        <v>-12.361759602534448</v>
      </c>
      <c r="G47" s="13"/>
      <c r="H47" s="46">
        <v>41</v>
      </c>
      <c r="I47" s="47">
        <f t="shared" si="3"/>
        <v>2.0015396458814474E-2</v>
      </c>
      <c r="J47">
        <f t="shared" si="4"/>
        <v>26</v>
      </c>
      <c r="K47">
        <f t="shared" si="7"/>
        <v>1</v>
      </c>
      <c r="L47">
        <f t="shared" si="5"/>
        <v>7.6982294072363352E-4</v>
      </c>
      <c r="M47">
        <f t="shared" si="6"/>
        <v>3.1562740569668978E-2</v>
      </c>
    </row>
    <row r="48" spans="1:13" x14ac:dyDescent="0.3">
      <c r="A48" s="2">
        <v>44048</v>
      </c>
      <c r="B48" s="1">
        <v>110.0625</v>
      </c>
      <c r="C48" s="1">
        <v>3205.03</v>
      </c>
      <c r="D48" s="22">
        <f t="shared" si="0"/>
        <v>1745.1876712744825</v>
      </c>
      <c r="E48" s="23">
        <f t="shared" si="1"/>
        <v>35.162105470910319</v>
      </c>
      <c r="F48" s="23">
        <f t="shared" si="2"/>
        <v>-35.162105470910319</v>
      </c>
      <c r="G48" s="13"/>
      <c r="H48" s="46">
        <v>42</v>
      </c>
      <c r="I48" s="47">
        <f t="shared" si="3"/>
        <v>1.924557351809084E-2</v>
      </c>
      <c r="J48">
        <f t="shared" si="4"/>
        <v>25</v>
      </c>
      <c r="K48">
        <f t="shared" si="7"/>
        <v>1</v>
      </c>
      <c r="L48">
        <f t="shared" si="5"/>
        <v>7.6982294072363352E-4</v>
      </c>
      <c r="M48">
        <f t="shared" si="6"/>
        <v>3.2332563510392605E-2</v>
      </c>
    </row>
    <row r="49" spans="1:13" x14ac:dyDescent="0.3">
      <c r="A49" s="2">
        <v>44047</v>
      </c>
      <c r="B49" s="1">
        <v>109.66500000000001</v>
      </c>
      <c r="C49" s="1">
        <v>3138.83</v>
      </c>
      <c r="D49" s="22">
        <f t="shared" si="0"/>
        <v>1710.0255658035721</v>
      </c>
      <c r="E49" s="23">
        <f t="shared" si="1"/>
        <v>14.576019750864134</v>
      </c>
      <c r="F49" s="23">
        <f t="shared" si="2"/>
        <v>-14.576019750864134</v>
      </c>
      <c r="G49" s="13"/>
      <c r="H49" s="46">
        <v>43</v>
      </c>
      <c r="I49" s="47">
        <f t="shared" si="3"/>
        <v>1.8475750577367205E-2</v>
      </c>
      <c r="J49">
        <f t="shared" si="4"/>
        <v>24</v>
      </c>
      <c r="K49">
        <f t="shared" si="7"/>
        <v>2</v>
      </c>
      <c r="L49">
        <f t="shared" si="5"/>
        <v>1.539645881447267E-3</v>
      </c>
      <c r="M49">
        <f t="shared" si="6"/>
        <v>6.6204772902232478E-2</v>
      </c>
    </row>
    <row r="50" spans="1:13" x14ac:dyDescent="0.3">
      <c r="A50" s="2">
        <v>44046</v>
      </c>
      <c r="B50" s="1">
        <v>108.9375</v>
      </c>
      <c r="C50" s="1">
        <v>3111.89</v>
      </c>
      <c r="D50" s="22">
        <f t="shared" si="0"/>
        <v>1695.449546052708</v>
      </c>
      <c r="E50" s="23">
        <f t="shared" si="1"/>
        <v>-26.626945180011489</v>
      </c>
      <c r="F50" s="23">
        <f t="shared" si="2"/>
        <v>26.626945180011489</v>
      </c>
      <c r="G50" s="13"/>
      <c r="H50" s="46">
        <v>44</v>
      </c>
      <c r="I50" s="47">
        <f t="shared" si="3"/>
        <v>1.6936104695919937E-2</v>
      </c>
      <c r="J50">
        <f t="shared" si="4"/>
        <v>22</v>
      </c>
      <c r="K50">
        <f t="shared" si="7"/>
        <v>1</v>
      </c>
      <c r="L50">
        <f t="shared" si="5"/>
        <v>7.6982294072363352E-4</v>
      </c>
      <c r="M50">
        <f t="shared" si="6"/>
        <v>3.3872209391839873E-2</v>
      </c>
    </row>
    <row r="51" spans="1:13" x14ac:dyDescent="0.3">
      <c r="A51" s="2">
        <v>44043</v>
      </c>
      <c r="B51" s="1">
        <v>106.26</v>
      </c>
      <c r="C51" s="1">
        <v>3164.68</v>
      </c>
      <c r="D51" s="22">
        <f t="shared" si="0"/>
        <v>1722.0764912327195</v>
      </c>
      <c r="E51" s="23">
        <f t="shared" si="1"/>
        <v>64.34404612327171</v>
      </c>
      <c r="F51" s="23">
        <f t="shared" si="2"/>
        <v>-64.34404612327171</v>
      </c>
      <c r="G51" s="13"/>
      <c r="H51" s="13">
        <v>45</v>
      </c>
      <c r="I51" s="14">
        <f t="shared" si="3"/>
        <v>1.6166281755196306E-2</v>
      </c>
      <c r="J51">
        <f t="shared" si="4"/>
        <v>21</v>
      </c>
      <c r="K51">
        <f t="shared" si="7"/>
        <v>0</v>
      </c>
      <c r="L51">
        <f t="shared" si="5"/>
        <v>0</v>
      </c>
      <c r="M51">
        <f t="shared" si="6"/>
        <v>0</v>
      </c>
    </row>
    <row r="52" spans="1:13" x14ac:dyDescent="0.3">
      <c r="A52" s="2">
        <v>44042</v>
      </c>
      <c r="B52" s="1">
        <v>96.19</v>
      </c>
      <c r="C52" s="1">
        <v>3051.88</v>
      </c>
      <c r="D52" s="22">
        <f t="shared" si="0"/>
        <v>1657.7324451094478</v>
      </c>
      <c r="E52" s="23">
        <f t="shared" si="1"/>
        <v>10.237059216590069</v>
      </c>
      <c r="F52" s="23">
        <f t="shared" si="2"/>
        <v>-10.237059216590069</v>
      </c>
      <c r="G52" s="13"/>
      <c r="H52" s="13">
        <v>46</v>
      </c>
      <c r="I52" s="14">
        <f t="shared" si="3"/>
        <v>1.6166281755196306E-2</v>
      </c>
      <c r="J52">
        <f t="shared" si="4"/>
        <v>21</v>
      </c>
      <c r="K52">
        <f t="shared" si="7"/>
        <v>0</v>
      </c>
      <c r="L52">
        <f t="shared" si="5"/>
        <v>0</v>
      </c>
      <c r="M52">
        <f t="shared" si="6"/>
        <v>0</v>
      </c>
    </row>
    <row r="53" spans="1:13" x14ac:dyDescent="0.3">
      <c r="A53" s="2">
        <v>44041</v>
      </c>
      <c r="B53" s="1">
        <v>95.04</v>
      </c>
      <c r="C53" s="1">
        <v>3033.53</v>
      </c>
      <c r="D53" s="22">
        <f t="shared" si="0"/>
        <v>1647.4953858928577</v>
      </c>
      <c r="E53" s="23">
        <f t="shared" si="1"/>
        <v>18.383270211693343</v>
      </c>
      <c r="F53" s="23">
        <f t="shared" si="2"/>
        <v>-18.383270211693343</v>
      </c>
      <c r="G53" s="13"/>
      <c r="H53" s="46">
        <v>47</v>
      </c>
      <c r="I53" s="47">
        <f t="shared" ref="I53:I106" si="8">COUNTIF($F:$F,"&gt;"&amp;H53)/COUNT(F:F)</f>
        <v>1.6166281755196306E-2</v>
      </c>
      <c r="J53">
        <f t="shared" si="4"/>
        <v>21</v>
      </c>
      <c r="K53">
        <f t="shared" si="7"/>
        <v>1</v>
      </c>
      <c r="L53">
        <f t="shared" si="5"/>
        <v>7.6982294072363352E-4</v>
      </c>
      <c r="M53">
        <f t="shared" si="6"/>
        <v>3.6181678214010776E-2</v>
      </c>
    </row>
    <row r="54" spans="1:13" x14ac:dyDescent="0.3">
      <c r="A54" s="2">
        <v>44040</v>
      </c>
      <c r="B54" s="1">
        <v>93.252499999999998</v>
      </c>
      <c r="C54" s="1">
        <v>3000.33</v>
      </c>
      <c r="D54" s="22">
        <f t="shared" si="0"/>
        <v>1629.1121156811644</v>
      </c>
      <c r="E54" s="23">
        <f t="shared" si="1"/>
        <v>-29.728704364919167</v>
      </c>
      <c r="F54" s="23">
        <f t="shared" si="2"/>
        <v>29.728704364919167</v>
      </c>
      <c r="H54" s="46">
        <v>48</v>
      </c>
      <c r="I54" s="47">
        <f t="shared" si="8"/>
        <v>1.5396458814472672E-2</v>
      </c>
      <c r="J54">
        <f t="shared" si="4"/>
        <v>20</v>
      </c>
      <c r="K54">
        <f t="shared" si="7"/>
        <v>1</v>
      </c>
      <c r="L54">
        <f t="shared" si="5"/>
        <v>7.6982294072363352E-4</v>
      </c>
      <c r="M54">
        <f t="shared" si="6"/>
        <v>3.695150115473441E-2</v>
      </c>
    </row>
    <row r="55" spans="1:13" x14ac:dyDescent="0.3">
      <c r="A55" s="2">
        <v>44039</v>
      </c>
      <c r="B55" s="1">
        <v>94.81</v>
      </c>
      <c r="C55" s="1">
        <v>3055.21</v>
      </c>
      <c r="D55" s="22">
        <f t="shared" si="0"/>
        <v>1658.8408200460835</v>
      </c>
      <c r="E55" s="23">
        <f t="shared" si="1"/>
        <v>25.496438764400864</v>
      </c>
      <c r="F55" s="23">
        <f t="shared" si="2"/>
        <v>-25.496438764400864</v>
      </c>
      <c r="H55" s="46">
        <v>49</v>
      </c>
      <c r="I55" s="47">
        <f t="shared" si="8"/>
        <v>1.4626635873749037E-2</v>
      </c>
      <c r="J55">
        <f t="shared" si="4"/>
        <v>19</v>
      </c>
      <c r="K55">
        <f t="shared" si="7"/>
        <v>1</v>
      </c>
      <c r="L55">
        <f t="shared" si="5"/>
        <v>7.6982294072363352E-4</v>
      </c>
      <c r="M55">
        <f t="shared" si="6"/>
        <v>3.7721324095458045E-2</v>
      </c>
    </row>
    <row r="56" spans="1:13" x14ac:dyDescent="0.3">
      <c r="A56" s="2">
        <v>44036</v>
      </c>
      <c r="B56" s="1">
        <v>92.614999999999995</v>
      </c>
      <c r="C56" s="1">
        <v>3008.91</v>
      </c>
      <c r="D56" s="22">
        <f t="shared" si="0"/>
        <v>1633.3443812816827</v>
      </c>
      <c r="E56" s="23">
        <f t="shared" si="1"/>
        <v>11.704689982718946</v>
      </c>
      <c r="F56" s="23">
        <f t="shared" si="2"/>
        <v>-11.704689982718946</v>
      </c>
      <c r="H56" s="46">
        <v>50</v>
      </c>
      <c r="I56" s="47">
        <f t="shared" si="8"/>
        <v>1.3856812933025405E-2</v>
      </c>
      <c r="J56">
        <f t="shared" si="4"/>
        <v>18</v>
      </c>
      <c r="K56">
        <f t="shared" si="7"/>
        <v>1</v>
      </c>
      <c r="L56">
        <f t="shared" si="5"/>
        <v>7.6982294072363352E-4</v>
      </c>
      <c r="M56">
        <f t="shared" si="6"/>
        <v>3.8491147036181679E-2</v>
      </c>
    </row>
    <row r="57" spans="1:13" x14ac:dyDescent="0.3">
      <c r="A57" s="2">
        <v>44035</v>
      </c>
      <c r="B57" s="1">
        <v>92.844999999999999</v>
      </c>
      <c r="C57" s="1">
        <v>2986.55</v>
      </c>
      <c r="D57" s="22">
        <f t="shared" si="0"/>
        <v>1621.6396912989637</v>
      </c>
      <c r="E57" s="23">
        <f t="shared" si="1"/>
        <v>-61.978434773905519</v>
      </c>
      <c r="F57" s="23">
        <f t="shared" si="2"/>
        <v>61.978434773905519</v>
      </c>
      <c r="H57" s="46">
        <v>51</v>
      </c>
      <c r="I57" s="47">
        <f t="shared" si="8"/>
        <v>1.3086989992301771E-2</v>
      </c>
      <c r="J57">
        <f t="shared" si="4"/>
        <v>17</v>
      </c>
      <c r="K57">
        <f t="shared" si="7"/>
        <v>1</v>
      </c>
      <c r="L57">
        <f t="shared" si="5"/>
        <v>7.6982294072363352E-4</v>
      </c>
      <c r="M57">
        <f t="shared" si="6"/>
        <v>3.9260969976905306E-2</v>
      </c>
    </row>
    <row r="58" spans="1:13" x14ac:dyDescent="0.3">
      <c r="A58" s="2">
        <v>44034</v>
      </c>
      <c r="B58" s="1">
        <v>97.272499999999994</v>
      </c>
      <c r="C58" s="1">
        <v>3099.91</v>
      </c>
      <c r="D58" s="22">
        <f t="shared" si="0"/>
        <v>1683.6181260728692</v>
      </c>
      <c r="E58" s="23">
        <f t="shared" si="1"/>
        <v>-20.148288161002483</v>
      </c>
      <c r="F58" s="23">
        <f t="shared" si="2"/>
        <v>20.148288161002483</v>
      </c>
      <c r="H58" s="46">
        <v>52</v>
      </c>
      <c r="I58" s="47">
        <f t="shared" si="8"/>
        <v>1.2317167051578136E-2</v>
      </c>
      <c r="J58">
        <f t="shared" si="4"/>
        <v>16</v>
      </c>
      <c r="K58">
        <f t="shared" si="7"/>
        <v>2</v>
      </c>
      <c r="L58">
        <f t="shared" si="5"/>
        <v>1.539645881447267E-3</v>
      </c>
      <c r="M58">
        <f t="shared" si="6"/>
        <v>8.0061585835257881E-2</v>
      </c>
    </row>
    <row r="59" spans="1:13" x14ac:dyDescent="0.3">
      <c r="A59" s="2">
        <v>44033</v>
      </c>
      <c r="B59" s="1">
        <v>97</v>
      </c>
      <c r="C59" s="1">
        <v>3138.29</v>
      </c>
      <c r="D59" s="22">
        <f t="shared" si="0"/>
        <v>1703.7664142338717</v>
      </c>
      <c r="E59" s="23">
        <f t="shared" si="1"/>
        <v>-31.573292688652145</v>
      </c>
      <c r="F59" s="23">
        <f t="shared" si="2"/>
        <v>31.573292688652145</v>
      </c>
      <c r="H59" s="13">
        <v>53</v>
      </c>
      <c r="I59" s="14">
        <f t="shared" si="8"/>
        <v>1.0777521170130869E-2</v>
      </c>
      <c r="J59">
        <f t="shared" si="4"/>
        <v>14</v>
      </c>
      <c r="K59">
        <f t="shared" si="7"/>
        <v>0</v>
      </c>
      <c r="L59">
        <f t="shared" si="5"/>
        <v>0</v>
      </c>
      <c r="M59">
        <f t="shared" si="6"/>
        <v>0</v>
      </c>
    </row>
    <row r="60" spans="1:13" x14ac:dyDescent="0.3">
      <c r="A60" s="2">
        <v>44032</v>
      </c>
      <c r="B60" s="1">
        <v>98.357500000000002</v>
      </c>
      <c r="C60" s="1">
        <v>3196.84</v>
      </c>
      <c r="D60" s="22">
        <f t="shared" si="0"/>
        <v>1735.3397069225239</v>
      </c>
      <c r="E60" s="23">
        <f t="shared" si="1"/>
        <v>125.04342255760389</v>
      </c>
      <c r="F60" s="23">
        <f t="shared" si="2"/>
        <v>-125.04342255760389</v>
      </c>
      <c r="H60" s="46">
        <v>54</v>
      </c>
      <c r="I60" s="47">
        <f t="shared" si="8"/>
        <v>1.0777521170130869E-2</v>
      </c>
      <c r="J60">
        <f t="shared" si="4"/>
        <v>14</v>
      </c>
      <c r="K60">
        <f t="shared" si="7"/>
        <v>2</v>
      </c>
      <c r="L60">
        <f t="shared" si="5"/>
        <v>1.539645881447267E-3</v>
      </c>
      <c r="M60">
        <f t="shared" si="6"/>
        <v>8.3140877598152418E-2</v>
      </c>
    </row>
    <row r="61" spans="1:13" x14ac:dyDescent="0.3">
      <c r="A61" s="2">
        <v>44029</v>
      </c>
      <c r="B61" s="1">
        <v>96.327500000000001</v>
      </c>
      <c r="C61" s="1">
        <v>2961.97</v>
      </c>
      <c r="D61" s="22">
        <f t="shared" si="0"/>
        <v>1610.29628436492</v>
      </c>
      <c r="E61" s="23">
        <f t="shared" si="1"/>
        <v>-20.131056949884851</v>
      </c>
      <c r="F61" s="23">
        <f t="shared" si="2"/>
        <v>20.131056949884851</v>
      </c>
      <c r="H61" s="46">
        <v>55</v>
      </c>
      <c r="I61" s="47">
        <f t="shared" si="8"/>
        <v>9.2378752886836026E-3</v>
      </c>
      <c r="J61">
        <f t="shared" si="4"/>
        <v>12</v>
      </c>
      <c r="K61">
        <f t="shared" si="7"/>
        <v>3</v>
      </c>
      <c r="L61">
        <f t="shared" si="5"/>
        <v>2.3094688221709007E-3</v>
      </c>
      <c r="M61">
        <f t="shared" si="6"/>
        <v>0.12702078521939952</v>
      </c>
    </row>
    <row r="62" spans="1:13" x14ac:dyDescent="0.3">
      <c r="A62" s="2">
        <v>44028</v>
      </c>
      <c r="B62" s="1">
        <v>96.522499999999994</v>
      </c>
      <c r="C62" s="1">
        <v>2999.9</v>
      </c>
      <c r="D62" s="22">
        <f t="shared" si="0"/>
        <v>1630.4273413148048</v>
      </c>
      <c r="E62" s="23">
        <f t="shared" si="1"/>
        <v>-5.3062053758640104</v>
      </c>
      <c r="F62" s="23">
        <f t="shared" si="2"/>
        <v>5.3062053758640104</v>
      </c>
      <c r="H62" s="46">
        <v>56</v>
      </c>
      <c r="I62" s="47">
        <f t="shared" si="8"/>
        <v>6.9284064665127024E-3</v>
      </c>
      <c r="J62">
        <f t="shared" si="4"/>
        <v>9</v>
      </c>
      <c r="K62">
        <f t="shared" si="7"/>
        <v>1</v>
      </c>
      <c r="L62">
        <f t="shared" si="5"/>
        <v>7.6982294072363352E-4</v>
      </c>
      <c r="M62">
        <f t="shared" si="6"/>
        <v>4.3110084680523478E-2</v>
      </c>
    </row>
    <row r="63" spans="1:13" x14ac:dyDescent="0.3">
      <c r="A63" s="2">
        <v>44027</v>
      </c>
      <c r="B63" s="1">
        <v>97.724999999999994</v>
      </c>
      <c r="C63" s="1">
        <v>3008.87</v>
      </c>
      <c r="D63" s="22">
        <f t="shared" si="0"/>
        <v>1635.7335466906688</v>
      </c>
      <c r="E63" s="23">
        <f t="shared" si="1"/>
        <v>-39.377637847062033</v>
      </c>
      <c r="F63" s="23">
        <f t="shared" si="2"/>
        <v>39.377637847062033</v>
      </c>
      <c r="H63" s="13">
        <v>57</v>
      </c>
      <c r="I63" s="14">
        <f t="shared" si="8"/>
        <v>6.1585835257890681E-3</v>
      </c>
      <c r="J63">
        <f t="shared" si="4"/>
        <v>8</v>
      </c>
      <c r="K63">
        <f t="shared" si="7"/>
        <v>0</v>
      </c>
      <c r="L63">
        <f t="shared" si="5"/>
        <v>0</v>
      </c>
      <c r="M63">
        <f t="shared" si="6"/>
        <v>0</v>
      </c>
    </row>
    <row r="64" spans="1:13" x14ac:dyDescent="0.3">
      <c r="A64" s="2">
        <v>44026</v>
      </c>
      <c r="B64" s="1">
        <v>97.057500000000005</v>
      </c>
      <c r="C64" s="1">
        <v>3084</v>
      </c>
      <c r="D64" s="22">
        <f t="shared" si="0"/>
        <v>1675.1111845377309</v>
      </c>
      <c r="E64" s="23">
        <f t="shared" si="1"/>
        <v>-9.8210894124424613</v>
      </c>
      <c r="F64" s="23">
        <f t="shared" si="2"/>
        <v>9.8210894124424613</v>
      </c>
      <c r="H64" s="13">
        <v>58</v>
      </c>
      <c r="I64" s="14">
        <f t="shared" si="8"/>
        <v>6.1585835257890681E-3</v>
      </c>
      <c r="J64">
        <f t="shared" si="4"/>
        <v>8</v>
      </c>
      <c r="K64">
        <f t="shared" si="7"/>
        <v>0</v>
      </c>
      <c r="L64">
        <f t="shared" si="5"/>
        <v>0</v>
      </c>
      <c r="M64">
        <f t="shared" si="6"/>
        <v>0</v>
      </c>
    </row>
    <row r="65" spans="1:13" x14ac:dyDescent="0.3">
      <c r="A65" s="2">
        <v>44025</v>
      </c>
      <c r="B65" s="1">
        <v>95.477500000000006</v>
      </c>
      <c r="C65" s="1">
        <v>3104</v>
      </c>
      <c r="D65" s="22">
        <f t="shared" si="0"/>
        <v>1684.9322739501733</v>
      </c>
      <c r="E65" s="23">
        <f t="shared" si="1"/>
        <v>-50.927189598214454</v>
      </c>
      <c r="F65" s="23">
        <f t="shared" si="2"/>
        <v>50.927189598214454</v>
      </c>
      <c r="H65" s="13">
        <v>59</v>
      </c>
      <c r="I65" s="14">
        <f t="shared" si="8"/>
        <v>6.1585835257890681E-3</v>
      </c>
      <c r="J65">
        <f t="shared" si="4"/>
        <v>8</v>
      </c>
      <c r="K65">
        <f t="shared" si="7"/>
        <v>0</v>
      </c>
      <c r="L65">
        <f t="shared" si="5"/>
        <v>0</v>
      </c>
      <c r="M65">
        <f t="shared" si="6"/>
        <v>0</v>
      </c>
    </row>
    <row r="66" spans="1:13" x14ac:dyDescent="0.3">
      <c r="A66" s="2">
        <v>44022</v>
      </c>
      <c r="B66" s="1">
        <v>95.92</v>
      </c>
      <c r="C66" s="1">
        <v>3200</v>
      </c>
      <c r="D66" s="22">
        <f t="shared" si="0"/>
        <v>1735.8594635483878</v>
      </c>
      <c r="E66" s="23">
        <f t="shared" si="1"/>
        <v>9.2888977923387301</v>
      </c>
      <c r="F66" s="23">
        <f t="shared" si="2"/>
        <v>-9.2888977923387301</v>
      </c>
      <c r="H66" s="13">
        <v>60</v>
      </c>
      <c r="I66" s="14">
        <f t="shared" si="8"/>
        <v>6.1585835257890681E-3</v>
      </c>
      <c r="J66">
        <f t="shared" si="4"/>
        <v>8</v>
      </c>
      <c r="K66">
        <f t="shared" si="7"/>
        <v>0</v>
      </c>
      <c r="L66">
        <f t="shared" si="5"/>
        <v>0</v>
      </c>
      <c r="M66">
        <f t="shared" si="6"/>
        <v>0</v>
      </c>
    </row>
    <row r="67" spans="1:13" x14ac:dyDescent="0.3">
      <c r="A67" s="2">
        <v>44021</v>
      </c>
      <c r="B67" s="1">
        <v>95.682500000000005</v>
      </c>
      <c r="C67" s="1">
        <v>3182.63</v>
      </c>
      <c r="D67" s="22">
        <f t="shared" si="0"/>
        <v>1726.5705657560491</v>
      </c>
      <c r="E67" s="23">
        <f t="shared" si="1"/>
        <v>53.795154158986179</v>
      </c>
      <c r="F67" s="23">
        <f t="shared" si="2"/>
        <v>-53.795154158986179</v>
      </c>
      <c r="H67" s="46">
        <v>61</v>
      </c>
      <c r="I67" s="47">
        <f t="shared" si="8"/>
        <v>6.1585835257890681E-3</v>
      </c>
      <c r="J67">
        <f t="shared" si="4"/>
        <v>8</v>
      </c>
      <c r="K67">
        <f t="shared" si="7"/>
        <v>1</v>
      </c>
      <c r="L67">
        <f t="shared" si="5"/>
        <v>7.6982294072363352E-4</v>
      </c>
      <c r="M67">
        <f t="shared" si="6"/>
        <v>4.6959199384141642E-2</v>
      </c>
    </row>
    <row r="68" spans="1:13" x14ac:dyDescent="0.3">
      <c r="A68" s="2">
        <v>44020</v>
      </c>
      <c r="B68" s="1">
        <v>95.342500000000001</v>
      </c>
      <c r="C68" s="1">
        <v>3081.11</v>
      </c>
      <c r="D68" s="22">
        <f t="shared" si="0"/>
        <v>1672.7754115970629</v>
      </c>
      <c r="E68" s="23">
        <f t="shared" si="1"/>
        <v>43.811977177419521</v>
      </c>
      <c r="F68" s="23">
        <f t="shared" si="2"/>
        <v>-43.811977177419521</v>
      </c>
      <c r="H68" s="46">
        <v>62</v>
      </c>
      <c r="I68" s="47">
        <f t="shared" si="8"/>
        <v>5.3887605850654347E-3</v>
      </c>
      <c r="J68">
        <f t="shared" si="4"/>
        <v>7</v>
      </c>
      <c r="K68">
        <f t="shared" si="7"/>
        <v>1</v>
      </c>
      <c r="L68">
        <f t="shared" si="5"/>
        <v>7.6982294072363352E-4</v>
      </c>
      <c r="M68">
        <f t="shared" si="6"/>
        <v>4.7729022324865276E-2</v>
      </c>
    </row>
    <row r="69" spans="1:13" x14ac:dyDescent="0.3">
      <c r="A69" s="2">
        <v>44019</v>
      </c>
      <c r="B69" s="1">
        <v>93.172499999999999</v>
      </c>
      <c r="C69" s="1">
        <v>3000.12</v>
      </c>
      <c r="D69" s="22">
        <f t="shared" si="0"/>
        <v>1628.9634344196434</v>
      </c>
      <c r="E69" s="23">
        <f t="shared" si="1"/>
        <v>-30.208614153225881</v>
      </c>
      <c r="F69" s="23">
        <f t="shared" si="2"/>
        <v>30.208614153225881</v>
      </c>
      <c r="H69" s="13">
        <v>63</v>
      </c>
      <c r="I69" s="14">
        <f t="shared" si="8"/>
        <v>4.6189376443418013E-3</v>
      </c>
      <c r="J69">
        <f t="shared" si="4"/>
        <v>6</v>
      </c>
      <c r="K69">
        <f t="shared" si="7"/>
        <v>0</v>
      </c>
      <c r="L69">
        <f t="shared" si="5"/>
        <v>0</v>
      </c>
      <c r="M69">
        <f t="shared" si="6"/>
        <v>0</v>
      </c>
    </row>
    <row r="70" spans="1:13" x14ac:dyDescent="0.3">
      <c r="A70" s="2">
        <v>44018</v>
      </c>
      <c r="B70" s="1">
        <v>93.462500000000006</v>
      </c>
      <c r="C70" s="1">
        <v>3057.04</v>
      </c>
      <c r="D70" s="22">
        <f t="shared" ref="D70:D133" si="9">$M$16*B70+(1-$M$16)*C70</f>
        <v>1659.1720485728692</v>
      </c>
      <c r="E70" s="23">
        <f t="shared" ref="E70:E133" si="10">D70-D71</f>
        <v>89.240189801267206</v>
      </c>
      <c r="F70" s="23">
        <f t="shared" ref="F70:F133" si="11">-E70</f>
        <v>-89.240189801267206</v>
      </c>
      <c r="H70" s="13">
        <v>64</v>
      </c>
      <c r="I70" s="14">
        <f t="shared" si="8"/>
        <v>4.6189376443418013E-3</v>
      </c>
      <c r="J70">
        <f t="shared" si="4"/>
        <v>6</v>
      </c>
      <c r="K70">
        <f t="shared" si="7"/>
        <v>0</v>
      </c>
      <c r="L70">
        <f t="shared" si="5"/>
        <v>0</v>
      </c>
      <c r="M70">
        <f t="shared" si="6"/>
        <v>0</v>
      </c>
    </row>
    <row r="71" spans="1:13" x14ac:dyDescent="0.3">
      <c r="A71" s="2">
        <v>44014</v>
      </c>
      <c r="B71" s="1">
        <v>91.027500000000003</v>
      </c>
      <c r="C71" s="1">
        <v>2890.3</v>
      </c>
      <c r="D71" s="22">
        <f t="shared" si="9"/>
        <v>1569.931858771602</v>
      </c>
      <c r="E71" s="23">
        <f t="shared" si="10"/>
        <v>6.1284817972350538</v>
      </c>
      <c r="F71" s="23">
        <f t="shared" si="11"/>
        <v>-6.1284817972350538</v>
      </c>
      <c r="H71" s="13">
        <v>65</v>
      </c>
      <c r="I71" s="14">
        <f t="shared" si="8"/>
        <v>4.6189376443418013E-3</v>
      </c>
      <c r="J71">
        <f t="shared" si="4"/>
        <v>6</v>
      </c>
      <c r="K71">
        <f t="shared" si="7"/>
        <v>0</v>
      </c>
      <c r="L71">
        <f t="shared" si="5"/>
        <v>0</v>
      </c>
      <c r="M71">
        <f t="shared" si="6"/>
        <v>0</v>
      </c>
    </row>
    <row r="72" spans="1:13" x14ac:dyDescent="0.3">
      <c r="A72" s="2">
        <v>44013</v>
      </c>
      <c r="B72" s="1">
        <v>91.027500000000003</v>
      </c>
      <c r="C72" s="1">
        <v>2878.7</v>
      </c>
      <c r="D72" s="22">
        <f t="shared" si="9"/>
        <v>1563.803376974367</v>
      </c>
      <c r="E72" s="23">
        <f t="shared" si="10"/>
        <v>63.253324220910145</v>
      </c>
      <c r="F72" s="23">
        <f t="shared" si="11"/>
        <v>-63.253324220910145</v>
      </c>
      <c r="H72" s="13">
        <v>66</v>
      </c>
      <c r="I72" s="14">
        <f t="shared" si="8"/>
        <v>4.6189376443418013E-3</v>
      </c>
      <c r="J72">
        <f t="shared" si="4"/>
        <v>6</v>
      </c>
      <c r="K72">
        <f t="shared" si="7"/>
        <v>0</v>
      </c>
      <c r="L72">
        <f t="shared" si="5"/>
        <v>0</v>
      </c>
      <c r="M72">
        <f t="shared" si="6"/>
        <v>0</v>
      </c>
    </row>
    <row r="73" spans="1:13" x14ac:dyDescent="0.3">
      <c r="A73" s="2">
        <v>44012</v>
      </c>
      <c r="B73" s="1">
        <v>91.2</v>
      </c>
      <c r="C73" s="1">
        <v>2758.82</v>
      </c>
      <c r="D73" s="22">
        <f t="shared" si="9"/>
        <v>1500.5500527534568</v>
      </c>
      <c r="E73" s="23">
        <f t="shared" si="10"/>
        <v>41.797336932603685</v>
      </c>
      <c r="F73" s="23">
        <f t="shared" si="11"/>
        <v>-41.797336932603685</v>
      </c>
      <c r="H73" s="13">
        <v>67</v>
      </c>
      <c r="I73" s="14">
        <f t="shared" si="8"/>
        <v>4.6189376443418013E-3</v>
      </c>
      <c r="J73">
        <f t="shared" si="4"/>
        <v>6</v>
      </c>
      <c r="K73">
        <f t="shared" si="7"/>
        <v>0</v>
      </c>
      <c r="L73">
        <f t="shared" si="5"/>
        <v>0</v>
      </c>
      <c r="M73">
        <f t="shared" si="6"/>
        <v>0</v>
      </c>
    </row>
    <row r="74" spans="1:13" x14ac:dyDescent="0.3">
      <c r="A74" s="2">
        <v>44011</v>
      </c>
      <c r="B74" s="1">
        <v>90.444999999999993</v>
      </c>
      <c r="C74" s="1">
        <v>2680.38</v>
      </c>
      <c r="D74" s="22">
        <f t="shared" si="9"/>
        <v>1458.7527158208532</v>
      </c>
      <c r="E74" s="23">
        <f t="shared" si="10"/>
        <v>-5.6376309749423399</v>
      </c>
      <c r="F74" s="23">
        <f t="shared" si="11"/>
        <v>5.6376309749423399</v>
      </c>
      <c r="H74" s="13">
        <v>68</v>
      </c>
      <c r="I74" s="14">
        <f t="shared" si="8"/>
        <v>4.6189376443418013E-3</v>
      </c>
      <c r="J74">
        <f t="shared" si="4"/>
        <v>6</v>
      </c>
      <c r="K74">
        <f t="shared" si="7"/>
        <v>0</v>
      </c>
      <c r="L74">
        <f t="shared" si="5"/>
        <v>0</v>
      </c>
      <c r="M74">
        <f t="shared" si="6"/>
        <v>0</v>
      </c>
    </row>
    <row r="75" spans="1:13" x14ac:dyDescent="0.3">
      <c r="A75" s="2">
        <v>44008</v>
      </c>
      <c r="B75" s="1">
        <v>88.407499999999999</v>
      </c>
      <c r="C75" s="1">
        <v>2692.87</v>
      </c>
      <c r="D75" s="22">
        <f t="shared" si="9"/>
        <v>1464.3903467957955</v>
      </c>
      <c r="E75" s="23">
        <f t="shared" si="10"/>
        <v>-33.924357023329321</v>
      </c>
      <c r="F75" s="23">
        <f t="shared" si="11"/>
        <v>33.924357023329321</v>
      </c>
      <c r="H75" s="13">
        <v>69</v>
      </c>
      <c r="I75" s="14">
        <f t="shared" si="8"/>
        <v>4.6189376443418013E-3</v>
      </c>
      <c r="J75">
        <f t="shared" si="4"/>
        <v>6</v>
      </c>
      <c r="K75">
        <f t="shared" si="7"/>
        <v>0</v>
      </c>
      <c r="L75">
        <f t="shared" si="5"/>
        <v>0</v>
      </c>
      <c r="M75">
        <f t="shared" si="6"/>
        <v>0</v>
      </c>
    </row>
    <row r="76" spans="1:13" x14ac:dyDescent="0.3">
      <c r="A76" s="2">
        <v>44007</v>
      </c>
      <c r="B76" s="1">
        <v>91.21</v>
      </c>
      <c r="C76" s="1">
        <v>2754.58</v>
      </c>
      <c r="D76" s="22">
        <f t="shared" si="9"/>
        <v>1498.3147038191248</v>
      </c>
      <c r="E76" s="23">
        <f t="shared" si="10"/>
        <v>11.225105769008906</v>
      </c>
      <c r="F76" s="23">
        <f t="shared" si="11"/>
        <v>-11.225105769008906</v>
      </c>
      <c r="H76" s="46">
        <v>70</v>
      </c>
      <c r="I76" s="47">
        <f t="shared" si="8"/>
        <v>4.6189376443418013E-3</v>
      </c>
      <c r="J76">
        <f t="shared" si="4"/>
        <v>6</v>
      </c>
      <c r="K76">
        <f t="shared" si="7"/>
        <v>1</v>
      </c>
      <c r="L76">
        <f t="shared" si="5"/>
        <v>7.6982294072363352E-4</v>
      </c>
      <c r="M76">
        <f t="shared" si="6"/>
        <v>5.3887605850654344E-2</v>
      </c>
    </row>
    <row r="77" spans="1:13" x14ac:dyDescent="0.3">
      <c r="A77" s="2">
        <v>44006</v>
      </c>
      <c r="B77" s="1">
        <v>90.015000000000001</v>
      </c>
      <c r="C77" s="1">
        <v>2734.4</v>
      </c>
      <c r="D77" s="22">
        <f t="shared" si="9"/>
        <v>1487.0895980501159</v>
      </c>
      <c r="E77" s="23">
        <f t="shared" si="10"/>
        <v>-16.617751674827105</v>
      </c>
      <c r="F77" s="23">
        <f t="shared" si="11"/>
        <v>16.617751674827105</v>
      </c>
      <c r="H77" s="13">
        <v>71</v>
      </c>
      <c r="I77" s="14">
        <f t="shared" si="8"/>
        <v>3.8491147036181679E-3</v>
      </c>
      <c r="J77">
        <f t="shared" si="4"/>
        <v>5</v>
      </c>
      <c r="K77">
        <f t="shared" si="7"/>
        <v>0</v>
      </c>
      <c r="L77">
        <f t="shared" si="5"/>
        <v>0</v>
      </c>
      <c r="M77">
        <f t="shared" si="6"/>
        <v>0</v>
      </c>
    </row>
    <row r="78" spans="1:13" x14ac:dyDescent="0.3">
      <c r="A78" s="2">
        <v>44005</v>
      </c>
      <c r="B78" s="1">
        <v>91.632499999999993</v>
      </c>
      <c r="C78" s="1">
        <v>2764.41</v>
      </c>
      <c r="D78" s="22">
        <f t="shared" si="9"/>
        <v>1503.707349724943</v>
      </c>
      <c r="E78" s="23">
        <f t="shared" si="10"/>
        <v>27.630849265552797</v>
      </c>
      <c r="F78" s="23">
        <f t="shared" si="11"/>
        <v>-27.630849265552797</v>
      </c>
      <c r="H78" s="13">
        <v>72</v>
      </c>
      <c r="I78" s="14">
        <f t="shared" si="8"/>
        <v>3.8491147036181679E-3</v>
      </c>
      <c r="J78">
        <f t="shared" si="4"/>
        <v>5</v>
      </c>
      <c r="K78">
        <f t="shared" si="7"/>
        <v>0</v>
      </c>
      <c r="L78">
        <f t="shared" si="5"/>
        <v>0</v>
      </c>
      <c r="M78">
        <f t="shared" si="6"/>
        <v>0</v>
      </c>
    </row>
    <row r="79" spans="1:13" x14ac:dyDescent="0.3">
      <c r="A79" s="2">
        <v>44004</v>
      </c>
      <c r="B79" s="1">
        <v>89.717500000000001</v>
      </c>
      <c r="C79" s="1">
        <v>2713.82</v>
      </c>
      <c r="D79" s="22">
        <f t="shared" si="9"/>
        <v>1476.0765004593902</v>
      </c>
      <c r="E79" s="23">
        <f t="shared" si="10"/>
        <v>21.582972106854868</v>
      </c>
      <c r="F79" s="23">
        <f t="shared" si="11"/>
        <v>-21.582972106854868</v>
      </c>
      <c r="H79" s="13">
        <v>73</v>
      </c>
      <c r="I79" s="14">
        <f t="shared" si="8"/>
        <v>3.8491147036181679E-3</v>
      </c>
      <c r="J79">
        <f t="shared" si="4"/>
        <v>5</v>
      </c>
      <c r="K79">
        <f t="shared" si="7"/>
        <v>0</v>
      </c>
      <c r="L79">
        <f t="shared" si="5"/>
        <v>0</v>
      </c>
      <c r="M79">
        <f t="shared" si="6"/>
        <v>0</v>
      </c>
    </row>
    <row r="80" spans="1:13" x14ac:dyDescent="0.3">
      <c r="A80" s="2">
        <v>44001</v>
      </c>
      <c r="B80" s="1">
        <v>87.43</v>
      </c>
      <c r="C80" s="1">
        <v>2675.01</v>
      </c>
      <c r="D80" s="22">
        <f t="shared" si="9"/>
        <v>1454.4935283525353</v>
      </c>
      <c r="E80" s="23">
        <f t="shared" si="10"/>
        <v>10.873494336117574</v>
      </c>
      <c r="F80" s="23">
        <f t="shared" si="11"/>
        <v>-10.873494336117574</v>
      </c>
      <c r="H80" s="46">
        <v>74</v>
      </c>
      <c r="I80" s="47">
        <f t="shared" si="8"/>
        <v>3.8491147036181679E-3</v>
      </c>
      <c r="J80">
        <f t="shared" si="4"/>
        <v>5</v>
      </c>
      <c r="K80">
        <f t="shared" si="7"/>
        <v>1</v>
      </c>
      <c r="L80">
        <f t="shared" si="5"/>
        <v>7.6982294072363352E-4</v>
      </c>
      <c r="M80">
        <f t="shared" si="6"/>
        <v>5.6966897613548881E-2</v>
      </c>
    </row>
    <row r="81" spans="1:13" x14ac:dyDescent="0.3">
      <c r="A81" s="2">
        <v>44000</v>
      </c>
      <c r="B81" s="1">
        <v>87.932500000000005</v>
      </c>
      <c r="C81" s="1">
        <v>2653.98</v>
      </c>
      <c r="D81" s="22">
        <f t="shared" si="9"/>
        <v>1443.6200340164178</v>
      </c>
      <c r="E81" s="23">
        <f t="shared" si="10"/>
        <v>6.884635043202934</v>
      </c>
      <c r="F81" s="23">
        <f t="shared" si="11"/>
        <v>-6.884635043202934</v>
      </c>
      <c r="H81" s="13">
        <v>75</v>
      </c>
      <c r="I81" s="14">
        <f t="shared" si="8"/>
        <v>3.0792917628945341E-3</v>
      </c>
      <c r="J81">
        <f t="shared" si="4"/>
        <v>4</v>
      </c>
      <c r="K81">
        <f t="shared" si="7"/>
        <v>0</v>
      </c>
      <c r="L81">
        <f t="shared" si="5"/>
        <v>0</v>
      </c>
      <c r="M81">
        <f t="shared" si="6"/>
        <v>0</v>
      </c>
    </row>
    <row r="82" spans="1:13" x14ac:dyDescent="0.3">
      <c r="A82" s="2">
        <v>43999</v>
      </c>
      <c r="B82" s="1">
        <v>87.897499999999994</v>
      </c>
      <c r="C82" s="1">
        <v>2640.98</v>
      </c>
      <c r="D82" s="22">
        <f t="shared" si="9"/>
        <v>1436.7353989732148</v>
      </c>
      <c r="E82" s="23">
        <f t="shared" si="10"/>
        <v>13.525259140265007</v>
      </c>
      <c r="F82" s="23">
        <f t="shared" si="11"/>
        <v>-13.525259140265007</v>
      </c>
      <c r="H82" s="13">
        <v>76</v>
      </c>
      <c r="I82" s="14">
        <f t="shared" si="8"/>
        <v>3.0792917628945341E-3</v>
      </c>
      <c r="J82">
        <f t="shared" si="4"/>
        <v>4</v>
      </c>
      <c r="K82">
        <f t="shared" si="7"/>
        <v>0</v>
      </c>
      <c r="L82">
        <f t="shared" si="5"/>
        <v>0</v>
      </c>
      <c r="M82">
        <f t="shared" si="6"/>
        <v>0</v>
      </c>
    </row>
    <row r="83" spans="1:13" x14ac:dyDescent="0.3">
      <c r="A83" s="2">
        <v>43998</v>
      </c>
      <c r="B83" s="1">
        <v>88.02</v>
      </c>
      <c r="C83" s="1">
        <v>2615.27</v>
      </c>
      <c r="D83" s="22">
        <f t="shared" si="9"/>
        <v>1423.2101398329498</v>
      </c>
      <c r="E83" s="23">
        <f t="shared" si="10"/>
        <v>23.572936625864031</v>
      </c>
      <c r="F83" s="23">
        <f t="shared" si="11"/>
        <v>-23.572936625864031</v>
      </c>
      <c r="H83" s="13">
        <v>77</v>
      </c>
      <c r="I83" s="14">
        <f t="shared" si="8"/>
        <v>3.0792917628945341E-3</v>
      </c>
      <c r="J83">
        <f t="shared" si="4"/>
        <v>4</v>
      </c>
      <c r="K83">
        <f t="shared" si="7"/>
        <v>0</v>
      </c>
      <c r="L83">
        <f t="shared" si="5"/>
        <v>0</v>
      </c>
      <c r="M83">
        <f t="shared" si="6"/>
        <v>0</v>
      </c>
    </row>
    <row r="84" spans="1:13" x14ac:dyDescent="0.3">
      <c r="A84" s="2">
        <v>43997</v>
      </c>
      <c r="B84" s="1">
        <v>85.747500000000002</v>
      </c>
      <c r="C84" s="1">
        <v>2572.6799999999998</v>
      </c>
      <c r="D84" s="22">
        <f t="shared" si="9"/>
        <v>1399.6372032070858</v>
      </c>
      <c r="E84" s="23">
        <f t="shared" si="10"/>
        <v>15.107346709389503</v>
      </c>
      <c r="F84" s="23">
        <f t="shared" si="11"/>
        <v>-15.107346709389503</v>
      </c>
      <c r="H84" s="13">
        <v>78</v>
      </c>
      <c r="I84" s="14">
        <f t="shared" si="8"/>
        <v>3.0792917628945341E-3</v>
      </c>
      <c r="J84">
        <f t="shared" si="4"/>
        <v>4</v>
      </c>
      <c r="K84">
        <f t="shared" si="7"/>
        <v>0</v>
      </c>
      <c r="L84">
        <f t="shared" si="5"/>
        <v>0</v>
      </c>
      <c r="M84">
        <f t="shared" si="6"/>
        <v>0</v>
      </c>
    </row>
    <row r="85" spans="1:13" x14ac:dyDescent="0.3">
      <c r="A85" s="2">
        <v>43994</v>
      </c>
      <c r="B85" s="1">
        <v>84.7</v>
      </c>
      <c r="C85" s="1">
        <v>2545.02</v>
      </c>
      <c r="D85" s="22">
        <f t="shared" si="9"/>
        <v>1384.5298564976963</v>
      </c>
      <c r="E85" s="23">
        <f t="shared" si="10"/>
        <v>-6.4944572206222801</v>
      </c>
      <c r="F85" s="23">
        <f t="shared" si="11"/>
        <v>6.4944572206222801</v>
      </c>
      <c r="H85" s="46">
        <v>79</v>
      </c>
      <c r="I85" s="47">
        <f t="shared" si="8"/>
        <v>3.0792917628945341E-3</v>
      </c>
      <c r="J85">
        <f t="shared" si="4"/>
        <v>4</v>
      </c>
      <c r="K85">
        <f t="shared" si="7"/>
        <v>1</v>
      </c>
      <c r="L85">
        <f t="shared" si="5"/>
        <v>7.6982294072363352E-4</v>
      </c>
      <c r="M85">
        <f t="shared" si="6"/>
        <v>6.0816012317167045E-2</v>
      </c>
    </row>
    <row r="86" spans="1:13" x14ac:dyDescent="0.3">
      <c r="A86" s="2">
        <v>43993</v>
      </c>
      <c r="B86" s="1">
        <v>83.974999999999994</v>
      </c>
      <c r="C86" s="1">
        <v>2557.96</v>
      </c>
      <c r="D86" s="22">
        <f t="shared" si="9"/>
        <v>1391.0243137183186</v>
      </c>
      <c r="E86" s="23">
        <f t="shared" si="10"/>
        <v>-49.276699622695787</v>
      </c>
      <c r="F86" s="23">
        <f t="shared" si="11"/>
        <v>49.276699622695787</v>
      </c>
      <c r="H86" s="46">
        <v>80</v>
      </c>
      <c r="I86" s="47">
        <f t="shared" si="8"/>
        <v>2.3094688221709007E-3</v>
      </c>
      <c r="J86">
        <f t="shared" si="4"/>
        <v>3</v>
      </c>
      <c r="K86">
        <f t="shared" si="7"/>
        <v>1</v>
      </c>
      <c r="L86">
        <f t="shared" si="5"/>
        <v>7.6982294072363352E-4</v>
      </c>
      <c r="M86">
        <f t="shared" si="6"/>
        <v>6.158583525789068E-2</v>
      </c>
    </row>
    <row r="87" spans="1:13" x14ac:dyDescent="0.3">
      <c r="A87" s="2">
        <v>43992</v>
      </c>
      <c r="B87" s="1">
        <v>88.21</v>
      </c>
      <c r="C87" s="1">
        <v>2647.45</v>
      </c>
      <c r="D87" s="22">
        <f t="shared" si="9"/>
        <v>1440.3010133410144</v>
      </c>
      <c r="E87" s="23">
        <f t="shared" si="10"/>
        <v>25.65790525489615</v>
      </c>
      <c r="F87" s="23">
        <f t="shared" si="11"/>
        <v>-25.65790525489615</v>
      </c>
      <c r="H87" s="13">
        <v>81</v>
      </c>
      <c r="I87" s="14">
        <f t="shared" si="8"/>
        <v>1.539645881447267E-3</v>
      </c>
      <c r="J87">
        <f t="shared" si="4"/>
        <v>2</v>
      </c>
      <c r="K87">
        <f t="shared" si="7"/>
        <v>0</v>
      </c>
      <c r="L87">
        <f t="shared" si="5"/>
        <v>0</v>
      </c>
      <c r="M87">
        <f t="shared" si="6"/>
        <v>0</v>
      </c>
    </row>
    <row r="88" spans="1:13" x14ac:dyDescent="0.3">
      <c r="A88" s="2">
        <v>43991</v>
      </c>
      <c r="B88" s="1">
        <v>85.997500000000002</v>
      </c>
      <c r="C88" s="1">
        <v>2600.86</v>
      </c>
      <c r="D88" s="22">
        <f t="shared" si="9"/>
        <v>1414.6431080861182</v>
      </c>
      <c r="E88" s="23">
        <f t="shared" si="10"/>
        <v>41.816480491071616</v>
      </c>
      <c r="F88" s="23">
        <f t="shared" si="11"/>
        <v>-41.816480491071616</v>
      </c>
      <c r="H88" s="13">
        <v>82</v>
      </c>
      <c r="I88" s="14">
        <f t="shared" si="8"/>
        <v>1.539645881447267E-3</v>
      </c>
      <c r="J88">
        <f t="shared" si="4"/>
        <v>2</v>
      </c>
      <c r="K88">
        <f t="shared" si="7"/>
        <v>0</v>
      </c>
      <c r="L88">
        <f t="shared" si="5"/>
        <v>0</v>
      </c>
      <c r="M88">
        <f t="shared" si="6"/>
        <v>0</v>
      </c>
    </row>
    <row r="89" spans="1:13" x14ac:dyDescent="0.3">
      <c r="A89" s="2">
        <v>43990</v>
      </c>
      <c r="B89" s="1">
        <v>83.364999999999995</v>
      </c>
      <c r="C89" s="1">
        <v>2524.06</v>
      </c>
      <c r="D89" s="22">
        <f t="shared" si="9"/>
        <v>1372.8266275950466</v>
      </c>
      <c r="E89" s="23">
        <f t="shared" si="10"/>
        <v>21.923836768433148</v>
      </c>
      <c r="F89" s="23">
        <f t="shared" si="11"/>
        <v>-21.923836768433148</v>
      </c>
      <c r="H89" s="13">
        <v>83</v>
      </c>
      <c r="I89" s="14">
        <f t="shared" si="8"/>
        <v>1.539645881447267E-3</v>
      </c>
      <c r="J89">
        <f t="shared" si="4"/>
        <v>2</v>
      </c>
      <c r="K89">
        <f t="shared" si="7"/>
        <v>0</v>
      </c>
      <c r="L89">
        <f t="shared" si="5"/>
        <v>0</v>
      </c>
      <c r="M89">
        <f t="shared" si="6"/>
        <v>0</v>
      </c>
    </row>
    <row r="90" spans="1:13" x14ac:dyDescent="0.3">
      <c r="A90" s="2">
        <v>43987</v>
      </c>
      <c r="B90" s="1">
        <v>82.875</v>
      </c>
      <c r="C90" s="1">
        <v>2483</v>
      </c>
      <c r="D90" s="22">
        <f t="shared" si="9"/>
        <v>1350.9027908266135</v>
      </c>
      <c r="E90" s="23">
        <f t="shared" si="10"/>
        <v>12.916821252880254</v>
      </c>
      <c r="F90" s="23">
        <f t="shared" si="11"/>
        <v>-12.916821252880254</v>
      </c>
      <c r="H90" s="13">
        <v>84</v>
      </c>
      <c r="I90" s="14">
        <f t="shared" si="8"/>
        <v>1.539645881447267E-3</v>
      </c>
      <c r="J90">
        <f t="shared" si="4"/>
        <v>2</v>
      </c>
      <c r="K90">
        <f t="shared" si="7"/>
        <v>0</v>
      </c>
      <c r="L90">
        <f t="shared" si="5"/>
        <v>0</v>
      </c>
      <c r="M90">
        <f t="shared" si="6"/>
        <v>0</v>
      </c>
    </row>
    <row r="91" spans="1:13" x14ac:dyDescent="0.3">
      <c r="A91" s="2">
        <v>43986</v>
      </c>
      <c r="B91" s="1">
        <v>80.58</v>
      </c>
      <c r="C91" s="1">
        <v>2460.6</v>
      </c>
      <c r="D91" s="22">
        <f t="shared" si="9"/>
        <v>1337.9859695737332</v>
      </c>
      <c r="E91" s="23">
        <f t="shared" si="10"/>
        <v>-9.7342274769584947</v>
      </c>
      <c r="F91" s="23">
        <f t="shared" si="11"/>
        <v>9.7342274769584947</v>
      </c>
      <c r="H91" s="13">
        <v>85</v>
      </c>
      <c r="I91" s="14">
        <f t="shared" si="8"/>
        <v>1.539645881447267E-3</v>
      </c>
      <c r="J91">
        <f t="shared" si="4"/>
        <v>2</v>
      </c>
      <c r="K91">
        <f t="shared" si="7"/>
        <v>0</v>
      </c>
      <c r="L91">
        <f t="shared" si="5"/>
        <v>0</v>
      </c>
      <c r="M91">
        <f t="shared" si="6"/>
        <v>0</v>
      </c>
    </row>
    <row r="92" spans="1:13" x14ac:dyDescent="0.3">
      <c r="A92" s="2">
        <v>43985</v>
      </c>
      <c r="B92" s="1">
        <v>81.28</v>
      </c>
      <c r="C92" s="1">
        <v>2478.4</v>
      </c>
      <c r="D92" s="22">
        <f t="shared" si="9"/>
        <v>1347.7201970506917</v>
      </c>
      <c r="E92" s="23">
        <f t="shared" si="10"/>
        <v>3.3745199625575424</v>
      </c>
      <c r="F92" s="23">
        <f t="shared" si="11"/>
        <v>-3.3745199625575424</v>
      </c>
      <c r="H92" s="13">
        <v>86</v>
      </c>
      <c r="I92" s="14">
        <f t="shared" si="8"/>
        <v>1.539645881447267E-3</v>
      </c>
      <c r="J92">
        <f t="shared" si="4"/>
        <v>2</v>
      </c>
      <c r="K92">
        <f t="shared" si="7"/>
        <v>0</v>
      </c>
      <c r="L92">
        <f t="shared" si="5"/>
        <v>0</v>
      </c>
      <c r="M92">
        <f t="shared" si="6"/>
        <v>0</v>
      </c>
    </row>
    <row r="93" spans="1:13" x14ac:dyDescent="0.3">
      <c r="A93" s="2">
        <v>43984</v>
      </c>
      <c r="B93" s="1">
        <v>80.834999999999994</v>
      </c>
      <c r="C93" s="1">
        <v>2472.41</v>
      </c>
      <c r="D93" s="22">
        <f t="shared" si="9"/>
        <v>1344.3456770881342</v>
      </c>
      <c r="E93" s="23">
        <f t="shared" si="10"/>
        <v>0.89949660282263721</v>
      </c>
      <c r="F93" s="23">
        <f t="shared" si="11"/>
        <v>-0.89949660282263721</v>
      </c>
      <c r="H93" s="13">
        <v>87</v>
      </c>
      <c r="I93" s="14">
        <f t="shared" si="8"/>
        <v>1.539645881447267E-3</v>
      </c>
      <c r="J93">
        <f t="shared" si="4"/>
        <v>2</v>
      </c>
      <c r="K93">
        <f t="shared" si="7"/>
        <v>0</v>
      </c>
      <c r="L93">
        <f t="shared" si="5"/>
        <v>0</v>
      </c>
      <c r="M93">
        <f t="shared" si="6"/>
        <v>0</v>
      </c>
    </row>
    <row r="94" spans="1:13" x14ac:dyDescent="0.3">
      <c r="A94" s="2">
        <v>43983</v>
      </c>
      <c r="B94" s="1">
        <v>80.462500000000006</v>
      </c>
      <c r="C94" s="1">
        <v>2471.04</v>
      </c>
      <c r="D94" s="22">
        <f t="shared" si="9"/>
        <v>1343.4461804853115</v>
      </c>
      <c r="E94" s="23">
        <f t="shared" si="10"/>
        <v>15.607929497407895</v>
      </c>
      <c r="F94" s="23">
        <f t="shared" si="11"/>
        <v>-15.607929497407895</v>
      </c>
      <c r="H94" s="13">
        <v>88</v>
      </c>
      <c r="I94" s="14">
        <f t="shared" si="8"/>
        <v>1.539645881447267E-3</v>
      </c>
      <c r="J94">
        <f t="shared" si="4"/>
        <v>2</v>
      </c>
      <c r="K94">
        <f t="shared" si="7"/>
        <v>0</v>
      </c>
      <c r="L94">
        <f t="shared" si="5"/>
        <v>0</v>
      </c>
      <c r="M94">
        <f t="shared" si="6"/>
        <v>0</v>
      </c>
    </row>
    <row r="95" spans="1:13" x14ac:dyDescent="0.3">
      <c r="A95" s="2">
        <v>43980</v>
      </c>
      <c r="B95" s="1">
        <v>79.484999999999999</v>
      </c>
      <c r="C95" s="1">
        <v>2442.37</v>
      </c>
      <c r="D95" s="22">
        <f t="shared" si="9"/>
        <v>1327.8382509879036</v>
      </c>
      <c r="E95" s="23">
        <f t="shared" si="10"/>
        <v>21.767103544066686</v>
      </c>
      <c r="F95" s="23">
        <f t="shared" si="11"/>
        <v>-21.767103544066686</v>
      </c>
      <c r="H95" s="13">
        <v>89</v>
      </c>
      <c r="I95" s="14">
        <f t="shared" si="8"/>
        <v>1.539645881447267E-3</v>
      </c>
      <c r="J95">
        <f t="shared" si="4"/>
        <v>2</v>
      </c>
      <c r="K95">
        <f t="shared" si="7"/>
        <v>0</v>
      </c>
      <c r="L95">
        <f t="shared" si="5"/>
        <v>0</v>
      </c>
      <c r="M95">
        <f t="shared" si="6"/>
        <v>0</v>
      </c>
    </row>
    <row r="96" spans="1:13" x14ac:dyDescent="0.3">
      <c r="A96" s="2">
        <v>43979</v>
      </c>
      <c r="B96" s="1">
        <v>79.5625</v>
      </c>
      <c r="C96" s="1">
        <v>2401.1</v>
      </c>
      <c r="D96" s="22">
        <f t="shared" si="9"/>
        <v>1306.0711474438369</v>
      </c>
      <c r="E96" s="23">
        <f t="shared" si="10"/>
        <v>-4.8915597206221264</v>
      </c>
      <c r="F96" s="23">
        <f t="shared" si="11"/>
        <v>4.8915597206221264</v>
      </c>
      <c r="H96" s="13">
        <v>90</v>
      </c>
      <c r="I96" s="14">
        <f t="shared" si="8"/>
        <v>1.539645881447267E-3</v>
      </c>
      <c r="J96">
        <f t="shared" si="4"/>
        <v>2</v>
      </c>
      <c r="K96">
        <f t="shared" si="7"/>
        <v>0</v>
      </c>
      <c r="L96">
        <f t="shared" si="5"/>
        <v>0</v>
      </c>
      <c r="M96">
        <f t="shared" si="6"/>
        <v>0</v>
      </c>
    </row>
    <row r="97" spans="1:13" x14ac:dyDescent="0.3">
      <c r="A97" s="2">
        <v>43978</v>
      </c>
      <c r="B97" s="1">
        <v>79.527500000000003</v>
      </c>
      <c r="C97" s="1">
        <v>2410.39</v>
      </c>
      <c r="D97" s="22">
        <f t="shared" si="9"/>
        <v>1310.9627071644591</v>
      </c>
      <c r="E97" s="23">
        <f t="shared" si="10"/>
        <v>-5.8970700374425178</v>
      </c>
      <c r="F97" s="23">
        <f t="shared" si="11"/>
        <v>5.8970700374425178</v>
      </c>
      <c r="H97" s="46">
        <v>91</v>
      </c>
      <c r="I97" s="47">
        <f t="shared" si="8"/>
        <v>1.539645881447267E-3</v>
      </c>
      <c r="J97">
        <f t="shared" si="4"/>
        <v>2</v>
      </c>
      <c r="K97">
        <f t="shared" si="7"/>
        <v>1</v>
      </c>
      <c r="L97">
        <f t="shared" si="5"/>
        <v>7.6982294072363352E-4</v>
      </c>
      <c r="M97">
        <f t="shared" si="6"/>
        <v>7.0053887605850657E-2</v>
      </c>
    </row>
    <row r="98" spans="1:13" x14ac:dyDescent="0.3">
      <c r="A98" s="2">
        <v>43977</v>
      </c>
      <c r="B98" s="1">
        <v>79.182500000000005</v>
      </c>
      <c r="C98" s="1">
        <v>2421.86</v>
      </c>
      <c r="D98" s="22">
        <f t="shared" si="9"/>
        <v>1316.8597772019016</v>
      </c>
      <c r="E98" s="23">
        <f t="shared" si="10"/>
        <v>-8.1900358986174524</v>
      </c>
      <c r="F98" s="23">
        <f t="shared" si="11"/>
        <v>8.1900358986174524</v>
      </c>
      <c r="H98" s="13">
        <v>92</v>
      </c>
      <c r="I98" s="14">
        <f t="shared" si="8"/>
        <v>7.6982294072363352E-4</v>
      </c>
      <c r="J98">
        <f t="shared" ref="J98:J104" si="12">COUNTIF($F:$F,"&gt;"&amp;H98)</f>
        <v>1</v>
      </c>
      <c r="K98">
        <f t="shared" si="7"/>
        <v>0</v>
      </c>
      <c r="L98">
        <f t="shared" ref="L98:L104" si="13">K98/COUNT(F:F)</f>
        <v>0</v>
      </c>
      <c r="M98">
        <f t="shared" ref="M98:M104" si="14">H98*L98</f>
        <v>0</v>
      </c>
    </row>
    <row r="99" spans="1:13" x14ac:dyDescent="0.3">
      <c r="A99" s="2">
        <v>43973</v>
      </c>
      <c r="B99" s="1">
        <v>79.722499999999997</v>
      </c>
      <c r="C99" s="1">
        <v>2436.88</v>
      </c>
      <c r="D99" s="22">
        <f t="shared" si="9"/>
        <v>1325.049813100519</v>
      </c>
      <c r="E99" s="23">
        <f t="shared" si="10"/>
        <v>-4.9686513997692145</v>
      </c>
      <c r="F99" s="23">
        <f t="shared" si="11"/>
        <v>4.9686513997692145</v>
      </c>
      <c r="H99" s="13">
        <v>93</v>
      </c>
      <c r="I99" s="14">
        <f t="shared" si="8"/>
        <v>7.6982294072363352E-4</v>
      </c>
      <c r="J99">
        <f t="shared" si="12"/>
        <v>1</v>
      </c>
      <c r="K99">
        <f t="shared" ref="K99:K105" si="15">J99-J100</f>
        <v>0</v>
      </c>
      <c r="L99">
        <f t="shared" si="13"/>
        <v>0</v>
      </c>
      <c r="M99">
        <f t="shared" si="14"/>
        <v>0</v>
      </c>
    </row>
    <row r="100" spans="1:13" x14ac:dyDescent="0.3">
      <c r="A100" s="2">
        <v>43972</v>
      </c>
      <c r="B100" s="1">
        <v>79.212500000000006</v>
      </c>
      <c r="C100" s="1">
        <v>2446.7399999999998</v>
      </c>
      <c r="D100" s="22">
        <f t="shared" si="9"/>
        <v>1330.0184645002882</v>
      </c>
      <c r="E100" s="23">
        <f t="shared" si="10"/>
        <v>-27.330501840438046</v>
      </c>
      <c r="F100" s="23">
        <f t="shared" si="11"/>
        <v>27.330501840438046</v>
      </c>
      <c r="H100" s="13">
        <v>94</v>
      </c>
      <c r="I100" s="14">
        <f t="shared" si="8"/>
        <v>7.6982294072363352E-4</v>
      </c>
      <c r="J100">
        <f t="shared" si="12"/>
        <v>1</v>
      </c>
      <c r="K100">
        <f t="shared" si="15"/>
        <v>0</v>
      </c>
      <c r="L100">
        <f t="shared" si="13"/>
        <v>0</v>
      </c>
      <c r="M100">
        <f t="shared" si="14"/>
        <v>0</v>
      </c>
    </row>
    <row r="101" spans="1:13" x14ac:dyDescent="0.3">
      <c r="A101" s="2">
        <v>43971</v>
      </c>
      <c r="B101" s="1">
        <v>79.807500000000005</v>
      </c>
      <c r="C101" s="1">
        <v>2497.94</v>
      </c>
      <c r="D101" s="22">
        <f t="shared" si="9"/>
        <v>1357.3489663407263</v>
      </c>
      <c r="E101" s="23">
        <f t="shared" si="10"/>
        <v>26.399645398905477</v>
      </c>
      <c r="F101" s="23">
        <f t="shared" si="11"/>
        <v>-26.399645398905477</v>
      </c>
      <c r="H101" s="13">
        <v>95</v>
      </c>
      <c r="I101" s="14">
        <f t="shared" si="8"/>
        <v>7.6982294072363352E-4</v>
      </c>
      <c r="J101">
        <f t="shared" si="12"/>
        <v>1</v>
      </c>
      <c r="K101">
        <f t="shared" si="15"/>
        <v>0</v>
      </c>
      <c r="L101">
        <f t="shared" si="13"/>
        <v>0</v>
      </c>
      <c r="M101">
        <f t="shared" si="14"/>
        <v>0</v>
      </c>
    </row>
    <row r="102" spans="1:13" x14ac:dyDescent="0.3">
      <c r="A102" s="2">
        <v>43970</v>
      </c>
      <c r="B102" s="1">
        <v>78.284999999999997</v>
      </c>
      <c r="C102" s="1">
        <v>2449.33</v>
      </c>
      <c r="D102" s="22">
        <f t="shared" si="9"/>
        <v>1330.9493209418208</v>
      </c>
      <c r="E102" s="23">
        <f t="shared" si="10"/>
        <v>11.973666748271853</v>
      </c>
      <c r="F102" s="23">
        <f t="shared" si="11"/>
        <v>-11.973666748271853</v>
      </c>
      <c r="H102" s="13">
        <v>96</v>
      </c>
      <c r="I102" s="14">
        <f t="shared" si="8"/>
        <v>7.6982294072363352E-4</v>
      </c>
      <c r="J102">
        <f t="shared" si="12"/>
        <v>1</v>
      </c>
      <c r="K102">
        <f t="shared" si="15"/>
        <v>0</v>
      </c>
      <c r="L102">
        <f t="shared" si="13"/>
        <v>0</v>
      </c>
      <c r="M102">
        <f t="shared" si="14"/>
        <v>0</v>
      </c>
    </row>
    <row r="103" spans="1:13" x14ac:dyDescent="0.3">
      <c r="A103" s="2">
        <v>43969</v>
      </c>
      <c r="B103" s="1">
        <v>78.739999999999995</v>
      </c>
      <c r="C103" s="1">
        <v>2426.2600000000002</v>
      </c>
      <c r="D103" s="22">
        <f t="shared" si="9"/>
        <v>1318.975654193549</v>
      </c>
      <c r="E103" s="23">
        <f t="shared" si="10"/>
        <v>9.5615954104262073</v>
      </c>
      <c r="F103" s="23">
        <f t="shared" si="11"/>
        <v>-9.5615954104262073</v>
      </c>
      <c r="H103" s="13">
        <v>97</v>
      </c>
      <c r="I103" s="14">
        <f t="shared" si="8"/>
        <v>7.6982294072363352E-4</v>
      </c>
      <c r="J103">
        <f t="shared" si="12"/>
        <v>1</v>
      </c>
      <c r="K103">
        <f t="shared" si="15"/>
        <v>0</v>
      </c>
      <c r="L103">
        <f t="shared" si="13"/>
        <v>0</v>
      </c>
      <c r="M103">
        <f t="shared" si="14"/>
        <v>0</v>
      </c>
    </row>
    <row r="104" spans="1:13" x14ac:dyDescent="0.3">
      <c r="A104" s="2">
        <v>43966</v>
      </c>
      <c r="B104" s="1">
        <v>76.927499999999995</v>
      </c>
      <c r="C104" s="1">
        <v>2409.7800000000002</v>
      </c>
      <c r="D104" s="22">
        <f t="shared" si="9"/>
        <v>1309.4140587831228</v>
      </c>
      <c r="E104" s="23">
        <f t="shared" si="10"/>
        <v>10.841888313652134</v>
      </c>
      <c r="F104" s="23">
        <f t="shared" si="11"/>
        <v>-10.841888313652134</v>
      </c>
      <c r="H104" s="13">
        <v>98</v>
      </c>
      <c r="I104" s="14">
        <f t="shared" si="8"/>
        <v>7.6982294072363352E-4</v>
      </c>
      <c r="J104">
        <f t="shared" si="12"/>
        <v>1</v>
      </c>
      <c r="K104">
        <f t="shared" si="15"/>
        <v>0</v>
      </c>
      <c r="L104">
        <f t="shared" si="13"/>
        <v>0</v>
      </c>
      <c r="M104">
        <f t="shared" si="14"/>
        <v>0</v>
      </c>
    </row>
    <row r="105" spans="1:13" x14ac:dyDescent="0.3">
      <c r="A105" s="2">
        <v>43965</v>
      </c>
      <c r="B105" s="1">
        <v>77.385000000000005</v>
      </c>
      <c r="C105" s="1">
        <v>2388.85</v>
      </c>
      <c r="D105" s="22">
        <f t="shared" si="9"/>
        <v>1298.5721704694706</v>
      </c>
      <c r="E105" s="23">
        <f t="shared" si="10"/>
        <v>11.280553135080709</v>
      </c>
      <c r="F105" s="23">
        <f t="shared" si="11"/>
        <v>-11.280553135080709</v>
      </c>
      <c r="H105" s="46">
        <v>99</v>
      </c>
      <c r="I105" s="47">
        <f>COUNTIF($F:$F,"&gt;"&amp;H105)/COUNT(F:F)</f>
        <v>7.6982294072363352E-4</v>
      </c>
      <c r="J105">
        <f>COUNTIF($F:$F,"&gt;"&amp;H105)</f>
        <v>1</v>
      </c>
      <c r="K105">
        <f t="shared" si="15"/>
        <v>1</v>
      </c>
      <c r="L105">
        <f>K105/COUNT(F:F)</f>
        <v>7.6982294072363352E-4</v>
      </c>
      <c r="M105">
        <f>H105*L105</f>
        <v>7.6212471131639717E-2</v>
      </c>
    </row>
    <row r="106" spans="1:13" x14ac:dyDescent="0.3">
      <c r="A106" s="2">
        <v>43964</v>
      </c>
      <c r="B106" s="1">
        <v>76.912499999999994</v>
      </c>
      <c r="C106" s="1">
        <v>2367.92</v>
      </c>
      <c r="D106" s="22">
        <f t="shared" si="9"/>
        <v>1287.2916173343899</v>
      </c>
      <c r="E106" s="23">
        <f t="shared" si="10"/>
        <v>5.3522601900922382</v>
      </c>
      <c r="F106" s="23">
        <f t="shared" si="11"/>
        <v>-5.3522601900922382</v>
      </c>
      <c r="H106" s="13">
        <v>100</v>
      </c>
      <c r="I106" s="14">
        <f t="shared" si="8"/>
        <v>0</v>
      </c>
      <c r="J106">
        <f>COUNTIF($F:$F,"&gt;"&amp;H106)</f>
        <v>0</v>
      </c>
      <c r="M106">
        <f>H106*L106</f>
        <v>0</v>
      </c>
    </row>
    <row r="107" spans="1:13" x14ac:dyDescent="0.3">
      <c r="A107" s="2">
        <v>43963</v>
      </c>
      <c r="B107" s="1">
        <v>77.852500000000006</v>
      </c>
      <c r="C107" s="1">
        <v>2356.9499999999998</v>
      </c>
      <c r="D107" s="22">
        <f t="shared" si="9"/>
        <v>1281.9393571442977</v>
      </c>
      <c r="E107" s="23">
        <f t="shared" si="10"/>
        <v>-27.9234348214286</v>
      </c>
      <c r="F107" s="23">
        <f t="shared" si="11"/>
        <v>27.9234348214286</v>
      </c>
      <c r="I107" s="7"/>
    </row>
    <row r="108" spans="1:13" x14ac:dyDescent="0.3">
      <c r="A108" s="2">
        <v>43962</v>
      </c>
      <c r="B108" s="1">
        <v>78.752499999999998</v>
      </c>
      <c r="C108" s="1">
        <v>2409</v>
      </c>
      <c r="D108" s="22">
        <f t="shared" si="9"/>
        <v>1309.8627919657263</v>
      </c>
      <c r="E108" s="23">
        <f t="shared" si="10"/>
        <v>16.102748222407854</v>
      </c>
      <c r="F108" s="23">
        <f t="shared" si="11"/>
        <v>-16.102748222407854</v>
      </c>
      <c r="I108" s="7"/>
    </row>
    <row r="109" spans="1:13" x14ac:dyDescent="0.3">
      <c r="A109" s="2">
        <v>43959</v>
      </c>
      <c r="B109" s="1">
        <v>77.532399999999996</v>
      </c>
      <c r="C109" s="1">
        <v>2379.61</v>
      </c>
      <c r="D109" s="22">
        <f t="shared" si="9"/>
        <v>1293.7600437433184</v>
      </c>
      <c r="E109" s="23">
        <f t="shared" si="10"/>
        <v>7.0932745468892335</v>
      </c>
      <c r="F109" s="23">
        <f t="shared" si="11"/>
        <v>-7.0932745468892335</v>
      </c>
      <c r="I109" s="7"/>
    </row>
    <row r="110" spans="1:13" x14ac:dyDescent="0.3">
      <c r="A110" s="2">
        <v>43958</v>
      </c>
      <c r="B110" s="1">
        <v>75.935000000000002</v>
      </c>
      <c r="C110" s="1">
        <v>2367.61</v>
      </c>
      <c r="D110" s="22">
        <f t="shared" si="9"/>
        <v>1286.6667691964292</v>
      </c>
      <c r="E110" s="23">
        <f t="shared" si="10"/>
        <v>9.0047226540898464</v>
      </c>
      <c r="F110" s="23">
        <f t="shared" si="11"/>
        <v>-9.0047226540898464</v>
      </c>
      <c r="I110" s="7"/>
    </row>
    <row r="111" spans="1:13" x14ac:dyDescent="0.3">
      <c r="A111" s="2">
        <v>43957</v>
      </c>
      <c r="B111" s="1">
        <v>75.157499999999999</v>
      </c>
      <c r="C111" s="1">
        <v>2351.2600000000002</v>
      </c>
      <c r="D111" s="22">
        <f t="shared" si="9"/>
        <v>1277.6620465423393</v>
      </c>
      <c r="E111" s="23">
        <f t="shared" si="10"/>
        <v>18.039516478974747</v>
      </c>
      <c r="F111" s="23">
        <f t="shared" si="11"/>
        <v>-18.039516478974747</v>
      </c>
      <c r="I111" s="7"/>
    </row>
    <row r="112" spans="1:13" x14ac:dyDescent="0.3">
      <c r="A112" s="2">
        <v>43956</v>
      </c>
      <c r="B112" s="1">
        <v>74.39</v>
      </c>
      <c r="C112" s="1">
        <v>2317.8000000000002</v>
      </c>
      <c r="D112" s="22">
        <f t="shared" si="9"/>
        <v>1259.6225300633646</v>
      </c>
      <c r="E112" s="23">
        <f t="shared" si="10"/>
        <v>1.4751053513828083</v>
      </c>
      <c r="F112" s="23">
        <f t="shared" si="11"/>
        <v>-1.4751053513828083</v>
      </c>
      <c r="I112" s="7"/>
    </row>
    <row r="113" spans="1:9" x14ac:dyDescent="0.3">
      <c r="A113" s="2">
        <v>43955</v>
      </c>
      <c r="B113" s="1">
        <v>73.290000000000006</v>
      </c>
      <c r="C113" s="1">
        <v>2315.9899999999998</v>
      </c>
      <c r="D113" s="22">
        <f t="shared" si="9"/>
        <v>1258.1474247119818</v>
      </c>
      <c r="E113" s="23">
        <f t="shared" si="10"/>
        <v>16.305401481854688</v>
      </c>
      <c r="F113" s="23">
        <f t="shared" si="11"/>
        <v>-16.305401481854688</v>
      </c>
      <c r="I113" s="7"/>
    </row>
    <row r="114" spans="1:9" x14ac:dyDescent="0.3">
      <c r="A114" s="2">
        <v>43952</v>
      </c>
      <c r="B114" s="1">
        <v>72.267499999999998</v>
      </c>
      <c r="C114" s="1">
        <v>2286.04</v>
      </c>
      <c r="D114" s="22">
        <f t="shared" si="9"/>
        <v>1241.8420232301271</v>
      </c>
      <c r="E114" s="23">
        <f t="shared" si="10"/>
        <v>-99.860302489919377</v>
      </c>
      <c r="F114" s="23">
        <f t="shared" si="11"/>
        <v>99.860302489919377</v>
      </c>
      <c r="I114" s="7"/>
    </row>
    <row r="115" spans="1:9" x14ac:dyDescent="0.3">
      <c r="A115" s="2">
        <v>43951</v>
      </c>
      <c r="B115" s="1">
        <v>73.45</v>
      </c>
      <c r="C115" s="1">
        <v>2474</v>
      </c>
      <c r="D115" s="22">
        <f t="shared" si="9"/>
        <v>1341.7023257200465</v>
      </c>
      <c r="E115" s="23">
        <f t="shared" si="10"/>
        <v>54.229047423674956</v>
      </c>
      <c r="F115" s="23">
        <f t="shared" si="11"/>
        <v>-54.229047423674956</v>
      </c>
      <c r="I115" s="7"/>
    </row>
    <row r="116" spans="1:9" x14ac:dyDescent="0.3">
      <c r="A116" s="2">
        <v>43950</v>
      </c>
      <c r="B116" s="1">
        <v>71.932500000000005</v>
      </c>
      <c r="C116" s="1">
        <v>2372.71</v>
      </c>
      <c r="D116" s="22">
        <f t="shared" si="9"/>
        <v>1287.4732782963715</v>
      </c>
      <c r="E116" s="23">
        <f t="shared" si="10"/>
        <v>32.054222901785806</v>
      </c>
      <c r="F116" s="23">
        <f t="shared" si="11"/>
        <v>-32.054222901785806</v>
      </c>
      <c r="I116" s="7"/>
    </row>
    <row r="117" spans="1:9" x14ac:dyDescent="0.3">
      <c r="A117" s="2">
        <v>43949</v>
      </c>
      <c r="B117" s="1">
        <v>69.644999999999996</v>
      </c>
      <c r="C117" s="1">
        <v>2314.08</v>
      </c>
      <c r="D117" s="22">
        <f t="shared" si="9"/>
        <v>1255.4190553945857</v>
      </c>
      <c r="E117" s="23">
        <f t="shared" si="10"/>
        <v>-33.254668967453881</v>
      </c>
      <c r="F117" s="23">
        <f t="shared" si="11"/>
        <v>33.254668967453881</v>
      </c>
      <c r="I117" s="7"/>
    </row>
    <row r="118" spans="1:9" x14ac:dyDescent="0.3">
      <c r="A118" s="2">
        <v>43948</v>
      </c>
      <c r="B118" s="1">
        <v>70.792500000000004</v>
      </c>
      <c r="C118" s="1">
        <v>2376</v>
      </c>
      <c r="D118" s="22">
        <f t="shared" si="9"/>
        <v>1288.6737243620396</v>
      </c>
      <c r="E118" s="23">
        <f t="shared" si="10"/>
        <v>-18.055437171658923</v>
      </c>
      <c r="F118" s="23">
        <f t="shared" si="11"/>
        <v>18.055437171658923</v>
      </c>
      <c r="I118" s="7"/>
    </row>
    <row r="119" spans="1:9" x14ac:dyDescent="0.3">
      <c r="A119" s="2">
        <v>43945</v>
      </c>
      <c r="B119" s="1">
        <v>70.742500000000007</v>
      </c>
      <c r="C119" s="1">
        <v>2410.2199999999998</v>
      </c>
      <c r="D119" s="22">
        <f t="shared" si="9"/>
        <v>1306.7291615336985</v>
      </c>
      <c r="E119" s="23">
        <f t="shared" si="10"/>
        <v>6.6262683266127169</v>
      </c>
      <c r="F119" s="23">
        <f t="shared" si="11"/>
        <v>-6.6262683266127169</v>
      </c>
      <c r="I119" s="7"/>
    </row>
    <row r="120" spans="1:9" x14ac:dyDescent="0.3">
      <c r="A120" s="2">
        <v>43944</v>
      </c>
      <c r="B120" s="1">
        <v>68.757499999999993</v>
      </c>
      <c r="C120" s="1">
        <v>2399.4499999999998</v>
      </c>
      <c r="D120" s="22">
        <f t="shared" si="9"/>
        <v>1300.1028932070858</v>
      </c>
      <c r="E120" s="23">
        <f t="shared" si="10"/>
        <v>18.872118474942454</v>
      </c>
      <c r="F120" s="23">
        <f t="shared" si="11"/>
        <v>-18.872118474942454</v>
      </c>
      <c r="I120" s="7"/>
    </row>
    <row r="121" spans="1:9" x14ac:dyDescent="0.3">
      <c r="A121" s="2">
        <v>43943</v>
      </c>
      <c r="B121" s="1">
        <v>69.025000000000006</v>
      </c>
      <c r="C121" s="1">
        <v>2363.4899999999998</v>
      </c>
      <c r="D121" s="22">
        <f t="shared" si="9"/>
        <v>1281.2307747321433</v>
      </c>
      <c r="E121" s="23">
        <f t="shared" si="10"/>
        <v>19.598112939228031</v>
      </c>
      <c r="F121" s="23">
        <f t="shared" si="11"/>
        <v>-19.598112939228031</v>
      </c>
      <c r="I121" s="7"/>
    </row>
    <row r="122" spans="1:9" x14ac:dyDescent="0.3">
      <c r="A122" s="2">
        <v>43942</v>
      </c>
      <c r="B122" s="1">
        <v>67.092500000000001</v>
      </c>
      <c r="C122" s="1">
        <v>2328.12</v>
      </c>
      <c r="D122" s="22">
        <f t="shared" si="9"/>
        <v>1261.6326617929153</v>
      </c>
      <c r="E122" s="23">
        <f t="shared" si="10"/>
        <v>-35.608907056451699</v>
      </c>
      <c r="F122" s="23">
        <f t="shared" si="11"/>
        <v>35.608907056451699</v>
      </c>
      <c r="I122" s="7"/>
    </row>
    <row r="123" spans="1:9" x14ac:dyDescent="0.3">
      <c r="A123" s="2">
        <v>43941</v>
      </c>
      <c r="B123" s="1">
        <v>69.232500000000002</v>
      </c>
      <c r="C123" s="1">
        <v>2393.61</v>
      </c>
      <c r="D123" s="22">
        <f t="shared" si="9"/>
        <v>1297.241568849367</v>
      </c>
      <c r="E123" s="23">
        <f t="shared" si="10"/>
        <v>9.1397925244816633</v>
      </c>
      <c r="F123" s="23">
        <f t="shared" si="11"/>
        <v>-9.1397925244816633</v>
      </c>
      <c r="I123" s="7"/>
    </row>
    <row r="124" spans="1:9" x14ac:dyDescent="0.3">
      <c r="A124" s="2">
        <v>43938</v>
      </c>
      <c r="B124" s="1">
        <v>70.7</v>
      </c>
      <c r="C124" s="1">
        <v>2375</v>
      </c>
      <c r="D124" s="22">
        <f t="shared" si="9"/>
        <v>1288.1017763248853</v>
      </c>
      <c r="E124" s="23">
        <f t="shared" si="10"/>
        <v>-17.993565715725708</v>
      </c>
      <c r="F124" s="23">
        <f t="shared" si="11"/>
        <v>17.993565715725708</v>
      </c>
      <c r="I124" s="7"/>
    </row>
    <row r="125" spans="1:9" x14ac:dyDescent="0.3">
      <c r="A125" s="2">
        <v>43937</v>
      </c>
      <c r="B125" s="1">
        <v>71.672499999999999</v>
      </c>
      <c r="C125" s="1">
        <v>2408.19</v>
      </c>
      <c r="D125" s="22">
        <f t="shared" si="9"/>
        <v>1306.0953420406111</v>
      </c>
      <c r="E125" s="23">
        <f t="shared" si="10"/>
        <v>53.367682174539141</v>
      </c>
      <c r="F125" s="23">
        <f t="shared" si="11"/>
        <v>-53.367682174539141</v>
      </c>
      <c r="I125" s="7"/>
    </row>
    <row r="126" spans="1:9" x14ac:dyDescent="0.3">
      <c r="A126" s="2">
        <v>43936</v>
      </c>
      <c r="B126" s="1">
        <v>71.107500000000002</v>
      </c>
      <c r="C126" s="1">
        <v>2307.6799999999998</v>
      </c>
      <c r="D126" s="22">
        <f t="shared" si="9"/>
        <v>1252.7276598660719</v>
      </c>
      <c r="E126" s="23">
        <f t="shared" si="10"/>
        <v>12.560859668778676</v>
      </c>
      <c r="F126" s="23">
        <f t="shared" si="11"/>
        <v>-12.560859668778676</v>
      </c>
      <c r="I126" s="7"/>
    </row>
    <row r="127" spans="1:9" x14ac:dyDescent="0.3">
      <c r="A127" s="2">
        <v>43935</v>
      </c>
      <c r="B127" s="1">
        <v>71.762500000000003</v>
      </c>
      <c r="C127" s="1">
        <v>2283.3200000000002</v>
      </c>
      <c r="D127" s="22">
        <f t="shared" si="9"/>
        <v>1240.1668001972932</v>
      </c>
      <c r="E127" s="23">
        <f t="shared" si="10"/>
        <v>62.093230990783468</v>
      </c>
      <c r="F127" s="23">
        <f t="shared" si="11"/>
        <v>-62.093230990783468</v>
      </c>
      <c r="I127" s="7"/>
    </row>
    <row r="128" spans="1:9" x14ac:dyDescent="0.3">
      <c r="A128" s="2">
        <v>43934</v>
      </c>
      <c r="B128" s="1">
        <v>68.3125</v>
      </c>
      <c r="C128" s="1">
        <v>2168.87</v>
      </c>
      <c r="D128" s="22">
        <f t="shared" si="9"/>
        <v>1178.0735692065098</v>
      </c>
      <c r="E128" s="23">
        <f t="shared" si="10"/>
        <v>67.24636947292629</v>
      </c>
      <c r="F128" s="23">
        <f t="shared" si="11"/>
        <v>-67.24636947292629</v>
      </c>
      <c r="I128" s="7"/>
    </row>
    <row r="129" spans="1:9" x14ac:dyDescent="0.3">
      <c r="A129" s="2">
        <v>43930</v>
      </c>
      <c r="B129" s="1">
        <v>66.997500000000002</v>
      </c>
      <c r="C129" s="1">
        <v>2042.76</v>
      </c>
      <c r="D129" s="22">
        <f t="shared" si="9"/>
        <v>1110.8271997335835</v>
      </c>
      <c r="E129" s="23">
        <f t="shared" si="10"/>
        <v>9.9611474654466292E-2</v>
      </c>
      <c r="F129" s="23">
        <f t="shared" si="11"/>
        <v>-9.9611474654466292E-2</v>
      </c>
      <c r="I129" s="7"/>
    </row>
    <row r="130" spans="1:9" x14ac:dyDescent="0.3">
      <c r="A130" s="2">
        <v>43929</v>
      </c>
      <c r="B130" s="1">
        <v>66.517499999999998</v>
      </c>
      <c r="C130" s="1">
        <v>2043</v>
      </c>
      <c r="D130" s="22">
        <f t="shared" si="9"/>
        <v>1110.727588258929</v>
      </c>
      <c r="E130" s="23">
        <f t="shared" si="10"/>
        <v>17.372159366359483</v>
      </c>
      <c r="F130" s="23">
        <f t="shared" si="11"/>
        <v>-17.372159366359483</v>
      </c>
      <c r="I130" s="7"/>
    </row>
    <row r="131" spans="1:9" x14ac:dyDescent="0.3">
      <c r="A131" s="2">
        <v>43928</v>
      </c>
      <c r="B131" s="1">
        <v>64.857500000000002</v>
      </c>
      <c r="C131" s="1">
        <v>2011.6</v>
      </c>
      <c r="D131" s="22">
        <f t="shared" si="9"/>
        <v>1093.3554288925695</v>
      </c>
      <c r="E131" s="23">
        <f t="shared" si="10"/>
        <v>7.043247943548522</v>
      </c>
      <c r="F131" s="23">
        <f t="shared" si="11"/>
        <v>-7.043247943548522</v>
      </c>
      <c r="I131" s="7"/>
    </row>
    <row r="132" spans="1:9" x14ac:dyDescent="0.3">
      <c r="A132" s="2">
        <v>43927</v>
      </c>
      <c r="B132" s="1">
        <v>65.617500000000007</v>
      </c>
      <c r="C132" s="1">
        <v>1997.59</v>
      </c>
      <c r="D132" s="22">
        <f t="shared" si="9"/>
        <v>1086.312180949021</v>
      </c>
      <c r="E132" s="23">
        <f t="shared" si="10"/>
        <v>50.560291972926052</v>
      </c>
      <c r="F132" s="23">
        <f t="shared" si="11"/>
        <v>-50.560291972926052</v>
      </c>
      <c r="I132" s="7"/>
    </row>
    <row r="133" spans="1:9" x14ac:dyDescent="0.3">
      <c r="A133" s="2">
        <v>43924</v>
      </c>
      <c r="B133" s="1">
        <v>60.352499999999999</v>
      </c>
      <c r="C133" s="1">
        <v>1906.59</v>
      </c>
      <c r="D133" s="22">
        <f t="shared" si="9"/>
        <v>1035.751888976095</v>
      </c>
      <c r="E133" s="23">
        <f t="shared" si="10"/>
        <v>-6.8816856221196758</v>
      </c>
      <c r="F133" s="23">
        <f t="shared" si="11"/>
        <v>6.8816856221196758</v>
      </c>
      <c r="I133" s="7"/>
    </row>
    <row r="134" spans="1:9" x14ac:dyDescent="0.3">
      <c r="A134" s="2">
        <v>43923</v>
      </c>
      <c r="B134" s="1">
        <v>61.232500000000002</v>
      </c>
      <c r="C134" s="1">
        <v>1918.83</v>
      </c>
      <c r="D134" s="22">
        <f t="shared" ref="D134:D197" si="16">$M$16*B134+(1-$M$16)*C134</f>
        <v>1042.6335745982146</v>
      </c>
      <c r="E134" s="23">
        <f t="shared" ref="E134:E197" si="17">D134-D135</f>
        <v>6.3542136376727285</v>
      </c>
      <c r="F134" s="23">
        <f t="shared" ref="F134:F197" si="18">-E134</f>
        <v>-6.3542136376727285</v>
      </c>
      <c r="I134" s="7"/>
    </row>
    <row r="135" spans="1:9" x14ac:dyDescent="0.3">
      <c r="A135" s="2">
        <v>43922</v>
      </c>
      <c r="B135" s="1">
        <v>60.227499999999999</v>
      </c>
      <c r="C135" s="1">
        <v>1907.7</v>
      </c>
      <c r="D135" s="22">
        <f t="shared" si="16"/>
        <v>1036.2793609605419</v>
      </c>
      <c r="E135" s="23">
        <f t="shared" si="17"/>
        <v>-23.777675302419311</v>
      </c>
      <c r="F135" s="23">
        <f t="shared" si="18"/>
        <v>23.777675302419311</v>
      </c>
      <c r="I135" s="7"/>
    </row>
    <row r="136" spans="1:9" x14ac:dyDescent="0.3">
      <c r="A136" s="2">
        <v>43921</v>
      </c>
      <c r="B136" s="1">
        <v>63.572499999999998</v>
      </c>
      <c r="C136" s="1">
        <v>1949.72</v>
      </c>
      <c r="D136" s="22">
        <f t="shared" si="16"/>
        <v>1060.0570362629612</v>
      </c>
      <c r="E136" s="23">
        <f t="shared" si="17"/>
        <v>-7.5792752880183798</v>
      </c>
      <c r="F136" s="23">
        <f t="shared" si="18"/>
        <v>7.5792752880183798</v>
      </c>
      <c r="I136" s="7"/>
    </row>
    <row r="137" spans="1:9" x14ac:dyDescent="0.3">
      <c r="A137" s="2">
        <v>43920</v>
      </c>
      <c r="B137" s="1">
        <v>63.702500000000001</v>
      </c>
      <c r="C137" s="1">
        <v>1963.95</v>
      </c>
      <c r="D137" s="22">
        <f t="shared" si="16"/>
        <v>1067.6363115509796</v>
      </c>
      <c r="E137" s="23">
        <f t="shared" si="17"/>
        <v>34.56676475662448</v>
      </c>
      <c r="F137" s="23">
        <f t="shared" si="18"/>
        <v>-34.56676475662448</v>
      </c>
      <c r="I137" s="7"/>
    </row>
    <row r="138" spans="1:9" x14ac:dyDescent="0.3">
      <c r="A138" s="2">
        <v>43917</v>
      </c>
      <c r="B138" s="1">
        <v>61.935000000000002</v>
      </c>
      <c r="C138" s="1">
        <v>1900.1</v>
      </c>
      <c r="D138" s="22">
        <f t="shared" si="16"/>
        <v>1033.0695467943551</v>
      </c>
      <c r="E138" s="23">
        <f t="shared" si="17"/>
        <v>-30.525251546659092</v>
      </c>
      <c r="F138" s="23">
        <f t="shared" si="18"/>
        <v>30.525251546659092</v>
      </c>
      <c r="I138" s="7"/>
    </row>
    <row r="139" spans="1:9" x14ac:dyDescent="0.3">
      <c r="A139" s="2">
        <v>43916</v>
      </c>
      <c r="B139" s="1">
        <v>64.61</v>
      </c>
      <c r="C139" s="1">
        <v>1955.49</v>
      </c>
      <c r="D139" s="22">
        <f t="shared" si="16"/>
        <v>1063.5947983410142</v>
      </c>
      <c r="E139" s="23">
        <f t="shared" si="17"/>
        <v>38.320841463133547</v>
      </c>
      <c r="F139" s="23">
        <f t="shared" si="18"/>
        <v>-38.320841463133547</v>
      </c>
      <c r="I139" s="7"/>
    </row>
    <row r="140" spans="1:9" x14ac:dyDescent="0.3">
      <c r="A140" s="2">
        <v>43915</v>
      </c>
      <c r="B140" s="1">
        <v>61.38</v>
      </c>
      <c r="C140" s="1">
        <v>1885.84</v>
      </c>
      <c r="D140" s="22">
        <f t="shared" si="16"/>
        <v>1025.2739568778807</v>
      </c>
      <c r="E140" s="23">
        <f t="shared" si="17"/>
        <v>-28.826874009216681</v>
      </c>
      <c r="F140" s="23">
        <f t="shared" si="18"/>
        <v>28.826874009216681</v>
      </c>
      <c r="I140" s="7"/>
    </row>
    <row r="141" spans="1:9" x14ac:dyDescent="0.3">
      <c r="A141" s="2">
        <v>43914</v>
      </c>
      <c r="B141" s="1">
        <v>61.72</v>
      </c>
      <c r="C141" s="1">
        <v>1940.1</v>
      </c>
      <c r="D141" s="22">
        <f t="shared" si="16"/>
        <v>1054.1008308870973</v>
      </c>
      <c r="E141" s="23">
        <f t="shared" si="17"/>
        <v>22.344783212845869</v>
      </c>
      <c r="F141" s="23">
        <f t="shared" si="18"/>
        <v>-22.344783212845869</v>
      </c>
      <c r="I141" s="7"/>
    </row>
    <row r="142" spans="1:9" x14ac:dyDescent="0.3">
      <c r="A142" s="2">
        <v>43913</v>
      </c>
      <c r="B142" s="1">
        <v>56.092500000000001</v>
      </c>
      <c r="C142" s="1">
        <v>1902.83</v>
      </c>
      <c r="D142" s="22">
        <f t="shared" si="16"/>
        <v>1031.7560476742515</v>
      </c>
      <c r="E142" s="23">
        <f t="shared" si="17"/>
        <v>29.402455496831749</v>
      </c>
      <c r="F142" s="23">
        <f t="shared" si="18"/>
        <v>-29.402455496831749</v>
      </c>
      <c r="I142" s="7"/>
    </row>
    <row r="143" spans="1:9" x14ac:dyDescent="0.3">
      <c r="A143" s="2">
        <v>43910</v>
      </c>
      <c r="B143" s="1">
        <v>57.31</v>
      </c>
      <c r="C143" s="1">
        <v>1846.09</v>
      </c>
      <c r="D143" s="22">
        <f t="shared" si="16"/>
        <v>1002.3535921774197</v>
      </c>
      <c r="E143" s="23">
        <f t="shared" si="17"/>
        <v>-20.239065002880238</v>
      </c>
      <c r="F143" s="23">
        <f t="shared" si="18"/>
        <v>20.239065002880238</v>
      </c>
      <c r="I143" s="7"/>
    </row>
    <row r="144" spans="1:9" x14ac:dyDescent="0.3">
      <c r="A144" s="2">
        <v>43909</v>
      </c>
      <c r="B144" s="1">
        <v>61.195</v>
      </c>
      <c r="C144" s="1">
        <v>1880.93</v>
      </c>
      <c r="D144" s="22">
        <f t="shared" si="16"/>
        <v>1022.5926571803</v>
      </c>
      <c r="E144" s="23">
        <f t="shared" si="17"/>
        <v>26.684334963997799</v>
      </c>
      <c r="F144" s="23">
        <f t="shared" si="18"/>
        <v>-26.684334963997799</v>
      </c>
      <c r="I144" s="7"/>
    </row>
    <row r="145" spans="1:9" x14ac:dyDescent="0.3">
      <c r="A145" s="2">
        <v>43908</v>
      </c>
      <c r="B145" s="1">
        <v>61.667499999999997</v>
      </c>
      <c r="C145" s="1">
        <v>1830</v>
      </c>
      <c r="D145" s="22">
        <f t="shared" si="16"/>
        <v>995.90832221630217</v>
      </c>
      <c r="E145" s="23">
        <f t="shared" si="17"/>
        <v>10.977584673099045</v>
      </c>
      <c r="F145" s="23">
        <f t="shared" si="18"/>
        <v>-10.977584673099045</v>
      </c>
      <c r="I145" s="7"/>
    </row>
    <row r="146" spans="1:9" x14ac:dyDescent="0.3">
      <c r="A146" s="2">
        <v>43907</v>
      </c>
      <c r="B146" s="1">
        <v>63.215000000000003</v>
      </c>
      <c r="C146" s="1">
        <v>1807.84</v>
      </c>
      <c r="D146" s="22">
        <f t="shared" si="16"/>
        <v>984.93073754320312</v>
      </c>
      <c r="E146" s="23">
        <f t="shared" si="17"/>
        <v>63.961846700748879</v>
      </c>
      <c r="F146" s="23">
        <f t="shared" si="18"/>
        <v>-63.961846700748879</v>
      </c>
      <c r="I146" s="7"/>
    </row>
    <row r="147" spans="1:9" x14ac:dyDescent="0.3">
      <c r="A147" s="2">
        <v>43906</v>
      </c>
      <c r="B147" s="1">
        <v>60.552500000000002</v>
      </c>
      <c r="C147" s="1">
        <v>1689.15</v>
      </c>
      <c r="D147" s="22">
        <f t="shared" si="16"/>
        <v>920.96889084245424</v>
      </c>
      <c r="E147" s="23">
        <f t="shared" si="17"/>
        <v>-54.856064913594423</v>
      </c>
      <c r="F147" s="23">
        <f t="shared" si="18"/>
        <v>54.856064913594423</v>
      </c>
      <c r="I147" s="7"/>
    </row>
    <row r="148" spans="1:9" x14ac:dyDescent="0.3">
      <c r="A148" s="2">
        <v>43903</v>
      </c>
      <c r="B148" s="1">
        <v>69.492500000000007</v>
      </c>
      <c r="C148" s="1">
        <v>1785</v>
      </c>
      <c r="D148" s="22">
        <f t="shared" si="16"/>
        <v>975.82495575604867</v>
      </c>
      <c r="E148" s="23">
        <f t="shared" si="17"/>
        <v>60.771282744815608</v>
      </c>
      <c r="F148" s="23">
        <f t="shared" si="18"/>
        <v>-60.771282744815608</v>
      </c>
      <c r="I148" s="7"/>
    </row>
    <row r="149" spans="1:9" x14ac:dyDescent="0.3">
      <c r="A149" s="2">
        <v>43902</v>
      </c>
      <c r="B149" s="1">
        <v>62.057499999999997</v>
      </c>
      <c r="C149" s="1">
        <v>1676.61</v>
      </c>
      <c r="D149" s="22">
        <f t="shared" si="16"/>
        <v>915.05367301123306</v>
      </c>
      <c r="E149" s="23">
        <f t="shared" si="17"/>
        <v>-79.417226123271917</v>
      </c>
      <c r="F149" s="23">
        <f t="shared" si="18"/>
        <v>79.417226123271917</v>
      </c>
      <c r="I149" s="7"/>
    </row>
    <row r="150" spans="1:9" x14ac:dyDescent="0.3">
      <c r="A150" s="2">
        <v>43901</v>
      </c>
      <c r="B150" s="1">
        <v>68.857500000000002</v>
      </c>
      <c r="C150" s="1">
        <v>1820.86</v>
      </c>
      <c r="D150" s="22">
        <f t="shared" si="16"/>
        <v>994.47089913450498</v>
      </c>
      <c r="E150" s="23">
        <f t="shared" si="17"/>
        <v>-38.657996093029965</v>
      </c>
      <c r="F150" s="23">
        <f t="shared" si="18"/>
        <v>38.657996093029965</v>
      </c>
      <c r="I150" s="7"/>
    </row>
    <row r="151" spans="1:9" x14ac:dyDescent="0.3">
      <c r="A151" s="2">
        <v>43900</v>
      </c>
      <c r="B151" s="1">
        <v>71.334999999999994</v>
      </c>
      <c r="C151" s="1">
        <v>1891.82</v>
      </c>
      <c r="D151" s="22">
        <f t="shared" si="16"/>
        <v>1033.1288952275349</v>
      </c>
      <c r="E151" s="23">
        <f t="shared" si="17"/>
        <v>50.448415764170591</v>
      </c>
      <c r="F151" s="23">
        <f t="shared" si="18"/>
        <v>-50.448415764170591</v>
      </c>
      <c r="I151" s="7"/>
    </row>
    <row r="152" spans="1:9" x14ac:dyDescent="0.3">
      <c r="A152" s="2">
        <v>43899</v>
      </c>
      <c r="B152" s="1">
        <v>66.542400000000001</v>
      </c>
      <c r="C152" s="1">
        <v>1800.61</v>
      </c>
      <c r="D152" s="22">
        <f t="shared" si="16"/>
        <v>982.68047946336435</v>
      </c>
      <c r="E152" s="23">
        <f t="shared" si="17"/>
        <v>-55.781045229896449</v>
      </c>
      <c r="F152" s="23">
        <f t="shared" si="18"/>
        <v>55.781045229896449</v>
      </c>
      <c r="I152" s="7"/>
    </row>
    <row r="153" spans="1:9" x14ac:dyDescent="0.3">
      <c r="A153" s="2">
        <v>43896</v>
      </c>
      <c r="B153" s="1">
        <v>72.257499999999993</v>
      </c>
      <c r="C153" s="1">
        <v>1901.09</v>
      </c>
      <c r="D153" s="22">
        <f t="shared" si="16"/>
        <v>1038.4615246932608</v>
      </c>
      <c r="E153" s="23">
        <f t="shared" si="17"/>
        <v>-12.578312403513792</v>
      </c>
      <c r="F153" s="23">
        <f t="shared" si="18"/>
        <v>12.578312403513792</v>
      </c>
      <c r="I153" s="7"/>
    </row>
    <row r="154" spans="1:9" x14ac:dyDescent="0.3">
      <c r="A154" s="2">
        <v>43895</v>
      </c>
      <c r="B154" s="1">
        <v>73.23</v>
      </c>
      <c r="C154" s="1">
        <v>1924.03</v>
      </c>
      <c r="D154" s="22">
        <f t="shared" si="16"/>
        <v>1051.0398370967746</v>
      </c>
      <c r="E154" s="23">
        <f t="shared" si="17"/>
        <v>-28.524821921083003</v>
      </c>
      <c r="F154" s="23">
        <f t="shared" si="18"/>
        <v>28.524821921083003</v>
      </c>
      <c r="I154" s="7"/>
    </row>
    <row r="155" spans="1:9" x14ac:dyDescent="0.3">
      <c r="A155" s="2">
        <v>43894</v>
      </c>
      <c r="B155" s="1">
        <v>75.685000000000002</v>
      </c>
      <c r="C155" s="1">
        <v>1975.83</v>
      </c>
      <c r="D155" s="22">
        <f t="shared" si="16"/>
        <v>1079.5646590178576</v>
      </c>
      <c r="E155" s="23">
        <f t="shared" si="17"/>
        <v>36.895229904954022</v>
      </c>
      <c r="F155" s="23">
        <f t="shared" si="18"/>
        <v>-36.895229904954022</v>
      </c>
      <c r="I155" s="7"/>
    </row>
    <row r="156" spans="1:9" x14ac:dyDescent="0.3">
      <c r="A156" s="2">
        <v>43893</v>
      </c>
      <c r="B156" s="1">
        <v>72.33</v>
      </c>
      <c r="C156" s="1">
        <v>1908.99</v>
      </c>
      <c r="D156" s="22">
        <f t="shared" si="16"/>
        <v>1042.6694291129036</v>
      </c>
      <c r="E156" s="23">
        <f t="shared" si="17"/>
        <v>-24.872217115495459</v>
      </c>
      <c r="F156" s="23">
        <f t="shared" si="18"/>
        <v>24.872217115495459</v>
      </c>
      <c r="I156" s="7"/>
    </row>
    <row r="157" spans="1:9" x14ac:dyDescent="0.3">
      <c r="A157" s="2">
        <v>43892</v>
      </c>
      <c r="B157" s="1">
        <v>74.702500000000001</v>
      </c>
      <c r="C157" s="1">
        <v>1953.95</v>
      </c>
      <c r="D157" s="22">
        <f t="shared" si="16"/>
        <v>1067.541646228399</v>
      </c>
      <c r="E157" s="23">
        <f t="shared" si="17"/>
        <v>40.088961787154403</v>
      </c>
      <c r="F157" s="23">
        <f t="shared" si="18"/>
        <v>-40.088961787154403</v>
      </c>
      <c r="I157" s="7"/>
    </row>
    <row r="158" spans="1:9" x14ac:dyDescent="0.3">
      <c r="A158" s="2">
        <v>43889</v>
      </c>
      <c r="B158" s="1">
        <v>68.34</v>
      </c>
      <c r="C158" s="1">
        <v>1883.75</v>
      </c>
      <c r="D158" s="22">
        <f t="shared" si="16"/>
        <v>1027.4526844412446</v>
      </c>
      <c r="E158" s="23">
        <f t="shared" si="17"/>
        <v>-0.30944187211980534</v>
      </c>
      <c r="F158" s="23">
        <f t="shared" si="18"/>
        <v>0.30944187211980534</v>
      </c>
      <c r="I158" s="7"/>
    </row>
    <row r="159" spans="1:9" x14ac:dyDescent="0.3">
      <c r="A159" s="2">
        <v>43888</v>
      </c>
      <c r="B159" s="1">
        <v>68.38</v>
      </c>
      <c r="C159" s="1">
        <v>1884.3</v>
      </c>
      <c r="D159" s="22">
        <f t="shared" si="16"/>
        <v>1027.7621263133644</v>
      </c>
      <c r="E159" s="23">
        <f t="shared" si="17"/>
        <v>-52.599139578571339</v>
      </c>
      <c r="F159" s="23">
        <f t="shared" si="18"/>
        <v>52.599139578571339</v>
      </c>
      <c r="I159" s="7"/>
    </row>
    <row r="160" spans="1:9" x14ac:dyDescent="0.3">
      <c r="A160" s="2">
        <v>43887</v>
      </c>
      <c r="B160" s="1">
        <v>73.162400000000005</v>
      </c>
      <c r="C160" s="1">
        <v>1979.59</v>
      </c>
      <c r="D160" s="22">
        <f t="shared" si="16"/>
        <v>1080.3612658919358</v>
      </c>
      <c r="E160" s="23">
        <f t="shared" si="17"/>
        <v>4.1578243711981031</v>
      </c>
      <c r="F160" s="23">
        <f t="shared" si="18"/>
        <v>-4.1578243711981031</v>
      </c>
      <c r="I160" s="7"/>
    </row>
    <row r="161" spans="1:9" x14ac:dyDescent="0.3">
      <c r="A161" s="2">
        <v>43886</v>
      </c>
      <c r="B161" s="1">
        <v>72.02</v>
      </c>
      <c r="C161" s="1">
        <v>1972.74</v>
      </c>
      <c r="D161" s="22">
        <f t="shared" si="16"/>
        <v>1076.2034415207377</v>
      </c>
      <c r="E161" s="23">
        <f t="shared" si="17"/>
        <v>-20.500999409562155</v>
      </c>
      <c r="F161" s="23">
        <f t="shared" si="18"/>
        <v>20.500999409562155</v>
      </c>
      <c r="I161" s="7"/>
    </row>
    <row r="162" spans="1:9" x14ac:dyDescent="0.3">
      <c r="A162" s="2">
        <v>43885</v>
      </c>
      <c r="B162" s="1">
        <v>74.545000000000002</v>
      </c>
      <c r="C162" s="1">
        <v>2009.29</v>
      </c>
      <c r="D162" s="22">
        <f t="shared" si="16"/>
        <v>1096.7044409302998</v>
      </c>
      <c r="E162" s="23">
        <f t="shared" si="17"/>
        <v>-47.548031991647576</v>
      </c>
      <c r="F162" s="23">
        <f t="shared" si="18"/>
        <v>47.548031991647576</v>
      </c>
      <c r="I162" s="7"/>
    </row>
    <row r="163" spans="1:9" x14ac:dyDescent="0.3">
      <c r="A163" s="2">
        <v>43882</v>
      </c>
      <c r="B163" s="1">
        <v>78.262500000000003</v>
      </c>
      <c r="C163" s="1">
        <v>2095.9699999999998</v>
      </c>
      <c r="D163" s="22">
        <f t="shared" si="16"/>
        <v>1144.2524729219474</v>
      </c>
      <c r="E163" s="23">
        <f t="shared" si="17"/>
        <v>-31.03769757056466</v>
      </c>
      <c r="F163" s="23">
        <f t="shared" si="18"/>
        <v>31.03769757056466</v>
      </c>
      <c r="I163" s="7"/>
    </row>
    <row r="164" spans="1:9" x14ac:dyDescent="0.3">
      <c r="A164" s="2">
        <v>43881</v>
      </c>
      <c r="B164" s="1">
        <v>80.075000000000003</v>
      </c>
      <c r="C164" s="1">
        <v>2153.1</v>
      </c>
      <c r="D164" s="22">
        <f t="shared" si="16"/>
        <v>1175.2901704925121</v>
      </c>
      <c r="E164" s="23">
        <f t="shared" si="17"/>
        <v>-9.4362903859444032</v>
      </c>
      <c r="F164" s="23">
        <f t="shared" si="18"/>
        <v>9.4362903859444032</v>
      </c>
      <c r="I164" s="7"/>
    </row>
    <row r="165" spans="1:9" x14ac:dyDescent="0.3">
      <c r="A165" s="2">
        <v>43880</v>
      </c>
      <c r="B165" s="1">
        <v>80.905000000000001</v>
      </c>
      <c r="C165" s="1">
        <v>2170.2199999999998</v>
      </c>
      <c r="D165" s="22">
        <f t="shared" si="16"/>
        <v>1184.7264608784565</v>
      </c>
      <c r="E165" s="23">
        <f t="shared" si="17"/>
        <v>8.2318115236171252</v>
      </c>
      <c r="F165" s="23">
        <f t="shared" si="18"/>
        <v>-8.2318115236171252</v>
      </c>
      <c r="I165" s="7"/>
    </row>
    <row r="166" spans="1:9" x14ac:dyDescent="0.3">
      <c r="A166" s="2">
        <v>43879</v>
      </c>
      <c r="B166" s="1">
        <v>79.75</v>
      </c>
      <c r="C166" s="1">
        <v>2155.67</v>
      </c>
      <c r="D166" s="22">
        <f t="shared" si="16"/>
        <v>1176.4946493548393</v>
      </c>
      <c r="E166" s="23">
        <f t="shared" si="17"/>
        <v>10.287373970334329</v>
      </c>
      <c r="F166" s="23">
        <f t="shared" si="18"/>
        <v>-10.287373970334329</v>
      </c>
      <c r="I166" s="7"/>
    </row>
    <row r="167" spans="1:9" x14ac:dyDescent="0.3">
      <c r="A167" s="2">
        <v>43875</v>
      </c>
      <c r="B167" s="1">
        <v>81.237499999999997</v>
      </c>
      <c r="C167" s="1">
        <v>2134.87</v>
      </c>
      <c r="D167" s="22">
        <f t="shared" si="16"/>
        <v>1166.207275384505</v>
      </c>
      <c r="E167" s="23">
        <f t="shared" si="17"/>
        <v>-7.9153272926266709</v>
      </c>
      <c r="F167" s="23">
        <f t="shared" si="18"/>
        <v>7.9153272926266709</v>
      </c>
      <c r="I167" s="7"/>
    </row>
    <row r="168" spans="1:9" x14ac:dyDescent="0.3">
      <c r="A168" s="2">
        <v>43874</v>
      </c>
      <c r="B168" s="1">
        <v>81.217500000000001</v>
      </c>
      <c r="C168" s="1">
        <v>2149.87</v>
      </c>
      <c r="D168" s="22">
        <f t="shared" si="16"/>
        <v>1174.1226026771317</v>
      </c>
      <c r="E168" s="23">
        <f t="shared" si="17"/>
        <v>-5.6266103413020119</v>
      </c>
      <c r="F168" s="23">
        <f t="shared" si="18"/>
        <v>5.6266103413020119</v>
      </c>
      <c r="I168" s="7"/>
    </row>
    <row r="169" spans="1:9" x14ac:dyDescent="0.3">
      <c r="A169" s="2">
        <v>43873</v>
      </c>
      <c r="B169" s="1">
        <v>81.8</v>
      </c>
      <c r="C169" s="1">
        <v>2160</v>
      </c>
      <c r="D169" s="22">
        <f t="shared" si="16"/>
        <v>1179.7492130184337</v>
      </c>
      <c r="E169" s="23">
        <f t="shared" si="17"/>
        <v>5.7555377865783157</v>
      </c>
      <c r="F169" s="23">
        <f t="shared" si="18"/>
        <v>-5.7555377865783157</v>
      </c>
      <c r="I169" s="7"/>
    </row>
    <row r="170" spans="1:9" x14ac:dyDescent="0.3">
      <c r="A170" s="2">
        <v>43872</v>
      </c>
      <c r="B170" s="1">
        <v>79.902500000000003</v>
      </c>
      <c r="C170" s="1">
        <v>2150.8000000000002</v>
      </c>
      <c r="D170" s="22">
        <f t="shared" si="16"/>
        <v>1173.9936752318554</v>
      </c>
      <c r="E170" s="23">
        <f t="shared" si="17"/>
        <v>8.6945147609449123</v>
      </c>
      <c r="F170" s="23">
        <f t="shared" si="18"/>
        <v>-8.6945147609449123</v>
      </c>
      <c r="I170" s="7"/>
    </row>
    <row r="171" spans="1:9" x14ac:dyDescent="0.3">
      <c r="A171" s="2">
        <v>43871</v>
      </c>
      <c r="B171" s="1">
        <v>80.387500000000003</v>
      </c>
      <c r="C171" s="1">
        <v>2133.91</v>
      </c>
      <c r="D171" s="22">
        <f t="shared" si="16"/>
        <v>1165.2991604709105</v>
      </c>
      <c r="E171" s="23">
        <f t="shared" si="17"/>
        <v>29.041218749999871</v>
      </c>
      <c r="F171" s="23">
        <f t="shared" si="18"/>
        <v>-29.041218749999871</v>
      </c>
      <c r="I171" s="7"/>
    </row>
    <row r="172" spans="1:9" x14ac:dyDescent="0.3">
      <c r="A172" s="2">
        <v>43868</v>
      </c>
      <c r="B172" s="1">
        <v>80.007499999999993</v>
      </c>
      <c r="C172" s="1">
        <v>2079.2800000000002</v>
      </c>
      <c r="D172" s="22">
        <f t="shared" si="16"/>
        <v>1136.2579417209106</v>
      </c>
      <c r="E172" s="23">
        <f t="shared" si="17"/>
        <v>14.736791391128918</v>
      </c>
      <c r="F172" s="23">
        <f t="shared" si="18"/>
        <v>-14.736791391128918</v>
      </c>
      <c r="I172" s="7"/>
    </row>
    <row r="173" spans="1:9" x14ac:dyDescent="0.3">
      <c r="A173" s="2">
        <v>43867</v>
      </c>
      <c r="B173" s="1">
        <v>81.302499999999995</v>
      </c>
      <c r="C173" s="1">
        <v>2050.23</v>
      </c>
      <c r="D173" s="22">
        <f t="shared" si="16"/>
        <v>1121.5211503297817</v>
      </c>
      <c r="E173" s="23">
        <f t="shared" si="17"/>
        <v>5.9167498732720105</v>
      </c>
      <c r="F173" s="23">
        <f t="shared" si="18"/>
        <v>-5.9167498732720105</v>
      </c>
      <c r="I173" s="7"/>
    </row>
    <row r="174" spans="1:9" x14ac:dyDescent="0.3">
      <c r="A174" s="2">
        <v>43866</v>
      </c>
      <c r="B174" s="1">
        <v>80.362499999999997</v>
      </c>
      <c r="C174" s="1">
        <v>2039.87</v>
      </c>
      <c r="D174" s="22">
        <f t="shared" si="16"/>
        <v>1115.6044004565097</v>
      </c>
      <c r="E174" s="23">
        <f t="shared" si="17"/>
        <v>-4.8709167914746558</v>
      </c>
      <c r="F174" s="23">
        <f t="shared" si="18"/>
        <v>4.8709167914746558</v>
      </c>
      <c r="I174" s="7"/>
    </row>
    <row r="175" spans="1:9" x14ac:dyDescent="0.3">
      <c r="A175" s="2">
        <v>43865</v>
      </c>
      <c r="B175" s="1">
        <v>79.712500000000006</v>
      </c>
      <c r="C175" s="1">
        <v>2049.67</v>
      </c>
      <c r="D175" s="22">
        <f t="shared" si="16"/>
        <v>1120.4753172479843</v>
      </c>
      <c r="E175" s="23">
        <f t="shared" si="17"/>
        <v>25.224203443260194</v>
      </c>
      <c r="F175" s="23">
        <f t="shared" si="18"/>
        <v>-25.224203443260194</v>
      </c>
      <c r="I175" s="7"/>
    </row>
    <row r="176" spans="1:9" x14ac:dyDescent="0.3">
      <c r="A176" s="2">
        <v>43864</v>
      </c>
      <c r="B176" s="1">
        <v>77.165000000000006</v>
      </c>
      <c r="C176" s="1">
        <v>2004.2</v>
      </c>
      <c r="D176" s="22">
        <f t="shared" si="16"/>
        <v>1095.2511138047241</v>
      </c>
      <c r="E176" s="23">
        <f t="shared" si="17"/>
        <v>-2.4882271846197455</v>
      </c>
      <c r="F176" s="23">
        <f t="shared" si="18"/>
        <v>2.4882271846197455</v>
      </c>
      <c r="I176" s="7"/>
    </row>
    <row r="177" spans="1:9" x14ac:dyDescent="0.3">
      <c r="A177" s="2">
        <v>43861</v>
      </c>
      <c r="B177" s="1">
        <v>77.377499999999998</v>
      </c>
      <c r="C177" s="1">
        <v>2008.72</v>
      </c>
      <c r="D177" s="22">
        <f t="shared" si="16"/>
        <v>1097.7393409893439</v>
      </c>
      <c r="E177" s="23">
        <f t="shared" si="17"/>
        <v>71.235592839861965</v>
      </c>
      <c r="F177" s="23">
        <f t="shared" si="18"/>
        <v>-71.235592839861965</v>
      </c>
      <c r="I177" s="7"/>
    </row>
    <row r="178" spans="1:9" x14ac:dyDescent="0.3">
      <c r="A178" s="2">
        <v>43860</v>
      </c>
      <c r="B178" s="1">
        <v>80.967500000000001</v>
      </c>
      <c r="C178" s="1">
        <v>1870.68</v>
      </c>
      <c r="D178" s="22">
        <f t="shared" si="16"/>
        <v>1026.5037481494819</v>
      </c>
      <c r="E178" s="23">
        <f t="shared" si="17"/>
        <v>6.6436418793202847</v>
      </c>
      <c r="F178" s="23">
        <f t="shared" si="18"/>
        <v>-6.6436418793202847</v>
      </c>
      <c r="I178" s="7"/>
    </row>
    <row r="179" spans="1:9" x14ac:dyDescent="0.3">
      <c r="A179" s="2">
        <v>43859</v>
      </c>
      <c r="B179" s="1">
        <v>81.084999999999994</v>
      </c>
      <c r="C179" s="1">
        <v>1858</v>
      </c>
      <c r="D179" s="22">
        <f t="shared" si="16"/>
        <v>1019.8601062701616</v>
      </c>
      <c r="E179" s="23">
        <f t="shared" si="17"/>
        <v>3.293679961117391</v>
      </c>
      <c r="F179" s="23">
        <f t="shared" si="18"/>
        <v>-3.293679961117391</v>
      </c>
      <c r="I179" s="7"/>
    </row>
    <row r="180" spans="1:9" x14ac:dyDescent="0.3">
      <c r="A180" s="2">
        <v>43858</v>
      </c>
      <c r="B180" s="1">
        <v>79.422499999999999</v>
      </c>
      <c r="C180" s="1">
        <v>1853.25</v>
      </c>
      <c r="D180" s="22">
        <f t="shared" si="16"/>
        <v>1016.5664263090442</v>
      </c>
      <c r="E180" s="23">
        <f t="shared" si="17"/>
        <v>14.191012831221315</v>
      </c>
      <c r="F180" s="23">
        <f t="shared" si="18"/>
        <v>-14.191012831221315</v>
      </c>
      <c r="I180" s="7"/>
    </row>
    <row r="181" spans="1:9" x14ac:dyDescent="0.3">
      <c r="A181" s="2">
        <v>43857</v>
      </c>
      <c r="B181" s="1">
        <v>77.237499999999997</v>
      </c>
      <c r="C181" s="1">
        <v>1828.34</v>
      </c>
      <c r="D181" s="22">
        <f t="shared" si="16"/>
        <v>1002.3754134778229</v>
      </c>
      <c r="E181" s="23">
        <f t="shared" si="17"/>
        <v>-18.696706589861833</v>
      </c>
      <c r="F181" s="23">
        <f t="shared" si="18"/>
        <v>18.696706589861833</v>
      </c>
      <c r="I181" s="7"/>
    </row>
    <row r="182" spans="1:9" x14ac:dyDescent="0.3">
      <c r="A182" s="2">
        <v>43854</v>
      </c>
      <c r="B182" s="1">
        <v>79.577500000000001</v>
      </c>
      <c r="C182" s="1">
        <v>1861.64</v>
      </c>
      <c r="D182" s="22">
        <f t="shared" si="16"/>
        <v>1021.0721200676848</v>
      </c>
      <c r="E182" s="23">
        <f t="shared" si="17"/>
        <v>-12.228088070276385</v>
      </c>
      <c r="F182" s="23">
        <f t="shared" si="18"/>
        <v>12.228088070276385</v>
      </c>
      <c r="I182" s="7"/>
    </row>
    <row r="183" spans="1:9" x14ac:dyDescent="0.3">
      <c r="A183" s="2">
        <v>43853</v>
      </c>
      <c r="B183" s="1">
        <v>79.807500000000005</v>
      </c>
      <c r="C183" s="1">
        <v>1884.58</v>
      </c>
      <c r="D183" s="22">
        <f t="shared" si="16"/>
        <v>1033.3002081379611</v>
      </c>
      <c r="E183" s="23">
        <f t="shared" si="17"/>
        <v>-1.3411355054724936</v>
      </c>
      <c r="F183" s="23">
        <f t="shared" si="18"/>
        <v>1.3411355054724936</v>
      </c>
      <c r="I183" s="7"/>
    </row>
    <row r="184" spans="1:9" x14ac:dyDescent="0.3">
      <c r="A184" s="2">
        <v>43852</v>
      </c>
      <c r="B184" s="1">
        <v>79.424999999999997</v>
      </c>
      <c r="C184" s="1">
        <v>1887.46</v>
      </c>
      <c r="D184" s="22">
        <f t="shared" si="16"/>
        <v>1034.6413436434336</v>
      </c>
      <c r="E184" s="23">
        <f t="shared" si="17"/>
        <v>-2.2653106437210226</v>
      </c>
      <c r="F184" s="23">
        <f t="shared" si="18"/>
        <v>2.2653106437210226</v>
      </c>
      <c r="I184" s="7"/>
    </row>
    <row r="185" spans="1:9" x14ac:dyDescent="0.3">
      <c r="A185" s="2">
        <v>43851</v>
      </c>
      <c r="B185" s="1">
        <v>79.142499999999998</v>
      </c>
      <c r="C185" s="1">
        <v>1892</v>
      </c>
      <c r="D185" s="22">
        <f t="shared" si="16"/>
        <v>1036.9066542871547</v>
      </c>
      <c r="E185" s="23">
        <f t="shared" si="17"/>
        <v>14.157789965437587</v>
      </c>
      <c r="F185" s="23">
        <f t="shared" si="18"/>
        <v>-14.157789965437587</v>
      </c>
      <c r="I185" s="7"/>
    </row>
    <row r="186" spans="1:9" x14ac:dyDescent="0.3">
      <c r="A186" s="2">
        <v>43847</v>
      </c>
      <c r="B186" s="1">
        <v>79.682500000000005</v>
      </c>
      <c r="C186" s="1">
        <v>1864.72</v>
      </c>
      <c r="D186" s="22">
        <f t="shared" si="16"/>
        <v>1022.7488643217171</v>
      </c>
      <c r="E186" s="23">
        <f t="shared" si="17"/>
        <v>-6.5728129075459947</v>
      </c>
      <c r="F186" s="23">
        <f t="shared" si="18"/>
        <v>6.5728129075459947</v>
      </c>
      <c r="I186" s="7"/>
    </row>
    <row r="187" spans="1:9" x14ac:dyDescent="0.3">
      <c r="A187" s="2">
        <v>43846</v>
      </c>
      <c r="B187" s="1">
        <v>78.81</v>
      </c>
      <c r="C187" s="1">
        <v>1877.94</v>
      </c>
      <c r="D187" s="22">
        <f t="shared" si="16"/>
        <v>1029.3216772292631</v>
      </c>
      <c r="E187" s="23">
        <f t="shared" si="17"/>
        <v>8.8707034879032562</v>
      </c>
      <c r="F187" s="23">
        <f t="shared" si="18"/>
        <v>-8.8707034879032562</v>
      </c>
      <c r="I187" s="7"/>
    </row>
    <row r="188" spans="1:9" x14ac:dyDescent="0.3">
      <c r="A188" s="2">
        <v>43845</v>
      </c>
      <c r="B188" s="1">
        <v>77.834999999999994</v>
      </c>
      <c r="C188" s="1">
        <v>1862.02</v>
      </c>
      <c r="D188" s="22">
        <f t="shared" si="16"/>
        <v>1020.4509737413598</v>
      </c>
      <c r="E188" s="23">
        <f t="shared" si="17"/>
        <v>-4.078128752880275</v>
      </c>
      <c r="F188" s="23">
        <f t="shared" si="18"/>
        <v>4.078128752880275</v>
      </c>
      <c r="I188" s="7"/>
    </row>
    <row r="189" spans="1:9" x14ac:dyDescent="0.3">
      <c r="A189" s="2">
        <v>43844</v>
      </c>
      <c r="B189" s="1">
        <v>78.17</v>
      </c>
      <c r="C189" s="1">
        <v>1869.44</v>
      </c>
      <c r="D189" s="22">
        <f t="shared" si="16"/>
        <v>1024.5291024942401</v>
      </c>
      <c r="E189" s="23">
        <f t="shared" si="17"/>
        <v>-12.053718669354794</v>
      </c>
      <c r="F189" s="23">
        <f t="shared" si="18"/>
        <v>12.053718669354794</v>
      </c>
      <c r="I189" s="7"/>
    </row>
    <row r="190" spans="1:9" x14ac:dyDescent="0.3">
      <c r="A190" s="2">
        <v>43843</v>
      </c>
      <c r="B190" s="1">
        <v>79.239999999999995</v>
      </c>
      <c r="C190" s="1">
        <v>1891.3</v>
      </c>
      <c r="D190" s="22">
        <f t="shared" si="16"/>
        <v>1036.5828211635949</v>
      </c>
      <c r="E190" s="23">
        <f t="shared" si="17"/>
        <v>5.082317521601226</v>
      </c>
      <c r="F190" s="23">
        <f t="shared" si="18"/>
        <v>-5.082317521601226</v>
      </c>
      <c r="I190" s="7"/>
    </row>
    <row r="191" spans="1:9" x14ac:dyDescent="0.3">
      <c r="A191" s="2">
        <v>43840</v>
      </c>
      <c r="B191" s="1">
        <v>77.582499999999996</v>
      </c>
      <c r="C191" s="1">
        <v>1883.16</v>
      </c>
      <c r="D191" s="22">
        <f t="shared" si="16"/>
        <v>1031.5005036419936</v>
      </c>
      <c r="E191" s="23">
        <f t="shared" si="17"/>
        <v>-9.36905376440086</v>
      </c>
      <c r="F191" s="23">
        <f t="shared" si="18"/>
        <v>9.36905376440086</v>
      </c>
      <c r="I191" s="7"/>
    </row>
    <row r="192" spans="1:9" x14ac:dyDescent="0.3">
      <c r="A192" s="2">
        <v>43839</v>
      </c>
      <c r="B192" s="1">
        <v>77.407499999999999</v>
      </c>
      <c r="C192" s="1">
        <v>1901.05</v>
      </c>
      <c r="D192" s="22">
        <f t="shared" si="16"/>
        <v>1040.8695574063945</v>
      </c>
      <c r="E192" s="23">
        <f t="shared" si="17"/>
        <v>5.5565309504609104</v>
      </c>
      <c r="F192" s="23">
        <f t="shared" si="18"/>
        <v>-5.5565309504609104</v>
      </c>
      <c r="I192" s="7"/>
    </row>
    <row r="193" spans="1:9" x14ac:dyDescent="0.3">
      <c r="A193" s="2">
        <v>43838</v>
      </c>
      <c r="B193" s="1">
        <v>75.797499999999999</v>
      </c>
      <c r="C193" s="1">
        <v>1891.97</v>
      </c>
      <c r="D193" s="22">
        <f t="shared" si="16"/>
        <v>1035.3130264559336</v>
      </c>
      <c r="E193" s="23">
        <f t="shared" si="17"/>
        <v>-7.3006269066820551</v>
      </c>
      <c r="F193" s="23">
        <f t="shared" si="18"/>
        <v>7.3006269066820551</v>
      </c>
      <c r="I193" s="7"/>
    </row>
    <row r="194" spans="1:9" x14ac:dyDescent="0.3">
      <c r="A194" s="2">
        <v>43837</v>
      </c>
      <c r="B194" s="1">
        <v>74.597499999999997</v>
      </c>
      <c r="C194" s="1">
        <v>1906.86</v>
      </c>
      <c r="D194" s="22">
        <f t="shared" si="16"/>
        <v>1042.6136533626157</v>
      </c>
      <c r="E194" s="23">
        <f t="shared" si="17"/>
        <v>1.9364351195276868</v>
      </c>
      <c r="F194" s="23">
        <f t="shared" si="18"/>
        <v>-1.9364351195276868</v>
      </c>
      <c r="I194" s="7"/>
    </row>
    <row r="195" spans="1:9" x14ac:dyDescent="0.3">
      <c r="A195" s="2">
        <v>43836</v>
      </c>
      <c r="B195" s="1">
        <v>74.95</v>
      </c>
      <c r="C195" s="1">
        <v>1902.88</v>
      </c>
      <c r="D195" s="22">
        <f t="shared" si="16"/>
        <v>1040.677218243088</v>
      </c>
      <c r="E195" s="23">
        <f t="shared" si="17"/>
        <v>15.024810473790239</v>
      </c>
      <c r="F195" s="23">
        <f t="shared" si="18"/>
        <v>-15.024810473790239</v>
      </c>
      <c r="I195" s="7"/>
    </row>
    <row r="196" spans="1:9" x14ac:dyDescent="0.3">
      <c r="A196" s="2">
        <v>43833</v>
      </c>
      <c r="B196" s="1">
        <v>74.357500000000002</v>
      </c>
      <c r="C196" s="1">
        <v>1874.97</v>
      </c>
      <c r="D196" s="22">
        <f t="shared" si="16"/>
        <v>1025.6524077692977</v>
      </c>
      <c r="E196" s="23">
        <f t="shared" si="17"/>
        <v>-12.516761111751066</v>
      </c>
      <c r="F196" s="23">
        <f t="shared" si="18"/>
        <v>12.516761111751066</v>
      </c>
      <c r="I196" s="7"/>
    </row>
    <row r="197" spans="1:9" x14ac:dyDescent="0.3">
      <c r="A197" s="2">
        <v>43832</v>
      </c>
      <c r="B197" s="1">
        <v>75.087500000000006</v>
      </c>
      <c r="C197" s="1">
        <v>1898.01</v>
      </c>
      <c r="D197" s="22">
        <f t="shared" si="16"/>
        <v>1038.1691688810488</v>
      </c>
      <c r="E197" s="23">
        <f t="shared" si="17"/>
        <v>27.295752134216627</v>
      </c>
      <c r="F197" s="23">
        <f t="shared" si="18"/>
        <v>-27.295752134216627</v>
      </c>
      <c r="I197" s="7"/>
    </row>
    <row r="198" spans="1:9" x14ac:dyDescent="0.3">
      <c r="A198" s="2">
        <v>43831</v>
      </c>
      <c r="B198" s="1">
        <v>73.412499999999994</v>
      </c>
      <c r="C198" s="1">
        <v>1847.84</v>
      </c>
      <c r="D198" s="22">
        <f t="shared" ref="D198:D261" si="19">$M$16*B198+(1-$M$16)*C198</f>
        <v>1010.8734167468322</v>
      </c>
      <c r="E198" s="23">
        <f t="shared" ref="E198:E261" si="20">D198-D199</f>
        <v>0</v>
      </c>
      <c r="F198" s="23">
        <f t="shared" ref="F198:F261" si="21">-E198</f>
        <v>0</v>
      </c>
      <c r="I198" s="7"/>
    </row>
    <row r="199" spans="1:9" x14ac:dyDescent="0.3">
      <c r="A199" s="2">
        <v>43830</v>
      </c>
      <c r="B199" s="1">
        <v>73.412499999999994</v>
      </c>
      <c r="C199" s="1">
        <v>1847.84</v>
      </c>
      <c r="D199" s="22">
        <f t="shared" si="19"/>
        <v>1010.8734167468322</v>
      </c>
      <c r="E199" s="23">
        <f t="shared" si="20"/>
        <v>0.75307251296078448</v>
      </c>
      <c r="F199" s="23">
        <f t="shared" si="21"/>
        <v>-0.75307251296078448</v>
      </c>
      <c r="I199" s="7"/>
    </row>
    <row r="200" spans="1:9" x14ac:dyDescent="0.3">
      <c r="A200" s="2">
        <v>43829</v>
      </c>
      <c r="B200" s="1">
        <v>72.88</v>
      </c>
      <c r="C200" s="1">
        <v>1846.89</v>
      </c>
      <c r="D200" s="22">
        <f t="shared" si="19"/>
        <v>1010.1203442338714</v>
      </c>
      <c r="E200" s="23">
        <f t="shared" si="20"/>
        <v>-11.900928029953889</v>
      </c>
      <c r="F200" s="23">
        <f t="shared" si="21"/>
        <v>11.900928029953889</v>
      </c>
      <c r="I200" s="7"/>
    </row>
    <row r="201" spans="1:9" x14ac:dyDescent="0.3">
      <c r="A201" s="2">
        <v>43826</v>
      </c>
      <c r="B201" s="1">
        <v>72.45</v>
      </c>
      <c r="C201" s="1">
        <v>1869.8</v>
      </c>
      <c r="D201" s="22">
        <f t="shared" si="19"/>
        <v>1022.0212722638253</v>
      </c>
      <c r="E201" s="23">
        <f t="shared" si="20"/>
        <v>0.53119564660141805</v>
      </c>
      <c r="F201" s="23">
        <f t="shared" si="21"/>
        <v>-0.53119564660141805</v>
      </c>
      <c r="I201" s="7"/>
    </row>
    <row r="202" spans="1:9" x14ac:dyDescent="0.3">
      <c r="A202" s="2">
        <v>43825</v>
      </c>
      <c r="B202" s="1">
        <v>72.477500000000006</v>
      </c>
      <c r="C202" s="1">
        <v>1868.77</v>
      </c>
      <c r="D202" s="22">
        <f t="shared" si="19"/>
        <v>1021.4900766172238</v>
      </c>
      <c r="E202" s="23">
        <f t="shared" si="20"/>
        <v>42.698004521889288</v>
      </c>
      <c r="F202" s="23">
        <f t="shared" si="21"/>
        <v>-42.698004521889288</v>
      </c>
      <c r="I202" s="7"/>
    </row>
    <row r="203" spans="1:9" x14ac:dyDescent="0.3">
      <c r="A203" s="2">
        <v>43824</v>
      </c>
      <c r="B203" s="1">
        <v>71.067499999999995</v>
      </c>
      <c r="C203" s="1">
        <v>1789.21</v>
      </c>
      <c r="D203" s="22">
        <f t="shared" si="19"/>
        <v>978.79207209533456</v>
      </c>
      <c r="E203" s="23">
        <f t="shared" si="20"/>
        <v>0</v>
      </c>
      <c r="F203" s="23">
        <f t="shared" si="21"/>
        <v>0</v>
      </c>
      <c r="I203" s="7"/>
    </row>
    <row r="204" spans="1:9" x14ac:dyDescent="0.3">
      <c r="A204" s="2">
        <v>43823</v>
      </c>
      <c r="B204" s="1">
        <v>71.067499999999995</v>
      </c>
      <c r="C204" s="1">
        <v>1789.21</v>
      </c>
      <c r="D204" s="22">
        <f t="shared" si="19"/>
        <v>978.79207209533456</v>
      </c>
      <c r="E204" s="23">
        <f t="shared" si="20"/>
        <v>-1.9704843562786891</v>
      </c>
      <c r="F204" s="23">
        <f t="shared" si="21"/>
        <v>1.9704843562786891</v>
      </c>
      <c r="I204" s="7"/>
    </row>
    <row r="205" spans="1:9" x14ac:dyDescent="0.3">
      <c r="A205" s="2">
        <v>43822</v>
      </c>
      <c r="B205" s="1">
        <v>71</v>
      </c>
      <c r="C205" s="1">
        <v>1793</v>
      </c>
      <c r="D205" s="22">
        <f t="shared" si="19"/>
        <v>980.76255645161325</v>
      </c>
      <c r="E205" s="23">
        <f t="shared" si="20"/>
        <v>3.9717812442396507</v>
      </c>
      <c r="F205" s="23">
        <f t="shared" si="21"/>
        <v>-3.9717812442396507</v>
      </c>
      <c r="I205" s="7"/>
    </row>
    <row r="206" spans="1:9" x14ac:dyDescent="0.3">
      <c r="A206" s="2">
        <v>43819</v>
      </c>
      <c r="B206" s="1">
        <v>69.86</v>
      </c>
      <c r="C206" s="1">
        <v>1786.5</v>
      </c>
      <c r="D206" s="22">
        <f t="shared" si="19"/>
        <v>976.7907752073736</v>
      </c>
      <c r="E206" s="23">
        <f t="shared" si="20"/>
        <v>-3.1220685282257818</v>
      </c>
      <c r="F206" s="23">
        <f t="shared" si="21"/>
        <v>3.1220685282257818</v>
      </c>
      <c r="I206" s="7"/>
    </row>
    <row r="207" spans="1:9" x14ac:dyDescent="0.3">
      <c r="A207" s="2">
        <v>43818</v>
      </c>
      <c r="B207" s="1">
        <v>70.004999999999995</v>
      </c>
      <c r="C207" s="1">
        <v>1792.28</v>
      </c>
      <c r="D207" s="22">
        <f t="shared" si="19"/>
        <v>979.91284373559938</v>
      </c>
      <c r="E207" s="23">
        <f t="shared" si="20"/>
        <v>4.3916363018432776</v>
      </c>
      <c r="F207" s="23">
        <f t="shared" si="21"/>
        <v>-4.3916363018432776</v>
      </c>
      <c r="I207" s="7"/>
    </row>
    <row r="208" spans="1:9" x14ac:dyDescent="0.3">
      <c r="A208" s="2">
        <v>43817</v>
      </c>
      <c r="B208" s="1">
        <v>69.935000000000002</v>
      </c>
      <c r="C208" s="1">
        <v>1784.03</v>
      </c>
      <c r="D208" s="22">
        <f t="shared" si="19"/>
        <v>975.5212074337561</v>
      </c>
      <c r="E208" s="23">
        <f t="shared" si="20"/>
        <v>-3.5817511736751158</v>
      </c>
      <c r="F208" s="23">
        <f t="shared" si="21"/>
        <v>3.5817511736751158</v>
      </c>
      <c r="I208" s="7"/>
    </row>
    <row r="209" spans="1:9" x14ac:dyDescent="0.3">
      <c r="A209" s="2">
        <v>43816</v>
      </c>
      <c r="B209" s="1">
        <v>70.102500000000006</v>
      </c>
      <c r="C209" s="1">
        <v>1790.66</v>
      </c>
      <c r="D209" s="22">
        <f t="shared" si="19"/>
        <v>979.10295860743122</v>
      </c>
      <c r="E209" s="23">
        <f t="shared" si="20"/>
        <v>11.397264508928515</v>
      </c>
      <c r="F209" s="23">
        <f t="shared" si="21"/>
        <v>-11.397264508928515</v>
      </c>
      <c r="I209" s="7"/>
    </row>
    <row r="210" spans="1:9" x14ac:dyDescent="0.3">
      <c r="A210" s="2">
        <v>43815</v>
      </c>
      <c r="B210" s="1">
        <v>69.965000000000003</v>
      </c>
      <c r="C210" s="1">
        <v>1769.21</v>
      </c>
      <c r="D210" s="22">
        <f t="shared" si="19"/>
        <v>967.7056940985027</v>
      </c>
      <c r="E210" s="23">
        <f t="shared" si="20"/>
        <v>4.9245911333525783</v>
      </c>
      <c r="F210" s="23">
        <f t="shared" si="21"/>
        <v>-4.9245911333525783</v>
      </c>
      <c r="I210" s="7"/>
    </row>
    <row r="211" spans="1:9" x14ac:dyDescent="0.3">
      <c r="A211" s="2">
        <v>43812</v>
      </c>
      <c r="B211" s="1">
        <v>68.787499999999994</v>
      </c>
      <c r="C211" s="1">
        <v>1760.94</v>
      </c>
      <c r="D211" s="22">
        <f t="shared" si="19"/>
        <v>962.78110296515013</v>
      </c>
      <c r="E211" s="23">
        <f t="shared" si="20"/>
        <v>0.75740081365199785</v>
      </c>
      <c r="F211" s="23">
        <f t="shared" si="21"/>
        <v>-0.75740081365199785</v>
      </c>
      <c r="I211" s="7"/>
    </row>
    <row r="212" spans="1:9" x14ac:dyDescent="0.3">
      <c r="A212" s="2">
        <v>43811</v>
      </c>
      <c r="B212" s="1">
        <v>67.864999999999995</v>
      </c>
      <c r="C212" s="1">
        <v>1760.33</v>
      </c>
      <c r="D212" s="22">
        <f t="shared" si="19"/>
        <v>962.02370215149813</v>
      </c>
      <c r="E212" s="23">
        <f t="shared" si="20"/>
        <v>6.2151302203341174</v>
      </c>
      <c r="F212" s="23">
        <f t="shared" si="21"/>
        <v>-6.2151302203341174</v>
      </c>
      <c r="I212" s="7"/>
    </row>
    <row r="213" spans="1:9" x14ac:dyDescent="0.3">
      <c r="A213" s="2">
        <v>43810</v>
      </c>
      <c r="B213" s="1">
        <v>67.692499999999995</v>
      </c>
      <c r="C213" s="1">
        <v>1748.72</v>
      </c>
      <c r="D213" s="22">
        <f t="shared" si="19"/>
        <v>955.80857193116401</v>
      </c>
      <c r="E213" s="23">
        <f t="shared" si="20"/>
        <v>5.2943367295506505</v>
      </c>
      <c r="F213" s="23">
        <f t="shared" si="21"/>
        <v>-5.2943367295506505</v>
      </c>
      <c r="I213" s="7"/>
    </row>
    <row r="214" spans="1:9" x14ac:dyDescent="0.3">
      <c r="A214" s="2">
        <v>43809</v>
      </c>
      <c r="B214" s="1">
        <v>67.12</v>
      </c>
      <c r="C214" s="1">
        <v>1739.21</v>
      </c>
      <c r="D214" s="22">
        <f t="shared" si="19"/>
        <v>950.51423520161336</v>
      </c>
      <c r="E214" s="23">
        <f t="shared" si="20"/>
        <v>-5.2577129665897928</v>
      </c>
      <c r="F214" s="23">
        <f t="shared" si="21"/>
        <v>5.2577129665897928</v>
      </c>
      <c r="I214" s="7"/>
    </row>
    <row r="215" spans="1:9" x14ac:dyDescent="0.3">
      <c r="A215" s="2">
        <v>43808</v>
      </c>
      <c r="B215" s="1">
        <v>66.73</v>
      </c>
      <c r="C215" s="1">
        <v>1749.51</v>
      </c>
      <c r="D215" s="22">
        <f t="shared" si="19"/>
        <v>955.77194816820315</v>
      </c>
      <c r="E215" s="23">
        <f t="shared" si="20"/>
        <v>-1.5511026252879674</v>
      </c>
      <c r="F215" s="23">
        <f t="shared" si="21"/>
        <v>1.5511026252879674</v>
      </c>
      <c r="I215" s="7"/>
    </row>
    <row r="216" spans="1:9" x14ac:dyDescent="0.3">
      <c r="A216" s="2">
        <v>43805</v>
      </c>
      <c r="B216" s="1">
        <v>67.677499999999995</v>
      </c>
      <c r="C216" s="1">
        <v>1751.6</v>
      </c>
      <c r="D216" s="22">
        <f t="shared" si="19"/>
        <v>957.32305079349112</v>
      </c>
      <c r="E216" s="23">
        <f t="shared" si="20"/>
        <v>6.4798223862326267</v>
      </c>
      <c r="F216" s="23">
        <f t="shared" si="21"/>
        <v>-6.4798223862326267</v>
      </c>
      <c r="I216" s="7"/>
    </row>
    <row r="217" spans="1:9" x14ac:dyDescent="0.3">
      <c r="A217" s="2">
        <v>43804</v>
      </c>
      <c r="B217" s="1">
        <v>66.394999999999996</v>
      </c>
      <c r="C217" s="1">
        <v>1740.48</v>
      </c>
      <c r="D217" s="22">
        <f t="shared" si="19"/>
        <v>950.84322840725849</v>
      </c>
      <c r="E217" s="23">
        <f t="shared" si="20"/>
        <v>-10.224479279953925</v>
      </c>
      <c r="F217" s="23">
        <f t="shared" si="21"/>
        <v>10.224479279953925</v>
      </c>
      <c r="I217" s="7"/>
    </row>
    <row r="218" spans="1:9" x14ac:dyDescent="0.3">
      <c r="A218" s="2">
        <v>43803</v>
      </c>
      <c r="B218" s="1">
        <v>65.435000000000002</v>
      </c>
      <c r="C218" s="1">
        <v>1760.69</v>
      </c>
      <c r="D218" s="22">
        <f t="shared" si="19"/>
        <v>961.06770768721242</v>
      </c>
      <c r="E218" s="23">
        <f t="shared" si="20"/>
        <v>-4.6274639732141623</v>
      </c>
      <c r="F218" s="23">
        <f t="shared" si="21"/>
        <v>4.6274639732141623</v>
      </c>
      <c r="I218" s="7"/>
    </row>
    <row r="219" spans="1:9" x14ac:dyDescent="0.3">
      <c r="A219" s="2">
        <v>43802</v>
      </c>
      <c r="B219" s="1">
        <v>64.862499999999997</v>
      </c>
      <c r="C219" s="1">
        <v>1769.96</v>
      </c>
      <c r="D219" s="22">
        <f t="shared" si="19"/>
        <v>965.69517166042658</v>
      </c>
      <c r="E219" s="23">
        <f t="shared" si="20"/>
        <v>-6.7050207589286401</v>
      </c>
      <c r="F219" s="23">
        <f t="shared" si="21"/>
        <v>6.7050207589286401</v>
      </c>
      <c r="I219" s="7"/>
    </row>
    <row r="220" spans="1:9" x14ac:dyDescent="0.3">
      <c r="A220" s="2">
        <v>43801</v>
      </c>
      <c r="B220" s="1">
        <v>66.040000000000006</v>
      </c>
      <c r="C220" s="1">
        <v>1781.6</v>
      </c>
      <c r="D220" s="22">
        <f t="shared" si="19"/>
        <v>972.40019241935522</v>
      </c>
      <c r="E220" s="23">
        <f t="shared" si="20"/>
        <v>-10.508068820564517</v>
      </c>
      <c r="F220" s="23">
        <f t="shared" si="21"/>
        <v>10.508068820564517</v>
      </c>
      <c r="I220" s="7"/>
    </row>
    <row r="221" spans="1:9" x14ac:dyDescent="0.3">
      <c r="A221" s="2">
        <v>43798</v>
      </c>
      <c r="B221" s="1">
        <v>66.8125</v>
      </c>
      <c r="C221" s="1">
        <v>1800.8</v>
      </c>
      <c r="D221" s="22">
        <f t="shared" si="19"/>
        <v>982.90826123991974</v>
      </c>
      <c r="E221" s="23">
        <f t="shared" si="20"/>
        <v>-9.4260742727534534</v>
      </c>
      <c r="F221" s="23">
        <f t="shared" si="21"/>
        <v>9.4260742727534534</v>
      </c>
      <c r="I221" s="7"/>
    </row>
    <row r="222" spans="1:9" x14ac:dyDescent="0.3">
      <c r="A222" s="2">
        <v>43797</v>
      </c>
      <c r="B222" s="1">
        <v>66.959999999999994</v>
      </c>
      <c r="C222" s="1">
        <v>1818.51</v>
      </c>
      <c r="D222" s="22">
        <f t="shared" si="19"/>
        <v>992.33433551267319</v>
      </c>
      <c r="E222" s="23">
        <f t="shared" si="20"/>
        <v>0</v>
      </c>
      <c r="F222" s="23">
        <f t="shared" si="21"/>
        <v>0</v>
      </c>
      <c r="I222" s="7"/>
    </row>
    <row r="223" spans="1:9" x14ac:dyDescent="0.3">
      <c r="A223" s="2">
        <v>43796</v>
      </c>
      <c r="B223" s="1">
        <v>66.959999999999994</v>
      </c>
      <c r="C223" s="1">
        <v>1818.51</v>
      </c>
      <c r="D223" s="22">
        <f t="shared" si="19"/>
        <v>992.33433551267319</v>
      </c>
      <c r="E223" s="23">
        <f t="shared" si="20"/>
        <v>11.814424549251157</v>
      </c>
      <c r="F223" s="23">
        <f t="shared" si="21"/>
        <v>-11.814424549251157</v>
      </c>
      <c r="I223" s="7"/>
    </row>
    <row r="224" spans="1:9" x14ac:dyDescent="0.3">
      <c r="A224" s="2">
        <v>43795</v>
      </c>
      <c r="B224" s="1">
        <v>66.072500000000005</v>
      </c>
      <c r="C224" s="1">
        <v>1796.94</v>
      </c>
      <c r="D224" s="22">
        <f t="shared" si="19"/>
        <v>980.51991096342203</v>
      </c>
      <c r="E224" s="23">
        <f t="shared" si="20"/>
        <v>11.958856900921774</v>
      </c>
      <c r="F224" s="23">
        <f t="shared" si="21"/>
        <v>-11.958856900921774</v>
      </c>
      <c r="I224" s="7"/>
    </row>
    <row r="225" spans="1:9" x14ac:dyDescent="0.3">
      <c r="A225" s="2">
        <v>43794</v>
      </c>
      <c r="B225" s="1">
        <v>66.592500000000001</v>
      </c>
      <c r="C225" s="1">
        <v>1773.84</v>
      </c>
      <c r="D225" s="22">
        <f t="shared" si="19"/>
        <v>968.56105406250026</v>
      </c>
      <c r="E225" s="23">
        <f t="shared" si="20"/>
        <v>15.397540972062075</v>
      </c>
      <c r="F225" s="23">
        <f t="shared" si="21"/>
        <v>-15.397540972062075</v>
      </c>
      <c r="I225" s="7"/>
    </row>
    <row r="226" spans="1:9" x14ac:dyDescent="0.3">
      <c r="A226" s="2">
        <v>43791</v>
      </c>
      <c r="B226" s="1">
        <v>65.444999999999993</v>
      </c>
      <c r="C226" s="1">
        <v>1745.72</v>
      </c>
      <c r="D226" s="22">
        <f t="shared" si="19"/>
        <v>953.16351309043819</v>
      </c>
      <c r="E226" s="23">
        <f t="shared" si="20"/>
        <v>5.7896527836981022</v>
      </c>
      <c r="F226" s="23">
        <f t="shared" si="21"/>
        <v>-5.7896527836981022</v>
      </c>
      <c r="I226" s="7"/>
    </row>
    <row r="227" spans="1:9" x14ac:dyDescent="0.3">
      <c r="A227" s="2">
        <v>43790</v>
      </c>
      <c r="B227" s="1">
        <v>65.502499999999998</v>
      </c>
      <c r="C227" s="1">
        <v>1734.71</v>
      </c>
      <c r="D227" s="22">
        <f t="shared" si="19"/>
        <v>947.37386030674008</v>
      </c>
      <c r="E227" s="23">
        <f t="shared" si="20"/>
        <v>-5.8555405961980114</v>
      </c>
      <c r="F227" s="23">
        <f t="shared" si="21"/>
        <v>5.8555405961980114</v>
      </c>
      <c r="I227" s="7"/>
    </row>
    <row r="228" spans="1:9" x14ac:dyDescent="0.3">
      <c r="A228" s="2">
        <v>43789</v>
      </c>
      <c r="B228" s="1">
        <v>65.797499999999999</v>
      </c>
      <c r="C228" s="1">
        <v>1745.53</v>
      </c>
      <c r="D228" s="22">
        <f t="shared" si="19"/>
        <v>953.2294009029381</v>
      </c>
      <c r="E228" s="23">
        <f t="shared" si="20"/>
        <v>-4.2011383150922939</v>
      </c>
      <c r="F228" s="23">
        <f t="shared" si="21"/>
        <v>4.2011383150922939</v>
      </c>
      <c r="I228" s="7"/>
    </row>
    <row r="229" spans="1:9" x14ac:dyDescent="0.3">
      <c r="A229" s="2">
        <v>43788</v>
      </c>
      <c r="B229" s="1">
        <v>66.572500000000005</v>
      </c>
      <c r="C229" s="1">
        <v>1752.79</v>
      </c>
      <c r="D229" s="22">
        <f t="shared" si="19"/>
        <v>957.43053921803039</v>
      </c>
      <c r="E229" s="23">
        <f t="shared" si="20"/>
        <v>4.1846795794981517E-2</v>
      </c>
      <c r="F229" s="23">
        <f t="shared" si="21"/>
        <v>-4.1846795794981517E-2</v>
      </c>
      <c r="I229" s="7"/>
    </row>
    <row r="230" spans="1:9" x14ac:dyDescent="0.3">
      <c r="A230" s="2">
        <v>43787</v>
      </c>
      <c r="B230" s="1">
        <v>66.775000000000006</v>
      </c>
      <c r="C230" s="1">
        <v>1752.53</v>
      </c>
      <c r="D230" s="22">
        <f t="shared" si="19"/>
        <v>957.38869242223541</v>
      </c>
      <c r="E230" s="23">
        <f t="shared" si="20"/>
        <v>7.0472725201613002</v>
      </c>
      <c r="F230" s="23">
        <f t="shared" si="21"/>
        <v>-7.0472725201613002</v>
      </c>
      <c r="I230" s="7"/>
    </row>
    <row r="231" spans="1:9" x14ac:dyDescent="0.3">
      <c r="A231" s="2">
        <v>43784</v>
      </c>
      <c r="B231" s="1">
        <v>66.44</v>
      </c>
      <c r="C231" s="1">
        <v>1739.49</v>
      </c>
      <c r="D231" s="22">
        <f t="shared" si="19"/>
        <v>950.34141990207411</v>
      </c>
      <c r="E231" s="23">
        <f t="shared" si="20"/>
        <v>-7.6149634274192977</v>
      </c>
      <c r="F231" s="23">
        <f t="shared" si="21"/>
        <v>7.6149634274192977</v>
      </c>
      <c r="I231" s="7"/>
    </row>
    <row r="232" spans="1:9" x14ac:dyDescent="0.3">
      <c r="A232" s="2">
        <v>43783</v>
      </c>
      <c r="B232" s="1">
        <v>65.66</v>
      </c>
      <c r="C232" s="1">
        <v>1754.6</v>
      </c>
      <c r="D232" s="22">
        <f t="shared" si="19"/>
        <v>957.95638332949341</v>
      </c>
      <c r="E232" s="23">
        <f t="shared" si="20"/>
        <v>0.57139812932030054</v>
      </c>
      <c r="F232" s="23">
        <f t="shared" si="21"/>
        <v>-0.57139812932030054</v>
      </c>
      <c r="I232" s="7"/>
    </row>
    <row r="233" spans="1:9" x14ac:dyDescent="0.3">
      <c r="A233" s="2">
        <v>43782</v>
      </c>
      <c r="B233" s="1">
        <v>66.117500000000007</v>
      </c>
      <c r="C233" s="1">
        <v>1753.11</v>
      </c>
      <c r="D233" s="22">
        <f t="shared" si="19"/>
        <v>957.38498520017311</v>
      </c>
      <c r="E233" s="23">
        <f t="shared" si="20"/>
        <v>-12.853839160426332</v>
      </c>
      <c r="F233" s="23">
        <f t="shared" si="21"/>
        <v>12.853839160426332</v>
      </c>
      <c r="I233" s="7"/>
    </row>
    <row r="234" spans="1:9" x14ac:dyDescent="0.3">
      <c r="A234" s="2">
        <v>43781</v>
      </c>
      <c r="B234" s="1">
        <v>65.489999999999995</v>
      </c>
      <c r="C234" s="1">
        <v>1778</v>
      </c>
      <c r="D234" s="22">
        <f t="shared" si="19"/>
        <v>970.23882436059944</v>
      </c>
      <c r="E234" s="23">
        <f t="shared" si="20"/>
        <v>3.3265145103686109</v>
      </c>
      <c r="F234" s="23">
        <f t="shared" si="21"/>
        <v>-3.3265145103686109</v>
      </c>
      <c r="I234" s="7"/>
    </row>
    <row r="235" spans="1:9" x14ac:dyDescent="0.3">
      <c r="A235" s="2">
        <v>43780</v>
      </c>
      <c r="B235" s="1">
        <v>65.55</v>
      </c>
      <c r="C235" s="1">
        <v>1771.65</v>
      </c>
      <c r="D235" s="22">
        <f t="shared" si="19"/>
        <v>966.91230985023083</v>
      </c>
      <c r="E235" s="23">
        <f t="shared" si="20"/>
        <v>-7.2750400086405307</v>
      </c>
      <c r="F235" s="23">
        <f t="shared" si="21"/>
        <v>7.2750400086405307</v>
      </c>
      <c r="I235" s="7"/>
    </row>
    <row r="236" spans="1:9" x14ac:dyDescent="0.3">
      <c r="A236" s="2">
        <v>43777</v>
      </c>
      <c r="B236" s="1">
        <v>65.034999999999997</v>
      </c>
      <c r="C236" s="1">
        <v>1785.88</v>
      </c>
      <c r="D236" s="22">
        <f t="shared" si="19"/>
        <v>974.18734985887136</v>
      </c>
      <c r="E236" s="23">
        <f t="shared" si="20"/>
        <v>-1.1419726972925446</v>
      </c>
      <c r="F236" s="23">
        <f t="shared" si="21"/>
        <v>1.1419726972925446</v>
      </c>
      <c r="I236" s="7"/>
    </row>
    <row r="237" spans="1:9" x14ac:dyDescent="0.3">
      <c r="A237" s="2">
        <v>43776</v>
      </c>
      <c r="B237" s="1">
        <v>64.857500000000002</v>
      </c>
      <c r="C237" s="1">
        <v>1788.2</v>
      </c>
      <c r="D237" s="22">
        <f t="shared" si="19"/>
        <v>975.3293225561639</v>
      </c>
      <c r="E237" s="23">
        <f t="shared" si="20"/>
        <v>-3.7411164645737927</v>
      </c>
      <c r="F237" s="23">
        <f t="shared" si="21"/>
        <v>3.7411164645737927</v>
      </c>
      <c r="I237" s="7"/>
    </row>
    <row r="238" spans="1:9" x14ac:dyDescent="0.3">
      <c r="A238" s="2">
        <v>43775</v>
      </c>
      <c r="B238" s="1">
        <v>64.31</v>
      </c>
      <c r="C238" s="1">
        <v>1795.77</v>
      </c>
      <c r="D238" s="22">
        <f t="shared" si="19"/>
        <v>979.07043902073769</v>
      </c>
      <c r="E238" s="23">
        <f t="shared" si="20"/>
        <v>-3.1252340624999988</v>
      </c>
      <c r="F238" s="23">
        <f t="shared" si="21"/>
        <v>3.1252340624999988</v>
      </c>
      <c r="I238" s="7"/>
    </row>
    <row r="239" spans="1:9" x14ac:dyDescent="0.3">
      <c r="A239" s="2">
        <v>43774</v>
      </c>
      <c r="B239" s="1">
        <v>64.282499999999999</v>
      </c>
      <c r="C239" s="1">
        <v>1801.71</v>
      </c>
      <c r="D239" s="22">
        <f t="shared" si="19"/>
        <v>982.19567308323769</v>
      </c>
      <c r="E239" s="23">
        <f t="shared" si="20"/>
        <v>-1.6021669599655297</v>
      </c>
      <c r="F239" s="23">
        <f t="shared" si="21"/>
        <v>1.6021669599655297</v>
      </c>
      <c r="I239" s="7"/>
    </row>
    <row r="240" spans="1:9" x14ac:dyDescent="0.3">
      <c r="A240" s="2">
        <v>43773</v>
      </c>
      <c r="B240" s="1">
        <v>64.375</v>
      </c>
      <c r="C240" s="1">
        <v>1804.66</v>
      </c>
      <c r="D240" s="22">
        <f t="shared" si="19"/>
        <v>983.79784004320322</v>
      </c>
      <c r="E240" s="23">
        <f t="shared" si="20"/>
        <v>7.182462672811198</v>
      </c>
      <c r="F240" s="23">
        <f t="shared" si="21"/>
        <v>-7.182462672811198</v>
      </c>
      <c r="I240" s="7"/>
    </row>
    <row r="241" spans="1:9" x14ac:dyDescent="0.3">
      <c r="A241" s="2">
        <v>43770</v>
      </c>
      <c r="B241" s="1">
        <v>63.954999999999998</v>
      </c>
      <c r="C241" s="1">
        <v>1791.44</v>
      </c>
      <c r="D241" s="22">
        <f t="shared" si="19"/>
        <v>976.61537737039203</v>
      </c>
      <c r="E241" s="23">
        <f t="shared" si="20"/>
        <v>8.6410509130183755</v>
      </c>
      <c r="F241" s="23">
        <f t="shared" si="21"/>
        <v>-8.6410509130183755</v>
      </c>
      <c r="I241" s="7"/>
    </row>
    <row r="242" spans="1:9" x14ac:dyDescent="0.3">
      <c r="A242" s="2">
        <v>43769</v>
      </c>
      <c r="B242" s="1">
        <v>62.19</v>
      </c>
      <c r="C242" s="1">
        <v>1776.66</v>
      </c>
      <c r="D242" s="22">
        <f t="shared" si="19"/>
        <v>967.97432645737365</v>
      </c>
      <c r="E242" s="23">
        <f t="shared" si="20"/>
        <v>-1.1107333496544243</v>
      </c>
      <c r="F242" s="23">
        <f t="shared" si="21"/>
        <v>1.1107333496544243</v>
      </c>
      <c r="I242" s="7"/>
    </row>
    <row r="243" spans="1:9" x14ac:dyDescent="0.3">
      <c r="A243" s="2">
        <v>43768</v>
      </c>
      <c r="B243" s="1">
        <v>60.814999999999998</v>
      </c>
      <c r="C243" s="1">
        <v>1779.99</v>
      </c>
      <c r="D243" s="22">
        <f t="shared" si="19"/>
        <v>969.08505980702807</v>
      </c>
      <c r="E243" s="23">
        <f t="shared" si="20"/>
        <v>9.1257869887673451</v>
      </c>
      <c r="F243" s="23">
        <f t="shared" si="21"/>
        <v>-9.1257869887673451</v>
      </c>
      <c r="I243" s="7"/>
    </row>
    <row r="244" spans="1:9" x14ac:dyDescent="0.3">
      <c r="A244" s="2">
        <v>43767</v>
      </c>
      <c r="B244" s="1">
        <v>60.822499999999998</v>
      </c>
      <c r="C244" s="1">
        <v>1762.71</v>
      </c>
      <c r="D244" s="22">
        <f t="shared" si="19"/>
        <v>959.95927281826073</v>
      </c>
      <c r="E244" s="23">
        <f t="shared" si="20"/>
        <v>-8.2711439343316897</v>
      </c>
      <c r="F244" s="23">
        <f t="shared" si="21"/>
        <v>8.2711439343316897</v>
      </c>
      <c r="I244" s="7"/>
    </row>
    <row r="245" spans="1:9" x14ac:dyDescent="0.3">
      <c r="A245" s="2">
        <v>43766</v>
      </c>
      <c r="B245" s="1">
        <v>62.262500000000003</v>
      </c>
      <c r="C245" s="1">
        <v>1777.08</v>
      </c>
      <c r="D245" s="22">
        <f t="shared" si="19"/>
        <v>968.23041675259242</v>
      </c>
      <c r="E245" s="23">
        <f t="shared" si="20"/>
        <v>8.612262999711902</v>
      </c>
      <c r="F245" s="23">
        <f t="shared" si="21"/>
        <v>-8.612262999711902</v>
      </c>
      <c r="I245" s="7"/>
    </row>
    <row r="246" spans="1:9" x14ac:dyDescent="0.3">
      <c r="A246" s="2">
        <v>43763</v>
      </c>
      <c r="B246" s="1">
        <v>61.645000000000003</v>
      </c>
      <c r="C246" s="1">
        <v>1761.33</v>
      </c>
      <c r="D246" s="22">
        <f t="shared" si="19"/>
        <v>959.61815375288052</v>
      </c>
      <c r="E246" s="23">
        <f t="shared" si="20"/>
        <v>-9.9220114055300428</v>
      </c>
      <c r="F246" s="23">
        <f t="shared" si="21"/>
        <v>9.9220114055300428</v>
      </c>
      <c r="I246" s="7"/>
    </row>
    <row r="247" spans="1:9" x14ac:dyDescent="0.3">
      <c r="A247" s="2">
        <v>43762</v>
      </c>
      <c r="B247" s="1">
        <v>60.895000000000003</v>
      </c>
      <c r="C247" s="1">
        <v>1780.78</v>
      </c>
      <c r="D247" s="22">
        <f t="shared" si="19"/>
        <v>969.54016515841056</v>
      </c>
      <c r="E247" s="23">
        <f t="shared" si="20"/>
        <v>9.8791550057603672</v>
      </c>
      <c r="F247" s="23">
        <f t="shared" si="21"/>
        <v>-9.8791550057603672</v>
      </c>
      <c r="I247" s="7"/>
    </row>
    <row r="248" spans="1:9" x14ac:dyDescent="0.3">
      <c r="A248" s="2">
        <v>43761</v>
      </c>
      <c r="B248" s="1">
        <v>60.795000000000002</v>
      </c>
      <c r="C248" s="1">
        <v>1762.17</v>
      </c>
      <c r="D248" s="22">
        <f t="shared" si="19"/>
        <v>959.66101015265019</v>
      </c>
      <c r="E248" s="23">
        <f t="shared" si="20"/>
        <v>-1.5011054349077995</v>
      </c>
      <c r="F248" s="23">
        <f t="shared" si="21"/>
        <v>1.5011054349077995</v>
      </c>
      <c r="I248" s="7"/>
    </row>
    <row r="249" spans="1:9" x14ac:dyDescent="0.3">
      <c r="A249" s="2">
        <v>43760</v>
      </c>
      <c r="B249" s="1">
        <v>59.99</v>
      </c>
      <c r="C249" s="1">
        <v>1765.73</v>
      </c>
      <c r="D249" s="22">
        <f t="shared" si="19"/>
        <v>961.16211558755799</v>
      </c>
      <c r="E249" s="23">
        <f t="shared" si="20"/>
        <v>-10.594222066532325</v>
      </c>
      <c r="F249" s="23">
        <f t="shared" si="21"/>
        <v>10.594222066532325</v>
      </c>
      <c r="I249" s="7"/>
    </row>
    <row r="250" spans="1:9" x14ac:dyDescent="0.3">
      <c r="A250" s="2">
        <v>43759</v>
      </c>
      <c r="B250" s="1">
        <v>60.127499999999998</v>
      </c>
      <c r="C250" s="1">
        <v>1785.66</v>
      </c>
      <c r="D250" s="22">
        <f t="shared" si="19"/>
        <v>971.75633765409032</v>
      </c>
      <c r="E250" s="23">
        <f t="shared" si="20"/>
        <v>15.355609375000085</v>
      </c>
      <c r="F250" s="23">
        <f t="shared" si="21"/>
        <v>-15.355609375000085</v>
      </c>
      <c r="I250" s="7"/>
    </row>
    <row r="251" spans="1:9" x14ac:dyDescent="0.3">
      <c r="A251" s="2">
        <v>43756</v>
      </c>
      <c r="B251" s="1">
        <v>59.102499999999999</v>
      </c>
      <c r="C251" s="1">
        <v>1757.51</v>
      </c>
      <c r="D251" s="22">
        <f t="shared" si="19"/>
        <v>956.40072827909023</v>
      </c>
      <c r="E251" s="23">
        <f t="shared" si="20"/>
        <v>-15.700422031970106</v>
      </c>
      <c r="F251" s="23">
        <f t="shared" si="21"/>
        <v>15.700422031970106</v>
      </c>
      <c r="I251" s="7"/>
    </row>
    <row r="252" spans="1:9" x14ac:dyDescent="0.3">
      <c r="A252" s="2">
        <v>43755</v>
      </c>
      <c r="B252" s="1">
        <v>58.82</v>
      </c>
      <c r="C252" s="1">
        <v>1787.48</v>
      </c>
      <c r="D252" s="22">
        <f t="shared" si="19"/>
        <v>972.10115031106034</v>
      </c>
      <c r="E252" s="23">
        <f t="shared" si="20"/>
        <v>5.4168976252880157</v>
      </c>
      <c r="F252" s="23">
        <f t="shared" si="21"/>
        <v>-5.4168976252880157</v>
      </c>
      <c r="I252" s="7"/>
    </row>
    <row r="253" spans="1:9" x14ac:dyDescent="0.3">
      <c r="A253" s="2">
        <v>43754</v>
      </c>
      <c r="B253" s="1">
        <v>58.592500000000001</v>
      </c>
      <c r="C253" s="1">
        <v>1777.43</v>
      </c>
      <c r="D253" s="22">
        <f t="shared" si="19"/>
        <v>966.68425268577232</v>
      </c>
      <c r="E253" s="23">
        <f t="shared" si="20"/>
        <v>5.1975652145737286</v>
      </c>
      <c r="F253" s="23">
        <f t="shared" si="21"/>
        <v>-5.1975652145737286</v>
      </c>
      <c r="I253" s="7"/>
    </row>
    <row r="254" spans="1:9" x14ac:dyDescent="0.3">
      <c r="A254" s="2">
        <v>43753</v>
      </c>
      <c r="B254" s="1">
        <v>58.83</v>
      </c>
      <c r="C254" s="1">
        <v>1767.38</v>
      </c>
      <c r="D254" s="22">
        <f t="shared" si="19"/>
        <v>961.48668747119859</v>
      </c>
      <c r="E254" s="23">
        <f t="shared" si="20"/>
        <v>16.286567057891716</v>
      </c>
      <c r="F254" s="23">
        <f t="shared" si="21"/>
        <v>-16.286567057891716</v>
      </c>
      <c r="I254" s="7"/>
    </row>
    <row r="255" spans="1:9" x14ac:dyDescent="0.3">
      <c r="A255" s="2">
        <v>43752</v>
      </c>
      <c r="B255" s="1">
        <v>58.967500000000001</v>
      </c>
      <c r="C255" s="1">
        <v>1736.43</v>
      </c>
      <c r="D255" s="22">
        <f t="shared" si="19"/>
        <v>945.20012041330688</v>
      </c>
      <c r="E255" s="23">
        <f t="shared" si="20"/>
        <v>2.3426184360598654</v>
      </c>
      <c r="F255" s="23">
        <f t="shared" si="21"/>
        <v>-2.3426184360598654</v>
      </c>
      <c r="I255" s="7"/>
    </row>
    <row r="256" spans="1:9" x14ac:dyDescent="0.3">
      <c r="A256" s="2">
        <v>43749</v>
      </c>
      <c r="B256" s="1">
        <v>59.052500000000002</v>
      </c>
      <c r="C256" s="1">
        <v>1731.92</v>
      </c>
      <c r="D256" s="22">
        <f t="shared" si="19"/>
        <v>942.85750197724701</v>
      </c>
      <c r="E256" s="23">
        <f t="shared" si="20"/>
        <v>6.8818552246544868</v>
      </c>
      <c r="F256" s="23">
        <f t="shared" si="21"/>
        <v>-6.8818552246544868</v>
      </c>
      <c r="I256" s="7"/>
    </row>
    <row r="257" spans="1:9" x14ac:dyDescent="0.3">
      <c r="A257" s="2">
        <v>43748</v>
      </c>
      <c r="B257" s="1">
        <v>57.522500000000001</v>
      </c>
      <c r="C257" s="1">
        <v>1720.26</v>
      </c>
      <c r="D257" s="22">
        <f t="shared" si="19"/>
        <v>935.97564675259252</v>
      </c>
      <c r="E257" s="23">
        <f t="shared" si="20"/>
        <v>-0.55315190380190415</v>
      </c>
      <c r="F257" s="23">
        <f t="shared" si="21"/>
        <v>0.55315190380190415</v>
      </c>
      <c r="I257" s="7"/>
    </row>
    <row r="258" spans="1:9" x14ac:dyDescent="0.3">
      <c r="A258" s="2">
        <v>43747</v>
      </c>
      <c r="B258" s="1">
        <v>56.7575</v>
      </c>
      <c r="C258" s="1">
        <v>1721.99</v>
      </c>
      <c r="D258" s="22">
        <f t="shared" si="19"/>
        <v>936.52879865639443</v>
      </c>
      <c r="E258" s="23">
        <f t="shared" si="20"/>
        <v>9.016802003168209</v>
      </c>
      <c r="F258" s="23">
        <f t="shared" si="21"/>
        <v>-9.016802003168209</v>
      </c>
      <c r="I258" s="7"/>
    </row>
    <row r="259" spans="1:9" x14ac:dyDescent="0.3">
      <c r="A259" s="2">
        <v>43746</v>
      </c>
      <c r="B259" s="1">
        <v>56.1</v>
      </c>
      <c r="C259" s="1">
        <v>1705.51</v>
      </c>
      <c r="D259" s="22">
        <f t="shared" si="19"/>
        <v>927.51199665322622</v>
      </c>
      <c r="E259" s="23">
        <f t="shared" si="20"/>
        <v>-14.657486241359493</v>
      </c>
      <c r="F259" s="23">
        <f t="shared" si="21"/>
        <v>14.657486241359493</v>
      </c>
      <c r="I259" s="7"/>
    </row>
    <row r="260" spans="1:9" x14ac:dyDescent="0.3">
      <c r="A260" s="2">
        <v>43745</v>
      </c>
      <c r="B260" s="1">
        <v>56.765000000000001</v>
      </c>
      <c r="C260" s="1">
        <v>1732.66</v>
      </c>
      <c r="D260" s="22">
        <f t="shared" si="19"/>
        <v>942.16948289458571</v>
      </c>
      <c r="E260" s="23">
        <f t="shared" si="20"/>
        <v>-3.6870425676843297</v>
      </c>
      <c r="F260" s="23">
        <f t="shared" si="21"/>
        <v>3.6870425676843297</v>
      </c>
      <c r="I260" s="7"/>
    </row>
    <row r="261" spans="1:9" x14ac:dyDescent="0.3">
      <c r="A261" s="2">
        <v>43742</v>
      </c>
      <c r="B261" s="1">
        <v>56.752499999999998</v>
      </c>
      <c r="C261" s="1">
        <v>1739.65</v>
      </c>
      <c r="D261" s="22">
        <f t="shared" si="19"/>
        <v>945.85652546227004</v>
      </c>
      <c r="E261" s="23">
        <f t="shared" si="20"/>
        <v>8.7762027750577545</v>
      </c>
      <c r="F261" s="23">
        <f t="shared" si="21"/>
        <v>-8.7762027750577545</v>
      </c>
      <c r="I261" s="7"/>
    </row>
    <row r="262" spans="1:9" x14ac:dyDescent="0.3">
      <c r="A262" s="2">
        <v>43741</v>
      </c>
      <c r="B262" s="1">
        <v>55.204999999999998</v>
      </c>
      <c r="C262" s="1">
        <v>1724.42</v>
      </c>
      <c r="D262" s="22">
        <f t="shared" ref="D262:D325" si="22">$M$16*B262+(1-$M$16)*C262</f>
        <v>937.08032268721229</v>
      </c>
      <c r="E262" s="23">
        <f t="shared" ref="E262:E325" si="23">D262-D263</f>
        <v>6.1312040754608006</v>
      </c>
      <c r="F262" s="23">
        <f t="shared" ref="F262:F325" si="24">-E262</f>
        <v>-6.1312040754608006</v>
      </c>
      <c r="I262" s="7"/>
    </row>
    <row r="263" spans="1:9" x14ac:dyDescent="0.3">
      <c r="A263" s="2">
        <v>43740</v>
      </c>
      <c r="B263" s="1">
        <v>54.74</v>
      </c>
      <c r="C263" s="1">
        <v>1713.23</v>
      </c>
      <c r="D263" s="22">
        <f t="shared" si="22"/>
        <v>930.94911861175149</v>
      </c>
      <c r="E263" s="23">
        <f t="shared" si="23"/>
        <v>-12.508769290034707</v>
      </c>
      <c r="F263" s="23">
        <f t="shared" si="24"/>
        <v>12.508769290034707</v>
      </c>
      <c r="I263" s="7"/>
    </row>
    <row r="264" spans="1:9" x14ac:dyDescent="0.3">
      <c r="A264" s="2">
        <v>43739</v>
      </c>
      <c r="B264" s="1">
        <v>56.147500000000001</v>
      </c>
      <c r="C264" s="1">
        <v>1735.65</v>
      </c>
      <c r="D264" s="22">
        <f t="shared" si="22"/>
        <v>943.45788790178619</v>
      </c>
      <c r="E264" s="23">
        <f t="shared" si="23"/>
        <v>-6.4251719470007629E-2</v>
      </c>
      <c r="F264" s="23">
        <f t="shared" si="24"/>
        <v>6.4251719470007629E-2</v>
      </c>
      <c r="I264" s="7"/>
    </row>
    <row r="265" spans="1:9" x14ac:dyDescent="0.3">
      <c r="A265" s="2">
        <v>43738</v>
      </c>
      <c r="B265" s="1">
        <v>55.9925</v>
      </c>
      <c r="C265" s="1">
        <v>1735.91</v>
      </c>
      <c r="D265" s="22">
        <f t="shared" si="22"/>
        <v>943.5221396212562</v>
      </c>
      <c r="E265" s="23">
        <f t="shared" si="23"/>
        <v>6.1334913176843884</v>
      </c>
      <c r="F265" s="23">
        <f t="shared" si="24"/>
        <v>-6.1334913176843884</v>
      </c>
      <c r="I265" s="7"/>
    </row>
    <row r="266" spans="1:9" x14ac:dyDescent="0.3">
      <c r="A266" s="2">
        <v>43735</v>
      </c>
      <c r="B266" s="1">
        <v>54.704999999999998</v>
      </c>
      <c r="C266" s="1">
        <v>1725.45</v>
      </c>
      <c r="D266" s="22">
        <f t="shared" si="22"/>
        <v>937.38864830357181</v>
      </c>
      <c r="E266" s="23">
        <f t="shared" si="23"/>
        <v>-7.7286624294354169</v>
      </c>
      <c r="F266" s="23">
        <f t="shared" si="24"/>
        <v>7.7286624294354169</v>
      </c>
      <c r="I266" s="7"/>
    </row>
    <row r="267" spans="1:9" x14ac:dyDescent="0.3">
      <c r="A267" s="2">
        <v>43734</v>
      </c>
      <c r="B267" s="1">
        <v>54.972499999999997</v>
      </c>
      <c r="C267" s="1">
        <v>1739.84</v>
      </c>
      <c r="D267" s="22">
        <f t="shared" si="22"/>
        <v>945.11731073300723</v>
      </c>
      <c r="E267" s="23">
        <f t="shared" si="23"/>
        <v>-15.186192163018404</v>
      </c>
      <c r="F267" s="23">
        <f t="shared" si="24"/>
        <v>15.186192163018404</v>
      </c>
      <c r="I267" s="7"/>
    </row>
    <row r="268" spans="1:9" x14ac:dyDescent="0.3">
      <c r="A268" s="2">
        <v>43733</v>
      </c>
      <c r="B268" s="1">
        <v>55.2575</v>
      </c>
      <c r="C268" s="1">
        <v>1768.33</v>
      </c>
      <c r="D268" s="22">
        <f t="shared" si="22"/>
        <v>960.30350289602563</v>
      </c>
      <c r="E268" s="23">
        <f t="shared" si="23"/>
        <v>14.511675010080694</v>
      </c>
      <c r="F268" s="23">
        <f t="shared" si="24"/>
        <v>-14.511675010080694</v>
      </c>
      <c r="I268" s="7"/>
    </row>
    <row r="269" spans="1:9" x14ac:dyDescent="0.3">
      <c r="A269" s="2">
        <v>43732</v>
      </c>
      <c r="B269" s="1">
        <v>54.42</v>
      </c>
      <c r="C269" s="1">
        <v>1741.61</v>
      </c>
      <c r="D269" s="22">
        <f t="shared" si="22"/>
        <v>945.79182788594494</v>
      </c>
      <c r="E269" s="23">
        <f t="shared" si="23"/>
        <v>-23.204824521889464</v>
      </c>
      <c r="F269" s="23">
        <f t="shared" si="24"/>
        <v>23.204824521889464</v>
      </c>
      <c r="I269" s="7"/>
    </row>
    <row r="270" spans="1:9" x14ac:dyDescent="0.3">
      <c r="A270" s="2">
        <v>43731</v>
      </c>
      <c r="B270" s="1">
        <v>54.68</v>
      </c>
      <c r="C270" s="1">
        <v>1785.3</v>
      </c>
      <c r="D270" s="22">
        <f t="shared" si="22"/>
        <v>968.9966524078344</v>
      </c>
      <c r="E270" s="23">
        <f t="shared" si="23"/>
        <v>-4.5641506869241084</v>
      </c>
      <c r="F270" s="23">
        <f t="shared" si="24"/>
        <v>4.5641506869241084</v>
      </c>
      <c r="I270" s="7"/>
    </row>
    <row r="271" spans="1:9" x14ac:dyDescent="0.3">
      <c r="A271" s="2">
        <v>43728</v>
      </c>
      <c r="B271" s="1">
        <v>54.432499999999997</v>
      </c>
      <c r="C271" s="1">
        <v>1794.16</v>
      </c>
      <c r="D271" s="22">
        <f t="shared" si="22"/>
        <v>973.56080309475851</v>
      </c>
      <c r="E271" s="23">
        <f t="shared" si="23"/>
        <v>-14.825081317684294</v>
      </c>
      <c r="F271" s="23">
        <f t="shared" si="24"/>
        <v>14.825081317684294</v>
      </c>
      <c r="I271" s="7"/>
    </row>
    <row r="272" spans="1:9" x14ac:dyDescent="0.3">
      <c r="A272" s="2">
        <v>43727</v>
      </c>
      <c r="B272" s="1">
        <v>55.24</v>
      </c>
      <c r="C272" s="1">
        <v>1821.5</v>
      </c>
      <c r="D272" s="22">
        <f t="shared" si="22"/>
        <v>988.38588441244281</v>
      </c>
      <c r="E272" s="23">
        <f t="shared" si="23"/>
        <v>1.9209659029377235</v>
      </c>
      <c r="F272" s="23">
        <f t="shared" si="24"/>
        <v>-1.9209659029377235</v>
      </c>
      <c r="I272" s="7"/>
    </row>
    <row r="273" spans="1:9" x14ac:dyDescent="0.3">
      <c r="A273" s="2">
        <v>43726</v>
      </c>
      <c r="B273" s="1">
        <v>55.692500000000003</v>
      </c>
      <c r="C273" s="1">
        <v>1817.46</v>
      </c>
      <c r="D273" s="22">
        <f t="shared" si="22"/>
        <v>986.46491850950508</v>
      </c>
      <c r="E273" s="23">
        <f t="shared" si="23"/>
        <v>-2.4450397998271001</v>
      </c>
      <c r="F273" s="23">
        <f t="shared" si="24"/>
        <v>2.4450397998271001</v>
      </c>
      <c r="I273" s="7"/>
    </row>
    <row r="274" spans="1:9" x14ac:dyDescent="0.3">
      <c r="A274" s="2">
        <v>43725</v>
      </c>
      <c r="B274" s="1">
        <v>55.174999999999997</v>
      </c>
      <c r="C274" s="1">
        <v>1822.55</v>
      </c>
      <c r="D274" s="22">
        <f t="shared" si="22"/>
        <v>988.90995830933218</v>
      </c>
      <c r="E274" s="23">
        <f t="shared" si="23"/>
        <v>7.8658854205069701</v>
      </c>
      <c r="F274" s="23">
        <f t="shared" si="24"/>
        <v>-7.8658854205069701</v>
      </c>
      <c r="I274" s="7"/>
    </row>
    <row r="275" spans="1:9" x14ac:dyDescent="0.3">
      <c r="A275" s="2">
        <v>43724</v>
      </c>
      <c r="B275" s="1">
        <v>54.975000000000001</v>
      </c>
      <c r="C275" s="1">
        <v>1807.84</v>
      </c>
      <c r="D275" s="22">
        <f t="shared" si="22"/>
        <v>981.04407288882521</v>
      </c>
      <c r="E275" s="23">
        <f t="shared" si="23"/>
        <v>-16.506389235311076</v>
      </c>
      <c r="F275" s="23">
        <f t="shared" si="24"/>
        <v>16.506389235311076</v>
      </c>
      <c r="I275" s="7"/>
    </row>
    <row r="276" spans="1:9" x14ac:dyDescent="0.3">
      <c r="A276" s="2">
        <v>43721</v>
      </c>
      <c r="B276" s="1">
        <v>54.6875</v>
      </c>
      <c r="C276" s="1">
        <v>1839.34</v>
      </c>
      <c r="D276" s="22">
        <f t="shared" si="22"/>
        <v>997.55046212413629</v>
      </c>
      <c r="E276" s="23">
        <f t="shared" si="23"/>
        <v>-2.7353786760945695</v>
      </c>
      <c r="F276" s="23">
        <f t="shared" si="24"/>
        <v>2.7353786760945695</v>
      </c>
      <c r="I276" s="7"/>
    </row>
    <row r="277" spans="1:9" x14ac:dyDescent="0.3">
      <c r="A277" s="2">
        <v>43720</v>
      </c>
      <c r="B277" s="1">
        <v>55.7712</v>
      </c>
      <c r="C277" s="1">
        <v>1843.55</v>
      </c>
      <c r="D277" s="22">
        <f t="shared" si="22"/>
        <v>1000.2858408002309</v>
      </c>
      <c r="E277" s="23">
        <f t="shared" si="23"/>
        <v>10.802632155357287</v>
      </c>
      <c r="F277" s="23">
        <f t="shared" si="24"/>
        <v>-10.802632155357287</v>
      </c>
      <c r="I277" s="7"/>
    </row>
    <row r="278" spans="1:9" x14ac:dyDescent="0.3">
      <c r="A278" s="2">
        <v>43719</v>
      </c>
      <c r="B278" s="1">
        <v>55.897500000000001</v>
      </c>
      <c r="C278" s="1">
        <v>1822.99</v>
      </c>
      <c r="D278" s="22">
        <f t="shared" si="22"/>
        <v>989.48320864487357</v>
      </c>
      <c r="E278" s="23">
        <f t="shared" si="23"/>
        <v>2.1015677318547432</v>
      </c>
      <c r="F278" s="23">
        <f t="shared" si="24"/>
        <v>-2.1015677318547432</v>
      </c>
      <c r="I278" s="7"/>
    </row>
    <row r="279" spans="1:9" x14ac:dyDescent="0.3">
      <c r="A279" s="2">
        <v>43718</v>
      </c>
      <c r="B279" s="1">
        <v>54.174999999999997</v>
      </c>
      <c r="C279" s="1">
        <v>1820.55</v>
      </c>
      <c r="D279" s="22">
        <f t="shared" si="22"/>
        <v>987.38164091301883</v>
      </c>
      <c r="E279" s="23">
        <f t="shared" si="23"/>
        <v>-5.4074886333525001</v>
      </c>
      <c r="F279" s="23">
        <f t="shared" si="24"/>
        <v>5.4074886333525001</v>
      </c>
      <c r="I279" s="7"/>
    </row>
    <row r="280" spans="1:9" x14ac:dyDescent="0.3">
      <c r="A280" s="2">
        <v>43717</v>
      </c>
      <c r="B280" s="1">
        <v>53.542499999999997</v>
      </c>
      <c r="C280" s="1">
        <v>1831.35</v>
      </c>
      <c r="D280" s="22">
        <f t="shared" si="22"/>
        <v>992.78912954637133</v>
      </c>
      <c r="E280" s="23">
        <f t="shared" si="23"/>
        <v>-1.0338577836981813</v>
      </c>
      <c r="F280" s="23">
        <f t="shared" si="24"/>
        <v>1.0338577836981813</v>
      </c>
      <c r="I280" s="7"/>
    </row>
    <row r="281" spans="1:9" x14ac:dyDescent="0.3">
      <c r="A281" s="2">
        <v>43714</v>
      </c>
      <c r="B281" s="1">
        <v>53.314999999999998</v>
      </c>
      <c r="C281" s="1">
        <v>1833.51</v>
      </c>
      <c r="D281" s="22">
        <f t="shared" si="22"/>
        <v>993.82298733006951</v>
      </c>
      <c r="E281" s="23">
        <f t="shared" si="23"/>
        <v>-3.8115268404378639</v>
      </c>
      <c r="F281" s="23">
        <f t="shared" si="24"/>
        <v>3.8115268404378639</v>
      </c>
      <c r="I281" s="7"/>
    </row>
    <row r="282" spans="1:9" x14ac:dyDescent="0.3">
      <c r="A282" s="2">
        <v>43713</v>
      </c>
      <c r="B282" s="1">
        <v>53.32</v>
      </c>
      <c r="C282" s="1">
        <v>1840.72</v>
      </c>
      <c r="D282" s="22">
        <f t="shared" si="22"/>
        <v>997.63451417050737</v>
      </c>
      <c r="E282" s="23">
        <f t="shared" si="23"/>
        <v>21.667823054435644</v>
      </c>
      <c r="F282" s="23">
        <f t="shared" si="24"/>
        <v>-21.667823054435644</v>
      </c>
      <c r="I282" s="7"/>
    </row>
    <row r="283" spans="1:9" x14ac:dyDescent="0.3">
      <c r="A283" s="2">
        <v>43712</v>
      </c>
      <c r="B283" s="1">
        <v>52.297499999999999</v>
      </c>
      <c r="C283" s="1">
        <v>1800.62</v>
      </c>
      <c r="D283" s="22">
        <f t="shared" si="22"/>
        <v>975.96669111607173</v>
      </c>
      <c r="E283" s="23">
        <f t="shared" si="23"/>
        <v>6.1068046039746378</v>
      </c>
      <c r="F283" s="23">
        <f t="shared" si="24"/>
        <v>-6.1068046039746378</v>
      </c>
      <c r="I283" s="7"/>
    </row>
    <row r="284" spans="1:9" x14ac:dyDescent="0.3">
      <c r="A284" s="2">
        <v>43711</v>
      </c>
      <c r="B284" s="1">
        <v>51.424999999999997</v>
      </c>
      <c r="C284" s="1">
        <v>1789.84</v>
      </c>
      <c r="D284" s="22">
        <f t="shared" si="22"/>
        <v>969.85988651209709</v>
      </c>
      <c r="E284" s="23">
        <f t="shared" si="23"/>
        <v>6.8002219412442173</v>
      </c>
      <c r="F284" s="23">
        <f t="shared" si="24"/>
        <v>-6.8002219412442173</v>
      </c>
      <c r="I284" s="7"/>
    </row>
    <row r="285" spans="1:9" x14ac:dyDescent="0.3">
      <c r="A285" s="2">
        <v>43710</v>
      </c>
      <c r="B285" s="1">
        <v>52.185000000000002</v>
      </c>
      <c r="C285" s="1">
        <v>1776.29</v>
      </c>
      <c r="D285" s="22">
        <f t="shared" si="22"/>
        <v>963.05966457085287</v>
      </c>
      <c r="E285" s="23">
        <f t="shared" si="23"/>
        <v>0</v>
      </c>
      <c r="F285" s="23">
        <f t="shared" si="24"/>
        <v>0</v>
      </c>
      <c r="I285" s="7"/>
    </row>
    <row r="286" spans="1:9" x14ac:dyDescent="0.3">
      <c r="A286" s="2">
        <v>43707</v>
      </c>
      <c r="B286" s="1">
        <v>52.185000000000002</v>
      </c>
      <c r="C286" s="1">
        <v>1776.29</v>
      </c>
      <c r="D286" s="22">
        <f t="shared" si="22"/>
        <v>963.05966457085287</v>
      </c>
      <c r="E286" s="23">
        <f t="shared" si="23"/>
        <v>-5.3731274524769788</v>
      </c>
      <c r="F286" s="23">
        <f t="shared" si="24"/>
        <v>5.3731274524769788</v>
      </c>
      <c r="I286" s="7"/>
    </row>
    <row r="287" spans="1:9" x14ac:dyDescent="0.3">
      <c r="A287" s="2">
        <v>43706</v>
      </c>
      <c r="B287" s="1">
        <v>52.252499999999998</v>
      </c>
      <c r="C287" s="1">
        <v>1786.4</v>
      </c>
      <c r="D287" s="22">
        <f t="shared" si="22"/>
        <v>968.43279202332985</v>
      </c>
      <c r="E287" s="23">
        <f t="shared" si="23"/>
        <v>12.112594193548375</v>
      </c>
      <c r="F287" s="23">
        <f t="shared" si="24"/>
        <v>-12.112594193548375</v>
      </c>
      <c r="I287" s="7"/>
    </row>
    <row r="288" spans="1:9" x14ac:dyDescent="0.3">
      <c r="A288" s="2">
        <v>43705</v>
      </c>
      <c r="B288" s="1">
        <v>51.3825</v>
      </c>
      <c r="C288" s="1">
        <v>1764.25</v>
      </c>
      <c r="D288" s="22">
        <f t="shared" si="22"/>
        <v>956.32019782978148</v>
      </c>
      <c r="E288" s="23">
        <f t="shared" si="23"/>
        <v>1.440079390841106</v>
      </c>
      <c r="F288" s="23">
        <f t="shared" si="24"/>
        <v>-1.440079390841106</v>
      </c>
      <c r="I288" s="7"/>
    </row>
    <row r="289" spans="1:9" x14ac:dyDescent="0.3">
      <c r="A289" s="2">
        <v>43704</v>
      </c>
      <c r="B289" s="1">
        <v>51.04</v>
      </c>
      <c r="C289" s="1">
        <v>1761.83</v>
      </c>
      <c r="D289" s="22">
        <f t="shared" si="22"/>
        <v>954.88011843894037</v>
      </c>
      <c r="E289" s="23">
        <f t="shared" si="23"/>
        <v>-3.9941095866936394</v>
      </c>
      <c r="F289" s="23">
        <f t="shared" si="24"/>
        <v>3.9941095866936394</v>
      </c>
      <c r="I289" s="7"/>
    </row>
    <row r="290" spans="1:9" x14ac:dyDescent="0.3">
      <c r="A290" s="2">
        <v>43703</v>
      </c>
      <c r="B290" s="1">
        <v>51.622500000000002</v>
      </c>
      <c r="C290" s="1">
        <v>1768.87</v>
      </c>
      <c r="D290" s="22">
        <f t="shared" si="22"/>
        <v>958.87422802563401</v>
      </c>
      <c r="E290" s="23">
        <f t="shared" si="23"/>
        <v>10.624104385080727</v>
      </c>
      <c r="F290" s="23">
        <f t="shared" si="24"/>
        <v>-10.624104385080727</v>
      </c>
      <c r="I290" s="7"/>
    </row>
    <row r="291" spans="1:9" x14ac:dyDescent="0.3">
      <c r="A291" s="2">
        <v>43700</v>
      </c>
      <c r="B291" s="1">
        <v>50.66</v>
      </c>
      <c r="C291" s="1">
        <v>1749.62</v>
      </c>
      <c r="D291" s="22">
        <f t="shared" si="22"/>
        <v>948.25012364055328</v>
      </c>
      <c r="E291" s="23">
        <f t="shared" si="23"/>
        <v>-30.733188637672811</v>
      </c>
      <c r="F291" s="23">
        <f t="shared" si="24"/>
        <v>30.733188637672811</v>
      </c>
      <c r="I291" s="7"/>
    </row>
    <row r="292" spans="1:9" x14ac:dyDescent="0.3">
      <c r="A292" s="2">
        <v>43699</v>
      </c>
      <c r="B292" s="1">
        <v>53.115000000000002</v>
      </c>
      <c r="C292" s="1">
        <v>1805.6</v>
      </c>
      <c r="D292" s="22">
        <f t="shared" si="22"/>
        <v>978.98331227822609</v>
      </c>
      <c r="E292" s="23">
        <f t="shared" si="23"/>
        <v>-9.4992398070277204</v>
      </c>
      <c r="F292" s="23">
        <f t="shared" si="24"/>
        <v>9.4992398070277204</v>
      </c>
      <c r="I292" s="7"/>
    </row>
    <row r="293" spans="1:9" x14ac:dyDescent="0.3">
      <c r="A293" s="2">
        <v>43698</v>
      </c>
      <c r="B293" s="1">
        <v>53.16</v>
      </c>
      <c r="C293" s="1">
        <v>1823.54</v>
      </c>
      <c r="D293" s="22">
        <f t="shared" si="22"/>
        <v>988.48255208525381</v>
      </c>
      <c r="E293" s="23">
        <f t="shared" si="23"/>
        <v>11.976372586405432</v>
      </c>
      <c r="F293" s="23">
        <f t="shared" si="24"/>
        <v>-11.976372586405432</v>
      </c>
      <c r="I293" s="7"/>
    </row>
    <row r="294" spans="1:9" x14ac:dyDescent="0.3">
      <c r="A294" s="2">
        <v>43697</v>
      </c>
      <c r="B294" s="1">
        <v>52.59</v>
      </c>
      <c r="C294" s="1">
        <v>1801.38</v>
      </c>
      <c r="D294" s="22">
        <f t="shared" si="22"/>
        <v>976.50617949884838</v>
      </c>
      <c r="E294" s="23">
        <f t="shared" si="23"/>
        <v>-7.7862192151495719</v>
      </c>
      <c r="F294" s="23">
        <f t="shared" si="24"/>
        <v>7.7862192151495719</v>
      </c>
      <c r="I294" s="7"/>
    </row>
    <row r="295" spans="1:9" x14ac:dyDescent="0.3">
      <c r="A295" s="2">
        <v>43696</v>
      </c>
      <c r="B295" s="1">
        <v>52.587499999999999</v>
      </c>
      <c r="C295" s="1">
        <v>1816.12</v>
      </c>
      <c r="D295" s="22">
        <f t="shared" si="22"/>
        <v>984.29239871399795</v>
      </c>
      <c r="E295" s="23">
        <f t="shared" si="23"/>
        <v>12.895869189228051</v>
      </c>
      <c r="F295" s="23">
        <f t="shared" si="24"/>
        <v>-12.895869189228051</v>
      </c>
      <c r="I295" s="7"/>
    </row>
    <row r="296" spans="1:9" x14ac:dyDescent="0.3">
      <c r="A296" s="2">
        <v>43693</v>
      </c>
      <c r="B296" s="1">
        <v>51.625</v>
      </c>
      <c r="C296" s="1">
        <v>1792.57</v>
      </c>
      <c r="D296" s="22">
        <f t="shared" si="22"/>
        <v>971.3965295247699</v>
      </c>
      <c r="E296" s="23">
        <f t="shared" si="23"/>
        <v>9.252123467741967</v>
      </c>
      <c r="F296" s="23">
        <f t="shared" si="24"/>
        <v>-9.252123467741967</v>
      </c>
      <c r="I296" s="7"/>
    </row>
    <row r="297" spans="1:9" x14ac:dyDescent="0.3">
      <c r="A297" s="2">
        <v>43692</v>
      </c>
      <c r="B297" s="1">
        <v>50.435000000000002</v>
      </c>
      <c r="C297" s="1">
        <v>1776.12</v>
      </c>
      <c r="D297" s="22">
        <f t="shared" si="22"/>
        <v>962.14440605702794</v>
      </c>
      <c r="E297" s="23">
        <f t="shared" si="23"/>
        <v>6.8335570780528769</v>
      </c>
      <c r="F297" s="23">
        <f t="shared" si="24"/>
        <v>-6.8335570780528769</v>
      </c>
      <c r="I297" s="7"/>
    </row>
    <row r="298" spans="1:9" x14ac:dyDescent="0.3">
      <c r="A298" s="2">
        <v>43691</v>
      </c>
      <c r="B298" s="1">
        <v>50.6875</v>
      </c>
      <c r="C298" s="1">
        <v>1762.96</v>
      </c>
      <c r="D298" s="22">
        <f t="shared" si="22"/>
        <v>955.31084897897506</v>
      </c>
      <c r="E298" s="23">
        <f t="shared" si="23"/>
        <v>-33.161588234446981</v>
      </c>
      <c r="F298" s="23">
        <f t="shared" si="24"/>
        <v>33.161588234446981</v>
      </c>
      <c r="I298" s="7"/>
    </row>
    <row r="299" spans="1:9" x14ac:dyDescent="0.3">
      <c r="A299" s="2">
        <v>43690</v>
      </c>
      <c r="B299" s="1">
        <v>52.2425</v>
      </c>
      <c r="C299" s="1">
        <v>1824.34</v>
      </c>
      <c r="D299" s="22">
        <f t="shared" si="22"/>
        <v>988.47243721342204</v>
      </c>
      <c r="E299" s="23">
        <f t="shared" si="23"/>
        <v>21.827418088997661</v>
      </c>
      <c r="F299" s="23">
        <f t="shared" si="24"/>
        <v>-21.827418088997661</v>
      </c>
      <c r="I299" s="7"/>
    </row>
    <row r="300" spans="1:9" x14ac:dyDescent="0.3">
      <c r="A300" s="2">
        <v>43689</v>
      </c>
      <c r="B300" s="1">
        <v>50.12</v>
      </c>
      <c r="C300" s="1">
        <v>1784.92</v>
      </c>
      <c r="D300" s="22">
        <f t="shared" si="22"/>
        <v>966.64501912442438</v>
      </c>
      <c r="E300" s="23">
        <f t="shared" si="23"/>
        <v>-12.03181173243081</v>
      </c>
      <c r="F300" s="23">
        <f t="shared" si="24"/>
        <v>12.03181173243081</v>
      </c>
      <c r="I300" s="7"/>
    </row>
    <row r="301" spans="1:9" x14ac:dyDescent="0.3">
      <c r="A301" s="2">
        <v>43686</v>
      </c>
      <c r="B301" s="1">
        <v>50.247500000000002</v>
      </c>
      <c r="C301" s="1">
        <v>1807.58</v>
      </c>
      <c r="D301" s="22">
        <f t="shared" si="22"/>
        <v>978.67683085685519</v>
      </c>
      <c r="E301" s="23">
        <f t="shared" si="23"/>
        <v>-13.659439688940097</v>
      </c>
      <c r="F301" s="23">
        <f t="shared" si="24"/>
        <v>13.659439688940097</v>
      </c>
      <c r="I301" s="7"/>
    </row>
    <row r="302" spans="1:9" x14ac:dyDescent="0.3">
      <c r="A302" s="2">
        <v>43685</v>
      </c>
      <c r="B302" s="1">
        <v>50.857500000000002</v>
      </c>
      <c r="C302" s="1">
        <v>1832.89</v>
      </c>
      <c r="D302" s="22">
        <f t="shared" si="22"/>
        <v>992.33627054579529</v>
      </c>
      <c r="E302" s="23">
        <f t="shared" si="23"/>
        <v>21.380925637960672</v>
      </c>
      <c r="F302" s="23">
        <f t="shared" si="24"/>
        <v>-21.380925637960672</v>
      </c>
    </row>
    <row r="303" spans="1:9" x14ac:dyDescent="0.3">
      <c r="A303" s="2">
        <v>43684</v>
      </c>
      <c r="B303" s="1">
        <v>49.76</v>
      </c>
      <c r="C303" s="1">
        <v>1793.4</v>
      </c>
      <c r="D303" s="22">
        <f t="shared" si="22"/>
        <v>970.95534490783461</v>
      </c>
      <c r="E303" s="23">
        <f t="shared" si="23"/>
        <v>3.1832860253458648</v>
      </c>
      <c r="F303" s="23">
        <f t="shared" si="24"/>
        <v>-3.1832860253458648</v>
      </c>
    </row>
    <row r="304" spans="1:9" x14ac:dyDescent="0.3">
      <c r="A304" s="2">
        <v>43683</v>
      </c>
      <c r="B304" s="1">
        <v>49.25</v>
      </c>
      <c r="C304" s="1">
        <v>1787.83</v>
      </c>
      <c r="D304" s="22">
        <f t="shared" si="22"/>
        <v>967.77205888248875</v>
      </c>
      <c r="E304" s="23">
        <f t="shared" si="23"/>
        <v>12.424394478686509</v>
      </c>
      <c r="F304" s="23">
        <f t="shared" si="24"/>
        <v>-12.424394478686509</v>
      </c>
    </row>
    <row r="305" spans="1:6" x14ac:dyDescent="0.3">
      <c r="A305" s="2">
        <v>43682</v>
      </c>
      <c r="B305" s="1">
        <v>48.335000000000001</v>
      </c>
      <c r="C305" s="1">
        <v>1765.13</v>
      </c>
      <c r="D305" s="22">
        <f t="shared" si="22"/>
        <v>955.34766440380224</v>
      </c>
      <c r="E305" s="23">
        <f t="shared" si="23"/>
        <v>-31.959916451612912</v>
      </c>
      <c r="F305" s="23">
        <f t="shared" si="24"/>
        <v>31.959916451612912</v>
      </c>
    </row>
    <row r="306" spans="1:6" x14ac:dyDescent="0.3">
      <c r="A306" s="2">
        <v>43679</v>
      </c>
      <c r="B306" s="1">
        <v>51.005000000000003</v>
      </c>
      <c r="C306" s="1">
        <v>1823.24</v>
      </c>
      <c r="D306" s="22">
        <f t="shared" si="22"/>
        <v>987.30758085541515</v>
      </c>
      <c r="E306" s="23">
        <f t="shared" si="23"/>
        <v>-17.468452144297203</v>
      </c>
      <c r="F306" s="23">
        <f t="shared" si="24"/>
        <v>17.468452144297203</v>
      </c>
    </row>
    <row r="307" spans="1:6" x14ac:dyDescent="0.3">
      <c r="A307" s="2">
        <v>43678</v>
      </c>
      <c r="B307" s="1">
        <v>52.107500000000002</v>
      </c>
      <c r="C307" s="1">
        <v>1855.32</v>
      </c>
      <c r="D307" s="22">
        <f t="shared" si="22"/>
        <v>1004.7760329997124</v>
      </c>
      <c r="E307" s="23">
        <f t="shared" si="23"/>
        <v>-6.5981315625000434</v>
      </c>
      <c r="F307" s="23">
        <f t="shared" si="24"/>
        <v>6.5981315625000434</v>
      </c>
    </row>
    <row r="308" spans="1:6" x14ac:dyDescent="0.3">
      <c r="A308" s="2">
        <v>43677</v>
      </c>
      <c r="B308" s="1">
        <v>53.26</v>
      </c>
      <c r="C308" s="1">
        <v>1866.78</v>
      </c>
      <c r="D308" s="22">
        <f t="shared" si="22"/>
        <v>1011.3741645622124</v>
      </c>
      <c r="E308" s="23">
        <f t="shared" si="23"/>
        <v>-16.271735360023058</v>
      </c>
      <c r="F308" s="23">
        <f t="shared" si="24"/>
        <v>16.271735360023058</v>
      </c>
    </row>
    <row r="309" spans="1:6" x14ac:dyDescent="0.3">
      <c r="A309" s="2">
        <v>43676</v>
      </c>
      <c r="B309" s="1">
        <v>52.195</v>
      </c>
      <c r="C309" s="1">
        <v>1898.53</v>
      </c>
      <c r="D309" s="22">
        <f t="shared" si="22"/>
        <v>1027.6458999222355</v>
      </c>
      <c r="E309" s="23">
        <f t="shared" si="23"/>
        <v>-7.4603067425114205</v>
      </c>
      <c r="F309" s="23">
        <f t="shared" si="24"/>
        <v>7.4603067425114205</v>
      </c>
    </row>
    <row r="310" spans="1:6" x14ac:dyDescent="0.3">
      <c r="A310" s="2">
        <v>43675</v>
      </c>
      <c r="B310" s="1">
        <v>52.42</v>
      </c>
      <c r="C310" s="1">
        <v>1912.45</v>
      </c>
      <c r="D310" s="22">
        <f t="shared" si="22"/>
        <v>1035.1062066647469</v>
      </c>
      <c r="E310" s="23">
        <f t="shared" si="23"/>
        <v>-15.937746264401085</v>
      </c>
      <c r="F310" s="23">
        <f t="shared" si="24"/>
        <v>15.937746264401085</v>
      </c>
    </row>
    <row r="311" spans="1:6" x14ac:dyDescent="0.3">
      <c r="A311" s="2">
        <v>43672</v>
      </c>
      <c r="B311" s="1">
        <v>51.935000000000002</v>
      </c>
      <c r="C311" s="1">
        <v>1943.05</v>
      </c>
      <c r="D311" s="22">
        <f t="shared" si="22"/>
        <v>1051.043952929148</v>
      </c>
      <c r="E311" s="23">
        <f t="shared" si="23"/>
        <v>-16.171423415898516</v>
      </c>
      <c r="F311" s="23">
        <f t="shared" si="24"/>
        <v>16.171423415898516</v>
      </c>
    </row>
    <row r="312" spans="1:6" x14ac:dyDescent="0.3">
      <c r="A312" s="2">
        <v>43671</v>
      </c>
      <c r="B312" s="1">
        <v>51.755000000000003</v>
      </c>
      <c r="C312" s="1">
        <v>1973.82</v>
      </c>
      <c r="D312" s="22">
        <f t="shared" si="22"/>
        <v>1067.2153763450465</v>
      </c>
      <c r="E312" s="23">
        <f t="shared" si="23"/>
        <v>-14.453855600518409</v>
      </c>
      <c r="F312" s="23">
        <f t="shared" si="24"/>
        <v>14.453855600518409</v>
      </c>
    </row>
    <row r="313" spans="1:6" x14ac:dyDescent="0.3">
      <c r="A313" s="2">
        <v>43670</v>
      </c>
      <c r="B313" s="1">
        <v>52.167499999999997</v>
      </c>
      <c r="C313" s="1">
        <v>2000.81</v>
      </c>
      <c r="D313" s="22">
        <f t="shared" si="22"/>
        <v>1081.6692319455649</v>
      </c>
      <c r="E313" s="23">
        <f t="shared" si="23"/>
        <v>3.3189194340438917</v>
      </c>
      <c r="F313" s="23">
        <f t="shared" si="24"/>
        <v>-3.3189194340438917</v>
      </c>
    </row>
    <row r="314" spans="1:6" x14ac:dyDescent="0.3">
      <c r="A314" s="2">
        <v>43669</v>
      </c>
      <c r="B314" s="1">
        <v>52.21</v>
      </c>
      <c r="C314" s="1">
        <v>1994.49</v>
      </c>
      <c r="D314" s="22">
        <f t="shared" si="22"/>
        <v>1078.350312511521</v>
      </c>
      <c r="E314" s="23">
        <f t="shared" si="23"/>
        <v>4.8719235858293359</v>
      </c>
      <c r="F314" s="23">
        <f t="shared" si="24"/>
        <v>-4.8719235858293359</v>
      </c>
    </row>
    <row r="315" spans="1:6" x14ac:dyDescent="0.3">
      <c r="A315" s="2">
        <v>43668</v>
      </c>
      <c r="B315" s="1">
        <v>51.805</v>
      </c>
      <c r="C315" s="1">
        <v>1985.63</v>
      </c>
      <c r="D315" s="22">
        <f t="shared" si="22"/>
        <v>1073.4783889256917</v>
      </c>
      <c r="E315" s="23">
        <f t="shared" si="23"/>
        <v>11.698752849942366</v>
      </c>
      <c r="F315" s="23">
        <f t="shared" si="24"/>
        <v>-11.698752849942366</v>
      </c>
    </row>
    <row r="316" spans="1:6" x14ac:dyDescent="0.3">
      <c r="A316" s="2">
        <v>43665</v>
      </c>
      <c r="B316" s="1">
        <v>50.647500000000001</v>
      </c>
      <c r="C316" s="1">
        <v>1964.52</v>
      </c>
      <c r="D316" s="22">
        <f t="shared" si="22"/>
        <v>1061.7796360757493</v>
      </c>
      <c r="E316" s="23">
        <f t="shared" si="23"/>
        <v>-7.4309031610023339</v>
      </c>
      <c r="F316" s="23">
        <f t="shared" si="24"/>
        <v>7.4309031610023339</v>
      </c>
    </row>
    <row r="317" spans="1:6" x14ac:dyDescent="0.3">
      <c r="A317" s="2">
        <v>43664</v>
      </c>
      <c r="B317" s="1">
        <v>51.414999999999999</v>
      </c>
      <c r="C317" s="1">
        <v>1977.9</v>
      </c>
      <c r="D317" s="22">
        <f t="shared" si="22"/>
        <v>1069.2105392367516</v>
      </c>
      <c r="E317" s="23">
        <f t="shared" si="23"/>
        <v>-7.1927281062787642</v>
      </c>
      <c r="F317" s="23">
        <f t="shared" si="24"/>
        <v>7.1927281062787642</v>
      </c>
    </row>
    <row r="318" spans="1:6" x14ac:dyDescent="0.3">
      <c r="A318" s="2">
        <v>43663</v>
      </c>
      <c r="B318" s="1">
        <v>50.837499999999999</v>
      </c>
      <c r="C318" s="1">
        <v>1992.03</v>
      </c>
      <c r="D318" s="22">
        <f t="shared" si="22"/>
        <v>1076.4032673430304</v>
      </c>
      <c r="E318" s="23">
        <f t="shared" si="23"/>
        <v>-9.5766406206796546</v>
      </c>
      <c r="F318" s="23">
        <f t="shared" si="24"/>
        <v>9.5766406206796546</v>
      </c>
    </row>
    <row r="319" spans="1:6" x14ac:dyDescent="0.3">
      <c r="A319" s="2">
        <v>43662</v>
      </c>
      <c r="B319" s="1">
        <v>51.125</v>
      </c>
      <c r="C319" s="1">
        <v>2009.9</v>
      </c>
      <c r="D319" s="22">
        <f t="shared" si="22"/>
        <v>1085.97990796371</v>
      </c>
      <c r="E319" s="23">
        <f t="shared" si="23"/>
        <v>-5.9427635872696101</v>
      </c>
      <c r="F319" s="23">
        <f t="shared" si="24"/>
        <v>5.9427635872696101</v>
      </c>
    </row>
    <row r="320" spans="1:6" x14ac:dyDescent="0.3">
      <c r="A320" s="2">
        <v>43661</v>
      </c>
      <c r="B320" s="1">
        <v>51.302500000000002</v>
      </c>
      <c r="C320" s="1">
        <v>2020.99</v>
      </c>
      <c r="D320" s="22">
        <f t="shared" si="22"/>
        <v>1091.9226715509797</v>
      </c>
      <c r="E320" s="23">
        <f t="shared" si="23"/>
        <v>5.5031192324308904</v>
      </c>
      <c r="F320" s="23">
        <f t="shared" si="24"/>
        <v>-5.5031192324308904</v>
      </c>
    </row>
    <row r="321" spans="1:6" x14ac:dyDescent="0.3">
      <c r="A321" s="2">
        <v>43658</v>
      </c>
      <c r="B321" s="1">
        <v>50.825000000000003</v>
      </c>
      <c r="C321" s="1">
        <v>2011</v>
      </c>
      <c r="D321" s="22">
        <f t="shared" si="22"/>
        <v>1086.4195523185488</v>
      </c>
      <c r="E321" s="23">
        <f t="shared" si="23"/>
        <v>5.4289687543202945</v>
      </c>
      <c r="F321" s="23">
        <f t="shared" si="24"/>
        <v>-5.4289687543202945</v>
      </c>
    </row>
    <row r="322" spans="1:6" x14ac:dyDescent="0.3">
      <c r="A322" s="2">
        <v>43657</v>
      </c>
      <c r="B322" s="1">
        <v>50.4375</v>
      </c>
      <c r="C322" s="1">
        <v>2001.07</v>
      </c>
      <c r="D322" s="22">
        <f t="shared" si="22"/>
        <v>1080.9905835642285</v>
      </c>
      <c r="E322" s="23">
        <f t="shared" si="23"/>
        <v>-8.8072288191244752</v>
      </c>
      <c r="F322" s="23">
        <f t="shared" si="24"/>
        <v>8.8072288191244752</v>
      </c>
    </row>
    <row r="323" spans="1:6" x14ac:dyDescent="0.3">
      <c r="A323" s="2">
        <v>43656</v>
      </c>
      <c r="B323" s="1">
        <v>50.807499999999997</v>
      </c>
      <c r="C323" s="1">
        <v>2017.41</v>
      </c>
      <c r="D323" s="22">
        <f t="shared" si="22"/>
        <v>1089.7978123833529</v>
      </c>
      <c r="E323" s="23">
        <f t="shared" si="23"/>
        <v>15.613981502016031</v>
      </c>
      <c r="F323" s="23">
        <f t="shared" si="24"/>
        <v>-15.613981502016031</v>
      </c>
    </row>
    <row r="324" spans="1:6" x14ac:dyDescent="0.3">
      <c r="A324" s="2">
        <v>43655</v>
      </c>
      <c r="B324" s="1">
        <v>50.31</v>
      </c>
      <c r="C324" s="1">
        <v>1988.3</v>
      </c>
      <c r="D324" s="22">
        <f t="shared" si="22"/>
        <v>1074.1838308813369</v>
      </c>
      <c r="E324" s="23">
        <f t="shared" si="23"/>
        <v>19.152723113479396</v>
      </c>
      <c r="F324" s="23">
        <f t="shared" si="24"/>
        <v>-19.152723113479396</v>
      </c>
    </row>
    <row r="325" spans="1:6" x14ac:dyDescent="0.3">
      <c r="A325" s="2">
        <v>43654</v>
      </c>
      <c r="B325" s="1">
        <v>50.005000000000003</v>
      </c>
      <c r="C325" s="1">
        <v>1952.32</v>
      </c>
      <c r="D325" s="22">
        <f t="shared" si="22"/>
        <v>1055.0311077678575</v>
      </c>
      <c r="E325" s="23">
        <f t="shared" si="23"/>
        <v>4.4750207589286219</v>
      </c>
      <c r="F325" s="23">
        <f t="shared" si="24"/>
        <v>-4.4750207589286219</v>
      </c>
    </row>
    <row r="326" spans="1:6" x14ac:dyDescent="0.3">
      <c r="A326" s="2">
        <v>43651</v>
      </c>
      <c r="B326" s="1">
        <v>51.057499999999997</v>
      </c>
      <c r="C326" s="1">
        <v>1942.91</v>
      </c>
      <c r="D326" s="22">
        <f t="shared" ref="D326:D389" si="25">$M$16*B326+(1-$M$16)*C326</f>
        <v>1050.5560870089289</v>
      </c>
      <c r="E326" s="23">
        <f t="shared" ref="E326:E389" si="26">D326-D327</f>
        <v>2.0444953024193637</v>
      </c>
      <c r="F326" s="23">
        <f t="shared" ref="F326:F389" si="27">-E326</f>
        <v>-2.0444953024193637</v>
      </c>
    </row>
    <row r="327" spans="1:6" x14ac:dyDescent="0.3">
      <c r="A327" s="2">
        <v>43650</v>
      </c>
      <c r="B327" s="1">
        <v>51.102499999999999</v>
      </c>
      <c r="C327" s="1">
        <v>1939</v>
      </c>
      <c r="D327" s="22">
        <f t="shared" si="25"/>
        <v>1048.5115917065095</v>
      </c>
      <c r="E327" s="23">
        <f t="shared" si="26"/>
        <v>0</v>
      </c>
      <c r="F327" s="23">
        <f t="shared" si="27"/>
        <v>0</v>
      </c>
    </row>
    <row r="328" spans="1:6" x14ac:dyDescent="0.3">
      <c r="A328" s="2">
        <v>43649</v>
      </c>
      <c r="B328" s="1">
        <v>51.102499999999999</v>
      </c>
      <c r="C328" s="1">
        <v>1939</v>
      </c>
      <c r="D328" s="22">
        <f t="shared" si="25"/>
        <v>1048.5115917065095</v>
      </c>
      <c r="E328" s="23">
        <f t="shared" si="26"/>
        <v>2.6759152822578471</v>
      </c>
      <c r="F328" s="23">
        <f t="shared" si="27"/>
        <v>-2.6759152822578471</v>
      </c>
    </row>
    <row r="329" spans="1:6" x14ac:dyDescent="0.3">
      <c r="A329" s="2">
        <v>43648</v>
      </c>
      <c r="B329" s="1">
        <v>50.682499999999997</v>
      </c>
      <c r="C329" s="1">
        <v>1934.31</v>
      </c>
      <c r="D329" s="22">
        <f t="shared" si="25"/>
        <v>1045.8356764242517</v>
      </c>
      <c r="E329" s="23">
        <f t="shared" si="26"/>
        <v>6.5423532114057252</v>
      </c>
      <c r="F329" s="23">
        <f t="shared" si="27"/>
        <v>-6.5423532114057252</v>
      </c>
    </row>
    <row r="330" spans="1:6" x14ac:dyDescent="0.3">
      <c r="A330" s="2">
        <v>43647</v>
      </c>
      <c r="B330" s="1">
        <v>50.387500000000003</v>
      </c>
      <c r="C330" s="1">
        <v>1922.19</v>
      </c>
      <c r="D330" s="22">
        <f t="shared" si="25"/>
        <v>1039.293323212846</v>
      </c>
      <c r="E330" s="23">
        <f t="shared" si="26"/>
        <v>15.516796801555188</v>
      </c>
      <c r="F330" s="23">
        <f t="shared" si="27"/>
        <v>-15.516796801555188</v>
      </c>
    </row>
    <row r="331" spans="1:6" x14ac:dyDescent="0.3">
      <c r="A331" s="2">
        <v>43644</v>
      </c>
      <c r="B331" s="1">
        <v>49.48</v>
      </c>
      <c r="C331" s="1">
        <v>1893.63</v>
      </c>
      <c r="D331" s="22">
        <f t="shared" si="25"/>
        <v>1023.7765264112908</v>
      </c>
      <c r="E331" s="23">
        <f t="shared" si="26"/>
        <v>-5.8411958554146395</v>
      </c>
      <c r="F331" s="23">
        <f t="shared" si="27"/>
        <v>5.8411958554146395</v>
      </c>
    </row>
    <row r="332" spans="1:6" x14ac:dyDescent="0.3">
      <c r="A332" s="2">
        <v>43643</v>
      </c>
      <c r="B332" s="1">
        <v>49.935000000000002</v>
      </c>
      <c r="C332" s="1">
        <v>1904.28</v>
      </c>
      <c r="D332" s="22">
        <f t="shared" si="25"/>
        <v>1029.6177222667054</v>
      </c>
      <c r="E332" s="23">
        <f t="shared" si="26"/>
        <v>3.4005719671658881</v>
      </c>
      <c r="F332" s="23">
        <f t="shared" si="27"/>
        <v>-3.4005719671658881</v>
      </c>
    </row>
    <row r="333" spans="1:6" x14ac:dyDescent="0.3">
      <c r="A333" s="2">
        <v>43642</v>
      </c>
      <c r="B333" s="1">
        <v>49.95</v>
      </c>
      <c r="C333" s="1">
        <v>1897.83</v>
      </c>
      <c r="D333" s="22">
        <f t="shared" si="25"/>
        <v>1026.2171502995395</v>
      </c>
      <c r="E333" s="23">
        <f t="shared" si="26"/>
        <v>10.832692625288018</v>
      </c>
      <c r="F333" s="23">
        <f t="shared" si="27"/>
        <v>-10.832692625288018</v>
      </c>
    </row>
    <row r="334" spans="1:6" x14ac:dyDescent="0.3">
      <c r="A334" s="2">
        <v>43641</v>
      </c>
      <c r="B334" s="1">
        <v>48.892499999999998</v>
      </c>
      <c r="C334" s="1">
        <v>1878.27</v>
      </c>
      <c r="D334" s="22">
        <f t="shared" si="25"/>
        <v>1015.3844576742515</v>
      </c>
      <c r="E334" s="23">
        <f t="shared" si="26"/>
        <v>-19.178889989919526</v>
      </c>
      <c r="F334" s="23">
        <f t="shared" si="27"/>
        <v>19.178889989919526</v>
      </c>
    </row>
    <row r="335" spans="1:6" x14ac:dyDescent="0.3">
      <c r="A335" s="2">
        <v>43640</v>
      </c>
      <c r="B335" s="1">
        <v>49.645000000000003</v>
      </c>
      <c r="C335" s="1">
        <v>1913.9</v>
      </c>
      <c r="D335" s="22">
        <f t="shared" si="25"/>
        <v>1034.563347664171</v>
      </c>
      <c r="E335" s="23">
        <f t="shared" si="26"/>
        <v>1.3500411002305555</v>
      </c>
      <c r="F335" s="23">
        <f t="shared" si="27"/>
        <v>-1.3500411002305555</v>
      </c>
    </row>
    <row r="336" spans="1:6" x14ac:dyDescent="0.3">
      <c r="A336" s="2">
        <v>43637</v>
      </c>
      <c r="B336" s="1">
        <v>49.695</v>
      </c>
      <c r="C336" s="1">
        <v>1911.3</v>
      </c>
      <c r="D336" s="22">
        <f t="shared" si="25"/>
        <v>1033.2133065639405</v>
      </c>
      <c r="E336" s="23">
        <f t="shared" si="26"/>
        <v>-3.7202929032257543</v>
      </c>
      <c r="F336" s="23">
        <f t="shared" si="27"/>
        <v>3.7202929032257543</v>
      </c>
    </row>
    <row r="337" spans="1:6" x14ac:dyDescent="0.3">
      <c r="A337" s="2">
        <v>43636</v>
      </c>
      <c r="B337" s="1">
        <v>49.865000000000002</v>
      </c>
      <c r="C337" s="1">
        <v>1918.19</v>
      </c>
      <c r="D337" s="22">
        <f t="shared" si="25"/>
        <v>1036.9335994671662</v>
      </c>
      <c r="E337" s="23">
        <f t="shared" si="26"/>
        <v>5.1536773603108941</v>
      </c>
      <c r="F337" s="23">
        <f t="shared" si="27"/>
        <v>-5.1536773603108941</v>
      </c>
    </row>
    <row r="338" spans="1:6" x14ac:dyDescent="0.3">
      <c r="A338" s="2">
        <v>43635</v>
      </c>
      <c r="B338" s="1">
        <v>49.467500000000001</v>
      </c>
      <c r="C338" s="1">
        <v>1908.79</v>
      </c>
      <c r="D338" s="22">
        <f t="shared" si="25"/>
        <v>1031.7799221068553</v>
      </c>
      <c r="E338" s="23">
        <f t="shared" si="26"/>
        <v>3.8517211031107763</v>
      </c>
      <c r="F338" s="23">
        <f t="shared" si="27"/>
        <v>-3.8517211031107763</v>
      </c>
    </row>
    <row r="339" spans="1:6" x14ac:dyDescent="0.3">
      <c r="A339" s="2">
        <v>43634</v>
      </c>
      <c r="B339" s="1">
        <v>49.612499999999997</v>
      </c>
      <c r="C339" s="1">
        <v>1901.37</v>
      </c>
      <c r="D339" s="22">
        <f t="shared" si="25"/>
        <v>1027.9282010037446</v>
      </c>
      <c r="E339" s="23">
        <f t="shared" si="26"/>
        <v>8.6421070276497858</v>
      </c>
      <c r="F339" s="23">
        <f t="shared" si="27"/>
        <v>-8.6421070276497858</v>
      </c>
    </row>
    <row r="340" spans="1:6" x14ac:dyDescent="0.3">
      <c r="A340" s="2">
        <v>43633</v>
      </c>
      <c r="B340" s="1">
        <v>48.472499999999997</v>
      </c>
      <c r="C340" s="1">
        <v>1886.03</v>
      </c>
      <c r="D340" s="22">
        <f t="shared" si="25"/>
        <v>1019.2860939760948</v>
      </c>
      <c r="E340" s="23">
        <f t="shared" si="26"/>
        <v>8.7788813522464579</v>
      </c>
      <c r="F340" s="23">
        <f t="shared" si="27"/>
        <v>-8.7788813522464579</v>
      </c>
    </row>
    <row r="341" spans="1:6" x14ac:dyDescent="0.3">
      <c r="A341" s="2">
        <v>43630</v>
      </c>
      <c r="B341" s="1">
        <v>48.185000000000002</v>
      </c>
      <c r="C341" s="1">
        <v>1869.67</v>
      </c>
      <c r="D341" s="22">
        <f t="shared" si="25"/>
        <v>1010.5072126238483</v>
      </c>
      <c r="E341" s="23">
        <f t="shared" si="26"/>
        <v>-0.49910807747687613</v>
      </c>
      <c r="F341" s="23">
        <f t="shared" si="27"/>
        <v>0.49910807747687613</v>
      </c>
    </row>
    <row r="342" spans="1:6" x14ac:dyDescent="0.3">
      <c r="A342" s="2">
        <v>43629</v>
      </c>
      <c r="B342" s="1">
        <v>48.537500000000001</v>
      </c>
      <c r="C342" s="1">
        <v>1870.3</v>
      </c>
      <c r="D342" s="22">
        <f t="shared" si="25"/>
        <v>1011.0063207013252</v>
      </c>
      <c r="E342" s="23">
        <f t="shared" si="26"/>
        <v>7.9094777707373396</v>
      </c>
      <c r="F342" s="23">
        <f t="shared" si="27"/>
        <v>-7.9094777707373396</v>
      </c>
    </row>
    <row r="343" spans="1:6" x14ac:dyDescent="0.3">
      <c r="A343" s="2">
        <v>43628</v>
      </c>
      <c r="B343" s="1">
        <v>48.547499999999999</v>
      </c>
      <c r="C343" s="1">
        <v>1855.32</v>
      </c>
      <c r="D343" s="22">
        <f t="shared" si="25"/>
        <v>1003.0968429305879</v>
      </c>
      <c r="E343" s="23">
        <f t="shared" si="26"/>
        <v>-4.5004105846775246</v>
      </c>
      <c r="F343" s="23">
        <f t="shared" si="27"/>
        <v>4.5004105846775246</v>
      </c>
    </row>
    <row r="344" spans="1:6" x14ac:dyDescent="0.3">
      <c r="A344" s="2">
        <v>43627</v>
      </c>
      <c r="B344" s="1">
        <v>48.702500000000001</v>
      </c>
      <c r="C344" s="1">
        <v>1863.7</v>
      </c>
      <c r="D344" s="22">
        <f t="shared" si="25"/>
        <v>1007.5972535152654</v>
      </c>
      <c r="E344" s="23">
        <f t="shared" si="26"/>
        <v>1.8848974582372193</v>
      </c>
      <c r="F344" s="23">
        <f t="shared" si="27"/>
        <v>-1.8848974582372193</v>
      </c>
    </row>
    <row r="345" spans="1:6" x14ac:dyDescent="0.3">
      <c r="A345" s="2">
        <v>43626</v>
      </c>
      <c r="B345" s="1">
        <v>48.145000000000003</v>
      </c>
      <c r="C345" s="1">
        <v>1860.63</v>
      </c>
      <c r="D345" s="22">
        <f t="shared" si="25"/>
        <v>1005.7123560570282</v>
      </c>
      <c r="E345" s="23">
        <f t="shared" si="26"/>
        <v>30.189311813076074</v>
      </c>
      <c r="F345" s="23">
        <f t="shared" si="27"/>
        <v>-30.189311813076074</v>
      </c>
    </row>
    <row r="346" spans="1:6" x14ac:dyDescent="0.3">
      <c r="A346" s="2">
        <v>43623</v>
      </c>
      <c r="B346" s="1">
        <v>47.537500000000001</v>
      </c>
      <c r="C346" s="1">
        <v>1804.03</v>
      </c>
      <c r="D346" s="22">
        <f t="shared" si="25"/>
        <v>975.52304424395209</v>
      </c>
      <c r="E346" s="23">
        <f t="shared" si="26"/>
        <v>26.822873883928651</v>
      </c>
      <c r="F346" s="23">
        <f t="shared" si="27"/>
        <v>-26.822873883928651</v>
      </c>
    </row>
    <row r="347" spans="1:6" x14ac:dyDescent="0.3">
      <c r="A347" s="2">
        <v>43622</v>
      </c>
      <c r="B347" s="1">
        <v>46.305</v>
      </c>
      <c r="C347" s="1">
        <v>1754.36</v>
      </c>
      <c r="D347" s="22">
        <f t="shared" si="25"/>
        <v>948.70017036002344</v>
      </c>
      <c r="E347" s="23">
        <f t="shared" si="26"/>
        <v>8.695141250000006</v>
      </c>
      <c r="F347" s="23">
        <f t="shared" si="27"/>
        <v>-8.695141250000006</v>
      </c>
    </row>
    <row r="348" spans="1:6" x14ac:dyDescent="0.3">
      <c r="A348" s="2">
        <v>43621</v>
      </c>
      <c r="B348" s="1">
        <v>45.634999999999998</v>
      </c>
      <c r="C348" s="1">
        <v>1738.5</v>
      </c>
      <c r="D348" s="22">
        <f t="shared" si="25"/>
        <v>940.00502911002343</v>
      </c>
      <c r="E348" s="23">
        <f t="shared" si="26"/>
        <v>5.0651274107142399</v>
      </c>
      <c r="F348" s="23">
        <f t="shared" si="27"/>
        <v>-5.0651274107142399</v>
      </c>
    </row>
    <row r="349" spans="1:6" x14ac:dyDescent="0.3">
      <c r="A349" s="2">
        <v>43620</v>
      </c>
      <c r="B349" s="1">
        <v>44.91</v>
      </c>
      <c r="C349" s="1">
        <v>1729.56</v>
      </c>
      <c r="D349" s="22">
        <f t="shared" si="25"/>
        <v>934.93990169930919</v>
      </c>
      <c r="E349" s="23">
        <f t="shared" si="26"/>
        <v>20.226679328917044</v>
      </c>
      <c r="F349" s="23">
        <f t="shared" si="27"/>
        <v>-20.226679328917044</v>
      </c>
    </row>
    <row r="350" spans="1:6" x14ac:dyDescent="0.3">
      <c r="A350" s="2">
        <v>43619</v>
      </c>
      <c r="B350" s="1">
        <v>43.325000000000003</v>
      </c>
      <c r="C350" s="1">
        <v>1692.69</v>
      </c>
      <c r="D350" s="22">
        <f t="shared" si="25"/>
        <v>914.71322237039215</v>
      </c>
      <c r="E350" s="23">
        <f t="shared" si="26"/>
        <v>-43.731506660426135</v>
      </c>
      <c r="F350" s="23">
        <f t="shared" si="27"/>
        <v>43.731506660426135</v>
      </c>
    </row>
    <row r="351" spans="1:6" x14ac:dyDescent="0.3">
      <c r="A351" s="2">
        <v>43616</v>
      </c>
      <c r="B351" s="1">
        <v>43.767499999999998</v>
      </c>
      <c r="C351" s="1">
        <v>1775.07</v>
      </c>
      <c r="D351" s="22">
        <f t="shared" si="25"/>
        <v>958.44472903081828</v>
      </c>
      <c r="E351" s="23">
        <f t="shared" si="26"/>
        <v>-22.173976300403297</v>
      </c>
      <c r="F351" s="23">
        <f t="shared" si="27"/>
        <v>22.173976300403297</v>
      </c>
    </row>
    <row r="352" spans="1:6" x14ac:dyDescent="0.3">
      <c r="A352" s="2">
        <v>43615</v>
      </c>
      <c r="B352" s="1">
        <v>44.575000000000003</v>
      </c>
      <c r="C352" s="1">
        <v>1816.32</v>
      </c>
      <c r="D352" s="22">
        <f t="shared" si="25"/>
        <v>980.61870533122158</v>
      </c>
      <c r="E352" s="23">
        <f t="shared" si="26"/>
        <v>-1.4077839285714617</v>
      </c>
      <c r="F352" s="23">
        <f t="shared" si="27"/>
        <v>1.4077839285714617</v>
      </c>
    </row>
    <row r="353" spans="1:6" x14ac:dyDescent="0.3">
      <c r="A353" s="2">
        <v>43614</v>
      </c>
      <c r="B353" s="1">
        <v>44.344999999999999</v>
      </c>
      <c r="C353" s="1">
        <v>1819.19</v>
      </c>
      <c r="D353" s="22">
        <f t="shared" si="25"/>
        <v>982.02648925979304</v>
      </c>
      <c r="E353" s="23">
        <f t="shared" si="26"/>
        <v>-9.2084244657258978</v>
      </c>
      <c r="F353" s="23">
        <f t="shared" si="27"/>
        <v>9.2084244657258978</v>
      </c>
    </row>
    <row r="354" spans="1:6" x14ac:dyDescent="0.3">
      <c r="A354" s="2">
        <v>43613</v>
      </c>
      <c r="B354" s="1">
        <v>44.557499999999997</v>
      </c>
      <c r="C354" s="1">
        <v>1836.43</v>
      </c>
      <c r="D354" s="22">
        <f t="shared" si="25"/>
        <v>991.23491372551894</v>
      </c>
      <c r="E354" s="23">
        <f t="shared" si="26"/>
        <v>6.86011247983879</v>
      </c>
      <c r="F354" s="23">
        <f t="shared" si="27"/>
        <v>-6.86011247983879</v>
      </c>
    </row>
    <row r="355" spans="1:6" x14ac:dyDescent="0.3">
      <c r="A355" s="2">
        <v>43612</v>
      </c>
      <c r="B355" s="1">
        <v>44.7425</v>
      </c>
      <c r="C355" s="1">
        <v>1823.28</v>
      </c>
      <c r="D355" s="22">
        <f t="shared" si="25"/>
        <v>984.37480124568015</v>
      </c>
      <c r="E355" s="23">
        <f t="shared" si="26"/>
        <v>0</v>
      </c>
      <c r="F355" s="23">
        <f t="shared" si="27"/>
        <v>0</v>
      </c>
    </row>
    <row r="356" spans="1:6" x14ac:dyDescent="0.3">
      <c r="A356" s="2">
        <v>43609</v>
      </c>
      <c r="B356" s="1">
        <v>44.7425</v>
      </c>
      <c r="C356" s="1">
        <v>1823.28</v>
      </c>
      <c r="D356" s="22">
        <f t="shared" si="25"/>
        <v>984.37480124568015</v>
      </c>
      <c r="E356" s="23">
        <f t="shared" si="26"/>
        <v>4.0395104421082806</v>
      </c>
      <c r="F356" s="23">
        <f t="shared" si="27"/>
        <v>-4.0395104421082806</v>
      </c>
    </row>
    <row r="357" spans="1:6" x14ac:dyDescent="0.3">
      <c r="A357" s="2">
        <v>43608</v>
      </c>
      <c r="B357" s="1">
        <v>44.914999999999999</v>
      </c>
      <c r="C357" s="1">
        <v>1815.48</v>
      </c>
      <c r="D357" s="22">
        <f t="shared" si="25"/>
        <v>980.33529080357187</v>
      </c>
      <c r="E357" s="23">
        <f t="shared" si="26"/>
        <v>-23.719541347926224</v>
      </c>
      <c r="F357" s="23">
        <f t="shared" si="27"/>
        <v>23.719541347926224</v>
      </c>
    </row>
    <row r="358" spans="1:6" x14ac:dyDescent="0.3">
      <c r="A358" s="2">
        <v>43607</v>
      </c>
      <c r="B358" s="1">
        <v>45.695</v>
      </c>
      <c r="C358" s="1">
        <v>1859.68</v>
      </c>
      <c r="D358" s="22">
        <f t="shared" si="25"/>
        <v>1004.0548321514981</v>
      </c>
      <c r="E358" s="23">
        <f t="shared" si="26"/>
        <v>0.69070868951621378</v>
      </c>
      <c r="F358" s="23">
        <f t="shared" si="27"/>
        <v>-0.69070868951621378</v>
      </c>
    </row>
    <row r="359" spans="1:6" x14ac:dyDescent="0.3">
      <c r="A359" s="2">
        <v>43606</v>
      </c>
      <c r="B359" s="1">
        <v>46.65</v>
      </c>
      <c r="C359" s="1">
        <v>1857.52</v>
      </c>
      <c r="D359" s="22">
        <f t="shared" si="25"/>
        <v>1003.3641234619819</v>
      </c>
      <c r="E359" s="23">
        <f t="shared" si="26"/>
        <v>-0.35215873991944591</v>
      </c>
      <c r="F359" s="23">
        <f t="shared" si="27"/>
        <v>0.35215873991944591</v>
      </c>
    </row>
    <row r="360" spans="1:6" x14ac:dyDescent="0.3">
      <c r="A360" s="2">
        <v>43605</v>
      </c>
      <c r="B360" s="1">
        <v>45.772500000000001</v>
      </c>
      <c r="C360" s="1">
        <v>1858.97</v>
      </c>
      <c r="D360" s="22">
        <f t="shared" si="25"/>
        <v>1003.7162822019013</v>
      </c>
      <c r="E360" s="23">
        <f t="shared" si="26"/>
        <v>-5.9959345319699651</v>
      </c>
      <c r="F360" s="23">
        <f t="shared" si="27"/>
        <v>5.9959345319699651</v>
      </c>
    </row>
    <row r="361" spans="1:6" x14ac:dyDescent="0.3">
      <c r="A361" s="2">
        <v>43602</v>
      </c>
      <c r="B361" s="1">
        <v>47.25</v>
      </c>
      <c r="C361" s="1">
        <v>1869</v>
      </c>
      <c r="D361" s="22">
        <f t="shared" si="25"/>
        <v>1009.7122167338713</v>
      </c>
      <c r="E361" s="23">
        <f t="shared" si="26"/>
        <v>-20.504556278801942</v>
      </c>
      <c r="F361" s="23">
        <f t="shared" si="27"/>
        <v>20.504556278801942</v>
      </c>
    </row>
    <row r="362" spans="1:6" x14ac:dyDescent="0.3">
      <c r="A362" s="2">
        <v>43601</v>
      </c>
      <c r="B362" s="1">
        <v>47.52</v>
      </c>
      <c r="C362" s="1">
        <v>1907.57</v>
      </c>
      <c r="D362" s="22">
        <f t="shared" si="25"/>
        <v>1030.2167730126732</v>
      </c>
      <c r="E362" s="23">
        <f t="shared" si="26"/>
        <v>19.142266226958554</v>
      </c>
      <c r="F362" s="23">
        <f t="shared" si="27"/>
        <v>-19.142266226958554</v>
      </c>
    </row>
    <row r="363" spans="1:6" x14ac:dyDescent="0.3">
      <c r="A363" s="2">
        <v>43600</v>
      </c>
      <c r="B363" s="1">
        <v>47.73</v>
      </c>
      <c r="C363" s="1">
        <v>1871.15</v>
      </c>
      <c r="D363" s="22">
        <f t="shared" si="25"/>
        <v>1011.0745067857147</v>
      </c>
      <c r="E363" s="23">
        <f t="shared" si="26"/>
        <v>16.660189478686675</v>
      </c>
      <c r="F363" s="23">
        <f t="shared" si="27"/>
        <v>-16.660189478686675</v>
      </c>
    </row>
    <row r="364" spans="1:6" x14ac:dyDescent="0.3">
      <c r="A364" s="2">
        <v>43599</v>
      </c>
      <c r="B364" s="1">
        <v>47.164999999999999</v>
      </c>
      <c r="C364" s="1">
        <v>1840.12</v>
      </c>
      <c r="D364" s="22">
        <f t="shared" si="25"/>
        <v>994.414317307028</v>
      </c>
      <c r="E364" s="23">
        <f t="shared" si="26"/>
        <v>9.5605421054146973</v>
      </c>
      <c r="F364" s="23">
        <f t="shared" si="27"/>
        <v>-9.5605421054146973</v>
      </c>
    </row>
    <row r="365" spans="1:6" x14ac:dyDescent="0.3">
      <c r="A365" s="2">
        <v>43598</v>
      </c>
      <c r="B365" s="1">
        <v>46.43</v>
      </c>
      <c r="C365" s="1">
        <v>1822.68</v>
      </c>
      <c r="D365" s="22">
        <f t="shared" si="25"/>
        <v>984.8537752016133</v>
      </c>
      <c r="E365" s="23">
        <f t="shared" si="26"/>
        <v>-36.907131431451717</v>
      </c>
      <c r="F365" s="23">
        <f t="shared" si="27"/>
        <v>36.907131431451717</v>
      </c>
    </row>
    <row r="366" spans="1:6" x14ac:dyDescent="0.3">
      <c r="A366" s="2">
        <v>43595</v>
      </c>
      <c r="B366" s="1">
        <v>49.295000000000002</v>
      </c>
      <c r="C366" s="1">
        <v>1889.98</v>
      </c>
      <c r="D366" s="22">
        <f t="shared" si="25"/>
        <v>1021.760906633065</v>
      </c>
      <c r="E366" s="23">
        <f t="shared" si="26"/>
        <v>-5.6424981538017391</v>
      </c>
      <c r="F366" s="23">
        <f t="shared" si="27"/>
        <v>5.6424981538017391</v>
      </c>
    </row>
    <row r="367" spans="1:6" x14ac:dyDescent="0.3">
      <c r="A367" s="2">
        <v>43594</v>
      </c>
      <c r="B367" s="1">
        <v>50.18</v>
      </c>
      <c r="C367" s="1">
        <v>1899.87</v>
      </c>
      <c r="D367" s="22">
        <f t="shared" si="25"/>
        <v>1027.4034047868668</v>
      </c>
      <c r="E367" s="23">
        <f t="shared" si="26"/>
        <v>-9.7139484130184428</v>
      </c>
      <c r="F367" s="23">
        <f t="shared" si="27"/>
        <v>9.7139484130184428</v>
      </c>
    </row>
    <row r="368" spans="1:6" x14ac:dyDescent="0.3">
      <c r="A368" s="2">
        <v>43593</v>
      </c>
      <c r="B368" s="1">
        <v>50.725000000000001</v>
      </c>
      <c r="C368" s="1">
        <v>1917.77</v>
      </c>
      <c r="D368" s="22">
        <f t="shared" si="25"/>
        <v>1037.1173531998852</v>
      </c>
      <c r="E368" s="23">
        <f t="shared" si="26"/>
        <v>-1.7017483640554474</v>
      </c>
      <c r="F368" s="23">
        <f t="shared" si="27"/>
        <v>1.7017483640554474</v>
      </c>
    </row>
    <row r="369" spans="1:6" x14ac:dyDescent="0.3">
      <c r="A369" s="2">
        <v>43592</v>
      </c>
      <c r="B369" s="1">
        <v>50.715000000000003</v>
      </c>
      <c r="C369" s="1">
        <v>1921</v>
      </c>
      <c r="D369" s="22">
        <f t="shared" si="25"/>
        <v>1038.8191015639406</v>
      </c>
      <c r="E369" s="23">
        <f t="shared" si="26"/>
        <v>-16.274493119239423</v>
      </c>
      <c r="F369" s="23">
        <f t="shared" si="27"/>
        <v>16.274493119239423</v>
      </c>
    </row>
    <row r="370" spans="1:6" x14ac:dyDescent="0.3">
      <c r="A370" s="2">
        <v>43591</v>
      </c>
      <c r="B370" s="1">
        <v>52.12</v>
      </c>
      <c r="C370" s="1">
        <v>1950.55</v>
      </c>
      <c r="D370" s="22">
        <f t="shared" si="25"/>
        <v>1055.0935946831801</v>
      </c>
      <c r="E370" s="23">
        <f t="shared" si="26"/>
        <v>-6.6778607186060981</v>
      </c>
      <c r="F370" s="23">
        <f t="shared" si="27"/>
        <v>6.6778607186060981</v>
      </c>
    </row>
    <row r="371" spans="1:6" x14ac:dyDescent="0.3">
      <c r="A371" s="2">
        <v>43588</v>
      </c>
      <c r="B371" s="1">
        <v>52.9375</v>
      </c>
      <c r="C371" s="1">
        <v>1962.46</v>
      </c>
      <c r="D371" s="22">
        <f t="shared" si="25"/>
        <v>1061.7714554017862</v>
      </c>
      <c r="E371" s="23">
        <f t="shared" si="26"/>
        <v>32.872078001152204</v>
      </c>
      <c r="F371" s="23">
        <f t="shared" si="27"/>
        <v>-32.872078001152204</v>
      </c>
    </row>
    <row r="372" spans="1:6" x14ac:dyDescent="0.3">
      <c r="A372" s="2">
        <v>43587</v>
      </c>
      <c r="B372" s="1">
        <v>52.287500000000001</v>
      </c>
      <c r="C372" s="1">
        <v>1900.82</v>
      </c>
      <c r="D372" s="22">
        <f t="shared" si="25"/>
        <v>1028.899377400634</v>
      </c>
      <c r="E372" s="23">
        <f t="shared" si="26"/>
        <v>-5.8145474323157487</v>
      </c>
      <c r="F372" s="23">
        <f t="shared" si="27"/>
        <v>5.8145474323157487</v>
      </c>
    </row>
    <row r="373" spans="1:6" x14ac:dyDescent="0.3">
      <c r="A373" s="2">
        <v>43586</v>
      </c>
      <c r="B373" s="1">
        <v>52.63</v>
      </c>
      <c r="C373" s="1">
        <v>1911.52</v>
      </c>
      <c r="D373" s="22">
        <f t="shared" si="25"/>
        <v>1034.7139248329497</v>
      </c>
      <c r="E373" s="23">
        <f t="shared" si="26"/>
        <v>-6.7632425331221384</v>
      </c>
      <c r="F373" s="23">
        <f t="shared" si="27"/>
        <v>6.7632425331221384</v>
      </c>
    </row>
    <row r="374" spans="1:6" x14ac:dyDescent="0.3">
      <c r="A374" s="2">
        <v>43585</v>
      </c>
      <c r="B374" s="1">
        <v>50.167499999999997</v>
      </c>
      <c r="C374" s="1">
        <v>1926.52</v>
      </c>
      <c r="D374" s="22">
        <f t="shared" si="25"/>
        <v>1041.4771673660719</v>
      </c>
      <c r="E374" s="23">
        <f t="shared" si="26"/>
        <v>-6.7568675547236126</v>
      </c>
      <c r="F374" s="23">
        <f t="shared" si="27"/>
        <v>6.7568675547236126</v>
      </c>
    </row>
    <row r="375" spans="1:6" x14ac:dyDescent="0.3">
      <c r="A375" s="2">
        <v>43584</v>
      </c>
      <c r="B375" s="1">
        <v>51.152500000000003</v>
      </c>
      <c r="C375" s="1">
        <v>1938.43</v>
      </c>
      <c r="D375" s="22">
        <f t="shared" si="25"/>
        <v>1048.2340349207955</v>
      </c>
      <c r="E375" s="23">
        <f t="shared" si="26"/>
        <v>-6.4089168332372992</v>
      </c>
      <c r="F375" s="23">
        <f t="shared" si="27"/>
        <v>6.4089168332372992</v>
      </c>
    </row>
    <row r="376" spans="1:6" x14ac:dyDescent="0.3">
      <c r="A376" s="2">
        <v>43581</v>
      </c>
      <c r="B376" s="1">
        <v>51.075000000000003</v>
      </c>
      <c r="C376" s="1">
        <v>1950.63</v>
      </c>
      <c r="D376" s="22">
        <f t="shared" si="25"/>
        <v>1054.6429517540328</v>
      </c>
      <c r="E376" s="23">
        <f t="shared" si="26"/>
        <v>25.444433395737406</v>
      </c>
      <c r="F376" s="23">
        <f t="shared" si="27"/>
        <v>-25.444433395737406</v>
      </c>
    </row>
    <row r="377" spans="1:6" x14ac:dyDescent="0.3">
      <c r="A377" s="2">
        <v>43580</v>
      </c>
      <c r="B377" s="1">
        <v>51.32</v>
      </c>
      <c r="C377" s="1">
        <v>1902.25</v>
      </c>
      <c r="D377" s="22">
        <f t="shared" si="25"/>
        <v>1029.1985183582954</v>
      </c>
      <c r="E377" s="23">
        <f t="shared" si="26"/>
        <v>4.2467874424119145E-2</v>
      </c>
      <c r="F377" s="23">
        <f t="shared" si="27"/>
        <v>-4.2467874424119145E-2</v>
      </c>
    </row>
    <row r="378" spans="1:6" x14ac:dyDescent="0.3">
      <c r="A378" s="2">
        <v>43579</v>
      </c>
      <c r="B378" s="1">
        <v>51.79</v>
      </c>
      <c r="C378" s="1">
        <v>1901.75</v>
      </c>
      <c r="D378" s="22">
        <f t="shared" si="25"/>
        <v>1029.1560504838712</v>
      </c>
      <c r="E378" s="23">
        <f t="shared" si="26"/>
        <v>-11.671283675115319</v>
      </c>
      <c r="F378" s="23">
        <f t="shared" si="27"/>
        <v>11.671283675115319</v>
      </c>
    </row>
    <row r="379" spans="1:6" x14ac:dyDescent="0.3">
      <c r="A379" s="2">
        <v>43578</v>
      </c>
      <c r="B379" s="1">
        <v>51.87</v>
      </c>
      <c r="C379" s="1">
        <v>1923.77</v>
      </c>
      <c r="D379" s="22">
        <f t="shared" si="25"/>
        <v>1040.8273341589866</v>
      </c>
      <c r="E379" s="23">
        <f t="shared" si="26"/>
        <v>19.610318189804161</v>
      </c>
      <c r="F379" s="23">
        <f t="shared" si="27"/>
        <v>-19.610318189804161</v>
      </c>
    </row>
    <row r="380" spans="1:6" x14ac:dyDescent="0.3">
      <c r="A380" s="2">
        <v>43577</v>
      </c>
      <c r="B380" s="1">
        <v>51.1325</v>
      </c>
      <c r="C380" s="1">
        <v>1887.31</v>
      </c>
      <c r="D380" s="22">
        <f t="shared" si="25"/>
        <v>1021.2170159691824</v>
      </c>
      <c r="E380" s="23">
        <f t="shared" si="26"/>
        <v>13.614498529665866</v>
      </c>
      <c r="F380" s="23">
        <f t="shared" si="27"/>
        <v>-13.614498529665866</v>
      </c>
    </row>
    <row r="381" spans="1:6" x14ac:dyDescent="0.3">
      <c r="A381" s="2">
        <v>43574</v>
      </c>
      <c r="B381" s="1">
        <v>50.965000000000003</v>
      </c>
      <c r="C381" s="1">
        <v>1861.69</v>
      </c>
      <c r="D381" s="22">
        <f t="shared" si="25"/>
        <v>1007.6025174395165</v>
      </c>
      <c r="E381" s="23">
        <f t="shared" si="26"/>
        <v>0</v>
      </c>
      <c r="F381" s="23">
        <f t="shared" si="27"/>
        <v>0</v>
      </c>
    </row>
    <row r="382" spans="1:6" x14ac:dyDescent="0.3">
      <c r="A382" s="2">
        <v>43573</v>
      </c>
      <c r="B382" s="1">
        <v>50.965000000000003</v>
      </c>
      <c r="C382" s="1">
        <v>1861.69</v>
      </c>
      <c r="D382" s="22">
        <f t="shared" si="25"/>
        <v>1007.6025174395165</v>
      </c>
      <c r="E382" s="23">
        <f t="shared" si="26"/>
        <v>-1.5675513752880761</v>
      </c>
      <c r="F382" s="23">
        <f t="shared" si="27"/>
        <v>1.5675513752880761</v>
      </c>
    </row>
    <row r="383" spans="1:6" x14ac:dyDescent="0.3">
      <c r="A383" s="2">
        <v>43572</v>
      </c>
      <c r="B383" s="1">
        <v>50.782499999999999</v>
      </c>
      <c r="C383" s="1">
        <v>1864.82</v>
      </c>
      <c r="D383" s="22">
        <f t="shared" si="25"/>
        <v>1009.1700688148046</v>
      </c>
      <c r="E383" s="23">
        <f t="shared" si="26"/>
        <v>1.3979370910138869</v>
      </c>
      <c r="F383" s="23">
        <f t="shared" si="27"/>
        <v>-1.3979370910138869</v>
      </c>
    </row>
    <row r="384" spans="1:6" x14ac:dyDescent="0.3">
      <c r="A384" s="2">
        <v>43571</v>
      </c>
      <c r="B384" s="1">
        <v>49.8125</v>
      </c>
      <c r="C384" s="1">
        <v>1863.04</v>
      </c>
      <c r="D384" s="22">
        <f t="shared" si="25"/>
        <v>1007.7721317237907</v>
      </c>
      <c r="E384" s="23">
        <f t="shared" si="26"/>
        <v>9.6018855040323388</v>
      </c>
      <c r="F384" s="23">
        <f t="shared" si="27"/>
        <v>-9.6018855040323388</v>
      </c>
    </row>
    <row r="385" spans="1:6" x14ac:dyDescent="0.3">
      <c r="A385" s="2">
        <v>43570</v>
      </c>
      <c r="B385" s="1">
        <v>49.807499999999997</v>
      </c>
      <c r="C385" s="1">
        <v>1844.87</v>
      </c>
      <c r="D385" s="22">
        <f t="shared" si="25"/>
        <v>998.17024621975838</v>
      </c>
      <c r="E385" s="23">
        <f t="shared" si="26"/>
        <v>0.99870592165893868</v>
      </c>
      <c r="F385" s="23">
        <f t="shared" si="27"/>
        <v>-0.99870592165893868</v>
      </c>
    </row>
    <row r="386" spans="1:6" x14ac:dyDescent="0.3">
      <c r="A386" s="2">
        <v>43567</v>
      </c>
      <c r="B386" s="1">
        <v>49.717500000000001</v>
      </c>
      <c r="C386" s="1">
        <v>1843.06</v>
      </c>
      <c r="D386" s="22">
        <f t="shared" si="25"/>
        <v>997.17154029809944</v>
      </c>
      <c r="E386" s="23">
        <f t="shared" si="26"/>
        <v>-0.54303422235022936</v>
      </c>
      <c r="F386" s="23">
        <f t="shared" si="27"/>
        <v>0.54303422235022936</v>
      </c>
    </row>
    <row r="387" spans="1:6" x14ac:dyDescent="0.3">
      <c r="A387" s="2">
        <v>43566</v>
      </c>
      <c r="B387" s="1">
        <v>49.737499999999997</v>
      </c>
      <c r="C387" s="1">
        <v>1844.07</v>
      </c>
      <c r="D387" s="22">
        <f t="shared" si="25"/>
        <v>997.71457452044967</v>
      </c>
      <c r="E387" s="23">
        <f t="shared" si="26"/>
        <v>-1.9192421990208004</v>
      </c>
      <c r="F387" s="23">
        <f t="shared" si="27"/>
        <v>1.9192421990208004</v>
      </c>
    </row>
    <row r="388" spans="1:6" x14ac:dyDescent="0.3">
      <c r="A388" s="2">
        <v>43565</v>
      </c>
      <c r="B388" s="1">
        <v>50.155000000000001</v>
      </c>
      <c r="C388" s="1">
        <v>1847.33</v>
      </c>
      <c r="D388" s="22">
        <f t="shared" si="25"/>
        <v>999.63381671947047</v>
      </c>
      <c r="E388" s="23">
        <f t="shared" si="26"/>
        <v>6.2024380126728147</v>
      </c>
      <c r="F388" s="23">
        <f t="shared" si="27"/>
        <v>-6.2024380126728147</v>
      </c>
    </row>
    <row r="389" spans="1:6" x14ac:dyDescent="0.3">
      <c r="A389" s="2">
        <v>43564</v>
      </c>
      <c r="B389" s="1">
        <v>49.875</v>
      </c>
      <c r="C389" s="1">
        <v>1835.84</v>
      </c>
      <c r="D389" s="22">
        <f t="shared" si="25"/>
        <v>993.43137870679766</v>
      </c>
      <c r="E389" s="23">
        <f t="shared" si="26"/>
        <v>-7.4777622868663229</v>
      </c>
      <c r="F389" s="23">
        <f t="shared" si="27"/>
        <v>7.4777622868663229</v>
      </c>
    </row>
    <row r="390" spans="1:6" x14ac:dyDescent="0.3">
      <c r="A390" s="2">
        <v>43563</v>
      </c>
      <c r="B390" s="1">
        <v>50.024999999999999</v>
      </c>
      <c r="C390" s="1">
        <v>1849.86</v>
      </c>
      <c r="D390" s="22">
        <f t="shared" ref="D390:D453" si="28">$M$16*B390+(1-$M$16)*C390</f>
        <v>1000.909140993664</v>
      </c>
      <c r="E390" s="23">
        <f t="shared" ref="E390:E453" si="29">D390-D391</f>
        <v>7.0117868634793012</v>
      </c>
      <c r="F390" s="23">
        <f t="shared" ref="F390:F453" si="30">-E390</f>
        <v>-7.0117868634793012</v>
      </c>
    </row>
    <row r="391" spans="1:6" x14ac:dyDescent="0.3">
      <c r="A391" s="2">
        <v>43560</v>
      </c>
      <c r="B391" s="1">
        <v>49.25</v>
      </c>
      <c r="C391" s="1">
        <v>1837.28</v>
      </c>
      <c r="D391" s="22">
        <f t="shared" si="28"/>
        <v>993.89735413018468</v>
      </c>
      <c r="E391" s="23">
        <f t="shared" si="29"/>
        <v>9.8860824927994599</v>
      </c>
      <c r="F391" s="23">
        <f t="shared" si="30"/>
        <v>-9.8860824927994599</v>
      </c>
    </row>
    <row r="392" spans="1:6" x14ac:dyDescent="0.3">
      <c r="A392" s="2">
        <v>43559</v>
      </c>
      <c r="B392" s="1">
        <v>48.922499999999999</v>
      </c>
      <c r="C392" s="1">
        <v>1818.86</v>
      </c>
      <c r="D392" s="22">
        <f t="shared" si="28"/>
        <v>984.01127163738522</v>
      </c>
      <c r="E392" s="23">
        <f t="shared" si="29"/>
        <v>-0.93201098790325432</v>
      </c>
      <c r="F392" s="23">
        <f t="shared" si="30"/>
        <v>0.93201098790325432</v>
      </c>
    </row>
    <row r="393" spans="1:6" x14ac:dyDescent="0.3">
      <c r="A393" s="2">
        <v>43558</v>
      </c>
      <c r="B393" s="1">
        <v>48.837499999999999</v>
      </c>
      <c r="C393" s="1">
        <v>1820.7</v>
      </c>
      <c r="D393" s="22">
        <f t="shared" si="28"/>
        <v>984.94328262528848</v>
      </c>
      <c r="E393" s="23">
        <f t="shared" si="29"/>
        <v>3.7071273689517739</v>
      </c>
      <c r="F393" s="23">
        <f t="shared" si="30"/>
        <v>-3.7071273689517739</v>
      </c>
    </row>
    <row r="394" spans="1:6" x14ac:dyDescent="0.3">
      <c r="A394" s="2">
        <v>43557</v>
      </c>
      <c r="B394" s="1">
        <v>48.505000000000003</v>
      </c>
      <c r="C394" s="1">
        <v>1813.98</v>
      </c>
      <c r="D394" s="22">
        <f t="shared" si="28"/>
        <v>981.2361552563367</v>
      </c>
      <c r="E394" s="23">
        <f t="shared" si="29"/>
        <v>0.21687275633632908</v>
      </c>
      <c r="F394" s="23">
        <f t="shared" si="30"/>
        <v>-0.21687275633632908</v>
      </c>
    </row>
    <row r="395" spans="1:6" x14ac:dyDescent="0.3">
      <c r="A395" s="2">
        <v>43556</v>
      </c>
      <c r="B395" s="1">
        <v>47.81</v>
      </c>
      <c r="C395" s="1">
        <v>1814.19</v>
      </c>
      <c r="D395" s="22">
        <f t="shared" si="28"/>
        <v>981.01928250000037</v>
      </c>
      <c r="E395" s="23">
        <f t="shared" si="29"/>
        <v>17.819051372407898</v>
      </c>
      <c r="F395" s="23">
        <f t="shared" si="30"/>
        <v>-17.819051372407898</v>
      </c>
    </row>
    <row r="396" spans="1:6" x14ac:dyDescent="0.3">
      <c r="A396" s="2">
        <v>43553</v>
      </c>
      <c r="B396" s="1">
        <v>47.487499999999997</v>
      </c>
      <c r="C396" s="1">
        <v>1780.75</v>
      </c>
      <c r="D396" s="22">
        <f t="shared" si="28"/>
        <v>963.20023112759247</v>
      </c>
      <c r="E396" s="23">
        <f t="shared" si="29"/>
        <v>4.0176089156105945</v>
      </c>
      <c r="F396" s="23">
        <f t="shared" si="30"/>
        <v>-4.0176089156105945</v>
      </c>
    </row>
    <row r="397" spans="1:6" x14ac:dyDescent="0.3">
      <c r="A397" s="2">
        <v>43552</v>
      </c>
      <c r="B397" s="1">
        <v>47.18</v>
      </c>
      <c r="C397" s="1">
        <v>1773.42</v>
      </c>
      <c r="D397" s="22">
        <f t="shared" si="28"/>
        <v>959.18262221198188</v>
      </c>
      <c r="E397" s="23">
        <f t="shared" si="29"/>
        <v>4.1080904622695016</v>
      </c>
      <c r="F397" s="23">
        <f t="shared" si="30"/>
        <v>-4.1080904622695016</v>
      </c>
    </row>
    <row r="398" spans="1:6" x14ac:dyDescent="0.3">
      <c r="A398" s="2">
        <v>43551</v>
      </c>
      <c r="B398" s="1">
        <v>47.1175</v>
      </c>
      <c r="C398" s="1">
        <v>1765.7</v>
      </c>
      <c r="D398" s="22">
        <f t="shared" si="28"/>
        <v>955.07453174971238</v>
      </c>
      <c r="E398" s="23">
        <f t="shared" si="29"/>
        <v>-9.3433054838709495</v>
      </c>
      <c r="F398" s="23">
        <f t="shared" si="30"/>
        <v>9.3433054838709495</v>
      </c>
    </row>
    <row r="399" spans="1:6" x14ac:dyDescent="0.3">
      <c r="A399" s="2">
        <v>43550</v>
      </c>
      <c r="B399" s="1">
        <v>46.697499999999998</v>
      </c>
      <c r="C399" s="1">
        <v>1783.76</v>
      </c>
      <c r="D399" s="22">
        <f t="shared" si="28"/>
        <v>964.41783723358333</v>
      </c>
      <c r="E399" s="23">
        <f t="shared" si="29"/>
        <v>4.7890699956798244</v>
      </c>
      <c r="F399" s="23">
        <f t="shared" si="30"/>
        <v>-4.7890699956798244</v>
      </c>
    </row>
    <row r="400" spans="1:6" x14ac:dyDescent="0.3">
      <c r="A400" s="2">
        <v>43549</v>
      </c>
      <c r="B400" s="1">
        <v>47.185000000000002</v>
      </c>
      <c r="C400" s="1">
        <v>1774.26</v>
      </c>
      <c r="D400" s="22">
        <f t="shared" si="28"/>
        <v>959.6287672379035</v>
      </c>
      <c r="E400" s="23">
        <f t="shared" si="29"/>
        <v>4.7413353873847655</v>
      </c>
      <c r="F400" s="23">
        <f t="shared" si="30"/>
        <v>-4.7413353873847655</v>
      </c>
    </row>
    <row r="401" spans="1:6" x14ac:dyDescent="0.3">
      <c r="A401" s="2">
        <v>43546</v>
      </c>
      <c r="B401" s="1">
        <v>47.762500000000003</v>
      </c>
      <c r="C401" s="1">
        <v>1764.77</v>
      </c>
      <c r="D401" s="22">
        <f t="shared" si="28"/>
        <v>954.88743185051874</v>
      </c>
      <c r="E401" s="23">
        <f t="shared" si="29"/>
        <v>-29.264414354838777</v>
      </c>
      <c r="F401" s="23">
        <f t="shared" si="30"/>
        <v>29.264414354838777</v>
      </c>
    </row>
    <row r="402" spans="1:6" x14ac:dyDescent="0.3">
      <c r="A402" s="2">
        <v>43545</v>
      </c>
      <c r="B402" s="1">
        <v>48.772500000000001</v>
      </c>
      <c r="C402" s="1">
        <v>1819.26</v>
      </c>
      <c r="D402" s="22">
        <f t="shared" si="28"/>
        <v>984.15184620535751</v>
      </c>
      <c r="E402" s="23">
        <f t="shared" si="29"/>
        <v>12.434889655817869</v>
      </c>
      <c r="F402" s="23">
        <f t="shared" si="30"/>
        <v>-12.434889655817869</v>
      </c>
    </row>
    <row r="403" spans="1:6" x14ac:dyDescent="0.3">
      <c r="A403" s="2">
        <v>43544</v>
      </c>
      <c r="B403" s="1">
        <v>47.04</v>
      </c>
      <c r="C403" s="1">
        <v>1797.27</v>
      </c>
      <c r="D403" s="22">
        <f t="shared" si="28"/>
        <v>971.71695654953965</v>
      </c>
      <c r="E403" s="23">
        <f t="shared" si="29"/>
        <v>18.905212838421789</v>
      </c>
      <c r="F403" s="23">
        <f t="shared" si="30"/>
        <v>-18.905212838421789</v>
      </c>
    </row>
    <row r="404" spans="1:6" x14ac:dyDescent="0.3">
      <c r="A404" s="2">
        <v>43543</v>
      </c>
      <c r="B404" s="1">
        <v>46.6325</v>
      </c>
      <c r="C404" s="1">
        <v>1761.85</v>
      </c>
      <c r="D404" s="22">
        <f t="shared" si="28"/>
        <v>952.81174371111786</v>
      </c>
      <c r="E404" s="23">
        <f t="shared" si="29"/>
        <v>10.23215093749991</v>
      </c>
      <c r="F404" s="23">
        <f t="shared" si="30"/>
        <v>-10.23215093749991</v>
      </c>
    </row>
    <row r="405" spans="1:6" x14ac:dyDescent="0.3">
      <c r="A405" s="2">
        <v>43542</v>
      </c>
      <c r="B405" s="1">
        <v>47.005000000000003</v>
      </c>
      <c r="C405" s="1">
        <v>1742.15</v>
      </c>
      <c r="D405" s="22">
        <f t="shared" si="28"/>
        <v>942.57959277361795</v>
      </c>
      <c r="E405" s="23">
        <f t="shared" si="29"/>
        <v>15.96262447292645</v>
      </c>
      <c r="F405" s="23">
        <f t="shared" si="30"/>
        <v>-15.96262447292645</v>
      </c>
    </row>
    <row r="406" spans="1:6" x14ac:dyDescent="0.3">
      <c r="A406" s="2">
        <v>43539</v>
      </c>
      <c r="B406" s="1">
        <v>46.53</v>
      </c>
      <c r="C406" s="1">
        <v>1712.36</v>
      </c>
      <c r="D406" s="22">
        <f t="shared" si="28"/>
        <v>926.6169683006915</v>
      </c>
      <c r="E406" s="23">
        <f t="shared" si="29"/>
        <v>14.092047095333896</v>
      </c>
      <c r="F406" s="23">
        <f t="shared" si="30"/>
        <v>-14.092047095333896</v>
      </c>
    </row>
    <row r="407" spans="1:6" x14ac:dyDescent="0.3">
      <c r="A407" s="2">
        <v>43538</v>
      </c>
      <c r="B407" s="1">
        <v>45.932499999999997</v>
      </c>
      <c r="C407" s="1">
        <v>1686.22</v>
      </c>
      <c r="D407" s="22">
        <f t="shared" si="28"/>
        <v>912.5249212053576</v>
      </c>
      <c r="E407" s="23">
        <f t="shared" si="29"/>
        <v>-2.1867771342164133</v>
      </c>
      <c r="F407" s="23">
        <f t="shared" si="30"/>
        <v>2.1867771342164133</v>
      </c>
    </row>
    <row r="408" spans="1:6" x14ac:dyDescent="0.3">
      <c r="A408" s="2">
        <v>43537</v>
      </c>
      <c r="B408" s="1">
        <v>45.427500000000002</v>
      </c>
      <c r="C408" s="1">
        <v>1690.81</v>
      </c>
      <c r="D408" s="22">
        <f t="shared" si="28"/>
        <v>914.71169833957401</v>
      </c>
      <c r="E408" s="23">
        <f t="shared" si="29"/>
        <v>9.450837609447035</v>
      </c>
      <c r="F408" s="23">
        <f t="shared" si="30"/>
        <v>-9.450837609447035</v>
      </c>
    </row>
    <row r="409" spans="1:6" x14ac:dyDescent="0.3">
      <c r="A409" s="2">
        <v>43536</v>
      </c>
      <c r="B409" s="1">
        <v>45.227499999999999</v>
      </c>
      <c r="C409" s="1">
        <v>1673.1</v>
      </c>
      <c r="D409" s="22">
        <f t="shared" si="28"/>
        <v>905.26086073012698</v>
      </c>
      <c r="E409" s="23">
        <f t="shared" si="29"/>
        <v>1.5472476512096591</v>
      </c>
      <c r="F409" s="23">
        <f t="shared" si="30"/>
        <v>-1.5472476512096591</v>
      </c>
    </row>
    <row r="410" spans="1:6" x14ac:dyDescent="0.3">
      <c r="A410" s="2">
        <v>43535</v>
      </c>
      <c r="B410" s="1">
        <v>44.725000000000001</v>
      </c>
      <c r="C410" s="1">
        <v>1670.62</v>
      </c>
      <c r="D410" s="22">
        <f t="shared" si="28"/>
        <v>903.71361307891732</v>
      </c>
      <c r="E410" s="23">
        <f t="shared" si="29"/>
        <v>27.027117383352447</v>
      </c>
      <c r="F410" s="23">
        <f t="shared" si="30"/>
        <v>-27.027117383352447</v>
      </c>
    </row>
    <row r="411" spans="1:6" x14ac:dyDescent="0.3">
      <c r="A411" s="2">
        <v>43532</v>
      </c>
      <c r="B411" s="1">
        <v>43.227499999999999</v>
      </c>
      <c r="C411" s="1">
        <v>1620.8</v>
      </c>
      <c r="D411" s="22">
        <f t="shared" si="28"/>
        <v>876.68649569556487</v>
      </c>
      <c r="E411" s="23">
        <f t="shared" si="29"/>
        <v>-2.6724871241359551</v>
      </c>
      <c r="F411" s="23">
        <f t="shared" si="30"/>
        <v>2.6724871241359551</v>
      </c>
    </row>
    <row r="412" spans="1:6" x14ac:dyDescent="0.3">
      <c r="A412" s="2">
        <v>43531</v>
      </c>
      <c r="B412" s="1">
        <v>43.125</v>
      </c>
      <c r="C412" s="1">
        <v>1625.95</v>
      </c>
      <c r="D412" s="22">
        <f t="shared" si="28"/>
        <v>879.35898281970083</v>
      </c>
      <c r="E412" s="23">
        <f t="shared" si="29"/>
        <v>-22.955847756336425</v>
      </c>
      <c r="F412" s="23">
        <f t="shared" si="30"/>
        <v>22.955847756336425</v>
      </c>
    </row>
    <row r="413" spans="1:6" x14ac:dyDescent="0.3">
      <c r="A413" s="2">
        <v>43530</v>
      </c>
      <c r="B413" s="1">
        <v>43.63</v>
      </c>
      <c r="C413" s="1">
        <v>1668.95</v>
      </c>
      <c r="D413" s="22">
        <f t="shared" si="28"/>
        <v>902.31483057603725</v>
      </c>
      <c r="E413" s="23">
        <f t="shared" si="29"/>
        <v>-12.523992322868708</v>
      </c>
      <c r="F413" s="23">
        <f t="shared" si="30"/>
        <v>12.523992322868708</v>
      </c>
    </row>
    <row r="414" spans="1:6" x14ac:dyDescent="0.3">
      <c r="A414" s="2">
        <v>43529</v>
      </c>
      <c r="B414" s="1">
        <v>43.8825</v>
      </c>
      <c r="C414" s="1">
        <v>1692.43</v>
      </c>
      <c r="D414" s="22">
        <f t="shared" si="28"/>
        <v>914.83882289890596</v>
      </c>
      <c r="E414" s="23">
        <f t="shared" si="29"/>
        <v>-2.0136416705067859</v>
      </c>
      <c r="F414" s="23">
        <f t="shared" si="30"/>
        <v>2.0136416705067859</v>
      </c>
    </row>
    <row r="415" spans="1:6" x14ac:dyDescent="0.3">
      <c r="A415" s="2">
        <v>43528</v>
      </c>
      <c r="B415" s="1">
        <v>43.962499999999999</v>
      </c>
      <c r="C415" s="1">
        <v>1696.17</v>
      </c>
      <c r="D415" s="22">
        <f t="shared" si="28"/>
        <v>916.85246456941275</v>
      </c>
      <c r="E415" s="23">
        <f t="shared" si="29"/>
        <v>13.015847338709591</v>
      </c>
      <c r="F415" s="23">
        <f t="shared" si="30"/>
        <v>-13.015847338709591</v>
      </c>
    </row>
    <row r="416" spans="1:6" x14ac:dyDescent="0.3">
      <c r="A416" s="2">
        <v>43525</v>
      </c>
      <c r="B416" s="1">
        <v>43.7425</v>
      </c>
      <c r="C416" s="1">
        <v>1671.73</v>
      </c>
      <c r="D416" s="22">
        <f t="shared" si="28"/>
        <v>903.83661723070315</v>
      </c>
      <c r="E416" s="23">
        <f t="shared" si="29"/>
        <v>17.067940527073802</v>
      </c>
      <c r="F416" s="23">
        <f t="shared" si="30"/>
        <v>-17.067940527073802</v>
      </c>
    </row>
    <row r="417" spans="1:6" x14ac:dyDescent="0.3">
      <c r="A417" s="2">
        <v>43524</v>
      </c>
      <c r="B417" s="1">
        <v>43.287500000000001</v>
      </c>
      <c r="C417" s="1">
        <v>1639.83</v>
      </c>
      <c r="D417" s="22">
        <f t="shared" si="28"/>
        <v>886.76867670362935</v>
      </c>
      <c r="E417" s="23">
        <f t="shared" si="29"/>
        <v>-0.86850343894002435</v>
      </c>
      <c r="F417" s="23">
        <f t="shared" si="30"/>
        <v>0.86850343894002435</v>
      </c>
    </row>
    <row r="418" spans="1:6" x14ac:dyDescent="0.3">
      <c r="A418" s="2">
        <v>43523</v>
      </c>
      <c r="B418" s="1">
        <v>43.717500000000001</v>
      </c>
      <c r="C418" s="1">
        <v>1641.09</v>
      </c>
      <c r="D418" s="22">
        <f t="shared" si="28"/>
        <v>887.63718014256938</v>
      </c>
      <c r="E418" s="23">
        <f t="shared" si="29"/>
        <v>2.5414857402072357</v>
      </c>
      <c r="F418" s="23">
        <f t="shared" si="30"/>
        <v>-2.5414857402072357</v>
      </c>
    </row>
    <row r="419" spans="1:6" x14ac:dyDescent="0.3">
      <c r="A419" s="2">
        <v>43522</v>
      </c>
      <c r="B419" s="1">
        <v>43.582500000000003</v>
      </c>
      <c r="C419" s="1">
        <v>1636.4</v>
      </c>
      <c r="D419" s="22">
        <f t="shared" si="28"/>
        <v>885.09569440236214</v>
      </c>
      <c r="E419" s="23">
        <f t="shared" si="29"/>
        <v>1.8080712125575928</v>
      </c>
      <c r="F419" s="23">
        <f t="shared" si="30"/>
        <v>-1.8080712125575928</v>
      </c>
    </row>
    <row r="420" spans="1:6" x14ac:dyDescent="0.3">
      <c r="A420" s="2">
        <v>43521</v>
      </c>
      <c r="B420" s="1">
        <v>43.557499999999997</v>
      </c>
      <c r="C420" s="1">
        <v>1633</v>
      </c>
      <c r="D420" s="22">
        <f t="shared" si="28"/>
        <v>883.28762318980455</v>
      </c>
      <c r="E420" s="23">
        <f t="shared" si="29"/>
        <v>0.90935707085270678</v>
      </c>
      <c r="F420" s="23">
        <f t="shared" si="30"/>
        <v>-0.90935707085270678</v>
      </c>
    </row>
    <row r="421" spans="1:6" x14ac:dyDescent="0.3">
      <c r="A421" s="2">
        <v>43518</v>
      </c>
      <c r="B421" s="1">
        <v>43.2425</v>
      </c>
      <c r="C421" s="1">
        <v>1631.56</v>
      </c>
      <c r="D421" s="22">
        <f t="shared" si="28"/>
        <v>882.37826611895184</v>
      </c>
      <c r="E421" s="23">
        <f t="shared" si="29"/>
        <v>6.6284352865782239</v>
      </c>
      <c r="F421" s="23">
        <f t="shared" si="30"/>
        <v>-6.6284352865782239</v>
      </c>
    </row>
    <row r="422" spans="1:6" x14ac:dyDescent="0.3">
      <c r="A422" s="2">
        <v>43517</v>
      </c>
      <c r="B422" s="1">
        <v>42.765000000000001</v>
      </c>
      <c r="C422" s="1">
        <v>1619.44</v>
      </c>
      <c r="D422" s="22">
        <f t="shared" si="28"/>
        <v>875.74983083237362</v>
      </c>
      <c r="E422" s="23">
        <f t="shared" si="29"/>
        <v>-1.5197073055875308</v>
      </c>
      <c r="F422" s="23">
        <f t="shared" si="30"/>
        <v>1.5197073055875308</v>
      </c>
    </row>
    <row r="423" spans="1:6" x14ac:dyDescent="0.3">
      <c r="A423" s="2">
        <v>43516</v>
      </c>
      <c r="B423" s="1">
        <v>43.0075</v>
      </c>
      <c r="C423" s="1">
        <v>1622.1</v>
      </c>
      <c r="D423" s="22">
        <f t="shared" si="28"/>
        <v>877.26953813796115</v>
      </c>
      <c r="E423" s="23">
        <f t="shared" si="29"/>
        <v>-2.7654666157834527</v>
      </c>
      <c r="F423" s="23">
        <f t="shared" si="30"/>
        <v>2.7654666157834527</v>
      </c>
    </row>
    <row r="424" spans="1:6" x14ac:dyDescent="0.3">
      <c r="A424" s="2">
        <v>43515</v>
      </c>
      <c r="B424" s="1">
        <v>42.732500000000002</v>
      </c>
      <c r="C424" s="1">
        <v>1627.58</v>
      </c>
      <c r="D424" s="22">
        <f t="shared" si="28"/>
        <v>880.0350047537446</v>
      </c>
      <c r="E424" s="23">
        <f t="shared" si="29"/>
        <v>10.431010021601423</v>
      </c>
      <c r="F424" s="23">
        <f t="shared" si="30"/>
        <v>-10.431010021601423</v>
      </c>
    </row>
    <row r="425" spans="1:6" x14ac:dyDescent="0.3">
      <c r="A425" s="2">
        <v>43514</v>
      </c>
      <c r="B425" s="1">
        <v>42.604999999999997</v>
      </c>
      <c r="C425" s="1">
        <v>1607.95</v>
      </c>
      <c r="D425" s="22">
        <f t="shared" si="28"/>
        <v>869.60399473214318</v>
      </c>
      <c r="E425" s="23">
        <f t="shared" si="29"/>
        <v>0</v>
      </c>
      <c r="F425" s="23">
        <f t="shared" si="30"/>
        <v>0</v>
      </c>
    </row>
    <row r="426" spans="1:6" x14ac:dyDescent="0.3">
      <c r="A426" s="2">
        <v>43511</v>
      </c>
      <c r="B426" s="1">
        <v>42.604999999999997</v>
      </c>
      <c r="C426" s="1">
        <v>1607.95</v>
      </c>
      <c r="D426" s="22">
        <f t="shared" si="28"/>
        <v>869.60399473214318</v>
      </c>
      <c r="E426" s="23">
        <f t="shared" si="29"/>
        <v>-7.8110755731566996</v>
      </c>
      <c r="F426" s="23">
        <f t="shared" si="30"/>
        <v>7.8110755731566996</v>
      </c>
    </row>
    <row r="427" spans="1:6" x14ac:dyDescent="0.3">
      <c r="A427" s="2">
        <v>43510</v>
      </c>
      <c r="B427" s="1">
        <v>42.7</v>
      </c>
      <c r="C427" s="1">
        <v>1622.65</v>
      </c>
      <c r="D427" s="22">
        <f t="shared" si="28"/>
        <v>877.41507030529988</v>
      </c>
      <c r="E427" s="23">
        <f t="shared" si="29"/>
        <v>-9.0931960224654631</v>
      </c>
      <c r="F427" s="23">
        <f t="shared" si="30"/>
        <v>9.0931960224654631</v>
      </c>
    </row>
    <row r="428" spans="1:6" x14ac:dyDescent="0.3">
      <c r="A428" s="2">
        <v>43509</v>
      </c>
      <c r="B428" s="1">
        <v>42.545000000000002</v>
      </c>
      <c r="C428" s="1">
        <v>1640</v>
      </c>
      <c r="D428" s="22">
        <f t="shared" si="28"/>
        <v>886.50826632776534</v>
      </c>
      <c r="E428" s="23">
        <f t="shared" si="29"/>
        <v>0.96762795650920452</v>
      </c>
      <c r="F428" s="23">
        <f t="shared" si="30"/>
        <v>-0.96762795650920452</v>
      </c>
    </row>
    <row r="429" spans="1:6" x14ac:dyDescent="0.3">
      <c r="A429" s="2">
        <v>43508</v>
      </c>
      <c r="B429" s="1">
        <v>42.722499999999997</v>
      </c>
      <c r="C429" s="1">
        <v>1638.01</v>
      </c>
      <c r="D429" s="22">
        <f t="shared" si="28"/>
        <v>885.54063837125614</v>
      </c>
      <c r="E429" s="23">
        <f t="shared" si="29"/>
        <v>25.00836495103681</v>
      </c>
      <c r="F429" s="23">
        <f t="shared" si="30"/>
        <v>-25.00836495103681</v>
      </c>
    </row>
    <row r="430" spans="1:6" x14ac:dyDescent="0.3">
      <c r="A430" s="2">
        <v>43507</v>
      </c>
      <c r="B430" s="1">
        <v>42.357500000000002</v>
      </c>
      <c r="C430" s="1">
        <v>1591</v>
      </c>
      <c r="D430" s="22">
        <f t="shared" si="28"/>
        <v>860.53227342021933</v>
      </c>
      <c r="E430" s="23">
        <f t="shared" si="29"/>
        <v>1.3531601238480562</v>
      </c>
      <c r="F430" s="23">
        <f t="shared" si="30"/>
        <v>-1.3531601238480562</v>
      </c>
    </row>
    <row r="431" spans="1:6" x14ac:dyDescent="0.3">
      <c r="A431" s="2">
        <v>43504</v>
      </c>
      <c r="B431" s="1">
        <v>42.602499999999999</v>
      </c>
      <c r="C431" s="1">
        <v>1588.22</v>
      </c>
      <c r="D431" s="22">
        <f t="shared" si="28"/>
        <v>859.17911329637127</v>
      </c>
      <c r="E431" s="23">
        <f t="shared" si="29"/>
        <v>-13.87799785858283</v>
      </c>
      <c r="F431" s="23">
        <f t="shared" si="30"/>
        <v>13.87799785858283</v>
      </c>
    </row>
    <row r="432" spans="1:6" x14ac:dyDescent="0.3">
      <c r="A432" s="2">
        <v>43503</v>
      </c>
      <c r="B432" s="1">
        <v>42.734999999999999</v>
      </c>
      <c r="C432" s="1">
        <v>1614.37</v>
      </c>
      <c r="D432" s="22">
        <f t="shared" si="28"/>
        <v>873.0571111549541</v>
      </c>
      <c r="E432" s="23">
        <f t="shared" si="29"/>
        <v>-14.067275538594572</v>
      </c>
      <c r="F432" s="23">
        <f t="shared" si="30"/>
        <v>14.067275538594572</v>
      </c>
    </row>
    <row r="433" spans="1:6" x14ac:dyDescent="0.3">
      <c r="A433" s="2">
        <v>43502</v>
      </c>
      <c r="B433" s="1">
        <v>43.56</v>
      </c>
      <c r="C433" s="1">
        <v>1640.26</v>
      </c>
      <c r="D433" s="22">
        <f t="shared" si="28"/>
        <v>887.12438669354867</v>
      </c>
      <c r="E433" s="23">
        <f t="shared" si="29"/>
        <v>-9.7932124625575625</v>
      </c>
      <c r="F433" s="23">
        <f t="shared" si="30"/>
        <v>9.7932124625575625</v>
      </c>
    </row>
    <row r="434" spans="1:6" x14ac:dyDescent="0.3">
      <c r="A434" s="2">
        <v>43501</v>
      </c>
      <c r="B434" s="1">
        <v>43.545000000000002</v>
      </c>
      <c r="C434" s="1">
        <v>1658.81</v>
      </c>
      <c r="D434" s="22">
        <f t="shared" si="28"/>
        <v>896.91759915610623</v>
      </c>
      <c r="E434" s="23">
        <f t="shared" si="29"/>
        <v>13.817601113191131</v>
      </c>
      <c r="F434" s="23">
        <f t="shared" si="30"/>
        <v>-13.817601113191131</v>
      </c>
    </row>
    <row r="435" spans="1:6" x14ac:dyDescent="0.3">
      <c r="A435" s="2">
        <v>43500</v>
      </c>
      <c r="B435" s="1">
        <v>42.8125</v>
      </c>
      <c r="C435" s="1">
        <v>1633.31</v>
      </c>
      <c r="D435" s="22">
        <f t="shared" si="28"/>
        <v>883.0999980429151</v>
      </c>
      <c r="E435" s="23">
        <f t="shared" si="29"/>
        <v>4.298251844758056</v>
      </c>
      <c r="F435" s="23">
        <f t="shared" si="30"/>
        <v>-4.298251844758056</v>
      </c>
    </row>
    <row r="436" spans="1:6" x14ac:dyDescent="0.3">
      <c r="A436" s="2">
        <v>43497</v>
      </c>
      <c r="B436" s="1">
        <v>41.63</v>
      </c>
      <c r="C436" s="1">
        <v>1626.23</v>
      </c>
      <c r="D436" s="22">
        <f t="shared" si="28"/>
        <v>878.80174619815705</v>
      </c>
      <c r="E436" s="23">
        <f t="shared" si="29"/>
        <v>-48.859925506912418</v>
      </c>
      <c r="F436" s="23">
        <f t="shared" si="30"/>
        <v>48.859925506912418</v>
      </c>
    </row>
    <row r="437" spans="1:6" x14ac:dyDescent="0.3">
      <c r="A437" s="2">
        <v>43496</v>
      </c>
      <c r="B437" s="1">
        <v>41.61</v>
      </c>
      <c r="C437" s="1">
        <v>1718.73</v>
      </c>
      <c r="D437" s="22">
        <f t="shared" si="28"/>
        <v>927.66167170506947</v>
      </c>
      <c r="E437" s="23">
        <f t="shared" si="29"/>
        <v>25.658055816532283</v>
      </c>
      <c r="F437" s="23">
        <f t="shared" si="30"/>
        <v>-25.658055816532283</v>
      </c>
    </row>
    <row r="438" spans="1:6" x14ac:dyDescent="0.3">
      <c r="A438" s="2">
        <v>43495</v>
      </c>
      <c r="B438" s="1">
        <v>41.3125</v>
      </c>
      <c r="C438" s="1">
        <v>1670.43</v>
      </c>
      <c r="D438" s="22">
        <f t="shared" si="28"/>
        <v>902.00361588853718</v>
      </c>
      <c r="E438" s="23">
        <f t="shared" si="29"/>
        <v>41.689117968029905</v>
      </c>
      <c r="F438" s="23">
        <f t="shared" si="30"/>
        <v>-41.689117968029905</v>
      </c>
    </row>
    <row r="439" spans="1:6" x14ac:dyDescent="0.3">
      <c r="A439" s="2">
        <v>43494</v>
      </c>
      <c r="B439" s="1">
        <v>38.67</v>
      </c>
      <c r="C439" s="1">
        <v>1593.88</v>
      </c>
      <c r="D439" s="22">
        <f t="shared" si="28"/>
        <v>860.31449792050728</v>
      </c>
      <c r="E439" s="23">
        <f t="shared" si="29"/>
        <v>-23.44228006624428</v>
      </c>
      <c r="F439" s="23">
        <f t="shared" si="30"/>
        <v>23.44228006624428</v>
      </c>
    </row>
    <row r="440" spans="1:6" x14ac:dyDescent="0.3">
      <c r="A440" s="2">
        <v>43493</v>
      </c>
      <c r="B440" s="1">
        <v>39.075000000000003</v>
      </c>
      <c r="C440" s="1">
        <v>1637.89</v>
      </c>
      <c r="D440" s="22">
        <f t="shared" si="28"/>
        <v>883.75677798675156</v>
      </c>
      <c r="E440" s="23">
        <f t="shared" si="29"/>
        <v>-17.437576661866274</v>
      </c>
      <c r="F440" s="23">
        <f t="shared" si="30"/>
        <v>17.437576661866274</v>
      </c>
    </row>
    <row r="441" spans="1:6" x14ac:dyDescent="0.3">
      <c r="A441" s="2">
        <v>43490</v>
      </c>
      <c r="B441" s="1">
        <v>39.44</v>
      </c>
      <c r="C441" s="1">
        <v>1670.57</v>
      </c>
      <c r="D441" s="22">
        <f t="shared" si="28"/>
        <v>901.19435464861783</v>
      </c>
      <c r="E441" s="23">
        <f t="shared" si="29"/>
        <v>8.8595625720046201</v>
      </c>
      <c r="F441" s="23">
        <f t="shared" si="30"/>
        <v>-8.8595625720046201</v>
      </c>
    </row>
    <row r="442" spans="1:6" x14ac:dyDescent="0.3">
      <c r="A442" s="2">
        <v>43489</v>
      </c>
      <c r="B442" s="1">
        <v>38.174999999999997</v>
      </c>
      <c r="C442" s="1">
        <v>1654.93</v>
      </c>
      <c r="D442" s="22">
        <f t="shared" si="28"/>
        <v>892.33479207661321</v>
      </c>
      <c r="E442" s="23">
        <f t="shared" si="29"/>
        <v>7.7333491849077518</v>
      </c>
      <c r="F442" s="23">
        <f t="shared" si="30"/>
        <v>-7.7333491849077518</v>
      </c>
    </row>
    <row r="443" spans="1:6" x14ac:dyDescent="0.3">
      <c r="A443" s="2">
        <v>43488</v>
      </c>
      <c r="B443" s="1">
        <v>38.479999999999997</v>
      </c>
      <c r="C443" s="1">
        <v>1640.02</v>
      </c>
      <c r="D443" s="22">
        <f t="shared" si="28"/>
        <v>884.60144289170546</v>
      </c>
      <c r="E443" s="23">
        <f t="shared" si="29"/>
        <v>4.2204023646313544</v>
      </c>
      <c r="F443" s="23">
        <f t="shared" si="30"/>
        <v>-4.2204023646313544</v>
      </c>
    </row>
    <row r="444" spans="1:6" x14ac:dyDescent="0.3">
      <c r="A444" s="2">
        <v>43487</v>
      </c>
      <c r="B444" s="1">
        <v>38.325000000000003</v>
      </c>
      <c r="C444" s="1">
        <v>1632.17</v>
      </c>
      <c r="D444" s="22">
        <f t="shared" si="28"/>
        <v>880.38104052707411</v>
      </c>
      <c r="E444" s="23">
        <f t="shared" si="29"/>
        <v>-34.243243577188991</v>
      </c>
      <c r="F444" s="23">
        <f t="shared" si="30"/>
        <v>34.243243577188991</v>
      </c>
    </row>
    <row r="445" spans="1:6" x14ac:dyDescent="0.3">
      <c r="A445" s="2">
        <v>43486</v>
      </c>
      <c r="B445" s="1">
        <v>39.204999999999998</v>
      </c>
      <c r="C445" s="1">
        <v>1696.2</v>
      </c>
      <c r="D445" s="22">
        <f t="shared" si="28"/>
        <v>914.6242841042631</v>
      </c>
      <c r="E445" s="23">
        <f t="shared" si="29"/>
        <v>0</v>
      </c>
      <c r="F445" s="23">
        <f t="shared" si="30"/>
        <v>0</v>
      </c>
    </row>
    <row r="446" spans="1:6" x14ac:dyDescent="0.3">
      <c r="A446" s="2">
        <v>43483</v>
      </c>
      <c r="B446" s="1">
        <v>39.204999999999998</v>
      </c>
      <c r="C446" s="1">
        <v>1696.2</v>
      </c>
      <c r="D446" s="22">
        <f t="shared" si="28"/>
        <v>914.6242841042631</v>
      </c>
      <c r="E446" s="23">
        <f t="shared" si="29"/>
        <v>1.6875896658987131</v>
      </c>
      <c r="F446" s="23">
        <f t="shared" si="30"/>
        <v>-1.6875896658987131</v>
      </c>
    </row>
    <row r="447" spans="1:6" x14ac:dyDescent="0.3">
      <c r="A447" s="2">
        <v>43482</v>
      </c>
      <c r="B447" s="1">
        <v>38.965000000000003</v>
      </c>
      <c r="C447" s="1">
        <v>1693.22</v>
      </c>
      <c r="D447" s="22">
        <f t="shared" si="28"/>
        <v>912.93669443836438</v>
      </c>
      <c r="E447" s="23">
        <f t="shared" si="29"/>
        <v>5.0958032200460366</v>
      </c>
      <c r="F447" s="23">
        <f t="shared" si="30"/>
        <v>-5.0958032200460366</v>
      </c>
    </row>
    <row r="448" spans="1:6" x14ac:dyDescent="0.3">
      <c r="A448" s="2">
        <v>43481</v>
      </c>
      <c r="B448" s="1">
        <v>38.734999999999999</v>
      </c>
      <c r="C448" s="1">
        <v>1683.78</v>
      </c>
      <c r="D448" s="22">
        <f t="shared" si="28"/>
        <v>907.84089121831835</v>
      </c>
      <c r="E448" s="23">
        <f t="shared" si="29"/>
        <v>5.0915980112328043</v>
      </c>
      <c r="F448" s="23">
        <f t="shared" si="30"/>
        <v>-5.0915980112328043</v>
      </c>
    </row>
    <row r="449" spans="1:6" x14ac:dyDescent="0.3">
      <c r="A449" s="2">
        <v>43480</v>
      </c>
      <c r="B449" s="1">
        <v>38.267499999999998</v>
      </c>
      <c r="C449" s="1">
        <v>1674.56</v>
      </c>
      <c r="D449" s="22">
        <f t="shared" si="28"/>
        <v>902.74929320708554</v>
      </c>
      <c r="E449" s="23">
        <f t="shared" si="29"/>
        <v>30.661019076900857</v>
      </c>
      <c r="F449" s="23">
        <f t="shared" si="30"/>
        <v>-30.661019076900857</v>
      </c>
    </row>
    <row r="450" spans="1:6" x14ac:dyDescent="0.3">
      <c r="A450" s="2">
        <v>43479</v>
      </c>
      <c r="B450" s="1">
        <v>37.5</v>
      </c>
      <c r="C450" s="1">
        <v>1617.21</v>
      </c>
      <c r="D450" s="22">
        <f t="shared" si="28"/>
        <v>872.08827413018469</v>
      </c>
      <c r="E450" s="23">
        <f t="shared" si="29"/>
        <v>-12.60624949452756</v>
      </c>
      <c r="F450" s="23">
        <f t="shared" si="30"/>
        <v>12.60624949452756</v>
      </c>
    </row>
    <row r="451" spans="1:6" x14ac:dyDescent="0.3">
      <c r="A451" s="2">
        <v>43476</v>
      </c>
      <c r="B451" s="1">
        <v>38.072499999999998</v>
      </c>
      <c r="C451" s="1">
        <v>1640.56</v>
      </c>
      <c r="D451" s="22">
        <f t="shared" si="28"/>
        <v>884.69452362471225</v>
      </c>
      <c r="E451" s="23">
        <f t="shared" si="29"/>
        <v>-8.4515106091590724</v>
      </c>
      <c r="F451" s="23">
        <f t="shared" si="30"/>
        <v>8.4515106091590724</v>
      </c>
    </row>
    <row r="452" spans="1:6" x14ac:dyDescent="0.3">
      <c r="A452" s="2">
        <v>43475</v>
      </c>
      <c r="B452" s="1">
        <v>38.450000000000003</v>
      </c>
      <c r="C452" s="1">
        <v>1656.22</v>
      </c>
      <c r="D452" s="22">
        <f t="shared" si="28"/>
        <v>893.14603423387132</v>
      </c>
      <c r="E452" s="23">
        <f t="shared" si="29"/>
        <v>-1.6328345492511289</v>
      </c>
      <c r="F452" s="23">
        <f t="shared" si="30"/>
        <v>1.6328345492511289</v>
      </c>
    </row>
    <row r="453" spans="1:6" x14ac:dyDescent="0.3">
      <c r="A453" s="2">
        <v>43474</v>
      </c>
      <c r="B453" s="1">
        <v>38.327500000000001</v>
      </c>
      <c r="C453" s="1">
        <v>1659.42</v>
      </c>
      <c r="D453" s="22">
        <f t="shared" si="28"/>
        <v>894.77886878312245</v>
      </c>
      <c r="E453" s="23">
        <f t="shared" si="29"/>
        <v>1.8022982718894127</v>
      </c>
      <c r="F453" s="23">
        <f t="shared" si="30"/>
        <v>-1.8022982718894127</v>
      </c>
    </row>
    <row r="454" spans="1:6" x14ac:dyDescent="0.3">
      <c r="A454" s="2">
        <v>43473</v>
      </c>
      <c r="B454" s="1">
        <v>37.6875</v>
      </c>
      <c r="C454" s="1">
        <v>1656.58</v>
      </c>
      <c r="D454" s="22">
        <f t="shared" ref="D454:D517" si="31">$M$16*B454+(1-$M$16)*C454</f>
        <v>892.97657051123304</v>
      </c>
      <c r="E454" s="23">
        <f t="shared" ref="E454:E517" si="32">D454-D455</f>
        <v>14.634088153801827</v>
      </c>
      <c r="F454" s="23">
        <f t="shared" ref="F454:F517" si="33">-E454</f>
        <v>-14.634088153801827</v>
      </c>
    </row>
    <row r="455" spans="1:6" x14ac:dyDescent="0.3">
      <c r="A455" s="2">
        <v>43472</v>
      </c>
      <c r="B455" s="1">
        <v>36.982500000000002</v>
      </c>
      <c r="C455" s="1">
        <v>1629.51</v>
      </c>
      <c r="D455" s="22">
        <f t="shared" si="31"/>
        <v>878.34248235743121</v>
      </c>
      <c r="E455" s="23">
        <f t="shared" si="32"/>
        <v>28.55362367367502</v>
      </c>
      <c r="F455" s="23">
        <f t="shared" si="33"/>
        <v>-28.55362367367502</v>
      </c>
    </row>
    <row r="456" spans="1:6" x14ac:dyDescent="0.3">
      <c r="A456" s="2">
        <v>43469</v>
      </c>
      <c r="B456" s="1">
        <v>37.064999999999998</v>
      </c>
      <c r="C456" s="1">
        <v>1575.39</v>
      </c>
      <c r="D456" s="22">
        <f t="shared" si="31"/>
        <v>849.78885868375619</v>
      </c>
      <c r="E456" s="23">
        <f t="shared" si="32"/>
        <v>40.397697988191453</v>
      </c>
      <c r="F456" s="23">
        <f t="shared" si="33"/>
        <v>-40.397697988191453</v>
      </c>
    </row>
    <row r="457" spans="1:6" x14ac:dyDescent="0.3">
      <c r="A457" s="2">
        <v>43468</v>
      </c>
      <c r="B457" s="1">
        <v>35.547499999999999</v>
      </c>
      <c r="C457" s="1">
        <v>1500.28</v>
      </c>
      <c r="D457" s="22">
        <f t="shared" si="31"/>
        <v>809.39116069556474</v>
      </c>
      <c r="E457" s="23">
        <f t="shared" si="32"/>
        <v>-22.380022685772133</v>
      </c>
      <c r="F457" s="23">
        <f t="shared" si="33"/>
        <v>22.380022685772133</v>
      </c>
    </row>
    <row r="458" spans="1:6" x14ac:dyDescent="0.3">
      <c r="A458" s="2">
        <v>43467</v>
      </c>
      <c r="B458" s="1">
        <v>39.479999999999997</v>
      </c>
      <c r="C458" s="1">
        <v>1539.13</v>
      </c>
      <c r="D458" s="22">
        <f t="shared" si="31"/>
        <v>831.77118338133687</v>
      </c>
      <c r="E458" s="23">
        <f t="shared" si="32"/>
        <v>19.653500164170623</v>
      </c>
      <c r="F458" s="23">
        <f t="shared" si="33"/>
        <v>-19.653500164170623</v>
      </c>
    </row>
    <row r="459" spans="1:6" x14ac:dyDescent="0.3">
      <c r="A459" s="2">
        <v>43466</v>
      </c>
      <c r="B459" s="1">
        <v>39.435000000000002</v>
      </c>
      <c r="C459" s="1">
        <v>1501.97</v>
      </c>
      <c r="D459" s="22">
        <f t="shared" si="31"/>
        <v>812.11768321716625</v>
      </c>
      <c r="E459" s="23">
        <f t="shared" si="32"/>
        <v>0</v>
      </c>
      <c r="F459" s="23">
        <f t="shared" si="33"/>
        <v>0</v>
      </c>
    </row>
    <row r="460" spans="1:6" x14ac:dyDescent="0.3">
      <c r="A460" s="2">
        <v>43465</v>
      </c>
      <c r="B460" s="1">
        <v>39.435000000000002</v>
      </c>
      <c r="C460" s="1">
        <v>1501.97</v>
      </c>
      <c r="D460" s="22">
        <f t="shared" si="31"/>
        <v>812.11768321716625</v>
      </c>
      <c r="E460" s="23">
        <f t="shared" si="32"/>
        <v>12.831261824596822</v>
      </c>
      <c r="F460" s="23">
        <f t="shared" si="33"/>
        <v>-12.831261824596822</v>
      </c>
    </row>
    <row r="461" spans="1:6" x14ac:dyDescent="0.3">
      <c r="A461" s="2">
        <v>43462</v>
      </c>
      <c r="B461" s="1">
        <v>39.057499999999997</v>
      </c>
      <c r="C461" s="1">
        <v>1478.02</v>
      </c>
      <c r="D461" s="22">
        <f t="shared" si="31"/>
        <v>799.28642139256942</v>
      </c>
      <c r="E461" s="23">
        <f t="shared" si="32"/>
        <v>8.6632726036865506</v>
      </c>
      <c r="F461" s="23">
        <f t="shared" si="33"/>
        <v>-8.6632726036865506</v>
      </c>
    </row>
    <row r="462" spans="1:6" x14ac:dyDescent="0.3">
      <c r="A462" s="2">
        <v>43461</v>
      </c>
      <c r="B462" s="1">
        <v>39.037500000000001</v>
      </c>
      <c r="C462" s="1">
        <v>1461.64</v>
      </c>
      <c r="D462" s="22">
        <f t="shared" si="31"/>
        <v>790.62314878888287</v>
      </c>
      <c r="E462" s="23">
        <f t="shared" si="32"/>
        <v>-5.0124981538018574</v>
      </c>
      <c r="F462" s="23">
        <f t="shared" si="33"/>
        <v>5.0124981538018574</v>
      </c>
    </row>
    <row r="463" spans="1:6" x14ac:dyDescent="0.3">
      <c r="A463" s="2">
        <v>43460</v>
      </c>
      <c r="B463" s="1">
        <v>39.292499999999997</v>
      </c>
      <c r="C463" s="1">
        <v>1470.9</v>
      </c>
      <c r="D463" s="22">
        <f t="shared" si="31"/>
        <v>795.63564694268473</v>
      </c>
      <c r="E463" s="23">
        <f t="shared" si="32"/>
        <v>68.283909818548523</v>
      </c>
      <c r="F463" s="23">
        <f t="shared" si="33"/>
        <v>-68.283909818548523</v>
      </c>
    </row>
    <row r="464" spans="1:6" x14ac:dyDescent="0.3">
      <c r="A464" s="2">
        <v>43459</v>
      </c>
      <c r="B464" s="1">
        <v>36.707500000000003</v>
      </c>
      <c r="C464" s="1">
        <v>1343.96</v>
      </c>
      <c r="D464" s="22">
        <f t="shared" si="31"/>
        <v>727.35173712413621</v>
      </c>
      <c r="E464" s="23">
        <f t="shared" si="32"/>
        <v>0</v>
      </c>
      <c r="F464" s="23">
        <f t="shared" si="33"/>
        <v>0</v>
      </c>
    </row>
    <row r="465" spans="1:6" x14ac:dyDescent="0.3">
      <c r="A465" s="2">
        <v>43458</v>
      </c>
      <c r="B465" s="1">
        <v>36.707500000000003</v>
      </c>
      <c r="C465" s="1">
        <v>1343.96</v>
      </c>
      <c r="D465" s="22">
        <f t="shared" si="31"/>
        <v>727.35173712413621</v>
      </c>
      <c r="E465" s="23">
        <f t="shared" si="32"/>
        <v>-18.153240141129118</v>
      </c>
      <c r="F465" s="23">
        <f t="shared" si="33"/>
        <v>18.153240141129118</v>
      </c>
    </row>
    <row r="466" spans="1:6" x14ac:dyDescent="0.3">
      <c r="A466" s="2">
        <v>43455</v>
      </c>
      <c r="B466" s="1">
        <v>37.682499999999997</v>
      </c>
      <c r="C466" s="1">
        <v>1377.45</v>
      </c>
      <c r="D466" s="22">
        <f t="shared" si="31"/>
        <v>745.50497726526532</v>
      </c>
      <c r="E466" s="23">
        <f t="shared" si="32"/>
        <v>-44.770420475230367</v>
      </c>
      <c r="F466" s="23">
        <f t="shared" si="33"/>
        <v>44.770420475230367</v>
      </c>
    </row>
    <row r="467" spans="1:6" x14ac:dyDescent="0.3">
      <c r="A467" s="2">
        <v>43454</v>
      </c>
      <c r="B467" s="1">
        <v>39.207500000000003</v>
      </c>
      <c r="C467" s="1">
        <v>1460.83</v>
      </c>
      <c r="D467" s="22">
        <f t="shared" si="31"/>
        <v>790.27539774049569</v>
      </c>
      <c r="E467" s="23">
        <f t="shared" si="32"/>
        <v>-18.573628666474633</v>
      </c>
      <c r="F467" s="23">
        <f t="shared" si="33"/>
        <v>18.573628666474633</v>
      </c>
    </row>
    <row r="468" spans="1:6" x14ac:dyDescent="0.3">
      <c r="A468" s="2">
        <v>43453</v>
      </c>
      <c r="B468" s="1">
        <v>40.222499999999997</v>
      </c>
      <c r="C468" s="1">
        <v>1495.08</v>
      </c>
      <c r="D468" s="22">
        <f t="shared" si="31"/>
        <v>808.84902640697032</v>
      </c>
      <c r="E468" s="23">
        <f t="shared" si="32"/>
        <v>-30.407930123847905</v>
      </c>
      <c r="F468" s="23">
        <f t="shared" si="33"/>
        <v>30.407930123847905</v>
      </c>
    </row>
    <row r="469" spans="1:6" x14ac:dyDescent="0.3">
      <c r="A469" s="2">
        <v>43452</v>
      </c>
      <c r="B469" s="1">
        <v>41.517499999999998</v>
      </c>
      <c r="C469" s="1">
        <v>1551.48</v>
      </c>
      <c r="D469" s="22">
        <f t="shared" si="31"/>
        <v>839.25695653081823</v>
      </c>
      <c r="E469" s="23">
        <f t="shared" si="32"/>
        <v>16.401833791762556</v>
      </c>
      <c r="F469" s="23">
        <f t="shared" si="33"/>
        <v>-16.401833791762556</v>
      </c>
    </row>
    <row r="470" spans="1:6" x14ac:dyDescent="0.3">
      <c r="A470" s="2">
        <v>43451</v>
      </c>
      <c r="B470" s="1">
        <v>40.984999999999999</v>
      </c>
      <c r="C470" s="1">
        <v>1520.91</v>
      </c>
      <c r="D470" s="22">
        <f t="shared" si="31"/>
        <v>822.85512273905567</v>
      </c>
      <c r="E470" s="23">
        <f t="shared" si="32"/>
        <v>-37.692132940668216</v>
      </c>
      <c r="F470" s="23">
        <f t="shared" si="33"/>
        <v>37.692132940668216</v>
      </c>
    </row>
    <row r="471" spans="1:6" x14ac:dyDescent="0.3">
      <c r="A471" s="2">
        <v>43448</v>
      </c>
      <c r="B471" s="1">
        <v>41.37</v>
      </c>
      <c r="C471" s="1">
        <v>1591.91</v>
      </c>
      <c r="D471" s="22">
        <f t="shared" si="31"/>
        <v>860.54725567972389</v>
      </c>
      <c r="E471" s="23">
        <f t="shared" si="32"/>
        <v>-35.762283293490782</v>
      </c>
      <c r="F471" s="23">
        <f t="shared" si="33"/>
        <v>35.762283293490782</v>
      </c>
    </row>
    <row r="472" spans="1:6" x14ac:dyDescent="0.3">
      <c r="A472" s="2">
        <v>43447</v>
      </c>
      <c r="B472" s="1">
        <v>42.737499999999997</v>
      </c>
      <c r="C472" s="1">
        <v>1658.38</v>
      </c>
      <c r="D472" s="22">
        <f t="shared" si="31"/>
        <v>896.30953897321467</v>
      </c>
      <c r="E472" s="23">
        <f t="shared" si="32"/>
        <v>-2.5079645607718248</v>
      </c>
      <c r="F472" s="23">
        <f t="shared" si="33"/>
        <v>2.5079645607718248</v>
      </c>
    </row>
    <row r="473" spans="1:6" x14ac:dyDescent="0.3">
      <c r="A473" s="2">
        <v>43446</v>
      </c>
      <c r="B473" s="1">
        <v>42.274999999999999</v>
      </c>
      <c r="C473" s="1">
        <v>1663.54</v>
      </c>
      <c r="D473" s="22">
        <f t="shared" si="31"/>
        <v>898.8175035339865</v>
      </c>
      <c r="E473" s="23">
        <f t="shared" si="32"/>
        <v>10.780265851094441</v>
      </c>
      <c r="F473" s="23">
        <f t="shared" si="33"/>
        <v>-10.780265851094441</v>
      </c>
    </row>
    <row r="474" spans="1:6" x14ac:dyDescent="0.3">
      <c r="A474" s="2">
        <v>43445</v>
      </c>
      <c r="B474" s="1">
        <v>42.157499999999999</v>
      </c>
      <c r="C474" s="1">
        <v>1643.24</v>
      </c>
      <c r="D474" s="22">
        <f t="shared" si="31"/>
        <v>888.03723768289206</v>
      </c>
      <c r="E474" s="23">
        <f t="shared" si="32"/>
        <v>1.0531984144585067</v>
      </c>
      <c r="F474" s="23">
        <f t="shared" si="33"/>
        <v>-1.0531984144585067</v>
      </c>
    </row>
    <row r="475" spans="1:6" x14ac:dyDescent="0.3">
      <c r="A475" s="2">
        <v>43444</v>
      </c>
      <c r="B475" s="1">
        <v>42.4</v>
      </c>
      <c r="C475" s="1">
        <v>1641.03</v>
      </c>
      <c r="D475" s="22">
        <f t="shared" si="31"/>
        <v>886.98403926843355</v>
      </c>
      <c r="E475" s="23">
        <f t="shared" si="32"/>
        <v>6.4178689386520773</v>
      </c>
      <c r="F475" s="23">
        <f t="shared" si="33"/>
        <v>-6.4178689386520773</v>
      </c>
    </row>
    <row r="476" spans="1:6" x14ac:dyDescent="0.3">
      <c r="A476" s="2">
        <v>43441</v>
      </c>
      <c r="B476" s="1">
        <v>42.122500000000002</v>
      </c>
      <c r="C476" s="1">
        <v>1629.13</v>
      </c>
      <c r="D476" s="22">
        <f t="shared" si="31"/>
        <v>880.56617032978147</v>
      </c>
      <c r="E476" s="23">
        <f t="shared" si="32"/>
        <v>-37.748562440956221</v>
      </c>
      <c r="F476" s="23">
        <f t="shared" si="33"/>
        <v>37.748562440956221</v>
      </c>
    </row>
    <row r="477" spans="1:6" x14ac:dyDescent="0.3">
      <c r="A477" s="2">
        <v>43440</v>
      </c>
      <c r="B477" s="1">
        <v>43.68</v>
      </c>
      <c r="C477" s="1">
        <v>1699.19</v>
      </c>
      <c r="D477" s="22">
        <f t="shared" si="31"/>
        <v>918.31473277073769</v>
      </c>
      <c r="E477" s="23">
        <f t="shared" si="32"/>
        <v>16.034588950172861</v>
      </c>
      <c r="F477" s="23">
        <f t="shared" si="33"/>
        <v>-16.034588950172861</v>
      </c>
    </row>
    <row r="478" spans="1:6" x14ac:dyDescent="0.3">
      <c r="A478" s="2">
        <v>43439</v>
      </c>
      <c r="B478" s="1">
        <v>44.172499999999999</v>
      </c>
      <c r="C478" s="1">
        <v>1668.4</v>
      </c>
      <c r="D478" s="22">
        <f t="shared" si="31"/>
        <v>902.28014382056483</v>
      </c>
      <c r="E478" s="23">
        <f t="shared" si="32"/>
        <v>0</v>
      </c>
      <c r="F478" s="23">
        <f t="shared" si="33"/>
        <v>0</v>
      </c>
    </row>
    <row r="479" spans="1:6" x14ac:dyDescent="0.3">
      <c r="A479" s="2">
        <v>43438</v>
      </c>
      <c r="B479" s="1">
        <v>44.172499999999999</v>
      </c>
      <c r="C479" s="1">
        <v>1668.4</v>
      </c>
      <c r="D479" s="22">
        <f t="shared" si="31"/>
        <v>902.28014382056483</v>
      </c>
      <c r="E479" s="23">
        <f t="shared" si="32"/>
        <v>-55.882571412730385</v>
      </c>
      <c r="F479" s="23">
        <f t="shared" si="33"/>
        <v>55.882571412730385</v>
      </c>
    </row>
    <row r="480" spans="1:6" x14ac:dyDescent="0.3">
      <c r="A480" s="2">
        <v>43437</v>
      </c>
      <c r="B480" s="1">
        <v>46.204999999999998</v>
      </c>
      <c r="C480" s="1">
        <v>1772.36</v>
      </c>
      <c r="D480" s="22">
        <f t="shared" si="31"/>
        <v>958.16271523329522</v>
      </c>
      <c r="E480" s="23">
        <f t="shared" si="32"/>
        <v>44.158231664746381</v>
      </c>
      <c r="F480" s="23">
        <f t="shared" si="33"/>
        <v>-44.158231664746381</v>
      </c>
    </row>
    <row r="481" spans="1:6" x14ac:dyDescent="0.3">
      <c r="A481" s="2">
        <v>43434</v>
      </c>
      <c r="B481" s="1">
        <v>44.645000000000003</v>
      </c>
      <c r="C481" s="1">
        <v>1690.17</v>
      </c>
      <c r="D481" s="22">
        <f t="shared" si="31"/>
        <v>914.00448356854884</v>
      </c>
      <c r="E481" s="23">
        <f t="shared" si="32"/>
        <v>8.6556857474079152</v>
      </c>
      <c r="F481" s="23">
        <f t="shared" si="33"/>
        <v>-8.6556857474079152</v>
      </c>
    </row>
    <row r="482" spans="1:6" x14ac:dyDescent="0.3">
      <c r="A482" s="2">
        <v>43433</v>
      </c>
      <c r="B482" s="1">
        <v>44.887500000000003</v>
      </c>
      <c r="C482" s="1">
        <v>1673.57</v>
      </c>
      <c r="D482" s="22">
        <f t="shared" si="31"/>
        <v>905.34879782114092</v>
      </c>
      <c r="E482" s="23">
        <f t="shared" si="32"/>
        <v>-2.3722764213709979</v>
      </c>
      <c r="F482" s="23">
        <f t="shared" si="33"/>
        <v>2.3722764213709979</v>
      </c>
    </row>
    <row r="483" spans="1:6" x14ac:dyDescent="0.3">
      <c r="A483" s="2">
        <v>43432</v>
      </c>
      <c r="B483" s="1">
        <v>45.234999999999999</v>
      </c>
      <c r="C483" s="1">
        <v>1677.75</v>
      </c>
      <c r="D483" s="22">
        <f t="shared" si="31"/>
        <v>907.72107424251192</v>
      </c>
      <c r="E483" s="23">
        <f t="shared" si="32"/>
        <v>51.682883148041469</v>
      </c>
      <c r="F483" s="23">
        <f t="shared" si="33"/>
        <v>-51.682883148041469</v>
      </c>
    </row>
    <row r="484" spans="1:6" x14ac:dyDescent="0.3">
      <c r="A484" s="2">
        <v>43431</v>
      </c>
      <c r="B484" s="1">
        <v>43.56</v>
      </c>
      <c r="C484" s="1">
        <v>1581.42</v>
      </c>
      <c r="D484" s="22">
        <f t="shared" si="31"/>
        <v>856.03819109447045</v>
      </c>
      <c r="E484" s="23">
        <f t="shared" si="32"/>
        <v>2.7387183180280772E-3</v>
      </c>
      <c r="F484" s="23">
        <f t="shared" si="33"/>
        <v>-2.7387183180280772E-3</v>
      </c>
    </row>
    <row r="485" spans="1:6" x14ac:dyDescent="0.3">
      <c r="A485" s="2">
        <v>43430</v>
      </c>
      <c r="B485" s="1">
        <v>43.655000000000001</v>
      </c>
      <c r="C485" s="1">
        <v>1581.33</v>
      </c>
      <c r="D485" s="22">
        <f t="shared" si="31"/>
        <v>856.03545237615242</v>
      </c>
      <c r="E485" s="23">
        <f t="shared" si="32"/>
        <v>42.154475122407916</v>
      </c>
      <c r="F485" s="23">
        <f t="shared" si="33"/>
        <v>-42.154475122407916</v>
      </c>
    </row>
    <row r="486" spans="1:6" x14ac:dyDescent="0.3">
      <c r="A486" s="2">
        <v>43427</v>
      </c>
      <c r="B486" s="1">
        <v>43.072499999999998</v>
      </c>
      <c r="C486" s="1">
        <v>1502.06</v>
      </c>
      <c r="D486" s="22">
        <f t="shared" si="31"/>
        <v>813.8809772537445</v>
      </c>
      <c r="E486" s="23">
        <f t="shared" si="32"/>
        <v>-8.2798799265552816</v>
      </c>
      <c r="F486" s="23">
        <f t="shared" si="33"/>
        <v>8.2798799265552816</v>
      </c>
    </row>
    <row r="487" spans="1:6" x14ac:dyDescent="0.3">
      <c r="A487" s="2">
        <v>43426</v>
      </c>
      <c r="B487" s="1">
        <v>44.195</v>
      </c>
      <c r="C487" s="1">
        <v>1516.73</v>
      </c>
      <c r="D487" s="22">
        <f t="shared" si="31"/>
        <v>822.16085718029979</v>
      </c>
      <c r="E487" s="23">
        <f t="shared" si="32"/>
        <v>0</v>
      </c>
      <c r="F487" s="23">
        <f t="shared" si="33"/>
        <v>0</v>
      </c>
    </row>
    <row r="488" spans="1:6" x14ac:dyDescent="0.3">
      <c r="A488" s="2">
        <v>43425</v>
      </c>
      <c r="B488" s="1">
        <v>44.195</v>
      </c>
      <c r="C488" s="1">
        <v>1516.73</v>
      </c>
      <c r="D488" s="22">
        <f t="shared" si="31"/>
        <v>822.16085718029979</v>
      </c>
      <c r="E488" s="23">
        <f t="shared" si="32"/>
        <v>11.213726889400846</v>
      </c>
      <c r="F488" s="23">
        <f t="shared" si="33"/>
        <v>-11.213726889400846</v>
      </c>
    </row>
    <row r="489" spans="1:6" x14ac:dyDescent="0.3">
      <c r="A489" s="2">
        <v>43424</v>
      </c>
      <c r="B489" s="1">
        <v>44.244999999999997</v>
      </c>
      <c r="C489" s="1">
        <v>1495.46</v>
      </c>
      <c r="D489" s="22">
        <f t="shared" si="31"/>
        <v>810.94713029089894</v>
      </c>
      <c r="E489" s="23">
        <f t="shared" si="32"/>
        <v>-9.9387171601382533</v>
      </c>
      <c r="F489" s="23">
        <f t="shared" si="33"/>
        <v>9.9387171601382533</v>
      </c>
    </row>
    <row r="490" spans="1:6" x14ac:dyDescent="0.3">
      <c r="A490" s="2">
        <v>43423</v>
      </c>
      <c r="B490" s="1">
        <v>46.465000000000003</v>
      </c>
      <c r="C490" s="1">
        <v>1512.29</v>
      </c>
      <c r="D490" s="22">
        <f t="shared" si="31"/>
        <v>820.88584745103719</v>
      </c>
      <c r="E490" s="23">
        <f t="shared" si="32"/>
        <v>-43.761558581509348</v>
      </c>
      <c r="F490" s="23">
        <f t="shared" si="33"/>
        <v>43.761558581509348</v>
      </c>
    </row>
    <row r="491" spans="1:6" x14ac:dyDescent="0.3">
      <c r="A491" s="2">
        <v>43420</v>
      </c>
      <c r="B491" s="1">
        <v>48.3825</v>
      </c>
      <c r="C491" s="1">
        <v>1593.41</v>
      </c>
      <c r="D491" s="22">
        <f t="shared" si="31"/>
        <v>864.64740603254654</v>
      </c>
      <c r="E491" s="23">
        <f t="shared" si="32"/>
        <v>-13.502110046082862</v>
      </c>
      <c r="F491" s="23">
        <f t="shared" si="33"/>
        <v>13.502110046082862</v>
      </c>
    </row>
    <row r="492" spans="1:6" x14ac:dyDescent="0.3">
      <c r="A492" s="2">
        <v>43419</v>
      </c>
      <c r="B492" s="1">
        <v>47.852499999999999</v>
      </c>
      <c r="C492" s="1">
        <v>1619.44</v>
      </c>
      <c r="D492" s="22">
        <f t="shared" si="31"/>
        <v>878.1495160786294</v>
      </c>
      <c r="E492" s="23">
        <f t="shared" si="32"/>
        <v>11.337138607430916</v>
      </c>
      <c r="F492" s="23">
        <f t="shared" si="33"/>
        <v>-11.337138607430916</v>
      </c>
    </row>
    <row r="493" spans="1:6" x14ac:dyDescent="0.3">
      <c r="A493" s="2">
        <v>43418</v>
      </c>
      <c r="B493" s="1">
        <v>46.7</v>
      </c>
      <c r="C493" s="1">
        <v>1599.01</v>
      </c>
      <c r="D493" s="22">
        <f t="shared" si="31"/>
        <v>866.81237747119849</v>
      </c>
      <c r="E493" s="23">
        <f t="shared" si="32"/>
        <v>-17.630996599942478</v>
      </c>
      <c r="F493" s="23">
        <f t="shared" si="33"/>
        <v>17.630996599942478</v>
      </c>
    </row>
    <row r="494" spans="1:6" x14ac:dyDescent="0.3">
      <c r="A494" s="2">
        <v>43417</v>
      </c>
      <c r="B494" s="1">
        <v>48.057499999999997</v>
      </c>
      <c r="C494" s="1">
        <v>1631.17</v>
      </c>
      <c r="D494" s="22">
        <f t="shared" si="31"/>
        <v>884.44337407114097</v>
      </c>
      <c r="E494" s="23">
        <f t="shared" si="32"/>
        <v>-3.2296088738477238</v>
      </c>
      <c r="F494" s="23">
        <f t="shared" si="33"/>
        <v>3.2296088738477238</v>
      </c>
    </row>
    <row r="495" spans="1:6" x14ac:dyDescent="0.3">
      <c r="A495" s="2">
        <v>43416</v>
      </c>
      <c r="B495" s="1">
        <v>48.542499999999997</v>
      </c>
      <c r="C495" s="1">
        <v>1636.85</v>
      </c>
      <c r="D495" s="22">
        <f t="shared" si="31"/>
        <v>887.67298294498869</v>
      </c>
      <c r="E495" s="23">
        <f t="shared" si="32"/>
        <v>-41.14481151785742</v>
      </c>
      <c r="F495" s="23">
        <f t="shared" si="33"/>
        <v>41.14481151785742</v>
      </c>
    </row>
    <row r="496" spans="1:6" x14ac:dyDescent="0.3">
      <c r="A496" s="2">
        <v>43413</v>
      </c>
      <c r="B496" s="1">
        <v>51.1175</v>
      </c>
      <c r="C496" s="1">
        <v>1712.43</v>
      </c>
      <c r="D496" s="22">
        <f t="shared" si="31"/>
        <v>928.81779446284611</v>
      </c>
      <c r="E496" s="23">
        <f t="shared" si="32"/>
        <v>-22.916964012096628</v>
      </c>
      <c r="F496" s="23">
        <f t="shared" si="33"/>
        <v>22.916964012096628</v>
      </c>
    </row>
    <row r="497" spans="1:6" x14ac:dyDescent="0.3">
      <c r="A497" s="2">
        <v>43412</v>
      </c>
      <c r="B497" s="1">
        <v>52.122500000000002</v>
      </c>
      <c r="C497" s="1">
        <v>1754.91</v>
      </c>
      <c r="D497" s="22">
        <f t="shared" si="31"/>
        <v>951.73475847494274</v>
      </c>
      <c r="E497" s="23">
        <f t="shared" si="32"/>
        <v>-0.47858824020738666</v>
      </c>
      <c r="F497" s="23">
        <f t="shared" si="33"/>
        <v>0.47858824020738666</v>
      </c>
    </row>
    <row r="498" spans="1:6" x14ac:dyDescent="0.3">
      <c r="A498" s="2">
        <v>43411</v>
      </c>
      <c r="B498" s="1">
        <v>52.487499999999997</v>
      </c>
      <c r="C498" s="1">
        <v>1755.49</v>
      </c>
      <c r="D498" s="22">
        <f t="shared" si="31"/>
        <v>952.21334671515012</v>
      </c>
      <c r="E498" s="23">
        <f t="shared" si="32"/>
        <v>60.259553839285786</v>
      </c>
      <c r="F498" s="23">
        <f t="shared" si="33"/>
        <v>-60.259553839285786</v>
      </c>
    </row>
    <row r="499" spans="1:6" x14ac:dyDescent="0.3">
      <c r="A499" s="2">
        <v>43410</v>
      </c>
      <c r="B499" s="1">
        <v>50.942500000000003</v>
      </c>
      <c r="C499" s="1">
        <v>1642.81</v>
      </c>
      <c r="D499" s="22">
        <f t="shared" si="31"/>
        <v>891.95379287586434</v>
      </c>
      <c r="E499" s="23">
        <f t="shared" si="32"/>
        <v>8.1871111376727868</v>
      </c>
      <c r="F499" s="23">
        <f t="shared" si="33"/>
        <v>-8.1871111376727868</v>
      </c>
    </row>
    <row r="500" spans="1:6" x14ac:dyDescent="0.3">
      <c r="A500" s="2">
        <v>43409</v>
      </c>
      <c r="B500" s="1">
        <v>50.397500000000001</v>
      </c>
      <c r="C500" s="1">
        <v>1627.8</v>
      </c>
      <c r="D500" s="22">
        <f t="shared" si="31"/>
        <v>883.76668173819155</v>
      </c>
      <c r="E500" s="23">
        <f t="shared" si="32"/>
        <v>-20.627967996831899</v>
      </c>
      <c r="F500" s="23">
        <f t="shared" si="33"/>
        <v>20.627967996831899</v>
      </c>
    </row>
    <row r="501" spans="1:6" x14ac:dyDescent="0.3">
      <c r="A501" s="2">
        <v>43406</v>
      </c>
      <c r="B501" s="1">
        <v>51.87</v>
      </c>
      <c r="C501" s="1">
        <v>1665.53</v>
      </c>
      <c r="D501" s="22">
        <f t="shared" si="31"/>
        <v>904.39464973502345</v>
      </c>
      <c r="E501" s="23">
        <f t="shared" si="32"/>
        <v>-1.7381503945852046</v>
      </c>
      <c r="F501" s="23">
        <f t="shared" si="33"/>
        <v>1.7381503945852046</v>
      </c>
    </row>
    <row r="502" spans="1:6" x14ac:dyDescent="0.3">
      <c r="A502" s="2">
        <v>43405</v>
      </c>
      <c r="B502" s="1">
        <v>55.555</v>
      </c>
      <c r="C502" s="1">
        <v>1665.53</v>
      </c>
      <c r="D502" s="22">
        <f t="shared" si="31"/>
        <v>906.13280012960865</v>
      </c>
      <c r="E502" s="23">
        <f t="shared" si="32"/>
        <v>36.068203986175149</v>
      </c>
      <c r="F502" s="23">
        <f t="shared" si="33"/>
        <v>-36.068203986175149</v>
      </c>
    </row>
    <row r="503" spans="1:6" x14ac:dyDescent="0.3">
      <c r="A503" s="2">
        <v>43404</v>
      </c>
      <c r="B503" s="1">
        <v>54.715000000000003</v>
      </c>
      <c r="C503" s="1">
        <v>1598.01</v>
      </c>
      <c r="D503" s="22">
        <f t="shared" si="31"/>
        <v>870.0645961434335</v>
      </c>
      <c r="E503" s="23">
        <f t="shared" si="32"/>
        <v>36.364611635944584</v>
      </c>
      <c r="F503" s="23">
        <f t="shared" si="33"/>
        <v>-36.364611635944584</v>
      </c>
    </row>
    <row r="504" spans="1:6" x14ac:dyDescent="0.3">
      <c r="A504" s="2">
        <v>43403</v>
      </c>
      <c r="B504" s="1">
        <v>53.325000000000003</v>
      </c>
      <c r="C504" s="1">
        <v>1530.42</v>
      </c>
      <c r="D504" s="22">
        <f t="shared" si="31"/>
        <v>833.69998450748892</v>
      </c>
      <c r="E504" s="23">
        <f t="shared" si="32"/>
        <v>-4.3445692828340725</v>
      </c>
      <c r="F504" s="23">
        <f t="shared" si="33"/>
        <v>4.3445692828340725</v>
      </c>
    </row>
    <row r="505" spans="1:6" x14ac:dyDescent="0.3">
      <c r="A505" s="2">
        <v>43402</v>
      </c>
      <c r="B505" s="1">
        <v>53.06</v>
      </c>
      <c r="C505" s="1">
        <v>1538.88</v>
      </c>
      <c r="D505" s="22">
        <f t="shared" si="31"/>
        <v>838.04455379032299</v>
      </c>
      <c r="E505" s="23">
        <f t="shared" si="32"/>
        <v>-55.386784841589702</v>
      </c>
      <c r="F505" s="23">
        <f t="shared" si="33"/>
        <v>55.386784841589702</v>
      </c>
    </row>
    <row r="506" spans="1:6" x14ac:dyDescent="0.3">
      <c r="A506" s="2">
        <v>43399</v>
      </c>
      <c r="B506" s="1">
        <v>54.075000000000003</v>
      </c>
      <c r="C506" s="1">
        <v>1642.81</v>
      </c>
      <c r="D506" s="22">
        <f t="shared" si="31"/>
        <v>893.43133863191269</v>
      </c>
      <c r="E506" s="23">
        <f t="shared" si="32"/>
        <v>-74.039034628456307</v>
      </c>
      <c r="F506" s="23">
        <f t="shared" si="33"/>
        <v>74.039034628456307</v>
      </c>
    </row>
    <row r="507" spans="1:6" x14ac:dyDescent="0.3">
      <c r="A507" s="2">
        <v>43398</v>
      </c>
      <c r="B507" s="1">
        <v>54.95</v>
      </c>
      <c r="C507" s="1">
        <v>1782.17</v>
      </c>
      <c r="D507" s="22">
        <f t="shared" si="31"/>
        <v>967.470373260369</v>
      </c>
      <c r="E507" s="23">
        <f t="shared" si="32"/>
        <v>62.881009508928514</v>
      </c>
      <c r="F507" s="23">
        <f t="shared" si="33"/>
        <v>-62.881009508928514</v>
      </c>
    </row>
    <row r="508" spans="1:6" x14ac:dyDescent="0.3">
      <c r="A508" s="2">
        <v>43397</v>
      </c>
      <c r="B508" s="1">
        <v>53.772500000000001</v>
      </c>
      <c r="C508" s="1">
        <v>1664.2</v>
      </c>
      <c r="D508" s="22">
        <f t="shared" si="31"/>
        <v>904.58936375144049</v>
      </c>
      <c r="E508" s="23">
        <f t="shared" si="32"/>
        <v>-56.110081687788011</v>
      </c>
      <c r="F508" s="23">
        <f t="shared" si="33"/>
        <v>56.110081687788011</v>
      </c>
    </row>
    <row r="509" spans="1:6" x14ac:dyDescent="0.3">
      <c r="A509" s="2">
        <v>43396</v>
      </c>
      <c r="B509" s="1">
        <v>55.682499999999997</v>
      </c>
      <c r="C509" s="1">
        <v>1768.7</v>
      </c>
      <c r="D509" s="22">
        <f t="shared" si="31"/>
        <v>960.6994454392285</v>
      </c>
      <c r="E509" s="23">
        <f t="shared" si="32"/>
        <v>-10.638063410138216</v>
      </c>
      <c r="F509" s="23">
        <f t="shared" si="33"/>
        <v>10.638063410138216</v>
      </c>
    </row>
    <row r="510" spans="1:6" x14ac:dyDescent="0.3">
      <c r="A510" s="2">
        <v>43395</v>
      </c>
      <c r="B510" s="1">
        <v>55.162500000000001</v>
      </c>
      <c r="C510" s="1">
        <v>1789.3</v>
      </c>
      <c r="D510" s="22">
        <f t="shared" si="31"/>
        <v>971.33750884936671</v>
      </c>
      <c r="E510" s="23">
        <f t="shared" si="32"/>
        <v>13.508594277073712</v>
      </c>
      <c r="F510" s="23">
        <f t="shared" si="33"/>
        <v>-13.508594277073712</v>
      </c>
    </row>
    <row r="511" spans="1:6" x14ac:dyDescent="0.3">
      <c r="A511" s="2">
        <v>43392</v>
      </c>
      <c r="B511" s="1">
        <v>54.827500000000001</v>
      </c>
      <c r="C511" s="1">
        <v>1764.03</v>
      </c>
      <c r="D511" s="22">
        <f t="shared" si="31"/>
        <v>957.828914572293</v>
      </c>
      <c r="E511" s="23">
        <f t="shared" si="32"/>
        <v>-3.146484439804226</v>
      </c>
      <c r="F511" s="23">
        <f t="shared" si="33"/>
        <v>3.146484439804226</v>
      </c>
    </row>
    <row r="512" spans="1:6" x14ac:dyDescent="0.3">
      <c r="A512" s="2">
        <v>43391</v>
      </c>
      <c r="B512" s="1">
        <v>54.005000000000003</v>
      </c>
      <c r="C512" s="1">
        <v>1770.72</v>
      </c>
      <c r="D512" s="22">
        <f t="shared" si="31"/>
        <v>960.97539901209723</v>
      </c>
      <c r="E512" s="23">
        <f t="shared" si="32"/>
        <v>-32.842294114343304</v>
      </c>
      <c r="F512" s="23">
        <f t="shared" si="33"/>
        <v>32.842294114343304</v>
      </c>
    </row>
    <row r="513" spans="1:6" x14ac:dyDescent="0.3">
      <c r="A513" s="2">
        <v>43390</v>
      </c>
      <c r="B513" s="1">
        <v>55.297499999999999</v>
      </c>
      <c r="C513" s="1">
        <v>1831.73</v>
      </c>
      <c r="D513" s="22">
        <f t="shared" si="31"/>
        <v>993.81769312644053</v>
      </c>
      <c r="E513" s="23">
        <f t="shared" si="32"/>
        <v>6.1050919297234714</v>
      </c>
      <c r="F513" s="23">
        <f t="shared" si="33"/>
        <v>-6.1050919297234714</v>
      </c>
    </row>
    <row r="514" spans="1:6" x14ac:dyDescent="0.3">
      <c r="A514" s="2">
        <v>43389</v>
      </c>
      <c r="B514" s="1">
        <v>55.537500000000001</v>
      </c>
      <c r="C514" s="1">
        <v>1819.96</v>
      </c>
      <c r="D514" s="22">
        <f t="shared" si="31"/>
        <v>987.71260119671706</v>
      </c>
      <c r="E514" s="23">
        <f t="shared" si="32"/>
        <v>31.740849474366428</v>
      </c>
      <c r="F514" s="23">
        <f t="shared" si="33"/>
        <v>-31.740849474366428</v>
      </c>
    </row>
    <row r="515" spans="1:6" x14ac:dyDescent="0.3">
      <c r="A515" s="2">
        <v>43388</v>
      </c>
      <c r="B515" s="1">
        <v>54.34</v>
      </c>
      <c r="C515" s="1">
        <v>1760.95</v>
      </c>
      <c r="D515" s="22">
        <f t="shared" si="31"/>
        <v>955.97175172235063</v>
      </c>
      <c r="E515" s="23">
        <f t="shared" si="32"/>
        <v>-15.173382273905418</v>
      </c>
      <c r="F515" s="23">
        <f t="shared" si="33"/>
        <v>15.173382273905418</v>
      </c>
    </row>
    <row r="516" spans="1:6" x14ac:dyDescent="0.3">
      <c r="A516" s="2">
        <v>43385</v>
      </c>
      <c r="B516" s="1">
        <v>55.527500000000003</v>
      </c>
      <c r="C516" s="1">
        <v>1788.61</v>
      </c>
      <c r="D516" s="22">
        <f t="shared" si="31"/>
        <v>971.14513399625605</v>
      </c>
      <c r="E516" s="23">
        <f t="shared" si="32"/>
        <v>37.489251880760321</v>
      </c>
      <c r="F516" s="23">
        <f t="shared" si="33"/>
        <v>-37.489251880760321</v>
      </c>
    </row>
    <row r="517" spans="1:6" x14ac:dyDescent="0.3">
      <c r="A517" s="2">
        <v>43384</v>
      </c>
      <c r="B517" s="1">
        <v>53.612499999999997</v>
      </c>
      <c r="C517" s="1">
        <v>1719.36</v>
      </c>
      <c r="D517" s="22">
        <f t="shared" si="31"/>
        <v>933.65588211549573</v>
      </c>
      <c r="E517" s="23">
        <f t="shared" si="32"/>
        <v>-19.186539796947045</v>
      </c>
      <c r="F517" s="23">
        <f t="shared" si="33"/>
        <v>19.186539796947045</v>
      </c>
    </row>
    <row r="518" spans="1:6" x14ac:dyDescent="0.3">
      <c r="A518" s="2">
        <v>43383</v>
      </c>
      <c r="B518" s="1">
        <v>54.09</v>
      </c>
      <c r="C518" s="1">
        <v>1755.25</v>
      </c>
      <c r="D518" s="22">
        <f t="shared" ref="D518:D581" si="34">$M$16*B518+(1-$M$16)*C518</f>
        <v>952.84242191244277</v>
      </c>
      <c r="E518" s="23">
        <f t="shared" ref="E518:E581" si="35">D518-D519</f>
        <v>-62.032828834965358</v>
      </c>
      <c r="F518" s="23">
        <f t="shared" ref="F518:F581" si="36">-E518</f>
        <v>62.032828834965358</v>
      </c>
    </row>
    <row r="519" spans="1:6" x14ac:dyDescent="0.3">
      <c r="A519" s="2">
        <v>43382</v>
      </c>
      <c r="B519" s="1">
        <v>56.717500000000001</v>
      </c>
      <c r="C519" s="1">
        <v>1870.32</v>
      </c>
      <c r="D519" s="22">
        <f t="shared" si="34"/>
        <v>1014.8752507474081</v>
      </c>
      <c r="E519" s="23">
        <f t="shared" si="35"/>
        <v>3.4826266561058219</v>
      </c>
      <c r="F519" s="23">
        <f t="shared" si="36"/>
        <v>-3.4826266561058219</v>
      </c>
    </row>
    <row r="520" spans="1:6" x14ac:dyDescent="0.3">
      <c r="A520" s="2">
        <v>43381</v>
      </c>
      <c r="B520" s="1">
        <v>55.942500000000003</v>
      </c>
      <c r="C520" s="1">
        <v>1864.42</v>
      </c>
      <c r="D520" s="22">
        <f t="shared" si="34"/>
        <v>1011.3926240913023</v>
      </c>
      <c r="E520" s="23">
        <f t="shared" si="35"/>
        <v>-13.390766647465284</v>
      </c>
      <c r="F520" s="23">
        <f t="shared" si="36"/>
        <v>13.390766647465284</v>
      </c>
    </row>
    <row r="521" spans="1:6" x14ac:dyDescent="0.3">
      <c r="A521" s="2">
        <v>43378</v>
      </c>
      <c r="B521" s="1">
        <v>56.072499999999998</v>
      </c>
      <c r="C521" s="1">
        <v>1889.65</v>
      </c>
      <c r="D521" s="22">
        <f t="shared" si="34"/>
        <v>1024.7833907387676</v>
      </c>
      <c r="E521" s="23">
        <f t="shared" si="35"/>
        <v>-10.88114133352542</v>
      </c>
      <c r="F521" s="23">
        <f t="shared" si="36"/>
        <v>10.88114133352542</v>
      </c>
    </row>
    <row r="522" spans="1:6" x14ac:dyDescent="0.3">
      <c r="A522" s="2">
        <v>43377</v>
      </c>
      <c r="B522" s="1">
        <v>56.997500000000002</v>
      </c>
      <c r="C522" s="1">
        <v>1909.42</v>
      </c>
      <c r="D522" s="22">
        <f t="shared" si="34"/>
        <v>1035.664532072293</v>
      </c>
      <c r="E522" s="23">
        <f t="shared" si="35"/>
        <v>-23.378392211981691</v>
      </c>
      <c r="F522" s="23">
        <f t="shared" si="36"/>
        <v>23.378392211981691</v>
      </c>
    </row>
    <row r="523" spans="1:6" x14ac:dyDescent="0.3">
      <c r="A523" s="2">
        <v>43376</v>
      </c>
      <c r="B523" s="1">
        <v>58.017499999999998</v>
      </c>
      <c r="C523" s="1">
        <v>1952.76</v>
      </c>
      <c r="D523" s="22">
        <f t="shared" si="34"/>
        <v>1059.0429242842747</v>
      </c>
      <c r="E523" s="23">
        <f t="shared" si="35"/>
        <v>-9.4712890855414571</v>
      </c>
      <c r="F523" s="23">
        <f t="shared" si="36"/>
        <v>9.4712890855414571</v>
      </c>
    </row>
    <row r="524" spans="1:6" x14ac:dyDescent="0.3">
      <c r="A524" s="2">
        <v>43375</v>
      </c>
      <c r="B524" s="1">
        <v>57.32</v>
      </c>
      <c r="C524" s="1">
        <v>1971.31</v>
      </c>
      <c r="D524" s="22">
        <f t="shared" si="34"/>
        <v>1068.5142133698162</v>
      </c>
      <c r="E524" s="23">
        <f t="shared" si="35"/>
        <v>-17.22269023329477</v>
      </c>
      <c r="F524" s="23">
        <f t="shared" si="36"/>
        <v>17.22269023329477</v>
      </c>
    </row>
    <row r="525" spans="1:6" x14ac:dyDescent="0.3">
      <c r="A525" s="2">
        <v>43374</v>
      </c>
      <c r="B525" s="1">
        <v>56.814999999999998</v>
      </c>
      <c r="C525" s="1">
        <v>2004.36</v>
      </c>
      <c r="D525" s="22">
        <f t="shared" si="34"/>
        <v>1085.7369036031109</v>
      </c>
      <c r="E525" s="23">
        <f t="shared" si="35"/>
        <v>0.89775104838690822</v>
      </c>
      <c r="F525" s="23">
        <f t="shared" si="36"/>
        <v>-0.89775104838690822</v>
      </c>
    </row>
    <row r="526" spans="1:6" x14ac:dyDescent="0.3">
      <c r="A526" s="2">
        <v>43371</v>
      </c>
      <c r="B526" s="1">
        <v>56.435000000000002</v>
      </c>
      <c r="C526" s="1">
        <v>2003</v>
      </c>
      <c r="D526" s="22">
        <f t="shared" si="34"/>
        <v>1084.839152554724</v>
      </c>
      <c r="E526" s="23">
        <f t="shared" si="35"/>
        <v>-5.1794503009791697</v>
      </c>
      <c r="F526" s="23">
        <f t="shared" si="36"/>
        <v>5.1794503009791697</v>
      </c>
    </row>
    <row r="527" spans="1:6" x14ac:dyDescent="0.3">
      <c r="A527" s="2">
        <v>43370</v>
      </c>
      <c r="B527" s="1">
        <v>56.237499999999997</v>
      </c>
      <c r="C527" s="1">
        <v>2012.98</v>
      </c>
      <c r="D527" s="22">
        <f t="shared" si="34"/>
        <v>1090.0186028557032</v>
      </c>
      <c r="E527" s="23">
        <f t="shared" si="35"/>
        <v>20.678922870103634</v>
      </c>
      <c r="F527" s="23">
        <f t="shared" si="36"/>
        <v>-20.678922870103634</v>
      </c>
    </row>
    <row r="528" spans="1:6" x14ac:dyDescent="0.3">
      <c r="A528" s="2">
        <v>43369</v>
      </c>
      <c r="B528" s="1">
        <v>55.104999999999997</v>
      </c>
      <c r="C528" s="1">
        <v>1974.85</v>
      </c>
      <c r="D528" s="22">
        <f t="shared" si="34"/>
        <v>1069.3396799855996</v>
      </c>
      <c r="E528" s="23">
        <f t="shared" si="35"/>
        <v>-5.0224333237110841E-2</v>
      </c>
      <c r="F528" s="23">
        <f t="shared" si="36"/>
        <v>5.0224333237110841E-2</v>
      </c>
    </row>
    <row r="529" spans="1:6" x14ac:dyDescent="0.3">
      <c r="A529" s="2">
        <v>43368</v>
      </c>
      <c r="B529" s="1">
        <v>55.547499999999999</v>
      </c>
      <c r="C529" s="1">
        <v>1974.55</v>
      </c>
      <c r="D529" s="22">
        <f t="shared" si="34"/>
        <v>1069.3899043188367</v>
      </c>
      <c r="E529" s="23">
        <f t="shared" si="35"/>
        <v>21.398165069124389</v>
      </c>
      <c r="F529" s="23">
        <f t="shared" si="36"/>
        <v>-21.398165069124389</v>
      </c>
    </row>
    <row r="530" spans="1:6" x14ac:dyDescent="0.3">
      <c r="A530" s="2">
        <v>43367</v>
      </c>
      <c r="B530" s="1">
        <v>55.197499999999998</v>
      </c>
      <c r="C530" s="1">
        <v>1934.36</v>
      </c>
      <c r="D530" s="22">
        <f t="shared" si="34"/>
        <v>1047.9917392497123</v>
      </c>
      <c r="E530" s="23">
        <f t="shared" si="35"/>
        <v>10.592033256048353</v>
      </c>
      <c r="F530" s="23">
        <f t="shared" si="36"/>
        <v>-10.592033256048353</v>
      </c>
    </row>
    <row r="531" spans="1:6" x14ac:dyDescent="0.3">
      <c r="A531" s="2">
        <v>43364</v>
      </c>
      <c r="B531" s="1">
        <v>54.414999999999999</v>
      </c>
      <c r="C531" s="1">
        <v>1915.01</v>
      </c>
      <c r="D531" s="22">
        <f t="shared" si="34"/>
        <v>1037.3997059936639</v>
      </c>
      <c r="E531" s="23">
        <f t="shared" si="35"/>
        <v>-15.753888480702699</v>
      </c>
      <c r="F531" s="23">
        <f t="shared" si="36"/>
        <v>15.753888480702699</v>
      </c>
    </row>
    <row r="532" spans="1:6" x14ac:dyDescent="0.3">
      <c r="A532" s="2">
        <v>43363</v>
      </c>
      <c r="B532" s="1">
        <v>55.0075</v>
      </c>
      <c r="C532" s="1">
        <v>1944.3</v>
      </c>
      <c r="D532" s="22">
        <f t="shared" si="34"/>
        <v>1053.1535944743666</v>
      </c>
      <c r="E532" s="23">
        <f t="shared" si="35"/>
        <v>9.6420633266127425</v>
      </c>
      <c r="F532" s="23">
        <f t="shared" si="36"/>
        <v>-9.6420633266127425</v>
      </c>
    </row>
    <row r="533" spans="1:6" x14ac:dyDescent="0.3">
      <c r="A533" s="2">
        <v>43362</v>
      </c>
      <c r="B533" s="1">
        <v>54.592500000000001</v>
      </c>
      <c r="C533" s="1">
        <v>1926.42</v>
      </c>
      <c r="D533" s="22">
        <f t="shared" si="34"/>
        <v>1043.5115311477539</v>
      </c>
      <c r="E533" s="23">
        <f t="shared" si="35"/>
        <v>-7.7139538234448537</v>
      </c>
      <c r="F533" s="23">
        <f t="shared" si="36"/>
        <v>7.7139538234448537</v>
      </c>
    </row>
    <row r="534" spans="1:6" x14ac:dyDescent="0.3">
      <c r="A534" s="2">
        <v>43361</v>
      </c>
      <c r="B534" s="1">
        <v>54.56</v>
      </c>
      <c r="C534" s="1">
        <v>1941.05</v>
      </c>
      <c r="D534" s="22">
        <f t="shared" si="34"/>
        <v>1051.2254849711987</v>
      </c>
      <c r="E534" s="23">
        <f t="shared" si="35"/>
        <v>17.487491860599221</v>
      </c>
      <c r="F534" s="23">
        <f t="shared" si="36"/>
        <v>-17.487491860599221</v>
      </c>
    </row>
    <row r="535" spans="1:6" x14ac:dyDescent="0.3">
      <c r="A535" s="2">
        <v>43360</v>
      </c>
      <c r="B535" s="1">
        <v>54.47</v>
      </c>
      <c r="C535" s="1">
        <v>1908.03</v>
      </c>
      <c r="D535" s="22">
        <f t="shared" si="34"/>
        <v>1033.7379931105995</v>
      </c>
      <c r="E535" s="23">
        <f t="shared" si="35"/>
        <v>-33.543016434331776</v>
      </c>
      <c r="F535" s="23">
        <f t="shared" si="36"/>
        <v>33.543016434331776</v>
      </c>
    </row>
    <row r="536" spans="1:6" x14ac:dyDescent="0.3">
      <c r="A536" s="2">
        <v>43357</v>
      </c>
      <c r="B536" s="1">
        <v>55.96</v>
      </c>
      <c r="C536" s="1">
        <v>1970.19</v>
      </c>
      <c r="D536" s="22">
        <f t="shared" si="34"/>
        <v>1067.2810095449313</v>
      </c>
      <c r="E536" s="23">
        <f t="shared" si="35"/>
        <v>-10.700342432315665</v>
      </c>
      <c r="F536" s="23">
        <f t="shared" si="36"/>
        <v>10.700342432315665</v>
      </c>
    </row>
    <row r="537" spans="1:6" x14ac:dyDescent="0.3">
      <c r="A537" s="2">
        <v>43356</v>
      </c>
      <c r="B537" s="1">
        <v>56.602499999999999</v>
      </c>
      <c r="C537" s="1">
        <v>1989.87</v>
      </c>
      <c r="D537" s="22">
        <f t="shared" si="34"/>
        <v>1077.981351977247</v>
      </c>
      <c r="E537" s="23">
        <f t="shared" si="35"/>
        <v>0.56101501440093671</v>
      </c>
      <c r="F537" s="23">
        <f t="shared" si="36"/>
        <v>-0.56101501440093671</v>
      </c>
    </row>
    <row r="538" spans="1:6" x14ac:dyDescent="0.3">
      <c r="A538" s="2">
        <v>43355</v>
      </c>
      <c r="B538" s="1">
        <v>55.267499999999998</v>
      </c>
      <c r="C538" s="1">
        <v>1990</v>
      </c>
      <c r="D538" s="22">
        <f t="shared" si="34"/>
        <v>1077.420336962846</v>
      </c>
      <c r="E538" s="23">
        <f t="shared" si="35"/>
        <v>1.1778851699307324</v>
      </c>
      <c r="F538" s="23">
        <f t="shared" si="36"/>
        <v>-1.1778851699307324</v>
      </c>
    </row>
    <row r="539" spans="1:6" x14ac:dyDescent="0.3">
      <c r="A539" s="2">
        <v>43354</v>
      </c>
      <c r="B539" s="1">
        <v>55.962499999999999</v>
      </c>
      <c r="C539" s="1">
        <v>1987.15</v>
      </c>
      <c r="D539" s="22">
        <f t="shared" si="34"/>
        <v>1076.2424517929153</v>
      </c>
      <c r="E539" s="23">
        <f t="shared" si="35"/>
        <v>26.0841214516131</v>
      </c>
      <c r="F539" s="23">
        <f t="shared" si="36"/>
        <v>-26.0841214516131</v>
      </c>
    </row>
    <row r="540" spans="1:6" x14ac:dyDescent="0.3">
      <c r="A540" s="2">
        <v>43353</v>
      </c>
      <c r="B540" s="1">
        <v>54.582500000000003</v>
      </c>
      <c r="C540" s="1">
        <v>1939.01</v>
      </c>
      <c r="D540" s="22">
        <f t="shared" si="34"/>
        <v>1050.1583303413022</v>
      </c>
      <c r="E540" s="23">
        <f t="shared" si="35"/>
        <v>-7.2500495290898925</v>
      </c>
      <c r="F540" s="23">
        <f t="shared" si="36"/>
        <v>7.2500495290898925</v>
      </c>
    </row>
    <row r="541" spans="1:6" x14ac:dyDescent="0.3">
      <c r="A541" s="2">
        <v>43350</v>
      </c>
      <c r="B541" s="1">
        <v>55.325000000000003</v>
      </c>
      <c r="C541" s="1">
        <v>1952.07</v>
      </c>
      <c r="D541" s="22">
        <f t="shared" si="34"/>
        <v>1057.4083798703921</v>
      </c>
      <c r="E541" s="23">
        <f t="shared" si="35"/>
        <v>-3.508957724654465</v>
      </c>
      <c r="F541" s="23">
        <f t="shared" si="36"/>
        <v>3.508957724654465</v>
      </c>
    </row>
    <row r="542" spans="1:6" x14ac:dyDescent="0.3">
      <c r="A542" s="2">
        <v>43349</v>
      </c>
      <c r="B542" s="1">
        <v>55.774999999999999</v>
      </c>
      <c r="C542" s="1">
        <v>1958.31</v>
      </c>
      <c r="D542" s="22">
        <f t="shared" si="34"/>
        <v>1060.9173375950465</v>
      </c>
      <c r="E542" s="23">
        <f t="shared" si="35"/>
        <v>-19.733428993375583</v>
      </c>
      <c r="F542" s="23">
        <f t="shared" si="36"/>
        <v>19.733428993375583</v>
      </c>
    </row>
    <row r="543" spans="1:6" x14ac:dyDescent="0.3">
      <c r="A543" s="2">
        <v>43348</v>
      </c>
      <c r="B543" s="1">
        <v>56.717500000000001</v>
      </c>
      <c r="C543" s="1">
        <v>1994.82</v>
      </c>
      <c r="D543" s="22">
        <f t="shared" si="34"/>
        <v>1080.6507665884221</v>
      </c>
      <c r="E543" s="23">
        <f t="shared" si="35"/>
        <v>-23.78620621111736</v>
      </c>
      <c r="F543" s="23">
        <f t="shared" si="36"/>
        <v>23.78620621111736</v>
      </c>
    </row>
    <row r="544" spans="1:6" x14ac:dyDescent="0.3">
      <c r="A544" s="2">
        <v>43347</v>
      </c>
      <c r="B544" s="1">
        <v>57.09</v>
      </c>
      <c r="C544" s="1">
        <v>2039.51</v>
      </c>
      <c r="D544" s="22">
        <f t="shared" si="34"/>
        <v>1104.4369727995395</v>
      </c>
      <c r="E544" s="23">
        <f t="shared" si="35"/>
        <v>14.244988296370821</v>
      </c>
      <c r="F544" s="23">
        <f t="shared" si="36"/>
        <v>-14.244988296370821</v>
      </c>
    </row>
    <row r="545" spans="1:6" x14ac:dyDescent="0.3">
      <c r="A545" s="2">
        <v>43346</v>
      </c>
      <c r="B545" s="1">
        <v>56.907499999999999</v>
      </c>
      <c r="C545" s="1">
        <v>2012.71</v>
      </c>
      <c r="D545" s="22">
        <f t="shared" si="34"/>
        <v>1090.1919845031687</v>
      </c>
      <c r="E545" s="23">
        <f t="shared" si="35"/>
        <v>0</v>
      </c>
      <c r="F545" s="23">
        <f t="shared" si="36"/>
        <v>0</v>
      </c>
    </row>
    <row r="546" spans="1:6" x14ac:dyDescent="0.3">
      <c r="A546" s="2">
        <v>43343</v>
      </c>
      <c r="B546" s="1">
        <v>56.907499999999999</v>
      </c>
      <c r="C546" s="1">
        <v>2012.71</v>
      </c>
      <c r="D546" s="22">
        <f t="shared" si="34"/>
        <v>1090.1919845031687</v>
      </c>
      <c r="E546" s="23">
        <f t="shared" si="35"/>
        <v>5.7641123963132941</v>
      </c>
      <c r="F546" s="23">
        <f t="shared" si="36"/>
        <v>-5.7641123963132941</v>
      </c>
    </row>
    <row r="547" spans="1:6" x14ac:dyDescent="0.3">
      <c r="A547" s="2">
        <v>43342</v>
      </c>
      <c r="B547" s="1">
        <v>56.2575</v>
      </c>
      <c r="C547" s="1">
        <v>2002.38</v>
      </c>
      <c r="D547" s="22">
        <f t="shared" si="34"/>
        <v>1084.4278721068554</v>
      </c>
      <c r="E547" s="23">
        <f t="shared" si="35"/>
        <v>2.5029357906107634</v>
      </c>
      <c r="F547" s="23">
        <f t="shared" si="36"/>
        <v>-2.5029357906107634</v>
      </c>
    </row>
    <row r="548" spans="1:6" x14ac:dyDescent="0.3">
      <c r="A548" s="2">
        <v>43341</v>
      </c>
      <c r="B548" s="1">
        <v>55.744999999999997</v>
      </c>
      <c r="C548" s="1">
        <v>1998.1</v>
      </c>
      <c r="D548" s="22">
        <f t="shared" si="34"/>
        <v>1081.9249363162446</v>
      </c>
      <c r="E548" s="23">
        <f t="shared" si="35"/>
        <v>34.875339366359412</v>
      </c>
      <c r="F548" s="23">
        <f t="shared" si="36"/>
        <v>-34.875339366359412</v>
      </c>
    </row>
    <row r="549" spans="1:6" x14ac:dyDescent="0.3">
      <c r="A549" s="2">
        <v>43340</v>
      </c>
      <c r="B549" s="1">
        <v>54.924999999999997</v>
      </c>
      <c r="C549" s="1">
        <v>1932.82</v>
      </c>
      <c r="D549" s="22">
        <f t="shared" si="34"/>
        <v>1047.0495969498852</v>
      </c>
      <c r="E549" s="23">
        <f t="shared" si="35"/>
        <v>2.9230917626728115</v>
      </c>
      <c r="F549" s="23">
        <f t="shared" si="36"/>
        <v>-2.9230917626728115</v>
      </c>
    </row>
    <row r="550" spans="1:6" x14ac:dyDescent="0.3">
      <c r="A550" s="2">
        <v>43339</v>
      </c>
      <c r="B550" s="1">
        <v>54.484999999999999</v>
      </c>
      <c r="C550" s="1">
        <v>1927.68</v>
      </c>
      <c r="D550" s="22">
        <f t="shared" si="34"/>
        <v>1044.1265051872124</v>
      </c>
      <c r="E550" s="23">
        <f t="shared" si="35"/>
        <v>11.986093522465353</v>
      </c>
      <c r="F550" s="23">
        <f t="shared" si="36"/>
        <v>-11.986093522465353</v>
      </c>
    </row>
    <row r="551" spans="1:6" x14ac:dyDescent="0.3">
      <c r="A551" s="2">
        <v>43336</v>
      </c>
      <c r="B551" s="1">
        <v>54.04</v>
      </c>
      <c r="C551" s="1">
        <v>1905.39</v>
      </c>
      <c r="D551" s="22">
        <f t="shared" si="34"/>
        <v>1032.140411664747</v>
      </c>
      <c r="E551" s="23">
        <f t="shared" si="35"/>
        <v>1.3945171529378513</v>
      </c>
      <c r="F551" s="23">
        <f t="shared" si="36"/>
        <v>-1.3945171529378513</v>
      </c>
    </row>
    <row r="552" spans="1:6" x14ac:dyDescent="0.3">
      <c r="A552" s="2">
        <v>43335</v>
      </c>
      <c r="B552" s="1">
        <v>53.872500000000002</v>
      </c>
      <c r="C552" s="1">
        <v>1902.9</v>
      </c>
      <c r="D552" s="22">
        <f t="shared" si="34"/>
        <v>1030.7458945118092</v>
      </c>
      <c r="E552" s="23">
        <f t="shared" si="35"/>
        <v>-1.0047497062212187</v>
      </c>
      <c r="F552" s="23">
        <f t="shared" si="36"/>
        <v>1.0047497062212187</v>
      </c>
    </row>
    <row r="553" spans="1:6" x14ac:dyDescent="0.3">
      <c r="A553" s="2">
        <v>43334</v>
      </c>
      <c r="B553" s="1">
        <v>53.762500000000003</v>
      </c>
      <c r="C553" s="1">
        <v>1904.9</v>
      </c>
      <c r="D553" s="22">
        <f t="shared" si="34"/>
        <v>1031.7506442180304</v>
      </c>
      <c r="E553" s="23">
        <f t="shared" si="35"/>
        <v>11.349436879320365</v>
      </c>
      <c r="F553" s="23">
        <f t="shared" si="36"/>
        <v>-11.349436879320365</v>
      </c>
    </row>
    <row r="554" spans="1:6" x14ac:dyDescent="0.3">
      <c r="A554" s="2">
        <v>43333</v>
      </c>
      <c r="B554" s="1">
        <v>53.76</v>
      </c>
      <c r="C554" s="1">
        <v>1883.42</v>
      </c>
      <c r="D554" s="22">
        <f t="shared" si="34"/>
        <v>1020.40120733871</v>
      </c>
      <c r="E554" s="23">
        <f t="shared" si="35"/>
        <v>3.4954830558755248</v>
      </c>
      <c r="F554" s="23">
        <f t="shared" si="36"/>
        <v>-3.4954830558755248</v>
      </c>
    </row>
    <row r="555" spans="1:6" x14ac:dyDescent="0.3">
      <c r="A555" s="2">
        <v>43332</v>
      </c>
      <c r="B555" s="1">
        <v>53.865000000000002</v>
      </c>
      <c r="C555" s="1">
        <v>1876.71</v>
      </c>
      <c r="D555" s="22">
        <f t="shared" si="34"/>
        <v>1016.9057242828345</v>
      </c>
      <c r="E555" s="23">
        <f t="shared" si="35"/>
        <v>-3.1610206336406463</v>
      </c>
      <c r="F555" s="23">
        <f t="shared" si="36"/>
        <v>3.1610206336406463</v>
      </c>
    </row>
    <row r="556" spans="1:6" x14ac:dyDescent="0.3">
      <c r="A556" s="2">
        <v>43329</v>
      </c>
      <c r="B556" s="1">
        <v>54.395000000000003</v>
      </c>
      <c r="C556" s="1">
        <v>1882.22</v>
      </c>
      <c r="D556" s="22">
        <f t="shared" si="34"/>
        <v>1020.0667449164752</v>
      </c>
      <c r="E556" s="23">
        <f t="shared" si="35"/>
        <v>-1.7694228312211635</v>
      </c>
      <c r="F556" s="23">
        <f t="shared" si="36"/>
        <v>1.7694228312211635</v>
      </c>
    </row>
    <row r="557" spans="1:6" x14ac:dyDescent="0.3">
      <c r="A557" s="2">
        <v>43328</v>
      </c>
      <c r="B557" s="1">
        <v>53.33</v>
      </c>
      <c r="C557" s="1">
        <v>1886.52</v>
      </c>
      <c r="D557" s="22">
        <f t="shared" si="34"/>
        <v>1021.8361677476963</v>
      </c>
      <c r="E557" s="23">
        <f t="shared" si="35"/>
        <v>2.4236334504610113</v>
      </c>
      <c r="F557" s="23">
        <f t="shared" si="36"/>
        <v>-2.4236334504610113</v>
      </c>
    </row>
    <row r="558" spans="1:6" x14ac:dyDescent="0.3">
      <c r="A558" s="2">
        <v>43327</v>
      </c>
      <c r="B558" s="1">
        <v>52.56</v>
      </c>
      <c r="C558" s="1">
        <v>1882.62</v>
      </c>
      <c r="D558" s="22">
        <f t="shared" si="34"/>
        <v>1019.4125342972353</v>
      </c>
      <c r="E558" s="23">
        <f t="shared" si="35"/>
        <v>-19.505812066532485</v>
      </c>
      <c r="F558" s="23">
        <f t="shared" si="36"/>
        <v>19.505812066532485</v>
      </c>
    </row>
    <row r="559" spans="1:6" x14ac:dyDescent="0.3">
      <c r="A559" s="2">
        <v>43326</v>
      </c>
      <c r="B559" s="1">
        <v>52.4375</v>
      </c>
      <c r="C559" s="1">
        <v>1919.65</v>
      </c>
      <c r="D559" s="22">
        <f t="shared" si="34"/>
        <v>1038.9183463637678</v>
      </c>
      <c r="E559" s="23">
        <f t="shared" si="35"/>
        <v>12.492813116359684</v>
      </c>
      <c r="F559" s="23">
        <f t="shared" si="36"/>
        <v>-12.492813116359684</v>
      </c>
    </row>
    <row r="560" spans="1:6" x14ac:dyDescent="0.3">
      <c r="A560" s="2">
        <v>43325</v>
      </c>
      <c r="B560" s="1">
        <v>52.217500000000001</v>
      </c>
      <c r="C560" s="1">
        <v>1896.2</v>
      </c>
      <c r="D560" s="22">
        <f t="shared" si="34"/>
        <v>1026.4255332474081</v>
      </c>
      <c r="E560" s="23">
        <f t="shared" si="35"/>
        <v>5.388355895737277</v>
      </c>
      <c r="F560" s="23">
        <f t="shared" si="36"/>
        <v>-5.388355895737277</v>
      </c>
    </row>
    <row r="561" spans="1:6" x14ac:dyDescent="0.3">
      <c r="A561" s="2">
        <v>43322</v>
      </c>
      <c r="B561" s="1">
        <v>51.8825</v>
      </c>
      <c r="C561" s="1">
        <v>1886.3</v>
      </c>
      <c r="D561" s="22">
        <f t="shared" si="34"/>
        <v>1021.0371773516708</v>
      </c>
      <c r="E561" s="23">
        <f t="shared" si="35"/>
        <v>-6.615231461693611</v>
      </c>
      <c r="F561" s="23">
        <f t="shared" si="36"/>
        <v>6.615231461693611</v>
      </c>
    </row>
    <row r="562" spans="1:6" x14ac:dyDescent="0.3">
      <c r="A562" s="2">
        <v>43321</v>
      </c>
      <c r="B562" s="1">
        <v>52.22</v>
      </c>
      <c r="C562" s="1">
        <v>1898.52</v>
      </c>
      <c r="D562" s="22">
        <f t="shared" si="34"/>
        <v>1027.6524088133644</v>
      </c>
      <c r="E562" s="23">
        <f t="shared" si="35"/>
        <v>6.5320194167626369</v>
      </c>
      <c r="F562" s="23">
        <f t="shared" si="36"/>
        <v>-6.5320194167626369</v>
      </c>
    </row>
    <row r="563" spans="1:6" x14ac:dyDescent="0.3">
      <c r="A563" s="2">
        <v>43320</v>
      </c>
      <c r="B563" s="1">
        <v>51.8125</v>
      </c>
      <c r="C563" s="1">
        <v>1886.52</v>
      </c>
      <c r="D563" s="22">
        <f t="shared" si="34"/>
        <v>1021.1203893966018</v>
      </c>
      <c r="E563" s="23">
        <f t="shared" si="35"/>
        <v>12.717259098502268</v>
      </c>
      <c r="F563" s="23">
        <f t="shared" si="36"/>
        <v>-12.717259098502268</v>
      </c>
    </row>
    <row r="564" spans="1:6" x14ac:dyDescent="0.3">
      <c r="A564" s="2">
        <v>43319</v>
      </c>
      <c r="B564" s="1">
        <v>51.777500000000003</v>
      </c>
      <c r="C564" s="1">
        <v>1862.48</v>
      </c>
      <c r="D564" s="22">
        <f t="shared" si="34"/>
        <v>1008.4031302980995</v>
      </c>
      <c r="E564" s="23">
        <f t="shared" si="35"/>
        <v>7.5509907718894738</v>
      </c>
      <c r="F564" s="23">
        <f t="shared" si="36"/>
        <v>-7.5509907718894738</v>
      </c>
    </row>
    <row r="565" spans="1:6" x14ac:dyDescent="0.3">
      <c r="A565" s="2">
        <v>43318</v>
      </c>
      <c r="B565" s="1">
        <v>52.267499999999998</v>
      </c>
      <c r="C565" s="1">
        <v>1847.75</v>
      </c>
      <c r="D565" s="22">
        <f t="shared" si="34"/>
        <v>1000.8521395262101</v>
      </c>
      <c r="E565" s="23">
        <f t="shared" si="35"/>
        <v>13.049997816820337</v>
      </c>
      <c r="F565" s="23">
        <f t="shared" si="36"/>
        <v>-13.049997816820337</v>
      </c>
    </row>
    <row r="566" spans="1:6" x14ac:dyDescent="0.3">
      <c r="A566" s="2">
        <v>43315</v>
      </c>
      <c r="B566" s="1">
        <v>51.997500000000002</v>
      </c>
      <c r="C566" s="1">
        <v>1823.29</v>
      </c>
      <c r="D566" s="22">
        <f t="shared" si="34"/>
        <v>987.80214170938973</v>
      </c>
      <c r="E566" s="23">
        <f t="shared" si="35"/>
        <v>-5.7618716647466499</v>
      </c>
      <c r="F566" s="23">
        <f t="shared" si="36"/>
        <v>5.7618716647466499</v>
      </c>
    </row>
    <row r="567" spans="1:6" x14ac:dyDescent="0.3">
      <c r="A567" s="2">
        <v>43314</v>
      </c>
      <c r="B567" s="1">
        <v>51.847499999999997</v>
      </c>
      <c r="C567" s="1">
        <v>1834.33</v>
      </c>
      <c r="D567" s="22">
        <f t="shared" si="34"/>
        <v>993.56401337413638</v>
      </c>
      <c r="E567" s="23">
        <f t="shared" si="35"/>
        <v>20.326827080933185</v>
      </c>
      <c r="F567" s="23">
        <f t="shared" si="36"/>
        <v>-20.326827080933185</v>
      </c>
    </row>
    <row r="568" spans="1:6" x14ac:dyDescent="0.3">
      <c r="A568" s="2">
        <v>43313</v>
      </c>
      <c r="B568" s="1">
        <v>50.375</v>
      </c>
      <c r="C568" s="1">
        <v>1797.17</v>
      </c>
      <c r="D568" s="22">
        <f t="shared" si="34"/>
        <v>973.23718629320319</v>
      </c>
      <c r="E568" s="23">
        <f t="shared" si="35"/>
        <v>11.745592726094515</v>
      </c>
      <c r="F568" s="23">
        <f t="shared" si="36"/>
        <v>-11.745592726094515</v>
      </c>
    </row>
    <row r="569" spans="1:6" x14ac:dyDescent="0.3">
      <c r="A569" s="2">
        <v>43312</v>
      </c>
      <c r="B569" s="1">
        <v>47.572499999999998</v>
      </c>
      <c r="C569" s="1">
        <v>1777.44</v>
      </c>
      <c r="D569" s="22">
        <f t="shared" si="34"/>
        <v>961.49159356710868</v>
      </c>
      <c r="E569" s="23">
        <f t="shared" si="35"/>
        <v>-0.89559511808749903</v>
      </c>
      <c r="F569" s="23">
        <f t="shared" si="36"/>
        <v>0.89559511808749903</v>
      </c>
    </row>
    <row r="570" spans="1:6" x14ac:dyDescent="0.3">
      <c r="A570" s="2">
        <v>43311</v>
      </c>
      <c r="B570" s="1">
        <v>47.477499999999999</v>
      </c>
      <c r="C570" s="1">
        <v>1779.22</v>
      </c>
      <c r="D570" s="22">
        <f t="shared" si="34"/>
        <v>962.38718868519618</v>
      </c>
      <c r="E570" s="23">
        <f t="shared" si="35"/>
        <v>-20.228652026209716</v>
      </c>
      <c r="F570" s="23">
        <f t="shared" si="36"/>
        <v>20.228652026209716</v>
      </c>
    </row>
    <row r="571" spans="1:6" x14ac:dyDescent="0.3">
      <c r="A571" s="2">
        <v>43308</v>
      </c>
      <c r="B571" s="1">
        <v>47.744999999999997</v>
      </c>
      <c r="C571" s="1">
        <v>1817.27</v>
      </c>
      <c r="D571" s="22">
        <f t="shared" si="34"/>
        <v>982.61584071140589</v>
      </c>
      <c r="E571" s="23">
        <f t="shared" si="35"/>
        <v>4.5166185613479684</v>
      </c>
      <c r="F571" s="23">
        <f t="shared" si="36"/>
        <v>-4.5166185613479684</v>
      </c>
    </row>
    <row r="572" spans="1:6" x14ac:dyDescent="0.3">
      <c r="A572" s="2">
        <v>43307</v>
      </c>
      <c r="B572" s="1">
        <v>48.552500000000002</v>
      </c>
      <c r="C572" s="1">
        <v>1808</v>
      </c>
      <c r="D572" s="22">
        <f t="shared" si="34"/>
        <v>978.09922215005793</v>
      </c>
      <c r="E572" s="23">
        <f t="shared" si="35"/>
        <v>-29.451662006048309</v>
      </c>
      <c r="F572" s="23">
        <f t="shared" si="36"/>
        <v>29.451662006048309</v>
      </c>
    </row>
    <row r="573" spans="1:6" x14ac:dyDescent="0.3">
      <c r="A573" s="2">
        <v>43306</v>
      </c>
      <c r="B573" s="1">
        <v>48.704999999999998</v>
      </c>
      <c r="C573" s="1">
        <v>1863.61</v>
      </c>
      <c r="D573" s="22">
        <f t="shared" si="34"/>
        <v>1007.5508841561062</v>
      </c>
      <c r="E573" s="23">
        <f t="shared" si="35"/>
        <v>18.372884495967583</v>
      </c>
      <c r="F573" s="23">
        <f t="shared" si="36"/>
        <v>-18.372884495967583</v>
      </c>
    </row>
    <row r="574" spans="1:6" x14ac:dyDescent="0.3">
      <c r="A574" s="2">
        <v>43305</v>
      </c>
      <c r="B574" s="1">
        <v>48.25</v>
      </c>
      <c r="C574" s="1">
        <v>1829.24</v>
      </c>
      <c r="D574" s="22">
        <f t="shared" si="34"/>
        <v>989.17799966013865</v>
      </c>
      <c r="E574" s="23">
        <f t="shared" si="35"/>
        <v>14.555275580357147</v>
      </c>
      <c r="F574" s="23">
        <f t="shared" si="36"/>
        <v>-14.555275580357147</v>
      </c>
    </row>
    <row r="575" spans="1:6" x14ac:dyDescent="0.3">
      <c r="A575" s="2">
        <v>43304</v>
      </c>
      <c r="B575" s="1">
        <v>47.902500000000003</v>
      </c>
      <c r="C575" s="1">
        <v>1802</v>
      </c>
      <c r="D575" s="22">
        <f t="shared" si="34"/>
        <v>974.62272407978151</v>
      </c>
      <c r="E575" s="23">
        <f t="shared" si="35"/>
        <v>-6.1612670262096572</v>
      </c>
      <c r="F575" s="23">
        <f t="shared" si="36"/>
        <v>6.1612670262096572</v>
      </c>
    </row>
    <row r="576" spans="1:6" x14ac:dyDescent="0.3">
      <c r="A576" s="2">
        <v>43301</v>
      </c>
      <c r="B576" s="1">
        <v>47.86</v>
      </c>
      <c r="C576" s="1">
        <v>1813.7</v>
      </c>
      <c r="D576" s="22">
        <f t="shared" si="34"/>
        <v>980.78399110599116</v>
      </c>
      <c r="E576" s="23">
        <f t="shared" si="35"/>
        <v>0.33378661290316813</v>
      </c>
      <c r="F576" s="23">
        <f t="shared" si="36"/>
        <v>-0.33378661290316813</v>
      </c>
    </row>
    <row r="577" spans="1:6" x14ac:dyDescent="0.3">
      <c r="A577" s="2">
        <v>43300</v>
      </c>
      <c r="B577" s="1">
        <v>47.97</v>
      </c>
      <c r="C577" s="1">
        <v>1812.97</v>
      </c>
      <c r="D577" s="22">
        <f t="shared" si="34"/>
        <v>980.45020449308799</v>
      </c>
      <c r="E577" s="23">
        <f t="shared" si="35"/>
        <v>-15.648583456221218</v>
      </c>
      <c r="F577" s="23">
        <f t="shared" si="36"/>
        <v>15.648583456221218</v>
      </c>
    </row>
    <row r="578" spans="1:6" x14ac:dyDescent="0.3">
      <c r="A578" s="2">
        <v>43299</v>
      </c>
      <c r="B578" s="1">
        <v>47.6</v>
      </c>
      <c r="C578" s="1">
        <v>1842.92</v>
      </c>
      <c r="D578" s="22">
        <f t="shared" si="34"/>
        <v>996.09878794930921</v>
      </c>
      <c r="E578" s="23">
        <f t="shared" si="35"/>
        <v>-0.65741725374425641</v>
      </c>
      <c r="F578" s="23">
        <f t="shared" si="36"/>
        <v>0.65741725374425641</v>
      </c>
    </row>
    <row r="579" spans="1:6" x14ac:dyDescent="0.3">
      <c r="A579" s="2">
        <v>43298</v>
      </c>
      <c r="B579" s="1">
        <v>47.862499999999997</v>
      </c>
      <c r="C579" s="1">
        <v>1843.93</v>
      </c>
      <c r="D579" s="22">
        <f t="shared" si="34"/>
        <v>996.75620520305347</v>
      </c>
      <c r="E579" s="23">
        <f t="shared" si="35"/>
        <v>11.390802128456244</v>
      </c>
      <c r="F579" s="23">
        <f t="shared" si="36"/>
        <v>-11.390802128456244</v>
      </c>
    </row>
    <row r="580" spans="1:6" x14ac:dyDescent="0.3">
      <c r="A580" s="2">
        <v>43297</v>
      </c>
      <c r="B580" s="1">
        <v>47.727499999999999</v>
      </c>
      <c r="C580" s="1">
        <v>1822.49</v>
      </c>
      <c r="D580" s="22">
        <f t="shared" si="34"/>
        <v>985.36540307459722</v>
      </c>
      <c r="E580" s="23">
        <f t="shared" si="35"/>
        <v>4.9483558957374498</v>
      </c>
      <c r="F580" s="23">
        <f t="shared" si="36"/>
        <v>-4.9483558957374498</v>
      </c>
    </row>
    <row r="581" spans="1:6" x14ac:dyDescent="0.3">
      <c r="A581" s="2">
        <v>43294</v>
      </c>
      <c r="B581" s="1">
        <v>47.832500000000003</v>
      </c>
      <c r="C581" s="1">
        <v>1813.03</v>
      </c>
      <c r="D581" s="22">
        <f t="shared" si="34"/>
        <v>980.41704717885978</v>
      </c>
      <c r="E581" s="23">
        <f t="shared" si="35"/>
        <v>8.7050646687788458</v>
      </c>
      <c r="F581" s="23">
        <f t="shared" si="36"/>
        <v>-8.7050646687788458</v>
      </c>
    </row>
    <row r="582" spans="1:6" x14ac:dyDescent="0.3">
      <c r="A582" s="2">
        <v>43293</v>
      </c>
      <c r="B582" s="1">
        <v>47.7575</v>
      </c>
      <c r="C582" s="1">
        <v>1796.62</v>
      </c>
      <c r="D582" s="22">
        <f t="shared" ref="D582:D645" si="37">$M$16*B582+(1-$M$16)*C582</f>
        <v>971.71198251008093</v>
      </c>
      <c r="E582" s="23">
        <f t="shared" ref="E582:E645" si="38">D582-D583</f>
        <v>22.360020084965299</v>
      </c>
      <c r="F582" s="23">
        <f t="shared" ref="F582:F645" si="39">-E582</f>
        <v>-22.360020084965299</v>
      </c>
    </row>
    <row r="583" spans="1:6" x14ac:dyDescent="0.3">
      <c r="A583" s="2">
        <v>43292</v>
      </c>
      <c r="B583" s="1">
        <v>46.97</v>
      </c>
      <c r="C583" s="1">
        <v>1755</v>
      </c>
      <c r="D583" s="22">
        <f t="shared" si="37"/>
        <v>949.35196242511563</v>
      </c>
      <c r="E583" s="23">
        <f t="shared" si="38"/>
        <v>6.0115625302420312</v>
      </c>
      <c r="F583" s="23">
        <f t="shared" si="39"/>
        <v>-6.0115625302420312</v>
      </c>
    </row>
    <row r="584" spans="1:6" x14ac:dyDescent="0.3">
      <c r="A584" s="2">
        <v>43291</v>
      </c>
      <c r="B584" s="1">
        <v>47.587499999999999</v>
      </c>
      <c r="C584" s="1">
        <v>1743.07</v>
      </c>
      <c r="D584" s="22">
        <f t="shared" si="37"/>
        <v>943.3403998948736</v>
      </c>
      <c r="E584" s="23">
        <f t="shared" si="38"/>
        <v>2.1125637053571609</v>
      </c>
      <c r="F584" s="23">
        <f t="shared" si="39"/>
        <v>-2.1125637053571609</v>
      </c>
    </row>
    <row r="585" spans="1:6" x14ac:dyDescent="0.3">
      <c r="A585" s="2">
        <v>43290</v>
      </c>
      <c r="B585" s="1">
        <v>47.645000000000003</v>
      </c>
      <c r="C585" s="1">
        <v>1739.02</v>
      </c>
      <c r="D585" s="22">
        <f t="shared" si="37"/>
        <v>941.22783618951644</v>
      </c>
      <c r="E585" s="23">
        <f t="shared" si="38"/>
        <v>15.306703780241833</v>
      </c>
      <c r="F585" s="23">
        <f t="shared" si="39"/>
        <v>-15.306703780241833</v>
      </c>
    </row>
    <row r="586" spans="1:6" x14ac:dyDescent="0.3">
      <c r="A586" s="2">
        <v>43287</v>
      </c>
      <c r="B586" s="1">
        <v>46.9925</v>
      </c>
      <c r="C586" s="1">
        <v>1710.63</v>
      </c>
      <c r="D586" s="22">
        <f t="shared" si="37"/>
        <v>925.92113240927461</v>
      </c>
      <c r="E586" s="23">
        <f t="shared" si="38"/>
        <v>6.0617156926844018</v>
      </c>
      <c r="F586" s="23">
        <f t="shared" si="39"/>
        <v>-6.0617156926844018</v>
      </c>
    </row>
    <row r="587" spans="1:6" x14ac:dyDescent="0.3">
      <c r="A587" s="2">
        <v>43286</v>
      </c>
      <c r="B587" s="1">
        <v>46.35</v>
      </c>
      <c r="C587" s="1">
        <v>1699.73</v>
      </c>
      <c r="D587" s="22">
        <f t="shared" si="37"/>
        <v>919.8594167165902</v>
      </c>
      <c r="E587" s="23">
        <f t="shared" si="38"/>
        <v>3.2229139400920985</v>
      </c>
      <c r="F587" s="23">
        <f t="shared" si="39"/>
        <v>-3.2229139400920985</v>
      </c>
    </row>
    <row r="588" spans="1:6" x14ac:dyDescent="0.3">
      <c r="A588" s="2">
        <v>43285</v>
      </c>
      <c r="B588" s="1">
        <v>45.98</v>
      </c>
      <c r="C588" s="1">
        <v>1693.96</v>
      </c>
      <c r="D588" s="22">
        <f t="shared" si="37"/>
        <v>916.63650277649811</v>
      </c>
      <c r="E588" s="23">
        <f t="shared" si="38"/>
        <v>0</v>
      </c>
      <c r="F588" s="23">
        <f t="shared" si="39"/>
        <v>0</v>
      </c>
    </row>
    <row r="589" spans="1:6" x14ac:dyDescent="0.3">
      <c r="A589" s="2">
        <v>43284</v>
      </c>
      <c r="B589" s="1">
        <v>45.98</v>
      </c>
      <c r="C589" s="1">
        <v>1693.96</v>
      </c>
      <c r="D589" s="22">
        <f t="shared" si="37"/>
        <v>916.63650277649811</v>
      </c>
      <c r="E589" s="23">
        <f t="shared" si="38"/>
        <v>-10.855672116935352</v>
      </c>
      <c r="F589" s="23">
        <f t="shared" si="39"/>
        <v>10.855672116935352</v>
      </c>
    </row>
    <row r="590" spans="1:6" x14ac:dyDescent="0.3">
      <c r="A590" s="2">
        <v>43283</v>
      </c>
      <c r="B590" s="1">
        <v>46.795000000000002</v>
      </c>
      <c r="C590" s="1">
        <v>1713.78</v>
      </c>
      <c r="D590" s="22">
        <f t="shared" si="37"/>
        <v>927.49217489343346</v>
      </c>
      <c r="E590" s="23">
        <f t="shared" si="38"/>
        <v>7.6299729478685094</v>
      </c>
      <c r="F590" s="23">
        <f t="shared" si="39"/>
        <v>-7.6299729478685094</v>
      </c>
    </row>
    <row r="591" spans="1:6" x14ac:dyDescent="0.3">
      <c r="A591" s="2">
        <v>43280</v>
      </c>
      <c r="B591" s="1">
        <v>46.277500000000003</v>
      </c>
      <c r="C591" s="1">
        <v>1699.8</v>
      </c>
      <c r="D591" s="22">
        <f t="shared" si="37"/>
        <v>919.86220194556495</v>
      </c>
      <c r="E591" s="23">
        <f t="shared" si="38"/>
        <v>-0.91771275777648498</v>
      </c>
      <c r="F591" s="23">
        <f t="shared" si="39"/>
        <v>0.91771275777648498</v>
      </c>
    </row>
    <row r="592" spans="1:6" x14ac:dyDescent="0.3">
      <c r="A592" s="2">
        <v>43279</v>
      </c>
      <c r="B592" s="1">
        <v>46.375</v>
      </c>
      <c r="C592" s="1">
        <v>1701.45</v>
      </c>
      <c r="D592" s="22">
        <f t="shared" si="37"/>
        <v>920.77991470334143</v>
      </c>
      <c r="E592" s="23">
        <f t="shared" si="38"/>
        <v>21.787327877304165</v>
      </c>
      <c r="F592" s="23">
        <f t="shared" si="39"/>
        <v>-21.787327877304165</v>
      </c>
    </row>
    <row r="593" spans="1:6" x14ac:dyDescent="0.3">
      <c r="A593" s="2">
        <v>43278</v>
      </c>
      <c r="B593" s="1">
        <v>46.04</v>
      </c>
      <c r="C593" s="1">
        <v>1660.51</v>
      </c>
      <c r="D593" s="22">
        <f t="shared" si="37"/>
        <v>898.99258682603727</v>
      </c>
      <c r="E593" s="23">
        <f t="shared" si="38"/>
        <v>-16.187784555011376</v>
      </c>
      <c r="F593" s="23">
        <f t="shared" si="39"/>
        <v>16.187784555011376</v>
      </c>
    </row>
    <row r="594" spans="1:6" x14ac:dyDescent="0.3">
      <c r="A594" s="2">
        <v>43277</v>
      </c>
      <c r="B594" s="1">
        <v>46.107500000000002</v>
      </c>
      <c r="C594" s="1">
        <v>1691.09</v>
      </c>
      <c r="D594" s="22">
        <f t="shared" si="37"/>
        <v>915.18037138104864</v>
      </c>
      <c r="E594" s="23">
        <f t="shared" si="38"/>
        <v>15.027688724078189</v>
      </c>
      <c r="F594" s="23">
        <f t="shared" si="39"/>
        <v>-15.027688724078189</v>
      </c>
    </row>
    <row r="595" spans="1:6" x14ac:dyDescent="0.3">
      <c r="A595" s="2">
        <v>43276</v>
      </c>
      <c r="B595" s="1">
        <v>45.542499999999997</v>
      </c>
      <c r="C595" s="1">
        <v>1663.15</v>
      </c>
      <c r="D595" s="22">
        <f t="shared" si="37"/>
        <v>900.15268265697046</v>
      </c>
      <c r="E595" s="23">
        <f t="shared" si="38"/>
        <v>-28.071511444412408</v>
      </c>
      <c r="F595" s="23">
        <f t="shared" si="39"/>
        <v>28.071511444412408</v>
      </c>
    </row>
    <row r="596" spans="1:6" x14ac:dyDescent="0.3">
      <c r="A596" s="2">
        <v>43273</v>
      </c>
      <c r="B596" s="1">
        <v>46.23</v>
      </c>
      <c r="C596" s="1">
        <v>1715.67</v>
      </c>
      <c r="D596" s="22">
        <f t="shared" si="37"/>
        <v>928.22419410138286</v>
      </c>
      <c r="E596" s="23">
        <f t="shared" si="38"/>
        <v>-7.7506952678571679</v>
      </c>
      <c r="F596" s="23">
        <f t="shared" si="39"/>
        <v>7.7506952678571679</v>
      </c>
    </row>
    <row r="597" spans="1:6" x14ac:dyDescent="0.3">
      <c r="A597" s="2">
        <v>43272</v>
      </c>
      <c r="B597" s="1">
        <v>46.365000000000002</v>
      </c>
      <c r="C597" s="1">
        <v>1730.22</v>
      </c>
      <c r="D597" s="22">
        <f t="shared" si="37"/>
        <v>935.97488936924003</v>
      </c>
      <c r="E597" s="23">
        <f t="shared" si="38"/>
        <v>-10.615020967741884</v>
      </c>
      <c r="F597" s="23">
        <f t="shared" si="39"/>
        <v>10.615020967741884</v>
      </c>
    </row>
    <row r="598" spans="1:6" x14ac:dyDescent="0.3">
      <c r="A598" s="2">
        <v>43271</v>
      </c>
      <c r="B598" s="1">
        <v>46.625</v>
      </c>
      <c r="C598" s="1">
        <v>1750.08</v>
      </c>
      <c r="D598" s="22">
        <f t="shared" si="37"/>
        <v>946.58991033698192</v>
      </c>
      <c r="E598" s="23">
        <f t="shared" si="38"/>
        <v>8.1787718908410625</v>
      </c>
      <c r="F598" s="23">
        <f t="shared" si="39"/>
        <v>-8.1787718908410625</v>
      </c>
    </row>
    <row r="599" spans="1:6" x14ac:dyDescent="0.3">
      <c r="A599" s="2">
        <v>43270</v>
      </c>
      <c r="B599" s="1">
        <v>46.422499999999999</v>
      </c>
      <c r="C599" s="1">
        <v>1734.78</v>
      </c>
      <c r="D599" s="22">
        <f t="shared" si="37"/>
        <v>938.41113844614085</v>
      </c>
      <c r="E599" s="23">
        <f t="shared" si="38"/>
        <v>5.446550200172851</v>
      </c>
      <c r="F599" s="23">
        <f t="shared" si="39"/>
        <v>-5.446550200172851</v>
      </c>
    </row>
    <row r="600" spans="1:6" x14ac:dyDescent="0.3">
      <c r="A600" s="2">
        <v>43269</v>
      </c>
      <c r="B600" s="1">
        <v>47.185000000000002</v>
      </c>
      <c r="C600" s="1">
        <v>1723.79</v>
      </c>
      <c r="D600" s="22">
        <f t="shared" si="37"/>
        <v>932.964588245968</v>
      </c>
      <c r="E600" s="23">
        <f t="shared" si="38"/>
        <v>4.1196499740782428</v>
      </c>
      <c r="F600" s="23">
        <f t="shared" si="39"/>
        <v>-4.1196499740782428</v>
      </c>
    </row>
    <row r="601" spans="1:6" x14ac:dyDescent="0.3">
      <c r="A601" s="2">
        <v>43266</v>
      </c>
      <c r="B601" s="1">
        <v>47.21</v>
      </c>
      <c r="C601" s="1">
        <v>1715.97</v>
      </c>
      <c r="D601" s="22">
        <f t="shared" si="37"/>
        <v>928.84493827188976</v>
      </c>
      <c r="E601" s="23">
        <f t="shared" si="38"/>
        <v>-4.3995487327189267</v>
      </c>
      <c r="F601" s="23">
        <f t="shared" si="39"/>
        <v>4.3995487327189267</v>
      </c>
    </row>
    <row r="602" spans="1:6" x14ac:dyDescent="0.3">
      <c r="A602" s="2">
        <v>43265</v>
      </c>
      <c r="B602" s="1">
        <v>47.7</v>
      </c>
      <c r="C602" s="1">
        <v>1723.86</v>
      </c>
      <c r="D602" s="22">
        <f t="shared" si="37"/>
        <v>933.24448700460869</v>
      </c>
      <c r="E602" s="23">
        <f t="shared" si="38"/>
        <v>10.04982259504618</v>
      </c>
      <c r="F602" s="23">
        <f t="shared" si="39"/>
        <v>-10.04982259504618</v>
      </c>
    </row>
    <row r="603" spans="1:6" x14ac:dyDescent="0.3">
      <c r="A603" s="2">
        <v>43264</v>
      </c>
      <c r="B603" s="1">
        <v>47.674999999999997</v>
      </c>
      <c r="C603" s="1">
        <v>1704.86</v>
      </c>
      <c r="D603" s="22">
        <f t="shared" si="37"/>
        <v>923.19466440956251</v>
      </c>
      <c r="E603" s="23">
        <f t="shared" si="38"/>
        <v>3.0417046630183222</v>
      </c>
      <c r="F603" s="23">
        <f t="shared" si="39"/>
        <v>-3.0417046630183222</v>
      </c>
    </row>
    <row r="604" spans="1:6" x14ac:dyDescent="0.3">
      <c r="A604" s="2">
        <v>43263</v>
      </c>
      <c r="B604" s="1">
        <v>48.07</v>
      </c>
      <c r="C604" s="1">
        <v>1698.75</v>
      </c>
      <c r="D604" s="22">
        <f t="shared" si="37"/>
        <v>920.15295974654418</v>
      </c>
      <c r="E604" s="23">
        <f t="shared" si="38"/>
        <v>5.2115132099655739</v>
      </c>
      <c r="F604" s="23">
        <f t="shared" si="39"/>
        <v>-5.2115132099655739</v>
      </c>
    </row>
    <row r="605" spans="1:6" x14ac:dyDescent="0.3">
      <c r="A605" s="2">
        <v>43262</v>
      </c>
      <c r="B605" s="1">
        <v>47.807499999999997</v>
      </c>
      <c r="C605" s="1">
        <v>1689.12</v>
      </c>
      <c r="D605" s="22">
        <f t="shared" si="37"/>
        <v>914.94144653657861</v>
      </c>
      <c r="E605" s="23">
        <f t="shared" si="38"/>
        <v>2.6548455371543014</v>
      </c>
      <c r="F605" s="23">
        <f t="shared" si="39"/>
        <v>-2.6548455371543014</v>
      </c>
    </row>
    <row r="606" spans="1:6" x14ac:dyDescent="0.3">
      <c r="A606" s="2">
        <v>43259</v>
      </c>
      <c r="B606" s="1">
        <v>47.924999999999997</v>
      </c>
      <c r="C606" s="1">
        <v>1683.99</v>
      </c>
      <c r="D606" s="22">
        <f t="shared" si="37"/>
        <v>912.28660099942431</v>
      </c>
      <c r="E606" s="23">
        <f t="shared" si="38"/>
        <v>-3.012905720046092</v>
      </c>
      <c r="F606" s="23">
        <f t="shared" si="39"/>
        <v>3.012905720046092</v>
      </c>
    </row>
    <row r="607" spans="1:6" x14ac:dyDescent="0.3">
      <c r="A607" s="2">
        <v>43258</v>
      </c>
      <c r="B607" s="1">
        <v>48.365000000000002</v>
      </c>
      <c r="C607" s="1">
        <v>1689.3</v>
      </c>
      <c r="D607" s="22">
        <f t="shared" si="37"/>
        <v>915.2995067194704</v>
      </c>
      <c r="E607" s="23">
        <f t="shared" si="38"/>
        <v>-3.4689659447004715</v>
      </c>
      <c r="F607" s="23">
        <f t="shared" si="39"/>
        <v>3.4689659447004715</v>
      </c>
    </row>
    <row r="608" spans="1:6" x14ac:dyDescent="0.3">
      <c r="A608" s="2">
        <v>43257</v>
      </c>
      <c r="B608" s="1">
        <v>48.494999999999997</v>
      </c>
      <c r="C608" s="1">
        <v>1695.75</v>
      </c>
      <c r="D608" s="22">
        <f t="shared" si="37"/>
        <v>918.76847266417087</v>
      </c>
      <c r="E608" s="23">
        <f t="shared" si="38"/>
        <v>-0.23798360167052124</v>
      </c>
      <c r="F608" s="23">
        <f t="shared" si="39"/>
        <v>0.23798360167052124</v>
      </c>
    </row>
    <row r="609" spans="1:6" x14ac:dyDescent="0.3">
      <c r="A609" s="2">
        <v>43256</v>
      </c>
      <c r="B609" s="1">
        <v>48.327500000000001</v>
      </c>
      <c r="C609" s="1">
        <v>1696.35</v>
      </c>
      <c r="D609" s="22">
        <f t="shared" si="37"/>
        <v>919.00645626584139</v>
      </c>
      <c r="E609" s="23">
        <f t="shared" si="38"/>
        <v>16.594627240783439</v>
      </c>
      <c r="F609" s="23">
        <f t="shared" si="39"/>
        <v>-16.594627240783439</v>
      </c>
    </row>
    <row r="610" spans="1:6" x14ac:dyDescent="0.3">
      <c r="A610" s="2">
        <v>43255</v>
      </c>
      <c r="B610" s="1">
        <v>47.957500000000003</v>
      </c>
      <c r="C610" s="1">
        <v>1665.27</v>
      </c>
      <c r="D610" s="22">
        <f t="shared" si="37"/>
        <v>902.41182902505795</v>
      </c>
      <c r="E610" s="23">
        <f t="shared" si="38"/>
        <v>12.724465649481544</v>
      </c>
      <c r="F610" s="23">
        <f t="shared" si="39"/>
        <v>-12.724465649481544</v>
      </c>
    </row>
    <row r="611" spans="1:6" x14ac:dyDescent="0.3">
      <c r="A611" s="2">
        <v>43252</v>
      </c>
      <c r="B611" s="1">
        <v>47.56</v>
      </c>
      <c r="C611" s="1">
        <v>1641.54</v>
      </c>
      <c r="D611" s="22">
        <f t="shared" si="37"/>
        <v>889.68736337557641</v>
      </c>
      <c r="E611" s="23">
        <f t="shared" si="38"/>
        <v>6.6949359576614142</v>
      </c>
      <c r="F611" s="23">
        <f t="shared" si="39"/>
        <v>-6.6949359576614142</v>
      </c>
    </row>
    <row r="612" spans="1:6" x14ac:dyDescent="0.3">
      <c r="A612" s="2">
        <v>43251</v>
      </c>
      <c r="B612" s="1">
        <v>46.717500000000001</v>
      </c>
      <c r="C612" s="1">
        <v>1629.62</v>
      </c>
      <c r="D612" s="22">
        <f t="shared" si="37"/>
        <v>882.992427417915</v>
      </c>
      <c r="E612" s="23">
        <f t="shared" si="38"/>
        <v>2.4246512744814481</v>
      </c>
      <c r="F612" s="23">
        <f t="shared" si="39"/>
        <v>-2.4246512744814481</v>
      </c>
    </row>
    <row r="613" spans="1:6" x14ac:dyDescent="0.3">
      <c r="A613" s="2">
        <v>43250</v>
      </c>
      <c r="B613" s="1">
        <v>46.875</v>
      </c>
      <c r="C613" s="1">
        <v>1624.89</v>
      </c>
      <c r="D613" s="22">
        <f t="shared" si="37"/>
        <v>880.56777614343355</v>
      </c>
      <c r="E613" s="23">
        <f t="shared" si="38"/>
        <v>6.3032068433179802</v>
      </c>
      <c r="F613" s="23">
        <f t="shared" si="39"/>
        <v>-6.3032068433179802</v>
      </c>
    </row>
    <row r="614" spans="1:6" x14ac:dyDescent="0.3">
      <c r="A614" s="2">
        <v>43249</v>
      </c>
      <c r="B614" s="1">
        <v>46.975000000000001</v>
      </c>
      <c r="C614" s="1">
        <v>1612.87</v>
      </c>
      <c r="D614" s="22">
        <f t="shared" si="37"/>
        <v>874.26456930011557</v>
      </c>
      <c r="E614" s="23">
        <f t="shared" si="38"/>
        <v>1.3568372753455833</v>
      </c>
      <c r="F614" s="23">
        <f t="shared" si="39"/>
        <v>-1.3568372753455833</v>
      </c>
    </row>
    <row r="615" spans="1:6" x14ac:dyDescent="0.3">
      <c r="A615" s="2">
        <v>43248</v>
      </c>
      <c r="B615" s="1">
        <v>47.145000000000003</v>
      </c>
      <c r="C615" s="1">
        <v>1610.15</v>
      </c>
      <c r="D615" s="22">
        <f t="shared" si="37"/>
        <v>872.90773202476998</v>
      </c>
      <c r="E615" s="23">
        <f t="shared" si="38"/>
        <v>0</v>
      </c>
      <c r="F615" s="23">
        <f t="shared" si="39"/>
        <v>0</v>
      </c>
    </row>
    <row r="616" spans="1:6" x14ac:dyDescent="0.3">
      <c r="A616" s="2">
        <v>43245</v>
      </c>
      <c r="B616" s="1">
        <v>47.145000000000003</v>
      </c>
      <c r="C616" s="1">
        <v>1610.15</v>
      </c>
      <c r="D616" s="22">
        <f t="shared" si="37"/>
        <v>872.90773202476998</v>
      </c>
      <c r="E616" s="23">
        <f t="shared" si="38"/>
        <v>3.791193045795012</v>
      </c>
      <c r="F616" s="23">
        <f t="shared" si="39"/>
        <v>-3.791193045795012</v>
      </c>
    </row>
    <row r="617" spans="1:6" x14ac:dyDescent="0.3">
      <c r="A617" s="2">
        <v>43244</v>
      </c>
      <c r="B617" s="1">
        <v>47.037500000000001</v>
      </c>
      <c r="C617" s="1">
        <v>1603.07</v>
      </c>
      <c r="D617" s="22">
        <f t="shared" si="37"/>
        <v>869.11653897897497</v>
      </c>
      <c r="E617" s="23">
        <f t="shared" si="38"/>
        <v>0.61450071284559726</v>
      </c>
      <c r="F617" s="23">
        <f t="shared" si="39"/>
        <v>-0.61450071284559726</v>
      </c>
    </row>
    <row r="618" spans="1:6" x14ac:dyDescent="0.3">
      <c r="A618" s="2">
        <v>43243</v>
      </c>
      <c r="B618" s="1">
        <v>47.09</v>
      </c>
      <c r="C618" s="1">
        <v>1601.86</v>
      </c>
      <c r="D618" s="22">
        <f t="shared" si="37"/>
        <v>868.50203826612938</v>
      </c>
      <c r="E618" s="23">
        <f t="shared" si="38"/>
        <v>10.950878709677454</v>
      </c>
      <c r="F618" s="23">
        <f t="shared" si="39"/>
        <v>-10.950878709677454</v>
      </c>
    </row>
    <row r="619" spans="1:6" x14ac:dyDescent="0.3">
      <c r="A619" s="2">
        <v>43242</v>
      </c>
      <c r="B619" s="1">
        <v>46.79</v>
      </c>
      <c r="C619" s="1">
        <v>1581.4</v>
      </c>
      <c r="D619" s="22">
        <f t="shared" si="37"/>
        <v>857.55115955645192</v>
      </c>
      <c r="E619" s="23">
        <f t="shared" si="38"/>
        <v>-2.2003913349655022</v>
      </c>
      <c r="F619" s="23">
        <f t="shared" si="39"/>
        <v>2.2003913349655022</v>
      </c>
    </row>
    <row r="620" spans="1:6" x14ac:dyDescent="0.3">
      <c r="A620" s="2">
        <v>43241</v>
      </c>
      <c r="B620" s="1">
        <v>46.907499999999999</v>
      </c>
      <c r="C620" s="1">
        <v>1585.46</v>
      </c>
      <c r="D620" s="22">
        <f t="shared" si="37"/>
        <v>859.75155089141742</v>
      </c>
      <c r="E620" s="23">
        <f t="shared" si="38"/>
        <v>6.014695184331913</v>
      </c>
      <c r="F620" s="23">
        <f t="shared" si="39"/>
        <v>-6.014695184331913</v>
      </c>
    </row>
    <row r="621" spans="1:6" x14ac:dyDescent="0.3">
      <c r="A621" s="2">
        <v>43238</v>
      </c>
      <c r="B621" s="1">
        <v>46.577500000000001</v>
      </c>
      <c r="C621" s="1">
        <v>1574.37</v>
      </c>
      <c r="D621" s="22">
        <f t="shared" si="37"/>
        <v>853.73685570708551</v>
      </c>
      <c r="E621" s="23">
        <f t="shared" si="38"/>
        <v>-3.9844516013826023</v>
      </c>
      <c r="F621" s="23">
        <f t="shared" si="39"/>
        <v>3.9844516013826023</v>
      </c>
    </row>
    <row r="622" spans="1:6" x14ac:dyDescent="0.3">
      <c r="A622" s="2">
        <v>43237</v>
      </c>
      <c r="B622" s="1">
        <v>46.747500000000002</v>
      </c>
      <c r="C622" s="1">
        <v>1581.76</v>
      </c>
      <c r="D622" s="22">
        <f t="shared" si="37"/>
        <v>857.72130730846811</v>
      </c>
      <c r="E622" s="23">
        <f t="shared" si="38"/>
        <v>-3.0566376022466102</v>
      </c>
      <c r="F622" s="23">
        <f t="shared" si="39"/>
        <v>3.0566376022466102</v>
      </c>
    </row>
    <row r="623" spans="1:6" x14ac:dyDescent="0.3">
      <c r="A623" s="2">
        <v>43236</v>
      </c>
      <c r="B623" s="1">
        <v>47.045000000000002</v>
      </c>
      <c r="C623" s="1">
        <v>1587.28</v>
      </c>
      <c r="D623" s="22">
        <f t="shared" si="37"/>
        <v>860.77794491071472</v>
      </c>
      <c r="E623" s="23">
        <f t="shared" si="38"/>
        <v>6.1012040754609416</v>
      </c>
      <c r="F623" s="23">
        <f t="shared" si="39"/>
        <v>-6.1012040754609416</v>
      </c>
    </row>
    <row r="624" spans="1:6" x14ac:dyDescent="0.3">
      <c r="A624" s="2">
        <v>43235</v>
      </c>
      <c r="B624" s="1">
        <v>46.61</v>
      </c>
      <c r="C624" s="1">
        <v>1576.12</v>
      </c>
      <c r="D624" s="22">
        <f t="shared" si="37"/>
        <v>854.67674083525378</v>
      </c>
      <c r="E624" s="23">
        <f t="shared" si="38"/>
        <v>-13.63147252736178</v>
      </c>
      <c r="F624" s="23">
        <f t="shared" si="39"/>
        <v>13.63147252736178</v>
      </c>
    </row>
    <row r="625" spans="1:6" x14ac:dyDescent="0.3">
      <c r="A625" s="2">
        <v>43234</v>
      </c>
      <c r="B625" s="1">
        <v>47.037500000000001</v>
      </c>
      <c r="C625" s="1">
        <v>1601.54</v>
      </c>
      <c r="D625" s="22">
        <f t="shared" si="37"/>
        <v>868.30821336261556</v>
      </c>
      <c r="E625" s="23">
        <f t="shared" si="38"/>
        <v>-0.77567991935484315</v>
      </c>
      <c r="F625" s="23">
        <f t="shared" si="39"/>
        <v>0.77567991935484315</v>
      </c>
    </row>
    <row r="626" spans="1:6" x14ac:dyDescent="0.3">
      <c r="A626" s="2">
        <v>43231</v>
      </c>
      <c r="B626" s="1">
        <v>47.147500000000001</v>
      </c>
      <c r="C626" s="1">
        <v>1602.91</v>
      </c>
      <c r="D626" s="22">
        <f t="shared" si="37"/>
        <v>869.0838932819704</v>
      </c>
      <c r="E626" s="23">
        <f t="shared" si="38"/>
        <v>-3.4307032790896983</v>
      </c>
      <c r="F626" s="23">
        <f t="shared" si="39"/>
        <v>3.4307032790896983</v>
      </c>
    </row>
    <row r="627" spans="1:6" x14ac:dyDescent="0.3">
      <c r="A627" s="2">
        <v>43230</v>
      </c>
      <c r="B627" s="1">
        <v>47.51</v>
      </c>
      <c r="C627" s="1">
        <v>1609.08</v>
      </c>
      <c r="D627" s="22">
        <f t="shared" si="37"/>
        <v>872.5145965610601</v>
      </c>
      <c r="E627" s="23">
        <f t="shared" si="38"/>
        <v>0.88661013248827203</v>
      </c>
      <c r="F627" s="23">
        <f t="shared" si="39"/>
        <v>-0.88661013248827203</v>
      </c>
    </row>
    <row r="628" spans="1:6" x14ac:dyDescent="0.3">
      <c r="A628" s="2">
        <v>43229</v>
      </c>
      <c r="B628" s="1">
        <v>46.84</v>
      </c>
      <c r="C628" s="1">
        <v>1608</v>
      </c>
      <c r="D628" s="22">
        <f t="shared" si="37"/>
        <v>871.62798642857183</v>
      </c>
      <c r="E628" s="23">
        <f t="shared" si="38"/>
        <v>8.4015106091590042</v>
      </c>
      <c r="F628" s="23">
        <f t="shared" si="39"/>
        <v>-8.4015106091590042</v>
      </c>
    </row>
    <row r="629" spans="1:6" x14ac:dyDescent="0.3">
      <c r="A629" s="2">
        <v>43228</v>
      </c>
      <c r="B629" s="1">
        <v>46.512500000000003</v>
      </c>
      <c r="C629" s="1">
        <v>1592.39</v>
      </c>
      <c r="D629" s="22">
        <f t="shared" si="37"/>
        <v>863.22647581941283</v>
      </c>
      <c r="E629" s="23">
        <f t="shared" si="38"/>
        <v>-3.9895104421083261</v>
      </c>
      <c r="F629" s="23">
        <f t="shared" si="39"/>
        <v>3.9895104421083261</v>
      </c>
    </row>
    <row r="630" spans="1:6" x14ac:dyDescent="0.3">
      <c r="A630" s="2">
        <v>43227</v>
      </c>
      <c r="B630" s="1">
        <v>46.29</v>
      </c>
      <c r="C630" s="1">
        <v>1600.14</v>
      </c>
      <c r="D630" s="22">
        <f t="shared" si="37"/>
        <v>867.21598626152115</v>
      </c>
      <c r="E630" s="23">
        <f t="shared" si="38"/>
        <v>10.295245300979332</v>
      </c>
      <c r="F630" s="23">
        <f t="shared" si="39"/>
        <v>-10.295245300979332</v>
      </c>
    </row>
    <row r="631" spans="1:6" x14ac:dyDescent="0.3">
      <c r="A631" s="2">
        <v>43224</v>
      </c>
      <c r="B631" s="1">
        <v>45.957500000000003</v>
      </c>
      <c r="C631" s="1">
        <v>1580.95</v>
      </c>
      <c r="D631" s="22">
        <f t="shared" si="37"/>
        <v>856.92074096054182</v>
      </c>
      <c r="E631" s="23">
        <f t="shared" si="38"/>
        <v>5.507186209677343</v>
      </c>
      <c r="F631" s="23">
        <f t="shared" si="39"/>
        <v>-5.507186209677343</v>
      </c>
    </row>
    <row r="632" spans="1:6" x14ac:dyDescent="0.3">
      <c r="A632" s="2">
        <v>43223</v>
      </c>
      <c r="B632" s="1">
        <v>44.222499999999997</v>
      </c>
      <c r="C632" s="1">
        <v>1572.075</v>
      </c>
      <c r="D632" s="22">
        <f t="shared" si="37"/>
        <v>851.41355475086448</v>
      </c>
      <c r="E632" s="23">
        <f t="shared" si="38"/>
        <v>1.3030547724654298</v>
      </c>
      <c r="F632" s="23">
        <f t="shared" si="39"/>
        <v>-1.3030547724654298</v>
      </c>
    </row>
    <row r="633" spans="1:6" x14ac:dyDescent="0.3">
      <c r="A633" s="2">
        <v>43222</v>
      </c>
      <c r="B633" s="1">
        <v>44.142499999999998</v>
      </c>
      <c r="C633" s="1">
        <v>1569.68</v>
      </c>
      <c r="D633" s="22">
        <f t="shared" si="37"/>
        <v>850.11049997839905</v>
      </c>
      <c r="E633" s="23">
        <f t="shared" si="38"/>
        <v>-5.7653655832372124</v>
      </c>
      <c r="F633" s="23">
        <f t="shared" si="39"/>
        <v>5.7653655832372124</v>
      </c>
    </row>
    <row r="634" spans="1:6" x14ac:dyDescent="0.3">
      <c r="A634" s="2">
        <v>43221</v>
      </c>
      <c r="B634" s="1">
        <v>42.274999999999999</v>
      </c>
      <c r="C634" s="1">
        <v>1582.26</v>
      </c>
      <c r="D634" s="22">
        <f t="shared" si="37"/>
        <v>855.87586556163626</v>
      </c>
      <c r="E634" s="23">
        <f t="shared" si="38"/>
        <v>8.9745749020736412</v>
      </c>
      <c r="F634" s="23">
        <f t="shared" si="39"/>
        <v>-8.9745749020736412</v>
      </c>
    </row>
    <row r="635" spans="1:6" x14ac:dyDescent="0.3">
      <c r="A635" s="2">
        <v>43220</v>
      </c>
      <c r="B635" s="1">
        <v>41.314999999999998</v>
      </c>
      <c r="C635" s="1">
        <v>1566.13</v>
      </c>
      <c r="D635" s="22">
        <f t="shared" si="37"/>
        <v>846.90129065956262</v>
      </c>
      <c r="E635" s="23">
        <f t="shared" si="38"/>
        <v>-3.082093188363956</v>
      </c>
      <c r="F635" s="23">
        <f t="shared" si="39"/>
        <v>3.082093188363956</v>
      </c>
    </row>
    <row r="636" spans="1:6" x14ac:dyDescent="0.3">
      <c r="A636" s="2">
        <v>43217</v>
      </c>
      <c r="B636" s="1">
        <v>40.58</v>
      </c>
      <c r="C636" s="1">
        <v>1572.62</v>
      </c>
      <c r="D636" s="22">
        <f t="shared" si="37"/>
        <v>849.98338384792658</v>
      </c>
      <c r="E636" s="23">
        <f t="shared" si="38"/>
        <v>28.653779645737245</v>
      </c>
      <c r="F636" s="23">
        <f t="shared" si="39"/>
        <v>-28.653779645737245</v>
      </c>
    </row>
    <row r="637" spans="1:6" x14ac:dyDescent="0.3">
      <c r="A637" s="2">
        <v>43216</v>
      </c>
      <c r="B637" s="1">
        <v>41.055</v>
      </c>
      <c r="C637" s="1">
        <v>1517.96</v>
      </c>
      <c r="D637" s="22">
        <f t="shared" si="37"/>
        <v>821.32960420218933</v>
      </c>
      <c r="E637" s="23">
        <f t="shared" si="38"/>
        <v>30.598677103974751</v>
      </c>
      <c r="F637" s="23">
        <f t="shared" si="39"/>
        <v>-30.598677103974751</v>
      </c>
    </row>
    <row r="638" spans="1:6" x14ac:dyDescent="0.3">
      <c r="A638" s="2">
        <v>43215</v>
      </c>
      <c r="B638" s="1">
        <v>40.912500000000001</v>
      </c>
      <c r="C638" s="1">
        <v>1460.17</v>
      </c>
      <c r="D638" s="22">
        <f t="shared" si="37"/>
        <v>790.73092709821458</v>
      </c>
      <c r="E638" s="23">
        <f t="shared" si="38"/>
        <v>0.12598905385948456</v>
      </c>
      <c r="F638" s="23">
        <f t="shared" si="39"/>
        <v>-0.12598905385948456</v>
      </c>
    </row>
    <row r="639" spans="1:6" x14ac:dyDescent="0.3">
      <c r="A639" s="2">
        <v>43214</v>
      </c>
      <c r="B639" s="1">
        <v>40.734999999999999</v>
      </c>
      <c r="C639" s="1">
        <v>1460.09</v>
      </c>
      <c r="D639" s="22">
        <f t="shared" si="37"/>
        <v>790.60493804435509</v>
      </c>
      <c r="E639" s="23">
        <f t="shared" si="38"/>
        <v>-30.792113482142895</v>
      </c>
      <c r="F639" s="23">
        <f t="shared" si="39"/>
        <v>30.792113482142895</v>
      </c>
    </row>
    <row r="640" spans="1:6" x14ac:dyDescent="0.3">
      <c r="A640" s="2">
        <v>43213</v>
      </c>
      <c r="B640" s="1">
        <v>41.31</v>
      </c>
      <c r="C640" s="1">
        <v>1517.86</v>
      </c>
      <c r="D640" s="22">
        <f t="shared" si="37"/>
        <v>821.39705152649799</v>
      </c>
      <c r="E640" s="23">
        <f t="shared" si="38"/>
        <v>-5.1442984389401545</v>
      </c>
      <c r="F640" s="23">
        <f t="shared" si="39"/>
        <v>5.1442984389401545</v>
      </c>
    </row>
    <row r="641" spans="1:6" x14ac:dyDescent="0.3">
      <c r="A641" s="2">
        <v>43210</v>
      </c>
      <c r="B641" s="1">
        <v>41.43</v>
      </c>
      <c r="C641" s="1">
        <v>1527.49</v>
      </c>
      <c r="D641" s="22">
        <f t="shared" si="37"/>
        <v>826.54134996543814</v>
      </c>
      <c r="E641" s="23">
        <f t="shared" si="38"/>
        <v>-16.377976008064593</v>
      </c>
      <c r="F641" s="23">
        <f t="shared" si="39"/>
        <v>16.377976008064593</v>
      </c>
    </row>
    <row r="642" spans="1:6" x14ac:dyDescent="0.3">
      <c r="A642" s="2">
        <v>43209</v>
      </c>
      <c r="B642" s="1">
        <v>43.2</v>
      </c>
      <c r="C642" s="1">
        <v>1556.91</v>
      </c>
      <c r="D642" s="22">
        <f t="shared" si="37"/>
        <v>842.91932597350274</v>
      </c>
      <c r="E642" s="23">
        <f t="shared" si="38"/>
        <v>14.763866630184566</v>
      </c>
      <c r="F642" s="23">
        <f t="shared" si="39"/>
        <v>-14.763866630184566</v>
      </c>
    </row>
    <row r="643" spans="1:6" x14ac:dyDescent="0.3">
      <c r="A643" s="2">
        <v>43208</v>
      </c>
      <c r="B643" s="1">
        <v>44.46</v>
      </c>
      <c r="C643" s="1">
        <v>1527.84</v>
      </c>
      <c r="D643" s="22">
        <f t="shared" si="37"/>
        <v>828.15545934331817</v>
      </c>
      <c r="E643" s="23">
        <f t="shared" si="38"/>
        <v>12.637732425115132</v>
      </c>
      <c r="F643" s="23">
        <f t="shared" si="39"/>
        <v>-12.637732425115132</v>
      </c>
    </row>
    <row r="644" spans="1:6" x14ac:dyDescent="0.3">
      <c r="A644" s="2">
        <v>43207</v>
      </c>
      <c r="B644" s="1">
        <v>44.56</v>
      </c>
      <c r="C644" s="1">
        <v>1503.83</v>
      </c>
      <c r="D644" s="22">
        <f t="shared" si="37"/>
        <v>815.51772691820304</v>
      </c>
      <c r="E644" s="23">
        <f t="shared" si="38"/>
        <v>33.215391287442344</v>
      </c>
      <c r="F644" s="23">
        <f t="shared" si="39"/>
        <v>-33.215391287442344</v>
      </c>
    </row>
    <row r="645" spans="1:6" x14ac:dyDescent="0.3">
      <c r="A645" s="2">
        <v>43206</v>
      </c>
      <c r="B645" s="1">
        <v>43.954999999999998</v>
      </c>
      <c r="C645" s="1">
        <v>1441.5</v>
      </c>
      <c r="D645" s="22">
        <f t="shared" si="37"/>
        <v>782.30233563076069</v>
      </c>
      <c r="E645" s="23">
        <f t="shared" si="38"/>
        <v>5.7868128240207852</v>
      </c>
      <c r="F645" s="23">
        <f t="shared" si="39"/>
        <v>-5.7868128240207852</v>
      </c>
    </row>
    <row r="646" spans="1:6" x14ac:dyDescent="0.3">
      <c r="A646" s="2">
        <v>43203</v>
      </c>
      <c r="B646" s="1">
        <v>43.682499999999997</v>
      </c>
      <c r="C646" s="1">
        <v>1430.79</v>
      </c>
      <c r="D646" s="22">
        <f t="shared" ref="D646:D709" si="40">$M$16*B646+(1-$M$16)*C646</f>
        <v>776.51552280673991</v>
      </c>
      <c r="E646" s="23">
        <f t="shared" ref="E646:E709" si="41">D646-D647</f>
        <v>-9.2869279046658448</v>
      </c>
      <c r="F646" s="23">
        <f t="shared" ref="F646:F709" si="42">-E646</f>
        <v>9.2869279046658448</v>
      </c>
    </row>
    <row r="647" spans="1:6" x14ac:dyDescent="0.3">
      <c r="A647" s="2">
        <v>43202</v>
      </c>
      <c r="B647" s="1">
        <v>43.534999999999997</v>
      </c>
      <c r="C647" s="1">
        <v>1448.5</v>
      </c>
      <c r="D647" s="22">
        <f t="shared" si="40"/>
        <v>785.80245071140575</v>
      </c>
      <c r="E647" s="23">
        <f t="shared" si="41"/>
        <v>11.532873257488404</v>
      </c>
      <c r="F647" s="23">
        <f t="shared" si="42"/>
        <v>-11.532873257488404</v>
      </c>
    </row>
    <row r="648" spans="1:6" x14ac:dyDescent="0.3">
      <c r="A648" s="2">
        <v>43201</v>
      </c>
      <c r="B648" s="1">
        <v>43.11</v>
      </c>
      <c r="C648" s="1">
        <v>1427.05</v>
      </c>
      <c r="D648" s="22">
        <f t="shared" si="40"/>
        <v>774.26957745391735</v>
      </c>
      <c r="E648" s="23">
        <f t="shared" si="41"/>
        <v>-4.9401862514400818</v>
      </c>
      <c r="F648" s="23">
        <f t="shared" si="42"/>
        <v>4.9401862514400818</v>
      </c>
    </row>
    <row r="649" spans="1:6" x14ac:dyDescent="0.3">
      <c r="A649" s="2">
        <v>43200</v>
      </c>
      <c r="B649" s="1">
        <v>43.3125</v>
      </c>
      <c r="C649" s="1">
        <v>1436.22</v>
      </c>
      <c r="D649" s="22">
        <f t="shared" si="40"/>
        <v>779.20976370535743</v>
      </c>
      <c r="E649" s="23">
        <f t="shared" si="41"/>
        <v>16.30083240783415</v>
      </c>
      <c r="F649" s="23">
        <f t="shared" si="42"/>
        <v>-16.30083240783415</v>
      </c>
    </row>
    <row r="650" spans="1:6" x14ac:dyDescent="0.3">
      <c r="A650" s="2">
        <v>43199</v>
      </c>
      <c r="B650" s="1">
        <v>42.512500000000003</v>
      </c>
      <c r="C650" s="1">
        <v>1406.08</v>
      </c>
      <c r="D650" s="22">
        <f t="shared" si="40"/>
        <v>762.90893129752328</v>
      </c>
      <c r="E650" s="23">
        <f t="shared" si="41"/>
        <v>0.64599727390543649</v>
      </c>
      <c r="F650" s="23">
        <f t="shared" si="42"/>
        <v>-0.64599727390543649</v>
      </c>
    </row>
    <row r="651" spans="1:6" x14ac:dyDescent="0.3">
      <c r="A651" s="2">
        <v>43196</v>
      </c>
      <c r="B651" s="1">
        <v>42.094999999999999</v>
      </c>
      <c r="C651" s="1">
        <v>1405.23</v>
      </c>
      <c r="D651" s="22">
        <f t="shared" si="40"/>
        <v>762.26293402361785</v>
      </c>
      <c r="E651" s="23">
        <f t="shared" si="41"/>
        <v>-25.098534553571426</v>
      </c>
      <c r="F651" s="23">
        <f t="shared" si="42"/>
        <v>25.098534553571426</v>
      </c>
    </row>
    <row r="652" spans="1:6" x14ac:dyDescent="0.3">
      <c r="A652" s="2">
        <v>43195</v>
      </c>
      <c r="B652" s="1">
        <v>43.2</v>
      </c>
      <c r="C652" s="1">
        <v>1451.75</v>
      </c>
      <c r="D652" s="22">
        <f t="shared" si="40"/>
        <v>787.36146857718927</v>
      </c>
      <c r="E652" s="23">
        <f t="shared" si="41"/>
        <v>21.896435954781168</v>
      </c>
      <c r="F652" s="23">
        <f t="shared" si="42"/>
        <v>-21.896435954781168</v>
      </c>
    </row>
    <row r="653" spans="1:6" x14ac:dyDescent="0.3">
      <c r="A653" s="2">
        <v>43194</v>
      </c>
      <c r="B653" s="1">
        <v>42.902500000000003</v>
      </c>
      <c r="C653" s="1">
        <v>1410.57</v>
      </c>
      <c r="D653" s="22">
        <f t="shared" si="40"/>
        <v>765.4650326224081</v>
      </c>
      <c r="E653" s="23">
        <f t="shared" si="41"/>
        <v>10.16414267569121</v>
      </c>
      <c r="F653" s="23">
        <f t="shared" si="42"/>
        <v>-10.16414267569121</v>
      </c>
    </row>
    <row r="654" spans="1:6" x14ac:dyDescent="0.3">
      <c r="A654" s="2">
        <v>43193</v>
      </c>
      <c r="B654" s="1">
        <v>42.097499999999997</v>
      </c>
      <c r="C654" s="1">
        <v>1392.05</v>
      </c>
      <c r="D654" s="22">
        <f t="shared" si="40"/>
        <v>755.30088994671689</v>
      </c>
      <c r="E654" s="23">
        <f t="shared" si="41"/>
        <v>10.799691283122115</v>
      </c>
      <c r="F654" s="23">
        <f t="shared" si="42"/>
        <v>-10.799691283122115</v>
      </c>
    </row>
    <row r="655" spans="1:6" x14ac:dyDescent="0.3">
      <c r="A655" s="2">
        <v>43192</v>
      </c>
      <c r="B655" s="1">
        <v>41.67</v>
      </c>
      <c r="C655" s="1">
        <v>1371.99</v>
      </c>
      <c r="D655" s="22">
        <f t="shared" si="40"/>
        <v>744.50119866359478</v>
      </c>
      <c r="E655" s="23">
        <f t="shared" si="41"/>
        <v>-39.9384285282257</v>
      </c>
      <c r="F655" s="23">
        <f t="shared" si="42"/>
        <v>39.9384285282257</v>
      </c>
    </row>
    <row r="656" spans="1:6" x14ac:dyDescent="0.3">
      <c r="A656" s="2">
        <v>43189</v>
      </c>
      <c r="B656" s="1">
        <v>41.945</v>
      </c>
      <c r="C656" s="1">
        <v>1447.34</v>
      </c>
      <c r="D656" s="22">
        <f t="shared" si="40"/>
        <v>784.43962719182048</v>
      </c>
      <c r="E656" s="23">
        <f t="shared" si="41"/>
        <v>0</v>
      </c>
      <c r="F656" s="23">
        <f t="shared" si="42"/>
        <v>0</v>
      </c>
    </row>
    <row r="657" spans="1:6" x14ac:dyDescent="0.3">
      <c r="A657" s="2">
        <v>43188</v>
      </c>
      <c r="B657" s="1">
        <v>41.945</v>
      </c>
      <c r="C657" s="1">
        <v>1447.34</v>
      </c>
      <c r="D657" s="22">
        <f t="shared" si="40"/>
        <v>784.43962719182048</v>
      </c>
      <c r="E657" s="23">
        <f t="shared" si="41"/>
        <v>8.5641097955068517</v>
      </c>
      <c r="F657" s="23">
        <f t="shared" si="42"/>
        <v>-8.5641097955068517</v>
      </c>
    </row>
    <row r="658" spans="1:6" x14ac:dyDescent="0.3">
      <c r="A658" s="2">
        <v>43187</v>
      </c>
      <c r="B658" s="1">
        <v>41.62</v>
      </c>
      <c r="C658" s="1">
        <v>1431.42</v>
      </c>
      <c r="D658" s="22">
        <f t="shared" si="40"/>
        <v>775.87551739631363</v>
      </c>
      <c r="E658" s="23">
        <f t="shared" si="41"/>
        <v>-34.892803130760399</v>
      </c>
      <c r="F658" s="23">
        <f t="shared" si="42"/>
        <v>34.892803130760399</v>
      </c>
    </row>
    <row r="659" spans="1:6" x14ac:dyDescent="0.3">
      <c r="A659" s="2">
        <v>43186</v>
      </c>
      <c r="B659" s="1">
        <v>42.085000000000001</v>
      </c>
      <c r="C659" s="1">
        <v>1497.05</v>
      </c>
      <c r="D659" s="22">
        <f t="shared" si="40"/>
        <v>810.76832052707402</v>
      </c>
      <c r="E659" s="23">
        <f t="shared" si="41"/>
        <v>-31.592734560771873</v>
      </c>
      <c r="F659" s="23">
        <f t="shared" si="42"/>
        <v>31.592734560771873</v>
      </c>
    </row>
    <row r="660" spans="1:6" x14ac:dyDescent="0.3">
      <c r="A660" s="2">
        <v>43185</v>
      </c>
      <c r="B660" s="1">
        <v>43.192500000000003</v>
      </c>
      <c r="C660" s="1">
        <v>1555.86</v>
      </c>
      <c r="D660" s="22">
        <f t="shared" si="40"/>
        <v>842.3610550878459</v>
      </c>
      <c r="E660" s="23">
        <f t="shared" si="41"/>
        <v>32.780857694412475</v>
      </c>
      <c r="F660" s="23">
        <f t="shared" si="42"/>
        <v>-32.780857694412475</v>
      </c>
    </row>
    <row r="661" spans="1:6" x14ac:dyDescent="0.3">
      <c r="A661" s="2">
        <v>43182</v>
      </c>
      <c r="B661" s="1">
        <v>41.234999999999999</v>
      </c>
      <c r="C661" s="1">
        <v>1495.56</v>
      </c>
      <c r="D661" s="22">
        <f t="shared" si="40"/>
        <v>809.58019739343342</v>
      </c>
      <c r="E661" s="23">
        <f t="shared" si="41"/>
        <v>-26.538816427131451</v>
      </c>
      <c r="F661" s="23">
        <f t="shared" si="42"/>
        <v>26.538816427131451</v>
      </c>
    </row>
    <row r="662" spans="1:6" x14ac:dyDescent="0.3">
      <c r="A662" s="2">
        <v>43181</v>
      </c>
      <c r="B662" s="1">
        <v>42.212499999999999</v>
      </c>
      <c r="C662" s="1">
        <v>1544.92</v>
      </c>
      <c r="D662" s="22">
        <f t="shared" si="40"/>
        <v>836.11901382056487</v>
      </c>
      <c r="E662" s="23">
        <f t="shared" si="41"/>
        <v>-19.801412595046031</v>
      </c>
      <c r="F662" s="23">
        <f t="shared" si="42"/>
        <v>19.801412595046031</v>
      </c>
    </row>
    <row r="663" spans="1:6" x14ac:dyDescent="0.3">
      <c r="A663" s="2">
        <v>43180</v>
      </c>
      <c r="B663" s="1">
        <v>42.817500000000003</v>
      </c>
      <c r="C663" s="1">
        <v>1581.86</v>
      </c>
      <c r="D663" s="22">
        <f t="shared" si="40"/>
        <v>855.9204264156109</v>
      </c>
      <c r="E663" s="23">
        <f t="shared" si="41"/>
        <v>-2.9248208770161455</v>
      </c>
      <c r="F663" s="23">
        <f t="shared" si="42"/>
        <v>2.9248208770161455</v>
      </c>
    </row>
    <row r="664" spans="1:6" x14ac:dyDescent="0.3">
      <c r="A664" s="2">
        <v>43179</v>
      </c>
      <c r="B664" s="1">
        <v>43.81</v>
      </c>
      <c r="C664" s="1">
        <v>1586.51</v>
      </c>
      <c r="D664" s="22">
        <f t="shared" si="40"/>
        <v>858.84524729262705</v>
      </c>
      <c r="E664" s="23">
        <f t="shared" si="41"/>
        <v>21.96036209965439</v>
      </c>
      <c r="F664" s="23">
        <f t="shared" si="42"/>
        <v>-21.96036209965439</v>
      </c>
    </row>
    <row r="665" spans="1:6" x14ac:dyDescent="0.3">
      <c r="A665" s="2">
        <v>43178</v>
      </c>
      <c r="B665" s="1">
        <v>43.825000000000003</v>
      </c>
      <c r="C665" s="1">
        <v>1544.93</v>
      </c>
      <c r="D665" s="22">
        <f t="shared" si="40"/>
        <v>836.88488519297266</v>
      </c>
      <c r="E665" s="23">
        <f t="shared" si="41"/>
        <v>-14.453234521889499</v>
      </c>
      <c r="F665" s="23">
        <f t="shared" si="42"/>
        <v>14.453234521889499</v>
      </c>
    </row>
    <row r="666" spans="1:6" x14ac:dyDescent="0.3">
      <c r="A666" s="2">
        <v>43175</v>
      </c>
      <c r="B666" s="1">
        <v>44.505000000000003</v>
      </c>
      <c r="C666" s="1">
        <v>1571.68</v>
      </c>
      <c r="D666" s="22">
        <f t="shared" si="40"/>
        <v>851.33811971486216</v>
      </c>
      <c r="E666" s="23">
        <f t="shared" si="41"/>
        <v>-5.6955871068547594</v>
      </c>
      <c r="F666" s="23">
        <f t="shared" si="42"/>
        <v>5.6955871068547594</v>
      </c>
    </row>
    <row r="667" spans="1:6" x14ac:dyDescent="0.3">
      <c r="A667" s="2">
        <v>43174</v>
      </c>
      <c r="B667" s="1">
        <v>44.662500000000001</v>
      </c>
      <c r="C667" s="1">
        <v>1582.32</v>
      </c>
      <c r="D667" s="22">
        <f t="shared" si="40"/>
        <v>857.03370682171692</v>
      </c>
      <c r="E667" s="23">
        <f t="shared" si="41"/>
        <v>-4.561031663306494</v>
      </c>
      <c r="F667" s="23">
        <f t="shared" si="42"/>
        <v>4.561031663306494</v>
      </c>
    </row>
    <row r="668" spans="1:6" x14ac:dyDescent="0.3">
      <c r="A668" s="2">
        <v>43173</v>
      </c>
      <c r="B668" s="1">
        <v>44.61</v>
      </c>
      <c r="C668" s="1">
        <v>1591</v>
      </c>
      <c r="D668" s="22">
        <f t="shared" si="40"/>
        <v>861.59473848502341</v>
      </c>
      <c r="E668" s="23">
        <f t="shared" si="41"/>
        <v>1.3094364616935081</v>
      </c>
      <c r="F668" s="23">
        <f t="shared" si="42"/>
        <v>-1.3094364616935081</v>
      </c>
    </row>
    <row r="669" spans="1:6" x14ac:dyDescent="0.3">
      <c r="A669" s="2">
        <v>43172</v>
      </c>
      <c r="B669" s="1">
        <v>44.9925</v>
      </c>
      <c r="C669" s="1">
        <v>1588.18</v>
      </c>
      <c r="D669" s="22">
        <f t="shared" si="40"/>
        <v>860.2853020233299</v>
      </c>
      <c r="E669" s="23">
        <f t="shared" si="41"/>
        <v>-5.6004817554724013</v>
      </c>
      <c r="F669" s="23">
        <f t="shared" si="42"/>
        <v>5.6004817554724013</v>
      </c>
    </row>
    <row r="670" spans="1:6" x14ac:dyDescent="0.3">
      <c r="A670" s="2">
        <v>43171</v>
      </c>
      <c r="B670" s="1">
        <v>45.43</v>
      </c>
      <c r="C670" s="1">
        <v>1598.39</v>
      </c>
      <c r="D670" s="22">
        <f t="shared" si="40"/>
        <v>865.88578377880231</v>
      </c>
      <c r="E670" s="23">
        <f t="shared" si="41"/>
        <v>10.507371160714456</v>
      </c>
      <c r="F670" s="23">
        <f t="shared" si="42"/>
        <v>-10.507371160714456</v>
      </c>
    </row>
    <row r="671" spans="1:6" x14ac:dyDescent="0.3">
      <c r="A671" s="2">
        <v>43168</v>
      </c>
      <c r="B671" s="1">
        <v>44.994999999999997</v>
      </c>
      <c r="C671" s="1">
        <v>1578.89</v>
      </c>
      <c r="D671" s="22">
        <f t="shared" si="40"/>
        <v>855.37841261808785</v>
      </c>
      <c r="E671" s="23">
        <f t="shared" si="41"/>
        <v>14.638898001152029</v>
      </c>
      <c r="F671" s="23">
        <f t="shared" si="42"/>
        <v>-14.638898001152029</v>
      </c>
    </row>
    <row r="672" spans="1:6" x14ac:dyDescent="0.3">
      <c r="A672" s="2">
        <v>43167</v>
      </c>
      <c r="B672" s="1">
        <v>44.234999999999999</v>
      </c>
      <c r="C672" s="1">
        <v>1551.86</v>
      </c>
      <c r="D672" s="22">
        <f t="shared" si="40"/>
        <v>840.73951461693582</v>
      </c>
      <c r="E672" s="23">
        <f t="shared" si="41"/>
        <v>3.8494857819699746</v>
      </c>
      <c r="F672" s="23">
        <f t="shared" si="42"/>
        <v>-3.8494857819699746</v>
      </c>
    </row>
    <row r="673" spans="1:6" x14ac:dyDescent="0.3">
      <c r="A673" s="2">
        <v>43166</v>
      </c>
      <c r="B673" s="1">
        <v>43.7575</v>
      </c>
      <c r="C673" s="1">
        <v>1545</v>
      </c>
      <c r="D673" s="22">
        <f t="shared" si="40"/>
        <v>836.89002883496585</v>
      </c>
      <c r="E673" s="23">
        <f t="shared" si="41"/>
        <v>3.6950261693549464</v>
      </c>
      <c r="F673" s="23">
        <f t="shared" si="42"/>
        <v>-3.6950261693549464</v>
      </c>
    </row>
    <row r="674" spans="1:6" x14ac:dyDescent="0.3">
      <c r="A674" s="2">
        <v>43165</v>
      </c>
      <c r="B674" s="1">
        <v>44.167499999999997</v>
      </c>
      <c r="C674" s="1">
        <v>1537.64</v>
      </c>
      <c r="D674" s="22">
        <f t="shared" si="40"/>
        <v>833.1950026656109</v>
      </c>
      <c r="E674" s="23">
        <f t="shared" si="41"/>
        <v>7.3946049726382626</v>
      </c>
      <c r="F674" s="23">
        <f t="shared" si="42"/>
        <v>-7.3946049726382626</v>
      </c>
    </row>
    <row r="675" spans="1:6" x14ac:dyDescent="0.3">
      <c r="A675" s="2">
        <v>43164</v>
      </c>
      <c r="B675" s="1">
        <v>44.204999999999998</v>
      </c>
      <c r="C675" s="1">
        <v>1523.61</v>
      </c>
      <c r="D675" s="22">
        <f t="shared" si="40"/>
        <v>825.80039769297264</v>
      </c>
      <c r="E675" s="23">
        <f t="shared" si="41"/>
        <v>12.413425974942356</v>
      </c>
      <c r="F675" s="23">
        <f t="shared" si="42"/>
        <v>-12.413425974942356</v>
      </c>
    </row>
    <row r="676" spans="1:6" x14ac:dyDescent="0.3">
      <c r="A676" s="2">
        <v>43161</v>
      </c>
      <c r="B676" s="1">
        <v>44.052500000000002</v>
      </c>
      <c r="C676" s="1">
        <v>1500.25</v>
      </c>
      <c r="D676" s="22">
        <f t="shared" si="40"/>
        <v>813.38697171803028</v>
      </c>
      <c r="E676" s="23">
        <f t="shared" si="41"/>
        <v>3.7352422825460962</v>
      </c>
      <c r="F676" s="23">
        <f t="shared" si="42"/>
        <v>-3.7352422825460962</v>
      </c>
    </row>
    <row r="677" spans="1:6" x14ac:dyDescent="0.3">
      <c r="A677" s="2">
        <v>43160</v>
      </c>
      <c r="B677" s="1">
        <v>43.75</v>
      </c>
      <c r="C677" s="1">
        <v>1493.45</v>
      </c>
      <c r="D677" s="22">
        <f t="shared" si="40"/>
        <v>809.65172943548419</v>
      </c>
      <c r="E677" s="23">
        <f t="shared" si="41"/>
        <v>-10.40594296082952</v>
      </c>
      <c r="F677" s="23">
        <f t="shared" si="42"/>
        <v>10.40594296082952</v>
      </c>
    </row>
    <row r="678" spans="1:6" x14ac:dyDescent="0.3">
      <c r="A678" s="2">
        <v>43159</v>
      </c>
      <c r="B678" s="1">
        <v>44.53</v>
      </c>
      <c r="C678" s="1">
        <v>1512.45</v>
      </c>
      <c r="D678" s="22">
        <f t="shared" si="40"/>
        <v>820.05767239631371</v>
      </c>
      <c r="E678" s="23">
        <f t="shared" si="41"/>
        <v>0.21647060051839162</v>
      </c>
      <c r="F678" s="23">
        <f t="shared" si="42"/>
        <v>-0.21647060051839162</v>
      </c>
    </row>
    <row r="679" spans="1:6" x14ac:dyDescent="0.3">
      <c r="A679" s="2">
        <v>43158</v>
      </c>
      <c r="B679" s="1">
        <v>44.597499999999997</v>
      </c>
      <c r="C679" s="1">
        <v>1511.98</v>
      </c>
      <c r="D679" s="22">
        <f t="shared" si="40"/>
        <v>819.84120179579531</v>
      </c>
      <c r="E679" s="23">
        <f t="shared" si="41"/>
        <v>-5.3357184187788107</v>
      </c>
      <c r="F679" s="23">
        <f t="shared" si="42"/>
        <v>5.3357184187788107</v>
      </c>
    </row>
    <row r="680" spans="1:6" x14ac:dyDescent="0.3">
      <c r="A680" s="2">
        <v>43157</v>
      </c>
      <c r="B680" s="1">
        <v>44.7425</v>
      </c>
      <c r="C680" s="1">
        <v>1521.95</v>
      </c>
      <c r="D680" s="22">
        <f t="shared" si="40"/>
        <v>825.17692021457412</v>
      </c>
      <c r="E680" s="23">
        <f t="shared" si="41"/>
        <v>12.005751507776608</v>
      </c>
      <c r="F680" s="23">
        <f t="shared" si="42"/>
        <v>-12.005751507776608</v>
      </c>
    </row>
    <row r="681" spans="1:6" x14ac:dyDescent="0.3">
      <c r="A681" s="2">
        <v>43154</v>
      </c>
      <c r="B681" s="1">
        <v>43.875</v>
      </c>
      <c r="C681" s="1">
        <v>1500</v>
      </c>
      <c r="D681" s="22">
        <f t="shared" si="40"/>
        <v>813.17116870679752</v>
      </c>
      <c r="E681" s="23">
        <f t="shared" si="41"/>
        <v>8.098894982718889</v>
      </c>
      <c r="F681" s="23">
        <f t="shared" si="42"/>
        <v>-8.098894982718889</v>
      </c>
    </row>
    <row r="682" spans="1:6" x14ac:dyDescent="0.3">
      <c r="A682" s="2">
        <v>43153</v>
      </c>
      <c r="B682" s="1">
        <v>43.125</v>
      </c>
      <c r="C682" s="1">
        <v>1485.34</v>
      </c>
      <c r="D682" s="22">
        <f t="shared" si="40"/>
        <v>805.07227372407863</v>
      </c>
      <c r="E682" s="23">
        <f t="shared" si="41"/>
        <v>1.4471546298963176</v>
      </c>
      <c r="F682" s="23">
        <f t="shared" si="42"/>
        <v>-1.4471546298963176</v>
      </c>
    </row>
    <row r="683" spans="1:6" x14ac:dyDescent="0.3">
      <c r="A683" s="2">
        <v>43152</v>
      </c>
      <c r="B683" s="1">
        <v>42.767499999999998</v>
      </c>
      <c r="C683" s="1">
        <v>1482.92</v>
      </c>
      <c r="D683" s="22">
        <f t="shared" si="40"/>
        <v>803.62511909418231</v>
      </c>
      <c r="E683" s="23">
        <f t="shared" si="41"/>
        <v>7.6056063565667955</v>
      </c>
      <c r="F683" s="23">
        <f t="shared" si="42"/>
        <v>-7.6056063565667955</v>
      </c>
    </row>
    <row r="684" spans="1:6" x14ac:dyDescent="0.3">
      <c r="A684" s="2">
        <v>43151</v>
      </c>
      <c r="B684" s="1">
        <v>42.962499999999999</v>
      </c>
      <c r="C684" s="1">
        <v>1468.35</v>
      </c>
      <c r="D684" s="22">
        <f t="shared" si="40"/>
        <v>796.01951273761551</v>
      </c>
      <c r="E684" s="23">
        <f t="shared" si="41"/>
        <v>10.318326033986182</v>
      </c>
      <c r="F684" s="23">
        <f t="shared" si="42"/>
        <v>-10.318326033986182</v>
      </c>
    </row>
    <row r="685" spans="1:6" x14ac:dyDescent="0.3">
      <c r="A685" s="2">
        <v>43150</v>
      </c>
      <c r="B685" s="1">
        <v>43.107500000000002</v>
      </c>
      <c r="C685" s="1">
        <v>1448.69</v>
      </c>
      <c r="D685" s="22">
        <f t="shared" si="40"/>
        <v>785.70118670362933</v>
      </c>
      <c r="E685" s="23">
        <f t="shared" si="41"/>
        <v>0</v>
      </c>
      <c r="F685" s="23">
        <f t="shared" si="42"/>
        <v>0</v>
      </c>
    </row>
    <row r="686" spans="1:6" x14ac:dyDescent="0.3">
      <c r="A686" s="2">
        <v>43147</v>
      </c>
      <c r="B686" s="1">
        <v>43.107500000000002</v>
      </c>
      <c r="C686" s="1">
        <v>1448.69</v>
      </c>
      <c r="D686" s="22">
        <f t="shared" si="40"/>
        <v>785.70118670362933</v>
      </c>
      <c r="E686" s="23">
        <f t="shared" si="41"/>
        <v>-6.9711439343317352</v>
      </c>
      <c r="F686" s="23">
        <f t="shared" si="42"/>
        <v>6.9711439343317352</v>
      </c>
    </row>
    <row r="687" spans="1:6" x14ac:dyDescent="0.3">
      <c r="A687" s="2">
        <v>43146</v>
      </c>
      <c r="B687" s="1">
        <v>43.247500000000002</v>
      </c>
      <c r="C687" s="1">
        <v>1461.76</v>
      </c>
      <c r="D687" s="22">
        <f t="shared" si="40"/>
        <v>792.67233063796107</v>
      </c>
      <c r="E687" s="23">
        <f t="shared" si="41"/>
        <v>6.3209933726958525</v>
      </c>
      <c r="F687" s="23">
        <f t="shared" si="42"/>
        <v>-6.3209933726958525</v>
      </c>
    </row>
    <row r="688" spans="1:6" x14ac:dyDescent="0.3">
      <c r="A688" s="2">
        <v>43145</v>
      </c>
      <c r="B688" s="1">
        <v>41.842500000000001</v>
      </c>
      <c r="C688" s="1">
        <v>1451.05</v>
      </c>
      <c r="D688" s="22">
        <f t="shared" si="40"/>
        <v>786.35133726526522</v>
      </c>
      <c r="E688" s="23">
        <f t="shared" si="41"/>
        <v>19.662017233582901</v>
      </c>
      <c r="F688" s="23">
        <f t="shared" si="42"/>
        <v>-19.662017233582901</v>
      </c>
    </row>
    <row r="689" spans="1:6" x14ac:dyDescent="0.3">
      <c r="A689" s="2">
        <v>43144</v>
      </c>
      <c r="B689" s="1">
        <v>41.085000000000001</v>
      </c>
      <c r="C689" s="1">
        <v>1414.51</v>
      </c>
      <c r="D689" s="22">
        <f t="shared" si="40"/>
        <v>766.68932003168231</v>
      </c>
      <c r="E689" s="23">
        <f t="shared" si="41"/>
        <v>15.133026628744233</v>
      </c>
      <c r="F689" s="23">
        <f t="shared" si="42"/>
        <v>-15.133026628744233</v>
      </c>
    </row>
    <row r="690" spans="1:6" x14ac:dyDescent="0.3">
      <c r="A690" s="2">
        <v>43143</v>
      </c>
      <c r="B690" s="1">
        <v>40.677500000000002</v>
      </c>
      <c r="C690" s="1">
        <v>1386.23</v>
      </c>
      <c r="D690" s="22">
        <f t="shared" si="40"/>
        <v>751.55629340293808</v>
      </c>
      <c r="E690" s="23">
        <f t="shared" si="41"/>
        <v>25.378340290898677</v>
      </c>
      <c r="F690" s="23">
        <f t="shared" si="42"/>
        <v>-25.378340290898677</v>
      </c>
    </row>
    <row r="691" spans="1:6" x14ac:dyDescent="0.3">
      <c r="A691" s="2">
        <v>43140</v>
      </c>
      <c r="B691" s="1">
        <v>39.102499999999999</v>
      </c>
      <c r="C691" s="1">
        <v>1339.6</v>
      </c>
      <c r="D691" s="22">
        <f t="shared" si="40"/>
        <v>726.1779531120394</v>
      </c>
      <c r="E691" s="23">
        <f t="shared" si="41"/>
        <v>-5.6100795996544548</v>
      </c>
      <c r="F691" s="23">
        <f t="shared" si="42"/>
        <v>5.6100795996544548</v>
      </c>
    </row>
    <row r="692" spans="1:6" x14ac:dyDescent="0.3">
      <c r="A692" s="2">
        <v>43139</v>
      </c>
      <c r="B692" s="1">
        <v>38.787500000000001</v>
      </c>
      <c r="C692" s="1">
        <v>1350.5</v>
      </c>
      <c r="D692" s="22">
        <f t="shared" si="40"/>
        <v>731.78803271169386</v>
      </c>
      <c r="E692" s="23">
        <f t="shared" si="41"/>
        <v>-35.534548685195773</v>
      </c>
      <c r="F692" s="23">
        <f t="shared" si="42"/>
        <v>35.534548685195773</v>
      </c>
    </row>
    <row r="693" spans="1:6" x14ac:dyDescent="0.3">
      <c r="A693" s="2">
        <v>43138</v>
      </c>
      <c r="B693" s="1">
        <v>39.884999999999998</v>
      </c>
      <c r="C693" s="1">
        <v>1416.78</v>
      </c>
      <c r="D693" s="22">
        <f t="shared" si="40"/>
        <v>767.32258139688963</v>
      </c>
      <c r="E693" s="23">
        <f t="shared" si="41"/>
        <v>-14.179494419642879</v>
      </c>
      <c r="F693" s="23">
        <f t="shared" si="42"/>
        <v>14.179494419642879</v>
      </c>
    </row>
    <row r="694" spans="1:6" x14ac:dyDescent="0.3">
      <c r="A694" s="2">
        <v>43137</v>
      </c>
      <c r="B694" s="1">
        <v>40.7575</v>
      </c>
      <c r="C694" s="1">
        <v>1442.84</v>
      </c>
      <c r="D694" s="22">
        <f t="shared" si="40"/>
        <v>781.50207581653251</v>
      </c>
      <c r="E694" s="23">
        <f t="shared" si="41"/>
        <v>28.687492278225818</v>
      </c>
      <c r="F694" s="23">
        <f t="shared" si="42"/>
        <v>-28.687492278225818</v>
      </c>
    </row>
    <row r="695" spans="1:6" x14ac:dyDescent="0.3">
      <c r="A695" s="2">
        <v>43136</v>
      </c>
      <c r="B695" s="1">
        <v>39.122500000000002</v>
      </c>
      <c r="C695" s="1">
        <v>1390</v>
      </c>
      <c r="D695" s="22">
        <f t="shared" si="40"/>
        <v>752.81458353830669</v>
      </c>
      <c r="E695" s="23">
        <f t="shared" si="41"/>
        <v>-21.579141792914811</v>
      </c>
      <c r="F695" s="23">
        <f t="shared" si="42"/>
        <v>21.579141792914811</v>
      </c>
    </row>
    <row r="696" spans="1:6" x14ac:dyDescent="0.3">
      <c r="A696" s="2">
        <v>43133</v>
      </c>
      <c r="B696" s="1">
        <v>40.125</v>
      </c>
      <c r="C696" s="1">
        <v>1429.95</v>
      </c>
      <c r="D696" s="22">
        <f t="shared" si="40"/>
        <v>774.3937253312215</v>
      </c>
      <c r="E696" s="23">
        <f t="shared" si="41"/>
        <v>20.247817644009274</v>
      </c>
      <c r="F696" s="23">
        <f t="shared" si="42"/>
        <v>-20.247817644009274</v>
      </c>
    </row>
    <row r="697" spans="1:6" x14ac:dyDescent="0.3">
      <c r="A697" s="2">
        <v>43132</v>
      </c>
      <c r="B697" s="1">
        <v>41.945</v>
      </c>
      <c r="C697" s="1">
        <v>1390</v>
      </c>
      <c r="D697" s="22">
        <f t="shared" si="40"/>
        <v>754.14590768721223</v>
      </c>
      <c r="E697" s="23">
        <f t="shared" si="41"/>
        <v>-32.127974033698251</v>
      </c>
      <c r="F697" s="23">
        <f t="shared" si="42"/>
        <v>32.127974033698251</v>
      </c>
    </row>
    <row r="698" spans="1:6" x14ac:dyDescent="0.3">
      <c r="A698" s="2">
        <v>43131</v>
      </c>
      <c r="B698" s="1">
        <v>41.857500000000002</v>
      </c>
      <c r="C698" s="1">
        <v>1450.89</v>
      </c>
      <c r="D698" s="22">
        <f t="shared" si="40"/>
        <v>786.27388172091048</v>
      </c>
      <c r="E698" s="23">
        <f t="shared" si="41"/>
        <v>6.9593518692396401</v>
      </c>
      <c r="F698" s="23">
        <f t="shared" si="42"/>
        <v>-6.9593518692396401</v>
      </c>
    </row>
    <row r="699" spans="1:6" x14ac:dyDescent="0.3">
      <c r="A699" s="2">
        <v>43130</v>
      </c>
      <c r="B699" s="1">
        <v>41.7425</v>
      </c>
      <c r="C699" s="1">
        <v>1437.82</v>
      </c>
      <c r="D699" s="22">
        <f t="shared" si="40"/>
        <v>779.31452985167084</v>
      </c>
      <c r="E699" s="23">
        <f t="shared" si="41"/>
        <v>10.523570917338702</v>
      </c>
      <c r="F699" s="23">
        <f t="shared" si="42"/>
        <v>-10.523570917338702</v>
      </c>
    </row>
    <row r="700" spans="1:6" x14ac:dyDescent="0.3">
      <c r="A700" s="2">
        <v>43129</v>
      </c>
      <c r="B700" s="1">
        <v>41.99</v>
      </c>
      <c r="C700" s="1">
        <v>1417.68</v>
      </c>
      <c r="D700" s="22">
        <f t="shared" si="40"/>
        <v>768.79095893433214</v>
      </c>
      <c r="E700" s="23">
        <f t="shared" si="41"/>
        <v>7.8389825936060333</v>
      </c>
      <c r="F700" s="23">
        <f t="shared" si="42"/>
        <v>-7.8389825936060333</v>
      </c>
    </row>
    <row r="701" spans="1:6" x14ac:dyDescent="0.3">
      <c r="A701" s="2">
        <v>43126</v>
      </c>
      <c r="B701" s="1">
        <v>42.877499999999998</v>
      </c>
      <c r="C701" s="1">
        <v>1402.05</v>
      </c>
      <c r="D701" s="22">
        <f t="shared" si="40"/>
        <v>760.95197634072611</v>
      </c>
      <c r="E701" s="23">
        <f t="shared" si="41"/>
        <v>12.779617511520769</v>
      </c>
      <c r="F701" s="23">
        <f t="shared" si="42"/>
        <v>-12.779617511520769</v>
      </c>
    </row>
    <row r="702" spans="1:6" x14ac:dyDescent="0.3">
      <c r="A702" s="2">
        <v>43125</v>
      </c>
      <c r="B702" s="1">
        <v>42.777500000000003</v>
      </c>
      <c r="C702" s="1">
        <v>1377.95</v>
      </c>
      <c r="D702" s="22">
        <f t="shared" si="40"/>
        <v>748.17235882920534</v>
      </c>
      <c r="E702" s="23">
        <f t="shared" si="41"/>
        <v>10.432074356278804</v>
      </c>
      <c r="F702" s="23">
        <f t="shared" si="42"/>
        <v>-10.432074356278804</v>
      </c>
    </row>
    <row r="703" spans="1:6" x14ac:dyDescent="0.3">
      <c r="A703" s="2">
        <v>43124</v>
      </c>
      <c r="B703" s="1">
        <v>43.555</v>
      </c>
      <c r="C703" s="1">
        <v>1357.51</v>
      </c>
      <c r="D703" s="22">
        <f t="shared" si="40"/>
        <v>737.74028447292653</v>
      </c>
      <c r="E703" s="23">
        <f t="shared" si="41"/>
        <v>-2.9899727390552471</v>
      </c>
      <c r="F703" s="23">
        <f t="shared" si="42"/>
        <v>2.9899727390552471</v>
      </c>
    </row>
    <row r="704" spans="1:6" x14ac:dyDescent="0.3">
      <c r="A704" s="2">
        <v>43123</v>
      </c>
      <c r="B704" s="1">
        <v>44.26</v>
      </c>
      <c r="C704" s="1">
        <v>1362.54</v>
      </c>
      <c r="D704" s="22">
        <f t="shared" si="40"/>
        <v>740.73025721198178</v>
      </c>
      <c r="E704" s="23">
        <f t="shared" si="41"/>
        <v>18.617338698156573</v>
      </c>
      <c r="F704" s="23">
        <f t="shared" si="42"/>
        <v>-18.617338698156573</v>
      </c>
    </row>
    <row r="705" spans="1:6" x14ac:dyDescent="0.3">
      <c r="A705" s="2">
        <v>43122</v>
      </c>
      <c r="B705" s="1">
        <v>44.25</v>
      </c>
      <c r="C705" s="1">
        <v>1327.31</v>
      </c>
      <c r="D705" s="22">
        <f t="shared" si="40"/>
        <v>722.11291851382521</v>
      </c>
      <c r="E705" s="23">
        <f t="shared" si="41"/>
        <v>17.119664230990907</v>
      </c>
      <c r="F705" s="23">
        <f t="shared" si="42"/>
        <v>-17.119664230990907</v>
      </c>
    </row>
    <row r="706" spans="1:6" x14ac:dyDescent="0.3">
      <c r="A706" s="2">
        <v>43119</v>
      </c>
      <c r="B706" s="1">
        <v>44.615000000000002</v>
      </c>
      <c r="C706" s="1">
        <v>1294.58</v>
      </c>
      <c r="D706" s="22">
        <f t="shared" si="40"/>
        <v>704.9932542828343</v>
      </c>
      <c r="E706" s="23">
        <f t="shared" si="41"/>
        <v>0.5713433986175005</v>
      </c>
      <c r="F706" s="23">
        <f t="shared" si="42"/>
        <v>-0.5713433986175005</v>
      </c>
    </row>
    <row r="707" spans="1:6" x14ac:dyDescent="0.3">
      <c r="A707" s="2">
        <v>43118</v>
      </c>
      <c r="B707" s="1">
        <v>44.814999999999998</v>
      </c>
      <c r="C707" s="1">
        <v>1293.32</v>
      </c>
      <c r="D707" s="22">
        <f t="shared" si="40"/>
        <v>704.4219108842168</v>
      </c>
      <c r="E707" s="23">
        <f t="shared" si="41"/>
        <v>-0.86870592165905691</v>
      </c>
      <c r="F707" s="23">
        <f t="shared" si="42"/>
        <v>0.86870592165905691</v>
      </c>
    </row>
    <row r="708" spans="1:6" x14ac:dyDescent="0.3">
      <c r="A708" s="2">
        <v>43117</v>
      </c>
      <c r="B708" s="1">
        <v>44.774999999999999</v>
      </c>
      <c r="C708" s="1">
        <v>1295</v>
      </c>
      <c r="D708" s="22">
        <f t="shared" si="40"/>
        <v>705.29061680587586</v>
      </c>
      <c r="E708" s="23">
        <f t="shared" si="41"/>
        <v>-4.8660604334676236</v>
      </c>
      <c r="F708" s="23">
        <f t="shared" si="42"/>
        <v>4.8660604334676236</v>
      </c>
    </row>
    <row r="709" spans="1:6" x14ac:dyDescent="0.3">
      <c r="A709" s="2">
        <v>43116</v>
      </c>
      <c r="B709" s="1">
        <v>44.047499999999999</v>
      </c>
      <c r="C709" s="1">
        <v>1304.8599999999999</v>
      </c>
      <c r="D709" s="22">
        <f t="shared" si="40"/>
        <v>710.15667723934348</v>
      </c>
      <c r="E709" s="23">
        <f t="shared" si="41"/>
        <v>-0.2857565005762126</v>
      </c>
      <c r="F709" s="23">
        <f t="shared" si="42"/>
        <v>0.2857565005762126</v>
      </c>
    </row>
    <row r="710" spans="1:6" x14ac:dyDescent="0.3">
      <c r="A710" s="2">
        <v>43115</v>
      </c>
      <c r="B710" s="1">
        <v>44.272500000000001</v>
      </c>
      <c r="C710" s="1">
        <v>1305.2</v>
      </c>
      <c r="D710" s="22">
        <f t="shared" ref="D710:D773" si="43">$M$16*B710+(1-$M$16)*C710</f>
        <v>710.44243373991969</v>
      </c>
      <c r="E710" s="23">
        <f t="shared" ref="E710:E773" si="44">D710-D711</f>
        <v>0</v>
      </c>
      <c r="F710" s="23">
        <f t="shared" ref="F710:F773" si="45">-E710</f>
        <v>0</v>
      </c>
    </row>
    <row r="711" spans="1:6" x14ac:dyDescent="0.3">
      <c r="A711" s="2">
        <v>43112</v>
      </c>
      <c r="B711" s="1">
        <v>44.272500000000001</v>
      </c>
      <c r="C711" s="1">
        <v>1305.2</v>
      </c>
      <c r="D711" s="22">
        <f t="shared" si="43"/>
        <v>710.44243373991969</v>
      </c>
      <c r="E711" s="23">
        <f t="shared" si="44"/>
        <v>15.281048521025355</v>
      </c>
      <c r="F711" s="23">
        <f t="shared" si="45"/>
        <v>-15.281048521025355</v>
      </c>
    </row>
    <row r="712" spans="1:6" x14ac:dyDescent="0.3">
      <c r="A712" s="2">
        <v>43111</v>
      </c>
      <c r="B712" s="1">
        <v>43.82</v>
      </c>
      <c r="C712" s="1">
        <v>1276.68</v>
      </c>
      <c r="D712" s="22">
        <f t="shared" si="43"/>
        <v>695.16138521889434</v>
      </c>
      <c r="E712" s="23">
        <f t="shared" si="44"/>
        <v>11.924635252016287</v>
      </c>
      <c r="F712" s="23">
        <f t="shared" si="45"/>
        <v>-11.924635252016287</v>
      </c>
    </row>
    <row r="713" spans="1:6" x14ac:dyDescent="0.3">
      <c r="A713" s="2">
        <v>43110</v>
      </c>
      <c r="B713" s="1">
        <v>43.572499999999998</v>
      </c>
      <c r="C713" s="1">
        <v>1254.33</v>
      </c>
      <c r="D713" s="22">
        <f t="shared" si="43"/>
        <v>683.23674996687805</v>
      </c>
      <c r="E713" s="23">
        <f t="shared" si="44"/>
        <v>0.85644052995382935</v>
      </c>
      <c r="F713" s="23">
        <f t="shared" si="45"/>
        <v>-0.85644052995382935</v>
      </c>
    </row>
    <row r="714" spans="1:6" x14ac:dyDescent="0.3">
      <c r="A714" s="2">
        <v>43109</v>
      </c>
      <c r="B714" s="1">
        <v>43.582500000000003</v>
      </c>
      <c r="C714" s="1">
        <v>1252.7</v>
      </c>
      <c r="D714" s="22">
        <f t="shared" si="43"/>
        <v>682.38030943692422</v>
      </c>
      <c r="E714" s="23">
        <f t="shared" si="44"/>
        <v>3.077732007488521</v>
      </c>
      <c r="F714" s="23">
        <f t="shared" si="45"/>
        <v>-3.077732007488521</v>
      </c>
    </row>
    <row r="715" spans="1:6" x14ac:dyDescent="0.3">
      <c r="A715" s="2">
        <v>43108</v>
      </c>
      <c r="B715" s="1">
        <v>43.587499999999999</v>
      </c>
      <c r="C715" s="1">
        <v>1246.8699999999999</v>
      </c>
      <c r="D715" s="22">
        <f t="shared" si="43"/>
        <v>679.3025774294357</v>
      </c>
      <c r="E715" s="23">
        <f t="shared" si="44"/>
        <v>9.2904190135367344</v>
      </c>
      <c r="F715" s="23">
        <f t="shared" si="45"/>
        <v>-9.2904190135367344</v>
      </c>
    </row>
    <row r="716" spans="1:6" x14ac:dyDescent="0.3">
      <c r="A716" s="2">
        <v>43105</v>
      </c>
      <c r="B716" s="1">
        <v>43.75</v>
      </c>
      <c r="C716" s="1">
        <v>1229.1400000000001</v>
      </c>
      <c r="D716" s="22">
        <f t="shared" si="43"/>
        <v>670.01215841589897</v>
      </c>
      <c r="E716" s="23">
        <f t="shared" si="44"/>
        <v>10.56090878024213</v>
      </c>
      <c r="F716" s="23">
        <f t="shared" si="45"/>
        <v>-10.56090878024213</v>
      </c>
    </row>
    <row r="717" spans="1:6" x14ac:dyDescent="0.3">
      <c r="A717" s="2">
        <v>43104</v>
      </c>
      <c r="B717" s="1">
        <v>43.2575</v>
      </c>
      <c r="C717" s="1">
        <v>1209.5899999999999</v>
      </c>
      <c r="D717" s="22">
        <f t="shared" si="43"/>
        <v>659.45124963565684</v>
      </c>
      <c r="E717" s="23">
        <f t="shared" si="44"/>
        <v>2.9419672868662019</v>
      </c>
      <c r="F717" s="23">
        <f t="shared" si="45"/>
        <v>-2.9419672868662019</v>
      </c>
    </row>
    <row r="718" spans="1:6" x14ac:dyDescent="0.3">
      <c r="A718" s="2">
        <v>43103</v>
      </c>
      <c r="B718" s="1">
        <v>43.057499999999997</v>
      </c>
      <c r="C718" s="1">
        <v>1204.2</v>
      </c>
      <c r="D718" s="22">
        <f t="shared" si="43"/>
        <v>656.50928234879063</v>
      </c>
      <c r="E718" s="23">
        <f t="shared" si="44"/>
        <v>8.0216036304724412</v>
      </c>
      <c r="F718" s="23">
        <f t="shared" si="45"/>
        <v>-8.0216036304724412</v>
      </c>
    </row>
    <row r="719" spans="1:6" x14ac:dyDescent="0.3">
      <c r="A719" s="2">
        <v>43102</v>
      </c>
      <c r="B719" s="1">
        <v>43.064999999999998</v>
      </c>
      <c r="C719" s="1">
        <v>1189.01</v>
      </c>
      <c r="D719" s="22">
        <f t="shared" si="43"/>
        <v>648.48767871831819</v>
      </c>
      <c r="E719" s="23">
        <f t="shared" si="44"/>
        <v>10.680621496255753</v>
      </c>
      <c r="F719" s="23">
        <f t="shared" si="45"/>
        <v>-10.680621496255753</v>
      </c>
    </row>
    <row r="720" spans="1:6" x14ac:dyDescent="0.3">
      <c r="A720" s="2">
        <v>43101</v>
      </c>
      <c r="B720" s="1">
        <v>42.307499999999997</v>
      </c>
      <c r="C720" s="1">
        <v>1169.47</v>
      </c>
      <c r="D720" s="22">
        <f t="shared" si="43"/>
        <v>637.80705722206244</v>
      </c>
      <c r="E720" s="23">
        <f t="shared" si="44"/>
        <v>0</v>
      </c>
      <c r="F720" s="23">
        <f t="shared" si="45"/>
        <v>0</v>
      </c>
    </row>
    <row r="721" spans="1:6" x14ac:dyDescent="0.3">
      <c r="A721" s="2">
        <v>43098</v>
      </c>
      <c r="B721" s="1">
        <v>42.307499999999997</v>
      </c>
      <c r="C721" s="1">
        <v>1169.47</v>
      </c>
      <c r="D721" s="22">
        <f t="shared" si="43"/>
        <v>637.80705722206244</v>
      </c>
      <c r="E721" s="23">
        <f t="shared" si="44"/>
        <v>-9.0040715048962738</v>
      </c>
      <c r="F721" s="23">
        <f t="shared" si="45"/>
        <v>9.0040715048962738</v>
      </c>
    </row>
    <row r="722" spans="1:6" x14ac:dyDescent="0.3">
      <c r="A722" s="2">
        <v>43097</v>
      </c>
      <c r="B722" s="1">
        <v>42.77</v>
      </c>
      <c r="C722" s="1">
        <v>1186.0999999999999</v>
      </c>
      <c r="D722" s="22">
        <f t="shared" si="43"/>
        <v>646.81112872695871</v>
      </c>
      <c r="E722" s="23">
        <f t="shared" si="44"/>
        <v>2.0853407142856213</v>
      </c>
      <c r="F722" s="23">
        <f t="shared" si="45"/>
        <v>-2.0853407142856213</v>
      </c>
    </row>
    <row r="723" spans="1:6" x14ac:dyDescent="0.3">
      <c r="A723" s="2">
        <v>43096</v>
      </c>
      <c r="B723" s="1">
        <v>42.65</v>
      </c>
      <c r="C723" s="1">
        <v>1182.26</v>
      </c>
      <c r="D723" s="22">
        <f t="shared" si="43"/>
        <v>644.72578801267309</v>
      </c>
      <c r="E723" s="23">
        <f t="shared" si="44"/>
        <v>2.9092832992512285</v>
      </c>
      <c r="F723" s="23">
        <f t="shared" si="45"/>
        <v>-2.9092832992512285</v>
      </c>
    </row>
    <row r="724" spans="1:6" x14ac:dyDescent="0.3">
      <c r="A724" s="2">
        <v>43095</v>
      </c>
      <c r="B724" s="1">
        <v>42.642499999999998</v>
      </c>
      <c r="C724" s="1">
        <v>1176.76</v>
      </c>
      <c r="D724" s="22">
        <f t="shared" si="43"/>
        <v>641.81650471342186</v>
      </c>
      <c r="E724" s="23">
        <f t="shared" si="44"/>
        <v>3.9142984389400226</v>
      </c>
      <c r="F724" s="23">
        <f t="shared" si="45"/>
        <v>-3.9142984389400226</v>
      </c>
    </row>
    <row r="725" spans="1:6" x14ac:dyDescent="0.3">
      <c r="A725" s="2">
        <v>43094</v>
      </c>
      <c r="B725" s="1">
        <v>43.752499999999998</v>
      </c>
      <c r="C725" s="1">
        <v>1168.3599999999999</v>
      </c>
      <c r="D725" s="22">
        <f t="shared" si="43"/>
        <v>637.90220627448184</v>
      </c>
      <c r="E725" s="23">
        <f t="shared" si="44"/>
        <v>0</v>
      </c>
      <c r="F725" s="23">
        <f t="shared" si="45"/>
        <v>0</v>
      </c>
    </row>
    <row r="726" spans="1:6" x14ac:dyDescent="0.3">
      <c r="A726" s="2">
        <v>43091</v>
      </c>
      <c r="B726" s="1">
        <v>43.752499999999998</v>
      </c>
      <c r="C726" s="1">
        <v>1168.3599999999999</v>
      </c>
      <c r="D726" s="22">
        <f t="shared" si="43"/>
        <v>637.90220627448184</v>
      </c>
      <c r="E726" s="23">
        <f t="shared" si="44"/>
        <v>-3.3812313364055626</v>
      </c>
      <c r="F726" s="23">
        <f t="shared" si="45"/>
        <v>3.3812313364055626</v>
      </c>
    </row>
    <row r="727" spans="1:6" x14ac:dyDescent="0.3">
      <c r="A727" s="2">
        <v>43090</v>
      </c>
      <c r="B727" s="1">
        <v>43.752499999999998</v>
      </c>
      <c r="C727" s="1">
        <v>1174.76</v>
      </c>
      <c r="D727" s="22">
        <f t="shared" si="43"/>
        <v>641.2834376108874</v>
      </c>
      <c r="E727" s="23">
        <f t="shared" si="44"/>
        <v>-1.433160123847756</v>
      </c>
      <c r="F727" s="23">
        <f t="shared" si="45"/>
        <v>1.433160123847756</v>
      </c>
    </row>
    <row r="728" spans="1:6" x14ac:dyDescent="0.3">
      <c r="A728" s="2">
        <v>43089</v>
      </c>
      <c r="B728" s="1">
        <v>43.587499999999999</v>
      </c>
      <c r="C728" s="1">
        <v>1177.6199999999999</v>
      </c>
      <c r="D728" s="22">
        <f t="shared" si="43"/>
        <v>642.71659773473516</v>
      </c>
      <c r="E728" s="23">
        <f t="shared" si="44"/>
        <v>-5.1787827116937706</v>
      </c>
      <c r="F728" s="23">
        <f t="shared" si="45"/>
        <v>5.1787827116937706</v>
      </c>
    </row>
    <row r="729" spans="1:6" x14ac:dyDescent="0.3">
      <c r="A729" s="2">
        <v>43088</v>
      </c>
      <c r="B729" s="1">
        <v>43.634999999999998</v>
      </c>
      <c r="C729" s="1">
        <v>1187.3800000000001</v>
      </c>
      <c r="D729" s="22">
        <f t="shared" si="43"/>
        <v>647.89538044642893</v>
      </c>
      <c r="E729" s="23">
        <f t="shared" si="44"/>
        <v>-1.9123064919353965</v>
      </c>
      <c r="F729" s="23">
        <f t="shared" si="45"/>
        <v>1.9123064919353965</v>
      </c>
    </row>
    <row r="730" spans="1:6" x14ac:dyDescent="0.3">
      <c r="A730" s="2">
        <v>43087</v>
      </c>
      <c r="B730" s="1">
        <v>44.104999999999997</v>
      </c>
      <c r="C730" s="1">
        <v>1190.58</v>
      </c>
      <c r="D730" s="22">
        <f t="shared" si="43"/>
        <v>649.80768693836433</v>
      </c>
      <c r="E730" s="23">
        <f t="shared" si="44"/>
        <v>6.3328566085829152</v>
      </c>
      <c r="F730" s="23">
        <f t="shared" si="45"/>
        <v>-6.3328566085829152</v>
      </c>
    </row>
    <row r="731" spans="1:6" x14ac:dyDescent="0.3">
      <c r="A731" s="2">
        <v>43084</v>
      </c>
      <c r="B731" s="1">
        <v>43.4925</v>
      </c>
      <c r="C731" s="1">
        <v>1179.1400000000001</v>
      </c>
      <c r="D731" s="22">
        <f t="shared" si="43"/>
        <v>643.47483032978141</v>
      </c>
      <c r="E731" s="23">
        <f t="shared" si="44"/>
        <v>2.7845500331221729</v>
      </c>
      <c r="F731" s="23">
        <f t="shared" si="45"/>
        <v>-2.7845500331221729</v>
      </c>
    </row>
    <row r="732" spans="1:6" x14ac:dyDescent="0.3">
      <c r="A732" s="2">
        <v>43083</v>
      </c>
      <c r="B732" s="1">
        <v>43.055</v>
      </c>
      <c r="C732" s="1">
        <v>1174.26</v>
      </c>
      <c r="D732" s="22">
        <f t="shared" si="43"/>
        <v>640.69028029665924</v>
      </c>
      <c r="E732" s="23">
        <f t="shared" si="44"/>
        <v>5.3459591921082392</v>
      </c>
      <c r="F732" s="23">
        <f t="shared" si="45"/>
        <v>-5.3459591921082392</v>
      </c>
    </row>
    <row r="733" spans="1:6" x14ac:dyDescent="0.3">
      <c r="A733" s="2">
        <v>43082</v>
      </c>
      <c r="B733" s="1">
        <v>43.067500000000003</v>
      </c>
      <c r="C733" s="1">
        <v>1164.1300000000001</v>
      </c>
      <c r="D733" s="22">
        <f t="shared" si="43"/>
        <v>635.344321104551</v>
      </c>
      <c r="E733" s="23">
        <f t="shared" si="44"/>
        <v>-0.43468675547228486</v>
      </c>
      <c r="F733" s="23">
        <f t="shared" si="45"/>
        <v>0.43468675547228486</v>
      </c>
    </row>
    <row r="734" spans="1:6" x14ac:dyDescent="0.3">
      <c r="A734" s="2">
        <v>43081</v>
      </c>
      <c r="B734" s="1">
        <v>42.924999999999997</v>
      </c>
      <c r="C734" s="1">
        <v>1165.08</v>
      </c>
      <c r="D734" s="22">
        <f t="shared" si="43"/>
        <v>635.77900786002328</v>
      </c>
      <c r="E734" s="23">
        <f t="shared" si="44"/>
        <v>-2.1431218332372737</v>
      </c>
      <c r="F734" s="23">
        <f t="shared" si="45"/>
        <v>2.1431218332372737</v>
      </c>
    </row>
    <row r="735" spans="1:6" x14ac:dyDescent="0.3">
      <c r="A735" s="2">
        <v>43080</v>
      </c>
      <c r="B735" s="1">
        <v>43.167499999999997</v>
      </c>
      <c r="C735" s="1">
        <v>1168.92</v>
      </c>
      <c r="D735" s="22">
        <f t="shared" si="43"/>
        <v>637.92212969326056</v>
      </c>
      <c r="E735" s="23">
        <f t="shared" si="44"/>
        <v>4.0450945305299228</v>
      </c>
      <c r="F735" s="23">
        <f t="shared" si="45"/>
        <v>-4.0450945305299228</v>
      </c>
    </row>
    <row r="736" spans="1:6" x14ac:dyDescent="0.3">
      <c r="A736" s="2">
        <v>43077</v>
      </c>
      <c r="B736" s="1">
        <v>42.342500000000001</v>
      </c>
      <c r="C736" s="1">
        <v>1162</v>
      </c>
      <c r="D736" s="22">
        <f t="shared" si="43"/>
        <v>633.87703516273064</v>
      </c>
      <c r="E736" s="23">
        <f t="shared" si="44"/>
        <v>1.1734774783985813</v>
      </c>
      <c r="F736" s="23">
        <f t="shared" si="45"/>
        <v>-1.1734774783985813</v>
      </c>
    </row>
    <row r="737" spans="1:6" x14ac:dyDescent="0.3">
      <c r="A737" s="2">
        <v>43076</v>
      </c>
      <c r="B737" s="1">
        <v>42.33</v>
      </c>
      <c r="C737" s="1">
        <v>1159.79</v>
      </c>
      <c r="D737" s="22">
        <f t="shared" si="43"/>
        <v>632.70355768433205</v>
      </c>
      <c r="E737" s="23">
        <f t="shared" si="44"/>
        <v>3.9672368303572512</v>
      </c>
      <c r="F737" s="23">
        <f t="shared" si="45"/>
        <v>-3.9672368303572512</v>
      </c>
    </row>
    <row r="738" spans="1:6" x14ac:dyDescent="0.3">
      <c r="A738" s="2">
        <v>43075</v>
      </c>
      <c r="B738" s="1">
        <v>42.252499999999998</v>
      </c>
      <c r="C738" s="1">
        <v>1152.3499999999999</v>
      </c>
      <c r="D738" s="22">
        <f t="shared" si="43"/>
        <v>628.7363208539748</v>
      </c>
      <c r="E738" s="23">
        <f t="shared" si="44"/>
        <v>5.6209715221774559</v>
      </c>
      <c r="F738" s="23">
        <f t="shared" si="45"/>
        <v>-5.6209715221774559</v>
      </c>
    </row>
    <row r="739" spans="1:6" x14ac:dyDescent="0.3">
      <c r="A739" s="2">
        <v>43074</v>
      </c>
      <c r="B739" s="1">
        <v>42.41</v>
      </c>
      <c r="C739" s="1">
        <v>1141.57</v>
      </c>
      <c r="D739" s="22">
        <f t="shared" si="43"/>
        <v>623.11534933179735</v>
      </c>
      <c r="E739" s="23">
        <f t="shared" si="44"/>
        <v>4.0069112557602011</v>
      </c>
      <c r="F739" s="23">
        <f t="shared" si="45"/>
        <v>-4.0069112557602011</v>
      </c>
    </row>
    <row r="740" spans="1:6" x14ac:dyDescent="0.3">
      <c r="A740" s="2">
        <v>43073</v>
      </c>
      <c r="B740" s="1">
        <v>42.45</v>
      </c>
      <c r="C740" s="1">
        <v>1133.95</v>
      </c>
      <c r="D740" s="22">
        <f t="shared" si="43"/>
        <v>619.10843807603715</v>
      </c>
      <c r="E740" s="23">
        <f t="shared" si="44"/>
        <v>-15.151614868951583</v>
      </c>
      <c r="F740" s="23">
        <f t="shared" si="45"/>
        <v>15.151614868951583</v>
      </c>
    </row>
    <row r="741" spans="1:6" x14ac:dyDescent="0.3">
      <c r="A741" s="2">
        <v>43070</v>
      </c>
      <c r="B741" s="1">
        <v>42.762500000000003</v>
      </c>
      <c r="C741" s="1">
        <v>1162.3499999999999</v>
      </c>
      <c r="D741" s="22">
        <f t="shared" si="43"/>
        <v>634.26005294498873</v>
      </c>
      <c r="E741" s="23">
        <f t="shared" si="44"/>
        <v>-7.7021070276498449</v>
      </c>
      <c r="F741" s="23">
        <f t="shared" si="45"/>
        <v>7.7021070276498449</v>
      </c>
    </row>
    <row r="742" spans="1:6" x14ac:dyDescent="0.3">
      <c r="A742" s="2">
        <v>43069</v>
      </c>
      <c r="B742" s="1">
        <v>42.962499999999999</v>
      </c>
      <c r="C742" s="1">
        <v>1176.75</v>
      </c>
      <c r="D742" s="22">
        <f t="shared" si="43"/>
        <v>641.96215997263857</v>
      </c>
      <c r="E742" s="23">
        <f t="shared" si="44"/>
        <v>8.4578252376153387</v>
      </c>
      <c r="F742" s="23">
        <f t="shared" si="45"/>
        <v>-8.4578252376153387</v>
      </c>
    </row>
    <row r="743" spans="1:6" x14ac:dyDescent="0.3">
      <c r="A743" s="2">
        <v>43068</v>
      </c>
      <c r="B743" s="1">
        <v>42.37</v>
      </c>
      <c r="C743" s="1">
        <v>1161.27</v>
      </c>
      <c r="D743" s="22">
        <f t="shared" si="43"/>
        <v>633.50433473502324</v>
      </c>
      <c r="E743" s="23">
        <f t="shared" si="44"/>
        <v>-17.503836559619799</v>
      </c>
      <c r="F743" s="23">
        <f t="shared" si="45"/>
        <v>17.503836559619799</v>
      </c>
    </row>
    <row r="744" spans="1:6" x14ac:dyDescent="0.3">
      <c r="A744" s="2">
        <v>43067</v>
      </c>
      <c r="B744" s="1">
        <v>43.267499999999998</v>
      </c>
      <c r="C744" s="1">
        <v>1193.5999999999999</v>
      </c>
      <c r="D744" s="22">
        <f t="shared" si="43"/>
        <v>651.00817129464303</v>
      </c>
      <c r="E744" s="23">
        <f t="shared" si="44"/>
        <v>-1.2984268577189368</v>
      </c>
      <c r="F744" s="23">
        <f t="shared" si="45"/>
        <v>1.2984268577189368</v>
      </c>
    </row>
    <row r="745" spans="1:6" x14ac:dyDescent="0.3">
      <c r="A745" s="2">
        <v>43066</v>
      </c>
      <c r="B745" s="1">
        <v>43.522500000000001</v>
      </c>
      <c r="C745" s="1">
        <v>1195.83</v>
      </c>
      <c r="D745" s="22">
        <f t="shared" si="43"/>
        <v>652.30659815236197</v>
      </c>
      <c r="E745" s="23">
        <f t="shared" si="44"/>
        <v>5.0895898329492866</v>
      </c>
      <c r="F745" s="23">
        <f t="shared" si="45"/>
        <v>-5.0895898329492866</v>
      </c>
    </row>
    <row r="746" spans="1:6" x14ac:dyDescent="0.3">
      <c r="A746" s="2">
        <v>43063</v>
      </c>
      <c r="B746" s="1">
        <v>43.7425</v>
      </c>
      <c r="C746" s="1">
        <v>1186</v>
      </c>
      <c r="D746" s="22">
        <f t="shared" si="43"/>
        <v>647.21700831941268</v>
      </c>
      <c r="E746" s="23">
        <f t="shared" si="44"/>
        <v>15.76617031249998</v>
      </c>
      <c r="F746" s="23">
        <f t="shared" si="45"/>
        <v>-15.76617031249998</v>
      </c>
    </row>
    <row r="747" spans="1:6" x14ac:dyDescent="0.3">
      <c r="A747" s="2">
        <v>43062</v>
      </c>
      <c r="B747" s="1">
        <v>43.74</v>
      </c>
      <c r="C747" s="1">
        <v>1156.1600000000001</v>
      </c>
      <c r="D747" s="22">
        <f t="shared" si="43"/>
        <v>631.4508380069127</v>
      </c>
      <c r="E747" s="23">
        <f t="shared" si="44"/>
        <v>0</v>
      </c>
      <c r="F747" s="23">
        <f t="shared" si="45"/>
        <v>0</v>
      </c>
    </row>
    <row r="748" spans="1:6" x14ac:dyDescent="0.3">
      <c r="A748" s="2">
        <v>43061</v>
      </c>
      <c r="B748" s="1">
        <v>43.74</v>
      </c>
      <c r="C748" s="1">
        <v>1156.1600000000001</v>
      </c>
      <c r="D748" s="22">
        <f t="shared" si="43"/>
        <v>631.4508380069127</v>
      </c>
      <c r="E748" s="23">
        <f t="shared" si="44"/>
        <v>9.0216665812212113</v>
      </c>
      <c r="F748" s="23">
        <f t="shared" si="45"/>
        <v>-9.0216665812212113</v>
      </c>
    </row>
    <row r="749" spans="1:6" x14ac:dyDescent="0.3">
      <c r="A749" s="2">
        <v>43060</v>
      </c>
      <c r="B749" s="1">
        <v>43.284999999999997</v>
      </c>
      <c r="C749" s="1">
        <v>1139.49</v>
      </c>
      <c r="D749" s="22">
        <f t="shared" si="43"/>
        <v>622.42917142569149</v>
      </c>
      <c r="E749" s="23">
        <f t="shared" si="44"/>
        <v>7.3358525403226622</v>
      </c>
      <c r="F749" s="23">
        <f t="shared" si="45"/>
        <v>-7.3358525403226622</v>
      </c>
    </row>
    <row r="750" spans="1:6" x14ac:dyDescent="0.3">
      <c r="A750" s="2">
        <v>43059</v>
      </c>
      <c r="B750" s="1">
        <v>42.494999999999997</v>
      </c>
      <c r="C750" s="1">
        <v>1126.31</v>
      </c>
      <c r="D750" s="22">
        <f t="shared" si="43"/>
        <v>615.09331888536883</v>
      </c>
      <c r="E750" s="23">
        <f t="shared" si="44"/>
        <v>-1.9061396154954764</v>
      </c>
      <c r="F750" s="23">
        <f t="shared" si="45"/>
        <v>1.9061396154954764</v>
      </c>
    </row>
    <row r="751" spans="1:6" x14ac:dyDescent="0.3">
      <c r="A751" s="2">
        <v>43056</v>
      </c>
      <c r="B751" s="1">
        <v>42.537500000000001</v>
      </c>
      <c r="C751" s="1">
        <v>1129.8800000000001</v>
      </c>
      <c r="D751" s="22">
        <f t="shared" si="43"/>
        <v>616.99945850086431</v>
      </c>
      <c r="E751" s="23">
        <f t="shared" si="44"/>
        <v>-4.0268565250576103</v>
      </c>
      <c r="F751" s="23">
        <f t="shared" si="45"/>
        <v>4.0268565250576103</v>
      </c>
    </row>
    <row r="752" spans="1:6" x14ac:dyDescent="0.3">
      <c r="A752" s="2">
        <v>43055</v>
      </c>
      <c r="B752" s="1">
        <v>42.774999999999999</v>
      </c>
      <c r="C752" s="1">
        <v>1137.29</v>
      </c>
      <c r="D752" s="22">
        <f t="shared" si="43"/>
        <v>621.02631502592192</v>
      </c>
      <c r="E752" s="23">
        <f t="shared" si="44"/>
        <v>5.8383641157832926</v>
      </c>
      <c r="F752" s="23">
        <f t="shared" si="45"/>
        <v>-5.8383641157832926</v>
      </c>
    </row>
    <row r="753" spans="1:6" x14ac:dyDescent="0.3">
      <c r="A753" s="2">
        <v>43054</v>
      </c>
      <c r="B753" s="1">
        <v>42.27</v>
      </c>
      <c r="C753" s="1">
        <v>1126.69</v>
      </c>
      <c r="D753" s="22">
        <f t="shared" si="43"/>
        <v>615.18795091013862</v>
      </c>
      <c r="E753" s="23">
        <f t="shared" si="44"/>
        <v>-5.6289222436633963</v>
      </c>
      <c r="F753" s="23">
        <f t="shared" si="45"/>
        <v>5.6289222436633963</v>
      </c>
    </row>
    <row r="754" spans="1:6" x14ac:dyDescent="0.3">
      <c r="A754" s="2">
        <v>43053</v>
      </c>
      <c r="B754" s="1">
        <v>42.835000000000001</v>
      </c>
      <c r="C754" s="1">
        <v>1136.8399999999999</v>
      </c>
      <c r="D754" s="22">
        <f t="shared" si="43"/>
        <v>620.81687315380202</v>
      </c>
      <c r="E754" s="23">
        <f t="shared" si="44"/>
        <v>3.7420631177993755</v>
      </c>
      <c r="F754" s="23">
        <f t="shared" si="45"/>
        <v>-3.7420631177993755</v>
      </c>
    </row>
    <row r="755" spans="1:6" x14ac:dyDescent="0.3">
      <c r="A755" s="2">
        <v>43052</v>
      </c>
      <c r="B755" s="1">
        <v>43.4925</v>
      </c>
      <c r="C755" s="1">
        <v>1129.17</v>
      </c>
      <c r="D755" s="22">
        <f t="shared" si="43"/>
        <v>617.07481003600265</v>
      </c>
      <c r="E755" s="23">
        <f t="shared" si="44"/>
        <v>1.9356279982720253</v>
      </c>
      <c r="F755" s="23">
        <f t="shared" si="45"/>
        <v>-1.9356279982720253</v>
      </c>
    </row>
    <row r="756" spans="1:6" x14ac:dyDescent="0.3">
      <c r="A756" s="2">
        <v>43049</v>
      </c>
      <c r="B756" s="1">
        <v>43.667499999999997</v>
      </c>
      <c r="C756" s="1">
        <v>1125.3499999999999</v>
      </c>
      <c r="D756" s="22">
        <f t="shared" si="43"/>
        <v>615.13918203773062</v>
      </c>
      <c r="E756" s="23">
        <f t="shared" si="44"/>
        <v>-2.1397237456798166</v>
      </c>
      <c r="F756" s="23">
        <f t="shared" si="45"/>
        <v>2.1397237456798166</v>
      </c>
    </row>
    <row r="757" spans="1:6" x14ac:dyDescent="0.3">
      <c r="A757" s="2">
        <v>43048</v>
      </c>
      <c r="B757" s="1">
        <v>43.97</v>
      </c>
      <c r="C757" s="1">
        <v>1129.1300000000001</v>
      </c>
      <c r="D757" s="22">
        <f t="shared" si="43"/>
        <v>617.27890578341044</v>
      </c>
      <c r="E757" s="23">
        <f t="shared" si="44"/>
        <v>-2.0236416705070042</v>
      </c>
      <c r="F757" s="23">
        <f t="shared" si="45"/>
        <v>2.0236416705070042</v>
      </c>
    </row>
    <row r="758" spans="1:6" x14ac:dyDescent="0.3">
      <c r="A758" s="2">
        <v>43047</v>
      </c>
      <c r="B758" s="1">
        <v>44.06</v>
      </c>
      <c r="C758" s="1">
        <v>1132.8800000000001</v>
      </c>
      <c r="D758" s="22">
        <f t="shared" si="43"/>
        <v>619.30254745391744</v>
      </c>
      <c r="E758" s="23">
        <f t="shared" si="44"/>
        <v>5.2985884490209401</v>
      </c>
      <c r="F758" s="23">
        <f t="shared" si="45"/>
        <v>-5.2985884490209401</v>
      </c>
    </row>
    <row r="759" spans="1:6" x14ac:dyDescent="0.3">
      <c r="A759" s="2">
        <v>43046</v>
      </c>
      <c r="B759" s="1">
        <v>43.702500000000001</v>
      </c>
      <c r="C759" s="1">
        <v>1123.17</v>
      </c>
      <c r="D759" s="22">
        <f t="shared" si="43"/>
        <v>614.0039590048965</v>
      </c>
      <c r="E759" s="23">
        <f t="shared" si="44"/>
        <v>1.3921122292625796</v>
      </c>
      <c r="F759" s="23">
        <f t="shared" si="45"/>
        <v>-1.3921122292625796</v>
      </c>
    </row>
    <row r="760" spans="1:6" x14ac:dyDescent="0.3">
      <c r="A760" s="2">
        <v>43045</v>
      </c>
      <c r="B760" s="1">
        <v>43.5625</v>
      </c>
      <c r="C760" s="1">
        <v>1120.6600000000001</v>
      </c>
      <c r="D760" s="22">
        <f t="shared" si="43"/>
        <v>612.61184677563392</v>
      </c>
      <c r="E760" s="23">
        <f t="shared" si="44"/>
        <v>4.9929167497119806</v>
      </c>
      <c r="F760" s="23">
        <f t="shared" si="45"/>
        <v>-4.9929167497119806</v>
      </c>
    </row>
    <row r="761" spans="1:6" x14ac:dyDescent="0.3">
      <c r="A761" s="2">
        <v>43042</v>
      </c>
      <c r="B761" s="1">
        <v>43.125</v>
      </c>
      <c r="C761" s="1">
        <v>1111.5999999999999</v>
      </c>
      <c r="D761" s="22">
        <f t="shared" si="43"/>
        <v>607.61893002592194</v>
      </c>
      <c r="E761" s="23">
        <f t="shared" si="44"/>
        <v>9.6998280054723409</v>
      </c>
      <c r="F761" s="23">
        <f t="shared" si="45"/>
        <v>-9.6998280054723409</v>
      </c>
    </row>
    <row r="762" spans="1:6" x14ac:dyDescent="0.3">
      <c r="A762" s="2">
        <v>43041</v>
      </c>
      <c r="B762" s="1">
        <v>42.027500000000003</v>
      </c>
      <c r="C762" s="1">
        <v>1094.22</v>
      </c>
      <c r="D762" s="22">
        <f t="shared" si="43"/>
        <v>597.9191020204496</v>
      </c>
      <c r="E762" s="23">
        <f t="shared" si="44"/>
        <v>-4.8540193749998934</v>
      </c>
      <c r="F762" s="23">
        <f t="shared" si="45"/>
        <v>4.8540193749998934</v>
      </c>
    </row>
    <row r="763" spans="1:6" x14ac:dyDescent="0.3">
      <c r="A763" s="2">
        <v>43040</v>
      </c>
      <c r="B763" s="1">
        <v>41.722499999999997</v>
      </c>
      <c r="C763" s="1">
        <v>1103.68</v>
      </c>
      <c r="D763" s="22">
        <f t="shared" si="43"/>
        <v>602.77312139544949</v>
      </c>
      <c r="E763" s="23">
        <f t="shared" si="44"/>
        <v>-1.0988372335830263</v>
      </c>
      <c r="F763" s="23">
        <f t="shared" si="45"/>
        <v>1.0988372335830263</v>
      </c>
    </row>
    <row r="764" spans="1:6" x14ac:dyDescent="0.3">
      <c r="A764" s="2">
        <v>43039</v>
      </c>
      <c r="B764" s="1">
        <v>42.26</v>
      </c>
      <c r="C764" s="1">
        <v>1105.28</v>
      </c>
      <c r="D764" s="22">
        <f t="shared" si="43"/>
        <v>603.87195862903252</v>
      </c>
      <c r="E764" s="23">
        <f t="shared" si="44"/>
        <v>-2.6691519873270408</v>
      </c>
      <c r="F764" s="23">
        <f t="shared" si="45"/>
        <v>2.6691519873270408</v>
      </c>
    </row>
    <row r="765" spans="1:6" x14ac:dyDescent="0.3">
      <c r="A765" s="2">
        <v>43038</v>
      </c>
      <c r="B765" s="1">
        <v>41.68</v>
      </c>
      <c r="C765" s="1">
        <v>1110.8499999999999</v>
      </c>
      <c r="D765" s="22">
        <f t="shared" si="43"/>
        <v>606.54111061635956</v>
      </c>
      <c r="E765" s="23">
        <f t="shared" si="44"/>
        <v>5.6631110123846611</v>
      </c>
      <c r="F765" s="23">
        <f t="shared" si="45"/>
        <v>-5.6631110123846611</v>
      </c>
    </row>
    <row r="766" spans="1:6" x14ac:dyDescent="0.3">
      <c r="A766" s="2">
        <v>43035</v>
      </c>
      <c r="B766" s="1">
        <v>40.762500000000003</v>
      </c>
      <c r="C766" s="1">
        <v>1100.95</v>
      </c>
      <c r="D766" s="22">
        <f t="shared" si="43"/>
        <v>600.8779996039749</v>
      </c>
      <c r="E766" s="23">
        <f t="shared" si="44"/>
        <v>68.564477077131414</v>
      </c>
      <c r="F766" s="23">
        <f t="shared" si="45"/>
        <v>-68.564477077131414</v>
      </c>
    </row>
    <row r="767" spans="1:6" x14ac:dyDescent="0.3">
      <c r="A767" s="2">
        <v>43034</v>
      </c>
      <c r="B767" s="1">
        <v>39.352499999999999</v>
      </c>
      <c r="C767" s="1">
        <v>972.42989999999998</v>
      </c>
      <c r="D767" s="22">
        <f t="shared" si="43"/>
        <v>532.31352252684349</v>
      </c>
      <c r="E767" s="23">
        <f t="shared" si="44"/>
        <v>-0.13567169930877299</v>
      </c>
      <c r="F767" s="23">
        <f t="shared" si="45"/>
        <v>0.13567169930877299</v>
      </c>
    </row>
    <row r="768" spans="1:6" x14ac:dyDescent="0.3">
      <c r="A768" s="2">
        <v>43033</v>
      </c>
      <c r="B768" s="1">
        <v>39.102499999999999</v>
      </c>
      <c r="C768" s="1">
        <v>972.90989999999999</v>
      </c>
      <c r="D768" s="22">
        <f t="shared" si="43"/>
        <v>532.44919422615226</v>
      </c>
      <c r="E768" s="23">
        <f t="shared" si="44"/>
        <v>-1.6610342641129137</v>
      </c>
      <c r="F768" s="23">
        <f t="shared" si="45"/>
        <v>1.6610342641129137</v>
      </c>
    </row>
    <row r="769" spans="1:6" x14ac:dyDescent="0.3">
      <c r="A769" s="2">
        <v>43032</v>
      </c>
      <c r="B769" s="1">
        <v>39.274999999999999</v>
      </c>
      <c r="C769" s="1">
        <v>975.8999</v>
      </c>
      <c r="D769" s="22">
        <f t="shared" si="43"/>
        <v>534.11022849026517</v>
      </c>
      <c r="E769" s="23">
        <f t="shared" si="44"/>
        <v>5.1814603782257791</v>
      </c>
      <c r="F769" s="23">
        <f t="shared" si="45"/>
        <v>-5.1814603782257791</v>
      </c>
    </row>
    <row r="770" spans="1:6" x14ac:dyDescent="0.3">
      <c r="A770" s="2">
        <v>43031</v>
      </c>
      <c r="B770" s="1">
        <v>39.042499999999997</v>
      </c>
      <c r="C770" s="1">
        <v>966.3</v>
      </c>
      <c r="D770" s="22">
        <f t="shared" si="43"/>
        <v>528.92876811203939</v>
      </c>
      <c r="E770" s="23">
        <f t="shared" si="44"/>
        <v>-8.7847327730989946</v>
      </c>
      <c r="F770" s="23">
        <f t="shared" si="45"/>
        <v>8.7847327730989946</v>
      </c>
    </row>
    <row r="771" spans="1:6" x14ac:dyDescent="0.3">
      <c r="A771" s="2">
        <v>43028</v>
      </c>
      <c r="B771" s="1">
        <v>39.0625</v>
      </c>
      <c r="C771" s="1">
        <v>982.90989999999999</v>
      </c>
      <c r="D771" s="22">
        <f t="shared" si="43"/>
        <v>537.71350088513839</v>
      </c>
      <c r="E771" s="23">
        <f t="shared" si="44"/>
        <v>-1.9230414540899119</v>
      </c>
      <c r="F771" s="23">
        <f t="shared" si="45"/>
        <v>1.9230414540899119</v>
      </c>
    </row>
    <row r="772" spans="1:6" x14ac:dyDescent="0.3">
      <c r="A772" s="2">
        <v>43027</v>
      </c>
      <c r="B772" s="1">
        <v>38.994999999999997</v>
      </c>
      <c r="C772" s="1">
        <v>986.61009999999999</v>
      </c>
      <c r="D772" s="22">
        <f t="shared" si="43"/>
        <v>539.6365423392283</v>
      </c>
      <c r="E772" s="23">
        <f t="shared" si="44"/>
        <v>-5.9349049764401798</v>
      </c>
      <c r="F772" s="23">
        <f t="shared" si="45"/>
        <v>5.9349049764401798</v>
      </c>
    </row>
    <row r="773" spans="1:6" x14ac:dyDescent="0.3">
      <c r="A773" s="2">
        <v>43026</v>
      </c>
      <c r="B773" s="1">
        <v>39.94</v>
      </c>
      <c r="C773" s="1">
        <v>997</v>
      </c>
      <c r="D773" s="22">
        <f t="shared" si="43"/>
        <v>545.57144731566848</v>
      </c>
      <c r="E773" s="23">
        <f t="shared" si="44"/>
        <v>-6.4922136794353946</v>
      </c>
      <c r="F773" s="23">
        <f t="shared" si="45"/>
        <v>6.4922136794353946</v>
      </c>
    </row>
    <row r="774" spans="1:6" x14ac:dyDescent="0.3">
      <c r="A774" s="2">
        <v>43025</v>
      </c>
      <c r="B774" s="1">
        <v>40.1175</v>
      </c>
      <c r="C774" s="1">
        <v>1009.13</v>
      </c>
      <c r="D774" s="22">
        <f t="shared" ref="D774:D837" si="46">$M$16*B774+(1-$M$16)*C774</f>
        <v>552.06366099510387</v>
      </c>
      <c r="E774" s="23">
        <f t="shared" ref="E774:E837" si="47">D774-D775</f>
        <v>1.5435787197579884</v>
      </c>
      <c r="F774" s="23">
        <f t="shared" ref="F774:F837" si="48">-E774</f>
        <v>-1.5435787197579884</v>
      </c>
    </row>
    <row r="775" spans="1:6" x14ac:dyDescent="0.3">
      <c r="A775" s="2">
        <v>43024</v>
      </c>
      <c r="B775" s="1">
        <v>39.97</v>
      </c>
      <c r="C775" s="1">
        <v>1006.34</v>
      </c>
      <c r="D775" s="22">
        <f t="shared" si="46"/>
        <v>550.52008227534589</v>
      </c>
      <c r="E775" s="23">
        <f t="shared" si="47"/>
        <v>2.1370698286290235</v>
      </c>
      <c r="F775" s="23">
        <f t="shared" si="48"/>
        <v>-2.1370698286290235</v>
      </c>
    </row>
    <row r="776" spans="1:6" x14ac:dyDescent="0.3">
      <c r="A776" s="2">
        <v>43021</v>
      </c>
      <c r="B776" s="1">
        <v>39.247500000000002</v>
      </c>
      <c r="C776" s="1">
        <v>1002.94</v>
      </c>
      <c r="D776" s="22">
        <f t="shared" si="46"/>
        <v>548.38301244671686</v>
      </c>
      <c r="E776" s="23">
        <f t="shared" si="47"/>
        <v>1.1786594110023998</v>
      </c>
      <c r="F776" s="23">
        <f t="shared" si="48"/>
        <v>-1.1786594110023998</v>
      </c>
    </row>
    <row r="777" spans="1:6" x14ac:dyDescent="0.3">
      <c r="A777" s="2">
        <v>43020</v>
      </c>
      <c r="B777" s="1">
        <v>39</v>
      </c>
      <c r="C777" s="1">
        <v>1000.93</v>
      </c>
      <c r="D777" s="22">
        <f t="shared" si="46"/>
        <v>547.20435303571446</v>
      </c>
      <c r="E777" s="23">
        <f t="shared" si="47"/>
        <v>3.0680658021312865</v>
      </c>
      <c r="F777" s="23">
        <f t="shared" si="48"/>
        <v>-3.0680658021312865</v>
      </c>
    </row>
    <row r="778" spans="1:6" x14ac:dyDescent="0.3">
      <c r="A778" s="2">
        <v>43019</v>
      </c>
      <c r="B778" s="1">
        <v>39.137500000000003</v>
      </c>
      <c r="C778" s="1">
        <v>995</v>
      </c>
      <c r="D778" s="22">
        <f t="shared" si="46"/>
        <v>544.13628723358318</v>
      </c>
      <c r="E778" s="23">
        <f t="shared" si="47"/>
        <v>4.1975241143433095</v>
      </c>
      <c r="F778" s="23">
        <f t="shared" si="48"/>
        <v>-4.1975241143433095</v>
      </c>
    </row>
    <row r="779" spans="1:6" x14ac:dyDescent="0.3">
      <c r="A779" s="2">
        <v>43018</v>
      </c>
      <c r="B779" s="1">
        <v>38.975000000000001</v>
      </c>
      <c r="C779" s="1">
        <v>987.2</v>
      </c>
      <c r="D779" s="22">
        <f t="shared" si="46"/>
        <v>539.93876311923987</v>
      </c>
      <c r="E779" s="23">
        <f t="shared" si="47"/>
        <v>-1.9952476929722707</v>
      </c>
      <c r="F779" s="23">
        <f t="shared" si="48"/>
        <v>1.9952476929722707</v>
      </c>
    </row>
    <row r="780" spans="1:6" x14ac:dyDescent="0.3">
      <c r="A780" s="2">
        <v>43017</v>
      </c>
      <c r="B780" s="1">
        <v>38.96</v>
      </c>
      <c r="C780" s="1">
        <v>990.99</v>
      </c>
      <c r="D780" s="22">
        <f t="shared" si="46"/>
        <v>541.93401081221214</v>
      </c>
      <c r="E780" s="23">
        <f t="shared" si="47"/>
        <v>0.80855184855988682</v>
      </c>
      <c r="F780" s="23">
        <f t="shared" si="48"/>
        <v>-0.80855184855988682</v>
      </c>
    </row>
    <row r="781" spans="1:6" x14ac:dyDescent="0.3">
      <c r="A781" s="2">
        <v>43014</v>
      </c>
      <c r="B781" s="1">
        <v>38.825000000000003</v>
      </c>
      <c r="C781" s="1">
        <v>989.58010000000002</v>
      </c>
      <c r="D781" s="22">
        <f t="shared" si="46"/>
        <v>541.12545896365225</v>
      </c>
      <c r="E781" s="23">
        <f t="shared" si="47"/>
        <v>4.6015980112326815</v>
      </c>
      <c r="F781" s="23">
        <f t="shared" si="48"/>
        <v>-4.6015980112326815</v>
      </c>
    </row>
    <row r="782" spans="1:6" x14ac:dyDescent="0.3">
      <c r="A782" s="2">
        <v>43013</v>
      </c>
      <c r="B782" s="1">
        <v>38.847499999999997</v>
      </c>
      <c r="C782" s="1">
        <v>980.8501</v>
      </c>
      <c r="D782" s="22">
        <f t="shared" si="46"/>
        <v>536.52386095241957</v>
      </c>
      <c r="E782" s="23">
        <f t="shared" si="47"/>
        <v>8.3613691782258002</v>
      </c>
      <c r="F782" s="23">
        <f t="shared" si="48"/>
        <v>-8.3613691782258002</v>
      </c>
    </row>
    <row r="783" spans="1:6" x14ac:dyDescent="0.3">
      <c r="A783" s="2">
        <v>43012</v>
      </c>
      <c r="B783" s="1">
        <v>38.369999999999997</v>
      </c>
      <c r="C783" s="1">
        <v>965.45</v>
      </c>
      <c r="D783" s="22">
        <f t="shared" si="46"/>
        <v>528.16249177419377</v>
      </c>
      <c r="E783" s="23">
        <f t="shared" si="47"/>
        <v>4.2934767765552806</v>
      </c>
      <c r="F783" s="23">
        <f t="shared" si="48"/>
        <v>-4.2934767765552806</v>
      </c>
    </row>
    <row r="784" spans="1:6" x14ac:dyDescent="0.3">
      <c r="A784" s="2">
        <v>43011</v>
      </c>
      <c r="B784" s="1">
        <v>38.619999999999997</v>
      </c>
      <c r="C784" s="1">
        <v>957.1001</v>
      </c>
      <c r="D784" s="22">
        <f t="shared" si="46"/>
        <v>523.86901499763849</v>
      </c>
      <c r="E784" s="23">
        <f t="shared" si="47"/>
        <v>-1.0250708586980863</v>
      </c>
      <c r="F784" s="23">
        <f t="shared" si="48"/>
        <v>1.0250708586980863</v>
      </c>
    </row>
    <row r="785" spans="1:6" x14ac:dyDescent="0.3">
      <c r="A785" s="2">
        <v>43010</v>
      </c>
      <c r="B785" s="1">
        <v>38.452500000000001</v>
      </c>
      <c r="C785" s="1">
        <v>959.18989999999997</v>
      </c>
      <c r="D785" s="22">
        <f t="shared" si="46"/>
        <v>524.89408585633657</v>
      </c>
      <c r="E785" s="23">
        <f t="shared" si="47"/>
        <v>-1.1778266413018628</v>
      </c>
      <c r="F785" s="23">
        <f t="shared" si="48"/>
        <v>1.1778266413018628</v>
      </c>
    </row>
    <row r="786" spans="1:6" x14ac:dyDescent="0.3">
      <c r="A786" s="2">
        <v>43007</v>
      </c>
      <c r="B786" s="1">
        <v>38.53</v>
      </c>
      <c r="C786" s="1">
        <v>961.3501</v>
      </c>
      <c r="D786" s="22">
        <f t="shared" si="46"/>
        <v>526.07191249763844</v>
      </c>
      <c r="E786" s="23">
        <f t="shared" si="47"/>
        <v>2.7143301220045259</v>
      </c>
      <c r="F786" s="23">
        <f t="shared" si="48"/>
        <v>-2.7143301220045259</v>
      </c>
    </row>
    <row r="787" spans="1:6" x14ac:dyDescent="0.3">
      <c r="A787" s="2">
        <v>43006</v>
      </c>
      <c r="B787" s="1">
        <v>38.32</v>
      </c>
      <c r="C787" s="1">
        <v>956.3999</v>
      </c>
      <c r="D787" s="22">
        <f t="shared" si="46"/>
        <v>523.35758237563391</v>
      </c>
      <c r="E787" s="23">
        <f t="shared" si="47"/>
        <v>2.8094649197581703</v>
      </c>
      <c r="F787" s="23">
        <f t="shared" si="48"/>
        <v>-2.8094649197581703</v>
      </c>
    </row>
    <row r="788" spans="1:6" x14ac:dyDescent="0.3">
      <c r="A788" s="2">
        <v>43005</v>
      </c>
      <c r="B788" s="1">
        <v>38.557499999999997</v>
      </c>
      <c r="C788" s="1">
        <v>950.87009999999998</v>
      </c>
      <c r="D788" s="22">
        <f t="shared" si="46"/>
        <v>520.54811745587574</v>
      </c>
      <c r="E788" s="23">
        <f t="shared" si="47"/>
        <v>6.6109879622695189</v>
      </c>
      <c r="F788" s="23">
        <f t="shared" si="48"/>
        <v>-6.6109879622695189</v>
      </c>
    </row>
    <row r="789" spans="1:6" x14ac:dyDescent="0.3">
      <c r="A789" s="2">
        <v>43004</v>
      </c>
      <c r="B789" s="1">
        <v>38.284999999999997</v>
      </c>
      <c r="C789" s="1">
        <v>938.6001</v>
      </c>
      <c r="D789" s="22">
        <f t="shared" si="46"/>
        <v>513.93712949360622</v>
      </c>
      <c r="E789" s="23">
        <f t="shared" si="47"/>
        <v>-0.3232303839861288</v>
      </c>
      <c r="F789" s="23">
        <f t="shared" si="48"/>
        <v>0.3232303839861288</v>
      </c>
    </row>
    <row r="790" spans="1:6" x14ac:dyDescent="0.3">
      <c r="A790" s="2">
        <v>43003</v>
      </c>
      <c r="B790" s="1">
        <v>37.637500000000003</v>
      </c>
      <c r="C790" s="1">
        <v>939.79</v>
      </c>
      <c r="D790" s="22">
        <f t="shared" si="46"/>
        <v>514.26035987759235</v>
      </c>
      <c r="E790" s="23">
        <f t="shared" si="47"/>
        <v>-8.2466058415323005</v>
      </c>
      <c r="F790" s="23">
        <f t="shared" si="48"/>
        <v>8.2466058415323005</v>
      </c>
    </row>
    <row r="791" spans="1:6" x14ac:dyDescent="0.3">
      <c r="A791" s="2">
        <v>43000</v>
      </c>
      <c r="B791" s="1">
        <v>37.972499999999997</v>
      </c>
      <c r="C791" s="1">
        <v>955.1001</v>
      </c>
      <c r="D791" s="22">
        <f t="shared" si="46"/>
        <v>522.50696571912465</v>
      </c>
      <c r="E791" s="23">
        <f t="shared" si="47"/>
        <v>-5.2222064476958394</v>
      </c>
      <c r="F791" s="23">
        <f t="shared" si="48"/>
        <v>5.2222064476958394</v>
      </c>
    </row>
    <row r="792" spans="1:6" x14ac:dyDescent="0.3">
      <c r="A792" s="2">
        <v>42999</v>
      </c>
      <c r="B792" s="1">
        <v>38.347499999999997</v>
      </c>
      <c r="C792" s="1">
        <v>964.6499</v>
      </c>
      <c r="D792" s="22">
        <f t="shared" si="46"/>
        <v>527.72917216682049</v>
      </c>
      <c r="E792" s="23">
        <f t="shared" si="47"/>
        <v>-4.8384770886520982</v>
      </c>
      <c r="F792" s="23">
        <f t="shared" si="48"/>
        <v>4.8384770886520982</v>
      </c>
    </row>
    <row r="793" spans="1:6" x14ac:dyDescent="0.3">
      <c r="A793" s="2">
        <v>42998</v>
      </c>
      <c r="B793" s="1">
        <v>39.017499999999998</v>
      </c>
      <c r="C793" s="1">
        <v>973.21</v>
      </c>
      <c r="D793" s="22">
        <f t="shared" si="46"/>
        <v>532.56764925547259</v>
      </c>
      <c r="E793" s="23">
        <f t="shared" si="47"/>
        <v>1.4561415144585226</v>
      </c>
      <c r="F793" s="23">
        <f t="shared" si="48"/>
        <v>-1.4561415144585226</v>
      </c>
    </row>
    <row r="794" spans="1:6" x14ac:dyDescent="0.3">
      <c r="A794" s="2">
        <v>42997</v>
      </c>
      <c r="B794" s="1">
        <v>39.682499999999997</v>
      </c>
      <c r="C794" s="1">
        <v>969.86009999999999</v>
      </c>
      <c r="D794" s="22">
        <f t="shared" si="46"/>
        <v>531.11150774101407</v>
      </c>
      <c r="E794" s="23">
        <f t="shared" si="47"/>
        <v>-2.2804334235022452</v>
      </c>
      <c r="F794" s="23">
        <f t="shared" si="48"/>
        <v>2.2804334235022452</v>
      </c>
    </row>
    <row r="795" spans="1:6" x14ac:dyDescent="0.3">
      <c r="A795" s="2">
        <v>42996</v>
      </c>
      <c r="B795" s="1">
        <v>39.667499999999997</v>
      </c>
      <c r="C795" s="1">
        <v>974.18989999999997</v>
      </c>
      <c r="D795" s="22">
        <f t="shared" si="46"/>
        <v>533.39194116451631</v>
      </c>
      <c r="E795" s="23">
        <f t="shared" si="47"/>
        <v>-6.7995360129032179</v>
      </c>
      <c r="F795" s="23">
        <f t="shared" si="48"/>
        <v>6.7995360129032179</v>
      </c>
    </row>
    <row r="796" spans="1:6" x14ac:dyDescent="0.3">
      <c r="A796" s="2">
        <v>42993</v>
      </c>
      <c r="B796" s="1">
        <v>39.97</v>
      </c>
      <c r="C796" s="1">
        <v>986.79</v>
      </c>
      <c r="D796" s="22">
        <f t="shared" si="46"/>
        <v>540.19147717741953</v>
      </c>
      <c r="E796" s="23">
        <f t="shared" si="47"/>
        <v>-2.6748072465437644</v>
      </c>
      <c r="F796" s="23">
        <f t="shared" si="48"/>
        <v>2.6748072465437644</v>
      </c>
    </row>
    <row r="797" spans="1:6" x14ac:dyDescent="0.3">
      <c r="A797" s="2">
        <v>42992</v>
      </c>
      <c r="B797" s="1">
        <v>39.57</v>
      </c>
      <c r="C797" s="1">
        <v>992.21</v>
      </c>
      <c r="D797" s="22">
        <f t="shared" si="46"/>
        <v>542.86628442396329</v>
      </c>
      <c r="E797" s="23">
        <f t="shared" si="47"/>
        <v>-4.0658696822581533</v>
      </c>
      <c r="F797" s="23">
        <f t="shared" si="48"/>
        <v>4.0658696822581533</v>
      </c>
    </row>
    <row r="798" spans="1:6" x14ac:dyDescent="0.3">
      <c r="A798" s="2">
        <v>42991</v>
      </c>
      <c r="B798" s="1">
        <v>39.912500000000001</v>
      </c>
      <c r="C798" s="1">
        <v>999.6001</v>
      </c>
      <c r="D798" s="22">
        <f t="shared" si="46"/>
        <v>546.93215410622145</v>
      </c>
      <c r="E798" s="23">
        <f t="shared" si="47"/>
        <v>8.8492780976383756</v>
      </c>
      <c r="F798" s="23">
        <f t="shared" si="48"/>
        <v>-8.8492780976383756</v>
      </c>
    </row>
    <row r="799" spans="1:6" x14ac:dyDescent="0.3">
      <c r="A799" s="2">
        <v>42990</v>
      </c>
      <c r="B799" s="1">
        <v>40.215000000000003</v>
      </c>
      <c r="C799" s="1">
        <v>982.58010000000002</v>
      </c>
      <c r="D799" s="22">
        <f t="shared" si="46"/>
        <v>538.08287600858307</v>
      </c>
      <c r="E799" s="23">
        <f t="shared" si="47"/>
        <v>2.36540998611747</v>
      </c>
      <c r="F799" s="23">
        <f t="shared" si="48"/>
        <v>-2.36540998611747</v>
      </c>
    </row>
    <row r="800" spans="1:6" x14ac:dyDescent="0.3">
      <c r="A800" s="2">
        <v>42989</v>
      </c>
      <c r="B800" s="1">
        <v>40.375</v>
      </c>
      <c r="C800" s="1">
        <v>977.96</v>
      </c>
      <c r="D800" s="22">
        <f t="shared" si="46"/>
        <v>535.7174660224656</v>
      </c>
      <c r="E800" s="23">
        <f t="shared" si="47"/>
        <v>6.7099928994239235</v>
      </c>
      <c r="F800" s="23">
        <f t="shared" si="48"/>
        <v>-6.7099928994239235</v>
      </c>
    </row>
    <row r="801" spans="1:6" x14ac:dyDescent="0.3">
      <c r="A801" s="2">
        <v>42986</v>
      </c>
      <c r="B801" s="1">
        <v>39.657499999999999</v>
      </c>
      <c r="C801" s="1">
        <v>965.8999</v>
      </c>
      <c r="D801" s="22">
        <f t="shared" si="46"/>
        <v>529.00747312304168</v>
      </c>
      <c r="E801" s="23">
        <f t="shared" si="47"/>
        <v>-7.4794512116359329</v>
      </c>
      <c r="F801" s="23">
        <f t="shared" si="48"/>
        <v>7.4794512116359329</v>
      </c>
    </row>
    <row r="802" spans="1:6" x14ac:dyDescent="0.3">
      <c r="A802" s="2">
        <v>42985</v>
      </c>
      <c r="B802" s="1">
        <v>40.314999999999998</v>
      </c>
      <c r="C802" s="1">
        <v>979.47</v>
      </c>
      <c r="D802" s="22">
        <f t="shared" si="46"/>
        <v>536.48692433467761</v>
      </c>
      <c r="E802" s="23">
        <f t="shared" si="47"/>
        <v>6.0888155918778466</v>
      </c>
      <c r="F802" s="23">
        <f t="shared" si="48"/>
        <v>-6.0888155918778466</v>
      </c>
    </row>
    <row r="803" spans="1:6" x14ac:dyDescent="0.3">
      <c r="A803" s="2">
        <v>42984</v>
      </c>
      <c r="B803" s="1">
        <v>40.477499999999999</v>
      </c>
      <c r="C803" s="1">
        <v>967.8</v>
      </c>
      <c r="D803" s="22">
        <f t="shared" si="46"/>
        <v>530.39810874279976</v>
      </c>
      <c r="E803" s="23">
        <f t="shared" si="47"/>
        <v>1.3165965020161821</v>
      </c>
      <c r="F803" s="23">
        <f t="shared" si="48"/>
        <v>-1.3165965020161821</v>
      </c>
    </row>
    <row r="804" spans="1:6" x14ac:dyDescent="0.3">
      <c r="A804" s="2">
        <v>42983</v>
      </c>
      <c r="B804" s="1">
        <v>40.520000000000003</v>
      </c>
      <c r="C804" s="1">
        <v>965.27</v>
      </c>
      <c r="D804" s="22">
        <f t="shared" si="46"/>
        <v>529.08151224078358</v>
      </c>
      <c r="E804" s="23">
        <f t="shared" si="47"/>
        <v>-7.0898634864631731</v>
      </c>
      <c r="F804" s="23">
        <f t="shared" si="48"/>
        <v>7.0898634864631731</v>
      </c>
    </row>
    <row r="805" spans="1:6" x14ac:dyDescent="0.3">
      <c r="A805" s="2">
        <v>42982</v>
      </c>
      <c r="B805" s="1">
        <v>41.012500000000003</v>
      </c>
      <c r="C805" s="1">
        <v>978.25</v>
      </c>
      <c r="D805" s="22">
        <f t="shared" si="46"/>
        <v>536.17137572724675</v>
      </c>
      <c r="E805" s="23">
        <f t="shared" si="47"/>
        <v>0</v>
      </c>
      <c r="F805" s="23">
        <f t="shared" si="48"/>
        <v>0</v>
      </c>
    </row>
    <row r="806" spans="1:6" x14ac:dyDescent="0.3">
      <c r="A806" s="2">
        <v>42979</v>
      </c>
      <c r="B806" s="1">
        <v>41.012500000000003</v>
      </c>
      <c r="C806" s="1">
        <v>978.25</v>
      </c>
      <c r="D806" s="22">
        <f t="shared" si="46"/>
        <v>536.17137572724675</v>
      </c>
      <c r="E806" s="23">
        <f t="shared" si="47"/>
        <v>-1.2357026805300393</v>
      </c>
      <c r="F806" s="23">
        <f t="shared" si="48"/>
        <v>1.2357026805300393</v>
      </c>
    </row>
    <row r="807" spans="1:6" x14ac:dyDescent="0.3">
      <c r="A807" s="2">
        <v>42978</v>
      </c>
      <c r="B807" s="1">
        <v>41</v>
      </c>
      <c r="C807" s="1">
        <v>980.6001</v>
      </c>
      <c r="D807" s="22">
        <f t="shared" si="46"/>
        <v>537.40707840777679</v>
      </c>
      <c r="E807" s="23">
        <f t="shared" si="47"/>
        <v>6.9500577491360218</v>
      </c>
      <c r="F807" s="23">
        <f t="shared" si="48"/>
        <v>-6.9500577491360218</v>
      </c>
    </row>
    <row r="808" spans="1:6" x14ac:dyDescent="0.3">
      <c r="A808" s="2">
        <v>42977</v>
      </c>
      <c r="B808" s="1">
        <v>40.837499999999999</v>
      </c>
      <c r="C808" s="1">
        <v>967.59010000000001</v>
      </c>
      <c r="D808" s="22">
        <f t="shared" si="46"/>
        <v>530.45702065864077</v>
      </c>
      <c r="E808" s="23">
        <f t="shared" si="47"/>
        <v>7.2000194585253894</v>
      </c>
      <c r="F808" s="23">
        <f t="shared" si="48"/>
        <v>-7.2000194585253894</v>
      </c>
    </row>
    <row r="809" spans="1:6" x14ac:dyDescent="0.3">
      <c r="A809" s="2">
        <v>42976</v>
      </c>
      <c r="B809" s="1">
        <v>40.727499999999999</v>
      </c>
      <c r="C809" s="1">
        <v>954.06010000000003</v>
      </c>
      <c r="D809" s="22">
        <f t="shared" si="46"/>
        <v>523.25700120011538</v>
      </c>
      <c r="E809" s="23">
        <f t="shared" si="47"/>
        <v>4.4175304354262153</v>
      </c>
      <c r="F809" s="23">
        <f t="shared" si="48"/>
        <v>-4.4175304354262153</v>
      </c>
    </row>
    <row r="810" spans="1:6" x14ac:dyDescent="0.3">
      <c r="A810" s="2">
        <v>42975</v>
      </c>
      <c r="B810" s="1">
        <v>40.3675</v>
      </c>
      <c r="C810" s="1">
        <v>946.02</v>
      </c>
      <c r="D810" s="22">
        <f t="shared" si="46"/>
        <v>518.83947076468917</v>
      </c>
      <c r="E810" s="23">
        <f t="shared" si="47"/>
        <v>0.59137346918203093</v>
      </c>
      <c r="F810" s="23">
        <f t="shared" si="48"/>
        <v>-0.59137346918203093</v>
      </c>
    </row>
    <row r="811" spans="1:6" x14ac:dyDescent="0.3">
      <c r="A811" s="2">
        <v>42972</v>
      </c>
      <c r="B811" s="1">
        <v>39.965000000000003</v>
      </c>
      <c r="C811" s="1">
        <v>945.26</v>
      </c>
      <c r="D811" s="22">
        <f t="shared" si="46"/>
        <v>518.24809729550714</v>
      </c>
      <c r="E811" s="23">
        <f t="shared" si="47"/>
        <v>-3.7290288954492326</v>
      </c>
      <c r="F811" s="23">
        <f t="shared" si="48"/>
        <v>3.7290288954492326</v>
      </c>
    </row>
    <row r="812" spans="1:6" x14ac:dyDescent="0.3">
      <c r="A812" s="2">
        <v>42971</v>
      </c>
      <c r="B812" s="1">
        <v>39.817500000000003</v>
      </c>
      <c r="C812" s="1">
        <v>952.45</v>
      </c>
      <c r="D812" s="22">
        <f t="shared" si="46"/>
        <v>521.97712619095637</v>
      </c>
      <c r="E812" s="23">
        <f t="shared" si="47"/>
        <v>-3.0158852116935577</v>
      </c>
      <c r="F812" s="23">
        <f t="shared" si="48"/>
        <v>3.0158852116935577</v>
      </c>
    </row>
    <row r="813" spans="1:6" x14ac:dyDescent="0.3">
      <c r="A813" s="2">
        <v>42970</v>
      </c>
      <c r="B813" s="1">
        <v>39.994999999999997</v>
      </c>
      <c r="C813" s="1">
        <v>958</v>
      </c>
      <c r="D813" s="22">
        <f t="shared" si="46"/>
        <v>524.99301140264993</v>
      </c>
      <c r="E813" s="23">
        <f t="shared" si="47"/>
        <v>-4.6783878652649946</v>
      </c>
      <c r="F813" s="23">
        <f t="shared" si="48"/>
        <v>4.6783878652649946</v>
      </c>
    </row>
    <row r="814" spans="1:6" x14ac:dyDescent="0.3">
      <c r="A814" s="2">
        <v>42969</v>
      </c>
      <c r="B814" s="1">
        <v>39.945</v>
      </c>
      <c r="C814" s="1">
        <v>966.8999</v>
      </c>
      <c r="D814" s="22">
        <f t="shared" si="46"/>
        <v>529.67139926791492</v>
      </c>
      <c r="E814" s="23">
        <f t="shared" si="47"/>
        <v>7.4934030049539615</v>
      </c>
      <c r="F814" s="23">
        <f t="shared" si="48"/>
        <v>-7.4934030049539615</v>
      </c>
    </row>
    <row r="815" spans="1:6" x14ac:dyDescent="0.3">
      <c r="A815" s="2">
        <v>42968</v>
      </c>
      <c r="B815" s="1">
        <v>39.302500000000002</v>
      </c>
      <c r="C815" s="1">
        <v>953.29</v>
      </c>
      <c r="D815" s="22">
        <f t="shared" si="46"/>
        <v>522.17799626296096</v>
      </c>
      <c r="E815" s="23">
        <f t="shared" si="47"/>
        <v>-2.770881101670625</v>
      </c>
      <c r="F815" s="23">
        <f t="shared" si="48"/>
        <v>2.770881101670625</v>
      </c>
    </row>
    <row r="816" spans="1:6" x14ac:dyDescent="0.3">
      <c r="A816" s="2">
        <v>42965</v>
      </c>
      <c r="B816" s="1">
        <v>39.375</v>
      </c>
      <c r="C816" s="1">
        <v>958.47</v>
      </c>
      <c r="D816" s="22">
        <f t="shared" si="46"/>
        <v>524.94887736463158</v>
      </c>
      <c r="E816" s="23">
        <f t="shared" si="47"/>
        <v>-1.1519707983294438</v>
      </c>
      <c r="F816" s="23">
        <f t="shared" si="48"/>
        <v>1.1519707983294438</v>
      </c>
    </row>
    <row r="817" spans="1:6" x14ac:dyDescent="0.3">
      <c r="A817" s="2">
        <v>42964</v>
      </c>
      <c r="B817" s="1">
        <v>39.465000000000003</v>
      </c>
      <c r="C817" s="1">
        <v>960.57010000000002</v>
      </c>
      <c r="D817" s="22">
        <f t="shared" si="46"/>
        <v>526.10084816296103</v>
      </c>
      <c r="E817" s="23">
        <f t="shared" si="47"/>
        <v>-9.6679384969470448</v>
      </c>
      <c r="F817" s="23">
        <f t="shared" si="48"/>
        <v>9.6679384969470448</v>
      </c>
    </row>
    <row r="818" spans="1:6" x14ac:dyDescent="0.3">
      <c r="A818" s="2">
        <v>42963</v>
      </c>
      <c r="B818" s="1">
        <v>40.237499999999997</v>
      </c>
      <c r="C818" s="1">
        <v>978.17989999999998</v>
      </c>
      <c r="D818" s="22">
        <f t="shared" si="46"/>
        <v>535.76878665990807</v>
      </c>
      <c r="E818" s="23">
        <f t="shared" si="47"/>
        <v>-2.4858285820276933</v>
      </c>
      <c r="F818" s="23">
        <f t="shared" si="48"/>
        <v>2.4858285820276933</v>
      </c>
    </row>
    <row r="819" spans="1:6" x14ac:dyDescent="0.3">
      <c r="A819" s="2">
        <v>42962</v>
      </c>
      <c r="B819" s="1">
        <v>40.4</v>
      </c>
      <c r="C819" s="1">
        <v>982.74</v>
      </c>
      <c r="D819" s="22">
        <f t="shared" si="46"/>
        <v>538.25461524193577</v>
      </c>
      <c r="E819" s="23">
        <f t="shared" si="47"/>
        <v>-8.9496602822464411E-2</v>
      </c>
      <c r="F819" s="23">
        <f t="shared" si="48"/>
        <v>8.9496602822464411E-2</v>
      </c>
    </row>
    <row r="820" spans="1:6" x14ac:dyDescent="0.3">
      <c r="A820" s="2">
        <v>42961</v>
      </c>
      <c r="B820" s="1">
        <v>39.962499999999999</v>
      </c>
      <c r="C820" s="1">
        <v>983.3</v>
      </c>
      <c r="D820" s="22">
        <f t="shared" si="46"/>
        <v>538.34411184475823</v>
      </c>
      <c r="E820" s="23">
        <f t="shared" si="47"/>
        <v>8.3680112802419444</v>
      </c>
      <c r="F820" s="23">
        <f t="shared" si="48"/>
        <v>-8.3680112802419444</v>
      </c>
    </row>
    <row r="821" spans="1:6" x14ac:dyDescent="0.3">
      <c r="A821" s="2">
        <v>42958</v>
      </c>
      <c r="B821" s="1">
        <v>39.369999999999997</v>
      </c>
      <c r="C821" s="1">
        <v>967.99</v>
      </c>
      <c r="D821" s="22">
        <f t="shared" si="46"/>
        <v>529.97610056451629</v>
      </c>
      <c r="E821" s="23">
        <f t="shared" si="47"/>
        <v>6.103235014919278</v>
      </c>
      <c r="F821" s="23">
        <f t="shared" si="48"/>
        <v>-6.103235014919278</v>
      </c>
    </row>
    <row r="822" spans="1:6" x14ac:dyDescent="0.3">
      <c r="A822" s="2">
        <v>42957</v>
      </c>
      <c r="B822" s="1">
        <v>38.83</v>
      </c>
      <c r="C822" s="1">
        <v>956.91989999999998</v>
      </c>
      <c r="D822" s="22">
        <f t="shared" si="46"/>
        <v>523.87286554959701</v>
      </c>
      <c r="E822" s="23">
        <f t="shared" si="47"/>
        <v>-13.932400841532285</v>
      </c>
      <c r="F822" s="23">
        <f t="shared" si="48"/>
        <v>13.932400841532285</v>
      </c>
    </row>
    <row r="823" spans="1:6" x14ac:dyDescent="0.3">
      <c r="A823" s="2">
        <v>42956</v>
      </c>
      <c r="B823" s="1">
        <v>40.265000000000001</v>
      </c>
      <c r="C823" s="1">
        <v>982.01</v>
      </c>
      <c r="D823" s="22">
        <f t="shared" si="46"/>
        <v>537.80526639112929</v>
      </c>
      <c r="E823" s="23">
        <f t="shared" si="47"/>
        <v>-4.0212158069699626</v>
      </c>
      <c r="F823" s="23">
        <f t="shared" si="48"/>
        <v>4.0212158069699626</v>
      </c>
    </row>
    <row r="824" spans="1:6" x14ac:dyDescent="0.3">
      <c r="A824" s="2">
        <v>42955</v>
      </c>
      <c r="B824" s="1">
        <v>40.020000000000003</v>
      </c>
      <c r="C824" s="1">
        <v>989.84010000000001</v>
      </c>
      <c r="D824" s="22">
        <f t="shared" si="46"/>
        <v>541.82648219809926</v>
      </c>
      <c r="E824" s="23">
        <f t="shared" si="47"/>
        <v>-1.1339992146314444</v>
      </c>
      <c r="F824" s="23">
        <f t="shared" si="48"/>
        <v>1.1339992146314444</v>
      </c>
    </row>
    <row r="825" spans="1:6" x14ac:dyDescent="0.3">
      <c r="A825" s="2">
        <v>42954</v>
      </c>
      <c r="B825" s="1">
        <v>39.702500000000001</v>
      </c>
      <c r="C825" s="1">
        <v>992.27</v>
      </c>
      <c r="D825" s="22">
        <f t="shared" si="46"/>
        <v>542.9604814127307</v>
      </c>
      <c r="E825" s="23">
        <f t="shared" si="47"/>
        <v>2.7631237322004836</v>
      </c>
      <c r="F825" s="23">
        <f t="shared" si="48"/>
        <v>-2.7631237322004836</v>
      </c>
    </row>
    <row r="826" spans="1:6" x14ac:dyDescent="0.3">
      <c r="A826" s="2">
        <v>42951</v>
      </c>
      <c r="B826" s="1">
        <v>39.097499999999997</v>
      </c>
      <c r="C826" s="1">
        <v>987.58010000000002</v>
      </c>
      <c r="D826" s="22">
        <f t="shared" si="46"/>
        <v>540.19735768053022</v>
      </c>
      <c r="E826" s="23">
        <f t="shared" si="47"/>
        <v>0.44549007880186764</v>
      </c>
      <c r="F826" s="23">
        <f t="shared" si="48"/>
        <v>-0.44549007880186764</v>
      </c>
    </row>
    <row r="827" spans="1:6" x14ac:dyDescent="0.3">
      <c r="A827" s="2">
        <v>42950</v>
      </c>
      <c r="B827" s="1">
        <v>38.892499999999998</v>
      </c>
      <c r="C827" s="1">
        <v>986.91989999999998</v>
      </c>
      <c r="D827" s="22">
        <f t="shared" si="46"/>
        <v>539.75186760172835</v>
      </c>
      <c r="E827" s="23">
        <f t="shared" si="47"/>
        <v>-4.9241424668779246</v>
      </c>
      <c r="F827" s="23">
        <f t="shared" si="48"/>
        <v>4.9241424668779246</v>
      </c>
    </row>
    <row r="828" spans="1:6" x14ac:dyDescent="0.3">
      <c r="A828" s="2">
        <v>42949</v>
      </c>
      <c r="B828" s="1">
        <v>39.284999999999997</v>
      </c>
      <c r="C828" s="1">
        <v>995.88990000000001</v>
      </c>
      <c r="D828" s="22">
        <f t="shared" si="46"/>
        <v>544.67601006860627</v>
      </c>
      <c r="E828" s="23">
        <f t="shared" si="47"/>
        <v>0.67756219614057045</v>
      </c>
      <c r="F828" s="23">
        <f t="shared" si="48"/>
        <v>-0.67756219614057045</v>
      </c>
    </row>
    <row r="829" spans="1:6" x14ac:dyDescent="0.3">
      <c r="A829" s="2">
        <v>42948</v>
      </c>
      <c r="B829" s="1">
        <v>37.512500000000003</v>
      </c>
      <c r="C829" s="1">
        <v>996.18989999999997</v>
      </c>
      <c r="D829" s="22">
        <f t="shared" si="46"/>
        <v>543.9984478724657</v>
      </c>
      <c r="E829" s="23">
        <f t="shared" si="47"/>
        <v>4.5987517304723724</v>
      </c>
      <c r="F829" s="23">
        <f t="shared" si="48"/>
        <v>-4.5987517304723724</v>
      </c>
    </row>
    <row r="830" spans="1:6" x14ac:dyDescent="0.3">
      <c r="A830" s="2">
        <v>42947</v>
      </c>
      <c r="B830" s="1">
        <v>37.182499999999997</v>
      </c>
      <c r="C830" s="1">
        <v>987.78</v>
      </c>
      <c r="D830" s="22">
        <f t="shared" si="46"/>
        <v>539.39969614199333</v>
      </c>
      <c r="E830" s="23">
        <f t="shared" si="47"/>
        <v>-17.13431810627867</v>
      </c>
      <c r="F830" s="23">
        <f t="shared" si="48"/>
        <v>17.13431810627867</v>
      </c>
    </row>
    <row r="831" spans="1:6" x14ac:dyDescent="0.3">
      <c r="A831" s="2">
        <v>42944</v>
      </c>
      <c r="B831" s="1">
        <v>37.375</v>
      </c>
      <c r="C831" s="1">
        <v>1020.04</v>
      </c>
      <c r="D831" s="22">
        <f t="shared" si="46"/>
        <v>556.534014248272</v>
      </c>
      <c r="E831" s="23">
        <f t="shared" si="47"/>
        <v>-13.840115498271985</v>
      </c>
      <c r="F831" s="23">
        <f t="shared" si="48"/>
        <v>13.840115498271985</v>
      </c>
    </row>
    <row r="832" spans="1:6" x14ac:dyDescent="0.3">
      <c r="A832" s="2">
        <v>42943</v>
      </c>
      <c r="B832" s="1">
        <v>37.64</v>
      </c>
      <c r="C832" s="1">
        <v>1046</v>
      </c>
      <c r="D832" s="22">
        <f t="shared" si="46"/>
        <v>570.37412974654399</v>
      </c>
      <c r="E832" s="23">
        <f t="shared" si="47"/>
        <v>-3.9345281826036853</v>
      </c>
      <c r="F832" s="23">
        <f t="shared" si="48"/>
        <v>3.9345281826036853</v>
      </c>
    </row>
    <row r="833" spans="1:6" x14ac:dyDescent="0.3">
      <c r="A833" s="2">
        <v>42942</v>
      </c>
      <c r="B833" s="1">
        <v>38.365000000000002</v>
      </c>
      <c r="C833" s="1">
        <v>1052.8</v>
      </c>
      <c r="D833" s="22">
        <f t="shared" si="46"/>
        <v>574.30865792914767</v>
      </c>
      <c r="E833" s="23">
        <f t="shared" si="47"/>
        <v>6.9160468029954245</v>
      </c>
      <c r="F833" s="23">
        <f t="shared" si="48"/>
        <v>-6.9160468029954245</v>
      </c>
    </row>
    <row r="834" spans="1:6" x14ac:dyDescent="0.3">
      <c r="A834" s="2">
        <v>42941</v>
      </c>
      <c r="B834" s="1">
        <v>38.185000000000002</v>
      </c>
      <c r="C834" s="1">
        <v>1039.8699999999999</v>
      </c>
      <c r="D834" s="22">
        <f t="shared" si="46"/>
        <v>567.39261112615225</v>
      </c>
      <c r="E834" s="23">
        <f t="shared" si="47"/>
        <v>0.56270042770734108</v>
      </c>
      <c r="F834" s="23">
        <f t="shared" si="48"/>
        <v>-0.56270042770734108</v>
      </c>
    </row>
    <row r="835" spans="1:6" x14ac:dyDescent="0.3">
      <c r="A835" s="2">
        <v>42940</v>
      </c>
      <c r="B835" s="1">
        <v>38.022500000000001</v>
      </c>
      <c r="C835" s="1">
        <v>1038.95</v>
      </c>
      <c r="D835" s="22">
        <f t="shared" si="46"/>
        <v>566.82991069844491</v>
      </c>
      <c r="E835" s="23">
        <f t="shared" si="47"/>
        <v>7.230670607718821</v>
      </c>
      <c r="F835" s="23">
        <f t="shared" si="48"/>
        <v>-7.230670607718821</v>
      </c>
    </row>
    <row r="836" spans="1:6" x14ac:dyDescent="0.3">
      <c r="A836" s="2">
        <v>42937</v>
      </c>
      <c r="B836" s="1">
        <v>37.567500000000003</v>
      </c>
      <c r="C836" s="1">
        <v>1025.67</v>
      </c>
      <c r="D836" s="22">
        <f t="shared" si="46"/>
        <v>559.59924009072608</v>
      </c>
      <c r="E836" s="23">
        <f t="shared" si="47"/>
        <v>-1.60905615639399</v>
      </c>
      <c r="F836" s="23">
        <f t="shared" si="48"/>
        <v>1.60905615639399</v>
      </c>
    </row>
    <row r="837" spans="1:6" x14ac:dyDescent="0.3">
      <c r="A837" s="2">
        <v>42936</v>
      </c>
      <c r="B837" s="1">
        <v>37.585000000000001</v>
      </c>
      <c r="C837" s="1">
        <v>1028.7</v>
      </c>
      <c r="D837" s="22">
        <f t="shared" si="46"/>
        <v>561.20829624712007</v>
      </c>
      <c r="E837" s="23">
        <f t="shared" si="47"/>
        <v>0.88663479262675082</v>
      </c>
      <c r="F837" s="23">
        <f t="shared" si="48"/>
        <v>-0.88663479262675082</v>
      </c>
    </row>
    <row r="838" spans="1:6" x14ac:dyDescent="0.3">
      <c r="A838" s="2">
        <v>42935</v>
      </c>
      <c r="B838" s="1">
        <v>37.755000000000003</v>
      </c>
      <c r="C838" s="1">
        <v>1026.8699999999999</v>
      </c>
      <c r="D838" s="22">
        <f t="shared" ref="D838:D901" si="49">$M$16*B838+(1-$M$16)*C838</f>
        <v>560.32166145449332</v>
      </c>
      <c r="E838" s="23">
        <f t="shared" ref="E838:E901" si="50">D838-D839</f>
        <v>1.3893735109446652</v>
      </c>
      <c r="F838" s="23">
        <f t="shared" ref="F838:F901" si="51">-E838</f>
        <v>-1.3893735109446652</v>
      </c>
    </row>
    <row r="839" spans="1:6" x14ac:dyDescent="0.3">
      <c r="A839" s="2">
        <v>42934</v>
      </c>
      <c r="B839" s="1">
        <v>37.520000000000003</v>
      </c>
      <c r="C839" s="1">
        <v>1024.45</v>
      </c>
      <c r="D839" s="22">
        <f t="shared" si="49"/>
        <v>558.93228794354866</v>
      </c>
      <c r="E839" s="23">
        <f t="shared" si="50"/>
        <v>7.6743724193548815</v>
      </c>
      <c r="F839" s="23">
        <f t="shared" si="51"/>
        <v>-7.6743724193548815</v>
      </c>
    </row>
    <row r="840" spans="1:6" x14ac:dyDescent="0.3">
      <c r="A840" s="2">
        <v>42933</v>
      </c>
      <c r="B840" s="1">
        <v>37.39</v>
      </c>
      <c r="C840" s="1">
        <v>1010.04</v>
      </c>
      <c r="D840" s="22">
        <f t="shared" si="49"/>
        <v>551.25791552419378</v>
      </c>
      <c r="E840" s="23">
        <f t="shared" si="50"/>
        <v>4.4093709101382501</v>
      </c>
      <c r="F840" s="23">
        <f t="shared" si="51"/>
        <v>-4.4093709101382501</v>
      </c>
    </row>
    <row r="841" spans="1:6" x14ac:dyDescent="0.3">
      <c r="A841" s="2">
        <v>42930</v>
      </c>
      <c r="B841" s="1">
        <v>37.26</v>
      </c>
      <c r="C841" s="1">
        <v>1001.81</v>
      </c>
      <c r="D841" s="22">
        <f t="shared" si="49"/>
        <v>546.84854461405553</v>
      </c>
      <c r="E841" s="23">
        <f t="shared" si="50"/>
        <v>0.77317375432028257</v>
      </c>
      <c r="F841" s="23">
        <f t="shared" si="51"/>
        <v>-0.77317375432028257</v>
      </c>
    </row>
    <row r="842" spans="1:6" x14ac:dyDescent="0.3">
      <c r="A842" s="2">
        <v>42929</v>
      </c>
      <c r="B842" s="1">
        <v>36.942500000000003</v>
      </c>
      <c r="C842" s="1">
        <v>1000.63</v>
      </c>
      <c r="D842" s="22">
        <f t="shared" si="49"/>
        <v>546.07537085973524</v>
      </c>
      <c r="E842" s="23">
        <f t="shared" si="50"/>
        <v>-2.8671273689516283</v>
      </c>
      <c r="F842" s="23">
        <f t="shared" si="51"/>
        <v>2.8671273689516283</v>
      </c>
    </row>
    <row r="843" spans="1:6" x14ac:dyDescent="0.3">
      <c r="A843" s="2">
        <v>42928</v>
      </c>
      <c r="B843" s="1">
        <v>36.435000000000002</v>
      </c>
      <c r="C843" s="1">
        <v>1006.51</v>
      </c>
      <c r="D843" s="22">
        <f t="shared" si="49"/>
        <v>548.94249822868687</v>
      </c>
      <c r="E843" s="23">
        <f t="shared" si="50"/>
        <v>6.5653855347926537</v>
      </c>
      <c r="F843" s="23">
        <f t="shared" si="51"/>
        <v>-6.5653855347926537</v>
      </c>
    </row>
    <row r="844" spans="1:6" x14ac:dyDescent="0.3">
      <c r="A844" s="2">
        <v>42927</v>
      </c>
      <c r="B844" s="1">
        <v>36.3825</v>
      </c>
      <c r="C844" s="1">
        <v>994.12990000000002</v>
      </c>
      <c r="D844" s="22">
        <f t="shared" si="49"/>
        <v>542.37711269389422</v>
      </c>
      <c r="E844" s="23">
        <f t="shared" si="50"/>
        <v>-1.1808928331797688</v>
      </c>
      <c r="F844" s="23">
        <f t="shared" si="51"/>
        <v>1.1808928331797688</v>
      </c>
    </row>
    <row r="845" spans="1:6" x14ac:dyDescent="0.3">
      <c r="A845" s="2">
        <v>42926</v>
      </c>
      <c r="B845" s="1">
        <v>36.265000000000001</v>
      </c>
      <c r="C845" s="1">
        <v>996.47</v>
      </c>
      <c r="D845" s="22">
        <f t="shared" si="49"/>
        <v>543.55800552707399</v>
      </c>
      <c r="E845" s="23">
        <f t="shared" si="50"/>
        <v>9.460271261520802</v>
      </c>
      <c r="F845" s="23">
        <f t="shared" si="51"/>
        <v>-9.460271261520802</v>
      </c>
    </row>
    <row r="846" spans="1:6" x14ac:dyDescent="0.3">
      <c r="A846" s="2">
        <v>42923</v>
      </c>
      <c r="B846" s="1">
        <v>36.045000000000002</v>
      </c>
      <c r="C846" s="1">
        <v>978.76</v>
      </c>
      <c r="D846" s="22">
        <f t="shared" si="49"/>
        <v>534.09773426555319</v>
      </c>
      <c r="E846" s="23">
        <f t="shared" si="50"/>
        <v>7.3667207133640886</v>
      </c>
      <c r="F846" s="23">
        <f t="shared" si="51"/>
        <v>-7.3667207133640886</v>
      </c>
    </row>
    <row r="847" spans="1:6" x14ac:dyDescent="0.3">
      <c r="A847" s="2">
        <v>42922</v>
      </c>
      <c r="B847" s="1">
        <v>35.682499999999997</v>
      </c>
      <c r="C847" s="1">
        <v>965.13990000000001</v>
      </c>
      <c r="D847" s="22">
        <f t="shared" si="49"/>
        <v>526.7310135521891</v>
      </c>
      <c r="E847" s="23">
        <f t="shared" si="50"/>
        <v>-3.4676389861751886</v>
      </c>
      <c r="F847" s="23">
        <f t="shared" si="51"/>
        <v>3.4676389861751886</v>
      </c>
    </row>
    <row r="848" spans="1:6" x14ac:dyDescent="0.3">
      <c r="A848" s="2">
        <v>42921</v>
      </c>
      <c r="B848" s="1">
        <v>36.022500000000001</v>
      </c>
      <c r="C848" s="1">
        <v>971.3999</v>
      </c>
      <c r="D848" s="22">
        <f t="shared" si="49"/>
        <v>530.19865253836429</v>
      </c>
      <c r="E848" s="23">
        <f t="shared" si="50"/>
        <v>9.4419237946428893</v>
      </c>
      <c r="F848" s="23">
        <f t="shared" si="51"/>
        <v>-9.4419237946428893</v>
      </c>
    </row>
    <row r="849" spans="1:6" x14ac:dyDescent="0.3">
      <c r="A849" s="2">
        <v>42920</v>
      </c>
      <c r="B849" s="1">
        <v>35.875</v>
      </c>
      <c r="C849" s="1">
        <v>953.65989999999999</v>
      </c>
      <c r="D849" s="22">
        <f t="shared" si="49"/>
        <v>520.7567287437214</v>
      </c>
      <c r="E849" s="23">
        <f t="shared" si="50"/>
        <v>0</v>
      </c>
      <c r="F849" s="23">
        <f t="shared" si="51"/>
        <v>0</v>
      </c>
    </row>
    <row r="850" spans="1:6" x14ac:dyDescent="0.3">
      <c r="A850" s="2">
        <v>42919</v>
      </c>
      <c r="B850" s="1">
        <v>35.875</v>
      </c>
      <c r="C850" s="1">
        <v>953.65989999999999</v>
      </c>
      <c r="D850" s="22">
        <f t="shared" si="49"/>
        <v>520.7567287437214</v>
      </c>
      <c r="E850" s="23">
        <f t="shared" si="50"/>
        <v>-7.6374430333526107</v>
      </c>
      <c r="F850" s="23">
        <f t="shared" si="51"/>
        <v>7.6374430333526107</v>
      </c>
    </row>
    <row r="851" spans="1:6" x14ac:dyDescent="0.3">
      <c r="A851" s="2">
        <v>42916</v>
      </c>
      <c r="B851" s="1">
        <v>36.005000000000003</v>
      </c>
      <c r="C851" s="1">
        <v>968</v>
      </c>
      <c r="D851" s="22">
        <f t="shared" si="49"/>
        <v>528.39417177707401</v>
      </c>
      <c r="E851" s="23">
        <f t="shared" si="50"/>
        <v>-4.1494110997118696</v>
      </c>
      <c r="F851" s="23">
        <f t="shared" si="51"/>
        <v>4.1494110997118696</v>
      </c>
    </row>
    <row r="852" spans="1:6" x14ac:dyDescent="0.3">
      <c r="A852" s="2">
        <v>42915</v>
      </c>
      <c r="B852" s="1">
        <v>35.92</v>
      </c>
      <c r="C852" s="1">
        <v>975.92989999999998</v>
      </c>
      <c r="D852" s="22">
        <f t="shared" si="49"/>
        <v>532.54358287678588</v>
      </c>
      <c r="E852" s="23">
        <f t="shared" si="50"/>
        <v>-7.8614055698733409</v>
      </c>
      <c r="F852" s="23">
        <f t="shared" si="51"/>
        <v>7.8614055698733409</v>
      </c>
    </row>
    <row r="853" spans="1:6" x14ac:dyDescent="0.3">
      <c r="A853" s="2">
        <v>42914</v>
      </c>
      <c r="B853" s="1">
        <v>36.457500000000003</v>
      </c>
      <c r="C853" s="1">
        <v>990.33010000000002</v>
      </c>
      <c r="D853" s="22">
        <f t="shared" si="49"/>
        <v>540.40498844665922</v>
      </c>
      <c r="E853" s="23">
        <f t="shared" si="50"/>
        <v>7.4063869187211822</v>
      </c>
      <c r="F853" s="23">
        <f t="shared" si="51"/>
        <v>-7.4063869187211822</v>
      </c>
    </row>
    <row r="854" spans="1:6" x14ac:dyDescent="0.3">
      <c r="A854" s="2">
        <v>42913</v>
      </c>
      <c r="B854" s="1">
        <v>35.932499999999997</v>
      </c>
      <c r="C854" s="1">
        <v>976.78</v>
      </c>
      <c r="D854" s="22">
        <f t="shared" si="49"/>
        <v>532.99860152793804</v>
      </c>
      <c r="E854" s="23">
        <f t="shared" si="50"/>
        <v>-9.333513377016061</v>
      </c>
      <c r="F854" s="23">
        <f t="shared" si="51"/>
        <v>9.333513377016061</v>
      </c>
    </row>
    <row r="855" spans="1:6" x14ac:dyDescent="0.3">
      <c r="A855" s="2">
        <v>42912</v>
      </c>
      <c r="B855" s="1">
        <v>36.454999999999998</v>
      </c>
      <c r="C855" s="1">
        <v>993.98</v>
      </c>
      <c r="D855" s="22">
        <f t="shared" si="49"/>
        <v>542.3321149049541</v>
      </c>
      <c r="E855" s="23">
        <f t="shared" si="50"/>
        <v>-5.2106212874423363</v>
      </c>
      <c r="F855" s="23">
        <f t="shared" si="51"/>
        <v>5.2106212874423363</v>
      </c>
    </row>
    <row r="856" spans="1:6" x14ac:dyDescent="0.3">
      <c r="A856" s="2">
        <v>42909</v>
      </c>
      <c r="B856" s="1">
        <v>36.57</v>
      </c>
      <c r="C856" s="1">
        <v>1003.74</v>
      </c>
      <c r="D856" s="22">
        <f t="shared" si="49"/>
        <v>547.54273619239643</v>
      </c>
      <c r="E856" s="23">
        <f t="shared" si="50"/>
        <v>1.3657428701036451</v>
      </c>
      <c r="F856" s="23">
        <f t="shared" si="51"/>
        <v>-1.3657428701036451</v>
      </c>
    </row>
    <row r="857" spans="1:6" x14ac:dyDescent="0.3">
      <c r="A857" s="2">
        <v>42908</v>
      </c>
      <c r="B857" s="1">
        <v>36.407499999999999</v>
      </c>
      <c r="C857" s="1">
        <v>1001.3</v>
      </c>
      <c r="D857" s="22">
        <f t="shared" si="49"/>
        <v>546.17699332229279</v>
      </c>
      <c r="E857" s="23">
        <f t="shared" si="50"/>
        <v>-0.51963613479279047</v>
      </c>
      <c r="F857" s="23">
        <f t="shared" si="51"/>
        <v>0.51963613479279047</v>
      </c>
    </row>
    <row r="858" spans="1:6" x14ac:dyDescent="0.3">
      <c r="A858" s="2">
        <v>42907</v>
      </c>
      <c r="B858" s="1">
        <v>36.467500000000001</v>
      </c>
      <c r="C858" s="1">
        <v>1002.23</v>
      </c>
      <c r="D858" s="22">
        <f t="shared" si="49"/>
        <v>546.69662945708558</v>
      </c>
      <c r="E858" s="23">
        <f t="shared" si="50"/>
        <v>5.1943386285139468</v>
      </c>
      <c r="F858" s="23">
        <f t="shared" si="51"/>
        <v>-5.1943386285139468</v>
      </c>
    </row>
    <row r="859" spans="1:6" x14ac:dyDescent="0.3">
      <c r="A859" s="2">
        <v>42906</v>
      </c>
      <c r="B859" s="1">
        <v>36.252499999999998</v>
      </c>
      <c r="C859" s="1">
        <v>992.59010000000001</v>
      </c>
      <c r="D859" s="22">
        <f t="shared" si="49"/>
        <v>541.50229082857163</v>
      </c>
      <c r="E859" s="23">
        <f t="shared" si="50"/>
        <v>-1.5197876847349789</v>
      </c>
      <c r="F859" s="23">
        <f t="shared" si="51"/>
        <v>1.5197876847349789</v>
      </c>
    </row>
    <row r="860" spans="1:6" x14ac:dyDescent="0.3">
      <c r="A860" s="2">
        <v>42905</v>
      </c>
      <c r="B860" s="1">
        <v>36.585000000000001</v>
      </c>
      <c r="C860" s="1">
        <v>995.16989999999998</v>
      </c>
      <c r="D860" s="22">
        <f t="shared" si="49"/>
        <v>543.02207851330661</v>
      </c>
      <c r="E860" s="23">
        <f t="shared" si="50"/>
        <v>4.4211319940091016</v>
      </c>
      <c r="F860" s="23">
        <f t="shared" si="51"/>
        <v>-4.4211319940091016</v>
      </c>
    </row>
    <row r="861" spans="1:6" x14ac:dyDescent="0.3">
      <c r="A861" s="2">
        <v>42902</v>
      </c>
      <c r="B861" s="1">
        <v>35.567500000000003</v>
      </c>
      <c r="C861" s="1">
        <v>987.71</v>
      </c>
      <c r="D861" s="22">
        <f t="shared" si="49"/>
        <v>538.60094651929751</v>
      </c>
      <c r="E861" s="23">
        <f t="shared" si="50"/>
        <v>12.198444626094556</v>
      </c>
      <c r="F861" s="23">
        <f t="shared" si="51"/>
        <v>-12.198444626094556</v>
      </c>
    </row>
    <row r="862" spans="1:6" x14ac:dyDescent="0.3">
      <c r="A862" s="2">
        <v>42901</v>
      </c>
      <c r="B862" s="1">
        <v>36.072499999999998</v>
      </c>
      <c r="C862" s="1">
        <v>964.16989999999998</v>
      </c>
      <c r="D862" s="22">
        <f t="shared" si="49"/>
        <v>526.40250189320295</v>
      </c>
      <c r="E862" s="23">
        <f t="shared" si="50"/>
        <v>-6.6009477726959176</v>
      </c>
      <c r="F862" s="23">
        <f t="shared" si="51"/>
        <v>6.6009477726959176</v>
      </c>
    </row>
    <row r="863" spans="1:6" x14ac:dyDescent="0.3">
      <c r="A863" s="2">
        <v>42900</v>
      </c>
      <c r="B863" s="1">
        <v>36.29</v>
      </c>
      <c r="C863" s="1">
        <v>976.47</v>
      </c>
      <c r="D863" s="22">
        <f t="shared" si="49"/>
        <v>533.00344966589887</v>
      </c>
      <c r="E863" s="23">
        <f t="shared" si="50"/>
        <v>-2.4509576828916124</v>
      </c>
      <c r="F863" s="23">
        <f t="shared" si="51"/>
        <v>2.4509576828916124</v>
      </c>
    </row>
    <row r="864" spans="1:6" x14ac:dyDescent="0.3">
      <c r="A864" s="2">
        <v>42899</v>
      </c>
      <c r="B864" s="1">
        <v>36.647500000000001</v>
      </c>
      <c r="C864" s="1">
        <v>980.79</v>
      </c>
      <c r="D864" s="22">
        <f t="shared" si="49"/>
        <v>535.45440734879048</v>
      </c>
      <c r="E864" s="23">
        <f t="shared" si="50"/>
        <v>8.5277002467742022</v>
      </c>
      <c r="F864" s="23">
        <f t="shared" si="51"/>
        <v>-8.5277002467742022</v>
      </c>
    </row>
    <row r="865" spans="1:6" x14ac:dyDescent="0.3">
      <c r="A865" s="2">
        <v>42898</v>
      </c>
      <c r="B865" s="1">
        <v>36.354999999999997</v>
      </c>
      <c r="C865" s="1">
        <v>964.90989999999999</v>
      </c>
      <c r="D865" s="22">
        <f t="shared" si="49"/>
        <v>526.92670710201628</v>
      </c>
      <c r="E865" s="23">
        <f t="shared" si="50"/>
        <v>-7.4993562913595042</v>
      </c>
      <c r="F865" s="23">
        <f t="shared" si="51"/>
        <v>7.4993562913595042</v>
      </c>
    </row>
    <row r="866" spans="1:6" x14ac:dyDescent="0.3">
      <c r="A866" s="2">
        <v>42895</v>
      </c>
      <c r="B866" s="1">
        <v>37.244999999999997</v>
      </c>
      <c r="C866" s="1">
        <v>978.31010000000003</v>
      </c>
      <c r="D866" s="22">
        <f t="shared" si="49"/>
        <v>534.42606339337578</v>
      </c>
      <c r="E866" s="23">
        <f t="shared" si="50"/>
        <v>-17.593674266474636</v>
      </c>
      <c r="F866" s="23">
        <f t="shared" si="51"/>
        <v>17.593674266474636</v>
      </c>
    </row>
    <row r="867" spans="1:6" x14ac:dyDescent="0.3">
      <c r="A867" s="2">
        <v>42894</v>
      </c>
      <c r="B867" s="1">
        <v>38.747500000000002</v>
      </c>
      <c r="C867" s="1">
        <v>1010.27</v>
      </c>
      <c r="D867" s="22">
        <f t="shared" si="49"/>
        <v>552.01973765985042</v>
      </c>
      <c r="E867" s="23">
        <f t="shared" si="50"/>
        <v>6.0853631912323181E-2</v>
      </c>
      <c r="F867" s="23">
        <f t="shared" si="51"/>
        <v>-6.0853631912323181E-2</v>
      </c>
    </row>
    <row r="868" spans="1:6" x14ac:dyDescent="0.3">
      <c r="A868" s="2">
        <v>42893</v>
      </c>
      <c r="B868" s="1">
        <v>38.842500000000001</v>
      </c>
      <c r="C868" s="1">
        <v>1010.07</v>
      </c>
      <c r="D868" s="22">
        <f t="shared" si="49"/>
        <v>551.9588840279381</v>
      </c>
      <c r="E868" s="23">
        <f t="shared" si="50"/>
        <v>3.843690990783557</v>
      </c>
      <c r="F868" s="23">
        <f t="shared" si="51"/>
        <v>-3.843690990783557</v>
      </c>
    </row>
    <row r="869" spans="1:6" x14ac:dyDescent="0.3">
      <c r="A869" s="2">
        <v>42892</v>
      </c>
      <c r="B869" s="1">
        <v>38.612499999999997</v>
      </c>
      <c r="C869" s="1">
        <v>1003</v>
      </c>
      <c r="D869" s="22">
        <f t="shared" si="49"/>
        <v>548.11519303715454</v>
      </c>
      <c r="E869" s="23">
        <f t="shared" si="50"/>
        <v>-4.3448483467742562</v>
      </c>
      <c r="F869" s="23">
        <f t="shared" si="51"/>
        <v>4.3448483467742562</v>
      </c>
    </row>
    <row r="870" spans="1:6" x14ac:dyDescent="0.3">
      <c r="A870" s="2">
        <v>42891</v>
      </c>
      <c r="B870" s="1">
        <v>38.482500000000002</v>
      </c>
      <c r="C870" s="1">
        <v>1011.34</v>
      </c>
      <c r="D870" s="22">
        <f t="shared" si="49"/>
        <v>552.4600413839288</v>
      </c>
      <c r="E870" s="23">
        <f t="shared" si="50"/>
        <v>2.2563038076037856</v>
      </c>
      <c r="F870" s="23">
        <f t="shared" si="51"/>
        <v>-2.2563038076037856</v>
      </c>
    </row>
    <row r="871" spans="1:6" x14ac:dyDescent="0.3">
      <c r="A871" s="2">
        <v>42888</v>
      </c>
      <c r="B871" s="1">
        <v>38.862499999999997</v>
      </c>
      <c r="C871" s="1">
        <v>1006.73</v>
      </c>
      <c r="D871" s="22">
        <f t="shared" si="49"/>
        <v>550.20373757632501</v>
      </c>
      <c r="E871" s="23">
        <f t="shared" si="50"/>
        <v>5.9629414098501456</v>
      </c>
      <c r="F871" s="23">
        <f t="shared" si="51"/>
        <v>-5.9629414098501456</v>
      </c>
    </row>
    <row r="872" spans="1:6" x14ac:dyDescent="0.3">
      <c r="A872" s="2">
        <v>42887</v>
      </c>
      <c r="B872" s="1">
        <v>38.295000000000002</v>
      </c>
      <c r="C872" s="1">
        <v>995.95</v>
      </c>
      <c r="D872" s="22">
        <f t="shared" si="49"/>
        <v>544.24079616647487</v>
      </c>
      <c r="E872" s="23">
        <f t="shared" si="50"/>
        <v>0.75213597874426341</v>
      </c>
      <c r="F872" s="23">
        <f t="shared" si="51"/>
        <v>-0.75213597874426341</v>
      </c>
    </row>
    <row r="873" spans="1:6" x14ac:dyDescent="0.3">
      <c r="A873" s="2">
        <v>42886</v>
      </c>
      <c r="B873" s="1">
        <v>38.19</v>
      </c>
      <c r="C873" s="1">
        <v>994.62009999999998</v>
      </c>
      <c r="D873" s="22">
        <f t="shared" si="49"/>
        <v>543.4886601877306</v>
      </c>
      <c r="E873" s="23">
        <f t="shared" si="50"/>
        <v>-1.2061551449309036</v>
      </c>
      <c r="F873" s="23">
        <f t="shared" si="51"/>
        <v>1.2061551449309036</v>
      </c>
    </row>
    <row r="874" spans="1:6" x14ac:dyDescent="0.3">
      <c r="A874" s="2">
        <v>42885</v>
      </c>
      <c r="B874" s="1">
        <v>38.417499999999997</v>
      </c>
      <c r="C874" s="1">
        <v>996.7</v>
      </c>
      <c r="D874" s="22">
        <f t="shared" si="49"/>
        <v>544.69481533266151</v>
      </c>
      <c r="E874" s="23">
        <f t="shared" si="50"/>
        <v>0.4931272436637073</v>
      </c>
      <c r="F874" s="23">
        <f t="shared" si="51"/>
        <v>-0.4931272436637073</v>
      </c>
    </row>
    <row r="875" spans="1:6" x14ac:dyDescent="0.3">
      <c r="A875" s="2">
        <v>42884</v>
      </c>
      <c r="B875" s="1">
        <v>38.402500000000003</v>
      </c>
      <c r="C875" s="1">
        <v>995.78</v>
      </c>
      <c r="D875" s="22">
        <f t="shared" si="49"/>
        <v>544.2016880889978</v>
      </c>
      <c r="E875" s="23">
        <f t="shared" si="50"/>
        <v>0</v>
      </c>
      <c r="F875" s="23">
        <f t="shared" si="51"/>
        <v>0</v>
      </c>
    </row>
    <row r="876" spans="1:6" x14ac:dyDescent="0.3">
      <c r="A876" s="2">
        <v>42881</v>
      </c>
      <c r="B876" s="1">
        <v>38.402500000000003</v>
      </c>
      <c r="C876" s="1">
        <v>995.78</v>
      </c>
      <c r="D876" s="22">
        <f t="shared" si="49"/>
        <v>544.2016880889978</v>
      </c>
      <c r="E876" s="23">
        <f t="shared" si="50"/>
        <v>1.2373552136519947</v>
      </c>
      <c r="F876" s="23">
        <f t="shared" si="51"/>
        <v>-1.2373552136519947</v>
      </c>
    </row>
    <row r="877" spans="1:6" x14ac:dyDescent="0.3">
      <c r="A877" s="2">
        <v>42880</v>
      </c>
      <c r="B877" s="1">
        <v>38.467500000000001</v>
      </c>
      <c r="C877" s="1">
        <v>993.37990000000002</v>
      </c>
      <c r="D877" s="22">
        <f t="shared" si="49"/>
        <v>542.9643328753458</v>
      </c>
      <c r="E877" s="23">
        <f t="shared" si="50"/>
        <v>6.946367955472283</v>
      </c>
      <c r="F877" s="23">
        <f t="shared" si="51"/>
        <v>-6.946367955472283</v>
      </c>
    </row>
    <row r="878" spans="1:6" x14ac:dyDescent="0.3">
      <c r="A878" s="2">
        <v>42879</v>
      </c>
      <c r="B878" s="1">
        <v>38.335000000000001</v>
      </c>
      <c r="C878" s="1">
        <v>980.3501</v>
      </c>
      <c r="D878" s="22">
        <f t="shared" si="49"/>
        <v>536.01796491987352</v>
      </c>
      <c r="E878" s="23">
        <f t="shared" si="50"/>
        <v>4.6002855938364746</v>
      </c>
      <c r="F878" s="23">
        <f t="shared" si="51"/>
        <v>-4.6002855938364746</v>
      </c>
    </row>
    <row r="879" spans="1:6" x14ac:dyDescent="0.3">
      <c r="A879" s="2">
        <v>42878</v>
      </c>
      <c r="B879" s="1">
        <v>38.450000000000003</v>
      </c>
      <c r="C879" s="1">
        <v>971.54</v>
      </c>
      <c r="D879" s="22">
        <f t="shared" si="49"/>
        <v>531.41767932603705</v>
      </c>
      <c r="E879" s="23">
        <f t="shared" si="50"/>
        <v>0.43728404285707256</v>
      </c>
      <c r="F879" s="23">
        <f t="shared" si="51"/>
        <v>-0.43728404285707256</v>
      </c>
    </row>
    <row r="880" spans="1:6" x14ac:dyDescent="0.3">
      <c r="A880" s="2">
        <v>42877</v>
      </c>
      <c r="B880" s="1">
        <v>38.497500000000002</v>
      </c>
      <c r="C880" s="1">
        <v>970.66989999999998</v>
      </c>
      <c r="D880" s="22">
        <f t="shared" si="49"/>
        <v>530.98039528317997</v>
      </c>
      <c r="E880" s="23">
        <f t="shared" si="50"/>
        <v>5.8312379439516917</v>
      </c>
      <c r="F880" s="23">
        <f t="shared" si="51"/>
        <v>-5.8312379439516917</v>
      </c>
    </row>
    <row r="881" spans="1:6" x14ac:dyDescent="0.3">
      <c r="A881" s="2">
        <v>42874</v>
      </c>
      <c r="B881" s="1">
        <v>38.265000000000001</v>
      </c>
      <c r="C881" s="1">
        <v>959.84010000000001</v>
      </c>
      <c r="D881" s="22">
        <f t="shared" si="49"/>
        <v>525.14915733922828</v>
      </c>
      <c r="E881" s="23">
        <f t="shared" si="50"/>
        <v>0.77460005524187636</v>
      </c>
      <c r="F881" s="23">
        <f t="shared" si="51"/>
        <v>-0.77460005524187636</v>
      </c>
    </row>
    <row r="882" spans="1:6" x14ac:dyDescent="0.3">
      <c r="A882" s="2">
        <v>42873</v>
      </c>
      <c r="B882" s="1">
        <v>38.134999999999998</v>
      </c>
      <c r="C882" s="1">
        <v>958.49</v>
      </c>
      <c r="D882" s="22">
        <f t="shared" si="49"/>
        <v>524.37455728398641</v>
      </c>
      <c r="E882" s="23">
        <f t="shared" si="50"/>
        <v>7.5238361419931152</v>
      </c>
      <c r="F882" s="23">
        <f t="shared" si="51"/>
        <v>-7.5238361419931152</v>
      </c>
    </row>
    <row r="883" spans="1:6" x14ac:dyDescent="0.3">
      <c r="A883" s="2">
        <v>42872</v>
      </c>
      <c r="B883" s="1">
        <v>37.5625</v>
      </c>
      <c r="C883" s="1">
        <v>944.76</v>
      </c>
      <c r="D883" s="22">
        <f t="shared" si="49"/>
        <v>516.85072114199329</v>
      </c>
      <c r="E883" s="23">
        <f t="shared" si="50"/>
        <v>-11.874042344988538</v>
      </c>
      <c r="F883" s="23">
        <f t="shared" si="51"/>
        <v>11.874042344988538</v>
      </c>
    </row>
    <row r="884" spans="1:6" x14ac:dyDescent="0.3">
      <c r="A884" s="2">
        <v>42871</v>
      </c>
      <c r="B884" s="1">
        <v>38.8675</v>
      </c>
      <c r="C884" s="1">
        <v>966.07010000000002</v>
      </c>
      <c r="D884" s="22">
        <f t="shared" si="49"/>
        <v>528.72476348698183</v>
      </c>
      <c r="E884" s="23">
        <f t="shared" si="50"/>
        <v>4.2523019921659397</v>
      </c>
      <c r="F884" s="23">
        <f t="shared" si="51"/>
        <v>-4.2523019921659397</v>
      </c>
    </row>
    <row r="885" spans="1:6" x14ac:dyDescent="0.3">
      <c r="A885" s="2">
        <v>42870</v>
      </c>
      <c r="B885" s="1">
        <v>38.924999999999997</v>
      </c>
      <c r="C885" s="1">
        <v>957.97</v>
      </c>
      <c r="D885" s="22">
        <f t="shared" si="49"/>
        <v>524.47246149481589</v>
      </c>
      <c r="E885" s="23">
        <f t="shared" si="50"/>
        <v>-1.8329338916473716</v>
      </c>
      <c r="F885" s="23">
        <f t="shared" si="51"/>
        <v>1.8329338916473716</v>
      </c>
    </row>
    <row r="886" spans="1:6" x14ac:dyDescent="0.3">
      <c r="A886" s="2">
        <v>42867</v>
      </c>
      <c r="B886" s="1">
        <v>39.024999999999999</v>
      </c>
      <c r="C886" s="1">
        <v>961.3501</v>
      </c>
      <c r="D886" s="22">
        <f t="shared" si="49"/>
        <v>526.30539538646326</v>
      </c>
      <c r="E886" s="23">
        <f t="shared" si="50"/>
        <v>7.507327250864023</v>
      </c>
      <c r="F886" s="23">
        <f t="shared" si="51"/>
        <v>-7.507327250864023</v>
      </c>
    </row>
    <row r="887" spans="1:6" x14ac:dyDescent="0.3">
      <c r="A887" s="2">
        <v>42866</v>
      </c>
      <c r="B887" s="1">
        <v>38.487499999999997</v>
      </c>
      <c r="C887" s="1">
        <v>947.62009999999998</v>
      </c>
      <c r="D887" s="22">
        <f t="shared" si="49"/>
        <v>518.79806813559924</v>
      </c>
      <c r="E887" s="23">
        <f t="shared" si="50"/>
        <v>-0.62124405622125778</v>
      </c>
      <c r="F887" s="23">
        <f t="shared" si="51"/>
        <v>0.62124405622125778</v>
      </c>
    </row>
    <row r="888" spans="1:6" x14ac:dyDescent="0.3">
      <c r="A888" s="2">
        <v>42865</v>
      </c>
      <c r="B888" s="1">
        <v>38.314999999999998</v>
      </c>
      <c r="C888" s="1">
        <v>948.95</v>
      </c>
      <c r="D888" s="22">
        <f t="shared" si="49"/>
        <v>519.4193121918205</v>
      </c>
      <c r="E888" s="23">
        <f t="shared" si="50"/>
        <v>-2.1307232306451169</v>
      </c>
      <c r="F888" s="23">
        <f t="shared" si="51"/>
        <v>2.1307232306451169</v>
      </c>
    </row>
    <row r="889" spans="1:6" x14ac:dyDescent="0.3">
      <c r="A889" s="2">
        <v>42864</v>
      </c>
      <c r="B889" s="1">
        <v>38.497500000000002</v>
      </c>
      <c r="C889" s="1">
        <v>952.82010000000002</v>
      </c>
      <c r="D889" s="22">
        <f t="shared" si="49"/>
        <v>521.55003542246561</v>
      </c>
      <c r="E889" s="23">
        <f t="shared" si="50"/>
        <v>2.112654827707388</v>
      </c>
      <c r="F889" s="23">
        <f t="shared" si="51"/>
        <v>-2.112654827707388</v>
      </c>
    </row>
    <row r="890" spans="1:6" x14ac:dyDescent="0.3">
      <c r="A890" s="2">
        <v>42863</v>
      </c>
      <c r="B890" s="1">
        <v>38.252499999999998</v>
      </c>
      <c r="C890" s="1">
        <v>949.04</v>
      </c>
      <c r="D890" s="22">
        <f t="shared" si="49"/>
        <v>519.43738059475822</v>
      </c>
      <c r="E890" s="23">
        <f t="shared" si="50"/>
        <v>8.3442774990782596</v>
      </c>
      <c r="F890" s="23">
        <f t="shared" si="51"/>
        <v>-8.3442774990782596</v>
      </c>
    </row>
    <row r="891" spans="1:6" x14ac:dyDescent="0.3">
      <c r="A891" s="2">
        <v>42860</v>
      </c>
      <c r="B891" s="1">
        <v>37.24</v>
      </c>
      <c r="C891" s="1">
        <v>934.1499</v>
      </c>
      <c r="D891" s="22">
        <f t="shared" si="49"/>
        <v>511.09310309567996</v>
      </c>
      <c r="E891" s="23">
        <f t="shared" si="50"/>
        <v>-1.4992184495391143</v>
      </c>
      <c r="F891" s="23">
        <f t="shared" si="51"/>
        <v>1.4992184495391143</v>
      </c>
    </row>
    <row r="892" spans="1:6" x14ac:dyDescent="0.3">
      <c r="A892" s="2">
        <v>42859</v>
      </c>
      <c r="B892" s="1">
        <v>36.6325</v>
      </c>
      <c r="C892" s="1">
        <v>937.53</v>
      </c>
      <c r="D892" s="22">
        <f t="shared" si="49"/>
        <v>512.59232154521908</v>
      </c>
      <c r="E892" s="23">
        <f t="shared" si="50"/>
        <v>-1.9116088320853351</v>
      </c>
      <c r="F892" s="23">
        <f t="shared" si="51"/>
        <v>1.9116088320853351</v>
      </c>
    </row>
    <row r="893" spans="1:6" x14ac:dyDescent="0.3">
      <c r="A893" s="2">
        <v>42858</v>
      </c>
      <c r="B893" s="1">
        <v>36.765000000000001</v>
      </c>
      <c r="C893" s="1">
        <v>941.03</v>
      </c>
      <c r="D893" s="22">
        <f t="shared" si="49"/>
        <v>514.50393037730441</v>
      </c>
      <c r="E893" s="23">
        <f t="shared" si="50"/>
        <v>-3.1753672733869962</v>
      </c>
      <c r="F893" s="23">
        <f t="shared" si="51"/>
        <v>3.1753672733869962</v>
      </c>
    </row>
    <row r="894" spans="1:6" x14ac:dyDescent="0.3">
      <c r="A894" s="2">
        <v>42857</v>
      </c>
      <c r="B894" s="1">
        <v>36.877499999999998</v>
      </c>
      <c r="C894" s="1">
        <v>946.93989999999997</v>
      </c>
      <c r="D894" s="22">
        <f t="shared" si="49"/>
        <v>517.67929765069141</v>
      </c>
      <c r="E894" s="23">
        <f t="shared" si="50"/>
        <v>-0.57191606762671654</v>
      </c>
      <c r="F894" s="23">
        <f t="shared" si="51"/>
        <v>0.57191606762671654</v>
      </c>
    </row>
    <row r="895" spans="1:6" x14ac:dyDescent="0.3">
      <c r="A895" s="2">
        <v>42856</v>
      </c>
      <c r="B895" s="1">
        <v>36.645000000000003</v>
      </c>
      <c r="C895" s="1">
        <v>948.23</v>
      </c>
      <c r="D895" s="22">
        <f t="shared" si="49"/>
        <v>518.25121371831813</v>
      </c>
      <c r="E895" s="23">
        <f t="shared" si="50"/>
        <v>12.623603797523003</v>
      </c>
      <c r="F895" s="23">
        <f t="shared" si="51"/>
        <v>-12.623603797523003</v>
      </c>
    </row>
    <row r="896" spans="1:6" x14ac:dyDescent="0.3">
      <c r="A896" s="2">
        <v>42853</v>
      </c>
      <c r="B896" s="1">
        <v>35.912500000000001</v>
      </c>
      <c r="C896" s="1">
        <v>924.99</v>
      </c>
      <c r="D896" s="22">
        <f t="shared" si="49"/>
        <v>505.62760992079512</v>
      </c>
      <c r="E896" s="23">
        <f t="shared" si="50"/>
        <v>3.4757219302418889</v>
      </c>
      <c r="F896" s="23">
        <f t="shared" si="51"/>
        <v>-3.4757219302418889</v>
      </c>
    </row>
    <row r="897" spans="1:6" x14ac:dyDescent="0.3">
      <c r="A897" s="2">
        <v>42852</v>
      </c>
      <c r="B897" s="1">
        <v>35.947499999999998</v>
      </c>
      <c r="C897" s="1">
        <v>918.37990000000002</v>
      </c>
      <c r="D897" s="22">
        <f t="shared" si="49"/>
        <v>502.15188799055323</v>
      </c>
      <c r="E897" s="23">
        <f t="shared" si="50"/>
        <v>4.8153235723502803</v>
      </c>
      <c r="F897" s="23">
        <f t="shared" si="51"/>
        <v>-4.8153235723502803</v>
      </c>
    </row>
    <row r="898" spans="1:6" x14ac:dyDescent="0.3">
      <c r="A898" s="2">
        <v>42851</v>
      </c>
      <c r="B898" s="1">
        <v>35.92</v>
      </c>
      <c r="C898" s="1">
        <v>909.29</v>
      </c>
      <c r="D898" s="22">
        <f t="shared" si="49"/>
        <v>497.33656441820295</v>
      </c>
      <c r="E898" s="23">
        <f t="shared" si="50"/>
        <v>0.78200466682028491</v>
      </c>
      <c r="F898" s="23">
        <f t="shared" si="51"/>
        <v>-0.78200466682028491</v>
      </c>
    </row>
    <row r="899" spans="1:6" x14ac:dyDescent="0.3">
      <c r="A899" s="2">
        <v>42850</v>
      </c>
      <c r="B899" s="1">
        <v>36.1325</v>
      </c>
      <c r="C899" s="1">
        <v>907.62009999999998</v>
      </c>
      <c r="D899" s="22">
        <f t="shared" si="49"/>
        <v>496.55455975138267</v>
      </c>
      <c r="E899" s="23">
        <f t="shared" si="50"/>
        <v>0.21600169602533015</v>
      </c>
      <c r="F899" s="23">
        <f t="shared" si="51"/>
        <v>-0.21600169602533015</v>
      </c>
    </row>
    <row r="900" spans="1:6" x14ac:dyDescent="0.3">
      <c r="A900" s="2">
        <v>42849</v>
      </c>
      <c r="B900" s="1">
        <v>35.909999999999997</v>
      </c>
      <c r="C900" s="1">
        <v>907.40989999999999</v>
      </c>
      <c r="D900" s="22">
        <f t="shared" si="49"/>
        <v>496.33855805535734</v>
      </c>
      <c r="E900" s="23">
        <f t="shared" si="50"/>
        <v>4.8529569392857184</v>
      </c>
      <c r="F900" s="23">
        <f t="shared" si="51"/>
        <v>-4.8529569392857184</v>
      </c>
    </row>
    <row r="901" spans="1:6" x14ac:dyDescent="0.3">
      <c r="A901" s="2">
        <v>42846</v>
      </c>
      <c r="B901" s="1">
        <v>35.567500000000003</v>
      </c>
      <c r="C901" s="1">
        <v>898.53</v>
      </c>
      <c r="D901" s="22">
        <f t="shared" si="49"/>
        <v>491.48560111607162</v>
      </c>
      <c r="E901" s="23">
        <f t="shared" si="50"/>
        <v>-1.8850597513825278</v>
      </c>
      <c r="F901" s="23">
        <f t="shared" si="51"/>
        <v>1.8850597513825278</v>
      </c>
    </row>
    <row r="902" spans="1:6" x14ac:dyDescent="0.3">
      <c r="A902" s="2">
        <v>42845</v>
      </c>
      <c r="B902" s="1">
        <v>35.61</v>
      </c>
      <c r="C902" s="1">
        <v>902.06010000000003</v>
      </c>
      <c r="D902" s="22">
        <f t="shared" ref="D902:D965" si="52">$M$16*B902+(1-$M$16)*C902</f>
        <v>493.37066086745415</v>
      </c>
      <c r="E902" s="23">
        <f t="shared" ref="E902:E965" si="53">D902-D903</f>
        <v>1.7185809308180069</v>
      </c>
      <c r="F902" s="23">
        <f t="shared" ref="F902:F965" si="54">-E902</f>
        <v>-1.7185809308180069</v>
      </c>
    </row>
    <row r="903" spans="1:6" x14ac:dyDescent="0.3">
      <c r="A903" s="2">
        <v>42844</v>
      </c>
      <c r="B903" s="1">
        <v>35.17</v>
      </c>
      <c r="C903" s="1">
        <v>899.2</v>
      </c>
      <c r="D903" s="22">
        <f t="shared" si="52"/>
        <v>491.65207993663614</v>
      </c>
      <c r="E903" s="23">
        <f t="shared" si="53"/>
        <v>-2.481012413594442</v>
      </c>
      <c r="F903" s="23">
        <f t="shared" si="54"/>
        <v>2.481012413594442</v>
      </c>
    </row>
    <row r="904" spans="1:6" x14ac:dyDescent="0.3">
      <c r="A904" s="2">
        <v>42843</v>
      </c>
      <c r="B904" s="1">
        <v>35.299999999999997</v>
      </c>
      <c r="C904" s="1">
        <v>903.78</v>
      </c>
      <c r="D904" s="22">
        <f t="shared" si="52"/>
        <v>494.13309235023058</v>
      </c>
      <c r="E904" s="23">
        <f t="shared" si="53"/>
        <v>0.87139812932019822</v>
      </c>
      <c r="F904" s="23">
        <f t="shared" si="54"/>
        <v>-0.87139812932019822</v>
      </c>
    </row>
    <row r="905" spans="1:6" x14ac:dyDescent="0.3">
      <c r="A905" s="2">
        <v>42842</v>
      </c>
      <c r="B905" s="1">
        <v>35.457500000000003</v>
      </c>
      <c r="C905" s="1">
        <v>901.99</v>
      </c>
      <c r="D905" s="22">
        <f t="shared" si="52"/>
        <v>493.26169422091039</v>
      </c>
      <c r="E905" s="23">
        <f t="shared" si="53"/>
        <v>9.2424882436060898</v>
      </c>
      <c r="F905" s="23">
        <f t="shared" si="54"/>
        <v>-9.2424882436060898</v>
      </c>
    </row>
    <row r="906" spans="1:6" x14ac:dyDescent="0.3">
      <c r="A906" s="2">
        <v>42839</v>
      </c>
      <c r="B906" s="1">
        <v>35.262500000000003</v>
      </c>
      <c r="C906" s="1">
        <v>884.66989999999998</v>
      </c>
      <c r="D906" s="22">
        <f t="shared" si="52"/>
        <v>484.0192059773043</v>
      </c>
      <c r="E906" s="23">
        <f t="shared" si="53"/>
        <v>0</v>
      </c>
      <c r="F906" s="23">
        <f t="shared" si="54"/>
        <v>0</v>
      </c>
    </row>
    <row r="907" spans="1:6" x14ac:dyDescent="0.3">
      <c r="A907" s="2">
        <v>42838</v>
      </c>
      <c r="B907" s="1">
        <v>35.262500000000003</v>
      </c>
      <c r="C907" s="1">
        <v>884.66989999999998</v>
      </c>
      <c r="D907" s="22">
        <f t="shared" si="52"/>
        <v>484.0192059773043</v>
      </c>
      <c r="E907" s="23">
        <f t="shared" si="53"/>
        <v>-6.1958424213134435</v>
      </c>
      <c r="F907" s="23">
        <f t="shared" si="54"/>
        <v>6.1958424213134435</v>
      </c>
    </row>
    <row r="908" spans="1:6" x14ac:dyDescent="0.3">
      <c r="A908" s="2">
        <v>42837</v>
      </c>
      <c r="B908" s="1">
        <v>35.450000000000003</v>
      </c>
      <c r="C908" s="1">
        <v>896.23</v>
      </c>
      <c r="D908" s="22">
        <f t="shared" si="52"/>
        <v>490.21504839861774</v>
      </c>
      <c r="E908" s="23">
        <f t="shared" si="53"/>
        <v>-3.2185919604838205</v>
      </c>
      <c r="F908" s="23">
        <f t="shared" si="54"/>
        <v>3.2185919604838205</v>
      </c>
    </row>
    <row r="909" spans="1:6" x14ac:dyDescent="0.3">
      <c r="A909" s="2">
        <v>42836</v>
      </c>
      <c r="B909" s="1">
        <v>35.407499999999999</v>
      </c>
      <c r="C909" s="1">
        <v>902.36009999999999</v>
      </c>
      <c r="D909" s="22">
        <f t="shared" si="52"/>
        <v>493.43364035910156</v>
      </c>
      <c r="E909" s="23">
        <f t="shared" si="53"/>
        <v>-2.6540703854262233</v>
      </c>
      <c r="F909" s="23">
        <f t="shared" si="54"/>
        <v>2.6540703854262233</v>
      </c>
    </row>
    <row r="910" spans="1:6" x14ac:dyDescent="0.3">
      <c r="A910" s="2">
        <v>42835</v>
      </c>
      <c r="B910" s="1">
        <v>35.792499999999997</v>
      </c>
      <c r="C910" s="1">
        <v>907.04</v>
      </c>
      <c r="D910" s="22">
        <f t="shared" si="52"/>
        <v>496.08771074452778</v>
      </c>
      <c r="E910" s="23">
        <f t="shared" si="53"/>
        <v>6.404345860253386</v>
      </c>
      <c r="F910" s="23">
        <f t="shared" si="54"/>
        <v>-6.404345860253386</v>
      </c>
    </row>
    <row r="911" spans="1:6" x14ac:dyDescent="0.3">
      <c r="A911" s="2">
        <v>42832</v>
      </c>
      <c r="B911" s="1">
        <v>35.835000000000001</v>
      </c>
      <c r="C911" s="1">
        <v>894.87990000000002</v>
      </c>
      <c r="D911" s="22">
        <f t="shared" si="52"/>
        <v>489.6833648842744</v>
      </c>
      <c r="E911" s="23">
        <f t="shared" si="53"/>
        <v>-1.83406658749999</v>
      </c>
      <c r="F911" s="23">
        <f t="shared" si="54"/>
        <v>1.83406658749999</v>
      </c>
    </row>
    <row r="912" spans="1:6" x14ac:dyDescent="0.3">
      <c r="A912" s="2">
        <v>42831</v>
      </c>
      <c r="B912" s="1">
        <v>35.914999999999999</v>
      </c>
      <c r="C912" s="1">
        <v>898.28</v>
      </c>
      <c r="D912" s="22">
        <f t="shared" si="52"/>
        <v>491.51743147177439</v>
      </c>
      <c r="E912" s="23">
        <f t="shared" si="53"/>
        <v>-5.8539427937787991</v>
      </c>
      <c r="F912" s="23">
        <f t="shared" si="54"/>
        <v>5.8539427937787991</v>
      </c>
    </row>
    <row r="913" spans="1:6" x14ac:dyDescent="0.3">
      <c r="A913" s="2">
        <v>42830</v>
      </c>
      <c r="B913" s="1">
        <v>36.005000000000003</v>
      </c>
      <c r="C913" s="1">
        <v>909.28</v>
      </c>
      <c r="D913" s="22">
        <f t="shared" si="52"/>
        <v>497.37137426555319</v>
      </c>
      <c r="E913" s="23">
        <f t="shared" si="53"/>
        <v>1.2058843010368605</v>
      </c>
      <c r="F913" s="23">
        <f t="shared" si="54"/>
        <v>-1.2058843010368605</v>
      </c>
    </row>
    <row r="914" spans="1:6" x14ac:dyDescent="0.3">
      <c r="A914" s="2">
        <v>42829</v>
      </c>
      <c r="B914" s="1">
        <v>36.192500000000003</v>
      </c>
      <c r="C914" s="1">
        <v>906.83010000000002</v>
      </c>
      <c r="D914" s="22">
        <f t="shared" si="52"/>
        <v>496.16548996451633</v>
      </c>
      <c r="E914" s="23">
        <f t="shared" si="53"/>
        <v>8.2200504397465579</v>
      </c>
      <c r="F914" s="23">
        <f t="shared" si="54"/>
        <v>-8.2200504397465579</v>
      </c>
    </row>
    <row r="915" spans="1:6" x14ac:dyDescent="0.3">
      <c r="A915" s="2">
        <v>42828</v>
      </c>
      <c r="B915" s="1">
        <v>35.924999999999997</v>
      </c>
      <c r="C915" s="1">
        <v>891.51</v>
      </c>
      <c r="D915" s="22">
        <f t="shared" si="52"/>
        <v>487.94543952476977</v>
      </c>
      <c r="E915" s="23">
        <f t="shared" si="53"/>
        <v>2.6304542857142792</v>
      </c>
      <c r="F915" s="23">
        <f t="shared" si="54"/>
        <v>-2.6304542857142792</v>
      </c>
    </row>
    <row r="916" spans="1:6" x14ac:dyDescent="0.3">
      <c r="A916" s="2">
        <v>42825</v>
      </c>
      <c r="B916" s="1">
        <v>35.914999999999999</v>
      </c>
      <c r="C916" s="1">
        <v>886.54</v>
      </c>
      <c r="D916" s="22">
        <f t="shared" si="52"/>
        <v>485.31498523905549</v>
      </c>
      <c r="E916" s="23">
        <f t="shared" si="53"/>
        <v>5.3569460349078213</v>
      </c>
      <c r="F916" s="23">
        <f t="shared" si="54"/>
        <v>-5.3569460349078213</v>
      </c>
    </row>
    <row r="917" spans="1:6" x14ac:dyDescent="0.3">
      <c r="A917" s="2">
        <v>42824</v>
      </c>
      <c r="B917" s="1">
        <v>35.982500000000002</v>
      </c>
      <c r="C917" s="1">
        <v>876.34010000000001</v>
      </c>
      <c r="D917" s="22">
        <f t="shared" si="52"/>
        <v>479.95803920414767</v>
      </c>
      <c r="E917" s="23">
        <f t="shared" si="53"/>
        <v>1.0447962168778986</v>
      </c>
      <c r="F917" s="23">
        <f t="shared" si="54"/>
        <v>-1.0447962168778986</v>
      </c>
    </row>
    <row r="918" spans="1:6" x14ac:dyDescent="0.3">
      <c r="A918" s="2">
        <v>42823</v>
      </c>
      <c r="B918" s="1">
        <v>36.03</v>
      </c>
      <c r="C918" s="1">
        <v>874.32010000000002</v>
      </c>
      <c r="D918" s="22">
        <f t="shared" si="52"/>
        <v>478.91324298726977</v>
      </c>
      <c r="E918" s="23">
        <f t="shared" si="53"/>
        <v>9.7165621404953981</v>
      </c>
      <c r="F918" s="23">
        <f t="shared" si="54"/>
        <v>-9.7165621404953981</v>
      </c>
    </row>
    <row r="919" spans="1:6" x14ac:dyDescent="0.3">
      <c r="A919" s="2">
        <v>42822</v>
      </c>
      <c r="B919" s="1">
        <v>35.950000000000003</v>
      </c>
      <c r="C919" s="1">
        <v>856</v>
      </c>
      <c r="D919" s="22">
        <f t="shared" si="52"/>
        <v>469.19668084677437</v>
      </c>
      <c r="E919" s="23">
        <f t="shared" si="53"/>
        <v>5.194229167108233</v>
      </c>
      <c r="F919" s="23">
        <f t="shared" si="54"/>
        <v>-5.194229167108233</v>
      </c>
    </row>
    <row r="920" spans="1:6" x14ac:dyDescent="0.3">
      <c r="A920" s="2">
        <v>42821</v>
      </c>
      <c r="B920" s="1">
        <v>35.22</v>
      </c>
      <c r="C920" s="1">
        <v>846.82010000000002</v>
      </c>
      <c r="D920" s="22">
        <f t="shared" si="52"/>
        <v>464.00245167966614</v>
      </c>
      <c r="E920" s="23">
        <f t="shared" si="53"/>
        <v>0.66756500576047983</v>
      </c>
      <c r="F920" s="23">
        <f t="shared" si="54"/>
        <v>-0.66756500576047983</v>
      </c>
    </row>
    <row r="921" spans="1:6" x14ac:dyDescent="0.3">
      <c r="A921" s="2">
        <v>42818</v>
      </c>
      <c r="B921" s="1">
        <v>35.159999999999997</v>
      </c>
      <c r="C921" s="1">
        <v>845.61009999999999</v>
      </c>
      <c r="D921" s="22">
        <f t="shared" si="52"/>
        <v>463.33488667390566</v>
      </c>
      <c r="E921" s="23">
        <f t="shared" si="53"/>
        <v>-0.96803391025349583</v>
      </c>
      <c r="F921" s="23">
        <f t="shared" si="54"/>
        <v>0.96803391025349583</v>
      </c>
    </row>
    <row r="922" spans="1:6" x14ac:dyDescent="0.3">
      <c r="A922" s="2">
        <v>42817</v>
      </c>
      <c r="B922" s="1">
        <v>35.229999999999997</v>
      </c>
      <c r="C922" s="1">
        <v>847.37990000000002</v>
      </c>
      <c r="D922" s="22">
        <f t="shared" si="52"/>
        <v>464.30292058415915</v>
      </c>
      <c r="E922" s="23">
        <f t="shared" si="53"/>
        <v>-0.41832181843324179</v>
      </c>
      <c r="F922" s="23">
        <f t="shared" si="54"/>
        <v>0.41832181843324179</v>
      </c>
    </row>
    <row r="923" spans="1:6" x14ac:dyDescent="0.3">
      <c r="A923" s="2">
        <v>42816</v>
      </c>
      <c r="B923" s="1">
        <v>35.354999999999997</v>
      </c>
      <c r="C923" s="1">
        <v>848.06010000000003</v>
      </c>
      <c r="D923" s="22">
        <f t="shared" si="52"/>
        <v>464.7212424025924</v>
      </c>
      <c r="E923" s="23">
        <f t="shared" si="53"/>
        <v>2.7539900062787979</v>
      </c>
      <c r="F923" s="23">
        <f t="shared" si="54"/>
        <v>-2.7539900062787979</v>
      </c>
    </row>
    <row r="924" spans="1:6" x14ac:dyDescent="0.3">
      <c r="A924" s="2">
        <v>42815</v>
      </c>
      <c r="B924" s="1">
        <v>34.96</v>
      </c>
      <c r="C924" s="1">
        <v>843.2</v>
      </c>
      <c r="D924" s="22">
        <f t="shared" si="52"/>
        <v>461.9672523963136</v>
      </c>
      <c r="E924" s="23">
        <f t="shared" si="53"/>
        <v>-7.4659620017280304</v>
      </c>
      <c r="F924" s="23">
        <f t="shared" si="54"/>
        <v>7.4659620017280304</v>
      </c>
    </row>
    <row r="925" spans="1:6" x14ac:dyDescent="0.3">
      <c r="A925" s="2">
        <v>42814</v>
      </c>
      <c r="B925" s="1">
        <v>35.365000000000002</v>
      </c>
      <c r="C925" s="1">
        <v>856.97</v>
      </c>
      <c r="D925" s="22">
        <f t="shared" si="52"/>
        <v>469.43321439804163</v>
      </c>
      <c r="E925" s="23">
        <f t="shared" si="53"/>
        <v>2.6352495919354624</v>
      </c>
      <c r="F925" s="23">
        <f t="shared" si="54"/>
        <v>-2.6352495919354624</v>
      </c>
    </row>
    <row r="926" spans="1:6" x14ac:dyDescent="0.3">
      <c r="A926" s="2">
        <v>42811</v>
      </c>
      <c r="B926" s="1">
        <v>34.997500000000002</v>
      </c>
      <c r="C926" s="1">
        <v>852.31010000000003</v>
      </c>
      <c r="D926" s="22">
        <f t="shared" si="52"/>
        <v>466.79796480610617</v>
      </c>
      <c r="E926" s="23">
        <f t="shared" si="53"/>
        <v>-0.66887110207375144</v>
      </c>
      <c r="F926" s="23">
        <f t="shared" si="54"/>
        <v>0.66887110207375144</v>
      </c>
    </row>
    <row r="927" spans="1:6" x14ac:dyDescent="0.3">
      <c r="A927" s="2">
        <v>42810</v>
      </c>
      <c r="B927" s="1">
        <v>35.172499999999999</v>
      </c>
      <c r="C927" s="1">
        <v>853.41989999999998</v>
      </c>
      <c r="D927" s="22">
        <f t="shared" si="52"/>
        <v>467.46683590817992</v>
      </c>
      <c r="E927" s="23">
        <f t="shared" si="53"/>
        <v>0.2648117463133417</v>
      </c>
      <c r="F927" s="23">
        <f t="shared" si="54"/>
        <v>-0.2648117463133417</v>
      </c>
    </row>
    <row r="928" spans="1:6" x14ac:dyDescent="0.3">
      <c r="A928" s="2">
        <v>42809</v>
      </c>
      <c r="B928" s="1">
        <v>35.115000000000002</v>
      </c>
      <c r="C928" s="1">
        <v>852.97</v>
      </c>
      <c r="D928" s="22">
        <f t="shared" si="52"/>
        <v>467.20202416186658</v>
      </c>
      <c r="E928" s="23">
        <f t="shared" si="53"/>
        <v>0.40580301123276286</v>
      </c>
      <c r="F928" s="23">
        <f t="shared" si="54"/>
        <v>-0.40580301123276286</v>
      </c>
    </row>
    <row r="929" spans="1:6" x14ac:dyDescent="0.3">
      <c r="A929" s="2">
        <v>42808</v>
      </c>
      <c r="B929" s="1">
        <v>34.747500000000002</v>
      </c>
      <c r="C929" s="1">
        <v>852.53</v>
      </c>
      <c r="D929" s="22">
        <f t="shared" si="52"/>
        <v>466.79622115063381</v>
      </c>
      <c r="E929" s="23">
        <f t="shared" si="53"/>
        <v>-1.1131500048387011</v>
      </c>
      <c r="F929" s="23">
        <f t="shared" si="54"/>
        <v>1.1131500048387011</v>
      </c>
    </row>
    <row r="930" spans="1:6" x14ac:dyDescent="0.3">
      <c r="A930" s="2">
        <v>42807</v>
      </c>
      <c r="B930" s="1">
        <v>34.799999999999997</v>
      </c>
      <c r="C930" s="1">
        <v>854.59010000000001</v>
      </c>
      <c r="D930" s="22">
        <f t="shared" si="52"/>
        <v>467.90937115547251</v>
      </c>
      <c r="E930" s="23">
        <f t="shared" si="53"/>
        <v>1.1324441249423671</v>
      </c>
      <c r="F930" s="23">
        <f t="shared" si="54"/>
        <v>-1.1324441249423671</v>
      </c>
    </row>
    <row r="931" spans="1:6" x14ac:dyDescent="0.3">
      <c r="A931" s="2">
        <v>42804</v>
      </c>
      <c r="B931" s="1">
        <v>34.784999999999997</v>
      </c>
      <c r="C931" s="1">
        <v>852.46</v>
      </c>
      <c r="D931" s="22">
        <f t="shared" si="52"/>
        <v>466.77692703053015</v>
      </c>
      <c r="E931" s="23">
        <f t="shared" si="53"/>
        <v>-0.23104789458523101</v>
      </c>
      <c r="F931" s="23">
        <f t="shared" si="54"/>
        <v>0.23104789458523101</v>
      </c>
    </row>
    <row r="932" spans="1:6" x14ac:dyDescent="0.3">
      <c r="A932" s="2">
        <v>42803</v>
      </c>
      <c r="B932" s="1">
        <v>34.67</v>
      </c>
      <c r="C932" s="1">
        <v>853</v>
      </c>
      <c r="D932" s="22">
        <f t="shared" si="52"/>
        <v>467.00797492511538</v>
      </c>
      <c r="E932" s="23">
        <f t="shared" si="53"/>
        <v>1.283058882488433</v>
      </c>
      <c r="F932" s="23">
        <f t="shared" si="54"/>
        <v>-1.283058882488433</v>
      </c>
    </row>
    <row r="933" spans="1:6" x14ac:dyDescent="0.3">
      <c r="A933" s="2">
        <v>42802</v>
      </c>
      <c r="B933" s="1">
        <v>34.75</v>
      </c>
      <c r="C933" s="1">
        <v>850.5</v>
      </c>
      <c r="D933" s="22">
        <f t="shared" si="52"/>
        <v>465.72491604262694</v>
      </c>
      <c r="E933" s="23">
        <f t="shared" si="53"/>
        <v>2.3055431970046243</v>
      </c>
      <c r="F933" s="23">
        <f t="shared" si="54"/>
        <v>-2.3055431970046243</v>
      </c>
    </row>
    <row r="934" spans="1:6" x14ac:dyDescent="0.3">
      <c r="A934" s="2">
        <v>42801</v>
      </c>
      <c r="B934" s="1">
        <v>34.880000000000003</v>
      </c>
      <c r="C934" s="1">
        <v>846.02</v>
      </c>
      <c r="D934" s="22">
        <f t="shared" si="52"/>
        <v>463.41937284562232</v>
      </c>
      <c r="E934" s="23">
        <f t="shared" si="53"/>
        <v>-0.29053437839854723</v>
      </c>
      <c r="F934" s="23">
        <f t="shared" si="54"/>
        <v>0.29053437839854723</v>
      </c>
    </row>
    <row r="935" spans="1:6" x14ac:dyDescent="0.3">
      <c r="A935" s="2">
        <v>42800</v>
      </c>
      <c r="B935" s="1">
        <v>34.835000000000001</v>
      </c>
      <c r="C935" s="1">
        <v>846.61009999999999</v>
      </c>
      <c r="D935" s="22">
        <f t="shared" si="52"/>
        <v>463.70990722402087</v>
      </c>
      <c r="E935" s="23">
        <f t="shared" si="53"/>
        <v>-1.7793773088710054</v>
      </c>
      <c r="F935" s="23">
        <f t="shared" si="54"/>
        <v>1.7793773088710054</v>
      </c>
    </row>
    <row r="936" spans="1:6" x14ac:dyDescent="0.3">
      <c r="A936" s="2">
        <v>42797</v>
      </c>
      <c r="B936" s="1">
        <v>34.945</v>
      </c>
      <c r="C936" s="1">
        <v>849.87990000000002</v>
      </c>
      <c r="D936" s="22">
        <f t="shared" si="52"/>
        <v>465.48928453289187</v>
      </c>
      <c r="E936" s="23">
        <f t="shared" si="53"/>
        <v>0.60916280817974666</v>
      </c>
      <c r="F936" s="23">
        <f t="shared" si="54"/>
        <v>-0.60916280817974666</v>
      </c>
    </row>
    <row r="937" spans="1:6" x14ac:dyDescent="0.3">
      <c r="A937" s="2">
        <v>42796</v>
      </c>
      <c r="B937" s="1">
        <v>34.74</v>
      </c>
      <c r="C937" s="1">
        <v>848.90989999999999</v>
      </c>
      <c r="D937" s="22">
        <f t="shared" si="52"/>
        <v>464.88012172471213</v>
      </c>
      <c r="E937" s="23">
        <f t="shared" si="53"/>
        <v>-2.3010633463709951</v>
      </c>
      <c r="F937" s="23">
        <f t="shared" si="54"/>
        <v>2.3010633463709951</v>
      </c>
    </row>
    <row r="938" spans="1:6" x14ac:dyDescent="0.3">
      <c r="A938" s="2">
        <v>42795</v>
      </c>
      <c r="B938" s="1">
        <v>34.947499999999998</v>
      </c>
      <c r="C938" s="1">
        <v>853.08010000000002</v>
      </c>
      <c r="D938" s="22">
        <f t="shared" si="52"/>
        <v>467.18118507108312</v>
      </c>
      <c r="E938" s="23">
        <f t="shared" si="53"/>
        <v>4.5779025206797428</v>
      </c>
      <c r="F938" s="23">
        <f t="shared" si="54"/>
        <v>-4.5779025206797428</v>
      </c>
    </row>
    <row r="939" spans="1:6" x14ac:dyDescent="0.3">
      <c r="A939" s="2">
        <v>42794</v>
      </c>
      <c r="B939" s="1">
        <v>34.247500000000002</v>
      </c>
      <c r="C939" s="1">
        <v>845.04</v>
      </c>
      <c r="D939" s="22">
        <f t="shared" si="52"/>
        <v>462.60328255040338</v>
      </c>
      <c r="E939" s="23">
        <f t="shared" si="53"/>
        <v>-1.8948145559331806</v>
      </c>
      <c r="F939" s="23">
        <f t="shared" si="54"/>
        <v>1.8948145559331806</v>
      </c>
    </row>
    <row r="940" spans="1:6" x14ac:dyDescent="0.3">
      <c r="A940" s="2">
        <v>42793</v>
      </c>
      <c r="B940" s="1">
        <v>34.232500000000002</v>
      </c>
      <c r="C940" s="1">
        <v>848.63990000000001</v>
      </c>
      <c r="D940" s="22">
        <f t="shared" si="52"/>
        <v>464.49809710633656</v>
      </c>
      <c r="E940" s="23">
        <f t="shared" si="53"/>
        <v>1.8280648914745825</v>
      </c>
      <c r="F940" s="23">
        <f t="shared" si="54"/>
        <v>-1.8280648914745825</v>
      </c>
    </row>
    <row r="941" spans="1:6" x14ac:dyDescent="0.3">
      <c r="A941" s="2">
        <v>42790</v>
      </c>
      <c r="B941" s="1">
        <v>34.164999999999999</v>
      </c>
      <c r="C941" s="1">
        <v>845.24</v>
      </c>
      <c r="D941" s="22">
        <f t="shared" si="52"/>
        <v>462.67003221486198</v>
      </c>
      <c r="E941" s="23">
        <f t="shared" si="53"/>
        <v>-3.6564233880183679</v>
      </c>
      <c r="F941" s="23">
        <f t="shared" si="54"/>
        <v>3.6564233880183679</v>
      </c>
    </row>
    <row r="942" spans="1:6" x14ac:dyDescent="0.3">
      <c r="A942" s="2">
        <v>42789</v>
      </c>
      <c r="B942" s="1">
        <v>34.1325</v>
      </c>
      <c r="C942" s="1">
        <v>852.18989999999997</v>
      </c>
      <c r="D942" s="22">
        <f t="shared" si="52"/>
        <v>466.32645560288034</v>
      </c>
      <c r="E942" s="23">
        <f t="shared" si="53"/>
        <v>-1.8753451364055422</v>
      </c>
      <c r="F942" s="23">
        <f t="shared" si="54"/>
        <v>1.8753451364055422</v>
      </c>
    </row>
    <row r="943" spans="1:6" x14ac:dyDescent="0.3">
      <c r="A943" s="2">
        <v>42788</v>
      </c>
      <c r="B943" s="1">
        <v>34.277500000000003</v>
      </c>
      <c r="C943" s="1">
        <v>855.61009999999999</v>
      </c>
      <c r="D943" s="22">
        <f t="shared" si="52"/>
        <v>468.20180073928589</v>
      </c>
      <c r="E943" s="23">
        <f t="shared" si="53"/>
        <v>-0.39005030858294276</v>
      </c>
      <c r="F943" s="23">
        <f t="shared" si="54"/>
        <v>0.39005030858294276</v>
      </c>
    </row>
    <row r="944" spans="1:6" x14ac:dyDescent="0.3">
      <c r="A944" s="2">
        <v>42787</v>
      </c>
      <c r="B944" s="1">
        <v>34.174999999999997</v>
      </c>
      <c r="C944" s="1">
        <v>856.43989999999997</v>
      </c>
      <c r="D944" s="22">
        <f t="shared" si="52"/>
        <v>468.59185104786883</v>
      </c>
      <c r="E944" s="23">
        <f t="shared" si="53"/>
        <v>6.1224253705068463</v>
      </c>
      <c r="F944" s="23">
        <f t="shared" si="54"/>
        <v>-6.1224253705068463</v>
      </c>
    </row>
    <row r="945" spans="1:6" x14ac:dyDescent="0.3">
      <c r="A945" s="2">
        <v>42786</v>
      </c>
      <c r="B945" s="1">
        <v>33.93</v>
      </c>
      <c r="C945" s="1">
        <v>845.07010000000002</v>
      </c>
      <c r="D945" s="22">
        <f t="shared" si="52"/>
        <v>462.46942567736198</v>
      </c>
      <c r="E945" s="23">
        <f t="shared" si="53"/>
        <v>0</v>
      </c>
      <c r="F945" s="23">
        <f t="shared" si="54"/>
        <v>0</v>
      </c>
    </row>
    <row r="946" spans="1:6" x14ac:dyDescent="0.3">
      <c r="A946" s="2">
        <v>42783</v>
      </c>
      <c r="B946" s="1">
        <v>33.93</v>
      </c>
      <c r="C946" s="1">
        <v>845.07010000000002</v>
      </c>
      <c r="D946" s="22">
        <f t="shared" si="52"/>
        <v>462.46942567736198</v>
      </c>
      <c r="E946" s="23">
        <f t="shared" si="53"/>
        <v>0.53568467027656652</v>
      </c>
      <c r="F946" s="23">
        <f t="shared" si="54"/>
        <v>-0.53568467027656652</v>
      </c>
    </row>
    <row r="947" spans="1:6" x14ac:dyDescent="0.3">
      <c r="A947" s="2">
        <v>42782</v>
      </c>
      <c r="B947" s="1">
        <v>33.836199999999998</v>
      </c>
      <c r="C947" s="1">
        <v>844.13990000000001</v>
      </c>
      <c r="D947" s="22">
        <f t="shared" si="52"/>
        <v>461.93374100708542</v>
      </c>
      <c r="E947" s="23">
        <f t="shared" si="53"/>
        <v>0.74124372741931666</v>
      </c>
      <c r="F947" s="23">
        <f t="shared" si="54"/>
        <v>-0.74124372741931666</v>
      </c>
    </row>
    <row r="948" spans="1:6" x14ac:dyDescent="0.3">
      <c r="A948" s="2">
        <v>42781</v>
      </c>
      <c r="B948" s="1">
        <v>33.877499999999998</v>
      </c>
      <c r="C948" s="1">
        <v>842.7</v>
      </c>
      <c r="D948" s="22">
        <f t="shared" si="52"/>
        <v>461.1924972796661</v>
      </c>
      <c r="E948" s="23">
        <f t="shared" si="53"/>
        <v>3.3915167214285589</v>
      </c>
      <c r="F948" s="23">
        <f t="shared" si="54"/>
        <v>-3.3915167214285589</v>
      </c>
    </row>
    <row r="949" spans="1:6" x14ac:dyDescent="0.3">
      <c r="A949" s="2">
        <v>42780</v>
      </c>
      <c r="B949" s="1">
        <v>33.755000000000003</v>
      </c>
      <c r="C949" s="1">
        <v>836.38990000000001</v>
      </c>
      <c r="D949" s="22">
        <f t="shared" si="52"/>
        <v>457.80098055823754</v>
      </c>
      <c r="E949" s="23">
        <f t="shared" si="53"/>
        <v>0.12998545887103319</v>
      </c>
      <c r="F949" s="23">
        <f t="shared" si="54"/>
        <v>-0.12998545887103319</v>
      </c>
    </row>
    <row r="950" spans="1:6" x14ac:dyDescent="0.3">
      <c r="A950" s="2">
        <v>42779</v>
      </c>
      <c r="B950" s="1">
        <v>33.322499999999998</v>
      </c>
      <c r="C950" s="1">
        <v>836.53</v>
      </c>
      <c r="D950" s="22">
        <f t="shared" si="52"/>
        <v>457.67099509936651</v>
      </c>
      <c r="E950" s="23">
        <f t="shared" si="53"/>
        <v>4.9298059461405046</v>
      </c>
      <c r="F950" s="23">
        <f t="shared" si="54"/>
        <v>-4.9298059461405046</v>
      </c>
    </row>
    <row r="951" spans="1:6" x14ac:dyDescent="0.3">
      <c r="A951" s="2">
        <v>42776</v>
      </c>
      <c r="B951" s="1">
        <v>33.03</v>
      </c>
      <c r="C951" s="1">
        <v>827.46</v>
      </c>
      <c r="D951" s="22">
        <f t="shared" si="52"/>
        <v>452.741189153226</v>
      </c>
      <c r="E951" s="23">
        <f t="shared" si="53"/>
        <v>3.1873070904954375</v>
      </c>
      <c r="F951" s="23">
        <f t="shared" si="54"/>
        <v>-3.1873070904954375</v>
      </c>
    </row>
    <row r="952" spans="1:6" x14ac:dyDescent="0.3">
      <c r="A952" s="2">
        <v>42775</v>
      </c>
      <c r="B952" s="1">
        <v>33.104999999999997</v>
      </c>
      <c r="C952" s="1">
        <v>821.36009999999999</v>
      </c>
      <c r="D952" s="22">
        <f t="shared" si="52"/>
        <v>449.55388206273057</v>
      </c>
      <c r="E952" s="23">
        <f t="shared" si="53"/>
        <v>0.91658638300691564</v>
      </c>
      <c r="F952" s="23">
        <f t="shared" si="54"/>
        <v>-0.91658638300691564</v>
      </c>
    </row>
    <row r="953" spans="1:6" x14ac:dyDescent="0.3">
      <c r="A953" s="2">
        <v>42774</v>
      </c>
      <c r="B953" s="1">
        <v>33.01</v>
      </c>
      <c r="C953" s="1">
        <v>819.71</v>
      </c>
      <c r="D953" s="22">
        <f t="shared" si="52"/>
        <v>448.63729567972365</v>
      </c>
      <c r="E953" s="23">
        <f t="shared" si="53"/>
        <v>3.8693079593894026</v>
      </c>
      <c r="F953" s="23">
        <f t="shared" si="54"/>
        <v>-3.8693079593894026</v>
      </c>
    </row>
    <row r="954" spans="1:6" x14ac:dyDescent="0.3">
      <c r="A954" s="2">
        <v>42773</v>
      </c>
      <c r="B954" s="1">
        <v>32.8825</v>
      </c>
      <c r="C954" s="1">
        <v>812.5</v>
      </c>
      <c r="D954" s="22">
        <f t="shared" si="52"/>
        <v>444.76798772033425</v>
      </c>
      <c r="E954" s="23">
        <f t="shared" si="53"/>
        <v>2.7138969849654018</v>
      </c>
      <c r="F954" s="23">
        <f t="shared" si="54"/>
        <v>-2.7138969849654018</v>
      </c>
    </row>
    <row r="955" spans="1:6" x14ac:dyDescent="0.3">
      <c r="A955" s="2">
        <v>42772</v>
      </c>
      <c r="B955" s="1">
        <v>32.572499999999998</v>
      </c>
      <c r="C955" s="1">
        <v>807.63990000000001</v>
      </c>
      <c r="D955" s="22">
        <f t="shared" si="52"/>
        <v>442.05409073536885</v>
      </c>
      <c r="E955" s="23">
        <f t="shared" si="53"/>
        <v>-1.2098613786866963</v>
      </c>
      <c r="F955" s="23">
        <f t="shared" si="54"/>
        <v>1.2098613786866963</v>
      </c>
    </row>
    <row r="956" spans="1:6" x14ac:dyDescent="0.3">
      <c r="A956" s="2">
        <v>42769</v>
      </c>
      <c r="B956" s="1">
        <v>32.270000000000003</v>
      </c>
      <c r="C956" s="1">
        <v>810.2</v>
      </c>
      <c r="D956" s="22">
        <f t="shared" si="52"/>
        <v>443.26395211405554</v>
      </c>
      <c r="E956" s="23">
        <f t="shared" si="53"/>
        <v>-15.652586182315645</v>
      </c>
      <c r="F956" s="23">
        <f t="shared" si="54"/>
        <v>15.652586182315645</v>
      </c>
    </row>
    <row r="957" spans="1:6" x14ac:dyDescent="0.3">
      <c r="A957" s="2">
        <v>42768</v>
      </c>
      <c r="B957" s="1">
        <v>32.1325</v>
      </c>
      <c r="C957" s="1">
        <v>839.95</v>
      </c>
      <c r="D957" s="22">
        <f t="shared" si="52"/>
        <v>458.91653829637119</v>
      </c>
      <c r="E957" s="23">
        <f t="shared" si="53"/>
        <v>3.9892168370392369</v>
      </c>
      <c r="F957" s="23">
        <f t="shared" si="54"/>
        <v>-3.9892168370392369</v>
      </c>
    </row>
    <row r="958" spans="1:6" x14ac:dyDescent="0.3">
      <c r="A958" s="2">
        <v>42767</v>
      </c>
      <c r="B958" s="1">
        <v>32.1875</v>
      </c>
      <c r="C958" s="1">
        <v>832.3501</v>
      </c>
      <c r="D958" s="22">
        <f t="shared" si="52"/>
        <v>454.92732145933195</v>
      </c>
      <c r="E958" s="23">
        <f t="shared" si="53"/>
        <v>5.5588409538594306</v>
      </c>
      <c r="F958" s="23">
        <f t="shared" si="54"/>
        <v>-5.5588409538594306</v>
      </c>
    </row>
    <row r="959" spans="1:6" x14ac:dyDescent="0.3">
      <c r="A959" s="2">
        <v>42766</v>
      </c>
      <c r="B959" s="1">
        <v>30.337499999999999</v>
      </c>
      <c r="C959" s="1">
        <v>823.48</v>
      </c>
      <c r="D959" s="22">
        <f t="shared" si="52"/>
        <v>449.36848050547252</v>
      </c>
      <c r="E959" s="23">
        <f t="shared" si="53"/>
        <v>-3.6783549850806594</v>
      </c>
      <c r="F959" s="23">
        <f t="shared" si="54"/>
        <v>3.6783549850806594</v>
      </c>
    </row>
    <row r="960" spans="1:6" x14ac:dyDescent="0.3">
      <c r="A960" s="2">
        <v>42765</v>
      </c>
      <c r="B960" s="1">
        <v>30.407499999999999</v>
      </c>
      <c r="C960" s="1">
        <v>830.37990000000002</v>
      </c>
      <c r="D960" s="22">
        <f t="shared" si="52"/>
        <v>453.04683549055318</v>
      </c>
      <c r="E960" s="23">
        <f t="shared" si="53"/>
        <v>-2.8854182061635356</v>
      </c>
      <c r="F960" s="23">
        <f t="shared" si="54"/>
        <v>2.8854182061635356</v>
      </c>
    </row>
    <row r="961" spans="1:6" x14ac:dyDescent="0.3">
      <c r="A961" s="2">
        <v>42762</v>
      </c>
      <c r="B961" s="1">
        <v>30.487500000000001</v>
      </c>
      <c r="C961" s="1">
        <v>835.77</v>
      </c>
      <c r="D961" s="22">
        <f t="shared" si="52"/>
        <v>455.93225369671671</v>
      </c>
      <c r="E961" s="23">
        <f t="shared" si="53"/>
        <v>-1.7844807612903537</v>
      </c>
      <c r="F961" s="23">
        <f t="shared" si="54"/>
        <v>1.7844807612903537</v>
      </c>
    </row>
    <row r="962" spans="1:6" x14ac:dyDescent="0.3">
      <c r="A962" s="2">
        <v>42761</v>
      </c>
      <c r="B962" s="1">
        <v>30.484999999999999</v>
      </c>
      <c r="C962" s="1">
        <v>839.1499</v>
      </c>
      <c r="D962" s="22">
        <f t="shared" si="52"/>
        <v>457.71673445800707</v>
      </c>
      <c r="E962" s="23">
        <f t="shared" si="53"/>
        <v>1.3964971596197984</v>
      </c>
      <c r="F962" s="23">
        <f t="shared" si="54"/>
        <v>-1.3964971596197984</v>
      </c>
    </row>
    <row r="963" spans="1:6" x14ac:dyDescent="0.3">
      <c r="A963" s="2">
        <v>42760</v>
      </c>
      <c r="B963" s="1">
        <v>30.47</v>
      </c>
      <c r="C963" s="1">
        <v>836.52</v>
      </c>
      <c r="D963" s="22">
        <f t="shared" si="52"/>
        <v>456.32023729838727</v>
      </c>
      <c r="E963" s="23">
        <f t="shared" si="53"/>
        <v>7.6639902150922126</v>
      </c>
      <c r="F963" s="23">
        <f t="shared" si="54"/>
        <v>-7.6639902150922126</v>
      </c>
    </row>
    <row r="964" spans="1:6" x14ac:dyDescent="0.3">
      <c r="A964" s="2">
        <v>42759</v>
      </c>
      <c r="B964" s="1">
        <v>29.9925</v>
      </c>
      <c r="C964" s="1">
        <v>822.43989999999997</v>
      </c>
      <c r="D964" s="22">
        <f t="shared" si="52"/>
        <v>448.65624708329506</v>
      </c>
      <c r="E964" s="23">
        <f t="shared" si="53"/>
        <v>2.3961560555875394</v>
      </c>
      <c r="F964" s="23">
        <f t="shared" si="54"/>
        <v>-2.3961560555875394</v>
      </c>
    </row>
    <row r="965" spans="1:6" x14ac:dyDescent="0.3">
      <c r="A965" s="2">
        <v>42758</v>
      </c>
      <c r="B965" s="1">
        <v>30.02</v>
      </c>
      <c r="C965" s="1">
        <v>817.87990000000002</v>
      </c>
      <c r="D965" s="22">
        <f t="shared" si="52"/>
        <v>446.26009102770752</v>
      </c>
      <c r="E965" s="23">
        <f t="shared" si="53"/>
        <v>5.0547591233870435</v>
      </c>
      <c r="F965" s="23">
        <f t="shared" si="54"/>
        <v>-5.0547591233870435</v>
      </c>
    </row>
    <row r="966" spans="1:6" x14ac:dyDescent="0.3">
      <c r="A966" s="2">
        <v>42755</v>
      </c>
      <c r="B966" s="1">
        <v>30</v>
      </c>
      <c r="C966" s="1">
        <v>808.33010000000002</v>
      </c>
      <c r="D966" s="22">
        <f t="shared" ref="D966:D1029" si="55">$M$16*B966+(1-$M$16)*C966</f>
        <v>441.20533190432047</v>
      </c>
      <c r="E966" s="23">
        <f t="shared" ref="E966:E1029" si="56">D966-D967</f>
        <v>-0.34910997644004738</v>
      </c>
      <c r="F966" s="23">
        <f t="shared" ref="F966:F1029" si="57">-E966</f>
        <v>0.34910997644004738</v>
      </c>
    </row>
    <row r="967" spans="1:6" x14ac:dyDescent="0.3">
      <c r="A967" s="2">
        <v>42754</v>
      </c>
      <c r="B967" s="1">
        <v>29.945</v>
      </c>
      <c r="C967" s="1">
        <v>809.04</v>
      </c>
      <c r="D967" s="22">
        <f t="shared" si="55"/>
        <v>441.55444188076052</v>
      </c>
      <c r="E967" s="23">
        <f t="shared" si="56"/>
        <v>0.79941180155526581</v>
      </c>
      <c r="F967" s="23">
        <f t="shared" si="57"/>
        <v>-0.79941180155526581</v>
      </c>
    </row>
    <row r="968" spans="1:6" x14ac:dyDescent="0.3">
      <c r="A968" s="2">
        <v>42753</v>
      </c>
      <c r="B968" s="1">
        <v>29.997499999999999</v>
      </c>
      <c r="C968" s="1">
        <v>807.48</v>
      </c>
      <c r="D968" s="22">
        <f t="shared" si="55"/>
        <v>440.75503007920526</v>
      </c>
      <c r="E968" s="23">
        <f t="shared" si="56"/>
        <v>-1.1846101742511337</v>
      </c>
      <c r="F968" s="23">
        <f t="shared" si="57"/>
        <v>1.1846101742511337</v>
      </c>
    </row>
    <row r="969" spans="1:6" x14ac:dyDescent="0.3">
      <c r="A969" s="2">
        <v>42752</v>
      </c>
      <c r="B969" s="1">
        <v>30</v>
      </c>
      <c r="C969" s="1">
        <v>809.72</v>
      </c>
      <c r="D969" s="22">
        <f t="shared" si="55"/>
        <v>441.93964025345639</v>
      </c>
      <c r="E969" s="23">
        <f t="shared" si="56"/>
        <v>-3.8068584240207315</v>
      </c>
      <c r="F969" s="23">
        <f t="shared" si="57"/>
        <v>3.8068584240207315</v>
      </c>
    </row>
    <row r="970" spans="1:6" x14ac:dyDescent="0.3">
      <c r="A970" s="2">
        <v>42751</v>
      </c>
      <c r="B970" s="1">
        <v>29.76</v>
      </c>
      <c r="C970" s="1">
        <v>817.13990000000001</v>
      </c>
      <c r="D970" s="22">
        <f t="shared" si="55"/>
        <v>445.74649867747712</v>
      </c>
      <c r="E970" s="23">
        <f t="shared" si="56"/>
        <v>0</v>
      </c>
      <c r="F970" s="23">
        <f t="shared" si="57"/>
        <v>0</v>
      </c>
    </row>
    <row r="971" spans="1:6" x14ac:dyDescent="0.3">
      <c r="A971" s="2">
        <v>42748</v>
      </c>
      <c r="B971" s="1">
        <v>29.76</v>
      </c>
      <c r="C971" s="1">
        <v>817.13990000000001</v>
      </c>
      <c r="D971" s="22">
        <f t="shared" si="55"/>
        <v>445.74649867747712</v>
      </c>
      <c r="E971" s="23">
        <f t="shared" si="56"/>
        <v>1.8243475504032176</v>
      </c>
      <c r="F971" s="23">
        <f t="shared" si="57"/>
        <v>-1.8243475504032176</v>
      </c>
    </row>
    <row r="972" spans="1:6" x14ac:dyDescent="0.3">
      <c r="A972" s="2">
        <v>42747</v>
      </c>
      <c r="B972" s="1">
        <v>29.8125</v>
      </c>
      <c r="C972" s="1">
        <v>813.63990000000001</v>
      </c>
      <c r="D972" s="22">
        <f t="shared" si="55"/>
        <v>443.9221511270739</v>
      </c>
      <c r="E972" s="23">
        <f t="shared" si="56"/>
        <v>7.6649871769009223</v>
      </c>
      <c r="F972" s="23">
        <f t="shared" si="57"/>
        <v>-7.6649871769009223</v>
      </c>
    </row>
    <row r="973" spans="1:6" x14ac:dyDescent="0.3">
      <c r="A973" s="2">
        <v>42746</v>
      </c>
      <c r="B973" s="1">
        <v>29.9375</v>
      </c>
      <c r="C973" s="1">
        <v>799.02</v>
      </c>
      <c r="D973" s="22">
        <f t="shared" si="55"/>
        <v>436.25716395017298</v>
      </c>
      <c r="E973" s="23">
        <f t="shared" si="56"/>
        <v>1.7238723248271981</v>
      </c>
      <c r="F973" s="23">
        <f t="shared" si="57"/>
        <v>-1.7238723248271981</v>
      </c>
    </row>
    <row r="974" spans="1:6" x14ac:dyDescent="0.3">
      <c r="A974" s="2">
        <v>42745</v>
      </c>
      <c r="B974" s="1">
        <v>29.7775</v>
      </c>
      <c r="C974" s="1">
        <v>795.8999</v>
      </c>
      <c r="D974" s="22">
        <f t="shared" si="55"/>
        <v>434.53329162534578</v>
      </c>
      <c r="E974" s="23">
        <f t="shared" si="56"/>
        <v>-0.52473326612903293</v>
      </c>
      <c r="F974" s="23">
        <f t="shared" si="57"/>
        <v>0.52473326612903293</v>
      </c>
    </row>
    <row r="975" spans="1:6" x14ac:dyDescent="0.3">
      <c r="A975" s="2">
        <v>42744</v>
      </c>
      <c r="B975" s="1">
        <v>29.747499999999999</v>
      </c>
      <c r="C975" s="1">
        <v>796.91989999999998</v>
      </c>
      <c r="D975" s="22">
        <f t="shared" si="55"/>
        <v>435.05802489147482</v>
      </c>
      <c r="E975" s="23">
        <f t="shared" si="56"/>
        <v>0.61863664982718092</v>
      </c>
      <c r="F975" s="23">
        <f t="shared" si="57"/>
        <v>-0.61863664982718092</v>
      </c>
    </row>
    <row r="976" spans="1:6" x14ac:dyDescent="0.3">
      <c r="A976" s="2">
        <v>42741</v>
      </c>
      <c r="B976" s="1">
        <v>29.477499999999999</v>
      </c>
      <c r="C976" s="1">
        <v>795.99</v>
      </c>
      <c r="D976" s="22">
        <f t="shared" si="55"/>
        <v>434.43938824164763</v>
      </c>
      <c r="E976" s="23">
        <f t="shared" si="56"/>
        <v>8.3633491849078041</v>
      </c>
      <c r="F976" s="23">
        <f t="shared" si="57"/>
        <v>-8.3633491849078041</v>
      </c>
    </row>
    <row r="977" spans="1:6" x14ac:dyDescent="0.3">
      <c r="A977" s="2">
        <v>42740</v>
      </c>
      <c r="B977" s="1">
        <v>29.1525</v>
      </c>
      <c r="C977" s="1">
        <v>780.45</v>
      </c>
      <c r="D977" s="22">
        <f t="shared" si="55"/>
        <v>426.07603905673983</v>
      </c>
      <c r="E977" s="23">
        <f t="shared" si="56"/>
        <v>12.363571827995429</v>
      </c>
      <c r="F977" s="23">
        <f t="shared" si="57"/>
        <v>-12.363571827995429</v>
      </c>
    </row>
    <row r="978" spans="1:6" x14ac:dyDescent="0.3">
      <c r="A978" s="2">
        <v>42739</v>
      </c>
      <c r="B978" s="1">
        <v>29.004999999999999</v>
      </c>
      <c r="C978" s="1">
        <v>757.17989999999998</v>
      </c>
      <c r="D978" s="22">
        <f t="shared" si="55"/>
        <v>413.7124672287444</v>
      </c>
      <c r="E978" s="23">
        <f t="shared" si="56"/>
        <v>1.839064376440092</v>
      </c>
      <c r="F978" s="23">
        <f t="shared" si="57"/>
        <v>-1.839064376440092</v>
      </c>
    </row>
    <row r="979" spans="1:6" x14ac:dyDescent="0.3">
      <c r="A979" s="2">
        <v>42738</v>
      </c>
      <c r="B979" s="1">
        <v>29.037500000000001</v>
      </c>
      <c r="C979" s="1">
        <v>753.66989999999998</v>
      </c>
      <c r="D979" s="22">
        <f t="shared" si="55"/>
        <v>411.87340285230431</v>
      </c>
      <c r="E979" s="23">
        <f t="shared" si="56"/>
        <v>2.0464142573156892</v>
      </c>
      <c r="F979" s="23">
        <f t="shared" si="57"/>
        <v>-2.0464142573156892</v>
      </c>
    </row>
    <row r="980" spans="1:6" x14ac:dyDescent="0.3">
      <c r="A980" s="2">
        <v>42737</v>
      </c>
      <c r="B980" s="1">
        <v>28.954999999999998</v>
      </c>
      <c r="C980" s="1">
        <v>749.87009999999998</v>
      </c>
      <c r="D980" s="22">
        <f t="shared" si="55"/>
        <v>409.82698859498862</v>
      </c>
      <c r="E980" s="23">
        <f t="shared" si="56"/>
        <v>0</v>
      </c>
      <c r="F980" s="23">
        <f t="shared" si="57"/>
        <v>0</v>
      </c>
    </row>
    <row r="981" spans="1:6" x14ac:dyDescent="0.3">
      <c r="A981" s="2">
        <v>42734</v>
      </c>
      <c r="B981" s="1">
        <v>28.954999999999998</v>
      </c>
      <c r="C981" s="1">
        <v>749.87009999999998</v>
      </c>
      <c r="D981" s="22">
        <f t="shared" si="55"/>
        <v>409.82698859498862</v>
      </c>
      <c r="E981" s="23">
        <f t="shared" si="56"/>
        <v>-8.1798919445276965</v>
      </c>
      <c r="F981" s="23">
        <f t="shared" si="57"/>
        <v>8.1798919445276965</v>
      </c>
    </row>
    <row r="982" spans="1:6" x14ac:dyDescent="0.3">
      <c r="A982" s="2">
        <v>42733</v>
      </c>
      <c r="B982" s="1">
        <v>29.182500000000001</v>
      </c>
      <c r="C982" s="1">
        <v>765.1499</v>
      </c>
      <c r="D982" s="22">
        <f t="shared" si="55"/>
        <v>418.00688053951632</v>
      </c>
      <c r="E982" s="23">
        <f t="shared" si="56"/>
        <v>-3.6911930457949325</v>
      </c>
      <c r="F982" s="23">
        <f t="shared" si="57"/>
        <v>3.6911930457949325</v>
      </c>
    </row>
    <row r="983" spans="1:6" x14ac:dyDescent="0.3">
      <c r="A983" s="2">
        <v>42732</v>
      </c>
      <c r="B983" s="1">
        <v>29.19</v>
      </c>
      <c r="C983" s="1">
        <v>772.12990000000002</v>
      </c>
      <c r="D983" s="22">
        <f t="shared" si="55"/>
        <v>421.69807358531125</v>
      </c>
      <c r="E983" s="23">
        <f t="shared" si="56"/>
        <v>0.32671137384795657</v>
      </c>
      <c r="F983" s="23">
        <f t="shared" si="57"/>
        <v>-0.32671137384795657</v>
      </c>
    </row>
    <row r="984" spans="1:6" x14ac:dyDescent="0.3">
      <c r="A984" s="2">
        <v>42731</v>
      </c>
      <c r="B984" s="1">
        <v>29.315000000000001</v>
      </c>
      <c r="C984" s="1">
        <v>771.3999</v>
      </c>
      <c r="D984" s="22">
        <f t="shared" si="55"/>
        <v>421.37136221146329</v>
      </c>
      <c r="E984" s="23">
        <f t="shared" si="56"/>
        <v>5.7982666723502234</v>
      </c>
      <c r="F984" s="23">
        <f t="shared" si="57"/>
        <v>-5.7982666723502234</v>
      </c>
    </row>
    <row r="985" spans="1:6" x14ac:dyDescent="0.3">
      <c r="A985" s="2">
        <v>42730</v>
      </c>
      <c r="B985" s="1">
        <v>29.13</v>
      </c>
      <c r="C985" s="1">
        <v>760.59010000000001</v>
      </c>
      <c r="D985" s="22">
        <f t="shared" si="55"/>
        <v>415.57309553911307</v>
      </c>
      <c r="E985" s="23">
        <f t="shared" si="56"/>
        <v>0</v>
      </c>
      <c r="F985" s="23">
        <f t="shared" si="57"/>
        <v>0</v>
      </c>
    </row>
    <row r="986" spans="1:6" x14ac:dyDescent="0.3">
      <c r="A986" s="2">
        <v>42727</v>
      </c>
      <c r="B986" s="1">
        <v>29.13</v>
      </c>
      <c r="C986" s="1">
        <v>760.59010000000001</v>
      </c>
      <c r="D986" s="22">
        <f t="shared" si="55"/>
        <v>415.57309553911307</v>
      </c>
      <c r="E986" s="23">
        <f t="shared" si="56"/>
        <v>-3.0107032790898529</v>
      </c>
      <c r="F986" s="23">
        <f t="shared" si="57"/>
        <v>3.0107032790898529</v>
      </c>
    </row>
    <row r="987" spans="1:6" x14ac:dyDescent="0.3">
      <c r="A987" s="2">
        <v>42726</v>
      </c>
      <c r="B987" s="1">
        <v>29.072500000000002</v>
      </c>
      <c r="C987" s="1">
        <v>766.34010000000001</v>
      </c>
      <c r="D987" s="22">
        <f t="shared" si="55"/>
        <v>418.58379881820292</v>
      </c>
      <c r="E987" s="23">
        <f t="shared" si="56"/>
        <v>-2.3414310095046176</v>
      </c>
      <c r="F987" s="23">
        <f t="shared" si="57"/>
        <v>2.3414310095046176</v>
      </c>
    </row>
    <row r="988" spans="1:6" x14ac:dyDescent="0.3">
      <c r="A988" s="2">
        <v>42725</v>
      </c>
      <c r="B988" s="1">
        <v>29.265000000000001</v>
      </c>
      <c r="C988" s="1">
        <v>770.6001</v>
      </c>
      <c r="D988" s="22">
        <f t="shared" si="55"/>
        <v>420.92522982770754</v>
      </c>
      <c r="E988" s="23">
        <f t="shared" si="56"/>
        <v>-0.31453268237328302</v>
      </c>
      <c r="F988" s="23">
        <f t="shared" si="57"/>
        <v>0.31453268237328302</v>
      </c>
    </row>
    <row r="989" spans="1:6" x14ac:dyDescent="0.3">
      <c r="A989" s="2">
        <v>42724</v>
      </c>
      <c r="B989" s="1">
        <v>29.237500000000001</v>
      </c>
      <c r="C989" s="1">
        <v>771.22</v>
      </c>
      <c r="D989" s="22">
        <f t="shared" si="55"/>
        <v>421.23976251008082</v>
      </c>
      <c r="E989" s="23">
        <f t="shared" si="56"/>
        <v>2.7943722105414963</v>
      </c>
      <c r="F989" s="23">
        <f t="shared" si="57"/>
        <v>-2.7943722105414963</v>
      </c>
    </row>
    <row r="990" spans="1:6" x14ac:dyDescent="0.3">
      <c r="A990" s="2">
        <v>42723</v>
      </c>
      <c r="B990" s="1">
        <v>29.16</v>
      </c>
      <c r="C990" s="1">
        <v>766</v>
      </c>
      <c r="D990" s="22">
        <f t="shared" si="55"/>
        <v>418.44539029953933</v>
      </c>
      <c r="E990" s="23">
        <f t="shared" si="56"/>
        <v>4.4270590077765064</v>
      </c>
      <c r="F990" s="23">
        <f t="shared" si="57"/>
        <v>-4.4270590077765064</v>
      </c>
    </row>
    <row r="991" spans="1:6" x14ac:dyDescent="0.3">
      <c r="A991" s="2">
        <v>42720</v>
      </c>
      <c r="B991" s="1">
        <v>28.9925</v>
      </c>
      <c r="C991" s="1">
        <v>757.77</v>
      </c>
      <c r="D991" s="22">
        <f t="shared" si="55"/>
        <v>414.01833129176282</v>
      </c>
      <c r="E991" s="23">
        <f t="shared" si="56"/>
        <v>-1.6887770924539609</v>
      </c>
      <c r="F991" s="23">
        <f t="shared" si="57"/>
        <v>1.6887770924539609</v>
      </c>
    </row>
    <row r="992" spans="1:6" x14ac:dyDescent="0.3">
      <c r="A992" s="2">
        <v>42719</v>
      </c>
      <c r="B992" s="1">
        <v>28.954999999999998</v>
      </c>
      <c r="C992" s="1">
        <v>761</v>
      </c>
      <c r="D992" s="22">
        <f t="shared" si="55"/>
        <v>415.70710838421678</v>
      </c>
      <c r="E992" s="23">
        <f t="shared" si="56"/>
        <v>-4.0572048608294722</v>
      </c>
      <c r="F992" s="23">
        <f t="shared" si="57"/>
        <v>4.0572048608294722</v>
      </c>
    </row>
    <row r="993" spans="1:6" x14ac:dyDescent="0.3">
      <c r="A993" s="2">
        <v>42718</v>
      </c>
      <c r="B993" s="1">
        <v>28.797499999999999</v>
      </c>
      <c r="C993" s="1">
        <v>768.82010000000002</v>
      </c>
      <c r="D993" s="22">
        <f t="shared" si="55"/>
        <v>419.76431324504625</v>
      </c>
      <c r="E993" s="23">
        <f t="shared" si="56"/>
        <v>-2.9163120276497239</v>
      </c>
      <c r="F993" s="23">
        <f t="shared" si="57"/>
        <v>2.9163120276497239</v>
      </c>
    </row>
    <row r="994" spans="1:6" x14ac:dyDescent="0.3">
      <c r="A994" s="2">
        <v>42717</v>
      </c>
      <c r="B994" s="1">
        <v>28.797499999999999</v>
      </c>
      <c r="C994" s="1">
        <v>774.34010000000001</v>
      </c>
      <c r="D994" s="22">
        <f t="shared" si="55"/>
        <v>422.68062527269598</v>
      </c>
      <c r="E994" s="23">
        <f t="shared" si="56"/>
        <v>7.7355434058179071</v>
      </c>
      <c r="F994" s="23">
        <f t="shared" si="57"/>
        <v>-7.7355434058179071</v>
      </c>
    </row>
    <row r="995" spans="1:6" x14ac:dyDescent="0.3">
      <c r="A995" s="2">
        <v>42716</v>
      </c>
      <c r="B995" s="1">
        <v>28.324999999999999</v>
      </c>
      <c r="C995" s="1">
        <v>760.12009999999998</v>
      </c>
      <c r="D995" s="22">
        <f t="shared" si="55"/>
        <v>414.94508186687807</v>
      </c>
      <c r="E995" s="23">
        <f t="shared" si="56"/>
        <v>-4.5883733241359437</v>
      </c>
      <c r="F995" s="23">
        <f t="shared" si="57"/>
        <v>4.5883733241359437</v>
      </c>
    </row>
    <row r="996" spans="1:6" x14ac:dyDescent="0.3">
      <c r="A996" s="2">
        <v>42713</v>
      </c>
      <c r="B996" s="1">
        <v>28.487500000000001</v>
      </c>
      <c r="C996" s="1">
        <v>768.65989999999999</v>
      </c>
      <c r="D996" s="22">
        <f t="shared" si="55"/>
        <v>419.53345519101401</v>
      </c>
      <c r="E996" s="23">
        <f t="shared" si="56"/>
        <v>0.9183512648041301</v>
      </c>
      <c r="F996" s="23">
        <f t="shared" si="57"/>
        <v>-0.9183512648041301</v>
      </c>
    </row>
    <row r="997" spans="1:6" x14ac:dyDescent="0.3">
      <c r="A997" s="2">
        <v>42712</v>
      </c>
      <c r="B997" s="1">
        <v>28.03</v>
      </c>
      <c r="C997" s="1">
        <v>767.33010000000002</v>
      </c>
      <c r="D997" s="22">
        <f t="shared" si="55"/>
        <v>418.61510392620988</v>
      </c>
      <c r="E997" s="23">
        <f t="shared" si="56"/>
        <v>-1.5038615816243919</v>
      </c>
      <c r="F997" s="23">
        <f t="shared" si="57"/>
        <v>1.5038615816243919</v>
      </c>
    </row>
    <row r="998" spans="1:6" x14ac:dyDescent="0.3">
      <c r="A998" s="2">
        <v>42711</v>
      </c>
      <c r="B998" s="1">
        <v>27.7575</v>
      </c>
      <c r="C998" s="1">
        <v>770.41989999999998</v>
      </c>
      <c r="D998" s="22">
        <f t="shared" si="55"/>
        <v>420.11896550783428</v>
      </c>
      <c r="E998" s="23">
        <f t="shared" si="56"/>
        <v>3.138710630241917</v>
      </c>
      <c r="F998" s="23">
        <f t="shared" si="57"/>
        <v>-3.138710630241917</v>
      </c>
    </row>
    <row r="999" spans="1:6" x14ac:dyDescent="0.3">
      <c r="A999" s="2">
        <v>42710</v>
      </c>
      <c r="B999" s="1">
        <v>27.487500000000001</v>
      </c>
      <c r="C999" s="1">
        <v>764.72</v>
      </c>
      <c r="D999" s="22">
        <f t="shared" si="55"/>
        <v>416.98025487759236</v>
      </c>
      <c r="E999" s="23">
        <f t="shared" si="56"/>
        <v>2.9307817592742254</v>
      </c>
      <c r="F999" s="23">
        <f t="shared" si="57"/>
        <v>-2.9307817592742254</v>
      </c>
    </row>
    <row r="1000" spans="1:6" x14ac:dyDescent="0.3">
      <c r="A1000" s="2">
        <v>42709</v>
      </c>
      <c r="B1000" s="1">
        <v>27.2775</v>
      </c>
      <c r="C1000" s="1">
        <v>759.36009999999999</v>
      </c>
      <c r="D1000" s="22">
        <f t="shared" si="55"/>
        <v>414.04947311831813</v>
      </c>
      <c r="E1000" s="23">
        <f t="shared" si="56"/>
        <v>9.955439563652078</v>
      </c>
      <c r="F1000" s="23">
        <f t="shared" si="57"/>
        <v>-9.955439563652078</v>
      </c>
    </row>
    <row r="1001" spans="1:6" x14ac:dyDescent="0.3">
      <c r="A1001" s="2">
        <v>42706</v>
      </c>
      <c r="B1001" s="1">
        <v>27.475000000000001</v>
      </c>
      <c r="C1001" s="1">
        <v>740.34010000000001</v>
      </c>
      <c r="D1001" s="22">
        <f t="shared" si="55"/>
        <v>404.09403355466605</v>
      </c>
      <c r="E1001" s="23">
        <f t="shared" si="56"/>
        <v>-1.7002774514400585</v>
      </c>
      <c r="F1001" s="23">
        <f t="shared" si="57"/>
        <v>1.7002774514400585</v>
      </c>
    </row>
    <row r="1002" spans="1:6" x14ac:dyDescent="0.3">
      <c r="A1002" s="2">
        <v>42705</v>
      </c>
      <c r="B1002" s="1">
        <v>27.372499999999999</v>
      </c>
      <c r="C1002" s="1">
        <v>743.6499</v>
      </c>
      <c r="D1002" s="22">
        <f t="shared" si="55"/>
        <v>405.79431100610611</v>
      </c>
      <c r="E1002" s="23">
        <f t="shared" si="56"/>
        <v>-3.7775203164171103</v>
      </c>
      <c r="F1002" s="23">
        <f t="shared" si="57"/>
        <v>3.7775203164171103</v>
      </c>
    </row>
    <row r="1003" spans="1:6" x14ac:dyDescent="0.3">
      <c r="A1003" s="2">
        <v>42704</v>
      </c>
      <c r="B1003" s="1">
        <v>27.63</v>
      </c>
      <c r="C1003" s="1">
        <v>750.57010000000002</v>
      </c>
      <c r="D1003" s="22">
        <f t="shared" si="55"/>
        <v>409.57183132252322</v>
      </c>
      <c r="E1003" s="23">
        <f t="shared" si="56"/>
        <v>-6.4241854660713784</v>
      </c>
      <c r="F1003" s="23">
        <f t="shared" si="57"/>
        <v>6.4241854660713784</v>
      </c>
    </row>
    <row r="1004" spans="1:6" x14ac:dyDescent="0.3">
      <c r="A1004" s="2">
        <v>42703</v>
      </c>
      <c r="B1004" s="1">
        <v>27.864999999999998</v>
      </c>
      <c r="C1004" s="1">
        <v>762.52</v>
      </c>
      <c r="D1004" s="22">
        <f t="shared" si="55"/>
        <v>415.9960167885946</v>
      </c>
      <c r="E1004" s="23">
        <f t="shared" si="56"/>
        <v>-2.2583202059332166</v>
      </c>
      <c r="F1004" s="23">
        <f t="shared" si="57"/>
        <v>2.2583202059332166</v>
      </c>
    </row>
    <row r="1005" spans="1:6" x14ac:dyDescent="0.3">
      <c r="A1005" s="2">
        <v>42702</v>
      </c>
      <c r="B1005" s="1">
        <v>27.892499999999998</v>
      </c>
      <c r="C1005" s="1">
        <v>766.77</v>
      </c>
      <c r="D1005" s="22">
        <f t="shared" si="55"/>
        <v>418.25433699452782</v>
      </c>
      <c r="E1005" s="23">
        <f t="shared" si="56"/>
        <v>-7.2111119648041608</v>
      </c>
      <c r="F1005" s="23">
        <f t="shared" si="57"/>
        <v>7.2111119648041608</v>
      </c>
    </row>
    <row r="1006" spans="1:6" x14ac:dyDescent="0.3">
      <c r="A1006" s="2">
        <v>42699</v>
      </c>
      <c r="B1006" s="1">
        <v>27.947500000000002</v>
      </c>
      <c r="C1006" s="1">
        <v>780.37009999999998</v>
      </c>
      <c r="D1006" s="22">
        <f t="shared" si="55"/>
        <v>425.46544895933198</v>
      </c>
      <c r="E1006" s="23">
        <f t="shared" si="56"/>
        <v>0.19811491359450883</v>
      </c>
      <c r="F1006" s="23">
        <f t="shared" si="57"/>
        <v>-0.19811491359450883</v>
      </c>
    </row>
    <row r="1007" spans="1:6" x14ac:dyDescent="0.3">
      <c r="A1007" s="2">
        <v>42698</v>
      </c>
      <c r="B1007" s="1">
        <v>27.807500000000001</v>
      </c>
      <c r="C1007" s="1">
        <v>780.12009999999998</v>
      </c>
      <c r="D1007" s="22">
        <f t="shared" si="55"/>
        <v>425.26733404573747</v>
      </c>
      <c r="E1007" s="23">
        <f t="shared" si="56"/>
        <v>0</v>
      </c>
      <c r="F1007" s="23">
        <f t="shared" si="57"/>
        <v>0</v>
      </c>
    </row>
    <row r="1008" spans="1:6" x14ac:dyDescent="0.3">
      <c r="A1008" s="2">
        <v>42697</v>
      </c>
      <c r="B1008" s="1">
        <v>27.807500000000001</v>
      </c>
      <c r="C1008" s="1">
        <v>780.12009999999998</v>
      </c>
      <c r="D1008" s="22">
        <f t="shared" si="55"/>
        <v>425.26733404573747</v>
      </c>
      <c r="E1008" s="23">
        <f t="shared" si="56"/>
        <v>-2.819748405818018</v>
      </c>
      <c r="F1008" s="23">
        <f t="shared" si="57"/>
        <v>2.819748405818018</v>
      </c>
    </row>
    <row r="1009" spans="1:6" x14ac:dyDescent="0.3">
      <c r="A1009" s="2">
        <v>42696</v>
      </c>
      <c r="B1009" s="1">
        <v>27.95</v>
      </c>
      <c r="C1009" s="1">
        <v>785.33010000000002</v>
      </c>
      <c r="D1009" s="22">
        <f t="shared" si="55"/>
        <v>428.08708245155549</v>
      </c>
      <c r="E1009" s="23">
        <f t="shared" si="56"/>
        <v>2.8242389996544262</v>
      </c>
      <c r="F1009" s="23">
        <f t="shared" si="57"/>
        <v>-2.8242389996544262</v>
      </c>
    </row>
    <row r="1010" spans="1:6" x14ac:dyDescent="0.3">
      <c r="A1010" s="2">
        <v>42695</v>
      </c>
      <c r="B1010" s="1">
        <v>27.932500000000001</v>
      </c>
      <c r="C1010" s="1">
        <v>780</v>
      </c>
      <c r="D1010" s="22">
        <f t="shared" si="55"/>
        <v>425.26284345190106</v>
      </c>
      <c r="E1010" s="23">
        <f t="shared" si="56"/>
        <v>10.678797461635952</v>
      </c>
      <c r="F1010" s="23">
        <f t="shared" si="57"/>
        <v>-10.678797461635952</v>
      </c>
    </row>
    <row r="1011" spans="1:6" x14ac:dyDescent="0.3">
      <c r="A1011" s="2">
        <v>42692</v>
      </c>
      <c r="B1011" s="1">
        <v>27.515000000000001</v>
      </c>
      <c r="C1011" s="1">
        <v>760.15989999999999</v>
      </c>
      <c r="D1011" s="22">
        <f t="shared" si="55"/>
        <v>414.58404599026511</v>
      </c>
      <c r="E1011" s="23">
        <f t="shared" si="56"/>
        <v>1.9994446817395897</v>
      </c>
      <c r="F1011" s="23">
        <f t="shared" si="57"/>
        <v>-1.9994446817395897</v>
      </c>
    </row>
    <row r="1012" spans="1:6" x14ac:dyDescent="0.3">
      <c r="A1012" s="2">
        <v>42691</v>
      </c>
      <c r="B1012" s="1">
        <v>27.487500000000001</v>
      </c>
      <c r="C1012" s="1">
        <v>756.3999</v>
      </c>
      <c r="D1012" s="22">
        <f t="shared" si="55"/>
        <v>412.58460130852552</v>
      </c>
      <c r="E1012" s="23">
        <f t="shared" si="56"/>
        <v>5.2308557396889341</v>
      </c>
      <c r="F1012" s="23">
        <f t="shared" si="57"/>
        <v>-5.2308557396889341</v>
      </c>
    </row>
    <row r="1013" spans="1:6" x14ac:dyDescent="0.3">
      <c r="A1013" s="2">
        <v>42690</v>
      </c>
      <c r="B1013" s="1">
        <v>27.497499999999999</v>
      </c>
      <c r="C1013" s="1">
        <v>746.49</v>
      </c>
      <c r="D1013" s="22">
        <f t="shared" si="55"/>
        <v>407.35374556883659</v>
      </c>
      <c r="E1013" s="23">
        <f t="shared" si="56"/>
        <v>2.0566430126728505</v>
      </c>
      <c r="F1013" s="23">
        <f t="shared" si="57"/>
        <v>-2.0566430126728505</v>
      </c>
    </row>
    <row r="1014" spans="1:6" x14ac:dyDescent="0.3">
      <c r="A1014" s="2">
        <v>42689</v>
      </c>
      <c r="B1014" s="1">
        <v>26.7775</v>
      </c>
      <c r="C1014" s="1">
        <v>743.24</v>
      </c>
      <c r="D1014" s="22">
        <f t="shared" si="55"/>
        <v>405.29710255616374</v>
      </c>
      <c r="E1014" s="23">
        <f t="shared" si="56"/>
        <v>12.934467548444673</v>
      </c>
      <c r="F1014" s="23">
        <f t="shared" si="57"/>
        <v>-12.934467548444673</v>
      </c>
    </row>
    <row r="1015" spans="1:6" x14ac:dyDescent="0.3">
      <c r="A1015" s="2">
        <v>42688</v>
      </c>
      <c r="B1015" s="1">
        <v>26.427499999999998</v>
      </c>
      <c r="C1015" s="1">
        <v>719.07010000000002</v>
      </c>
      <c r="D1015" s="22">
        <f t="shared" si="55"/>
        <v>392.36263500771906</v>
      </c>
      <c r="E1015" s="23">
        <f t="shared" si="56"/>
        <v>-10.855340221255744</v>
      </c>
      <c r="F1015" s="23">
        <f t="shared" si="57"/>
        <v>10.855340221255744</v>
      </c>
    </row>
    <row r="1016" spans="1:6" x14ac:dyDescent="0.3">
      <c r="A1016" s="2">
        <v>42685</v>
      </c>
      <c r="B1016" s="1">
        <v>27.107500000000002</v>
      </c>
      <c r="C1016" s="1">
        <v>739.01</v>
      </c>
      <c r="D1016" s="22">
        <f t="shared" si="55"/>
        <v>403.21797522897481</v>
      </c>
      <c r="E1016" s="23">
        <f t="shared" si="56"/>
        <v>-1.7049075772465585</v>
      </c>
      <c r="F1016" s="23">
        <f t="shared" si="57"/>
        <v>1.7049075772465585</v>
      </c>
    </row>
    <row r="1017" spans="1:6" x14ac:dyDescent="0.3">
      <c r="A1017" s="2">
        <v>42684</v>
      </c>
      <c r="B1017" s="1">
        <v>26.947500000000002</v>
      </c>
      <c r="C1017" s="1">
        <v>742.37990000000002</v>
      </c>
      <c r="D1017" s="22">
        <f t="shared" si="55"/>
        <v>404.92288280622137</v>
      </c>
      <c r="E1017" s="23">
        <f t="shared" si="56"/>
        <v>-15.949738002592198</v>
      </c>
      <c r="F1017" s="23">
        <f t="shared" si="57"/>
        <v>15.949738002592198</v>
      </c>
    </row>
    <row r="1018" spans="1:6" x14ac:dyDescent="0.3">
      <c r="A1018" s="2">
        <v>42683</v>
      </c>
      <c r="B1018" s="1">
        <v>27.72</v>
      </c>
      <c r="C1018" s="1">
        <v>771.87990000000002</v>
      </c>
      <c r="D1018" s="22">
        <f t="shared" si="55"/>
        <v>420.87262080881356</v>
      </c>
      <c r="E1018" s="23">
        <f t="shared" si="56"/>
        <v>-8.405675628398626</v>
      </c>
      <c r="F1018" s="23">
        <f t="shared" si="57"/>
        <v>8.405675628398626</v>
      </c>
    </row>
    <row r="1019" spans="1:6" x14ac:dyDescent="0.3">
      <c r="A1019" s="2">
        <v>42682</v>
      </c>
      <c r="B1019" s="1">
        <v>27.765000000000001</v>
      </c>
      <c r="C1019" s="1">
        <v>787.75</v>
      </c>
      <c r="D1019" s="22">
        <f t="shared" si="55"/>
        <v>429.27829643721219</v>
      </c>
      <c r="E1019" s="23">
        <f t="shared" si="56"/>
        <v>1.566556312442458</v>
      </c>
      <c r="F1019" s="23">
        <f t="shared" si="57"/>
        <v>-1.566556312442458</v>
      </c>
    </row>
    <row r="1020" spans="1:6" x14ac:dyDescent="0.3">
      <c r="A1020" s="2">
        <v>42681</v>
      </c>
      <c r="B1020" s="1">
        <v>27.602499999999999</v>
      </c>
      <c r="C1020" s="1">
        <v>784.92989999999998</v>
      </c>
      <c r="D1020" s="22">
        <f t="shared" si="55"/>
        <v>427.71174012476973</v>
      </c>
      <c r="E1020" s="23">
        <f t="shared" si="56"/>
        <v>15.971206392050703</v>
      </c>
      <c r="F1020" s="23">
        <f t="shared" si="57"/>
        <v>-15.971206392050703</v>
      </c>
    </row>
    <row r="1021" spans="1:6" x14ac:dyDescent="0.3">
      <c r="A1021" s="2">
        <v>42678</v>
      </c>
      <c r="B1021" s="1">
        <v>27.21</v>
      </c>
      <c r="C1021" s="1">
        <v>755.05</v>
      </c>
      <c r="D1021" s="22">
        <f t="shared" si="55"/>
        <v>411.74053373271903</v>
      </c>
      <c r="E1021" s="23">
        <f t="shared" si="56"/>
        <v>-6.4459838522465702</v>
      </c>
      <c r="F1021" s="23">
        <f t="shared" si="57"/>
        <v>6.4459838522465702</v>
      </c>
    </row>
    <row r="1022" spans="1:6" x14ac:dyDescent="0.3">
      <c r="A1022" s="2">
        <v>42677</v>
      </c>
      <c r="B1022" s="1">
        <v>27.4575</v>
      </c>
      <c r="C1022" s="1">
        <v>767.03</v>
      </c>
      <c r="D1022" s="22">
        <f t="shared" si="55"/>
        <v>418.1865175849656</v>
      </c>
      <c r="E1022" s="23">
        <f t="shared" si="56"/>
        <v>0.56903339521886664</v>
      </c>
      <c r="F1022" s="23">
        <f t="shared" si="57"/>
        <v>-0.56903339521886664</v>
      </c>
    </row>
    <row r="1023" spans="1:6" x14ac:dyDescent="0.3">
      <c r="A1023" s="2">
        <v>42676</v>
      </c>
      <c r="B1023" s="1">
        <v>27.897500000000001</v>
      </c>
      <c r="C1023" s="1">
        <v>765.56010000000003</v>
      </c>
      <c r="D1023" s="22">
        <f t="shared" si="55"/>
        <v>417.61748418974673</v>
      </c>
      <c r="E1023" s="23">
        <f t="shared" si="56"/>
        <v>-10.475202588248806</v>
      </c>
      <c r="F1023" s="23">
        <f t="shared" si="57"/>
        <v>10.475202588248806</v>
      </c>
    </row>
    <row r="1024" spans="1:6" x14ac:dyDescent="0.3">
      <c r="A1024" s="2">
        <v>42675</v>
      </c>
      <c r="B1024" s="1">
        <v>27.872499999999999</v>
      </c>
      <c r="C1024" s="1">
        <v>785.40989999999999</v>
      </c>
      <c r="D1024" s="22">
        <f t="shared" si="55"/>
        <v>428.09268677799554</v>
      </c>
      <c r="E1024" s="23">
        <f t="shared" si="56"/>
        <v>-2.5717227156106333</v>
      </c>
      <c r="F1024" s="23">
        <f t="shared" si="57"/>
        <v>2.5717227156106333</v>
      </c>
    </row>
    <row r="1025" spans="1:6" x14ac:dyDescent="0.3">
      <c r="A1025" s="2">
        <v>42674</v>
      </c>
      <c r="B1025" s="1">
        <v>28.385000000000002</v>
      </c>
      <c r="C1025" s="1">
        <v>789.82010000000002</v>
      </c>
      <c r="D1025" s="22">
        <f t="shared" si="55"/>
        <v>430.66440949360617</v>
      </c>
      <c r="E1025" s="23">
        <f t="shared" si="56"/>
        <v>7.1110591330645434</v>
      </c>
      <c r="F1025" s="23">
        <f t="shared" si="57"/>
        <v>-7.1110591330645434</v>
      </c>
    </row>
    <row r="1026" spans="1:6" x14ac:dyDescent="0.3">
      <c r="A1026" s="2">
        <v>42671</v>
      </c>
      <c r="B1026" s="1">
        <v>28.43</v>
      </c>
      <c r="C1026" s="1">
        <v>776.32010000000002</v>
      </c>
      <c r="D1026" s="22">
        <f t="shared" si="55"/>
        <v>423.55335036054163</v>
      </c>
      <c r="E1026" s="23">
        <f t="shared" si="56"/>
        <v>-22.300083035714295</v>
      </c>
      <c r="F1026" s="23">
        <f t="shared" si="57"/>
        <v>22.300083035714295</v>
      </c>
    </row>
    <row r="1027" spans="1:6" x14ac:dyDescent="0.3">
      <c r="A1027" s="2">
        <v>42670</v>
      </c>
      <c r="B1027" s="1">
        <v>28.62</v>
      </c>
      <c r="C1027" s="1">
        <v>818.36009999999999</v>
      </c>
      <c r="D1027" s="22">
        <f t="shared" si="55"/>
        <v>445.85343339625592</v>
      </c>
      <c r="E1027" s="23">
        <f t="shared" si="56"/>
        <v>-2.3656745089285778</v>
      </c>
      <c r="F1027" s="23">
        <f t="shared" si="57"/>
        <v>2.3656745089285778</v>
      </c>
    </row>
    <row r="1028" spans="1:6" x14ac:dyDescent="0.3">
      <c r="A1028" s="2">
        <v>42669</v>
      </c>
      <c r="B1028" s="1">
        <v>28.897500000000001</v>
      </c>
      <c r="C1028" s="1">
        <v>822.59010000000001</v>
      </c>
      <c r="D1028" s="22">
        <f t="shared" si="55"/>
        <v>448.2191079051845</v>
      </c>
      <c r="E1028" s="23">
        <f t="shared" si="56"/>
        <v>-6.9650792875575576</v>
      </c>
      <c r="F1028" s="23">
        <f t="shared" si="57"/>
        <v>6.9650792875575576</v>
      </c>
    </row>
    <row r="1029" spans="1:6" x14ac:dyDescent="0.3">
      <c r="A1029" s="2">
        <v>42668</v>
      </c>
      <c r="B1029" s="1">
        <v>29.5625</v>
      </c>
      <c r="C1029" s="1">
        <v>835.17989999999998</v>
      </c>
      <c r="D1029" s="22">
        <f t="shared" si="55"/>
        <v>455.18418719274206</v>
      </c>
      <c r="E1029" s="23">
        <f t="shared" si="56"/>
        <v>-1.4667568961982056</v>
      </c>
      <c r="F1029" s="23">
        <f t="shared" si="57"/>
        <v>1.4667568961982056</v>
      </c>
    </row>
    <row r="1030" spans="1:6" x14ac:dyDescent="0.3">
      <c r="A1030" s="2">
        <v>42667</v>
      </c>
      <c r="B1030" s="1">
        <v>29.412500000000001</v>
      </c>
      <c r="C1030" s="1">
        <v>838.09010000000001</v>
      </c>
      <c r="D1030" s="22">
        <f t="shared" ref="D1030:D1093" si="58">$M$16*B1030+(1-$M$16)*C1030</f>
        <v>456.65094408894026</v>
      </c>
      <c r="E1030" s="23">
        <f t="shared" ref="E1030:E1093" si="59">D1030-D1031</f>
        <v>10.214731784792605</v>
      </c>
      <c r="F1030" s="23">
        <f t="shared" ref="F1030:F1093" si="60">-E1030</f>
        <v>-10.214731784792605</v>
      </c>
    </row>
    <row r="1031" spans="1:6" x14ac:dyDescent="0.3">
      <c r="A1031" s="2">
        <v>42664</v>
      </c>
      <c r="B1031" s="1">
        <v>29.15</v>
      </c>
      <c r="C1031" s="1">
        <v>818.99</v>
      </c>
      <c r="D1031" s="22">
        <f t="shared" si="58"/>
        <v>446.43621230414766</v>
      </c>
      <c r="E1031" s="23">
        <f t="shared" si="59"/>
        <v>4.52621549487327</v>
      </c>
      <c r="F1031" s="23">
        <f t="shared" si="60"/>
        <v>-4.52621549487327</v>
      </c>
    </row>
    <row r="1032" spans="1:6" x14ac:dyDescent="0.3">
      <c r="A1032" s="2">
        <v>42663</v>
      </c>
      <c r="B1032" s="1">
        <v>29.265000000000001</v>
      </c>
      <c r="C1032" s="1">
        <v>810.32010000000002</v>
      </c>
      <c r="D1032" s="22">
        <f t="shared" si="58"/>
        <v>441.90999680927439</v>
      </c>
      <c r="E1032" s="23">
        <f t="shared" si="59"/>
        <v>-3.9006687864055039</v>
      </c>
      <c r="F1032" s="23">
        <f t="shared" si="60"/>
        <v>3.9006687864055039</v>
      </c>
    </row>
    <row r="1033" spans="1:6" x14ac:dyDescent="0.3">
      <c r="A1033" s="2">
        <v>42662</v>
      </c>
      <c r="B1033" s="1">
        <v>29.28</v>
      </c>
      <c r="C1033" s="1">
        <v>817.68989999999997</v>
      </c>
      <c r="D1033" s="22">
        <f t="shared" si="58"/>
        <v>445.81066559567989</v>
      </c>
      <c r="E1033" s="23">
        <f t="shared" si="59"/>
        <v>-2.0139531970016833E-2</v>
      </c>
      <c r="F1033" s="23">
        <f t="shared" si="60"/>
        <v>2.0139531970016833E-2</v>
      </c>
    </row>
    <row r="1034" spans="1:6" x14ac:dyDescent="0.3">
      <c r="A1034" s="2">
        <v>42661</v>
      </c>
      <c r="B1034" s="1">
        <v>29.3675</v>
      </c>
      <c r="C1034" s="1">
        <v>817.6499</v>
      </c>
      <c r="D1034" s="22">
        <f t="shared" si="58"/>
        <v>445.83080512764991</v>
      </c>
      <c r="E1034" s="23">
        <f t="shared" si="59"/>
        <v>2.4736052788593952</v>
      </c>
      <c r="F1034" s="23">
        <f t="shared" si="60"/>
        <v>-2.4736052788593952</v>
      </c>
    </row>
    <row r="1035" spans="1:6" x14ac:dyDescent="0.3">
      <c r="A1035" s="2">
        <v>42660</v>
      </c>
      <c r="B1035" s="1">
        <v>29.387499999999999</v>
      </c>
      <c r="C1035" s="1">
        <v>812.95</v>
      </c>
      <c r="D1035" s="22">
        <f t="shared" si="58"/>
        <v>443.35719984879051</v>
      </c>
      <c r="E1035" s="23">
        <f t="shared" si="59"/>
        <v>-5.2978907891705376</v>
      </c>
      <c r="F1035" s="23">
        <f t="shared" si="60"/>
        <v>5.2978907891705376</v>
      </c>
    </row>
    <row r="1036" spans="1:6" x14ac:dyDescent="0.3">
      <c r="A1036" s="2">
        <v>42657</v>
      </c>
      <c r="B1036" s="1">
        <v>29.407499999999999</v>
      </c>
      <c r="C1036" s="1">
        <v>822.96</v>
      </c>
      <c r="D1036" s="22">
        <f t="shared" si="58"/>
        <v>448.65509063796105</v>
      </c>
      <c r="E1036" s="23">
        <f t="shared" si="59"/>
        <v>-3.2623175216013465</v>
      </c>
      <c r="F1036" s="23">
        <f t="shared" si="60"/>
        <v>3.2623175216013465</v>
      </c>
    </row>
    <row r="1037" spans="1:6" x14ac:dyDescent="0.3">
      <c r="A1037" s="2">
        <v>42656</v>
      </c>
      <c r="B1037" s="1">
        <v>29.245000000000001</v>
      </c>
      <c r="C1037" s="1">
        <v>829.28</v>
      </c>
      <c r="D1037" s="22">
        <f t="shared" si="58"/>
        <v>451.9174081595624</v>
      </c>
      <c r="E1037" s="23">
        <f t="shared" si="59"/>
        <v>-2.5837109423387119</v>
      </c>
      <c r="F1037" s="23">
        <f t="shared" si="60"/>
        <v>2.5837109423387119</v>
      </c>
    </row>
    <row r="1038" spans="1:6" x14ac:dyDescent="0.3">
      <c r="A1038" s="2">
        <v>42655</v>
      </c>
      <c r="B1038" s="1">
        <v>29.335000000000001</v>
      </c>
      <c r="C1038" s="1">
        <v>834.09010000000001</v>
      </c>
      <c r="D1038" s="22">
        <f t="shared" si="58"/>
        <v>454.50111910190111</v>
      </c>
      <c r="E1038" s="23">
        <f t="shared" si="59"/>
        <v>1.7551910633064836</v>
      </c>
      <c r="F1038" s="23">
        <f t="shared" si="60"/>
        <v>-1.7551910633064836</v>
      </c>
    </row>
    <row r="1039" spans="1:6" x14ac:dyDescent="0.3">
      <c r="A1039" s="2">
        <v>42654</v>
      </c>
      <c r="B1039" s="1">
        <v>29.074999999999999</v>
      </c>
      <c r="C1039" s="1">
        <v>831</v>
      </c>
      <c r="D1039" s="22">
        <f t="shared" si="58"/>
        <v>452.74592803859463</v>
      </c>
      <c r="E1039" s="23">
        <f t="shared" si="59"/>
        <v>-5.6287991517857563</v>
      </c>
      <c r="F1039" s="23">
        <f t="shared" si="60"/>
        <v>5.6287991517857563</v>
      </c>
    </row>
    <row r="1040" spans="1:6" x14ac:dyDescent="0.3">
      <c r="A1040" s="2">
        <v>42653</v>
      </c>
      <c r="B1040" s="1">
        <v>29.012499999999999</v>
      </c>
      <c r="C1040" s="1">
        <v>841.71</v>
      </c>
      <c r="D1040" s="22">
        <f t="shared" si="58"/>
        <v>458.37472719038038</v>
      </c>
      <c r="E1040" s="23">
        <f t="shared" si="59"/>
        <v>1.4392785906682093</v>
      </c>
      <c r="F1040" s="23">
        <f t="shared" si="60"/>
        <v>-1.4392785906682093</v>
      </c>
    </row>
    <row r="1041" spans="1:6" x14ac:dyDescent="0.3">
      <c r="A1041" s="2">
        <v>42650</v>
      </c>
      <c r="B1041" s="1">
        <v>28.515000000000001</v>
      </c>
      <c r="C1041" s="1">
        <v>839.42989999999998</v>
      </c>
      <c r="D1041" s="22">
        <f t="shared" si="58"/>
        <v>456.93544859971217</v>
      </c>
      <c r="E1041" s="23">
        <f t="shared" si="59"/>
        <v>-1.1581012831221074</v>
      </c>
      <c r="F1041" s="23">
        <f t="shared" si="60"/>
        <v>1.1581012831221074</v>
      </c>
    </row>
    <row r="1042" spans="1:6" x14ac:dyDescent="0.3">
      <c r="A1042" s="2">
        <v>42649</v>
      </c>
      <c r="B1042" s="1">
        <v>28.4725</v>
      </c>
      <c r="C1042" s="1">
        <v>841.65989999999999</v>
      </c>
      <c r="D1042" s="22">
        <f t="shared" si="58"/>
        <v>458.09354988283428</v>
      </c>
      <c r="E1042" s="23">
        <f t="shared" si="59"/>
        <v>-1.3275092867511376</v>
      </c>
      <c r="F1042" s="23">
        <f t="shared" si="60"/>
        <v>1.3275092867511376</v>
      </c>
    </row>
    <row r="1043" spans="1:6" x14ac:dyDescent="0.3">
      <c r="A1043" s="2">
        <v>42648</v>
      </c>
      <c r="B1043" s="1">
        <v>28.262499999999999</v>
      </c>
      <c r="C1043" s="1">
        <v>844.36009999999999</v>
      </c>
      <c r="D1043" s="22">
        <f t="shared" si="58"/>
        <v>459.42105916958542</v>
      </c>
      <c r="E1043" s="23">
        <f t="shared" si="59"/>
        <v>5.4634675682027591</v>
      </c>
      <c r="F1043" s="23">
        <f t="shared" si="60"/>
        <v>-5.4634675682027591</v>
      </c>
    </row>
    <row r="1044" spans="1:6" x14ac:dyDescent="0.3">
      <c r="A1044" s="2">
        <v>42647</v>
      </c>
      <c r="B1044" s="1">
        <v>28.25</v>
      </c>
      <c r="C1044" s="1">
        <v>834.03</v>
      </c>
      <c r="D1044" s="22">
        <f t="shared" si="58"/>
        <v>453.95759160138266</v>
      </c>
      <c r="E1044" s="23">
        <f t="shared" si="59"/>
        <v>-1.3751382315667797</v>
      </c>
      <c r="F1044" s="23">
        <f t="shared" si="60"/>
        <v>1.3751382315667797</v>
      </c>
    </row>
    <row r="1045" spans="1:6" x14ac:dyDescent="0.3">
      <c r="A1045" s="2">
        <v>42646</v>
      </c>
      <c r="B1045" s="1">
        <v>28.13</v>
      </c>
      <c r="C1045" s="1">
        <v>836.74</v>
      </c>
      <c r="D1045" s="22">
        <f t="shared" si="58"/>
        <v>455.33272983294944</v>
      </c>
      <c r="E1045" s="23">
        <f t="shared" si="59"/>
        <v>-0.36369169262684409</v>
      </c>
      <c r="F1045" s="23">
        <f t="shared" si="60"/>
        <v>0.36369169262684409</v>
      </c>
    </row>
    <row r="1046" spans="1:6" x14ac:dyDescent="0.3">
      <c r="A1046" s="2">
        <v>42643</v>
      </c>
      <c r="B1046" s="1">
        <v>28.262499999999999</v>
      </c>
      <c r="C1046" s="1">
        <v>837.31010000000003</v>
      </c>
      <c r="D1046" s="22">
        <f t="shared" si="58"/>
        <v>455.69642152557628</v>
      </c>
      <c r="E1046" s="23">
        <f t="shared" si="59"/>
        <v>4.4665454915899545</v>
      </c>
      <c r="F1046" s="23">
        <f t="shared" si="60"/>
        <v>-4.4665454915899545</v>
      </c>
    </row>
    <row r="1047" spans="1:6" x14ac:dyDescent="0.3">
      <c r="A1047" s="2">
        <v>42642</v>
      </c>
      <c r="B1047" s="1">
        <v>28.045000000000002</v>
      </c>
      <c r="C1047" s="1">
        <v>829.05</v>
      </c>
      <c r="D1047" s="22">
        <f t="shared" si="58"/>
        <v>451.22987603398633</v>
      </c>
      <c r="E1047" s="23">
        <f t="shared" si="59"/>
        <v>-3.4374811347959167E-2</v>
      </c>
      <c r="F1047" s="23">
        <f t="shared" si="60"/>
        <v>3.4374811347959167E-2</v>
      </c>
    </row>
    <row r="1048" spans="1:6" x14ac:dyDescent="0.3">
      <c r="A1048" s="2">
        <v>42641</v>
      </c>
      <c r="B1048" s="1">
        <v>28.487500000000001</v>
      </c>
      <c r="C1048" s="1">
        <v>828.72</v>
      </c>
      <c r="D1048" s="22">
        <f t="shared" si="58"/>
        <v>451.26425084533429</v>
      </c>
      <c r="E1048" s="23">
        <f t="shared" si="59"/>
        <v>6.7634412955645757</v>
      </c>
      <c r="F1048" s="23">
        <f t="shared" si="60"/>
        <v>-6.7634412955645757</v>
      </c>
    </row>
    <row r="1049" spans="1:6" x14ac:dyDescent="0.3">
      <c r="A1049" s="2">
        <v>42640</v>
      </c>
      <c r="B1049" s="1">
        <v>28.272500000000001</v>
      </c>
      <c r="C1049" s="1">
        <v>816.11009999999999</v>
      </c>
      <c r="D1049" s="22">
        <f t="shared" si="58"/>
        <v>444.50080954976971</v>
      </c>
      <c r="E1049" s="23">
        <f t="shared" si="59"/>
        <v>8.979848867684268</v>
      </c>
      <c r="F1049" s="23">
        <f t="shared" si="60"/>
        <v>-8.979848867684268</v>
      </c>
    </row>
    <row r="1050" spans="1:6" x14ac:dyDescent="0.3">
      <c r="A1050" s="2">
        <v>42639</v>
      </c>
      <c r="B1050" s="1">
        <v>28.22</v>
      </c>
      <c r="C1050" s="1">
        <v>799.15989999999999</v>
      </c>
      <c r="D1050" s="22">
        <f t="shared" si="58"/>
        <v>435.52096068208544</v>
      </c>
      <c r="E1050" s="23">
        <f t="shared" si="59"/>
        <v>-3.4616179627880115</v>
      </c>
      <c r="F1050" s="23">
        <f t="shared" si="60"/>
        <v>3.4616179627880115</v>
      </c>
    </row>
    <row r="1051" spans="1:6" x14ac:dyDescent="0.3">
      <c r="A1051" s="2">
        <v>42636</v>
      </c>
      <c r="B1051" s="1">
        <v>28.177499999999998</v>
      </c>
      <c r="C1051" s="1">
        <v>805.75</v>
      </c>
      <c r="D1051" s="22">
        <f t="shared" si="58"/>
        <v>438.98257864487346</v>
      </c>
      <c r="E1051" s="23">
        <f t="shared" si="59"/>
        <v>0.32950482286861416</v>
      </c>
      <c r="F1051" s="23">
        <f t="shared" si="60"/>
        <v>-0.32950482286861416</v>
      </c>
    </row>
    <row r="1052" spans="1:6" x14ac:dyDescent="0.3">
      <c r="A1052" s="2">
        <v>42635</v>
      </c>
      <c r="B1052" s="1">
        <v>28.655000000000001</v>
      </c>
      <c r="C1052" s="1">
        <v>804.7</v>
      </c>
      <c r="D1052" s="22">
        <f t="shared" si="58"/>
        <v>438.65307382200484</v>
      </c>
      <c r="E1052" s="23">
        <f t="shared" si="59"/>
        <v>8.0298033453341304</v>
      </c>
      <c r="F1052" s="23">
        <f t="shared" si="60"/>
        <v>-8.0298033453341304</v>
      </c>
    </row>
    <row r="1053" spans="1:6" x14ac:dyDescent="0.3">
      <c r="A1053" s="2">
        <v>42634</v>
      </c>
      <c r="B1053" s="1">
        <v>28.387499999999999</v>
      </c>
      <c r="C1053" s="1">
        <v>789.74</v>
      </c>
      <c r="D1053" s="22">
        <f t="shared" si="58"/>
        <v>430.62327047667071</v>
      </c>
      <c r="E1053" s="23">
        <f t="shared" si="59"/>
        <v>5.0272231998848156</v>
      </c>
      <c r="F1053" s="23">
        <f t="shared" si="60"/>
        <v>-5.0272231998848156</v>
      </c>
    </row>
    <row r="1054" spans="1:6" x14ac:dyDescent="0.3">
      <c r="A1054" s="2">
        <v>42633</v>
      </c>
      <c r="B1054" s="1">
        <v>28.392499999999998</v>
      </c>
      <c r="C1054" s="1">
        <v>780.22</v>
      </c>
      <c r="D1054" s="22">
        <f t="shared" si="58"/>
        <v>425.5960472767859</v>
      </c>
      <c r="E1054" s="23">
        <f t="shared" si="59"/>
        <v>2.703753030875589</v>
      </c>
      <c r="F1054" s="23">
        <f t="shared" si="60"/>
        <v>-2.703753030875589</v>
      </c>
    </row>
    <row r="1055" spans="1:6" x14ac:dyDescent="0.3">
      <c r="A1055" s="2">
        <v>42632</v>
      </c>
      <c r="B1055" s="1">
        <v>28.395</v>
      </c>
      <c r="C1055" s="1">
        <v>775.1001</v>
      </c>
      <c r="D1055" s="22">
        <f t="shared" si="58"/>
        <v>422.89229424591031</v>
      </c>
      <c r="E1055" s="23">
        <f t="shared" si="59"/>
        <v>-1.9648063358870331</v>
      </c>
      <c r="F1055" s="23">
        <f t="shared" si="60"/>
        <v>1.9648063358870331</v>
      </c>
    </row>
    <row r="1056" spans="1:6" x14ac:dyDescent="0.3">
      <c r="A1056" s="2">
        <v>42629</v>
      </c>
      <c r="B1056" s="1">
        <v>28.73</v>
      </c>
      <c r="C1056" s="1">
        <v>778.52</v>
      </c>
      <c r="D1056" s="22">
        <f t="shared" si="58"/>
        <v>424.85710058179734</v>
      </c>
      <c r="E1056" s="23">
        <f t="shared" si="59"/>
        <v>4.5884470180875496</v>
      </c>
      <c r="F1056" s="23">
        <f t="shared" si="60"/>
        <v>-4.5884470180875496</v>
      </c>
    </row>
    <row r="1057" spans="1:6" x14ac:dyDescent="0.3">
      <c r="A1057" s="2">
        <v>42628</v>
      </c>
      <c r="B1057" s="1">
        <v>28.892499999999998</v>
      </c>
      <c r="C1057" s="1">
        <v>769.68989999999997</v>
      </c>
      <c r="D1057" s="22">
        <f t="shared" si="58"/>
        <v>420.26865356370979</v>
      </c>
      <c r="E1057" s="23">
        <f t="shared" si="59"/>
        <v>4.9915224183179134</v>
      </c>
      <c r="F1057" s="23">
        <f t="shared" si="60"/>
        <v>-4.9915224183179134</v>
      </c>
    </row>
    <row r="1058" spans="1:6" x14ac:dyDescent="0.3">
      <c r="A1058" s="2">
        <v>42627</v>
      </c>
      <c r="B1058" s="1">
        <v>27.942499999999999</v>
      </c>
      <c r="C1058" s="1">
        <v>761.09010000000001</v>
      </c>
      <c r="D1058" s="22">
        <f t="shared" si="58"/>
        <v>415.27713114539188</v>
      </c>
      <c r="E1058" s="23">
        <f t="shared" si="59"/>
        <v>0.49277510996546425</v>
      </c>
      <c r="F1058" s="23">
        <f t="shared" si="60"/>
        <v>-0.49277510996546425</v>
      </c>
    </row>
    <row r="1059" spans="1:6" x14ac:dyDescent="0.3">
      <c r="A1059" s="2">
        <v>42626</v>
      </c>
      <c r="B1059" s="1">
        <v>26.987500000000001</v>
      </c>
      <c r="C1059" s="1">
        <v>761.01</v>
      </c>
      <c r="D1059" s="22">
        <f t="shared" si="58"/>
        <v>414.78435603542641</v>
      </c>
      <c r="E1059" s="23">
        <f t="shared" si="59"/>
        <v>-5.2407854795507092</v>
      </c>
      <c r="F1059" s="23">
        <f t="shared" si="60"/>
        <v>5.2407854795507092</v>
      </c>
    </row>
    <row r="1060" spans="1:6" x14ac:dyDescent="0.3">
      <c r="A1060" s="2">
        <v>42625</v>
      </c>
      <c r="B1060" s="1">
        <v>26.36</v>
      </c>
      <c r="C1060" s="1">
        <v>771.49</v>
      </c>
      <c r="D1060" s="22">
        <f t="shared" si="58"/>
        <v>420.02514151497712</v>
      </c>
      <c r="E1060" s="23">
        <f t="shared" si="59"/>
        <v>6.2688519835253373</v>
      </c>
      <c r="F1060" s="23">
        <f t="shared" si="60"/>
        <v>-6.2688519835253373</v>
      </c>
    </row>
    <row r="1061" spans="1:6" x14ac:dyDescent="0.3">
      <c r="A1061" s="2">
        <v>42622</v>
      </c>
      <c r="B1061" s="1">
        <v>25.782499999999999</v>
      </c>
      <c r="C1061" s="1">
        <v>760.13990000000001</v>
      </c>
      <c r="D1061" s="22">
        <f t="shared" si="58"/>
        <v>413.75628953145178</v>
      </c>
      <c r="E1061" s="23">
        <f t="shared" si="59"/>
        <v>-12.919288138997672</v>
      </c>
      <c r="F1061" s="23">
        <f t="shared" si="60"/>
        <v>12.919288138997672</v>
      </c>
    </row>
    <row r="1062" spans="1:6" x14ac:dyDescent="0.3">
      <c r="A1062" s="2">
        <v>42621</v>
      </c>
      <c r="B1062" s="1">
        <v>26.38</v>
      </c>
      <c r="C1062" s="1">
        <v>784.06010000000003</v>
      </c>
      <c r="D1062" s="22">
        <f t="shared" si="58"/>
        <v>426.67557767044946</v>
      </c>
      <c r="E1062" s="23">
        <f t="shared" si="59"/>
        <v>-0.55673512332953123</v>
      </c>
      <c r="F1062" s="23">
        <f t="shared" si="60"/>
        <v>0.55673512332953123</v>
      </c>
    </row>
    <row r="1063" spans="1:6" x14ac:dyDescent="0.3">
      <c r="A1063" s="2">
        <v>42620</v>
      </c>
      <c r="B1063" s="1">
        <v>27.09</v>
      </c>
      <c r="C1063" s="1">
        <v>784.48</v>
      </c>
      <c r="D1063" s="22">
        <f t="shared" si="58"/>
        <v>427.23231279377899</v>
      </c>
      <c r="E1063" s="23">
        <f t="shared" si="59"/>
        <v>-2.2415385719469896</v>
      </c>
      <c r="F1063" s="23">
        <f t="shared" si="60"/>
        <v>2.2415385719469896</v>
      </c>
    </row>
    <row r="1064" spans="1:6" x14ac:dyDescent="0.3">
      <c r="A1064" s="2">
        <v>42619</v>
      </c>
      <c r="B1064" s="1">
        <v>26.925000000000001</v>
      </c>
      <c r="C1064" s="1">
        <v>788.87009999999998</v>
      </c>
      <c r="D1064" s="22">
        <f t="shared" si="58"/>
        <v>429.47385136572598</v>
      </c>
      <c r="E1064" s="23">
        <f t="shared" si="59"/>
        <v>8.6768228653801884</v>
      </c>
      <c r="F1064" s="23">
        <f t="shared" si="60"/>
        <v>-8.6768228653801884</v>
      </c>
    </row>
    <row r="1065" spans="1:6" x14ac:dyDescent="0.3">
      <c r="A1065" s="2">
        <v>42618</v>
      </c>
      <c r="B1065" s="1">
        <v>26.932500000000001</v>
      </c>
      <c r="C1065" s="1">
        <v>772.43989999999997</v>
      </c>
      <c r="D1065" s="22">
        <f t="shared" si="58"/>
        <v>420.79702850034579</v>
      </c>
      <c r="E1065" s="23">
        <f t="shared" si="59"/>
        <v>0</v>
      </c>
      <c r="F1065" s="23">
        <f t="shared" si="60"/>
        <v>0</v>
      </c>
    </row>
    <row r="1066" spans="1:6" x14ac:dyDescent="0.3">
      <c r="A1066" s="2">
        <v>42615</v>
      </c>
      <c r="B1066" s="1">
        <v>26.932500000000001</v>
      </c>
      <c r="C1066" s="1">
        <v>772.43989999999997</v>
      </c>
      <c r="D1066" s="22">
        <f t="shared" si="58"/>
        <v>420.79702850034579</v>
      </c>
      <c r="E1066" s="23">
        <f t="shared" si="59"/>
        <v>1.0793526487327654</v>
      </c>
      <c r="F1066" s="23">
        <f t="shared" si="60"/>
        <v>-1.0793526487327654</v>
      </c>
    </row>
    <row r="1067" spans="1:6" x14ac:dyDescent="0.3">
      <c r="A1067" s="2">
        <v>42614</v>
      </c>
      <c r="B1067" s="1">
        <v>26.682500000000001</v>
      </c>
      <c r="C1067" s="1">
        <v>770.62009999999998</v>
      </c>
      <c r="D1067" s="22">
        <f t="shared" si="58"/>
        <v>419.71767585161302</v>
      </c>
      <c r="E1067" s="23">
        <f t="shared" si="59"/>
        <v>0.84573907217736632</v>
      </c>
      <c r="F1067" s="23">
        <f t="shared" si="60"/>
        <v>-0.84573907217736632</v>
      </c>
    </row>
    <row r="1068" spans="1:6" x14ac:dyDescent="0.3">
      <c r="A1068" s="2">
        <v>42613</v>
      </c>
      <c r="B1068" s="1">
        <v>26.524999999999999</v>
      </c>
      <c r="C1068" s="1">
        <v>769.15989999999999</v>
      </c>
      <c r="D1068" s="22">
        <f t="shared" si="58"/>
        <v>418.87193677943566</v>
      </c>
      <c r="E1068" s="23">
        <f t="shared" si="59"/>
        <v>0.84642788778802469</v>
      </c>
      <c r="F1068" s="23">
        <f t="shared" si="60"/>
        <v>-0.84642788778802469</v>
      </c>
    </row>
    <row r="1069" spans="1:6" x14ac:dyDescent="0.3">
      <c r="A1069" s="2">
        <v>42612</v>
      </c>
      <c r="B1069" s="1">
        <v>26.5</v>
      </c>
      <c r="C1069" s="1">
        <v>767.58010000000002</v>
      </c>
      <c r="D1069" s="22">
        <f t="shared" si="58"/>
        <v>418.02550889164763</v>
      </c>
      <c r="E1069" s="23">
        <f t="shared" si="59"/>
        <v>-2.0566996423386854</v>
      </c>
      <c r="F1069" s="23">
        <f t="shared" si="60"/>
        <v>2.0566996423386854</v>
      </c>
    </row>
    <row r="1070" spans="1:6" x14ac:dyDescent="0.3">
      <c r="A1070" s="2">
        <v>42611</v>
      </c>
      <c r="B1070" s="1">
        <v>26.704999999999998</v>
      </c>
      <c r="C1070" s="1">
        <v>771.29</v>
      </c>
      <c r="D1070" s="22">
        <f t="shared" si="58"/>
        <v>420.08220853398632</v>
      </c>
      <c r="E1070" s="23">
        <f t="shared" si="59"/>
        <v>1.1956963594469698</v>
      </c>
      <c r="F1070" s="23">
        <f t="shared" si="60"/>
        <v>-1.1956963594469698</v>
      </c>
    </row>
    <row r="1071" spans="1:6" x14ac:dyDescent="0.3">
      <c r="A1071" s="2">
        <v>42608</v>
      </c>
      <c r="B1071" s="1">
        <v>26.734999999999999</v>
      </c>
      <c r="C1071" s="1">
        <v>769</v>
      </c>
      <c r="D1071" s="22">
        <f t="shared" si="58"/>
        <v>418.88651217453935</v>
      </c>
      <c r="E1071" s="23">
        <f t="shared" si="59"/>
        <v>5.0926541258640441</v>
      </c>
      <c r="F1071" s="23">
        <f t="shared" si="60"/>
        <v>-5.0926541258640441</v>
      </c>
    </row>
    <row r="1072" spans="1:6" x14ac:dyDescent="0.3">
      <c r="A1072" s="2">
        <v>42607</v>
      </c>
      <c r="B1072" s="1">
        <v>26.892499999999998</v>
      </c>
      <c r="C1072" s="1">
        <v>759.22</v>
      </c>
      <c r="D1072" s="22">
        <f t="shared" si="58"/>
        <v>413.7938580486753</v>
      </c>
      <c r="E1072" s="23">
        <f t="shared" si="59"/>
        <v>0.98654177131339793</v>
      </c>
      <c r="F1072" s="23">
        <f t="shared" si="60"/>
        <v>-0.98654177131339793</v>
      </c>
    </row>
    <row r="1073" spans="1:6" x14ac:dyDescent="0.3">
      <c r="A1073" s="2">
        <v>42606</v>
      </c>
      <c r="B1073" s="1">
        <v>27.0075</v>
      </c>
      <c r="C1073" s="1">
        <v>757.25</v>
      </c>
      <c r="D1073" s="22">
        <f t="shared" si="58"/>
        <v>412.80731627736191</v>
      </c>
      <c r="E1073" s="23">
        <f t="shared" si="59"/>
        <v>-2.843945394585262</v>
      </c>
      <c r="F1073" s="23">
        <f t="shared" si="60"/>
        <v>2.843945394585262</v>
      </c>
    </row>
    <row r="1074" spans="1:6" x14ac:dyDescent="0.3">
      <c r="A1074" s="2">
        <v>42605</v>
      </c>
      <c r="B1074" s="1">
        <v>27.212499999999999</v>
      </c>
      <c r="C1074" s="1">
        <v>762.45</v>
      </c>
      <c r="D1074" s="22">
        <f t="shared" si="58"/>
        <v>415.65126167194717</v>
      </c>
      <c r="E1074" s="23">
        <f t="shared" si="59"/>
        <v>1.609195688364025</v>
      </c>
      <c r="F1074" s="23">
        <f t="shared" si="60"/>
        <v>-1.609195688364025</v>
      </c>
    </row>
    <row r="1075" spans="1:6" x14ac:dyDescent="0.3">
      <c r="A1075" s="2">
        <v>42604</v>
      </c>
      <c r="B1075" s="1">
        <v>27.127500000000001</v>
      </c>
      <c r="C1075" s="1">
        <v>759.48</v>
      </c>
      <c r="D1075" s="22">
        <f t="shared" si="58"/>
        <v>414.04206598358314</v>
      </c>
      <c r="E1075" s="23">
        <f t="shared" si="59"/>
        <v>1.0461633649770192</v>
      </c>
      <c r="F1075" s="23">
        <f t="shared" si="60"/>
        <v>-1.0461633649770192</v>
      </c>
    </row>
    <row r="1076" spans="1:6" x14ac:dyDescent="0.3">
      <c r="A1076" s="2">
        <v>42601</v>
      </c>
      <c r="B1076" s="1">
        <v>27.34</v>
      </c>
      <c r="C1076" s="1">
        <v>757.31010000000003</v>
      </c>
      <c r="D1076" s="22">
        <f t="shared" si="58"/>
        <v>412.99590261860612</v>
      </c>
      <c r="E1076" s="23">
        <f t="shared" si="59"/>
        <v>-3.7443987696428849</v>
      </c>
      <c r="F1076" s="23">
        <f t="shared" si="60"/>
        <v>3.7443987696428849</v>
      </c>
    </row>
    <row r="1077" spans="1:6" x14ac:dyDescent="0.3">
      <c r="A1077" s="2">
        <v>42600</v>
      </c>
      <c r="B1077" s="1">
        <v>27.27</v>
      </c>
      <c r="C1077" s="1">
        <v>764.46</v>
      </c>
      <c r="D1077" s="22">
        <f t="shared" si="58"/>
        <v>416.74030138824901</v>
      </c>
      <c r="E1077" s="23">
        <f t="shared" si="59"/>
        <v>-0.10627001676266445</v>
      </c>
      <c r="F1077" s="23">
        <f t="shared" si="60"/>
        <v>0.10627001676266445</v>
      </c>
    </row>
    <row r="1078" spans="1:6" x14ac:dyDescent="0.3">
      <c r="A1078" s="2">
        <v>42599</v>
      </c>
      <c r="B1078" s="1">
        <v>27.305</v>
      </c>
      <c r="C1078" s="1">
        <v>764.62990000000002</v>
      </c>
      <c r="D1078" s="22">
        <f t="shared" si="58"/>
        <v>416.84657140501167</v>
      </c>
      <c r="E1078" s="23">
        <f t="shared" si="59"/>
        <v>0.2927871279377996</v>
      </c>
      <c r="F1078" s="23">
        <f t="shared" si="60"/>
        <v>-0.2927871279377996</v>
      </c>
    </row>
    <row r="1079" spans="1:6" x14ac:dyDescent="0.3">
      <c r="A1079" s="2">
        <v>42598</v>
      </c>
      <c r="B1079" s="1">
        <v>27.344999999999999</v>
      </c>
      <c r="C1079" s="1">
        <v>764.04</v>
      </c>
      <c r="D1079" s="22">
        <f t="shared" si="58"/>
        <v>416.55378427707387</v>
      </c>
      <c r="E1079" s="23">
        <f t="shared" si="59"/>
        <v>-2.3628044786866553</v>
      </c>
      <c r="F1079" s="23">
        <f t="shared" si="60"/>
        <v>2.3628044786866553</v>
      </c>
    </row>
    <row r="1080" spans="1:6" x14ac:dyDescent="0.3">
      <c r="A1080" s="2">
        <v>42597</v>
      </c>
      <c r="B1080" s="1">
        <v>27.37</v>
      </c>
      <c r="C1080" s="1">
        <v>768.49</v>
      </c>
      <c r="D1080" s="22">
        <f t="shared" si="58"/>
        <v>418.91658875576053</v>
      </c>
      <c r="E1080" s="23">
        <f t="shared" si="59"/>
        <v>-1.9970077885368482</v>
      </c>
      <c r="F1080" s="23">
        <f t="shared" si="60"/>
        <v>1.9970077885368482</v>
      </c>
    </row>
    <row r="1081" spans="1:6" x14ac:dyDescent="0.3">
      <c r="A1081" s="2">
        <v>42594</v>
      </c>
      <c r="B1081" s="1">
        <v>27.045000000000002</v>
      </c>
      <c r="C1081" s="1">
        <v>772.56010000000003</v>
      </c>
      <c r="D1081" s="22">
        <f t="shared" si="58"/>
        <v>420.91359654429738</v>
      </c>
      <c r="E1081" s="23">
        <f t="shared" si="59"/>
        <v>0.72691195760364735</v>
      </c>
      <c r="F1081" s="23">
        <f t="shared" si="60"/>
        <v>-0.72691195760364735</v>
      </c>
    </row>
    <row r="1082" spans="1:6" x14ac:dyDescent="0.3">
      <c r="A1082" s="2">
        <v>42593</v>
      </c>
      <c r="B1082" s="1">
        <v>26.982500000000002</v>
      </c>
      <c r="C1082" s="1">
        <v>771.24</v>
      </c>
      <c r="D1082" s="22">
        <f t="shared" si="58"/>
        <v>420.18668458669373</v>
      </c>
      <c r="E1082" s="23">
        <f t="shared" si="59"/>
        <v>1.4075833448156345</v>
      </c>
      <c r="F1082" s="23">
        <f t="shared" si="60"/>
        <v>-1.4075833448156345</v>
      </c>
    </row>
    <row r="1083" spans="1:6" x14ac:dyDescent="0.3">
      <c r="A1083" s="2">
        <v>42592</v>
      </c>
      <c r="B1083" s="1">
        <v>27</v>
      </c>
      <c r="C1083" s="1">
        <v>768.56010000000003</v>
      </c>
      <c r="D1083" s="22">
        <f t="shared" si="58"/>
        <v>418.7791012418781</v>
      </c>
      <c r="E1083" s="23">
        <f t="shared" si="59"/>
        <v>3.6563621831817272E-2</v>
      </c>
      <c r="F1083" s="23">
        <f t="shared" si="60"/>
        <v>-3.6563621831817272E-2</v>
      </c>
    </row>
    <row r="1084" spans="1:6" x14ac:dyDescent="0.3">
      <c r="A1084" s="2">
        <v>42591</v>
      </c>
      <c r="B1084" s="1">
        <v>27.202500000000001</v>
      </c>
      <c r="C1084" s="1">
        <v>768.31010000000003</v>
      </c>
      <c r="D1084" s="22">
        <f t="shared" si="58"/>
        <v>418.74253762004628</v>
      </c>
      <c r="E1084" s="23">
        <f t="shared" si="59"/>
        <v>0.97644052995394759</v>
      </c>
      <c r="F1084" s="23">
        <f t="shared" si="60"/>
        <v>-0.97644052995394759</v>
      </c>
    </row>
    <row r="1085" spans="1:6" x14ac:dyDescent="0.3">
      <c r="A1085" s="2">
        <v>42590</v>
      </c>
      <c r="B1085" s="1">
        <v>27.092500000000001</v>
      </c>
      <c r="C1085" s="1">
        <v>766.56010000000003</v>
      </c>
      <c r="D1085" s="22">
        <f t="shared" si="58"/>
        <v>417.76609709009233</v>
      </c>
      <c r="E1085" s="23">
        <f t="shared" si="59"/>
        <v>0.4114263009216188</v>
      </c>
      <c r="F1085" s="23">
        <f t="shared" si="60"/>
        <v>-0.4114263009216188</v>
      </c>
    </row>
    <row r="1086" spans="1:6" x14ac:dyDescent="0.3">
      <c r="A1086" s="2">
        <v>42587</v>
      </c>
      <c r="B1086" s="1">
        <v>26.87</v>
      </c>
      <c r="C1086" s="1">
        <v>765.98</v>
      </c>
      <c r="D1086" s="22">
        <f t="shared" si="58"/>
        <v>417.35467078917071</v>
      </c>
      <c r="E1086" s="23">
        <f t="shared" si="59"/>
        <v>2.9423858827765343</v>
      </c>
      <c r="F1086" s="23">
        <f t="shared" si="60"/>
        <v>-2.9423858827765343</v>
      </c>
    </row>
    <row r="1087" spans="1:6" x14ac:dyDescent="0.3">
      <c r="A1087" s="2">
        <v>42586</v>
      </c>
      <c r="B1087" s="1">
        <v>26.467500000000001</v>
      </c>
      <c r="C1087" s="1">
        <v>760.77</v>
      </c>
      <c r="D1087" s="22">
        <f t="shared" si="58"/>
        <v>414.41228490639418</v>
      </c>
      <c r="E1087" s="23">
        <f t="shared" si="59"/>
        <v>3.2480721232142855</v>
      </c>
      <c r="F1087" s="23">
        <f t="shared" si="60"/>
        <v>-3.2480721232142855</v>
      </c>
    </row>
    <row r="1088" spans="1:6" x14ac:dyDescent="0.3">
      <c r="A1088" s="2">
        <v>42585</v>
      </c>
      <c r="B1088" s="1">
        <v>26.447500000000002</v>
      </c>
      <c r="C1088" s="1">
        <v>754.63990000000001</v>
      </c>
      <c r="D1088" s="22">
        <f t="shared" si="58"/>
        <v>411.16421278317989</v>
      </c>
      <c r="E1088" s="23">
        <f t="shared" si="59"/>
        <v>-2.9838349448732515</v>
      </c>
      <c r="F1088" s="23">
        <f t="shared" si="60"/>
        <v>2.9838349448732515</v>
      </c>
    </row>
    <row r="1089" spans="1:6" x14ac:dyDescent="0.3">
      <c r="A1089" s="2">
        <v>42584</v>
      </c>
      <c r="B1089" s="1">
        <v>26.12</v>
      </c>
      <c r="C1089" s="1">
        <v>760.58010000000002</v>
      </c>
      <c r="D1089" s="22">
        <f t="shared" si="58"/>
        <v>414.14804772805314</v>
      </c>
      <c r="E1089" s="23">
        <f t="shared" si="59"/>
        <v>-3.9678351478110585</v>
      </c>
      <c r="F1089" s="23">
        <f t="shared" si="60"/>
        <v>3.9678351478110585</v>
      </c>
    </row>
    <row r="1090" spans="1:6" x14ac:dyDescent="0.3">
      <c r="A1090" s="2">
        <v>42583</v>
      </c>
      <c r="B1090" s="1">
        <v>26.512499999999999</v>
      </c>
      <c r="C1090" s="1">
        <v>767.74</v>
      </c>
      <c r="D1090" s="22">
        <f t="shared" si="58"/>
        <v>418.1158828758642</v>
      </c>
      <c r="E1090" s="23">
        <f t="shared" si="59"/>
        <v>4.9347955150345229</v>
      </c>
      <c r="F1090" s="23">
        <f t="shared" si="60"/>
        <v>-4.9347955150345229</v>
      </c>
    </row>
    <row r="1091" spans="1:6" x14ac:dyDescent="0.3">
      <c r="A1091" s="2">
        <v>42580</v>
      </c>
      <c r="B1091" s="1">
        <v>26.052499999999998</v>
      </c>
      <c r="C1091" s="1">
        <v>758.81010000000003</v>
      </c>
      <c r="D1091" s="22">
        <f t="shared" si="58"/>
        <v>413.18108736082968</v>
      </c>
      <c r="E1091" s="23">
        <f t="shared" si="59"/>
        <v>3.2602381725230885</v>
      </c>
      <c r="F1091" s="23">
        <f t="shared" si="60"/>
        <v>-3.2602381725230885</v>
      </c>
    </row>
    <row r="1092" spans="1:6" x14ac:dyDescent="0.3">
      <c r="A1092" s="2">
        <v>42579</v>
      </c>
      <c r="B1092" s="1">
        <v>26.085000000000001</v>
      </c>
      <c r="C1092" s="1">
        <v>752.61009999999999</v>
      </c>
      <c r="D1092" s="22">
        <f t="shared" si="58"/>
        <v>409.92084918830659</v>
      </c>
      <c r="E1092" s="23">
        <f t="shared" si="59"/>
        <v>8.5853946654953575</v>
      </c>
      <c r="F1092" s="23">
        <f t="shared" si="60"/>
        <v>-8.5853946654953575</v>
      </c>
    </row>
    <row r="1093" spans="1:6" x14ac:dyDescent="0.3">
      <c r="A1093" s="2">
        <v>42578</v>
      </c>
      <c r="B1093" s="1">
        <v>25.737500000000001</v>
      </c>
      <c r="C1093" s="1">
        <v>736.66989999999998</v>
      </c>
      <c r="D1093" s="22">
        <f t="shared" si="58"/>
        <v>401.33545452281123</v>
      </c>
      <c r="E1093" s="23">
        <f t="shared" si="59"/>
        <v>1.3110188123271769</v>
      </c>
      <c r="F1093" s="23">
        <f t="shared" si="60"/>
        <v>-1.3110188123271769</v>
      </c>
    </row>
    <row r="1094" spans="1:6" x14ac:dyDescent="0.3">
      <c r="A1094" s="2">
        <v>42577</v>
      </c>
      <c r="B1094" s="1">
        <v>24.1675</v>
      </c>
      <c r="C1094" s="1">
        <v>735.59010000000001</v>
      </c>
      <c r="D1094" s="22">
        <f t="shared" ref="D1094:D1157" si="61">$M$16*B1094+(1-$M$16)*C1094</f>
        <v>400.02443571048406</v>
      </c>
      <c r="E1094" s="23">
        <f t="shared" ref="E1094:E1157" si="62">D1094-D1095</f>
        <v>-2.2028427692972059</v>
      </c>
      <c r="F1094" s="23">
        <f t="shared" ref="F1094:F1157" si="63">-E1094</f>
        <v>2.2028427692972059</v>
      </c>
    </row>
    <row r="1095" spans="1:6" x14ac:dyDescent="0.3">
      <c r="A1095" s="2">
        <v>42576</v>
      </c>
      <c r="B1095" s="1">
        <v>24.335000000000001</v>
      </c>
      <c r="C1095" s="1">
        <v>739.61009999999999</v>
      </c>
      <c r="D1095" s="22">
        <f t="shared" si="61"/>
        <v>402.22727847978126</v>
      </c>
      <c r="E1095" s="23">
        <f t="shared" si="62"/>
        <v>-2.9293215898617291</v>
      </c>
      <c r="F1095" s="23">
        <f t="shared" si="63"/>
        <v>2.9293215898617291</v>
      </c>
    </row>
    <row r="1096" spans="1:6" x14ac:dyDescent="0.3">
      <c r="A1096" s="2">
        <v>42573</v>
      </c>
      <c r="B1096" s="1">
        <v>24.664999999999999</v>
      </c>
      <c r="C1096" s="1">
        <v>744.86009999999999</v>
      </c>
      <c r="D1096" s="22">
        <f t="shared" si="61"/>
        <v>405.15660006964299</v>
      </c>
      <c r="E1096" s="23">
        <f t="shared" si="62"/>
        <v>0.13648324268433498</v>
      </c>
      <c r="F1096" s="23">
        <f t="shared" si="63"/>
        <v>-0.13648324268433498</v>
      </c>
    </row>
    <row r="1097" spans="1:6" x14ac:dyDescent="0.3">
      <c r="A1097" s="2">
        <v>42572</v>
      </c>
      <c r="B1097" s="1">
        <v>24.857500000000002</v>
      </c>
      <c r="C1097" s="1">
        <v>744.42989999999998</v>
      </c>
      <c r="D1097" s="22">
        <f t="shared" si="61"/>
        <v>405.02011682695866</v>
      </c>
      <c r="E1097" s="23">
        <f t="shared" si="62"/>
        <v>-0.74408021797239599</v>
      </c>
      <c r="F1097" s="23">
        <f t="shared" si="63"/>
        <v>0.74408021797239599</v>
      </c>
    </row>
    <row r="1098" spans="1:6" x14ac:dyDescent="0.3">
      <c r="A1098" s="2">
        <v>42571</v>
      </c>
      <c r="B1098" s="1">
        <v>24.99</v>
      </c>
      <c r="C1098" s="1">
        <v>745.72</v>
      </c>
      <c r="D1098" s="22">
        <f t="shared" si="61"/>
        <v>405.76419704493105</v>
      </c>
      <c r="E1098" s="23">
        <f t="shared" si="62"/>
        <v>3.0590042353110221</v>
      </c>
      <c r="F1098" s="23">
        <f t="shared" si="63"/>
        <v>-3.0590042353110221</v>
      </c>
    </row>
    <row r="1099" spans="1:6" x14ac:dyDescent="0.3">
      <c r="A1099" s="2">
        <v>42570</v>
      </c>
      <c r="B1099" s="1">
        <v>24.967500000000001</v>
      </c>
      <c r="C1099" s="1">
        <v>739.95</v>
      </c>
      <c r="D1099" s="22">
        <f t="shared" si="61"/>
        <v>402.70519280962003</v>
      </c>
      <c r="E1099" s="23">
        <f t="shared" si="62"/>
        <v>2.0545354919931356</v>
      </c>
      <c r="F1099" s="23">
        <f t="shared" si="63"/>
        <v>-2.0545354919931356</v>
      </c>
    </row>
    <row r="1100" spans="1:6" x14ac:dyDescent="0.3">
      <c r="A1100" s="2">
        <v>42569</v>
      </c>
      <c r="B1100" s="1">
        <v>24.9575</v>
      </c>
      <c r="C1100" s="1">
        <v>736.07010000000002</v>
      </c>
      <c r="D1100" s="22">
        <f t="shared" si="61"/>
        <v>400.65065731762689</v>
      </c>
      <c r="E1100" s="23">
        <f t="shared" si="62"/>
        <v>0.45676230662445505</v>
      </c>
      <c r="F1100" s="23">
        <f t="shared" si="63"/>
        <v>-0.45676230662445505</v>
      </c>
    </row>
    <row r="1101" spans="1:6" x14ac:dyDescent="0.3">
      <c r="A1101" s="2">
        <v>42566</v>
      </c>
      <c r="B1101" s="1">
        <v>24.695</v>
      </c>
      <c r="C1101" s="1">
        <v>735.43989999999997</v>
      </c>
      <c r="D1101" s="22">
        <f t="shared" si="61"/>
        <v>400.19389501100244</v>
      </c>
      <c r="E1101" s="23">
        <f t="shared" si="62"/>
        <v>-3.044340241013856</v>
      </c>
      <c r="F1101" s="23">
        <f t="shared" si="63"/>
        <v>3.044340241013856</v>
      </c>
    </row>
    <row r="1102" spans="1:6" x14ac:dyDescent="0.3">
      <c r="A1102" s="2">
        <v>42565</v>
      </c>
      <c r="B1102" s="1">
        <v>24.697500000000002</v>
      </c>
      <c r="C1102" s="1">
        <v>741.2</v>
      </c>
      <c r="D1102" s="22">
        <f t="shared" si="61"/>
        <v>403.2382352520163</v>
      </c>
      <c r="E1102" s="23">
        <f t="shared" si="62"/>
        <v>-0.52903339521890302</v>
      </c>
      <c r="F1102" s="23">
        <f t="shared" si="63"/>
        <v>0.52903339521890302</v>
      </c>
    </row>
    <row r="1103" spans="1:6" x14ac:dyDescent="0.3">
      <c r="A1103" s="2">
        <v>42564</v>
      </c>
      <c r="B1103" s="1">
        <v>24.217500000000001</v>
      </c>
      <c r="C1103" s="1">
        <v>742.62990000000002</v>
      </c>
      <c r="D1103" s="22">
        <f t="shared" si="61"/>
        <v>403.7672686472352</v>
      </c>
      <c r="E1103" s="23">
        <f t="shared" si="62"/>
        <v>-3.0129202611751111</v>
      </c>
      <c r="F1103" s="23">
        <f t="shared" si="63"/>
        <v>3.0129202611751111</v>
      </c>
    </row>
    <row r="1104" spans="1:6" x14ac:dyDescent="0.3">
      <c r="A1104" s="2">
        <v>42563</v>
      </c>
      <c r="B1104" s="1">
        <v>24.355</v>
      </c>
      <c r="C1104" s="1">
        <v>748.21</v>
      </c>
      <c r="D1104" s="22">
        <f t="shared" si="61"/>
        <v>406.78018890841031</v>
      </c>
      <c r="E1104" s="23">
        <f t="shared" si="62"/>
        <v>-2.8908428110598834</v>
      </c>
      <c r="F1104" s="23">
        <f t="shared" si="63"/>
        <v>2.8908428110598834</v>
      </c>
    </row>
    <row r="1105" spans="1:6" x14ac:dyDescent="0.3">
      <c r="A1105" s="2">
        <v>42562</v>
      </c>
      <c r="B1105" s="1">
        <v>24.245000000000001</v>
      </c>
      <c r="C1105" s="1">
        <v>753.78</v>
      </c>
      <c r="D1105" s="22">
        <f t="shared" si="61"/>
        <v>409.67103171947019</v>
      </c>
      <c r="E1105" s="23">
        <f t="shared" si="62"/>
        <v>4.2460130121543216</v>
      </c>
      <c r="F1105" s="23">
        <f t="shared" si="63"/>
        <v>-4.2460130121543216</v>
      </c>
    </row>
    <row r="1106" spans="1:6" x14ac:dyDescent="0.3">
      <c r="A1106" s="2">
        <v>42559</v>
      </c>
      <c r="B1106" s="1">
        <v>24.17</v>
      </c>
      <c r="C1106" s="1">
        <v>745.81010000000003</v>
      </c>
      <c r="D1106" s="22">
        <f t="shared" si="61"/>
        <v>405.42501870731587</v>
      </c>
      <c r="E1106" s="23">
        <f t="shared" si="62"/>
        <v>4.9689140236175149</v>
      </c>
      <c r="F1106" s="23">
        <f t="shared" si="63"/>
        <v>-4.9689140236175149</v>
      </c>
    </row>
    <row r="1107" spans="1:6" x14ac:dyDescent="0.3">
      <c r="A1107" s="2">
        <v>42558</v>
      </c>
      <c r="B1107" s="1">
        <v>23.984999999999999</v>
      </c>
      <c r="C1107" s="1">
        <v>736.57010000000002</v>
      </c>
      <c r="D1107" s="22">
        <f t="shared" si="61"/>
        <v>400.45610468369836</v>
      </c>
      <c r="E1107" s="23">
        <f t="shared" si="62"/>
        <v>-0.50110262528801286</v>
      </c>
      <c r="F1107" s="23">
        <f t="shared" si="63"/>
        <v>0.50110262528801286</v>
      </c>
    </row>
    <row r="1108" spans="1:6" x14ac:dyDescent="0.3">
      <c r="A1108" s="2">
        <v>42557</v>
      </c>
      <c r="B1108" s="1">
        <v>23.8825</v>
      </c>
      <c r="C1108" s="1">
        <v>737.61009999999999</v>
      </c>
      <c r="D1108" s="22">
        <f t="shared" si="61"/>
        <v>400.95720730898637</v>
      </c>
      <c r="E1108" s="23">
        <f t="shared" si="62"/>
        <v>5.087975590437793</v>
      </c>
      <c r="F1108" s="23">
        <f t="shared" si="63"/>
        <v>-5.087975590437793</v>
      </c>
    </row>
    <row r="1109" spans="1:6" x14ac:dyDescent="0.3">
      <c r="A1109" s="2">
        <v>42556</v>
      </c>
      <c r="B1109" s="1">
        <v>23.747499999999999</v>
      </c>
      <c r="C1109" s="1">
        <v>728.1001</v>
      </c>
      <c r="D1109" s="22">
        <f t="shared" si="61"/>
        <v>395.86923171854858</v>
      </c>
      <c r="E1109" s="23">
        <f t="shared" si="62"/>
        <v>1.1725051767281798</v>
      </c>
      <c r="F1109" s="23">
        <f t="shared" si="63"/>
        <v>-1.1725051767281798</v>
      </c>
    </row>
    <row r="1110" spans="1:6" x14ac:dyDescent="0.3">
      <c r="A1110" s="2">
        <v>42555</v>
      </c>
      <c r="B1110" s="1">
        <v>23.9725</v>
      </c>
      <c r="C1110" s="1">
        <v>725.67989999999998</v>
      </c>
      <c r="D1110" s="22">
        <f t="shared" si="61"/>
        <v>394.6967265418204</v>
      </c>
      <c r="E1110" s="23">
        <f t="shared" si="62"/>
        <v>0</v>
      </c>
      <c r="F1110" s="23">
        <f t="shared" si="63"/>
        <v>0</v>
      </c>
    </row>
    <row r="1111" spans="1:6" x14ac:dyDescent="0.3">
      <c r="A1111" s="2">
        <v>42552</v>
      </c>
      <c r="B1111" s="1">
        <v>23.9725</v>
      </c>
      <c r="C1111" s="1">
        <v>725.67989999999998</v>
      </c>
      <c r="D1111" s="22">
        <f t="shared" si="61"/>
        <v>394.6967265418204</v>
      </c>
      <c r="E1111" s="23">
        <f t="shared" si="62"/>
        <v>5.3489643322004667</v>
      </c>
      <c r="F1111" s="23">
        <f t="shared" si="63"/>
        <v>-5.3489643322004667</v>
      </c>
    </row>
    <row r="1112" spans="1:6" x14ac:dyDescent="0.3">
      <c r="A1112" s="2">
        <v>42551</v>
      </c>
      <c r="B1112" s="1">
        <v>23.9</v>
      </c>
      <c r="C1112" s="1">
        <v>715.62009999999998</v>
      </c>
      <c r="D1112" s="22">
        <f t="shared" si="61"/>
        <v>389.34776220961993</v>
      </c>
      <c r="E1112" s="23">
        <f t="shared" si="62"/>
        <v>0.15207112903220832</v>
      </c>
      <c r="F1112" s="23">
        <f t="shared" si="63"/>
        <v>-0.15207112903220832</v>
      </c>
    </row>
    <row r="1113" spans="1:6" x14ac:dyDescent="0.3">
      <c r="A1113" s="2">
        <v>42550</v>
      </c>
      <c r="B1113" s="1">
        <v>23.6</v>
      </c>
      <c r="C1113" s="1">
        <v>715.6001</v>
      </c>
      <c r="D1113" s="22">
        <f t="shared" si="61"/>
        <v>389.19569108058772</v>
      </c>
      <c r="E1113" s="23">
        <f t="shared" si="62"/>
        <v>4.1371966407834293</v>
      </c>
      <c r="F1113" s="23">
        <f t="shared" si="63"/>
        <v>-4.1371966407834293</v>
      </c>
    </row>
    <row r="1114" spans="1:6" x14ac:dyDescent="0.3">
      <c r="A1114" s="2">
        <v>42549</v>
      </c>
      <c r="B1114" s="1">
        <v>23.397500000000001</v>
      </c>
      <c r="C1114" s="1">
        <v>707.95</v>
      </c>
      <c r="D1114" s="22">
        <f t="shared" si="61"/>
        <v>385.05849443980429</v>
      </c>
      <c r="E1114" s="23">
        <f t="shared" si="62"/>
        <v>8.9475097820276233</v>
      </c>
      <c r="F1114" s="23">
        <f t="shared" si="63"/>
        <v>-8.9475097820276233</v>
      </c>
    </row>
    <row r="1115" spans="1:6" x14ac:dyDescent="0.3">
      <c r="A1115" s="2">
        <v>42548</v>
      </c>
      <c r="B1115" s="1">
        <v>23.01</v>
      </c>
      <c r="C1115" s="1">
        <v>691.36009999999999</v>
      </c>
      <c r="D1115" s="22">
        <f t="shared" si="61"/>
        <v>376.11098465777667</v>
      </c>
      <c r="E1115" s="23">
        <f t="shared" si="62"/>
        <v>-4.1755314654953963</v>
      </c>
      <c r="F1115" s="23">
        <f t="shared" si="63"/>
        <v>4.1755314654953963</v>
      </c>
    </row>
    <row r="1116" spans="1:6" x14ac:dyDescent="0.3">
      <c r="A1116" s="2">
        <v>42545</v>
      </c>
      <c r="B1116" s="1">
        <v>23.35</v>
      </c>
      <c r="C1116" s="1">
        <v>698.96</v>
      </c>
      <c r="D1116" s="22">
        <f t="shared" si="61"/>
        <v>380.28651612327207</v>
      </c>
      <c r="E1116" s="23">
        <f t="shared" si="62"/>
        <v>-12.533136791993059</v>
      </c>
      <c r="F1116" s="23">
        <f t="shared" si="63"/>
        <v>12.533136791993059</v>
      </c>
    </row>
    <row r="1117" spans="1:6" x14ac:dyDescent="0.3">
      <c r="A1117" s="2">
        <v>42544</v>
      </c>
      <c r="B1117" s="1">
        <v>24.024999999999999</v>
      </c>
      <c r="C1117" s="1">
        <v>722.08010000000002</v>
      </c>
      <c r="D1117" s="22">
        <f t="shared" si="61"/>
        <v>392.81965291526512</v>
      </c>
      <c r="E1117" s="23">
        <f t="shared" si="62"/>
        <v>6.1299400676843447</v>
      </c>
      <c r="F1117" s="23">
        <f t="shared" si="63"/>
        <v>-6.1299400676843447</v>
      </c>
    </row>
    <row r="1118" spans="1:6" x14ac:dyDescent="0.3">
      <c r="A1118" s="2">
        <v>42543</v>
      </c>
      <c r="B1118" s="1">
        <v>23.887499999999999</v>
      </c>
      <c r="C1118" s="1">
        <v>710.6001</v>
      </c>
      <c r="D1118" s="22">
        <f t="shared" si="61"/>
        <v>386.68971284758078</v>
      </c>
      <c r="E1118" s="23">
        <f t="shared" si="62"/>
        <v>-2.8002682430876007</v>
      </c>
      <c r="F1118" s="23">
        <f t="shared" si="63"/>
        <v>2.8002682430876007</v>
      </c>
    </row>
    <row r="1119" spans="1:6" x14ac:dyDescent="0.3">
      <c r="A1119" s="2">
        <v>42542</v>
      </c>
      <c r="B1119" s="1">
        <v>23.977499999999999</v>
      </c>
      <c r="C1119" s="1">
        <v>715.82010000000002</v>
      </c>
      <c r="D1119" s="22">
        <f t="shared" si="61"/>
        <v>389.48998109066838</v>
      </c>
      <c r="E1119" s="23">
        <f t="shared" si="62"/>
        <v>1.0518230463133591</v>
      </c>
      <c r="F1119" s="23">
        <f t="shared" si="63"/>
        <v>-1.0518230463133591</v>
      </c>
    </row>
    <row r="1120" spans="1:6" x14ac:dyDescent="0.3">
      <c r="A1120" s="2">
        <v>42541</v>
      </c>
      <c r="B1120" s="1">
        <v>23.774999999999999</v>
      </c>
      <c r="C1120" s="1">
        <v>714.01</v>
      </c>
      <c r="D1120" s="22">
        <f t="shared" si="61"/>
        <v>388.43815804435502</v>
      </c>
      <c r="E1120" s="23">
        <f t="shared" si="62"/>
        <v>3.9987096419355339</v>
      </c>
      <c r="F1120" s="23">
        <f t="shared" si="63"/>
        <v>-3.9987096419355339</v>
      </c>
    </row>
    <row r="1121" spans="1:6" x14ac:dyDescent="0.3">
      <c r="A1121" s="2">
        <v>42538</v>
      </c>
      <c r="B1121" s="1">
        <v>23.8325</v>
      </c>
      <c r="C1121" s="1">
        <v>706.38990000000001</v>
      </c>
      <c r="D1121" s="22">
        <f t="shared" si="61"/>
        <v>384.43944840241949</v>
      </c>
      <c r="E1121" s="23">
        <f t="shared" si="62"/>
        <v>-6.1367261237903108</v>
      </c>
      <c r="F1121" s="23">
        <f t="shared" si="63"/>
        <v>6.1367261237903108</v>
      </c>
    </row>
    <row r="1122" spans="1:6" x14ac:dyDescent="0.3">
      <c r="A1122" s="2">
        <v>42537</v>
      </c>
      <c r="B1122" s="1">
        <v>24.387499999999999</v>
      </c>
      <c r="C1122" s="1">
        <v>717.51</v>
      </c>
      <c r="D1122" s="22">
        <f t="shared" si="61"/>
        <v>390.5761745262098</v>
      </c>
      <c r="E1122" s="23">
        <f t="shared" si="62"/>
        <v>1.7653790048963174</v>
      </c>
      <c r="F1122" s="23">
        <f t="shared" si="63"/>
        <v>-1.7653790048963174</v>
      </c>
    </row>
    <row r="1123" spans="1:6" x14ac:dyDescent="0.3">
      <c r="A1123" s="2">
        <v>42536</v>
      </c>
      <c r="B1123" s="1">
        <v>24.285</v>
      </c>
      <c r="C1123" s="1">
        <v>714.26</v>
      </c>
      <c r="D1123" s="22">
        <f t="shared" si="61"/>
        <v>388.81079552131348</v>
      </c>
      <c r="E1123" s="23">
        <f t="shared" si="62"/>
        <v>-2.7004542857142724</v>
      </c>
      <c r="F1123" s="23">
        <f t="shared" si="63"/>
        <v>2.7004542857142724</v>
      </c>
    </row>
    <row r="1124" spans="1:6" x14ac:dyDescent="0.3">
      <c r="A1124" s="2">
        <v>42535</v>
      </c>
      <c r="B1124" s="1">
        <v>24.364999999999998</v>
      </c>
      <c r="C1124" s="1">
        <v>719.3</v>
      </c>
      <c r="D1124" s="22">
        <f t="shared" si="61"/>
        <v>391.51124980702775</v>
      </c>
      <c r="E1124" s="23">
        <f t="shared" si="62"/>
        <v>2.1591191071428284</v>
      </c>
      <c r="F1124" s="23">
        <f t="shared" si="63"/>
        <v>-2.1591191071428284</v>
      </c>
    </row>
    <row r="1125" spans="1:6" x14ac:dyDescent="0.3">
      <c r="A1125" s="2">
        <v>42534</v>
      </c>
      <c r="B1125" s="1">
        <v>24.335000000000001</v>
      </c>
      <c r="C1125" s="1">
        <v>715.24</v>
      </c>
      <c r="D1125" s="22">
        <f t="shared" si="61"/>
        <v>389.35213069988492</v>
      </c>
      <c r="E1125" s="23">
        <f t="shared" si="62"/>
        <v>-1.5862563862903585</v>
      </c>
      <c r="F1125" s="23">
        <f t="shared" si="63"/>
        <v>1.5862563862903585</v>
      </c>
    </row>
    <row r="1126" spans="1:6" x14ac:dyDescent="0.3">
      <c r="A1126" s="2">
        <v>42531</v>
      </c>
      <c r="B1126" s="1">
        <v>24.7075</v>
      </c>
      <c r="C1126" s="1">
        <v>717.90989999999999</v>
      </c>
      <c r="D1126" s="22">
        <f t="shared" si="61"/>
        <v>390.93838708617528</v>
      </c>
      <c r="E1126" s="23">
        <f t="shared" si="62"/>
        <v>-5.2425063738479594</v>
      </c>
      <c r="F1126" s="23">
        <f t="shared" si="63"/>
        <v>5.2425063738479594</v>
      </c>
    </row>
    <row r="1127" spans="1:6" x14ac:dyDescent="0.3">
      <c r="A1127" s="2">
        <v>42530</v>
      </c>
      <c r="B1127" s="1">
        <v>24.912500000000001</v>
      </c>
      <c r="C1127" s="1">
        <v>727.6499</v>
      </c>
      <c r="D1127" s="22">
        <f t="shared" si="61"/>
        <v>396.18089346002324</v>
      </c>
      <c r="E1127" s="23">
        <f t="shared" si="62"/>
        <v>0.61732423243091716</v>
      </c>
      <c r="F1127" s="23">
        <f t="shared" si="63"/>
        <v>-0.61732423243091716</v>
      </c>
    </row>
    <row r="1128" spans="1:6" x14ac:dyDescent="0.3">
      <c r="A1128" s="2">
        <v>42529</v>
      </c>
      <c r="B1128" s="1">
        <v>24.734999999999999</v>
      </c>
      <c r="C1128" s="1">
        <v>726.63990000000001</v>
      </c>
      <c r="D1128" s="22">
        <f t="shared" si="61"/>
        <v>395.56356922759232</v>
      </c>
      <c r="E1128" s="23">
        <f t="shared" si="62"/>
        <v>1.5214547589861809</v>
      </c>
      <c r="F1128" s="23">
        <f t="shared" si="63"/>
        <v>-1.5214547589861809</v>
      </c>
    </row>
    <row r="1129" spans="1:6" x14ac:dyDescent="0.3">
      <c r="A1129" s="2">
        <v>42528</v>
      </c>
      <c r="B1129" s="1">
        <v>24.7575</v>
      </c>
      <c r="C1129" s="1">
        <v>723.74</v>
      </c>
      <c r="D1129" s="22">
        <f t="shared" si="61"/>
        <v>394.04211446860614</v>
      </c>
      <c r="E1129" s="23">
        <f t="shared" si="62"/>
        <v>-1.5325007546082929</v>
      </c>
      <c r="F1129" s="23">
        <f t="shared" si="63"/>
        <v>1.5325007546082929</v>
      </c>
    </row>
    <row r="1130" spans="1:6" x14ac:dyDescent="0.3">
      <c r="A1130" s="2">
        <v>42527</v>
      </c>
      <c r="B1130" s="1">
        <v>24.657499999999999</v>
      </c>
      <c r="C1130" s="1">
        <v>726.73</v>
      </c>
      <c r="D1130" s="22">
        <f t="shared" si="61"/>
        <v>395.57461522321444</v>
      </c>
      <c r="E1130" s="23">
        <f t="shared" si="62"/>
        <v>0.71242136376724829</v>
      </c>
      <c r="F1130" s="23">
        <f t="shared" si="63"/>
        <v>-0.71242136376724829</v>
      </c>
    </row>
    <row r="1131" spans="1:6" x14ac:dyDescent="0.3">
      <c r="A1131" s="2">
        <v>42524</v>
      </c>
      <c r="B1131" s="1">
        <v>24.48</v>
      </c>
      <c r="C1131" s="1">
        <v>725.54</v>
      </c>
      <c r="D1131" s="22">
        <f t="shared" si="61"/>
        <v>394.86219385944719</v>
      </c>
      <c r="E1131" s="23">
        <f t="shared" si="62"/>
        <v>-1.4028728398617432</v>
      </c>
      <c r="F1131" s="23">
        <f t="shared" si="63"/>
        <v>1.4028728398617432</v>
      </c>
    </row>
    <row r="1132" spans="1:6" x14ac:dyDescent="0.3">
      <c r="A1132" s="2">
        <v>42523</v>
      </c>
      <c r="B1132" s="1">
        <v>24.43</v>
      </c>
      <c r="C1132" s="1">
        <v>728.24</v>
      </c>
      <c r="D1132" s="22">
        <f t="shared" si="61"/>
        <v>396.26506669930893</v>
      </c>
      <c r="E1132" s="23">
        <f t="shared" si="62"/>
        <v>4.5619846376152395</v>
      </c>
      <c r="F1132" s="23">
        <f t="shared" si="63"/>
        <v>-4.5619846376152395</v>
      </c>
    </row>
    <row r="1133" spans="1:6" x14ac:dyDescent="0.3">
      <c r="A1133" s="2">
        <v>42522</v>
      </c>
      <c r="B1133" s="1">
        <v>24.614999999999998</v>
      </c>
      <c r="C1133" s="1">
        <v>719.43989999999997</v>
      </c>
      <c r="D1133" s="22">
        <f t="shared" si="61"/>
        <v>391.70308206169369</v>
      </c>
      <c r="E1133" s="23">
        <f t="shared" si="62"/>
        <v>-1.9350050206797391</v>
      </c>
      <c r="F1133" s="23">
        <f t="shared" si="63"/>
        <v>1.9350050206797391</v>
      </c>
    </row>
    <row r="1134" spans="1:6" x14ac:dyDescent="0.3">
      <c r="A1134" s="2">
        <v>42521</v>
      </c>
      <c r="B1134" s="1">
        <v>24.965</v>
      </c>
      <c r="C1134" s="1">
        <v>722.79</v>
      </c>
      <c r="D1134" s="22">
        <f t="shared" si="61"/>
        <v>393.63808708237343</v>
      </c>
      <c r="E1134" s="23">
        <f t="shared" si="62"/>
        <v>5.5159674121543958</v>
      </c>
      <c r="F1134" s="23">
        <f t="shared" si="63"/>
        <v>-5.5159674121543958</v>
      </c>
    </row>
    <row r="1135" spans="1:6" x14ac:dyDescent="0.3">
      <c r="A1135" s="2">
        <v>42520</v>
      </c>
      <c r="B1135" s="1">
        <v>25.087499999999999</v>
      </c>
      <c r="C1135" s="1">
        <v>712.24</v>
      </c>
      <c r="D1135" s="22">
        <f t="shared" si="61"/>
        <v>388.12211967021904</v>
      </c>
      <c r="E1135" s="23">
        <f t="shared" si="62"/>
        <v>0</v>
      </c>
      <c r="F1135" s="23">
        <f t="shared" si="63"/>
        <v>0</v>
      </c>
    </row>
    <row r="1136" spans="1:6" x14ac:dyDescent="0.3">
      <c r="A1136" s="2">
        <v>42517</v>
      </c>
      <c r="B1136" s="1">
        <v>25.087499999999999</v>
      </c>
      <c r="C1136" s="1">
        <v>712.24</v>
      </c>
      <c r="D1136" s="22">
        <f t="shared" si="61"/>
        <v>388.12211967021904</v>
      </c>
      <c r="E1136" s="23">
        <f t="shared" si="62"/>
        <v>-1.4176298554723417</v>
      </c>
      <c r="F1136" s="23">
        <f t="shared" si="63"/>
        <v>1.4176298554723417</v>
      </c>
    </row>
    <row r="1137" spans="1:6" x14ac:dyDescent="0.3">
      <c r="A1137" s="2">
        <v>42516</v>
      </c>
      <c r="B1137" s="1">
        <v>25.102499999999999</v>
      </c>
      <c r="C1137" s="1">
        <v>714.90989999999999</v>
      </c>
      <c r="D1137" s="22">
        <f t="shared" si="61"/>
        <v>389.53974952569138</v>
      </c>
      <c r="E1137" s="23">
        <f t="shared" si="62"/>
        <v>3.558813770564484</v>
      </c>
      <c r="F1137" s="23">
        <f t="shared" si="63"/>
        <v>-3.558813770564484</v>
      </c>
    </row>
    <row r="1138" spans="1:6" x14ac:dyDescent="0.3">
      <c r="A1138" s="2">
        <v>42515</v>
      </c>
      <c r="B1138" s="1">
        <v>24.905000000000001</v>
      </c>
      <c r="C1138" s="1">
        <v>708.3501</v>
      </c>
      <c r="D1138" s="22">
        <f t="shared" si="61"/>
        <v>385.98093575512689</v>
      </c>
      <c r="E1138" s="23">
        <f t="shared" si="62"/>
        <v>2.3953935460253319</v>
      </c>
      <c r="F1138" s="23">
        <f t="shared" si="63"/>
        <v>-2.3953935460253319</v>
      </c>
    </row>
    <row r="1139" spans="1:6" x14ac:dyDescent="0.3">
      <c r="A1139" s="2">
        <v>42514</v>
      </c>
      <c r="B1139" s="1">
        <v>24.475000000000001</v>
      </c>
      <c r="C1139" s="1">
        <v>704.2</v>
      </c>
      <c r="D1139" s="22">
        <f t="shared" si="61"/>
        <v>383.58554220910156</v>
      </c>
      <c r="E1139" s="23">
        <f t="shared" si="62"/>
        <v>4.1093079593894117</v>
      </c>
      <c r="F1139" s="23">
        <f t="shared" si="63"/>
        <v>-4.1093079593894117</v>
      </c>
    </row>
    <row r="1140" spans="1:6" x14ac:dyDescent="0.3">
      <c r="A1140" s="2">
        <v>42513</v>
      </c>
      <c r="B1140" s="1">
        <v>24.107500000000002</v>
      </c>
      <c r="C1140" s="1">
        <v>696.75</v>
      </c>
      <c r="D1140" s="22">
        <f t="shared" si="61"/>
        <v>379.47623424971215</v>
      </c>
      <c r="E1140" s="23">
        <f t="shared" si="62"/>
        <v>-3.0536362600806228</v>
      </c>
      <c r="F1140" s="23">
        <f t="shared" si="63"/>
        <v>3.0536362600806228</v>
      </c>
    </row>
    <row r="1141" spans="1:6" x14ac:dyDescent="0.3">
      <c r="A1141" s="2">
        <v>42510</v>
      </c>
      <c r="B1141" s="1">
        <v>23.805</v>
      </c>
      <c r="C1141" s="1">
        <v>702.8</v>
      </c>
      <c r="D1141" s="22">
        <f t="shared" si="61"/>
        <v>382.52987050979277</v>
      </c>
      <c r="E1141" s="23">
        <f t="shared" si="62"/>
        <v>2.3814775201612974</v>
      </c>
      <c r="F1141" s="23">
        <f t="shared" si="63"/>
        <v>-2.3814775201612974</v>
      </c>
    </row>
    <row r="1142" spans="1:6" x14ac:dyDescent="0.3">
      <c r="A1142" s="2">
        <v>42509</v>
      </c>
      <c r="B1142" s="1">
        <v>23.55</v>
      </c>
      <c r="C1142" s="1">
        <v>698.52</v>
      </c>
      <c r="D1142" s="22">
        <f t="shared" si="61"/>
        <v>380.14839298963147</v>
      </c>
      <c r="E1142" s="23">
        <f t="shared" si="62"/>
        <v>0.52284817972343944</v>
      </c>
      <c r="F1142" s="23">
        <f t="shared" si="63"/>
        <v>-0.52284817972343944</v>
      </c>
    </row>
    <row r="1143" spans="1:6" x14ac:dyDescent="0.3">
      <c r="A1143" s="2">
        <v>42508</v>
      </c>
      <c r="B1143" s="1">
        <v>23.64</v>
      </c>
      <c r="C1143" s="1">
        <v>697.45</v>
      </c>
      <c r="D1143" s="22">
        <f t="shared" si="61"/>
        <v>379.62554480990804</v>
      </c>
      <c r="E1143" s="23">
        <f t="shared" si="62"/>
        <v>1.2779070204493905</v>
      </c>
      <c r="F1143" s="23">
        <f t="shared" si="63"/>
        <v>-1.2779070204493905</v>
      </c>
    </row>
    <row r="1144" spans="1:6" x14ac:dyDescent="0.3">
      <c r="A1144" s="2">
        <v>42507</v>
      </c>
      <c r="B1144" s="1">
        <v>23.372499999999999</v>
      </c>
      <c r="C1144" s="1">
        <v>695.27</v>
      </c>
      <c r="D1144" s="22">
        <f t="shared" si="61"/>
        <v>378.34763778945864</v>
      </c>
      <c r="E1144" s="23">
        <f t="shared" si="62"/>
        <v>-8.1767409513824987</v>
      </c>
      <c r="F1144" s="23">
        <f t="shared" si="63"/>
        <v>8.1767409513824987</v>
      </c>
    </row>
    <row r="1145" spans="1:6" x14ac:dyDescent="0.3">
      <c r="A1145" s="2">
        <v>42506</v>
      </c>
      <c r="B1145" s="1">
        <v>23.47</v>
      </c>
      <c r="C1145" s="1">
        <v>710.65989999999999</v>
      </c>
      <c r="D1145" s="22">
        <f t="shared" si="61"/>
        <v>386.52437874084114</v>
      </c>
      <c r="E1145" s="23">
        <f t="shared" si="62"/>
        <v>0.7871682603686736</v>
      </c>
      <c r="F1145" s="23">
        <f t="shared" si="63"/>
        <v>-0.7871682603686736</v>
      </c>
    </row>
    <row r="1146" spans="1:6" x14ac:dyDescent="0.3">
      <c r="A1146" s="2">
        <v>42503</v>
      </c>
      <c r="B1146" s="1">
        <v>22.63</v>
      </c>
      <c r="C1146" s="1">
        <v>709.91989999999998</v>
      </c>
      <c r="D1146" s="22">
        <f t="shared" si="61"/>
        <v>385.73721048047247</v>
      </c>
      <c r="E1146" s="23">
        <f t="shared" si="62"/>
        <v>-4.2105966273041986</v>
      </c>
      <c r="F1146" s="23">
        <f t="shared" si="63"/>
        <v>4.2105966273041986</v>
      </c>
    </row>
    <row r="1147" spans="1:6" x14ac:dyDescent="0.3">
      <c r="A1147" s="2">
        <v>42502</v>
      </c>
      <c r="B1147" s="1">
        <v>22.585000000000001</v>
      </c>
      <c r="C1147" s="1">
        <v>717.92989999999998</v>
      </c>
      <c r="D1147" s="22">
        <f t="shared" si="61"/>
        <v>389.94780710777667</v>
      </c>
      <c r="E1147" s="23">
        <f t="shared" si="62"/>
        <v>2.2271511184331985</v>
      </c>
      <c r="F1147" s="23">
        <f t="shared" si="63"/>
        <v>-2.2271511184331985</v>
      </c>
    </row>
    <row r="1148" spans="1:6" x14ac:dyDescent="0.3">
      <c r="A1148" s="2">
        <v>42501</v>
      </c>
      <c r="B1148" s="1">
        <v>23.127500000000001</v>
      </c>
      <c r="C1148" s="1">
        <v>713.23</v>
      </c>
      <c r="D1148" s="22">
        <f t="shared" si="61"/>
        <v>387.72065598934347</v>
      </c>
      <c r="E1148" s="23">
        <f t="shared" si="62"/>
        <v>5.2603441224654262</v>
      </c>
      <c r="F1148" s="23">
        <f t="shared" si="63"/>
        <v>-5.2603441224654262</v>
      </c>
    </row>
    <row r="1149" spans="1:6" x14ac:dyDescent="0.3">
      <c r="A1149" s="2">
        <v>42500</v>
      </c>
      <c r="B1149" s="1">
        <v>23.355</v>
      </c>
      <c r="C1149" s="1">
        <v>703.07010000000002</v>
      </c>
      <c r="D1149" s="22">
        <f t="shared" si="61"/>
        <v>382.46031186687804</v>
      </c>
      <c r="E1149" s="23">
        <f t="shared" si="62"/>
        <v>12.394704523847963</v>
      </c>
      <c r="F1149" s="23">
        <f t="shared" si="63"/>
        <v>-12.394704523847963</v>
      </c>
    </row>
    <row r="1150" spans="1:6" x14ac:dyDescent="0.3">
      <c r="A1150" s="2">
        <v>42499</v>
      </c>
      <c r="B1150" s="1">
        <v>23.197500000000002</v>
      </c>
      <c r="C1150" s="1">
        <v>679.75</v>
      </c>
      <c r="D1150" s="22">
        <f t="shared" si="61"/>
        <v>370.06560734303008</v>
      </c>
      <c r="E1150" s="23">
        <f t="shared" si="62"/>
        <v>3.0724953441819594</v>
      </c>
      <c r="F1150" s="23">
        <f t="shared" si="63"/>
        <v>-3.0724953441819594</v>
      </c>
    </row>
    <row r="1151" spans="1:6" x14ac:dyDescent="0.3">
      <c r="A1151" s="2">
        <v>42496</v>
      </c>
      <c r="B1151" s="1">
        <v>23.18</v>
      </c>
      <c r="C1151" s="1">
        <v>673.95</v>
      </c>
      <c r="D1151" s="22">
        <f t="shared" si="61"/>
        <v>366.99311199884812</v>
      </c>
      <c r="E1151" s="23">
        <f t="shared" si="62"/>
        <v>7.7894249389977404</v>
      </c>
      <c r="F1151" s="23">
        <f t="shared" si="63"/>
        <v>-7.7894249389977404</v>
      </c>
    </row>
    <row r="1152" spans="1:6" x14ac:dyDescent="0.3">
      <c r="A1152" s="2">
        <v>42495</v>
      </c>
      <c r="B1152" s="1">
        <v>23.31</v>
      </c>
      <c r="C1152" s="1">
        <v>659.09010000000001</v>
      </c>
      <c r="D1152" s="22">
        <f t="shared" si="61"/>
        <v>359.20368705985038</v>
      </c>
      <c r="E1152" s="23">
        <f t="shared" si="62"/>
        <v>-6.3513474053571599</v>
      </c>
      <c r="F1152" s="23">
        <f t="shared" si="63"/>
        <v>6.3513474053571599</v>
      </c>
    </row>
    <row r="1153" spans="1:6" x14ac:dyDescent="0.3">
      <c r="A1153" s="2">
        <v>42494</v>
      </c>
      <c r="B1153" s="1">
        <v>23.547499999999999</v>
      </c>
      <c r="C1153" s="1">
        <v>670.8999</v>
      </c>
      <c r="D1153" s="22">
        <f t="shared" si="61"/>
        <v>365.55503446520754</v>
      </c>
      <c r="E1153" s="23">
        <f t="shared" si="62"/>
        <v>-0.33874041434330593</v>
      </c>
      <c r="F1153" s="23">
        <f t="shared" si="63"/>
        <v>0.33874041434330593</v>
      </c>
    </row>
    <row r="1154" spans="1:6" x14ac:dyDescent="0.3">
      <c r="A1154" s="2">
        <v>42493</v>
      </c>
      <c r="B1154" s="1">
        <v>23.795000000000002</v>
      </c>
      <c r="C1154" s="1">
        <v>671.32010000000002</v>
      </c>
      <c r="D1154" s="22">
        <f t="shared" si="61"/>
        <v>365.89377487955085</v>
      </c>
      <c r="E1154" s="23">
        <f t="shared" si="62"/>
        <v>-6.4382191733870968</v>
      </c>
      <c r="F1154" s="23">
        <f t="shared" si="63"/>
        <v>6.4382191733870968</v>
      </c>
    </row>
    <row r="1155" spans="1:6" x14ac:dyDescent="0.3">
      <c r="A1155" s="2">
        <v>42492</v>
      </c>
      <c r="B1155" s="1">
        <v>23.41</v>
      </c>
      <c r="C1155" s="1">
        <v>683.8501</v>
      </c>
      <c r="D1155" s="22">
        <f t="shared" si="61"/>
        <v>372.33199405293794</v>
      </c>
      <c r="E1155" s="23">
        <f t="shared" si="62"/>
        <v>12.805187969470069</v>
      </c>
      <c r="F1155" s="23">
        <f t="shared" si="63"/>
        <v>-12.805187969470069</v>
      </c>
    </row>
    <row r="1156" spans="1:6" x14ac:dyDescent="0.3">
      <c r="A1156" s="2">
        <v>42489</v>
      </c>
      <c r="B1156" s="1">
        <v>23.434999999999999</v>
      </c>
      <c r="C1156" s="1">
        <v>659.59010000000001</v>
      </c>
      <c r="D1156" s="22">
        <f t="shared" si="61"/>
        <v>359.52680608346787</v>
      </c>
      <c r="E1156" s="23">
        <f t="shared" si="62"/>
        <v>30.297318175921646</v>
      </c>
      <c r="F1156" s="23">
        <f t="shared" si="63"/>
        <v>-30.297318175921646</v>
      </c>
    </row>
    <row r="1157" spans="1:6" x14ac:dyDescent="0.3">
      <c r="A1157" s="2">
        <v>42488</v>
      </c>
      <c r="B1157" s="1">
        <v>23.7075</v>
      </c>
      <c r="C1157" s="1">
        <v>602</v>
      </c>
      <c r="D1157" s="22">
        <f t="shared" si="61"/>
        <v>329.22948790754623</v>
      </c>
      <c r="E1157" s="23">
        <f t="shared" si="62"/>
        <v>-2.7670460791474625</v>
      </c>
      <c r="F1157" s="23">
        <f t="shared" si="63"/>
        <v>2.7670460791474625</v>
      </c>
    </row>
    <row r="1158" spans="1:6" x14ac:dyDescent="0.3">
      <c r="A1158" s="2">
        <v>42487</v>
      </c>
      <c r="B1158" s="1">
        <v>24.454999999999998</v>
      </c>
      <c r="C1158" s="1">
        <v>606.57010000000002</v>
      </c>
      <c r="D1158" s="22">
        <f t="shared" ref="D1158:D1221" si="64">$M$16*B1158+(1-$M$16)*C1158</f>
        <v>331.99653398669369</v>
      </c>
      <c r="E1158" s="23">
        <f t="shared" ref="E1158:E1221" si="65">D1158-D1159</f>
        <v>-6.216868543029932</v>
      </c>
      <c r="F1158" s="23">
        <f t="shared" ref="F1158:F1221" si="66">-E1158</f>
        <v>6.216868543029932</v>
      </c>
    </row>
    <row r="1159" spans="1:6" x14ac:dyDescent="0.3">
      <c r="A1159" s="2">
        <v>42486</v>
      </c>
      <c r="B1159" s="1">
        <v>26.087499999999999</v>
      </c>
      <c r="C1159" s="1">
        <v>616.87990000000002</v>
      </c>
      <c r="D1159" s="22">
        <f t="shared" si="64"/>
        <v>338.21340252972362</v>
      </c>
      <c r="E1159" s="23">
        <f t="shared" si="65"/>
        <v>-5.0100530405530321</v>
      </c>
      <c r="F1159" s="23">
        <f t="shared" si="66"/>
        <v>5.0100530405530321</v>
      </c>
    </row>
    <row r="1160" spans="1:6" x14ac:dyDescent="0.3">
      <c r="A1160" s="2">
        <v>42485</v>
      </c>
      <c r="B1160" s="1">
        <v>26.27</v>
      </c>
      <c r="C1160" s="1">
        <v>626.20000000000005</v>
      </c>
      <c r="D1160" s="22">
        <f t="shared" si="64"/>
        <v>343.22345557027666</v>
      </c>
      <c r="E1160" s="23">
        <f t="shared" si="65"/>
        <v>2.9406567684332003</v>
      </c>
      <c r="F1160" s="23">
        <f t="shared" si="66"/>
        <v>-2.9406567684332003</v>
      </c>
    </row>
    <row r="1161" spans="1:6" x14ac:dyDescent="0.3">
      <c r="A1161" s="2">
        <v>42482</v>
      </c>
      <c r="B1161" s="1">
        <v>26.42</v>
      </c>
      <c r="C1161" s="1">
        <v>620.5</v>
      </c>
      <c r="D1161" s="22">
        <f t="shared" si="64"/>
        <v>340.28279880184346</v>
      </c>
      <c r="E1161" s="23">
        <f t="shared" si="65"/>
        <v>-5.5815296500576324</v>
      </c>
      <c r="F1161" s="23">
        <f t="shared" si="66"/>
        <v>5.5815296500576324</v>
      </c>
    </row>
    <row r="1162" spans="1:6" x14ac:dyDescent="0.3">
      <c r="A1162" s="2">
        <v>42481</v>
      </c>
      <c r="B1162" s="1">
        <v>26.4925</v>
      </c>
      <c r="C1162" s="1">
        <v>631</v>
      </c>
      <c r="D1162" s="22">
        <f t="shared" si="64"/>
        <v>345.86432845190109</v>
      </c>
      <c r="E1162" s="23">
        <f t="shared" si="65"/>
        <v>-1.1881395737326557</v>
      </c>
      <c r="F1162" s="23">
        <f t="shared" si="66"/>
        <v>1.1881395737326557</v>
      </c>
    </row>
    <row r="1163" spans="1:6" x14ac:dyDescent="0.3">
      <c r="A1163" s="2">
        <v>42480</v>
      </c>
      <c r="B1163" s="1">
        <v>26.782499999999999</v>
      </c>
      <c r="C1163" s="1">
        <v>632.99</v>
      </c>
      <c r="D1163" s="22">
        <f t="shared" si="64"/>
        <v>347.05246802563374</v>
      </c>
      <c r="E1163" s="23">
        <f t="shared" si="65"/>
        <v>2.7151309221773658</v>
      </c>
      <c r="F1163" s="23">
        <f t="shared" si="66"/>
        <v>-2.7151309221773658</v>
      </c>
    </row>
    <row r="1164" spans="1:6" x14ac:dyDescent="0.3">
      <c r="A1164" s="2">
        <v>42479</v>
      </c>
      <c r="B1164" s="1">
        <v>26.727499999999999</v>
      </c>
      <c r="C1164" s="1">
        <v>627.8999</v>
      </c>
      <c r="D1164" s="22">
        <f t="shared" si="64"/>
        <v>344.33733710345638</v>
      </c>
      <c r="E1164" s="23">
        <f t="shared" si="65"/>
        <v>-4.003285037039177</v>
      </c>
      <c r="F1164" s="23">
        <f t="shared" si="66"/>
        <v>4.003285037039177</v>
      </c>
    </row>
    <row r="1165" spans="1:6" x14ac:dyDescent="0.3">
      <c r="A1165" s="2">
        <v>42478</v>
      </c>
      <c r="B1165" s="1">
        <v>26.87</v>
      </c>
      <c r="C1165" s="1">
        <v>635.3501</v>
      </c>
      <c r="D1165" s="22">
        <f t="shared" si="64"/>
        <v>348.34062214049555</v>
      </c>
      <c r="E1165" s="23">
        <f t="shared" si="65"/>
        <v>4.7185162899193642</v>
      </c>
      <c r="F1165" s="23">
        <f t="shared" si="66"/>
        <v>-4.7185162899193642</v>
      </c>
    </row>
    <row r="1166" spans="1:6" x14ac:dyDescent="0.3">
      <c r="A1166" s="2">
        <v>42475</v>
      </c>
      <c r="B1166" s="1">
        <v>27.462499999999999</v>
      </c>
      <c r="C1166" s="1">
        <v>625.88990000000001</v>
      </c>
      <c r="D1166" s="22">
        <f t="shared" si="64"/>
        <v>343.62210585057619</v>
      </c>
      <c r="E1166" s="23">
        <f t="shared" si="65"/>
        <v>2.4501771207373508</v>
      </c>
      <c r="F1166" s="23">
        <f t="shared" si="66"/>
        <v>-2.4501771207373508</v>
      </c>
    </row>
    <row r="1167" spans="1:6" x14ac:dyDescent="0.3">
      <c r="A1167" s="2">
        <v>42474</v>
      </c>
      <c r="B1167" s="1">
        <v>28.024999999999999</v>
      </c>
      <c r="C1167" s="1">
        <v>620.75</v>
      </c>
      <c r="D1167" s="22">
        <f t="shared" si="64"/>
        <v>341.17192872983884</v>
      </c>
      <c r="E1167" s="23">
        <f t="shared" si="65"/>
        <v>3.1399445674539379</v>
      </c>
      <c r="F1167" s="23">
        <f t="shared" si="66"/>
        <v>-3.1399445674539379</v>
      </c>
    </row>
    <row r="1168" spans="1:6" x14ac:dyDescent="0.3">
      <c r="A1168" s="2">
        <v>42473</v>
      </c>
      <c r="B1168" s="1">
        <v>28.01</v>
      </c>
      <c r="C1168" s="1">
        <v>614.82010000000002</v>
      </c>
      <c r="D1168" s="22">
        <f t="shared" si="64"/>
        <v>338.0319841623849</v>
      </c>
      <c r="E1168" s="23">
        <f t="shared" si="65"/>
        <v>6.3436763720046088</v>
      </c>
      <c r="F1168" s="23">
        <f t="shared" si="66"/>
        <v>-6.3436763720046088</v>
      </c>
    </row>
    <row r="1169" spans="1:6" x14ac:dyDescent="0.3">
      <c r="A1169" s="2">
        <v>42472</v>
      </c>
      <c r="B1169" s="1">
        <v>27.61</v>
      </c>
      <c r="C1169" s="1">
        <v>603.16989999999998</v>
      </c>
      <c r="D1169" s="22">
        <f t="shared" si="64"/>
        <v>331.68830779038029</v>
      </c>
      <c r="E1169" s="23">
        <f t="shared" si="65"/>
        <v>3.9924652736174835</v>
      </c>
      <c r="F1169" s="23">
        <f t="shared" si="66"/>
        <v>-3.9924652736174835</v>
      </c>
    </row>
    <row r="1170" spans="1:6" x14ac:dyDescent="0.3">
      <c r="A1170" s="2">
        <v>42471</v>
      </c>
      <c r="B1170" s="1">
        <v>27.254999999999999</v>
      </c>
      <c r="C1170" s="1">
        <v>595.92989999999998</v>
      </c>
      <c r="D1170" s="22">
        <f t="shared" si="64"/>
        <v>327.69584251676281</v>
      </c>
      <c r="E1170" s="23">
        <f t="shared" si="65"/>
        <v>0.74500790794928662</v>
      </c>
      <c r="F1170" s="23">
        <f t="shared" si="66"/>
        <v>-0.74500790794928662</v>
      </c>
    </row>
    <row r="1171" spans="1:6" x14ac:dyDescent="0.3">
      <c r="A1171" s="2">
        <v>42468</v>
      </c>
      <c r="B1171" s="1">
        <v>27.164999999999999</v>
      </c>
      <c r="C1171" s="1">
        <v>594.6001</v>
      </c>
      <c r="D1171" s="22">
        <f t="shared" si="64"/>
        <v>326.95083460881352</v>
      </c>
      <c r="E1171" s="23">
        <f t="shared" si="65"/>
        <v>1.6890222879032422</v>
      </c>
      <c r="F1171" s="23">
        <f t="shared" si="66"/>
        <v>-1.6890222879032422</v>
      </c>
    </row>
    <row r="1172" spans="1:6" x14ac:dyDescent="0.3">
      <c r="A1172" s="2">
        <v>42467</v>
      </c>
      <c r="B1172" s="1">
        <v>27.135000000000002</v>
      </c>
      <c r="C1172" s="1">
        <v>591.42989999999998</v>
      </c>
      <c r="D1172" s="22">
        <f t="shared" si="64"/>
        <v>325.26181232091028</v>
      </c>
      <c r="E1172" s="23">
        <f t="shared" si="65"/>
        <v>-5.9120539094469677</v>
      </c>
      <c r="F1172" s="23">
        <f t="shared" si="66"/>
        <v>5.9120539094469677</v>
      </c>
    </row>
    <row r="1173" spans="1:6" x14ac:dyDescent="0.3">
      <c r="A1173" s="2">
        <v>42466</v>
      </c>
      <c r="B1173" s="1">
        <v>27.74</v>
      </c>
      <c r="C1173" s="1">
        <v>602.08010000000002</v>
      </c>
      <c r="D1173" s="22">
        <f t="shared" si="64"/>
        <v>331.17386623035725</v>
      </c>
      <c r="E1173" s="23">
        <f t="shared" si="65"/>
        <v>8.5570937092741701</v>
      </c>
      <c r="F1173" s="23">
        <f t="shared" si="66"/>
        <v>-8.5570937092741701</v>
      </c>
    </row>
    <row r="1174" spans="1:6" x14ac:dyDescent="0.3">
      <c r="A1174" s="2">
        <v>42465</v>
      </c>
      <c r="B1174" s="1">
        <v>27.452500000000001</v>
      </c>
      <c r="C1174" s="1">
        <v>586.13990000000001</v>
      </c>
      <c r="D1174" s="22">
        <f t="shared" si="64"/>
        <v>322.61677252108308</v>
      </c>
      <c r="E1174" s="23">
        <f t="shared" si="65"/>
        <v>-3.8791136967165585</v>
      </c>
      <c r="F1174" s="23">
        <f t="shared" si="66"/>
        <v>3.8791136967165585</v>
      </c>
    </row>
    <row r="1175" spans="1:6" x14ac:dyDescent="0.3">
      <c r="A1175" s="2">
        <v>42464</v>
      </c>
      <c r="B1175" s="1">
        <v>27.78</v>
      </c>
      <c r="C1175" s="1">
        <v>593.18989999999997</v>
      </c>
      <c r="D1175" s="22">
        <f t="shared" si="64"/>
        <v>326.49588621779964</v>
      </c>
      <c r="E1175" s="23">
        <f t="shared" si="65"/>
        <v>-2.672167870622161</v>
      </c>
      <c r="F1175" s="23">
        <f t="shared" si="66"/>
        <v>2.672167870622161</v>
      </c>
    </row>
    <row r="1176" spans="1:6" x14ac:dyDescent="0.3">
      <c r="A1176" s="2">
        <v>42461</v>
      </c>
      <c r="B1176" s="1">
        <v>27.497499999999999</v>
      </c>
      <c r="C1176" s="1">
        <v>598.5</v>
      </c>
      <c r="D1176" s="22">
        <f t="shared" si="64"/>
        <v>329.1680540884218</v>
      </c>
      <c r="E1176" s="23">
        <f t="shared" si="65"/>
        <v>2.6855960287442713</v>
      </c>
      <c r="F1176" s="23">
        <f t="shared" si="66"/>
        <v>-2.6855960287442713</v>
      </c>
    </row>
    <row r="1177" spans="1:6" x14ac:dyDescent="0.3">
      <c r="A1177" s="2">
        <v>42460</v>
      </c>
      <c r="B1177" s="1">
        <v>27.247499999999999</v>
      </c>
      <c r="C1177" s="1">
        <v>593.63990000000001</v>
      </c>
      <c r="D1177" s="22">
        <f t="shared" si="64"/>
        <v>326.48245805967753</v>
      </c>
      <c r="E1177" s="23">
        <f t="shared" si="65"/>
        <v>-2.7352176224078448</v>
      </c>
      <c r="F1177" s="23">
        <f t="shared" si="66"/>
        <v>2.7352176224078448</v>
      </c>
    </row>
    <row r="1178" spans="1:6" x14ac:dyDescent="0.3">
      <c r="A1178" s="2">
        <v>42459</v>
      </c>
      <c r="B1178" s="1">
        <v>27.39</v>
      </c>
      <c r="C1178" s="1">
        <v>598.68989999999997</v>
      </c>
      <c r="D1178" s="22">
        <f t="shared" si="64"/>
        <v>329.21767568208537</v>
      </c>
      <c r="E1178" s="23">
        <f t="shared" si="65"/>
        <v>2.7733581844469768</v>
      </c>
      <c r="F1178" s="23">
        <f t="shared" si="66"/>
        <v>-2.7733581844469768</v>
      </c>
    </row>
    <row r="1179" spans="1:6" x14ac:dyDescent="0.3">
      <c r="A1179" s="2">
        <v>42458</v>
      </c>
      <c r="B1179" s="1">
        <v>26.92</v>
      </c>
      <c r="C1179" s="1">
        <v>593.86009999999999</v>
      </c>
      <c r="D1179" s="22">
        <f t="shared" si="64"/>
        <v>326.44431749763839</v>
      </c>
      <c r="E1179" s="23">
        <f t="shared" si="65"/>
        <v>7.6847827952188936</v>
      </c>
      <c r="F1179" s="23">
        <f t="shared" si="66"/>
        <v>-7.6847827952188936</v>
      </c>
    </row>
    <row r="1180" spans="1:6" x14ac:dyDescent="0.3">
      <c r="A1180" s="2">
        <v>42457</v>
      </c>
      <c r="B1180" s="1">
        <v>26.297499999999999</v>
      </c>
      <c r="C1180" s="1">
        <v>579.87009999999998</v>
      </c>
      <c r="D1180" s="22">
        <f t="shared" si="64"/>
        <v>318.7595347024195</v>
      </c>
      <c r="E1180" s="23">
        <f t="shared" si="65"/>
        <v>-1.6837666613479314</v>
      </c>
      <c r="F1180" s="23">
        <f t="shared" si="66"/>
        <v>1.6837666613479314</v>
      </c>
    </row>
    <row r="1181" spans="1:6" x14ac:dyDescent="0.3">
      <c r="A1181" s="2">
        <v>42454</v>
      </c>
      <c r="B1181" s="1">
        <v>26.4175</v>
      </c>
      <c r="C1181" s="1">
        <v>582.95000000000005</v>
      </c>
      <c r="D1181" s="22">
        <f t="shared" si="64"/>
        <v>320.44330136376743</v>
      </c>
      <c r="E1181" s="23">
        <f t="shared" si="65"/>
        <v>0</v>
      </c>
      <c r="F1181" s="23">
        <f t="shared" si="66"/>
        <v>0</v>
      </c>
    </row>
    <row r="1182" spans="1:6" x14ac:dyDescent="0.3">
      <c r="A1182" s="2">
        <v>42453</v>
      </c>
      <c r="B1182" s="1">
        <v>26.4175</v>
      </c>
      <c r="C1182" s="1">
        <v>582.95000000000005</v>
      </c>
      <c r="D1182" s="22">
        <f t="shared" si="64"/>
        <v>320.44330136376743</v>
      </c>
      <c r="E1182" s="23">
        <f t="shared" si="65"/>
        <v>6.9829970512096793</v>
      </c>
      <c r="F1182" s="23">
        <f t="shared" si="66"/>
        <v>-6.9829970512096793</v>
      </c>
    </row>
    <row r="1183" spans="1:6" x14ac:dyDescent="0.3">
      <c r="A1183" s="2">
        <v>42452</v>
      </c>
      <c r="B1183" s="1">
        <v>26.532499999999999</v>
      </c>
      <c r="C1183" s="1">
        <v>569.62990000000002</v>
      </c>
      <c r="D1183" s="22">
        <f t="shared" si="64"/>
        <v>313.46030431255775</v>
      </c>
      <c r="E1183" s="23">
        <f t="shared" si="65"/>
        <v>4.7644781604839181</v>
      </c>
      <c r="F1183" s="23">
        <f t="shared" si="66"/>
        <v>-4.7644781604839181</v>
      </c>
    </row>
    <row r="1184" spans="1:6" x14ac:dyDescent="0.3">
      <c r="A1184" s="2">
        <v>42451</v>
      </c>
      <c r="B1184" s="1">
        <v>26.68</v>
      </c>
      <c r="C1184" s="1">
        <v>560.48</v>
      </c>
      <c r="D1184" s="22">
        <f t="shared" si="64"/>
        <v>308.69582615207383</v>
      </c>
      <c r="E1184" s="23">
        <f t="shared" si="65"/>
        <v>3.5295788032834139</v>
      </c>
      <c r="F1184" s="23">
        <f t="shared" si="66"/>
        <v>-3.5295788032834139</v>
      </c>
    </row>
    <row r="1185" spans="1:6" x14ac:dyDescent="0.3">
      <c r="A1185" s="2">
        <v>42450</v>
      </c>
      <c r="B1185" s="1">
        <v>26.477499999999999</v>
      </c>
      <c r="C1185" s="1">
        <v>553.98</v>
      </c>
      <c r="D1185" s="22">
        <f t="shared" si="64"/>
        <v>305.16624734879042</v>
      </c>
      <c r="E1185" s="23">
        <f t="shared" si="65"/>
        <v>1.0025710147465361</v>
      </c>
      <c r="F1185" s="23">
        <f t="shared" si="66"/>
        <v>-1.0025710147465361</v>
      </c>
    </row>
    <row r="1186" spans="1:6" x14ac:dyDescent="0.3">
      <c r="A1186" s="2">
        <v>42447</v>
      </c>
      <c r="B1186" s="1">
        <v>26.48</v>
      </c>
      <c r="C1186" s="1">
        <v>552.08010000000002</v>
      </c>
      <c r="D1186" s="22">
        <f t="shared" si="64"/>
        <v>304.16367633404388</v>
      </c>
      <c r="E1186" s="23">
        <f t="shared" si="65"/>
        <v>-3.8741598952764775</v>
      </c>
      <c r="F1186" s="23">
        <f t="shared" si="66"/>
        <v>3.8741598952764775</v>
      </c>
    </row>
    <row r="1187" spans="1:6" x14ac:dyDescent="0.3">
      <c r="A1187" s="2">
        <v>42446</v>
      </c>
      <c r="B1187" s="1">
        <v>26.45</v>
      </c>
      <c r="C1187" s="1">
        <v>559.43989999999997</v>
      </c>
      <c r="D1187" s="22">
        <f t="shared" si="64"/>
        <v>308.03783622932036</v>
      </c>
      <c r="E1187" s="23">
        <f t="shared" si="65"/>
        <v>-7.8550463297235069</v>
      </c>
      <c r="F1187" s="23">
        <f t="shared" si="66"/>
        <v>7.8550463297235069</v>
      </c>
    </row>
    <row r="1188" spans="1:6" x14ac:dyDescent="0.3">
      <c r="A1188" s="2">
        <v>42445</v>
      </c>
      <c r="B1188" s="1">
        <v>26.4925</v>
      </c>
      <c r="C1188" s="1">
        <v>574.27</v>
      </c>
      <c r="D1188" s="22">
        <f t="shared" si="64"/>
        <v>315.89288255904387</v>
      </c>
      <c r="E1188" s="23">
        <f t="shared" si="65"/>
        <v>-1.2889631350806212</v>
      </c>
      <c r="F1188" s="23">
        <f t="shared" si="66"/>
        <v>1.2889631350806212</v>
      </c>
    </row>
    <row r="1189" spans="1:6" x14ac:dyDescent="0.3">
      <c r="A1189" s="2">
        <v>42444</v>
      </c>
      <c r="B1189" s="1">
        <v>26.145</v>
      </c>
      <c r="C1189" s="1">
        <v>577.02</v>
      </c>
      <c r="D1189" s="22">
        <f t="shared" si="64"/>
        <v>317.18184569412449</v>
      </c>
      <c r="E1189" s="23">
        <f t="shared" si="65"/>
        <v>2.1712222057026906</v>
      </c>
      <c r="F1189" s="23">
        <f t="shared" si="66"/>
        <v>-2.1712222057026906</v>
      </c>
    </row>
    <row r="1190" spans="1:6" x14ac:dyDescent="0.3">
      <c r="A1190" s="2">
        <v>42443</v>
      </c>
      <c r="B1190" s="1">
        <v>25.63</v>
      </c>
      <c r="C1190" s="1">
        <v>573.37009999999998</v>
      </c>
      <c r="D1190" s="22">
        <f t="shared" si="64"/>
        <v>315.0106234884218</v>
      </c>
      <c r="E1190" s="23">
        <f t="shared" si="65"/>
        <v>2.0171327793779028</v>
      </c>
      <c r="F1190" s="23">
        <f t="shared" si="66"/>
        <v>-2.0171327793779028</v>
      </c>
    </row>
    <row r="1191" spans="1:6" x14ac:dyDescent="0.3">
      <c r="A1191" s="2">
        <v>42440</v>
      </c>
      <c r="B1191" s="1">
        <v>25.565000000000001</v>
      </c>
      <c r="C1191" s="1">
        <v>569.61009999999999</v>
      </c>
      <c r="D1191" s="22">
        <f t="shared" si="64"/>
        <v>312.9934907090439</v>
      </c>
      <c r="E1191" s="23">
        <f t="shared" si="65"/>
        <v>5.7710689656105956</v>
      </c>
      <c r="F1191" s="23">
        <f t="shared" si="66"/>
        <v>-5.7710689656105956</v>
      </c>
    </row>
    <row r="1192" spans="1:6" x14ac:dyDescent="0.3">
      <c r="A1192" s="2">
        <v>42439</v>
      </c>
      <c r="B1192" s="1">
        <v>25.2925</v>
      </c>
      <c r="C1192" s="1">
        <v>558.92989999999998</v>
      </c>
      <c r="D1192" s="22">
        <f t="shared" si="64"/>
        <v>307.2224217434333</v>
      </c>
      <c r="E1192" s="23">
        <f t="shared" si="65"/>
        <v>-0.27944819320282477</v>
      </c>
      <c r="F1192" s="23">
        <f t="shared" si="66"/>
        <v>0.27944819320282477</v>
      </c>
    </row>
    <row r="1193" spans="1:6" x14ac:dyDescent="0.3">
      <c r="A1193" s="2">
        <v>42438</v>
      </c>
      <c r="B1193" s="1">
        <v>25.28</v>
      </c>
      <c r="C1193" s="1">
        <v>559.47</v>
      </c>
      <c r="D1193" s="22">
        <f t="shared" si="64"/>
        <v>307.50186993663613</v>
      </c>
      <c r="E1193" s="23">
        <f t="shared" si="65"/>
        <v>-0.4067578845045432</v>
      </c>
      <c r="F1193" s="23">
        <f t="shared" si="66"/>
        <v>0.4067578845045432</v>
      </c>
    </row>
    <row r="1194" spans="1:6" x14ac:dyDescent="0.3">
      <c r="A1194" s="2">
        <v>42437</v>
      </c>
      <c r="B1194" s="1">
        <v>25.2575</v>
      </c>
      <c r="C1194" s="1">
        <v>560.26</v>
      </c>
      <c r="D1194" s="22">
        <f t="shared" si="64"/>
        <v>307.90862782114067</v>
      </c>
      <c r="E1194" s="23">
        <f t="shared" si="65"/>
        <v>-1.4409795334101432</v>
      </c>
      <c r="F1194" s="23">
        <f t="shared" si="66"/>
        <v>1.4409795334101432</v>
      </c>
    </row>
    <row r="1195" spans="1:6" x14ac:dyDescent="0.3">
      <c r="A1195" s="2">
        <v>42436</v>
      </c>
      <c r="B1195" s="1">
        <v>25.467500000000001</v>
      </c>
      <c r="C1195" s="1">
        <v>562.79999999999995</v>
      </c>
      <c r="D1195" s="22">
        <f t="shared" si="64"/>
        <v>309.34960735455081</v>
      </c>
      <c r="E1195" s="23">
        <f t="shared" si="65"/>
        <v>-6.6538133808179509</v>
      </c>
      <c r="F1195" s="23">
        <f t="shared" si="66"/>
        <v>6.6538133808179509</v>
      </c>
    </row>
    <row r="1196" spans="1:6" x14ac:dyDescent="0.3">
      <c r="A1196" s="2">
        <v>42433</v>
      </c>
      <c r="B1196" s="1">
        <v>25.752500000000001</v>
      </c>
      <c r="C1196" s="1">
        <v>575.13990000000001</v>
      </c>
      <c r="D1196" s="22">
        <f t="shared" si="64"/>
        <v>316.00342073536876</v>
      </c>
      <c r="E1196" s="23">
        <f t="shared" si="65"/>
        <v>-1.0635385301843598</v>
      </c>
      <c r="F1196" s="23">
        <f t="shared" si="66"/>
        <v>1.0635385301843598</v>
      </c>
    </row>
    <row r="1197" spans="1:6" x14ac:dyDescent="0.3">
      <c r="A1197" s="2">
        <v>42432</v>
      </c>
      <c r="B1197" s="1">
        <v>25.375</v>
      </c>
      <c r="C1197" s="1">
        <v>577.49</v>
      </c>
      <c r="D1197" s="22">
        <f t="shared" si="64"/>
        <v>317.06695926555312</v>
      </c>
      <c r="E1197" s="23">
        <f t="shared" si="65"/>
        <v>-1.348582829781094</v>
      </c>
      <c r="F1197" s="23">
        <f t="shared" si="66"/>
        <v>1.348582829781094</v>
      </c>
    </row>
    <row r="1198" spans="1:6" x14ac:dyDescent="0.3">
      <c r="A1198" s="2">
        <v>42431</v>
      </c>
      <c r="B1198" s="1">
        <v>25.1875</v>
      </c>
      <c r="C1198" s="1">
        <v>580.21</v>
      </c>
      <c r="D1198" s="22">
        <f t="shared" si="64"/>
        <v>318.41554209533422</v>
      </c>
      <c r="E1198" s="23">
        <f t="shared" si="65"/>
        <v>0.6440738968893811</v>
      </c>
      <c r="F1198" s="23">
        <f t="shared" si="66"/>
        <v>-0.6440738968893811</v>
      </c>
    </row>
    <row r="1199" spans="1:6" x14ac:dyDescent="0.3">
      <c r="A1199" s="2">
        <v>42430</v>
      </c>
      <c r="B1199" s="1">
        <v>25.1325</v>
      </c>
      <c r="C1199" s="1">
        <v>579.04</v>
      </c>
      <c r="D1199" s="22">
        <f t="shared" si="64"/>
        <v>317.77146819844484</v>
      </c>
      <c r="E1199" s="23">
        <f t="shared" si="65"/>
        <v>14.46379264976963</v>
      </c>
      <c r="F1199" s="23">
        <f t="shared" si="66"/>
        <v>-14.46379264976963</v>
      </c>
    </row>
    <row r="1200" spans="1:6" x14ac:dyDescent="0.3">
      <c r="A1200" s="2">
        <v>42429</v>
      </c>
      <c r="B1200" s="1">
        <v>24.172499999999999</v>
      </c>
      <c r="C1200" s="1">
        <v>552.52</v>
      </c>
      <c r="D1200" s="22">
        <f t="shared" si="64"/>
        <v>303.30767554867521</v>
      </c>
      <c r="E1200" s="23">
        <f t="shared" si="65"/>
        <v>-1.4576826872120137</v>
      </c>
      <c r="F1200" s="23">
        <f t="shared" si="66"/>
        <v>1.4576826872120137</v>
      </c>
    </row>
    <row r="1201" spans="1:6" x14ac:dyDescent="0.3">
      <c r="A1201" s="2">
        <v>42426</v>
      </c>
      <c r="B1201" s="1">
        <v>24.227499999999999</v>
      </c>
      <c r="C1201" s="1">
        <v>555.23</v>
      </c>
      <c r="D1201" s="22">
        <f t="shared" si="64"/>
        <v>304.76535823588722</v>
      </c>
      <c r="E1201" s="23">
        <f t="shared" si="65"/>
        <v>6.0006321082994418E-2</v>
      </c>
      <c r="F1201" s="23">
        <f t="shared" si="66"/>
        <v>-6.0006321082994418E-2</v>
      </c>
    </row>
    <row r="1202" spans="1:6" x14ac:dyDescent="0.3">
      <c r="A1202" s="2">
        <v>42425</v>
      </c>
      <c r="B1202" s="1">
        <v>24.19</v>
      </c>
      <c r="C1202" s="1">
        <v>555.1499</v>
      </c>
      <c r="D1202" s="22">
        <f t="shared" si="64"/>
        <v>304.70535191480423</v>
      </c>
      <c r="E1202" s="23">
        <f t="shared" si="65"/>
        <v>0.66420710777651948</v>
      </c>
      <c r="F1202" s="23">
        <f t="shared" si="66"/>
        <v>-0.66420710777651948</v>
      </c>
    </row>
    <row r="1203" spans="1:6" x14ac:dyDescent="0.3">
      <c r="A1203" s="2">
        <v>42424</v>
      </c>
      <c r="B1203" s="1">
        <v>24.024999999999999</v>
      </c>
      <c r="C1203" s="1">
        <v>554.04</v>
      </c>
      <c r="D1203" s="22">
        <f t="shared" si="64"/>
        <v>304.04114480702771</v>
      </c>
      <c r="E1203" s="23">
        <f t="shared" si="65"/>
        <v>0.7474700854838261</v>
      </c>
      <c r="F1203" s="23">
        <f t="shared" si="66"/>
        <v>-0.7474700854838261</v>
      </c>
    </row>
    <row r="1204" spans="1:6" x14ac:dyDescent="0.3">
      <c r="A1204" s="2">
        <v>42423</v>
      </c>
      <c r="B1204" s="1">
        <v>23.672499999999999</v>
      </c>
      <c r="C1204" s="1">
        <v>552.93989999999997</v>
      </c>
      <c r="D1204" s="22">
        <f t="shared" si="64"/>
        <v>303.29367472154388</v>
      </c>
      <c r="E1204" s="23">
        <f t="shared" si="65"/>
        <v>-3.724061177073736</v>
      </c>
      <c r="F1204" s="23">
        <f t="shared" si="66"/>
        <v>3.724061177073736</v>
      </c>
    </row>
    <row r="1205" spans="1:6" x14ac:dyDescent="0.3">
      <c r="A1205" s="2">
        <v>42422</v>
      </c>
      <c r="B1205" s="1">
        <v>24.22</v>
      </c>
      <c r="C1205" s="1">
        <v>559.5</v>
      </c>
      <c r="D1205" s="22">
        <f t="shared" si="64"/>
        <v>307.01773589861762</v>
      </c>
      <c r="E1205" s="23">
        <f t="shared" si="65"/>
        <v>13.095714127822532</v>
      </c>
      <c r="F1205" s="23">
        <f t="shared" si="66"/>
        <v>-13.095714127822532</v>
      </c>
    </row>
    <row r="1206" spans="1:6" x14ac:dyDescent="0.3">
      <c r="A1206" s="2">
        <v>42419</v>
      </c>
      <c r="B1206" s="1">
        <v>24.01</v>
      </c>
      <c r="C1206" s="1">
        <v>534.8999</v>
      </c>
      <c r="D1206" s="22">
        <f t="shared" si="64"/>
        <v>293.92202177079508</v>
      </c>
      <c r="E1206" s="23">
        <f t="shared" si="65"/>
        <v>5.2043468485599647</v>
      </c>
      <c r="F1206" s="23">
        <f t="shared" si="66"/>
        <v>-5.2043468485599647</v>
      </c>
    </row>
    <row r="1207" spans="1:6" x14ac:dyDescent="0.3">
      <c r="A1207" s="2">
        <v>42418</v>
      </c>
      <c r="B1207" s="1">
        <v>24.065000000000001</v>
      </c>
      <c r="C1207" s="1">
        <v>525</v>
      </c>
      <c r="D1207" s="22">
        <f t="shared" si="64"/>
        <v>288.71767492223512</v>
      </c>
      <c r="E1207" s="23">
        <f t="shared" si="65"/>
        <v>-5.0270735489055483</v>
      </c>
      <c r="F1207" s="23">
        <f t="shared" si="66"/>
        <v>5.0270735489055483</v>
      </c>
    </row>
    <row r="1208" spans="1:6" x14ac:dyDescent="0.3">
      <c r="A1208" s="2">
        <v>42417</v>
      </c>
      <c r="B1208" s="1">
        <v>24.53</v>
      </c>
      <c r="C1208" s="1">
        <v>534.1001</v>
      </c>
      <c r="D1208" s="22">
        <f t="shared" si="64"/>
        <v>293.74474847114067</v>
      </c>
      <c r="E1208" s="23">
        <f t="shared" si="65"/>
        <v>7.0426487154377924</v>
      </c>
      <c r="F1208" s="23">
        <f t="shared" si="66"/>
        <v>-7.0426487154377924</v>
      </c>
    </row>
    <row r="1209" spans="1:6" x14ac:dyDescent="0.3">
      <c r="A1209" s="2">
        <v>42416</v>
      </c>
      <c r="B1209" s="1">
        <v>24.16</v>
      </c>
      <c r="C1209" s="1">
        <v>521.1001</v>
      </c>
      <c r="D1209" s="22">
        <f t="shared" si="64"/>
        <v>286.70209975570287</v>
      </c>
      <c r="E1209" s="23">
        <f t="shared" si="65"/>
        <v>7.7194996212557498</v>
      </c>
      <c r="F1209" s="23">
        <f t="shared" si="66"/>
        <v>-7.7194996212557498</v>
      </c>
    </row>
    <row r="1210" spans="1:6" x14ac:dyDescent="0.3">
      <c r="A1210" s="2">
        <v>42415</v>
      </c>
      <c r="B1210" s="1">
        <v>23.497499999999999</v>
      </c>
      <c r="C1210" s="1">
        <v>507.08010000000002</v>
      </c>
      <c r="D1210" s="22">
        <f t="shared" si="64"/>
        <v>278.98260013444713</v>
      </c>
      <c r="E1210" s="23">
        <f t="shared" si="65"/>
        <v>0</v>
      </c>
      <c r="F1210" s="23">
        <f t="shared" si="66"/>
        <v>0</v>
      </c>
    </row>
    <row r="1211" spans="1:6" x14ac:dyDescent="0.3">
      <c r="A1211" s="2">
        <v>42412</v>
      </c>
      <c r="B1211" s="1">
        <v>23.497499999999999</v>
      </c>
      <c r="C1211" s="1">
        <v>507.08010000000002</v>
      </c>
      <c r="D1211" s="22">
        <f t="shared" si="64"/>
        <v>278.98260013444713</v>
      </c>
      <c r="E1211" s="23">
        <f t="shared" si="65"/>
        <v>1.756511700748888</v>
      </c>
      <c r="F1211" s="23">
        <f t="shared" si="66"/>
        <v>-1.756511700748888</v>
      </c>
    </row>
    <row r="1212" spans="1:6" x14ac:dyDescent="0.3">
      <c r="A1212" s="2">
        <v>42411</v>
      </c>
      <c r="B1212" s="1">
        <v>23.425000000000001</v>
      </c>
      <c r="C1212" s="1">
        <v>503.82010000000002</v>
      </c>
      <c r="D1212" s="22">
        <f t="shared" si="64"/>
        <v>277.22608843369824</v>
      </c>
      <c r="E1212" s="23">
        <f t="shared" si="65"/>
        <v>6.9805921275345213</v>
      </c>
      <c r="F1212" s="23">
        <f t="shared" si="66"/>
        <v>-6.9805921275345213</v>
      </c>
    </row>
    <row r="1213" spans="1:6" x14ac:dyDescent="0.3">
      <c r="A1213" s="2">
        <v>42410</v>
      </c>
      <c r="B1213" s="1">
        <v>23.567499999999999</v>
      </c>
      <c r="C1213" s="1">
        <v>490.48</v>
      </c>
      <c r="D1213" s="22">
        <f t="shared" si="64"/>
        <v>270.24549630616372</v>
      </c>
      <c r="E1213" s="23">
        <f t="shared" si="65"/>
        <v>4.3581936025921664</v>
      </c>
      <c r="F1213" s="23">
        <f t="shared" si="66"/>
        <v>-4.3581936025921664</v>
      </c>
    </row>
    <row r="1214" spans="1:6" x14ac:dyDescent="0.3">
      <c r="A1214" s="2">
        <v>42409</v>
      </c>
      <c r="B1214" s="1">
        <v>23.747499999999999</v>
      </c>
      <c r="C1214" s="1">
        <v>482.07010000000002</v>
      </c>
      <c r="D1214" s="22">
        <f t="shared" si="64"/>
        <v>265.88730270357155</v>
      </c>
      <c r="E1214" s="23">
        <f t="shared" si="65"/>
        <v>-3.1881123127880073</v>
      </c>
      <c r="F1214" s="23">
        <f t="shared" si="66"/>
        <v>3.1881123127880073</v>
      </c>
    </row>
    <row r="1215" spans="1:6" x14ac:dyDescent="0.3">
      <c r="A1215" s="2">
        <v>42408</v>
      </c>
      <c r="B1215" s="1">
        <v>23.752500000000001</v>
      </c>
      <c r="C1215" s="1">
        <v>488.1001</v>
      </c>
      <c r="D1215" s="22">
        <f t="shared" si="64"/>
        <v>269.07541501635956</v>
      </c>
      <c r="E1215" s="23">
        <f t="shared" si="65"/>
        <v>-7.2954459623848038</v>
      </c>
      <c r="F1215" s="23">
        <f t="shared" si="66"/>
        <v>7.2954459623848038</v>
      </c>
    </row>
    <row r="1216" spans="1:6" x14ac:dyDescent="0.3">
      <c r="A1216" s="2">
        <v>42405</v>
      </c>
      <c r="B1216" s="1">
        <v>23.504999999999999</v>
      </c>
      <c r="C1216" s="1">
        <v>502.12990000000002</v>
      </c>
      <c r="D1216" s="22">
        <f t="shared" si="64"/>
        <v>276.37086097874436</v>
      </c>
      <c r="E1216" s="23">
        <f t="shared" si="65"/>
        <v>-18.335760847292647</v>
      </c>
      <c r="F1216" s="23">
        <f t="shared" si="66"/>
        <v>18.335760847292647</v>
      </c>
    </row>
    <row r="1217" spans="1:6" x14ac:dyDescent="0.3">
      <c r="A1217" s="2">
        <v>42404</v>
      </c>
      <c r="B1217" s="1">
        <v>24.15</v>
      </c>
      <c r="C1217" s="1">
        <v>536.26</v>
      </c>
      <c r="D1217" s="22">
        <f t="shared" si="64"/>
        <v>294.70662182603701</v>
      </c>
      <c r="E1217" s="23">
        <f t="shared" si="65"/>
        <v>2.7713946178571973</v>
      </c>
      <c r="F1217" s="23">
        <f t="shared" si="66"/>
        <v>-2.7713946178571973</v>
      </c>
    </row>
    <row r="1218" spans="1:6" x14ac:dyDescent="0.3">
      <c r="A1218" s="2">
        <v>42403</v>
      </c>
      <c r="B1218" s="1">
        <v>24.087499999999999</v>
      </c>
      <c r="C1218" s="1">
        <v>531.07010000000002</v>
      </c>
      <c r="D1218" s="22">
        <f t="shared" si="64"/>
        <v>291.93522720817981</v>
      </c>
      <c r="E1218" s="23">
        <f t="shared" si="65"/>
        <v>-10.890003227246609</v>
      </c>
      <c r="F1218" s="23">
        <f t="shared" si="66"/>
        <v>10.890003227246609</v>
      </c>
    </row>
    <row r="1219" spans="1:6" x14ac:dyDescent="0.3">
      <c r="A1219" s="2">
        <v>42402</v>
      </c>
      <c r="B1219" s="1">
        <v>23.62</v>
      </c>
      <c r="C1219" s="1">
        <v>552.1001</v>
      </c>
      <c r="D1219" s="22">
        <f t="shared" si="64"/>
        <v>302.82523043542642</v>
      </c>
      <c r="E1219" s="23">
        <f t="shared" si="65"/>
        <v>-12.228033339573756</v>
      </c>
      <c r="F1219" s="23">
        <f t="shared" si="66"/>
        <v>12.228033339573756</v>
      </c>
    </row>
    <row r="1220" spans="1:6" x14ac:dyDescent="0.3">
      <c r="A1220" s="2">
        <v>42401</v>
      </c>
      <c r="B1220" s="1">
        <v>24.107500000000002</v>
      </c>
      <c r="C1220" s="1">
        <v>574.81010000000003</v>
      </c>
      <c r="D1220" s="22">
        <f t="shared" si="64"/>
        <v>315.05326377500018</v>
      </c>
      <c r="E1220" s="23">
        <f t="shared" si="65"/>
        <v>-6.5474440216589187</v>
      </c>
      <c r="F1220" s="23">
        <f t="shared" si="66"/>
        <v>6.5474440216589187</v>
      </c>
    </row>
    <row r="1221" spans="1:6" x14ac:dyDescent="0.3">
      <c r="A1221" s="2">
        <v>42398</v>
      </c>
      <c r="B1221" s="1">
        <v>24.335000000000001</v>
      </c>
      <c r="C1221" s="1">
        <v>587</v>
      </c>
      <c r="D1221" s="22">
        <f t="shared" si="64"/>
        <v>321.60070779665909</v>
      </c>
      <c r="E1221" s="23">
        <f t="shared" si="65"/>
        <v>-25.160956827995392</v>
      </c>
      <c r="F1221" s="23">
        <f t="shared" si="66"/>
        <v>25.160956827995392</v>
      </c>
    </row>
    <row r="1222" spans="1:6" x14ac:dyDescent="0.3">
      <c r="A1222" s="2">
        <v>42397</v>
      </c>
      <c r="B1222" s="1">
        <v>23.522500000000001</v>
      </c>
      <c r="C1222" s="1">
        <v>635.3501</v>
      </c>
      <c r="D1222" s="22">
        <f t="shared" ref="D1222:D1285" si="67">$M$16*B1222+(1-$M$16)*C1222</f>
        <v>346.76166462465449</v>
      </c>
      <c r="E1222" s="23">
        <f t="shared" ref="E1222:E1285" si="68">D1222-D1223</f>
        <v>27.551511444412426</v>
      </c>
      <c r="F1222" s="23">
        <f t="shared" ref="F1222:F1285" si="69">-E1222</f>
        <v>-27.551511444412426</v>
      </c>
    </row>
    <row r="1223" spans="1:6" x14ac:dyDescent="0.3">
      <c r="A1223" s="2">
        <v>42396</v>
      </c>
      <c r="B1223" s="1">
        <v>23.355</v>
      </c>
      <c r="C1223" s="1">
        <v>583.3501</v>
      </c>
      <c r="D1223" s="22">
        <f t="shared" si="67"/>
        <v>319.21015318024206</v>
      </c>
      <c r="E1223" s="23">
        <f t="shared" si="68"/>
        <v>-10.23156723882488</v>
      </c>
      <c r="F1223" s="23">
        <f t="shared" si="69"/>
        <v>10.23156723882488</v>
      </c>
    </row>
    <row r="1224" spans="1:6" x14ac:dyDescent="0.3">
      <c r="A1224" s="2">
        <v>42395</v>
      </c>
      <c r="B1224" s="1">
        <v>24.997499999999999</v>
      </c>
      <c r="C1224" s="1">
        <v>601.25</v>
      </c>
      <c r="D1224" s="22">
        <f t="shared" si="67"/>
        <v>329.44172041906694</v>
      </c>
      <c r="E1224" s="23">
        <f t="shared" si="68"/>
        <v>2.5585144686060062</v>
      </c>
      <c r="F1224" s="23">
        <f t="shared" si="69"/>
        <v>-2.5585144686060062</v>
      </c>
    </row>
    <row r="1225" spans="1:6" x14ac:dyDescent="0.3">
      <c r="A1225" s="2">
        <v>42394</v>
      </c>
      <c r="B1225" s="1">
        <v>24.86</v>
      </c>
      <c r="C1225" s="1">
        <v>596.53</v>
      </c>
      <c r="D1225" s="22">
        <f t="shared" si="67"/>
        <v>326.88320595046093</v>
      </c>
      <c r="E1225" s="23">
        <f t="shared" si="68"/>
        <v>-0.15418244763827715</v>
      </c>
      <c r="F1225" s="23">
        <f t="shared" si="69"/>
        <v>0.15418244763827715</v>
      </c>
    </row>
    <row r="1226" spans="1:6" x14ac:dyDescent="0.3">
      <c r="A1226" s="2">
        <v>42391</v>
      </c>
      <c r="B1226" s="1">
        <v>25.355</v>
      </c>
      <c r="C1226" s="1">
        <v>596.37990000000002</v>
      </c>
      <c r="D1226" s="22">
        <f t="shared" si="67"/>
        <v>327.03738839809921</v>
      </c>
      <c r="E1226" s="23">
        <f t="shared" si="68"/>
        <v>11.888560486232734</v>
      </c>
      <c r="F1226" s="23">
        <f t="shared" si="69"/>
        <v>-11.888560486232734</v>
      </c>
    </row>
    <row r="1227" spans="1:6" x14ac:dyDescent="0.3">
      <c r="A1227" s="2">
        <v>42390</v>
      </c>
      <c r="B1227" s="1">
        <v>24.074999999999999</v>
      </c>
      <c r="C1227" s="1">
        <v>575.02</v>
      </c>
      <c r="D1227" s="22">
        <f t="shared" si="67"/>
        <v>315.14882791186648</v>
      </c>
      <c r="E1227" s="23">
        <f t="shared" si="68"/>
        <v>1.6592504190668365</v>
      </c>
      <c r="F1227" s="23">
        <f t="shared" si="69"/>
        <v>-1.6592504190668365</v>
      </c>
    </row>
    <row r="1228" spans="1:6" x14ac:dyDescent="0.3">
      <c r="A1228" s="2">
        <v>42389</v>
      </c>
      <c r="B1228" s="1">
        <v>24.197500000000002</v>
      </c>
      <c r="C1228" s="1">
        <v>571.77</v>
      </c>
      <c r="D1228" s="22">
        <f t="shared" si="67"/>
        <v>313.48957749279964</v>
      </c>
      <c r="E1228" s="23">
        <f t="shared" si="68"/>
        <v>-1.4164104593893967</v>
      </c>
      <c r="F1228" s="23">
        <f t="shared" si="69"/>
        <v>1.4164104593893967</v>
      </c>
    </row>
    <row r="1229" spans="1:6" x14ac:dyDescent="0.3">
      <c r="A1229" s="2">
        <v>42388</v>
      </c>
      <c r="B1229" s="1">
        <v>24.164999999999999</v>
      </c>
      <c r="C1229" s="1">
        <v>574.48</v>
      </c>
      <c r="D1229" s="22">
        <f t="shared" si="67"/>
        <v>314.90598795218904</v>
      </c>
      <c r="E1229" s="23">
        <f t="shared" si="68"/>
        <v>2.2163949299538785</v>
      </c>
      <c r="F1229" s="23">
        <f t="shared" si="69"/>
        <v>-2.2163949299538785</v>
      </c>
    </row>
    <row r="1230" spans="1:6" x14ac:dyDescent="0.3">
      <c r="A1230" s="2">
        <v>42387</v>
      </c>
      <c r="B1230" s="1">
        <v>24.282499999999999</v>
      </c>
      <c r="C1230" s="1">
        <v>570.17989999999998</v>
      </c>
      <c r="D1230" s="22">
        <f t="shared" si="67"/>
        <v>312.68959302223516</v>
      </c>
      <c r="E1230" s="23">
        <f t="shared" si="68"/>
        <v>0</v>
      </c>
      <c r="F1230" s="23">
        <f t="shared" si="69"/>
        <v>0</v>
      </c>
    </row>
    <row r="1231" spans="1:6" x14ac:dyDescent="0.3">
      <c r="A1231" s="2">
        <v>42384</v>
      </c>
      <c r="B1231" s="1">
        <v>24.282499999999999</v>
      </c>
      <c r="C1231" s="1">
        <v>570.17989999999998</v>
      </c>
      <c r="D1231" s="22">
        <f t="shared" si="67"/>
        <v>312.68959302223516</v>
      </c>
      <c r="E1231" s="23">
        <f t="shared" si="68"/>
        <v>-12.338086171313364</v>
      </c>
      <c r="F1231" s="23">
        <f t="shared" si="69"/>
        <v>12.338086171313364</v>
      </c>
    </row>
    <row r="1232" spans="1:6" x14ac:dyDescent="0.3">
      <c r="A1232" s="2">
        <v>42383</v>
      </c>
      <c r="B1232" s="1">
        <v>24.88</v>
      </c>
      <c r="C1232" s="1">
        <v>593</v>
      </c>
      <c r="D1232" s="22">
        <f t="shared" si="67"/>
        <v>325.02767919354852</v>
      </c>
      <c r="E1232" s="23">
        <f t="shared" si="68"/>
        <v>6.162989819469999</v>
      </c>
      <c r="F1232" s="23">
        <f t="shared" si="69"/>
        <v>-6.162989819469999</v>
      </c>
    </row>
    <row r="1233" spans="1:6" x14ac:dyDescent="0.3">
      <c r="A1233" s="2">
        <v>42382</v>
      </c>
      <c r="B1233" s="1">
        <v>24.3475</v>
      </c>
      <c r="C1233" s="1">
        <v>581.81010000000003</v>
      </c>
      <c r="D1233" s="22">
        <f t="shared" si="67"/>
        <v>318.86468937407852</v>
      </c>
      <c r="E1233" s="23">
        <f t="shared" si="68"/>
        <v>-19.364642068375531</v>
      </c>
      <c r="F1233" s="23">
        <f t="shared" si="69"/>
        <v>19.364642068375531</v>
      </c>
    </row>
    <row r="1234" spans="1:6" x14ac:dyDescent="0.3">
      <c r="A1234" s="2">
        <v>42381</v>
      </c>
      <c r="B1234" s="1">
        <v>24.99</v>
      </c>
      <c r="C1234" s="1">
        <v>617.88990000000001</v>
      </c>
      <c r="D1234" s="22">
        <f t="shared" si="67"/>
        <v>338.22933144245405</v>
      </c>
      <c r="E1234" s="23">
        <f t="shared" si="68"/>
        <v>0.24782130852537421</v>
      </c>
      <c r="F1234" s="23">
        <f t="shared" si="69"/>
        <v>-0.24782130852537421</v>
      </c>
    </row>
    <row r="1235" spans="1:6" x14ac:dyDescent="0.3">
      <c r="A1235" s="2">
        <v>42380</v>
      </c>
      <c r="B1235" s="1">
        <v>24.6325</v>
      </c>
      <c r="C1235" s="1">
        <v>617.74</v>
      </c>
      <c r="D1235" s="22">
        <f t="shared" si="67"/>
        <v>337.98151013392868</v>
      </c>
      <c r="E1235" s="23">
        <f t="shared" si="68"/>
        <v>5.8328483885368883</v>
      </c>
      <c r="F1235" s="23">
        <f t="shared" si="69"/>
        <v>-5.8328483885368883</v>
      </c>
    </row>
    <row r="1236" spans="1:6" x14ac:dyDescent="0.3">
      <c r="A1236" s="2">
        <v>42377</v>
      </c>
      <c r="B1236" s="1">
        <v>24.24</v>
      </c>
      <c r="C1236" s="1">
        <v>607.04999999999995</v>
      </c>
      <c r="D1236" s="22">
        <f t="shared" si="67"/>
        <v>332.14866174539179</v>
      </c>
      <c r="E1236" s="23">
        <f t="shared" si="68"/>
        <v>-0.41001011900925732</v>
      </c>
      <c r="F1236" s="23">
        <f t="shared" si="69"/>
        <v>0.41001011900925732</v>
      </c>
    </row>
    <row r="1237" spans="1:6" x14ac:dyDescent="0.3">
      <c r="A1237" s="2">
        <v>42376</v>
      </c>
      <c r="B1237" s="1">
        <v>24.112500000000001</v>
      </c>
      <c r="C1237" s="1">
        <v>607.93989999999997</v>
      </c>
      <c r="D1237" s="22">
        <f t="shared" si="67"/>
        <v>332.55867186440105</v>
      </c>
      <c r="E1237" s="23">
        <f t="shared" si="68"/>
        <v>-13.555885629320301</v>
      </c>
      <c r="F1237" s="23">
        <f t="shared" si="69"/>
        <v>13.555885629320301</v>
      </c>
    </row>
    <row r="1238" spans="1:6" x14ac:dyDescent="0.3">
      <c r="A1238" s="2">
        <v>42375</v>
      </c>
      <c r="B1238" s="1">
        <v>25.175000000000001</v>
      </c>
      <c r="C1238" s="1">
        <v>632.6499</v>
      </c>
      <c r="D1238" s="22">
        <f t="shared" si="67"/>
        <v>346.11455749372135</v>
      </c>
      <c r="E1238" s="23">
        <f t="shared" si="68"/>
        <v>-0.83935517188933773</v>
      </c>
      <c r="F1238" s="23">
        <f t="shared" si="69"/>
        <v>0.83935517188933773</v>
      </c>
    </row>
    <row r="1239" spans="1:6" x14ac:dyDescent="0.3">
      <c r="A1239" s="2">
        <v>42374</v>
      </c>
      <c r="B1239" s="1">
        <v>25.677499999999998</v>
      </c>
      <c r="C1239" s="1">
        <v>633.79</v>
      </c>
      <c r="D1239" s="22">
        <f t="shared" si="67"/>
        <v>346.95391266561069</v>
      </c>
      <c r="E1239" s="23">
        <f t="shared" si="68"/>
        <v>-2.0019261866360125</v>
      </c>
      <c r="F1239" s="23">
        <f t="shared" si="69"/>
        <v>2.0019261866360125</v>
      </c>
    </row>
    <row r="1240" spans="1:6" x14ac:dyDescent="0.3">
      <c r="A1240" s="2">
        <v>42373</v>
      </c>
      <c r="B1240" s="1">
        <v>26.337499999999999</v>
      </c>
      <c r="C1240" s="1">
        <v>636.99</v>
      </c>
      <c r="D1240" s="22">
        <f t="shared" si="67"/>
        <v>348.9558388522467</v>
      </c>
      <c r="E1240" s="23">
        <f t="shared" si="68"/>
        <v>-20.540881026267243</v>
      </c>
      <c r="F1240" s="23">
        <f t="shared" si="69"/>
        <v>20.540881026267243</v>
      </c>
    </row>
    <row r="1241" spans="1:6" x14ac:dyDescent="0.3">
      <c r="A1241" s="2">
        <v>42370</v>
      </c>
      <c r="B1241" s="1">
        <v>26.315000000000001</v>
      </c>
      <c r="C1241" s="1">
        <v>675.88990000000001</v>
      </c>
      <c r="D1241" s="22">
        <f t="shared" si="67"/>
        <v>369.49671987851394</v>
      </c>
      <c r="E1241" s="23">
        <f t="shared" si="68"/>
        <v>0</v>
      </c>
      <c r="F1241" s="23">
        <f t="shared" si="69"/>
        <v>0</v>
      </c>
    </row>
    <row r="1242" spans="1:6" x14ac:dyDescent="0.3">
      <c r="A1242" s="2">
        <v>42369</v>
      </c>
      <c r="B1242" s="1">
        <v>26.315000000000001</v>
      </c>
      <c r="C1242" s="1">
        <v>675.88990000000001</v>
      </c>
      <c r="D1242" s="22">
        <f t="shared" si="67"/>
        <v>369.49671987851394</v>
      </c>
      <c r="E1242" s="23">
        <f t="shared" si="68"/>
        <v>-7.2062454877880668</v>
      </c>
      <c r="F1242" s="23">
        <f t="shared" si="69"/>
        <v>7.2062454877880668</v>
      </c>
    </row>
    <row r="1243" spans="1:6" x14ac:dyDescent="0.3">
      <c r="A1243" s="2">
        <v>42368</v>
      </c>
      <c r="B1243" s="1">
        <v>26.83</v>
      </c>
      <c r="C1243" s="1">
        <v>689.07010000000002</v>
      </c>
      <c r="D1243" s="22">
        <f t="shared" si="67"/>
        <v>376.70296536630201</v>
      </c>
      <c r="E1243" s="23">
        <f t="shared" si="68"/>
        <v>-2.7561497345046178</v>
      </c>
      <c r="F1243" s="23">
        <f t="shared" si="69"/>
        <v>2.7561497345046178</v>
      </c>
    </row>
    <row r="1244" spans="1:6" x14ac:dyDescent="0.3">
      <c r="A1244" s="2">
        <v>42367</v>
      </c>
      <c r="B1244" s="1">
        <v>27.184999999999999</v>
      </c>
      <c r="C1244" s="1">
        <v>693.97</v>
      </c>
      <c r="D1244" s="22">
        <f t="shared" si="67"/>
        <v>379.45911510080663</v>
      </c>
      <c r="E1244" s="23">
        <f t="shared" si="68"/>
        <v>10.142925178571488</v>
      </c>
      <c r="F1244" s="23">
        <f t="shared" si="69"/>
        <v>-10.142925178571488</v>
      </c>
    </row>
    <row r="1245" spans="1:6" x14ac:dyDescent="0.3">
      <c r="A1245" s="2">
        <v>42366</v>
      </c>
      <c r="B1245" s="1">
        <v>26.704999999999998</v>
      </c>
      <c r="C1245" s="1">
        <v>675.2</v>
      </c>
      <c r="D1245" s="22">
        <f t="shared" si="67"/>
        <v>369.31618992223514</v>
      </c>
      <c r="E1245" s="23">
        <f t="shared" si="68"/>
        <v>6.4137349006336422</v>
      </c>
      <c r="F1245" s="23">
        <f t="shared" si="69"/>
        <v>-6.4137349006336422</v>
      </c>
    </row>
    <row r="1246" spans="1:6" x14ac:dyDescent="0.3">
      <c r="A1246" s="2">
        <v>42363</v>
      </c>
      <c r="B1246" s="1">
        <v>27.0075</v>
      </c>
      <c r="C1246" s="1">
        <v>662.79</v>
      </c>
      <c r="D1246" s="22">
        <f t="shared" si="67"/>
        <v>362.9024550216015</v>
      </c>
      <c r="E1246" s="23">
        <f t="shared" si="68"/>
        <v>0</v>
      </c>
      <c r="F1246" s="23">
        <f t="shared" si="69"/>
        <v>0</v>
      </c>
    </row>
    <row r="1247" spans="1:6" x14ac:dyDescent="0.3">
      <c r="A1247" s="2">
        <v>42362</v>
      </c>
      <c r="B1247" s="1">
        <v>27.0075</v>
      </c>
      <c r="C1247" s="1">
        <v>662.79</v>
      </c>
      <c r="D1247" s="22">
        <f t="shared" si="67"/>
        <v>362.9024550216015</v>
      </c>
      <c r="E1247" s="23">
        <f t="shared" si="68"/>
        <v>-0.54916280817980123</v>
      </c>
      <c r="F1247" s="23">
        <f t="shared" si="69"/>
        <v>0.54916280817980123</v>
      </c>
    </row>
    <row r="1248" spans="1:6" x14ac:dyDescent="0.3">
      <c r="A1248" s="2">
        <v>42361</v>
      </c>
      <c r="B1248" s="1">
        <v>27.1525</v>
      </c>
      <c r="C1248" s="1">
        <v>663.7</v>
      </c>
      <c r="D1248" s="22">
        <f t="shared" si="67"/>
        <v>363.4516178297813</v>
      </c>
      <c r="E1248" s="23">
        <f t="shared" si="68"/>
        <v>0.45335789798394899</v>
      </c>
      <c r="F1248" s="23">
        <f t="shared" si="69"/>
        <v>-0.45335789798394899</v>
      </c>
    </row>
    <row r="1249" spans="1:6" x14ac:dyDescent="0.3">
      <c r="A1249" s="2">
        <v>42360</v>
      </c>
      <c r="B1249" s="1">
        <v>26.807500000000001</v>
      </c>
      <c r="C1249" s="1">
        <v>663.1499</v>
      </c>
      <c r="D1249" s="22">
        <f t="shared" si="67"/>
        <v>362.99825993179735</v>
      </c>
      <c r="E1249" s="23">
        <f t="shared" si="68"/>
        <v>-0.73035655581799119</v>
      </c>
      <c r="F1249" s="23">
        <f t="shared" si="69"/>
        <v>0.73035655581799119</v>
      </c>
    </row>
    <row r="1250" spans="1:6" x14ac:dyDescent="0.3">
      <c r="A1250" s="2">
        <v>42359</v>
      </c>
      <c r="B1250" s="1">
        <v>26.8325</v>
      </c>
      <c r="C1250" s="1">
        <v>664.51</v>
      </c>
      <c r="D1250" s="22">
        <f t="shared" si="67"/>
        <v>363.72861648761534</v>
      </c>
      <c r="E1250" s="23">
        <f t="shared" si="68"/>
        <v>0.34882711457373716</v>
      </c>
      <c r="F1250" s="23">
        <f t="shared" si="69"/>
        <v>-0.34882711457373716</v>
      </c>
    </row>
    <row r="1251" spans="1:6" x14ac:dyDescent="0.3">
      <c r="A1251" s="2">
        <v>42356</v>
      </c>
      <c r="B1251" s="1">
        <v>26.5075</v>
      </c>
      <c r="C1251" s="1">
        <v>664.13990000000001</v>
      </c>
      <c r="D1251" s="22">
        <f t="shared" si="67"/>
        <v>363.3797893730416</v>
      </c>
      <c r="E1251" s="23">
        <f t="shared" si="68"/>
        <v>-3.7872121702188792</v>
      </c>
      <c r="F1251" s="23">
        <f t="shared" si="69"/>
        <v>3.7872121702188792</v>
      </c>
    </row>
    <row r="1252" spans="1:6" x14ac:dyDescent="0.3">
      <c r="A1252" s="2">
        <v>42355</v>
      </c>
      <c r="B1252" s="1">
        <v>27.245000000000001</v>
      </c>
      <c r="C1252" s="1">
        <v>670.6499</v>
      </c>
      <c r="D1252" s="22">
        <f t="shared" si="67"/>
        <v>367.16700154326048</v>
      </c>
      <c r="E1252" s="23">
        <f t="shared" si="68"/>
        <v>-2.9833306370391597</v>
      </c>
      <c r="F1252" s="23">
        <f t="shared" si="69"/>
        <v>2.9833306370391597</v>
      </c>
    </row>
    <row r="1253" spans="1:6" x14ac:dyDescent="0.3">
      <c r="A1253" s="2">
        <v>42354</v>
      </c>
      <c r="B1253" s="1">
        <v>27.835000000000001</v>
      </c>
      <c r="C1253" s="1">
        <v>675.77</v>
      </c>
      <c r="D1253" s="22">
        <f t="shared" si="67"/>
        <v>370.15033218029964</v>
      </c>
      <c r="E1253" s="23">
        <f t="shared" si="68"/>
        <v>9.1503623838709132</v>
      </c>
      <c r="F1253" s="23">
        <f t="shared" si="69"/>
        <v>-9.1503623838709132</v>
      </c>
    </row>
    <row r="1254" spans="1:6" x14ac:dyDescent="0.3">
      <c r="A1254" s="2">
        <v>42353</v>
      </c>
      <c r="B1254" s="1">
        <v>27.622499999999999</v>
      </c>
      <c r="C1254" s="1">
        <v>658.63990000000001</v>
      </c>
      <c r="D1254" s="22">
        <f t="shared" si="67"/>
        <v>360.99996979642873</v>
      </c>
      <c r="E1254" s="23">
        <f t="shared" si="68"/>
        <v>0.15100960397467134</v>
      </c>
      <c r="F1254" s="23">
        <f t="shared" si="69"/>
        <v>-0.15100960397467134</v>
      </c>
    </row>
    <row r="1255" spans="1:6" x14ac:dyDescent="0.3">
      <c r="A1255" s="2">
        <v>42352</v>
      </c>
      <c r="B1255" s="1">
        <v>28.12</v>
      </c>
      <c r="C1255" s="1">
        <v>657.90989999999999</v>
      </c>
      <c r="D1255" s="22">
        <f t="shared" si="67"/>
        <v>360.84896019245406</v>
      </c>
      <c r="E1255" s="23">
        <f t="shared" si="68"/>
        <v>9.3003725028801796</v>
      </c>
      <c r="F1255" s="23">
        <f t="shared" si="69"/>
        <v>-9.3003725028801796</v>
      </c>
    </row>
    <row r="1256" spans="1:6" x14ac:dyDescent="0.3">
      <c r="A1256" s="2">
        <v>42349</v>
      </c>
      <c r="B1256" s="1">
        <v>28.295000000000002</v>
      </c>
      <c r="C1256" s="1">
        <v>640.1499</v>
      </c>
      <c r="D1256" s="22">
        <f t="shared" si="67"/>
        <v>351.54858768957388</v>
      </c>
      <c r="E1256" s="23">
        <f t="shared" si="68"/>
        <v>-12.065485086002298</v>
      </c>
      <c r="F1256" s="23">
        <f t="shared" si="69"/>
        <v>12.065485086002298</v>
      </c>
    </row>
    <row r="1257" spans="1:6" x14ac:dyDescent="0.3">
      <c r="A1257" s="2">
        <v>42348</v>
      </c>
      <c r="B1257" s="1">
        <v>29.0425</v>
      </c>
      <c r="C1257" s="1">
        <v>662.32010000000002</v>
      </c>
      <c r="D1257" s="22">
        <f t="shared" si="67"/>
        <v>363.61407277557618</v>
      </c>
      <c r="E1257" s="23">
        <f t="shared" si="68"/>
        <v>-1.240034779147436</v>
      </c>
      <c r="F1257" s="23">
        <f t="shared" si="69"/>
        <v>1.240034779147436</v>
      </c>
    </row>
    <row r="1258" spans="1:6" x14ac:dyDescent="0.3">
      <c r="A1258" s="2">
        <v>42347</v>
      </c>
      <c r="B1258" s="1">
        <v>28.905000000000001</v>
      </c>
      <c r="C1258" s="1">
        <v>664.79</v>
      </c>
      <c r="D1258" s="22">
        <f t="shared" si="67"/>
        <v>364.85410755472361</v>
      </c>
      <c r="E1258" s="23">
        <f t="shared" si="68"/>
        <v>-6.9329258804147571</v>
      </c>
      <c r="F1258" s="23">
        <f t="shared" si="69"/>
        <v>6.9329258804147571</v>
      </c>
    </row>
    <row r="1259" spans="1:6" x14ac:dyDescent="0.3">
      <c r="A1259" s="2">
        <v>42346</v>
      </c>
      <c r="B1259" s="1">
        <v>29.557500000000001</v>
      </c>
      <c r="C1259" s="1">
        <v>677.33010000000002</v>
      </c>
      <c r="D1259" s="22">
        <f t="shared" si="67"/>
        <v>371.78703343513837</v>
      </c>
      <c r="E1259" s="23">
        <f t="shared" si="68"/>
        <v>3.9564844398041146</v>
      </c>
      <c r="F1259" s="23">
        <f t="shared" si="69"/>
        <v>-3.9564844398041146</v>
      </c>
    </row>
    <row r="1260" spans="1:6" x14ac:dyDescent="0.3">
      <c r="A1260" s="2">
        <v>42345</v>
      </c>
      <c r="B1260" s="1">
        <v>29.57</v>
      </c>
      <c r="C1260" s="1">
        <v>669.83010000000002</v>
      </c>
      <c r="D1260" s="22">
        <f t="shared" si="67"/>
        <v>367.83054899533425</v>
      </c>
      <c r="E1260" s="23">
        <f t="shared" si="68"/>
        <v>-1.572906708352491</v>
      </c>
      <c r="F1260" s="23">
        <f t="shared" si="69"/>
        <v>1.572906708352491</v>
      </c>
    </row>
    <row r="1261" spans="1:6" x14ac:dyDescent="0.3">
      <c r="A1261" s="2">
        <v>42342</v>
      </c>
      <c r="B1261" s="1">
        <v>29.7575</v>
      </c>
      <c r="C1261" s="1">
        <v>672.63990000000001</v>
      </c>
      <c r="D1261" s="22">
        <f t="shared" si="67"/>
        <v>369.40345570368675</v>
      </c>
      <c r="E1261" s="23">
        <f t="shared" si="68"/>
        <v>3.8275314237326938</v>
      </c>
      <c r="F1261" s="23">
        <f t="shared" si="69"/>
        <v>-3.8275314237326938</v>
      </c>
    </row>
    <row r="1262" spans="1:6" x14ac:dyDescent="0.3">
      <c r="A1262" s="2">
        <v>42341</v>
      </c>
      <c r="B1262" s="1">
        <v>28.8</v>
      </c>
      <c r="C1262" s="1">
        <v>666.25</v>
      </c>
      <c r="D1262" s="22">
        <f t="shared" si="67"/>
        <v>365.57592427995405</v>
      </c>
      <c r="E1262" s="23">
        <f t="shared" si="68"/>
        <v>-5.2837320910138033</v>
      </c>
      <c r="F1262" s="23">
        <f t="shared" si="69"/>
        <v>5.2837320910138033</v>
      </c>
    </row>
    <row r="1263" spans="1:6" x14ac:dyDescent="0.3">
      <c r="A1263" s="2">
        <v>42340</v>
      </c>
      <c r="B1263" s="1">
        <v>29.07</v>
      </c>
      <c r="C1263" s="1">
        <v>676.01</v>
      </c>
      <c r="D1263" s="22">
        <f t="shared" si="67"/>
        <v>370.85965637096785</v>
      </c>
      <c r="E1263" s="23">
        <f t="shared" si="68"/>
        <v>-1.736416780472382</v>
      </c>
      <c r="F1263" s="23">
        <f t="shared" si="69"/>
        <v>1.736416780472382</v>
      </c>
    </row>
    <row r="1264" spans="1:6" x14ac:dyDescent="0.3">
      <c r="A1264" s="2">
        <v>42339</v>
      </c>
      <c r="B1264" s="1">
        <v>29.335000000000001</v>
      </c>
      <c r="C1264" s="1">
        <v>679.06010000000003</v>
      </c>
      <c r="D1264" s="22">
        <f t="shared" si="67"/>
        <v>372.59607315144024</v>
      </c>
      <c r="E1264" s="23">
        <f t="shared" si="68"/>
        <v>7.4206550782834597</v>
      </c>
      <c r="F1264" s="23">
        <f t="shared" si="69"/>
        <v>-7.4206550782834597</v>
      </c>
    </row>
    <row r="1265" spans="1:6" x14ac:dyDescent="0.3">
      <c r="A1265" s="2">
        <v>42338</v>
      </c>
      <c r="B1265" s="1">
        <v>29.574999999999999</v>
      </c>
      <c r="C1265" s="1">
        <v>664.8</v>
      </c>
      <c r="D1265" s="22">
        <f t="shared" si="67"/>
        <v>365.17541807315678</v>
      </c>
      <c r="E1265" s="23">
        <f t="shared" si="68"/>
        <v>-4.4117840538594919</v>
      </c>
      <c r="F1265" s="23">
        <f t="shared" si="69"/>
        <v>4.4117840538594919</v>
      </c>
    </row>
    <row r="1266" spans="1:6" x14ac:dyDescent="0.3">
      <c r="A1266" s="2">
        <v>42335</v>
      </c>
      <c r="B1266" s="1">
        <v>29.452500000000001</v>
      </c>
      <c r="C1266" s="1">
        <v>673.26</v>
      </c>
      <c r="D1266" s="22">
        <f t="shared" si="67"/>
        <v>369.58720212701627</v>
      </c>
      <c r="E1266" s="23">
        <f t="shared" si="68"/>
        <v>-1.1248955592741936</v>
      </c>
      <c r="F1266" s="23">
        <f t="shared" si="69"/>
        <v>1.1248955592741936</v>
      </c>
    </row>
    <row r="1267" spans="1:6" x14ac:dyDescent="0.3">
      <c r="A1267" s="2">
        <v>42334</v>
      </c>
      <c r="B1267" s="1">
        <v>29.5075</v>
      </c>
      <c r="C1267" s="1">
        <v>675.34010000000001</v>
      </c>
      <c r="D1267" s="22">
        <f t="shared" si="67"/>
        <v>370.71209768629046</v>
      </c>
      <c r="E1267" s="23">
        <f t="shared" si="68"/>
        <v>0</v>
      </c>
      <c r="F1267" s="23">
        <f t="shared" si="69"/>
        <v>0</v>
      </c>
    </row>
    <row r="1268" spans="1:6" x14ac:dyDescent="0.3">
      <c r="A1268" s="2">
        <v>42333</v>
      </c>
      <c r="B1268" s="1">
        <v>29.5075</v>
      </c>
      <c r="C1268" s="1">
        <v>675.34010000000001</v>
      </c>
      <c r="D1268" s="22">
        <f t="shared" si="67"/>
        <v>370.71209768629046</v>
      </c>
      <c r="E1268" s="23">
        <f t="shared" si="68"/>
        <v>2.1135230007488417</v>
      </c>
      <c r="F1268" s="23">
        <f t="shared" si="69"/>
        <v>-2.1135230007488417</v>
      </c>
    </row>
    <row r="1269" spans="1:6" x14ac:dyDescent="0.3">
      <c r="A1269" s="2">
        <v>42332</v>
      </c>
      <c r="B1269" s="1">
        <v>29.72</v>
      </c>
      <c r="C1269" s="1">
        <v>671.1499</v>
      </c>
      <c r="D1269" s="22">
        <f t="shared" si="67"/>
        <v>368.59857468554162</v>
      </c>
      <c r="E1269" s="23">
        <f t="shared" si="68"/>
        <v>-4.0088108832949274</v>
      </c>
      <c r="F1269" s="23">
        <f t="shared" si="69"/>
        <v>4.0088108832949274</v>
      </c>
    </row>
    <row r="1270" spans="1:6" x14ac:dyDescent="0.3">
      <c r="A1270" s="2">
        <v>42331</v>
      </c>
      <c r="B1270" s="1">
        <v>29.4375</v>
      </c>
      <c r="C1270" s="1">
        <v>678.99</v>
      </c>
      <c r="D1270" s="22">
        <f t="shared" si="67"/>
        <v>372.60738556883655</v>
      </c>
      <c r="E1270" s="23">
        <f t="shared" si="68"/>
        <v>5.3856883482142734</v>
      </c>
      <c r="F1270" s="23">
        <f t="shared" si="69"/>
        <v>-5.3856883482142734</v>
      </c>
    </row>
    <row r="1271" spans="1:6" x14ac:dyDescent="0.3">
      <c r="A1271" s="2">
        <v>42328</v>
      </c>
      <c r="B1271" s="1">
        <v>29.824999999999999</v>
      </c>
      <c r="C1271" s="1">
        <v>668.45</v>
      </c>
      <c r="D1271" s="22">
        <f t="shared" si="67"/>
        <v>367.22169722062227</v>
      </c>
      <c r="E1271" s="23">
        <f t="shared" si="68"/>
        <v>3.8546376440092445</v>
      </c>
      <c r="F1271" s="23">
        <f t="shared" si="69"/>
        <v>-3.8546376440092445</v>
      </c>
    </row>
    <row r="1272" spans="1:6" x14ac:dyDescent="0.3">
      <c r="A1272" s="2">
        <v>42327</v>
      </c>
      <c r="B1272" s="1">
        <v>29.695</v>
      </c>
      <c r="C1272" s="1">
        <v>661.27</v>
      </c>
      <c r="D1272" s="22">
        <f t="shared" si="67"/>
        <v>363.36705957661303</v>
      </c>
      <c r="E1272" s="23">
        <f t="shared" si="68"/>
        <v>-1.0235787197580635</v>
      </c>
      <c r="F1272" s="23">
        <f t="shared" si="69"/>
        <v>1.0235787197580635</v>
      </c>
    </row>
    <row r="1273" spans="1:6" x14ac:dyDescent="0.3">
      <c r="A1273" s="2">
        <v>42326</v>
      </c>
      <c r="B1273" s="1">
        <v>29.322500000000002</v>
      </c>
      <c r="C1273" s="1">
        <v>663.54</v>
      </c>
      <c r="D1273" s="22">
        <f t="shared" si="67"/>
        <v>364.39063829637109</v>
      </c>
      <c r="E1273" s="23">
        <f t="shared" si="68"/>
        <v>11.117658444700453</v>
      </c>
      <c r="F1273" s="23">
        <f t="shared" si="69"/>
        <v>-11.117658444700453</v>
      </c>
    </row>
    <row r="1274" spans="1:6" x14ac:dyDescent="0.3">
      <c r="A1274" s="2">
        <v>42325</v>
      </c>
      <c r="B1274" s="1">
        <v>28.422499999999999</v>
      </c>
      <c r="C1274" s="1">
        <v>643.29999999999995</v>
      </c>
      <c r="D1274" s="22">
        <f t="shared" si="67"/>
        <v>353.27297985167064</v>
      </c>
      <c r="E1274" s="23">
        <f t="shared" si="68"/>
        <v>-2.4399322206797933</v>
      </c>
      <c r="F1274" s="23">
        <f t="shared" si="69"/>
        <v>2.4399322206797933</v>
      </c>
    </row>
    <row r="1275" spans="1:6" x14ac:dyDescent="0.3">
      <c r="A1275" s="2">
        <v>42324</v>
      </c>
      <c r="B1275" s="1">
        <v>28.543700000000001</v>
      </c>
      <c r="C1275" s="1">
        <v>647.81010000000003</v>
      </c>
      <c r="D1275" s="22">
        <f t="shared" si="67"/>
        <v>355.71291207235043</v>
      </c>
      <c r="E1275" s="23">
        <f t="shared" si="68"/>
        <v>3.1009737941820958</v>
      </c>
      <c r="F1275" s="23">
        <f t="shared" si="69"/>
        <v>-3.1009737941820958</v>
      </c>
    </row>
    <row r="1276" spans="1:6" x14ac:dyDescent="0.3">
      <c r="A1276" s="2">
        <v>42321</v>
      </c>
      <c r="B1276" s="1">
        <v>28.085000000000001</v>
      </c>
      <c r="C1276" s="1">
        <v>642.3501</v>
      </c>
      <c r="D1276" s="22">
        <f t="shared" si="67"/>
        <v>352.61193827816834</v>
      </c>
      <c r="E1276" s="23">
        <f t="shared" si="68"/>
        <v>-12.68195126440088</v>
      </c>
      <c r="F1276" s="23">
        <f t="shared" si="69"/>
        <v>12.68195126440088</v>
      </c>
    </row>
    <row r="1277" spans="1:6" x14ac:dyDescent="0.3">
      <c r="A1277" s="2">
        <v>42320</v>
      </c>
      <c r="B1277" s="1">
        <v>28.93</v>
      </c>
      <c r="C1277" s="1">
        <v>665.6001</v>
      </c>
      <c r="D1277" s="22">
        <f t="shared" si="67"/>
        <v>365.29388954256922</v>
      </c>
      <c r="E1277" s="23">
        <f t="shared" si="68"/>
        <v>-4.0875643039170768</v>
      </c>
      <c r="F1277" s="23">
        <f t="shared" si="69"/>
        <v>4.0875643039170768</v>
      </c>
    </row>
    <row r="1278" spans="1:6" x14ac:dyDescent="0.3">
      <c r="A1278" s="2">
        <v>42319</v>
      </c>
      <c r="B1278" s="1">
        <v>29.0275</v>
      </c>
      <c r="C1278" s="1">
        <v>673.25</v>
      </c>
      <c r="D1278" s="22">
        <f t="shared" si="67"/>
        <v>369.38145384648629</v>
      </c>
      <c r="E1278" s="23">
        <f t="shared" si="68"/>
        <v>7.0914922701036858</v>
      </c>
      <c r="F1278" s="23">
        <f t="shared" si="69"/>
        <v>-7.0914922701036858</v>
      </c>
    </row>
    <row r="1279" spans="1:6" x14ac:dyDescent="0.3">
      <c r="A1279" s="2">
        <v>42318</v>
      </c>
      <c r="B1279" s="1">
        <v>29.192499999999999</v>
      </c>
      <c r="C1279" s="1">
        <v>659.67989999999998</v>
      </c>
      <c r="D1279" s="22">
        <f t="shared" si="67"/>
        <v>362.28996157638261</v>
      </c>
      <c r="E1279" s="23">
        <f t="shared" si="68"/>
        <v>1.7654985853110361</v>
      </c>
      <c r="F1279" s="23">
        <f t="shared" si="69"/>
        <v>-1.7654985853110361</v>
      </c>
    </row>
    <row r="1280" spans="1:6" x14ac:dyDescent="0.3">
      <c r="A1280" s="2">
        <v>42317</v>
      </c>
      <c r="B1280" s="1">
        <v>30.142499999999998</v>
      </c>
      <c r="C1280" s="1">
        <v>655.49</v>
      </c>
      <c r="D1280" s="22">
        <f t="shared" si="67"/>
        <v>360.52446299107157</v>
      </c>
      <c r="E1280" s="23">
        <f t="shared" si="68"/>
        <v>-2.1077054483870938</v>
      </c>
      <c r="F1280" s="23">
        <f t="shared" si="69"/>
        <v>2.1077054483870938</v>
      </c>
    </row>
    <row r="1281" spans="1:6" x14ac:dyDescent="0.3">
      <c r="A1281" s="2">
        <v>42314</v>
      </c>
      <c r="B1281" s="1">
        <v>30.265000000000001</v>
      </c>
      <c r="C1281" s="1">
        <v>659.37009999999998</v>
      </c>
      <c r="D1281" s="22">
        <f t="shared" si="67"/>
        <v>362.63216843945867</v>
      </c>
      <c r="E1281" s="23">
        <f t="shared" si="68"/>
        <v>1.9819552688940121</v>
      </c>
      <c r="F1281" s="23">
        <f t="shared" si="69"/>
        <v>-1.9819552688940121</v>
      </c>
    </row>
    <row r="1282" spans="1:6" x14ac:dyDescent="0.3">
      <c r="A1282" s="2">
        <v>42313</v>
      </c>
      <c r="B1282" s="1">
        <v>30.23</v>
      </c>
      <c r="C1282" s="1">
        <v>655.6499</v>
      </c>
      <c r="D1282" s="22">
        <f t="shared" si="67"/>
        <v>360.65021317056465</v>
      </c>
      <c r="E1282" s="23">
        <f t="shared" si="68"/>
        <v>7.6388585910714255</v>
      </c>
      <c r="F1282" s="23">
        <f t="shared" si="69"/>
        <v>-7.6388585910714255</v>
      </c>
    </row>
    <row r="1283" spans="1:6" x14ac:dyDescent="0.3">
      <c r="A1283" s="2">
        <v>42312</v>
      </c>
      <c r="B1283" s="1">
        <v>30.5</v>
      </c>
      <c r="C1283" s="1">
        <v>640.95000000000005</v>
      </c>
      <c r="D1283" s="22">
        <f t="shared" si="67"/>
        <v>353.01135457949323</v>
      </c>
      <c r="E1283" s="23">
        <f t="shared" si="68"/>
        <v>8.1956164755760028</v>
      </c>
      <c r="F1283" s="23">
        <f t="shared" si="69"/>
        <v>-8.1956164755760028</v>
      </c>
    </row>
    <row r="1284" spans="1:6" x14ac:dyDescent="0.3">
      <c r="A1284" s="2">
        <v>42311</v>
      </c>
      <c r="B1284" s="1">
        <v>30.642499999999998</v>
      </c>
      <c r="C1284" s="1">
        <v>625.31010000000003</v>
      </c>
      <c r="D1284" s="22">
        <f t="shared" si="67"/>
        <v>344.81573810391723</v>
      </c>
      <c r="E1284" s="23">
        <f t="shared" si="68"/>
        <v>-1.4421751800114748</v>
      </c>
      <c r="F1284" s="23">
        <f t="shared" si="69"/>
        <v>1.4421751800114748</v>
      </c>
    </row>
    <row r="1285" spans="1:6" x14ac:dyDescent="0.3">
      <c r="A1285" s="2">
        <v>42310</v>
      </c>
      <c r="B1285" s="1">
        <v>30.295000000000002</v>
      </c>
      <c r="C1285" s="1">
        <v>628.3501</v>
      </c>
      <c r="D1285" s="22">
        <f t="shared" si="67"/>
        <v>346.2579132839287</v>
      </c>
      <c r="E1285" s="23">
        <f t="shared" si="68"/>
        <v>1.4925899779954079</v>
      </c>
      <c r="F1285" s="23">
        <f t="shared" si="69"/>
        <v>-1.4925899779954079</v>
      </c>
    </row>
    <row r="1286" spans="1:6" x14ac:dyDescent="0.3">
      <c r="A1286" s="2">
        <v>42307</v>
      </c>
      <c r="B1286" s="1">
        <v>29.875</v>
      </c>
      <c r="C1286" s="1">
        <v>625.8999</v>
      </c>
      <c r="D1286" s="22">
        <f t="shared" ref="D1286:D1304" si="70">$M$16*B1286+(1-$M$16)*C1286</f>
        <v>344.76532330593329</v>
      </c>
      <c r="E1286" s="23">
        <f t="shared" ref="E1286:E1303" si="71">D1286-D1287</f>
        <v>-0.46491740979263341</v>
      </c>
      <c r="F1286" s="23">
        <f t="shared" ref="F1286:F1303" si="72">-E1286</f>
        <v>0.46491740979263341</v>
      </c>
    </row>
    <row r="1287" spans="1:6" x14ac:dyDescent="0.3">
      <c r="A1287" s="2">
        <v>42306</v>
      </c>
      <c r="B1287" s="1">
        <v>30.1325</v>
      </c>
      <c r="C1287" s="1">
        <v>626.54999999999995</v>
      </c>
      <c r="D1287" s="22">
        <f t="shared" si="70"/>
        <v>345.23024071572593</v>
      </c>
      <c r="E1287" s="23">
        <f t="shared" si="71"/>
        <v>5.1411265835829454</v>
      </c>
      <c r="F1287" s="23">
        <f t="shared" si="72"/>
        <v>-5.1411265835829454</v>
      </c>
    </row>
    <row r="1288" spans="1:6" x14ac:dyDescent="0.3">
      <c r="A1288" s="2">
        <v>42305</v>
      </c>
      <c r="B1288" s="1">
        <v>29.817499999999999</v>
      </c>
      <c r="C1288" s="1">
        <v>617.1001</v>
      </c>
      <c r="D1288" s="22">
        <f t="shared" si="70"/>
        <v>340.08911413214298</v>
      </c>
      <c r="E1288" s="23">
        <f t="shared" si="71"/>
        <v>3.7740912476382391</v>
      </c>
      <c r="F1288" s="23">
        <f t="shared" si="72"/>
        <v>-3.7740912476382391</v>
      </c>
    </row>
    <row r="1289" spans="1:6" x14ac:dyDescent="0.3">
      <c r="A1289" s="2">
        <v>42304</v>
      </c>
      <c r="B1289" s="1">
        <v>28.637499999999999</v>
      </c>
      <c r="C1289" s="1">
        <v>611.01</v>
      </c>
      <c r="D1289" s="22">
        <f t="shared" si="70"/>
        <v>336.31502288450474</v>
      </c>
      <c r="E1289" s="23">
        <f t="shared" si="71"/>
        <v>1.1818268442396516</v>
      </c>
      <c r="F1289" s="23">
        <f t="shared" si="72"/>
        <v>-1.1818268442396516</v>
      </c>
    </row>
    <row r="1290" spans="1:6" x14ac:dyDescent="0.3">
      <c r="A1290" s="2">
        <v>42303</v>
      </c>
      <c r="B1290" s="1">
        <v>28.82</v>
      </c>
      <c r="C1290" s="1">
        <v>608.61009999999999</v>
      </c>
      <c r="D1290" s="22">
        <f t="shared" si="70"/>
        <v>335.13319604026509</v>
      </c>
      <c r="E1290" s="23">
        <f t="shared" si="71"/>
        <v>4.6132350149193826</v>
      </c>
      <c r="F1290" s="23">
        <f t="shared" si="72"/>
        <v>-4.6132350149193826</v>
      </c>
    </row>
    <row r="1291" spans="1:6" x14ac:dyDescent="0.3">
      <c r="A1291" s="2">
        <v>42300</v>
      </c>
      <c r="B1291" s="1">
        <v>29.77</v>
      </c>
      <c r="C1291" s="1">
        <v>599.03</v>
      </c>
      <c r="D1291" s="22">
        <f t="shared" si="70"/>
        <v>330.51996102534571</v>
      </c>
      <c r="E1291" s="23">
        <f t="shared" si="71"/>
        <v>18.976715720564471</v>
      </c>
      <c r="F1291" s="23">
        <f t="shared" si="72"/>
        <v>-18.976715720564471</v>
      </c>
    </row>
    <row r="1292" spans="1:6" x14ac:dyDescent="0.3">
      <c r="A1292" s="2">
        <v>42299</v>
      </c>
      <c r="B1292" s="1">
        <v>28.875</v>
      </c>
      <c r="C1292" s="1">
        <v>563.90989999999999</v>
      </c>
      <c r="D1292" s="22">
        <f t="shared" si="70"/>
        <v>311.54324530478124</v>
      </c>
      <c r="E1292" s="23">
        <f t="shared" si="71"/>
        <v>4.5056327068548967</v>
      </c>
      <c r="F1292" s="23">
        <f t="shared" si="72"/>
        <v>-4.5056327068548967</v>
      </c>
    </row>
    <row r="1293" spans="1:6" x14ac:dyDescent="0.3">
      <c r="A1293" s="2">
        <v>42298</v>
      </c>
      <c r="B1293" s="1">
        <v>28.44</v>
      </c>
      <c r="C1293" s="1">
        <v>555.77</v>
      </c>
      <c r="D1293" s="22">
        <f t="shared" si="70"/>
        <v>307.03761259792634</v>
      </c>
      <c r="E1293" s="23">
        <f t="shared" si="71"/>
        <v>-2.7008282699309234</v>
      </c>
      <c r="F1293" s="23">
        <f t="shared" si="72"/>
        <v>2.7008282699309234</v>
      </c>
    </row>
    <row r="1294" spans="1:6" x14ac:dyDescent="0.3">
      <c r="A1294" s="2">
        <v>42297</v>
      </c>
      <c r="B1294" s="1">
        <v>28.442499999999999</v>
      </c>
      <c r="C1294" s="1">
        <v>560.87990000000002</v>
      </c>
      <c r="D1294" s="22">
        <f t="shared" si="70"/>
        <v>309.73844086785726</v>
      </c>
      <c r="E1294" s="23">
        <f t="shared" si="71"/>
        <v>-6.241896324884749</v>
      </c>
      <c r="F1294" s="23">
        <f t="shared" si="72"/>
        <v>6.241896324884749</v>
      </c>
    </row>
    <row r="1295" spans="1:6" x14ac:dyDescent="0.3">
      <c r="A1295" s="2">
        <v>42296</v>
      </c>
      <c r="B1295" s="1">
        <v>27.932500000000001</v>
      </c>
      <c r="C1295" s="1">
        <v>573.1499</v>
      </c>
      <c r="D1295" s="22">
        <f t="shared" si="70"/>
        <v>315.98033719274201</v>
      </c>
      <c r="E1295" s="23">
        <f t="shared" si="71"/>
        <v>1.3439909945851696</v>
      </c>
      <c r="F1295" s="23">
        <f t="shared" si="72"/>
        <v>-1.3439909945851696</v>
      </c>
    </row>
    <row r="1296" spans="1:6" x14ac:dyDescent="0.3">
      <c r="A1296" s="2">
        <v>42293</v>
      </c>
      <c r="B1296" s="1">
        <v>27.76</v>
      </c>
      <c r="C1296" s="1">
        <v>570.76</v>
      </c>
      <c r="D1296" s="22">
        <f t="shared" si="70"/>
        <v>314.63634619815684</v>
      </c>
      <c r="E1296" s="23">
        <f t="shared" si="71"/>
        <v>4.2989586353111235</v>
      </c>
      <c r="F1296" s="23">
        <f t="shared" si="72"/>
        <v>-4.2989586353111235</v>
      </c>
    </row>
    <row r="1297" spans="1:6" x14ac:dyDescent="0.3">
      <c r="A1297" s="2">
        <v>42292</v>
      </c>
      <c r="B1297" s="1">
        <v>27.965</v>
      </c>
      <c r="C1297" s="1">
        <v>562.43989999999997</v>
      </c>
      <c r="D1297" s="22">
        <f t="shared" si="70"/>
        <v>310.33738756284572</v>
      </c>
      <c r="E1297" s="23">
        <f t="shared" si="71"/>
        <v>9.4981327596198071</v>
      </c>
      <c r="F1297" s="23">
        <f t="shared" si="72"/>
        <v>-9.4981327596198071</v>
      </c>
    </row>
    <row r="1298" spans="1:6" x14ac:dyDescent="0.3">
      <c r="A1298" s="2">
        <v>42291</v>
      </c>
      <c r="B1298" s="1">
        <v>27.552499999999998</v>
      </c>
      <c r="C1298" s="1">
        <v>544.83010000000002</v>
      </c>
      <c r="D1298" s="22">
        <f t="shared" si="70"/>
        <v>300.83925480322591</v>
      </c>
      <c r="E1298" s="23">
        <f t="shared" si="71"/>
        <v>-2.336460767972369</v>
      </c>
      <c r="F1298" s="23">
        <f t="shared" si="72"/>
        <v>2.336460767972369</v>
      </c>
    </row>
    <row r="1299" spans="1:6" x14ac:dyDescent="0.3">
      <c r="A1299" s="2">
        <v>42290</v>
      </c>
      <c r="B1299" s="1">
        <v>27.947500000000002</v>
      </c>
      <c r="C1299" s="1">
        <v>548.8999</v>
      </c>
      <c r="D1299" s="22">
        <f t="shared" si="70"/>
        <v>303.17571557119828</v>
      </c>
      <c r="E1299" s="23">
        <f t="shared" si="71"/>
        <v>-0.65912451756906876</v>
      </c>
      <c r="F1299" s="23">
        <f t="shared" si="72"/>
        <v>0.65912451756906876</v>
      </c>
    </row>
    <row r="1300" spans="1:6" x14ac:dyDescent="0.3">
      <c r="A1300" s="2">
        <v>42289</v>
      </c>
      <c r="B1300" s="1">
        <v>27.9</v>
      </c>
      <c r="C1300" s="1">
        <v>550.18989999999997</v>
      </c>
      <c r="D1300" s="22">
        <f t="shared" si="70"/>
        <v>303.83484008876735</v>
      </c>
      <c r="E1300" s="23">
        <f t="shared" si="71"/>
        <v>5.4278461774769085</v>
      </c>
      <c r="F1300" s="23">
        <f t="shared" si="72"/>
        <v>-5.4278461774769085</v>
      </c>
    </row>
    <row r="1301" spans="1:6" x14ac:dyDescent="0.3">
      <c r="A1301" s="2">
        <v>42286</v>
      </c>
      <c r="B1301" s="1">
        <v>28.03</v>
      </c>
      <c r="C1301" s="1">
        <v>539.79999999999995</v>
      </c>
      <c r="D1301" s="22">
        <f t="shared" si="70"/>
        <v>298.40699391129044</v>
      </c>
      <c r="E1301" s="23">
        <f t="shared" si="71"/>
        <v>3.8170324486751497</v>
      </c>
      <c r="F1301" s="23">
        <f t="shared" si="72"/>
        <v>-3.8170324486751497</v>
      </c>
    </row>
    <row r="1302" spans="1:6" x14ac:dyDescent="0.3">
      <c r="A1302" s="2">
        <v>42285</v>
      </c>
      <c r="B1302" s="1">
        <v>27.375</v>
      </c>
      <c r="C1302" s="1">
        <v>533.15989999999999</v>
      </c>
      <c r="D1302" s="22">
        <f t="shared" si="70"/>
        <v>294.58996146261529</v>
      </c>
      <c r="E1302" s="23">
        <f t="shared" si="71"/>
        <v>-4.7895651728110806</v>
      </c>
      <c r="F1302" s="23">
        <f t="shared" si="72"/>
        <v>4.7895651728110806</v>
      </c>
    </row>
    <row r="1303" spans="1:6" x14ac:dyDescent="0.3">
      <c r="A1303" s="2">
        <v>42284</v>
      </c>
      <c r="B1303" s="1">
        <v>27.695</v>
      </c>
      <c r="C1303" s="1">
        <v>541.93989999999997</v>
      </c>
      <c r="D1303" s="22">
        <f t="shared" si="70"/>
        <v>299.37952663542637</v>
      </c>
      <c r="E1303" s="23">
        <f t="shared" si="71"/>
        <v>2.2937448108294802</v>
      </c>
      <c r="F1303" s="23">
        <f t="shared" si="72"/>
        <v>-2.2937448108294802</v>
      </c>
    </row>
    <row r="1304" spans="1:6" x14ac:dyDescent="0.3">
      <c r="A1304" s="2"/>
      <c r="B1304" s="1">
        <v>27.827500000000001</v>
      </c>
      <c r="C1304" s="1">
        <v>537.48</v>
      </c>
      <c r="D1304" s="22">
        <f t="shared" si="70"/>
        <v>297.08578182459689</v>
      </c>
    </row>
  </sheetData>
  <mergeCells count="2">
    <mergeCell ref="H3:R3"/>
    <mergeCell ref="H6:I6"/>
  </mergeCells>
  <dataValidations count="1">
    <dataValidation allowBlank="1" showErrorMessage="1" promptTitle="TRAFO" prompt="$A$1:$D$1310" sqref="A1" xr:uid="{522B0DC1-4E58-4E6D-A594-ADB555CED19C}"/>
  </dataValidations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B1B5-29BD-4E3C-96E2-D88F2D23BFF0}">
  <dimension ref="A1:AB1304"/>
  <sheetViews>
    <sheetView zoomScale="70" zoomScaleNormal="70" workbookViewId="0">
      <selection activeCell="M9" sqref="M9"/>
    </sheetView>
  </sheetViews>
  <sheetFormatPr defaultColWidth="8.77734375" defaultRowHeight="14.4" x14ac:dyDescent="0.3"/>
  <cols>
    <col min="1" max="3" width="18.6640625" style="1" customWidth="1"/>
    <col min="4" max="4" width="28.6640625" style="6" customWidth="1"/>
    <col min="5" max="5" width="18.33203125" style="4" customWidth="1"/>
    <col min="6" max="6" width="10.44140625" style="4" customWidth="1"/>
    <col min="8" max="9" width="13.6640625" customWidth="1"/>
    <col min="10" max="10" width="24.33203125" bestFit="1" customWidth="1"/>
    <col min="12" max="12" width="19.33203125" bestFit="1" customWidth="1"/>
    <col min="13" max="13" width="12" bestFit="1" customWidth="1"/>
    <col min="14" max="14" width="12.21875" bestFit="1" customWidth="1"/>
  </cols>
  <sheetData>
    <row r="1" spans="1:28" x14ac:dyDescent="0.3">
      <c r="A1" s="1" t="e">
        <f ca="1">_xll.Thomson.Reuters.AFOSpreadsheetFormulas.DSGRID("@AAPL,@AMZN,@FB"," ","-5Y","","D","RowHeader=true;ColHeader=true;Heading=true;LatestFirstValue=true;DispSeriesDescription=false;YearlyTSFormat=false;QuarterlyTSFormat=false","")</f>
        <v>#NAME?</v>
      </c>
      <c r="B1" s="2">
        <v>42283</v>
      </c>
    </row>
    <row r="2" spans="1:28" x14ac:dyDescent="0.3">
      <c r="A2" s="1" t="s">
        <v>0</v>
      </c>
      <c r="B2" s="2">
        <v>44110</v>
      </c>
    </row>
    <row r="3" spans="1:28" x14ac:dyDescent="0.3">
      <c r="A3" s="1" t="s">
        <v>1</v>
      </c>
      <c r="B3" s="1" t="s">
        <v>2</v>
      </c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1:28" x14ac:dyDescent="0.3">
      <c r="A4" s="10" t="s">
        <v>3</v>
      </c>
      <c r="B4" s="10" t="s">
        <v>4</v>
      </c>
      <c r="C4" s="10" t="s">
        <v>5</v>
      </c>
      <c r="D4" s="11" t="s">
        <v>15</v>
      </c>
      <c r="E4" s="12" t="s">
        <v>7</v>
      </c>
      <c r="F4" s="12" t="s">
        <v>8</v>
      </c>
    </row>
    <row r="5" spans="1:28" x14ac:dyDescent="0.3">
      <c r="A5" s="2">
        <v>44110</v>
      </c>
      <c r="B5" s="1">
        <v>113.16</v>
      </c>
      <c r="C5" s="1">
        <v>3099.96</v>
      </c>
      <c r="D5" s="22">
        <f>$M$16*B5+(1-$M$16)*C5</f>
        <v>878.15588334584709</v>
      </c>
      <c r="E5" s="23">
        <f>D5-D6</f>
        <v>-27.902443154167145</v>
      </c>
      <c r="F5" s="23">
        <f>-E5</f>
        <v>27.902443154167145</v>
      </c>
      <c r="G5" s="13"/>
      <c r="H5" s="14"/>
      <c r="I5" s="14"/>
      <c r="J5" s="1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3">
      <c r="A6" s="2">
        <v>44109</v>
      </c>
      <c r="B6" s="1">
        <v>116.5</v>
      </c>
      <c r="C6" s="1">
        <v>3199.2</v>
      </c>
      <c r="D6" s="22">
        <f t="shared" ref="D6:D69" si="0">$M$16*B6+(1-$M$16)*C6</f>
        <v>906.05832650001423</v>
      </c>
      <c r="E6" s="23">
        <f t="shared" ref="E6:E69" si="1">D6-D7</f>
        <v>21.593201041321322</v>
      </c>
      <c r="F6" s="23">
        <f t="shared" ref="F6:F69" si="2">-E6</f>
        <v>-21.593201041321322</v>
      </c>
      <c r="G6" s="13"/>
      <c r="H6" s="56" t="s">
        <v>10</v>
      </c>
      <c r="I6" s="56"/>
      <c r="J6" s="13"/>
    </row>
    <row r="7" spans="1:28" x14ac:dyDescent="0.3">
      <c r="A7" s="2">
        <v>44106</v>
      </c>
      <c r="B7" s="1">
        <v>113.02</v>
      </c>
      <c r="C7" s="1">
        <v>3125</v>
      </c>
      <c r="D7" s="22">
        <f t="shared" si="0"/>
        <v>884.46512545869291</v>
      </c>
      <c r="E7" s="23">
        <f t="shared" si="1"/>
        <v>-27.459054925223541</v>
      </c>
      <c r="F7" s="23">
        <f t="shared" si="2"/>
        <v>27.459054925223541</v>
      </c>
      <c r="G7" s="13"/>
      <c r="H7" s="13">
        <v>1</v>
      </c>
      <c r="I7" s="14">
        <f>COUNTIF($F:$F,"&gt;"&amp;H7)/COUNT(F:F)</f>
        <v>0.32871439568899152</v>
      </c>
      <c r="J7" s="13"/>
    </row>
    <row r="8" spans="1:28" x14ac:dyDescent="0.3">
      <c r="A8" s="2">
        <v>44105</v>
      </c>
      <c r="B8" s="1">
        <v>116.79</v>
      </c>
      <c r="C8" s="1">
        <v>3221.26</v>
      </c>
      <c r="D8" s="22">
        <f t="shared" si="0"/>
        <v>911.92418038391645</v>
      </c>
      <c r="E8" s="23">
        <f t="shared" si="1"/>
        <v>19.305785272999628</v>
      </c>
      <c r="F8" s="23">
        <f t="shared" si="2"/>
        <v>-19.305785272999628</v>
      </c>
      <c r="G8" s="13"/>
      <c r="H8" s="13">
        <v>2</v>
      </c>
      <c r="I8" s="14">
        <f t="shared" ref="I8:I52" si="3">COUNTIF($F:$F,"&gt;"&amp;H8)/COUNT(F:F)</f>
        <v>0.2501924557351809</v>
      </c>
      <c r="J8" s="13"/>
      <c r="L8" t="s">
        <v>42</v>
      </c>
      <c r="M8">
        <f>M16*'Historical Simulation'!AC5+'Punto 2'!N16*'Historical Simulation'!AD5</f>
        <v>1.1487971328645581E-3</v>
      </c>
    </row>
    <row r="9" spans="1:28" x14ac:dyDescent="0.3">
      <c r="A9" s="2">
        <v>44104</v>
      </c>
      <c r="B9" s="1">
        <v>115.81</v>
      </c>
      <c r="C9" s="1">
        <v>3148.73</v>
      </c>
      <c r="D9" s="22">
        <f t="shared" si="0"/>
        <v>892.61839511091682</v>
      </c>
      <c r="E9" s="23">
        <f t="shared" si="1"/>
        <v>2.2655474861144285</v>
      </c>
      <c r="F9" s="23">
        <f t="shared" si="2"/>
        <v>-2.2655474861144285</v>
      </c>
      <c r="G9" s="13"/>
      <c r="H9" s="13">
        <v>3</v>
      </c>
      <c r="I9" s="14">
        <f t="shared" si="3"/>
        <v>0.1993841416474211</v>
      </c>
      <c r="J9" s="13"/>
    </row>
    <row r="10" spans="1:28" x14ac:dyDescent="0.3">
      <c r="A10" s="2">
        <v>44103</v>
      </c>
      <c r="B10" s="1">
        <v>114.09</v>
      </c>
      <c r="C10" s="1">
        <v>3144.88</v>
      </c>
      <c r="D10" s="22">
        <f t="shared" si="0"/>
        <v>890.35284762480239</v>
      </c>
      <c r="E10" s="23">
        <f t="shared" si="1"/>
        <v>-8.1183539234925775</v>
      </c>
      <c r="F10" s="23">
        <f t="shared" si="2"/>
        <v>8.1183539234925775</v>
      </c>
      <c r="G10" s="13"/>
      <c r="H10" s="13">
        <v>4</v>
      </c>
      <c r="I10" s="14">
        <f t="shared" si="3"/>
        <v>0.15704387990762125</v>
      </c>
      <c r="J10" s="13"/>
    </row>
    <row r="11" spans="1:28" x14ac:dyDescent="0.3">
      <c r="A11" s="2">
        <v>44102</v>
      </c>
      <c r="B11" s="1">
        <v>114.96</v>
      </c>
      <c r="C11" s="1">
        <v>3174.05</v>
      </c>
      <c r="D11" s="22">
        <f t="shared" si="0"/>
        <v>898.47120154829497</v>
      </c>
      <c r="E11" s="23">
        <f t="shared" si="1"/>
        <v>22.207014244772836</v>
      </c>
      <c r="F11" s="23">
        <f t="shared" si="2"/>
        <v>-22.207014244772836</v>
      </c>
      <c r="G11" s="13"/>
      <c r="H11" s="13">
        <v>5</v>
      </c>
      <c r="I11" s="14">
        <f t="shared" si="3"/>
        <v>0.13548883756735949</v>
      </c>
      <c r="J11" s="13"/>
    </row>
    <row r="12" spans="1:28" x14ac:dyDescent="0.3">
      <c r="A12" s="2">
        <v>44099</v>
      </c>
      <c r="B12" s="1">
        <v>112.28</v>
      </c>
      <c r="C12" s="1">
        <v>3095.13</v>
      </c>
      <c r="D12" s="22">
        <f t="shared" si="0"/>
        <v>876.26418730352214</v>
      </c>
      <c r="E12" s="23">
        <f t="shared" si="1"/>
        <v>22.316631366309252</v>
      </c>
      <c r="F12" s="23">
        <f t="shared" si="2"/>
        <v>-22.316631366309252</v>
      </c>
      <c r="G12" s="13"/>
      <c r="H12" s="13">
        <v>6</v>
      </c>
      <c r="I12" s="14">
        <f t="shared" si="3"/>
        <v>0.12086220169361046</v>
      </c>
      <c r="J12" s="13"/>
    </row>
    <row r="13" spans="1:28" x14ac:dyDescent="0.3">
      <c r="A13" s="2">
        <v>44098</v>
      </c>
      <c r="B13" s="1">
        <v>108.22</v>
      </c>
      <c r="C13" s="1">
        <v>3019.79</v>
      </c>
      <c r="D13" s="22">
        <f t="shared" si="0"/>
        <v>853.94755593721288</v>
      </c>
      <c r="E13" s="23">
        <f t="shared" si="1"/>
        <v>5.9228446777159434</v>
      </c>
      <c r="F13" s="23">
        <f t="shared" si="2"/>
        <v>-5.9228446777159434</v>
      </c>
      <c r="G13" s="13"/>
      <c r="H13" s="13">
        <v>7</v>
      </c>
      <c r="I13" s="14">
        <f t="shared" si="3"/>
        <v>0.10546574287913779</v>
      </c>
      <c r="J13" s="13"/>
    </row>
    <row r="14" spans="1:28" x14ac:dyDescent="0.3">
      <c r="A14" s="2">
        <v>44097</v>
      </c>
      <c r="B14" s="1">
        <v>107.12</v>
      </c>
      <c r="C14" s="1">
        <v>2999.86</v>
      </c>
      <c r="D14" s="22">
        <f t="shared" si="0"/>
        <v>848.02471125949694</v>
      </c>
      <c r="E14" s="23">
        <f t="shared" si="1"/>
        <v>-36.562267216940313</v>
      </c>
      <c r="F14" s="23">
        <f t="shared" si="2"/>
        <v>36.562267216940313</v>
      </c>
      <c r="G14" s="13"/>
      <c r="H14" s="13">
        <v>8</v>
      </c>
      <c r="I14" s="14">
        <f t="shared" si="3"/>
        <v>9.0069284064665134E-2</v>
      </c>
      <c r="J14" s="13"/>
    </row>
    <row r="15" spans="1:28" x14ac:dyDescent="0.3">
      <c r="A15" s="2">
        <v>44096</v>
      </c>
      <c r="B15" s="1">
        <v>111.81</v>
      </c>
      <c r="C15" s="1">
        <v>3128.99</v>
      </c>
      <c r="D15" s="22">
        <f t="shared" si="0"/>
        <v>884.58697847643725</v>
      </c>
      <c r="E15" s="23">
        <f t="shared" si="1"/>
        <v>44.449185544145621</v>
      </c>
      <c r="F15" s="23">
        <f t="shared" si="2"/>
        <v>-44.449185544145621</v>
      </c>
      <c r="G15" s="13"/>
      <c r="H15" s="13">
        <v>9</v>
      </c>
      <c r="I15" s="14">
        <f t="shared" si="3"/>
        <v>8.2371054657428791E-2</v>
      </c>
      <c r="J15" s="13"/>
    </row>
    <row r="16" spans="1:28" x14ac:dyDescent="0.3">
      <c r="A16" s="2">
        <v>44095</v>
      </c>
      <c r="B16" s="1">
        <v>110.08</v>
      </c>
      <c r="C16" s="1">
        <v>2960.47</v>
      </c>
      <c r="D16" s="22">
        <f t="shared" si="0"/>
        <v>840.13779293229163</v>
      </c>
      <c r="E16" s="23">
        <f t="shared" si="1"/>
        <v>3.834211346378197</v>
      </c>
      <c r="F16" s="23">
        <f t="shared" si="2"/>
        <v>-3.834211346378197</v>
      </c>
      <c r="G16" s="13"/>
      <c r="H16" s="13">
        <v>10</v>
      </c>
      <c r="I16" s="14">
        <f t="shared" si="3"/>
        <v>7.0053887605850657E-2</v>
      </c>
      <c r="J16" s="13"/>
      <c r="L16" s="5" t="s">
        <v>16</v>
      </c>
      <c r="M16" s="8">
        <v>0.74387441966457513</v>
      </c>
      <c r="N16">
        <f>1-M16</f>
        <v>0.25612558033542487</v>
      </c>
    </row>
    <row r="17" spans="1:13" x14ac:dyDescent="0.3">
      <c r="A17" s="2">
        <v>44092</v>
      </c>
      <c r="B17" s="1">
        <v>106.84</v>
      </c>
      <c r="C17" s="1">
        <v>2954.91</v>
      </c>
      <c r="D17" s="22">
        <f t="shared" si="0"/>
        <v>836.30358158591343</v>
      </c>
      <c r="E17" s="23">
        <f t="shared" si="1"/>
        <v>-16.388239202478644</v>
      </c>
      <c r="F17" s="23">
        <f t="shared" si="2"/>
        <v>16.388239202478644</v>
      </c>
      <c r="G17" s="13"/>
      <c r="H17" s="13">
        <v>11</v>
      </c>
      <c r="I17" s="14">
        <f t="shared" si="3"/>
        <v>6.5434949961508851E-2</v>
      </c>
      <c r="J17" s="13"/>
      <c r="L17" s="9" t="s">
        <v>12</v>
      </c>
      <c r="M17" s="21">
        <v>28</v>
      </c>
    </row>
    <row r="18" spans="1:13" x14ac:dyDescent="0.3">
      <c r="A18" s="2">
        <v>44091</v>
      </c>
      <c r="B18" s="1">
        <v>110.34</v>
      </c>
      <c r="C18" s="1">
        <v>3008.73</v>
      </c>
      <c r="D18" s="22">
        <f t="shared" si="0"/>
        <v>852.69182078839208</v>
      </c>
      <c r="E18" s="23">
        <f t="shared" si="1"/>
        <v>-19.098966719068017</v>
      </c>
      <c r="F18" s="23">
        <f t="shared" si="2"/>
        <v>19.098966719068017</v>
      </c>
      <c r="G18" s="13"/>
      <c r="H18" s="13">
        <v>12</v>
      </c>
      <c r="I18" s="14">
        <f t="shared" si="3"/>
        <v>5.5427251732101619E-2</v>
      </c>
      <c r="J18" s="13"/>
    </row>
    <row r="19" spans="1:13" x14ac:dyDescent="0.3">
      <c r="A19" s="2">
        <v>44090</v>
      </c>
      <c r="B19" s="1">
        <v>112.13</v>
      </c>
      <c r="C19" s="1">
        <v>3078.1</v>
      </c>
      <c r="D19" s="22">
        <f t="shared" si="0"/>
        <v>871.7907875074601</v>
      </c>
      <c r="E19" s="23">
        <f t="shared" si="1"/>
        <v>-22.522090804629443</v>
      </c>
      <c r="F19" s="23">
        <f t="shared" si="2"/>
        <v>22.522090804629443</v>
      </c>
      <c r="G19" s="13"/>
      <c r="H19" s="13">
        <v>13</v>
      </c>
      <c r="I19" s="14">
        <f t="shared" si="3"/>
        <v>5.3887605850654351E-2</v>
      </c>
      <c r="J19" s="13"/>
    </row>
    <row r="20" spans="1:13" x14ac:dyDescent="0.3">
      <c r="A20" s="2">
        <v>44089</v>
      </c>
      <c r="B20" s="1">
        <v>115.54</v>
      </c>
      <c r="C20" s="1">
        <v>3156.13</v>
      </c>
      <c r="D20" s="22">
        <f t="shared" si="0"/>
        <v>894.31287831208954</v>
      </c>
      <c r="E20" s="23">
        <f t="shared" si="1"/>
        <v>13.753252618269244</v>
      </c>
      <c r="F20" s="23">
        <f t="shared" si="2"/>
        <v>-13.753252618269244</v>
      </c>
      <c r="G20" s="13"/>
      <c r="H20" s="13">
        <v>14</v>
      </c>
      <c r="I20" s="14">
        <f t="shared" si="3"/>
        <v>4.9268668206312545E-2</v>
      </c>
      <c r="J20" s="20"/>
    </row>
    <row r="21" spans="1:13" x14ac:dyDescent="0.3">
      <c r="A21" s="2">
        <v>44088</v>
      </c>
      <c r="B21" s="1">
        <v>115.355</v>
      </c>
      <c r="C21" s="1">
        <v>3102.97</v>
      </c>
      <c r="D21" s="22">
        <f t="shared" si="0"/>
        <v>880.55962569382029</v>
      </c>
      <c r="E21" s="23">
        <f t="shared" si="1"/>
        <v>-0.89796526146983524</v>
      </c>
      <c r="F21" s="23">
        <f t="shared" si="2"/>
        <v>0.89796526146983524</v>
      </c>
      <c r="G21" s="13"/>
      <c r="H21" s="13">
        <v>15</v>
      </c>
      <c r="I21" s="14">
        <f t="shared" si="3"/>
        <v>4.5419553502694381E-2</v>
      </c>
      <c r="J21" s="20"/>
    </row>
    <row r="22" spans="1:13" x14ac:dyDescent="0.3">
      <c r="A22" s="2">
        <v>44085</v>
      </c>
      <c r="B22" s="1">
        <v>112</v>
      </c>
      <c r="C22" s="1">
        <v>3116.22</v>
      </c>
      <c r="D22" s="22">
        <f t="shared" si="0"/>
        <v>881.45759095529013</v>
      </c>
      <c r="E22" s="23">
        <f t="shared" si="1"/>
        <v>-16.19160831125339</v>
      </c>
      <c r="F22" s="23">
        <f t="shared" si="2"/>
        <v>16.19160831125339</v>
      </c>
      <c r="G22" s="13"/>
      <c r="H22" s="13">
        <v>16</v>
      </c>
      <c r="I22" s="14">
        <f t="shared" si="3"/>
        <v>4.0030792917628948E-2</v>
      </c>
      <c r="J22" s="13"/>
    </row>
    <row r="23" spans="1:13" x14ac:dyDescent="0.3">
      <c r="A23" s="2">
        <v>44084</v>
      </c>
      <c r="B23" s="1">
        <v>113.49</v>
      </c>
      <c r="C23" s="1">
        <v>3175.11</v>
      </c>
      <c r="D23" s="22">
        <f t="shared" si="0"/>
        <v>897.64919926654352</v>
      </c>
      <c r="E23" s="23">
        <f t="shared" si="1"/>
        <v>-26.796780788677552</v>
      </c>
      <c r="F23" s="23">
        <f t="shared" si="2"/>
        <v>26.796780788677552</v>
      </c>
      <c r="G23" s="13"/>
      <c r="H23" s="13">
        <v>17</v>
      </c>
      <c r="I23" s="14">
        <f t="shared" si="3"/>
        <v>3.2332563510392612E-2</v>
      </c>
      <c r="J23" s="13"/>
    </row>
    <row r="24" spans="1:13" x14ac:dyDescent="0.3">
      <c r="A24" s="2">
        <v>44083</v>
      </c>
      <c r="B24" s="1">
        <v>117.32</v>
      </c>
      <c r="C24" s="1">
        <v>3268.61</v>
      </c>
      <c r="D24" s="22">
        <f t="shared" si="0"/>
        <v>924.44598005522107</v>
      </c>
      <c r="E24" s="23">
        <f t="shared" si="1"/>
        <v>33.767470064929057</v>
      </c>
      <c r="F24" s="23">
        <f t="shared" si="2"/>
        <v>-33.767470064929057</v>
      </c>
      <c r="G24" s="13"/>
      <c r="H24" s="13">
        <v>18</v>
      </c>
      <c r="I24" s="14">
        <f t="shared" si="3"/>
        <v>2.848344880677444E-2</v>
      </c>
      <c r="J24" s="13"/>
    </row>
    <row r="25" spans="1:13" x14ac:dyDescent="0.3">
      <c r="A25" s="2">
        <v>44082</v>
      </c>
      <c r="B25" s="1">
        <v>112.82</v>
      </c>
      <c r="C25" s="1">
        <v>3149.84</v>
      </c>
      <c r="D25" s="22">
        <f t="shared" si="0"/>
        <v>890.67850999029201</v>
      </c>
      <c r="E25" s="23">
        <f t="shared" si="1"/>
        <v>-43.136999297032389</v>
      </c>
      <c r="F25" s="23">
        <f t="shared" si="2"/>
        <v>43.136999297032389</v>
      </c>
      <c r="G25" s="13"/>
      <c r="H25" s="13">
        <v>19</v>
      </c>
      <c r="I25" s="14">
        <f t="shared" si="3"/>
        <v>2.4634334103156273E-2</v>
      </c>
      <c r="J25" s="13"/>
    </row>
    <row r="26" spans="1:13" x14ac:dyDescent="0.3">
      <c r="A26" s="2">
        <v>44078</v>
      </c>
      <c r="B26" s="1">
        <v>120.96</v>
      </c>
      <c r="C26" s="1">
        <v>3294.62</v>
      </c>
      <c r="D26" s="22">
        <f t="shared" si="0"/>
        <v>933.8155092873244</v>
      </c>
      <c r="E26" s="23">
        <f t="shared" si="1"/>
        <v>-18.734985131440453</v>
      </c>
      <c r="F26" s="23">
        <f t="shared" si="2"/>
        <v>18.734985131440453</v>
      </c>
      <c r="G26" s="13"/>
      <c r="H26" s="13">
        <v>20</v>
      </c>
      <c r="I26" s="14">
        <f t="shared" si="3"/>
        <v>2.0785219399538105E-2</v>
      </c>
      <c r="J26" s="13"/>
    </row>
    <row r="27" spans="1:13" x14ac:dyDescent="0.3">
      <c r="A27" s="2">
        <v>44077</v>
      </c>
      <c r="B27" s="1">
        <v>120.88</v>
      </c>
      <c r="C27" s="1">
        <v>3368</v>
      </c>
      <c r="D27" s="22">
        <f t="shared" si="0"/>
        <v>952.55049441876486</v>
      </c>
      <c r="E27" s="23">
        <f t="shared" si="1"/>
        <v>-49.689285000696373</v>
      </c>
      <c r="F27" s="23">
        <f t="shared" si="2"/>
        <v>49.689285000696373</v>
      </c>
      <c r="G27" s="13"/>
      <c r="H27" s="13">
        <v>21</v>
      </c>
      <c r="I27" s="14">
        <f t="shared" si="3"/>
        <v>2.0015396458814474E-2</v>
      </c>
      <c r="J27" s="13"/>
    </row>
    <row r="28" spans="1:13" x14ac:dyDescent="0.3">
      <c r="A28" s="2">
        <v>44076</v>
      </c>
      <c r="B28" s="1">
        <v>131.4</v>
      </c>
      <c r="C28" s="1">
        <v>3531.45</v>
      </c>
      <c r="D28" s="22">
        <f t="shared" si="0"/>
        <v>1002.2397794194612</v>
      </c>
      <c r="E28" s="23">
        <f t="shared" si="1"/>
        <v>6.2125691255766924</v>
      </c>
      <c r="F28" s="23">
        <f t="shared" si="2"/>
        <v>-6.2125691255766924</v>
      </c>
      <c r="G28" s="13"/>
      <c r="H28" s="13">
        <v>22</v>
      </c>
      <c r="I28" s="14">
        <f t="shared" si="3"/>
        <v>1.8475750577367205E-2</v>
      </c>
      <c r="J28" s="13"/>
    </row>
    <row r="29" spans="1:13" x14ac:dyDescent="0.3">
      <c r="A29" s="2">
        <v>44075</v>
      </c>
      <c r="B29" s="1">
        <v>134.18</v>
      </c>
      <c r="C29" s="1">
        <v>3499.12</v>
      </c>
      <c r="D29" s="22">
        <f t="shared" si="0"/>
        <v>996.02721029388454</v>
      </c>
      <c r="E29" s="23">
        <f t="shared" si="1"/>
        <v>16.158522466029922</v>
      </c>
      <c r="F29" s="23">
        <f t="shared" si="2"/>
        <v>-16.158522466029922</v>
      </c>
      <c r="G29" s="13"/>
      <c r="H29" s="13">
        <v>23</v>
      </c>
      <c r="I29" s="14">
        <f t="shared" si="3"/>
        <v>1.6166281755196306E-2</v>
      </c>
      <c r="J29" s="13"/>
    </row>
    <row r="30" spans="1:13" x14ac:dyDescent="0.3">
      <c r="A30" s="2">
        <v>44074</v>
      </c>
      <c r="B30" s="1">
        <v>129.04</v>
      </c>
      <c r="C30" s="1">
        <v>3450.96</v>
      </c>
      <c r="D30" s="22">
        <f t="shared" si="0"/>
        <v>979.86868782785461</v>
      </c>
      <c r="E30" s="23">
        <f t="shared" si="1"/>
        <v>15.739582010519712</v>
      </c>
      <c r="F30" s="23">
        <f t="shared" si="2"/>
        <v>-15.739582010519712</v>
      </c>
      <c r="G30" s="13"/>
      <c r="H30" s="13">
        <v>24</v>
      </c>
      <c r="I30" s="14">
        <f t="shared" si="3"/>
        <v>1.5396458814472672E-2</v>
      </c>
      <c r="J30" s="13"/>
    </row>
    <row r="31" spans="1:13" x14ac:dyDescent="0.3">
      <c r="A31" s="2">
        <v>44071</v>
      </c>
      <c r="B31" s="1">
        <v>124.8075</v>
      </c>
      <c r="C31" s="1">
        <v>3401.8</v>
      </c>
      <c r="D31" s="22">
        <f t="shared" si="0"/>
        <v>964.1291058173349</v>
      </c>
      <c r="E31" s="23">
        <f t="shared" si="1"/>
        <v>0.31039147462183792</v>
      </c>
      <c r="F31" s="23">
        <f t="shared" si="2"/>
        <v>-0.31039147462183792</v>
      </c>
      <c r="G31" s="13"/>
      <c r="H31" s="13">
        <v>25</v>
      </c>
      <c r="I31" s="14">
        <f t="shared" si="3"/>
        <v>1.3856812933025405E-2</v>
      </c>
      <c r="J31" s="13"/>
    </row>
    <row r="32" spans="1:13" x14ac:dyDescent="0.3">
      <c r="A32" s="2">
        <v>44070</v>
      </c>
      <c r="B32" s="1">
        <v>125.01</v>
      </c>
      <c r="C32" s="1">
        <v>3400</v>
      </c>
      <c r="D32" s="22">
        <f t="shared" si="0"/>
        <v>963.81871434271306</v>
      </c>
      <c r="E32" s="23">
        <f t="shared" si="1"/>
        <v>-11.843965596780208</v>
      </c>
      <c r="F32" s="23">
        <f t="shared" si="2"/>
        <v>11.843965596780208</v>
      </c>
      <c r="G32" s="13"/>
      <c r="H32" s="13">
        <v>26</v>
      </c>
      <c r="I32" s="14">
        <f t="shared" si="3"/>
        <v>1.3856812933025405E-2</v>
      </c>
      <c r="J32" s="13"/>
    </row>
    <row r="33" spans="1:13" x14ac:dyDescent="0.3">
      <c r="A33" s="2">
        <v>44069</v>
      </c>
      <c r="B33" s="1">
        <v>126.52249999999999</v>
      </c>
      <c r="C33" s="1">
        <v>3441.85</v>
      </c>
      <c r="D33" s="22">
        <f t="shared" si="0"/>
        <v>975.66267993949327</v>
      </c>
      <c r="E33" s="23">
        <f t="shared" si="1"/>
        <v>25.686862168166726</v>
      </c>
      <c r="F33" s="23">
        <f t="shared" si="2"/>
        <v>-25.686862168166726</v>
      </c>
      <c r="G33" s="13"/>
      <c r="H33" s="13">
        <v>27</v>
      </c>
      <c r="I33" s="14">
        <f t="shared" si="3"/>
        <v>1.2317167051578136E-2</v>
      </c>
      <c r="J33" s="48" t="s">
        <v>34</v>
      </c>
    </row>
    <row r="34" spans="1:13" x14ac:dyDescent="0.3">
      <c r="A34" s="2">
        <v>44068</v>
      </c>
      <c r="B34" s="1">
        <v>124.825</v>
      </c>
      <c r="C34" s="1">
        <v>3346.49</v>
      </c>
      <c r="D34" s="22">
        <f t="shared" si="0"/>
        <v>949.97581777132655</v>
      </c>
      <c r="E34" s="23">
        <f t="shared" si="1"/>
        <v>9.2285310621879262</v>
      </c>
      <c r="F34" s="23">
        <f t="shared" si="2"/>
        <v>-9.2285310621879262</v>
      </c>
      <c r="G34" s="13"/>
      <c r="H34" s="25">
        <v>28</v>
      </c>
      <c r="I34" s="24">
        <f>COUNTIF($F:$F,"&gt;"&amp;H34)/COUNT(F:F)</f>
        <v>9.2378752886836026E-3</v>
      </c>
      <c r="J34" s="13">
        <f>COUNTIF($F:$F,"&gt;"&amp;H34)</f>
        <v>12</v>
      </c>
      <c r="K34">
        <f>J34-J35</f>
        <v>2</v>
      </c>
      <c r="L34">
        <f>K34/COUNT(F:F)</f>
        <v>1.539645881447267E-3</v>
      </c>
      <c r="M34">
        <f>L34*H34</f>
        <v>4.3110084680523478E-2</v>
      </c>
    </row>
    <row r="35" spans="1:13" x14ac:dyDescent="0.3">
      <c r="A35" s="2">
        <v>44067</v>
      </c>
      <c r="B35" s="1">
        <v>125.8575</v>
      </c>
      <c r="C35" s="1">
        <v>3307.46</v>
      </c>
      <c r="D35" s="22">
        <f t="shared" si="0"/>
        <v>940.74728670913862</v>
      </c>
      <c r="E35" s="23">
        <f t="shared" si="1"/>
        <v>6.9308088960785881</v>
      </c>
      <c r="F35" s="23">
        <f t="shared" si="2"/>
        <v>-6.9308088960785881</v>
      </c>
      <c r="G35" s="13"/>
      <c r="H35" s="13">
        <v>29</v>
      </c>
      <c r="I35" s="14">
        <f t="shared" si="3"/>
        <v>7.6982294072363358E-3</v>
      </c>
      <c r="J35" s="13">
        <f t="shared" ref="J35:J56" si="4">COUNTIF($F:$F,"&gt;"&amp;H35)</f>
        <v>10</v>
      </c>
      <c r="K35">
        <f t="shared" ref="K35:K56" si="5">J35-J36</f>
        <v>1</v>
      </c>
      <c r="L35">
        <f t="shared" ref="L35:L56" si="6">K35/COUNT(F:F)</f>
        <v>7.6982294072363352E-4</v>
      </c>
      <c r="M35">
        <f t="shared" ref="M35:M56" si="7">L35*H35</f>
        <v>2.2324865280985373E-2</v>
      </c>
    </row>
    <row r="36" spans="1:13" x14ac:dyDescent="0.3">
      <c r="A36" s="2">
        <v>44064</v>
      </c>
      <c r="B36" s="1">
        <v>124.37</v>
      </c>
      <c r="C36" s="1">
        <v>3284.72</v>
      </c>
      <c r="D36" s="22">
        <f t="shared" si="0"/>
        <v>933.81647781306003</v>
      </c>
      <c r="E36" s="23">
        <f t="shared" si="1"/>
        <v>1.2939259966125292</v>
      </c>
      <c r="F36" s="23">
        <f t="shared" si="2"/>
        <v>-1.2939259966125292</v>
      </c>
      <c r="G36" s="13"/>
      <c r="H36" s="13">
        <v>30</v>
      </c>
      <c r="I36" s="14">
        <f t="shared" si="3"/>
        <v>6.9284064665127024E-3</v>
      </c>
      <c r="J36" s="13">
        <f t="shared" si="4"/>
        <v>9</v>
      </c>
      <c r="K36">
        <f t="shared" si="5"/>
        <v>0</v>
      </c>
      <c r="L36">
        <f t="shared" si="6"/>
        <v>0</v>
      </c>
      <c r="M36">
        <f t="shared" si="7"/>
        <v>0</v>
      </c>
    </row>
    <row r="37" spans="1:13" x14ac:dyDescent="0.3">
      <c r="A37" s="2">
        <v>44063</v>
      </c>
      <c r="B37" s="1">
        <v>118.27500000000001</v>
      </c>
      <c r="C37" s="1">
        <v>3297.37</v>
      </c>
      <c r="D37" s="22">
        <f t="shared" si="0"/>
        <v>932.5225518164475</v>
      </c>
      <c r="E37" s="23">
        <f t="shared" si="1"/>
        <v>11.358370231062622</v>
      </c>
      <c r="F37" s="23">
        <f t="shared" si="2"/>
        <v>-11.358370231062622</v>
      </c>
      <c r="G37" s="13"/>
      <c r="H37" s="13">
        <v>31</v>
      </c>
      <c r="I37" s="14">
        <f t="shared" si="3"/>
        <v>6.9284064665127024E-3</v>
      </c>
      <c r="J37" s="13">
        <f t="shared" si="4"/>
        <v>9</v>
      </c>
      <c r="K37">
        <f t="shared" si="5"/>
        <v>2</v>
      </c>
      <c r="L37">
        <f t="shared" si="6"/>
        <v>1.539645881447267E-3</v>
      </c>
      <c r="M37">
        <f t="shared" si="7"/>
        <v>4.7729022324865276E-2</v>
      </c>
    </row>
    <row r="38" spans="1:13" x14ac:dyDescent="0.3">
      <c r="A38" s="2">
        <v>44062</v>
      </c>
      <c r="B38" s="1">
        <v>115.7075</v>
      </c>
      <c r="C38" s="1">
        <v>3260.48</v>
      </c>
      <c r="D38" s="22">
        <f t="shared" si="0"/>
        <v>921.16418158538488</v>
      </c>
      <c r="E38" s="23">
        <f t="shared" si="1"/>
        <v>-13.21322964239414</v>
      </c>
      <c r="F38" s="23">
        <f t="shared" si="2"/>
        <v>13.21322964239414</v>
      </c>
      <c r="G38" s="13"/>
      <c r="H38" s="13">
        <v>32</v>
      </c>
      <c r="I38" s="14">
        <f t="shared" si="3"/>
        <v>5.3887605850654347E-3</v>
      </c>
      <c r="J38" s="13">
        <f t="shared" si="4"/>
        <v>7</v>
      </c>
      <c r="K38">
        <f t="shared" si="5"/>
        <v>1</v>
      </c>
      <c r="L38">
        <f t="shared" si="6"/>
        <v>7.6982294072363352E-4</v>
      </c>
      <c r="M38">
        <f t="shared" si="7"/>
        <v>2.4634334103156273E-2</v>
      </c>
    </row>
    <row r="39" spans="1:13" x14ac:dyDescent="0.3">
      <c r="A39" s="2">
        <v>44061</v>
      </c>
      <c r="B39" s="1">
        <v>115.5625</v>
      </c>
      <c r="C39" s="1">
        <v>3312.49</v>
      </c>
      <c r="D39" s="22">
        <f t="shared" si="0"/>
        <v>934.37741122777902</v>
      </c>
      <c r="E39" s="23">
        <f t="shared" si="1"/>
        <v>34.027215560811783</v>
      </c>
      <c r="F39" s="23">
        <f t="shared" si="2"/>
        <v>-34.027215560811783</v>
      </c>
      <c r="G39" s="13"/>
      <c r="H39" s="13">
        <v>33</v>
      </c>
      <c r="I39" s="14">
        <f t="shared" si="3"/>
        <v>4.6189376443418013E-3</v>
      </c>
      <c r="J39" s="13">
        <f t="shared" si="4"/>
        <v>6</v>
      </c>
      <c r="K39">
        <f t="shared" si="5"/>
        <v>0</v>
      </c>
      <c r="L39">
        <f t="shared" si="6"/>
        <v>0</v>
      </c>
      <c r="M39">
        <f t="shared" si="7"/>
        <v>0</v>
      </c>
    </row>
    <row r="40" spans="1:13" x14ac:dyDescent="0.3">
      <c r="A40" s="2">
        <v>44060</v>
      </c>
      <c r="B40" s="1">
        <v>114.6075</v>
      </c>
      <c r="C40" s="1">
        <v>3182.41</v>
      </c>
      <c r="D40" s="22">
        <f t="shared" si="0"/>
        <v>900.35019566696724</v>
      </c>
      <c r="E40" s="23">
        <f t="shared" si="1"/>
        <v>8.5849963818358219</v>
      </c>
      <c r="F40" s="23">
        <f t="shared" si="2"/>
        <v>-8.5849963818358219</v>
      </c>
      <c r="G40" s="13"/>
      <c r="H40" s="13">
        <v>34</v>
      </c>
      <c r="I40" s="14">
        <f t="shared" si="3"/>
        <v>4.6189376443418013E-3</v>
      </c>
      <c r="J40" s="13">
        <f t="shared" si="4"/>
        <v>6</v>
      </c>
      <c r="K40">
        <f t="shared" si="5"/>
        <v>0</v>
      </c>
      <c r="L40">
        <f t="shared" si="6"/>
        <v>0</v>
      </c>
      <c r="M40">
        <f t="shared" si="7"/>
        <v>0</v>
      </c>
    </row>
    <row r="41" spans="1:13" x14ac:dyDescent="0.3">
      <c r="A41" s="2">
        <v>44057</v>
      </c>
      <c r="B41" s="1">
        <v>114.9075</v>
      </c>
      <c r="C41" s="1">
        <v>3148.02</v>
      </c>
      <c r="D41" s="22">
        <f t="shared" si="0"/>
        <v>891.76519928513142</v>
      </c>
      <c r="E41" s="23">
        <f t="shared" si="1"/>
        <v>-3.4058796723760452</v>
      </c>
      <c r="F41" s="23">
        <f t="shared" si="2"/>
        <v>3.4058796723760452</v>
      </c>
      <c r="G41" s="13"/>
      <c r="H41" s="13">
        <v>35</v>
      </c>
      <c r="I41" s="14">
        <f t="shared" si="3"/>
        <v>4.6189376443418013E-3</v>
      </c>
      <c r="J41" s="13">
        <f t="shared" si="4"/>
        <v>6</v>
      </c>
      <c r="K41">
        <f t="shared" si="5"/>
        <v>0</v>
      </c>
      <c r="L41">
        <f t="shared" si="6"/>
        <v>0</v>
      </c>
      <c r="M41">
        <f t="shared" si="7"/>
        <v>0</v>
      </c>
    </row>
    <row r="42" spans="1:13" x14ac:dyDescent="0.3">
      <c r="A42" s="2">
        <v>44056</v>
      </c>
      <c r="B42" s="1">
        <v>115.01</v>
      </c>
      <c r="C42" s="1">
        <v>3161.02</v>
      </c>
      <c r="D42" s="22">
        <f t="shared" si="0"/>
        <v>895.17107895750746</v>
      </c>
      <c r="E42" s="23">
        <f t="shared" si="1"/>
        <v>1.1752756313200052</v>
      </c>
      <c r="F42" s="23">
        <f t="shared" si="2"/>
        <v>-1.1752756313200052</v>
      </c>
      <c r="G42" s="13"/>
      <c r="H42" s="13">
        <v>36</v>
      </c>
      <c r="I42" s="14">
        <f t="shared" si="3"/>
        <v>4.6189376443418013E-3</v>
      </c>
      <c r="J42" s="13">
        <f t="shared" si="4"/>
        <v>6</v>
      </c>
      <c r="K42">
        <f t="shared" si="5"/>
        <v>2</v>
      </c>
      <c r="L42">
        <f t="shared" si="6"/>
        <v>1.539645881447267E-3</v>
      </c>
      <c r="M42">
        <f t="shared" si="7"/>
        <v>5.5427251732101612E-2</v>
      </c>
    </row>
    <row r="43" spans="1:13" x14ac:dyDescent="0.3">
      <c r="A43" s="2">
        <v>44055</v>
      </c>
      <c r="B43" s="1">
        <v>113.01</v>
      </c>
      <c r="C43" s="1">
        <v>3162.24</v>
      </c>
      <c r="D43" s="22">
        <f t="shared" si="0"/>
        <v>893.99580332618746</v>
      </c>
      <c r="E43" s="23">
        <f t="shared" si="1"/>
        <v>23.596147103441126</v>
      </c>
      <c r="F43" s="23">
        <f t="shared" si="2"/>
        <v>-23.596147103441126</v>
      </c>
      <c r="G43" s="13"/>
      <c r="H43" s="13">
        <v>37</v>
      </c>
      <c r="I43" s="14">
        <f t="shared" si="3"/>
        <v>3.0792917628945341E-3</v>
      </c>
      <c r="J43" s="13">
        <f t="shared" si="4"/>
        <v>4</v>
      </c>
      <c r="K43">
        <f t="shared" si="5"/>
        <v>0</v>
      </c>
      <c r="L43">
        <f t="shared" si="6"/>
        <v>0</v>
      </c>
      <c r="M43">
        <f t="shared" si="7"/>
        <v>0</v>
      </c>
    </row>
    <row r="44" spans="1:13" x14ac:dyDescent="0.3">
      <c r="A44" s="2">
        <v>44054</v>
      </c>
      <c r="B44" s="1">
        <v>109.375</v>
      </c>
      <c r="C44" s="1">
        <v>3080.67</v>
      </c>
      <c r="D44" s="22">
        <f t="shared" si="0"/>
        <v>870.39965622274633</v>
      </c>
      <c r="E44" s="23">
        <f t="shared" si="1"/>
        <v>-19.779680021321269</v>
      </c>
      <c r="F44" s="23">
        <f t="shared" si="2"/>
        <v>19.779680021321269</v>
      </c>
      <c r="G44" s="13"/>
      <c r="H44" s="13">
        <v>38</v>
      </c>
      <c r="I44" s="14">
        <f t="shared" si="3"/>
        <v>3.0792917628945341E-3</v>
      </c>
      <c r="J44" s="13">
        <f t="shared" si="4"/>
        <v>4</v>
      </c>
      <c r="K44">
        <f t="shared" si="5"/>
        <v>0</v>
      </c>
      <c r="L44">
        <f t="shared" si="6"/>
        <v>0</v>
      </c>
      <c r="M44">
        <f t="shared" si="7"/>
        <v>0</v>
      </c>
    </row>
    <row r="45" spans="1:13" x14ac:dyDescent="0.3">
      <c r="A45" s="2">
        <v>44053</v>
      </c>
      <c r="B45" s="1">
        <v>112.7274</v>
      </c>
      <c r="C45" s="1">
        <v>3148.16</v>
      </c>
      <c r="D45" s="22">
        <f t="shared" si="0"/>
        <v>890.1793362440676</v>
      </c>
      <c r="E45" s="23">
        <f t="shared" si="1"/>
        <v>-3.741940900157374</v>
      </c>
      <c r="F45" s="23">
        <f t="shared" si="2"/>
        <v>3.741940900157374</v>
      </c>
      <c r="G45" s="13"/>
      <c r="H45" s="13">
        <v>39</v>
      </c>
      <c r="I45" s="14">
        <f t="shared" si="3"/>
        <v>3.0792917628945341E-3</v>
      </c>
      <c r="J45" s="13">
        <f t="shared" si="4"/>
        <v>4</v>
      </c>
      <c r="K45">
        <f t="shared" si="5"/>
        <v>0</v>
      </c>
      <c r="L45">
        <f t="shared" si="6"/>
        <v>0</v>
      </c>
      <c r="M45">
        <f t="shared" si="7"/>
        <v>0</v>
      </c>
    </row>
    <row r="46" spans="1:13" x14ac:dyDescent="0.3">
      <c r="A46" s="2">
        <v>44050</v>
      </c>
      <c r="B46" s="1">
        <v>111.1125</v>
      </c>
      <c r="C46" s="1">
        <v>3167.46</v>
      </c>
      <c r="D46" s="22">
        <f t="shared" si="0"/>
        <v>893.92127714422497</v>
      </c>
      <c r="E46" s="23">
        <f t="shared" si="1"/>
        <v>-16.812875523364482</v>
      </c>
      <c r="F46" s="23">
        <f t="shared" si="2"/>
        <v>16.812875523364482</v>
      </c>
      <c r="G46" s="13"/>
      <c r="H46" s="13">
        <v>40</v>
      </c>
      <c r="I46" s="14">
        <f t="shared" si="3"/>
        <v>3.0792917628945341E-3</v>
      </c>
      <c r="J46" s="13">
        <f t="shared" si="4"/>
        <v>4</v>
      </c>
      <c r="K46">
        <f t="shared" si="5"/>
        <v>0</v>
      </c>
      <c r="L46">
        <f t="shared" si="6"/>
        <v>0</v>
      </c>
      <c r="M46">
        <f t="shared" si="7"/>
        <v>0</v>
      </c>
    </row>
    <row r="47" spans="1:13" x14ac:dyDescent="0.3">
      <c r="A47" s="2">
        <v>44049</v>
      </c>
      <c r="B47" s="1">
        <v>113.9025</v>
      </c>
      <c r="C47" s="1">
        <v>3225</v>
      </c>
      <c r="D47" s="22">
        <f t="shared" si="0"/>
        <v>910.73415266758946</v>
      </c>
      <c r="E47" s="23">
        <f t="shared" si="1"/>
        <v>7.9713056108103046</v>
      </c>
      <c r="F47" s="23">
        <f t="shared" si="2"/>
        <v>-7.9713056108103046</v>
      </c>
      <c r="G47" s="13"/>
      <c r="H47" s="13">
        <v>41</v>
      </c>
      <c r="I47" s="14">
        <f t="shared" si="3"/>
        <v>3.0792917628945341E-3</v>
      </c>
      <c r="J47" s="13">
        <f t="shared" si="4"/>
        <v>4</v>
      </c>
      <c r="K47">
        <f t="shared" si="5"/>
        <v>0</v>
      </c>
      <c r="L47">
        <f t="shared" si="6"/>
        <v>0</v>
      </c>
      <c r="M47">
        <f t="shared" si="7"/>
        <v>0</v>
      </c>
    </row>
    <row r="48" spans="1:13" x14ac:dyDescent="0.3">
      <c r="A48" s="2">
        <v>44048</v>
      </c>
      <c r="B48" s="1">
        <v>110.0625</v>
      </c>
      <c r="C48" s="1">
        <v>3205.03</v>
      </c>
      <c r="D48" s="22">
        <f t="shared" si="0"/>
        <v>902.76284705677915</v>
      </c>
      <c r="E48" s="23">
        <f t="shared" si="1"/>
        <v>17.251203500021916</v>
      </c>
      <c r="F48" s="23">
        <f t="shared" si="2"/>
        <v>-17.251203500021916</v>
      </c>
      <c r="G48" s="13"/>
      <c r="H48" s="13">
        <v>42</v>
      </c>
      <c r="I48" s="14">
        <f t="shared" si="3"/>
        <v>3.0792917628945341E-3</v>
      </c>
      <c r="J48" s="13">
        <f t="shared" si="4"/>
        <v>4</v>
      </c>
      <c r="K48">
        <f t="shared" si="5"/>
        <v>1</v>
      </c>
      <c r="L48">
        <f t="shared" si="6"/>
        <v>7.6982294072363352E-4</v>
      </c>
      <c r="M48">
        <f t="shared" si="7"/>
        <v>3.2332563510392605E-2</v>
      </c>
    </row>
    <row r="49" spans="1:13" x14ac:dyDescent="0.3">
      <c r="A49" s="2">
        <v>44047</v>
      </c>
      <c r="B49" s="1">
        <v>109.66500000000001</v>
      </c>
      <c r="C49" s="1">
        <v>3138.83</v>
      </c>
      <c r="D49" s="22">
        <f t="shared" si="0"/>
        <v>885.51164355675724</v>
      </c>
      <c r="E49" s="23">
        <f t="shared" si="1"/>
        <v>7.4411917745422897</v>
      </c>
      <c r="F49" s="23">
        <f t="shared" si="2"/>
        <v>-7.4411917745422897</v>
      </c>
      <c r="G49" s="13"/>
      <c r="H49" s="13">
        <v>43</v>
      </c>
      <c r="I49" s="14">
        <f t="shared" si="3"/>
        <v>2.3094688221709007E-3</v>
      </c>
      <c r="J49" s="13">
        <f t="shared" si="4"/>
        <v>3</v>
      </c>
      <c r="K49">
        <f t="shared" si="5"/>
        <v>1</v>
      </c>
      <c r="L49">
        <f t="shared" si="6"/>
        <v>7.6982294072363352E-4</v>
      </c>
      <c r="M49">
        <f t="shared" si="7"/>
        <v>3.3102386451116239E-2</v>
      </c>
    </row>
    <row r="50" spans="1:13" x14ac:dyDescent="0.3">
      <c r="A50" s="2">
        <v>44046</v>
      </c>
      <c r="B50" s="1">
        <v>108.9375</v>
      </c>
      <c r="C50" s="1">
        <v>3111.89</v>
      </c>
      <c r="D50" s="22">
        <f t="shared" si="0"/>
        <v>878.07045178221495</v>
      </c>
      <c r="E50" s="23">
        <f t="shared" si="1"/>
        <v>-11.529145627255161</v>
      </c>
      <c r="F50" s="23">
        <f t="shared" si="2"/>
        <v>11.529145627255161</v>
      </c>
      <c r="G50" s="13"/>
      <c r="H50" s="13">
        <v>44</v>
      </c>
      <c r="I50" s="14">
        <f t="shared" si="3"/>
        <v>1.539645881447267E-3</v>
      </c>
      <c r="J50" s="13">
        <f t="shared" si="4"/>
        <v>2</v>
      </c>
      <c r="K50">
        <f t="shared" si="5"/>
        <v>0</v>
      </c>
      <c r="L50">
        <f t="shared" si="6"/>
        <v>0</v>
      </c>
      <c r="M50">
        <f t="shared" si="7"/>
        <v>0</v>
      </c>
    </row>
    <row r="51" spans="1:13" x14ac:dyDescent="0.3">
      <c r="A51" s="2">
        <v>44043</v>
      </c>
      <c r="B51" s="1">
        <v>106.26</v>
      </c>
      <c r="C51" s="1">
        <v>3164.68</v>
      </c>
      <c r="D51" s="22">
        <f t="shared" si="0"/>
        <v>889.59959740947011</v>
      </c>
      <c r="E51" s="23">
        <f t="shared" si="1"/>
        <v>36.381780867858197</v>
      </c>
      <c r="F51" s="23">
        <f t="shared" si="2"/>
        <v>-36.381780867858197</v>
      </c>
      <c r="G51" s="13"/>
      <c r="H51" s="13">
        <v>45</v>
      </c>
      <c r="I51" s="14">
        <f t="shared" si="3"/>
        <v>1.539645881447267E-3</v>
      </c>
      <c r="J51" s="13">
        <f t="shared" si="4"/>
        <v>2</v>
      </c>
      <c r="K51">
        <f t="shared" si="5"/>
        <v>0</v>
      </c>
      <c r="L51">
        <f t="shared" si="6"/>
        <v>0</v>
      </c>
      <c r="M51">
        <f t="shared" si="7"/>
        <v>0</v>
      </c>
    </row>
    <row r="52" spans="1:13" x14ac:dyDescent="0.3">
      <c r="A52" s="2">
        <v>44042</v>
      </c>
      <c r="B52" s="1">
        <v>96.19</v>
      </c>
      <c r="C52" s="1">
        <v>3051.88</v>
      </c>
      <c r="D52" s="22">
        <f t="shared" si="0"/>
        <v>853.21781654161191</v>
      </c>
      <c r="E52" s="23">
        <f t="shared" si="1"/>
        <v>5.5553599817692429</v>
      </c>
      <c r="F52" s="23">
        <f t="shared" si="2"/>
        <v>-5.5553599817692429</v>
      </c>
      <c r="G52" s="13"/>
      <c r="H52" s="13">
        <v>46</v>
      </c>
      <c r="I52" s="14">
        <f t="shared" si="3"/>
        <v>1.539645881447267E-3</v>
      </c>
      <c r="J52" s="13">
        <f t="shared" si="4"/>
        <v>2</v>
      </c>
      <c r="K52">
        <f t="shared" si="5"/>
        <v>0</v>
      </c>
      <c r="L52">
        <f t="shared" si="6"/>
        <v>0</v>
      </c>
      <c r="M52">
        <f t="shared" si="7"/>
        <v>0</v>
      </c>
    </row>
    <row r="53" spans="1:13" x14ac:dyDescent="0.3">
      <c r="A53" s="2">
        <v>44041</v>
      </c>
      <c r="B53" s="1">
        <v>95.04</v>
      </c>
      <c r="C53" s="1">
        <v>3033.53</v>
      </c>
      <c r="D53" s="22">
        <f t="shared" si="0"/>
        <v>847.66245655984267</v>
      </c>
      <c r="E53" s="23">
        <f t="shared" si="1"/>
        <v>9.8330447922865005</v>
      </c>
      <c r="F53" s="23">
        <f t="shared" si="2"/>
        <v>-9.8330447922865005</v>
      </c>
      <c r="G53" s="13"/>
      <c r="H53" s="13">
        <v>47</v>
      </c>
      <c r="I53" s="14">
        <f t="shared" ref="I53:I56" si="8">COUNTIF($F:$F,"&gt;"&amp;H53)/COUNT(F:F)</f>
        <v>1.539645881447267E-3</v>
      </c>
      <c r="J53" s="13">
        <f t="shared" si="4"/>
        <v>2</v>
      </c>
      <c r="K53">
        <f t="shared" si="5"/>
        <v>0</v>
      </c>
      <c r="L53">
        <f t="shared" si="6"/>
        <v>0</v>
      </c>
      <c r="M53">
        <f t="shared" si="7"/>
        <v>0</v>
      </c>
    </row>
    <row r="54" spans="1:13" x14ac:dyDescent="0.3">
      <c r="A54" s="2">
        <v>44040</v>
      </c>
      <c r="B54" s="1">
        <v>93.252499999999998</v>
      </c>
      <c r="C54" s="1">
        <v>3000.33</v>
      </c>
      <c r="D54" s="22">
        <f t="shared" si="0"/>
        <v>837.82941176755617</v>
      </c>
      <c r="E54" s="23">
        <f t="shared" si="1"/>
        <v>-15.214756257435738</v>
      </c>
      <c r="F54" s="23">
        <f t="shared" si="2"/>
        <v>15.214756257435738</v>
      </c>
      <c r="H54" s="13">
        <v>48</v>
      </c>
      <c r="I54" s="14">
        <f t="shared" si="8"/>
        <v>1.539645881447267E-3</v>
      </c>
      <c r="J54" s="13">
        <f t="shared" si="4"/>
        <v>2</v>
      </c>
      <c r="K54">
        <f t="shared" si="5"/>
        <v>0</v>
      </c>
      <c r="L54">
        <f t="shared" si="6"/>
        <v>0</v>
      </c>
      <c r="M54">
        <f t="shared" si="7"/>
        <v>0</v>
      </c>
    </row>
    <row r="55" spans="1:13" x14ac:dyDescent="0.3">
      <c r="A55" s="2">
        <v>44039</v>
      </c>
      <c r="B55" s="1">
        <v>94.81</v>
      </c>
      <c r="C55" s="1">
        <v>3055.21</v>
      </c>
      <c r="D55" s="22">
        <f t="shared" si="0"/>
        <v>853.0441680249919</v>
      </c>
      <c r="E55" s="23">
        <f t="shared" si="1"/>
        <v>13.491418720694128</v>
      </c>
      <c r="F55" s="23">
        <f t="shared" si="2"/>
        <v>-13.491418720694128</v>
      </c>
      <c r="H55" s="13">
        <v>49</v>
      </c>
      <c r="I55" s="14">
        <f t="shared" si="8"/>
        <v>1.539645881447267E-3</v>
      </c>
      <c r="J55" s="13">
        <f t="shared" si="4"/>
        <v>2</v>
      </c>
      <c r="K55">
        <f t="shared" si="5"/>
        <v>2</v>
      </c>
      <c r="L55">
        <f t="shared" si="6"/>
        <v>1.539645881447267E-3</v>
      </c>
      <c r="M55">
        <f t="shared" si="7"/>
        <v>7.544264819091609E-2</v>
      </c>
    </row>
    <row r="56" spans="1:13" x14ac:dyDescent="0.3">
      <c r="A56" s="2">
        <v>44036</v>
      </c>
      <c r="B56" s="1">
        <v>92.614999999999995</v>
      </c>
      <c r="C56" s="1">
        <v>3008.91</v>
      </c>
      <c r="D56" s="22">
        <f t="shared" si="0"/>
        <v>839.55274930429778</v>
      </c>
      <c r="E56" s="23">
        <f t="shared" si="1"/>
        <v>5.5558768597770722</v>
      </c>
      <c r="F56" s="23">
        <f t="shared" si="2"/>
        <v>-5.5558768597770722</v>
      </c>
      <c r="H56" s="13">
        <v>50</v>
      </c>
      <c r="I56" s="43">
        <f t="shared" si="8"/>
        <v>0</v>
      </c>
      <c r="J56" s="13">
        <f t="shared" si="4"/>
        <v>0</v>
      </c>
      <c r="K56">
        <f t="shared" si="5"/>
        <v>0</v>
      </c>
      <c r="L56">
        <f t="shared" si="6"/>
        <v>0</v>
      </c>
      <c r="M56">
        <f t="shared" si="7"/>
        <v>0</v>
      </c>
    </row>
    <row r="57" spans="1:13" x14ac:dyDescent="0.3">
      <c r="A57" s="2">
        <v>44035</v>
      </c>
      <c r="B57" s="1">
        <v>92.844999999999999</v>
      </c>
      <c r="C57" s="1">
        <v>2986.55</v>
      </c>
      <c r="D57" s="22">
        <f t="shared" si="0"/>
        <v>833.9968724445207</v>
      </c>
      <c r="E57" s="23">
        <f t="shared" si="1"/>
        <v>-32.327899779888526</v>
      </c>
      <c r="F57" s="23">
        <f t="shared" si="2"/>
        <v>32.327899779888526</v>
      </c>
      <c r="H57" s="13"/>
      <c r="I57" s="14"/>
    </row>
    <row r="58" spans="1:13" x14ac:dyDescent="0.3">
      <c r="A58" s="2">
        <v>44034</v>
      </c>
      <c r="B58" s="1">
        <v>97.272499999999994</v>
      </c>
      <c r="C58" s="1">
        <v>3099.91</v>
      </c>
      <c r="D58" s="22">
        <f t="shared" si="0"/>
        <v>866.32477222440923</v>
      </c>
      <c r="E58" s="23">
        <f t="shared" si="1"/>
        <v>-9.6273939939151205</v>
      </c>
      <c r="F58" s="23">
        <f t="shared" si="2"/>
        <v>9.6273939939151205</v>
      </c>
      <c r="H58" s="13"/>
      <c r="I58" s="14"/>
    </row>
    <row r="59" spans="1:13" x14ac:dyDescent="0.3">
      <c r="A59" s="2">
        <v>44033</v>
      </c>
      <c r="B59" s="1">
        <v>97</v>
      </c>
      <c r="C59" s="1">
        <v>3138.29</v>
      </c>
      <c r="D59" s="22">
        <f t="shared" si="0"/>
        <v>875.95216621832435</v>
      </c>
      <c r="E59" s="23">
        <f t="shared" si="1"/>
        <v>-16.005962253333792</v>
      </c>
      <c r="F59" s="23">
        <f t="shared" si="2"/>
        <v>16.005962253333792</v>
      </c>
      <c r="H59" s="13"/>
      <c r="I59" s="14"/>
    </row>
    <row r="60" spans="1:13" x14ac:dyDescent="0.3">
      <c r="A60" s="2">
        <v>44032</v>
      </c>
      <c r="B60" s="1">
        <v>98.357500000000002</v>
      </c>
      <c r="C60" s="1">
        <v>3196.84</v>
      </c>
      <c r="D60" s="22">
        <f t="shared" si="0"/>
        <v>891.95812847165814</v>
      </c>
      <c r="E60" s="23">
        <f t="shared" si="1"/>
        <v>61.666280125300432</v>
      </c>
      <c r="F60" s="23">
        <f t="shared" si="2"/>
        <v>-61.666280125300432</v>
      </c>
      <c r="H60" s="13"/>
      <c r="I60" s="14"/>
    </row>
    <row r="61" spans="1:13" x14ac:dyDescent="0.3">
      <c r="A61" s="2">
        <v>44029</v>
      </c>
      <c r="B61" s="1">
        <v>96.327500000000001</v>
      </c>
      <c r="C61" s="1">
        <v>2961.97</v>
      </c>
      <c r="D61" s="22">
        <f t="shared" si="0"/>
        <v>830.29184834635771</v>
      </c>
      <c r="E61" s="23">
        <f t="shared" si="1"/>
        <v>-9.8598987739572976</v>
      </c>
      <c r="F61" s="23">
        <f t="shared" si="2"/>
        <v>9.8598987739572976</v>
      </c>
      <c r="H61" s="13"/>
      <c r="I61" s="14"/>
    </row>
    <row r="62" spans="1:13" x14ac:dyDescent="0.3">
      <c r="A62" s="2">
        <v>44028</v>
      </c>
      <c r="B62" s="1">
        <v>96.522499999999994</v>
      </c>
      <c r="C62" s="1">
        <v>2999.9</v>
      </c>
      <c r="D62" s="22">
        <f t="shared" si="0"/>
        <v>840.15174712031501</v>
      </c>
      <c r="E62" s="23">
        <f t="shared" si="1"/>
        <v>-3.1919554452554166</v>
      </c>
      <c r="F62" s="23">
        <f t="shared" si="2"/>
        <v>3.1919554452554166</v>
      </c>
      <c r="H62" s="13"/>
      <c r="I62" s="14"/>
    </row>
    <row r="63" spans="1:13" x14ac:dyDescent="0.3">
      <c r="A63" s="2">
        <v>44027</v>
      </c>
      <c r="B63" s="1">
        <v>97.724999999999994</v>
      </c>
      <c r="C63" s="1">
        <v>3008.87</v>
      </c>
      <c r="D63" s="22">
        <f t="shared" si="0"/>
        <v>843.34370256557042</v>
      </c>
      <c r="E63" s="23">
        <f t="shared" si="1"/>
        <v>-18.746178675474425</v>
      </c>
      <c r="F63" s="23">
        <f t="shared" si="2"/>
        <v>18.746178675474425</v>
      </c>
      <c r="H63" s="13"/>
      <c r="I63" s="14"/>
    </row>
    <row r="64" spans="1:13" x14ac:dyDescent="0.3">
      <c r="A64" s="2">
        <v>44026</v>
      </c>
      <c r="B64" s="1">
        <v>97.057500000000005</v>
      </c>
      <c r="C64" s="1">
        <v>3084</v>
      </c>
      <c r="D64" s="22">
        <f t="shared" si="0"/>
        <v>862.08988124104485</v>
      </c>
      <c r="E64" s="23">
        <f t="shared" si="1"/>
        <v>-3.9471900236384272</v>
      </c>
      <c r="F64" s="23">
        <f t="shared" si="2"/>
        <v>3.9471900236384272</v>
      </c>
      <c r="H64" s="13"/>
      <c r="I64" s="14"/>
    </row>
    <row r="65" spans="1:9" x14ac:dyDescent="0.3">
      <c r="A65" s="2">
        <v>44025</v>
      </c>
      <c r="B65" s="1">
        <v>95.477500000000006</v>
      </c>
      <c r="C65" s="1">
        <v>3104</v>
      </c>
      <c r="D65" s="22">
        <f t="shared" si="0"/>
        <v>866.03707126468328</v>
      </c>
      <c r="E65" s="23">
        <f t="shared" si="1"/>
        <v>-24.917220142902352</v>
      </c>
      <c r="F65" s="23">
        <f t="shared" si="2"/>
        <v>24.917220142902352</v>
      </c>
      <c r="H65" s="13"/>
      <c r="I65" s="14"/>
    </row>
    <row r="66" spans="1:9" x14ac:dyDescent="0.3">
      <c r="A66" s="2">
        <v>44022</v>
      </c>
      <c r="B66" s="1">
        <v>95.92</v>
      </c>
      <c r="C66" s="1">
        <v>3200</v>
      </c>
      <c r="D66" s="22">
        <f t="shared" si="0"/>
        <v>890.95429140758563</v>
      </c>
      <c r="E66" s="23">
        <f t="shared" si="1"/>
        <v>4.6255715050966728</v>
      </c>
      <c r="F66" s="23">
        <f t="shared" si="2"/>
        <v>-4.6255715050966728</v>
      </c>
      <c r="H66" s="13"/>
      <c r="I66" s="14"/>
    </row>
    <row r="67" spans="1:9" x14ac:dyDescent="0.3">
      <c r="A67" s="2">
        <v>44021</v>
      </c>
      <c r="B67" s="1">
        <v>95.682500000000005</v>
      </c>
      <c r="C67" s="1">
        <v>3182.63</v>
      </c>
      <c r="D67" s="22">
        <f t="shared" si="0"/>
        <v>886.32871990248896</v>
      </c>
      <c r="E67" s="23">
        <f t="shared" si="1"/>
        <v>26.254786218338154</v>
      </c>
      <c r="F67" s="23">
        <f t="shared" si="2"/>
        <v>-26.254786218338154</v>
      </c>
      <c r="H67" s="13"/>
      <c r="I67" s="14"/>
    </row>
    <row r="68" spans="1:9" x14ac:dyDescent="0.3">
      <c r="A68" s="2">
        <v>44020</v>
      </c>
      <c r="B68" s="1">
        <v>95.342500000000001</v>
      </c>
      <c r="C68" s="1">
        <v>3081.11</v>
      </c>
      <c r="D68" s="22">
        <f t="shared" si="0"/>
        <v>860.0739336841508</v>
      </c>
      <c r="E68" s="23">
        <f t="shared" si="1"/>
        <v>22.35781824203832</v>
      </c>
      <c r="F68" s="23">
        <f t="shared" si="2"/>
        <v>-22.35781824203832</v>
      </c>
      <c r="H68" s="13"/>
      <c r="I68" s="14"/>
    </row>
    <row r="69" spans="1:9" x14ac:dyDescent="0.3">
      <c r="A69" s="2">
        <v>44019</v>
      </c>
      <c r="B69" s="1">
        <v>93.172499999999999</v>
      </c>
      <c r="C69" s="1">
        <v>3000.12</v>
      </c>
      <c r="D69" s="22">
        <f t="shared" si="0"/>
        <v>837.71611544211248</v>
      </c>
      <c r="E69" s="23">
        <f t="shared" si="1"/>
        <v>-14.794391614395181</v>
      </c>
      <c r="F69" s="23">
        <f t="shared" si="2"/>
        <v>14.794391614395181</v>
      </c>
      <c r="H69" s="13"/>
      <c r="I69" s="14"/>
    </row>
    <row r="70" spans="1:9" x14ac:dyDescent="0.3">
      <c r="A70" s="2">
        <v>44018</v>
      </c>
      <c r="B70" s="1">
        <v>93.462500000000006</v>
      </c>
      <c r="C70" s="1">
        <v>3057.04</v>
      </c>
      <c r="D70" s="22">
        <f t="shared" ref="D70:D133" si="9">$M$16*B70+(1-$M$16)*C70</f>
        <v>852.51050705650766</v>
      </c>
      <c r="E70" s="23">
        <f t="shared" ref="E70:E133" si="10">D70-D71</f>
        <v>44.517713477011966</v>
      </c>
      <c r="F70" s="23">
        <f t="shared" ref="F70:F133" si="11">-E70</f>
        <v>-44.517713477011966</v>
      </c>
      <c r="H70" s="13"/>
      <c r="I70" s="14"/>
    </row>
    <row r="71" spans="1:9" x14ac:dyDescent="0.3">
      <c r="A71" s="2">
        <v>44014</v>
      </c>
      <c r="B71" s="1">
        <v>91.027500000000003</v>
      </c>
      <c r="C71" s="1">
        <v>2890.3</v>
      </c>
      <c r="D71" s="22">
        <f t="shared" si="9"/>
        <v>807.9927935794957</v>
      </c>
      <c r="E71" s="23">
        <f t="shared" si="10"/>
        <v>2.9710567318910535</v>
      </c>
      <c r="F71" s="23">
        <f t="shared" si="11"/>
        <v>-2.9710567318910535</v>
      </c>
      <c r="H71" s="13"/>
      <c r="I71" s="14"/>
    </row>
    <row r="72" spans="1:9" x14ac:dyDescent="0.3">
      <c r="A72" s="2">
        <v>44013</v>
      </c>
      <c r="B72" s="1">
        <v>91.027500000000003</v>
      </c>
      <c r="C72" s="1">
        <v>2878.7</v>
      </c>
      <c r="D72" s="22">
        <f t="shared" si="9"/>
        <v>805.02173684760464</v>
      </c>
      <c r="E72" s="23">
        <f t="shared" si="10"/>
        <v>30.576016233218525</v>
      </c>
      <c r="F72" s="23">
        <f t="shared" si="11"/>
        <v>-30.576016233218525</v>
      </c>
      <c r="H72" s="13"/>
      <c r="I72" s="14"/>
    </row>
    <row r="73" spans="1:9" x14ac:dyDescent="0.3">
      <c r="A73" s="2">
        <v>44012</v>
      </c>
      <c r="B73" s="1">
        <v>91.2</v>
      </c>
      <c r="C73" s="1">
        <v>2758.82</v>
      </c>
      <c r="D73" s="22">
        <f t="shared" si="9"/>
        <v>774.44572061438612</v>
      </c>
      <c r="E73" s="23">
        <f t="shared" si="10"/>
        <v>20.652115708357542</v>
      </c>
      <c r="F73" s="23">
        <f t="shared" si="11"/>
        <v>-20.652115708357542</v>
      </c>
      <c r="H73" s="13"/>
      <c r="I73" s="14"/>
    </row>
    <row r="74" spans="1:9" x14ac:dyDescent="0.3">
      <c r="A74" s="2">
        <v>44011</v>
      </c>
      <c r="B74" s="1">
        <v>90.444999999999993</v>
      </c>
      <c r="C74" s="1">
        <v>2680.38</v>
      </c>
      <c r="D74" s="22">
        <f t="shared" si="9"/>
        <v>753.79360490602858</v>
      </c>
      <c r="E74" s="23">
        <f t="shared" si="10"/>
        <v>-1.6833643683228274</v>
      </c>
      <c r="F74" s="23">
        <f t="shared" si="11"/>
        <v>1.6833643683228274</v>
      </c>
      <c r="H74" s="13"/>
      <c r="I74" s="14"/>
    </row>
    <row r="75" spans="1:9" x14ac:dyDescent="0.3">
      <c r="A75" s="2">
        <v>44008</v>
      </c>
      <c r="B75" s="1">
        <v>88.407499999999999</v>
      </c>
      <c r="C75" s="1">
        <v>2692.87</v>
      </c>
      <c r="D75" s="22">
        <f t="shared" si="9"/>
        <v>755.4769692743514</v>
      </c>
      <c r="E75" s="23">
        <f t="shared" si="10"/>
        <v>-17.890217623609033</v>
      </c>
      <c r="F75" s="23">
        <f t="shared" si="11"/>
        <v>17.890217623609033</v>
      </c>
      <c r="H75" s="13"/>
      <c r="I75" s="14"/>
    </row>
    <row r="76" spans="1:9" x14ac:dyDescent="0.3">
      <c r="A76" s="2">
        <v>44007</v>
      </c>
      <c r="B76" s="1">
        <v>91.21</v>
      </c>
      <c r="C76" s="1">
        <v>2754.58</v>
      </c>
      <c r="D76" s="22">
        <f t="shared" si="9"/>
        <v>773.36718689796044</v>
      </c>
      <c r="E76" s="23">
        <f t="shared" si="10"/>
        <v>6.0575441426678935</v>
      </c>
      <c r="F76" s="23">
        <f t="shared" si="11"/>
        <v>-6.0575441426678935</v>
      </c>
      <c r="H76" s="13"/>
      <c r="I76" s="14"/>
    </row>
    <row r="77" spans="1:9" x14ac:dyDescent="0.3">
      <c r="A77" s="2">
        <v>44006</v>
      </c>
      <c r="B77" s="1">
        <v>90.015000000000001</v>
      </c>
      <c r="C77" s="1">
        <v>2734.4</v>
      </c>
      <c r="D77" s="22">
        <f t="shared" si="9"/>
        <v>767.30964275529254</v>
      </c>
      <c r="E77" s="23">
        <f t="shared" si="10"/>
        <v>-8.8895455396734633</v>
      </c>
      <c r="F77" s="23">
        <f t="shared" si="11"/>
        <v>8.8895455396734633</v>
      </c>
      <c r="H77" s="13"/>
      <c r="I77" s="14"/>
    </row>
    <row r="78" spans="1:9" x14ac:dyDescent="0.3">
      <c r="A78" s="2">
        <v>44005</v>
      </c>
      <c r="B78" s="1">
        <v>91.632499999999993</v>
      </c>
      <c r="C78" s="1">
        <v>2764.41</v>
      </c>
      <c r="D78" s="22">
        <f t="shared" si="9"/>
        <v>776.19918829496601</v>
      </c>
      <c r="E78" s="23">
        <f t="shared" si="10"/>
        <v>14.38191262282669</v>
      </c>
      <c r="F78" s="23">
        <f t="shared" si="11"/>
        <v>-14.38191262282669</v>
      </c>
      <c r="H78" s="13"/>
      <c r="I78" s="14"/>
    </row>
    <row r="79" spans="1:9" x14ac:dyDescent="0.3">
      <c r="A79" s="2">
        <v>44004</v>
      </c>
      <c r="B79" s="1">
        <v>89.717500000000001</v>
      </c>
      <c r="C79" s="1">
        <v>2713.82</v>
      </c>
      <c r="D79" s="22">
        <f t="shared" si="9"/>
        <v>761.81727567213932</v>
      </c>
      <c r="E79" s="23">
        <f t="shared" si="10"/>
        <v>11.641846507800551</v>
      </c>
      <c r="F79" s="23">
        <f t="shared" si="11"/>
        <v>-11.641846507800551</v>
      </c>
      <c r="H79" s="13"/>
      <c r="I79" s="14"/>
    </row>
    <row r="80" spans="1:9" x14ac:dyDescent="0.3">
      <c r="A80" s="2">
        <v>44001</v>
      </c>
      <c r="B80" s="1">
        <v>87.43</v>
      </c>
      <c r="C80" s="1">
        <v>2675.01</v>
      </c>
      <c r="D80" s="22">
        <f t="shared" si="9"/>
        <v>750.17542916433877</v>
      </c>
      <c r="E80" s="23">
        <f t="shared" si="10"/>
        <v>5.0125240585725805</v>
      </c>
      <c r="F80" s="23">
        <f t="shared" si="11"/>
        <v>-5.0125240585725805</v>
      </c>
      <c r="H80" s="13"/>
      <c r="I80" s="14"/>
    </row>
    <row r="81" spans="1:9" x14ac:dyDescent="0.3">
      <c r="A81" s="2">
        <v>44000</v>
      </c>
      <c r="B81" s="1">
        <v>87.932500000000005</v>
      </c>
      <c r="C81" s="1">
        <v>2653.98</v>
      </c>
      <c r="D81" s="22">
        <f t="shared" si="9"/>
        <v>745.16290510576619</v>
      </c>
      <c r="E81" s="23">
        <f t="shared" si="10"/>
        <v>3.3556681490488245</v>
      </c>
      <c r="F81" s="23">
        <f t="shared" si="11"/>
        <v>-3.3556681490488245</v>
      </c>
      <c r="H81" s="13"/>
      <c r="I81" s="14"/>
    </row>
    <row r="82" spans="1:9" x14ac:dyDescent="0.3">
      <c r="A82" s="2">
        <v>43999</v>
      </c>
      <c r="B82" s="1">
        <v>87.897499999999994</v>
      </c>
      <c r="C82" s="1">
        <v>2640.98</v>
      </c>
      <c r="D82" s="22">
        <f t="shared" si="9"/>
        <v>741.80723695671736</v>
      </c>
      <c r="E82" s="23">
        <f t="shared" si="10"/>
        <v>6.4938640540149208</v>
      </c>
      <c r="F82" s="23">
        <f t="shared" si="11"/>
        <v>-6.4938640540149208</v>
      </c>
      <c r="H82" s="13"/>
      <c r="I82" s="14"/>
    </row>
    <row r="83" spans="1:9" x14ac:dyDescent="0.3">
      <c r="A83" s="2">
        <v>43998</v>
      </c>
      <c r="B83" s="1">
        <v>88.02</v>
      </c>
      <c r="C83" s="1">
        <v>2615.27</v>
      </c>
      <c r="D83" s="22">
        <f t="shared" si="9"/>
        <v>735.31337290270244</v>
      </c>
      <c r="E83" s="23">
        <f t="shared" si="10"/>
        <v>12.598843085173485</v>
      </c>
      <c r="F83" s="23">
        <f t="shared" si="11"/>
        <v>-12.598843085173485</v>
      </c>
      <c r="H83" s="13"/>
      <c r="I83" s="14"/>
    </row>
    <row r="84" spans="1:9" x14ac:dyDescent="0.3">
      <c r="A84" s="2">
        <v>43997</v>
      </c>
      <c r="B84" s="1">
        <v>85.747500000000002</v>
      </c>
      <c r="C84" s="1">
        <v>2572.6799999999998</v>
      </c>
      <c r="D84" s="22">
        <f t="shared" si="9"/>
        <v>722.71452981752896</v>
      </c>
      <c r="E84" s="23">
        <f t="shared" si="10"/>
        <v>7.863642006676514</v>
      </c>
      <c r="F84" s="23">
        <f t="shared" si="11"/>
        <v>-7.863642006676514</v>
      </c>
      <c r="H84" s="13"/>
      <c r="I84" s="14"/>
    </row>
    <row r="85" spans="1:9" x14ac:dyDescent="0.3">
      <c r="A85" s="2">
        <v>43994</v>
      </c>
      <c r="B85" s="1">
        <v>84.7</v>
      </c>
      <c r="C85" s="1">
        <v>2545.02</v>
      </c>
      <c r="D85" s="22">
        <f t="shared" si="9"/>
        <v>714.85088781085244</v>
      </c>
      <c r="E85" s="23">
        <f t="shared" si="10"/>
        <v>-2.7749560552837238</v>
      </c>
      <c r="F85" s="23">
        <f t="shared" si="11"/>
        <v>2.7749560552837238</v>
      </c>
      <c r="H85" s="13"/>
      <c r="I85" s="14"/>
    </row>
    <row r="86" spans="1:9" x14ac:dyDescent="0.3">
      <c r="A86" s="2">
        <v>43993</v>
      </c>
      <c r="B86" s="1">
        <v>83.974999999999994</v>
      </c>
      <c r="C86" s="1">
        <v>2557.96</v>
      </c>
      <c r="D86" s="22">
        <f t="shared" si="9"/>
        <v>717.62584386613617</v>
      </c>
      <c r="E86" s="23">
        <f t="shared" si="10"/>
        <v>-26.070986351496458</v>
      </c>
      <c r="F86" s="23">
        <f t="shared" si="11"/>
        <v>26.070986351496458</v>
      </c>
      <c r="H86" s="13"/>
      <c r="I86" s="14"/>
    </row>
    <row r="87" spans="1:9" x14ac:dyDescent="0.3">
      <c r="A87" s="2">
        <v>43992</v>
      </c>
      <c r="B87" s="1">
        <v>88.21</v>
      </c>
      <c r="C87" s="1">
        <v>2647.45</v>
      </c>
      <c r="D87" s="22">
        <f t="shared" si="9"/>
        <v>743.69683021763262</v>
      </c>
      <c r="E87" s="23">
        <f t="shared" si="10"/>
        <v>13.578712941335084</v>
      </c>
      <c r="F87" s="23">
        <f t="shared" si="11"/>
        <v>-13.578712941335084</v>
      </c>
      <c r="H87" s="13"/>
      <c r="I87" s="14"/>
    </row>
    <row r="88" spans="1:9" x14ac:dyDescent="0.3">
      <c r="A88" s="2">
        <v>43991</v>
      </c>
      <c r="B88" s="1">
        <v>85.997500000000002</v>
      </c>
      <c r="C88" s="1">
        <v>2600.86</v>
      </c>
      <c r="D88" s="22">
        <f t="shared" si="9"/>
        <v>730.11811727629754</v>
      </c>
      <c r="E88" s="23">
        <f t="shared" si="10"/>
        <v>21.628693979527725</v>
      </c>
      <c r="F88" s="23">
        <f t="shared" si="11"/>
        <v>-21.628693979527725</v>
      </c>
      <c r="H88" s="13"/>
      <c r="I88" s="14"/>
    </row>
    <row r="89" spans="1:9" x14ac:dyDescent="0.3">
      <c r="A89" s="2">
        <v>43990</v>
      </c>
      <c r="B89" s="1">
        <v>83.364999999999995</v>
      </c>
      <c r="C89" s="1">
        <v>2524.06</v>
      </c>
      <c r="D89" s="22">
        <f t="shared" si="9"/>
        <v>708.48942329676981</v>
      </c>
      <c r="E89" s="23">
        <f t="shared" si="10"/>
        <v>10.881014794208227</v>
      </c>
      <c r="F89" s="23">
        <f t="shared" si="11"/>
        <v>-10.881014794208227</v>
      </c>
      <c r="H89" s="13"/>
      <c r="I89" s="14"/>
    </row>
    <row r="90" spans="1:9" x14ac:dyDescent="0.3">
      <c r="A90" s="2">
        <v>43987</v>
      </c>
      <c r="B90" s="1">
        <v>82.875</v>
      </c>
      <c r="C90" s="1">
        <v>2483</v>
      </c>
      <c r="D90" s="22">
        <f t="shared" si="9"/>
        <v>697.60840850256159</v>
      </c>
      <c r="E90" s="23">
        <f t="shared" si="10"/>
        <v>7.4444047926436951</v>
      </c>
      <c r="F90" s="23">
        <f t="shared" si="11"/>
        <v>-7.4444047926436951</v>
      </c>
      <c r="H90" s="13"/>
      <c r="I90" s="14"/>
    </row>
    <row r="91" spans="1:9" x14ac:dyDescent="0.3">
      <c r="A91" s="2">
        <v>43986</v>
      </c>
      <c r="B91" s="1">
        <v>80.58</v>
      </c>
      <c r="C91" s="1">
        <v>2460.6</v>
      </c>
      <c r="D91" s="22">
        <f t="shared" si="9"/>
        <v>690.16400370991789</v>
      </c>
      <c r="E91" s="23">
        <f t="shared" si="10"/>
        <v>-5.0797474237357392</v>
      </c>
      <c r="F91" s="23">
        <f t="shared" si="11"/>
        <v>5.0797474237357392</v>
      </c>
      <c r="H91" s="13"/>
      <c r="I91" s="14"/>
    </row>
    <row r="92" spans="1:9" x14ac:dyDescent="0.3">
      <c r="A92" s="2">
        <v>43985</v>
      </c>
      <c r="B92" s="1">
        <v>81.28</v>
      </c>
      <c r="C92" s="1">
        <v>2478.4</v>
      </c>
      <c r="D92" s="22">
        <f t="shared" si="9"/>
        <v>695.24375113365363</v>
      </c>
      <c r="E92" s="23">
        <f t="shared" si="10"/>
        <v>1.865216342960025</v>
      </c>
      <c r="F92" s="23">
        <f t="shared" si="11"/>
        <v>-1.865216342960025</v>
      </c>
      <c r="H92" s="13"/>
      <c r="I92" s="14"/>
    </row>
    <row r="93" spans="1:9" x14ac:dyDescent="0.3">
      <c r="A93" s="2">
        <v>43984</v>
      </c>
      <c r="B93" s="1">
        <v>80.834999999999994</v>
      </c>
      <c r="C93" s="1">
        <v>2472.41</v>
      </c>
      <c r="D93" s="22">
        <f t="shared" si="9"/>
        <v>693.37853479069361</v>
      </c>
      <c r="E93" s="23">
        <f t="shared" si="10"/>
        <v>0.62798526638448493</v>
      </c>
      <c r="F93" s="23">
        <f t="shared" si="11"/>
        <v>-0.62798526638448493</v>
      </c>
      <c r="H93" s="13"/>
      <c r="I93" s="14"/>
    </row>
    <row r="94" spans="1:9" x14ac:dyDescent="0.3">
      <c r="A94" s="2">
        <v>43983</v>
      </c>
      <c r="B94" s="1">
        <v>80.462500000000006</v>
      </c>
      <c r="C94" s="1">
        <v>2471.04</v>
      </c>
      <c r="D94" s="22">
        <f t="shared" si="9"/>
        <v>692.75054952430912</v>
      </c>
      <c r="E94" s="23">
        <f t="shared" si="10"/>
        <v>8.0702576334388141</v>
      </c>
      <c r="F94" s="23">
        <f t="shared" si="11"/>
        <v>-8.0702576334388141</v>
      </c>
      <c r="H94" s="13"/>
      <c r="I94" s="14"/>
    </row>
    <row r="95" spans="1:9" x14ac:dyDescent="0.3">
      <c r="A95" s="2">
        <v>43980</v>
      </c>
      <c r="B95" s="1">
        <v>79.484999999999999</v>
      </c>
      <c r="C95" s="1">
        <v>2442.37</v>
      </c>
      <c r="D95" s="22">
        <f t="shared" si="9"/>
        <v>684.68029189087031</v>
      </c>
      <c r="E95" s="23">
        <f t="shared" si="10"/>
        <v>10.512652432918912</v>
      </c>
      <c r="F95" s="23">
        <f t="shared" si="11"/>
        <v>-10.512652432918912</v>
      </c>
      <c r="H95" s="13"/>
      <c r="I95" s="14"/>
    </row>
    <row r="96" spans="1:9" x14ac:dyDescent="0.3">
      <c r="A96" s="2">
        <v>43979</v>
      </c>
      <c r="B96" s="1">
        <v>79.5625</v>
      </c>
      <c r="C96" s="1">
        <v>2401.1</v>
      </c>
      <c r="D96" s="22">
        <f t="shared" si="9"/>
        <v>674.1676394579514</v>
      </c>
      <c r="E96" s="23">
        <f t="shared" si="10"/>
        <v>-2.3533710366277774</v>
      </c>
      <c r="F96" s="23">
        <f t="shared" si="11"/>
        <v>2.3533710366277774</v>
      </c>
      <c r="H96" s="13"/>
      <c r="I96" s="14"/>
    </row>
    <row r="97" spans="1:9" x14ac:dyDescent="0.3">
      <c r="A97" s="2">
        <v>43978</v>
      </c>
      <c r="B97" s="1">
        <v>79.527500000000003</v>
      </c>
      <c r="C97" s="1">
        <v>2410.39</v>
      </c>
      <c r="D97" s="22">
        <f t="shared" si="9"/>
        <v>676.52101049457917</v>
      </c>
      <c r="E97" s="23">
        <f t="shared" si="10"/>
        <v>-2.6811237316630923</v>
      </c>
      <c r="F97" s="23">
        <f t="shared" si="11"/>
        <v>2.6811237316630923</v>
      </c>
      <c r="H97" s="13"/>
      <c r="I97" s="14"/>
    </row>
    <row r="98" spans="1:9" x14ac:dyDescent="0.3">
      <c r="A98" s="2">
        <v>43977</v>
      </c>
      <c r="B98" s="1">
        <v>79.182500000000005</v>
      </c>
      <c r="C98" s="1">
        <v>2421.86</v>
      </c>
      <c r="D98" s="22">
        <f t="shared" si="9"/>
        <v>679.20213422624226</v>
      </c>
      <c r="E98" s="23">
        <f t="shared" si="10"/>
        <v>-4.2486984032569808</v>
      </c>
      <c r="F98" s="23">
        <f t="shared" si="11"/>
        <v>4.2486984032569808</v>
      </c>
      <c r="H98" s="13"/>
      <c r="I98" s="14"/>
    </row>
    <row r="99" spans="1:9" x14ac:dyDescent="0.3">
      <c r="A99" s="2">
        <v>43973</v>
      </c>
      <c r="B99" s="1">
        <v>79.722499999999997</v>
      </c>
      <c r="C99" s="1">
        <v>2436.88</v>
      </c>
      <c r="D99" s="22">
        <f t="shared" si="9"/>
        <v>683.45083262949925</v>
      </c>
      <c r="E99" s="23">
        <f t="shared" si="10"/>
        <v>-2.1460222680783545</v>
      </c>
      <c r="F99" s="23">
        <f t="shared" si="11"/>
        <v>2.1460222680783545</v>
      </c>
      <c r="H99" s="13"/>
      <c r="I99" s="14"/>
    </row>
    <row r="100" spans="1:9" x14ac:dyDescent="0.3">
      <c r="A100" s="2">
        <v>43972</v>
      </c>
      <c r="B100" s="1">
        <v>79.212500000000006</v>
      </c>
      <c r="C100" s="1">
        <v>2446.7399999999998</v>
      </c>
      <c r="D100" s="22">
        <f t="shared" si="9"/>
        <v>685.5968548975776</v>
      </c>
      <c r="E100" s="23">
        <f t="shared" si="10"/>
        <v>-13.556234992874238</v>
      </c>
      <c r="F100" s="23">
        <f t="shared" si="11"/>
        <v>13.556234992874238</v>
      </c>
      <c r="H100" s="13"/>
      <c r="I100" s="14"/>
    </row>
    <row r="101" spans="1:9" x14ac:dyDescent="0.3">
      <c r="A101" s="2">
        <v>43971</v>
      </c>
      <c r="B101" s="1">
        <v>79.807500000000005</v>
      </c>
      <c r="C101" s="1">
        <v>2497.94</v>
      </c>
      <c r="D101" s="22">
        <f t="shared" si="9"/>
        <v>699.15308989045184</v>
      </c>
      <c r="E101" s="23">
        <f t="shared" si="10"/>
        <v>13.582813264044489</v>
      </c>
      <c r="F101" s="23">
        <f t="shared" si="11"/>
        <v>-13.582813264044489</v>
      </c>
      <c r="H101" s="13"/>
      <c r="I101" s="14"/>
    </row>
    <row r="102" spans="1:9" x14ac:dyDescent="0.3">
      <c r="A102" s="2">
        <v>43970</v>
      </c>
      <c r="B102" s="1">
        <v>78.284999999999997</v>
      </c>
      <c r="C102" s="1">
        <v>2449.33</v>
      </c>
      <c r="D102" s="22">
        <f t="shared" si="9"/>
        <v>685.57027662640735</v>
      </c>
      <c r="E102" s="23">
        <f t="shared" si="10"/>
        <v>5.5703542773907202</v>
      </c>
      <c r="F102" s="23">
        <f t="shared" si="11"/>
        <v>-5.5703542773907202</v>
      </c>
      <c r="H102" s="13"/>
      <c r="I102" s="14"/>
    </row>
    <row r="103" spans="1:9" x14ac:dyDescent="0.3">
      <c r="A103" s="2">
        <v>43969</v>
      </c>
      <c r="B103" s="1">
        <v>78.739999999999995</v>
      </c>
      <c r="C103" s="1">
        <v>2426.2600000000002</v>
      </c>
      <c r="D103" s="22">
        <f t="shared" si="9"/>
        <v>679.99992234901663</v>
      </c>
      <c r="E103" s="23">
        <f t="shared" si="10"/>
        <v>5.5692219495698509</v>
      </c>
      <c r="F103" s="23">
        <f t="shared" si="11"/>
        <v>-5.5692219495698509</v>
      </c>
      <c r="H103" s="13"/>
      <c r="I103" s="14"/>
    </row>
    <row r="104" spans="1:9" x14ac:dyDescent="0.3">
      <c r="A104" s="2">
        <v>43966</v>
      </c>
      <c r="B104" s="1">
        <v>76.927499999999995</v>
      </c>
      <c r="C104" s="1">
        <v>2409.7800000000002</v>
      </c>
      <c r="D104" s="22">
        <f t="shared" si="9"/>
        <v>674.43070039944678</v>
      </c>
      <c r="E104" s="23">
        <f t="shared" si="10"/>
        <v>5.0203858494239739</v>
      </c>
      <c r="F104" s="23">
        <f t="shared" si="11"/>
        <v>-5.0203858494239739</v>
      </c>
      <c r="H104" s="13"/>
      <c r="I104" s="14"/>
    </row>
    <row r="105" spans="1:9" x14ac:dyDescent="0.3">
      <c r="A105" s="2">
        <v>43965</v>
      </c>
      <c r="B105" s="1">
        <v>77.385000000000005</v>
      </c>
      <c r="C105" s="1">
        <v>2388.85</v>
      </c>
      <c r="D105" s="22">
        <f t="shared" si="9"/>
        <v>669.4103145500228</v>
      </c>
      <c r="E105" s="23">
        <f t="shared" si="10"/>
        <v>5.7121890597119318</v>
      </c>
      <c r="F105" s="23">
        <f t="shared" si="11"/>
        <v>-5.7121890597119318</v>
      </c>
      <c r="H105" s="13"/>
      <c r="I105" s="14"/>
    </row>
    <row r="106" spans="1:9" x14ac:dyDescent="0.3">
      <c r="A106" s="2">
        <v>43964</v>
      </c>
      <c r="B106" s="1">
        <v>76.912499999999994</v>
      </c>
      <c r="C106" s="1">
        <v>2367.92</v>
      </c>
      <c r="D106" s="22">
        <f t="shared" si="9"/>
        <v>663.69812549031087</v>
      </c>
      <c r="E106" s="23">
        <f t="shared" si="10"/>
        <v>2.1104556617949584</v>
      </c>
      <c r="F106" s="23">
        <f t="shared" si="11"/>
        <v>-2.1104556617949584</v>
      </c>
      <c r="H106" s="13"/>
      <c r="I106" s="14"/>
    </row>
    <row r="107" spans="1:9" x14ac:dyDescent="0.3">
      <c r="A107" s="2">
        <v>43963</v>
      </c>
      <c r="B107" s="1">
        <v>77.852500000000006</v>
      </c>
      <c r="C107" s="1">
        <v>2356.9499999999998</v>
      </c>
      <c r="D107" s="22">
        <f t="shared" si="9"/>
        <v>661.58766982851591</v>
      </c>
      <c r="E107" s="23">
        <f t="shared" si="10"/>
        <v>-14.000823434157041</v>
      </c>
      <c r="F107" s="23">
        <f t="shared" si="11"/>
        <v>14.000823434157041</v>
      </c>
      <c r="H107" s="13"/>
      <c r="I107" s="14"/>
    </row>
    <row r="108" spans="1:9" x14ac:dyDescent="0.3">
      <c r="A108" s="2">
        <v>43962</v>
      </c>
      <c r="B108" s="1">
        <v>78.752499999999998</v>
      </c>
      <c r="C108" s="1">
        <v>2409</v>
      </c>
      <c r="D108" s="22">
        <f t="shared" si="9"/>
        <v>675.58849326267296</v>
      </c>
      <c r="E108" s="23">
        <f t="shared" si="10"/>
        <v>8.4351319854907842</v>
      </c>
      <c r="F108" s="23">
        <f t="shared" si="11"/>
        <v>-8.4351319854907842</v>
      </c>
      <c r="H108" s="13"/>
      <c r="I108" s="14"/>
    </row>
    <row r="109" spans="1:9" x14ac:dyDescent="0.3">
      <c r="A109" s="2">
        <v>43959</v>
      </c>
      <c r="B109" s="1">
        <v>77.532399999999996</v>
      </c>
      <c r="C109" s="1">
        <v>2379.61</v>
      </c>
      <c r="D109" s="22">
        <f t="shared" si="9"/>
        <v>667.15336127718217</v>
      </c>
      <c r="E109" s="23">
        <f t="shared" si="10"/>
        <v>4.2617719619973968</v>
      </c>
      <c r="F109" s="23">
        <f t="shared" si="11"/>
        <v>-4.2617719619973968</v>
      </c>
      <c r="H109" s="13"/>
      <c r="I109" s="14"/>
    </row>
    <row r="110" spans="1:9" x14ac:dyDescent="0.3">
      <c r="A110" s="2">
        <v>43958</v>
      </c>
      <c r="B110" s="1">
        <v>75.935000000000002</v>
      </c>
      <c r="C110" s="1">
        <v>2367.61</v>
      </c>
      <c r="D110" s="22">
        <f t="shared" si="9"/>
        <v>662.89158931518477</v>
      </c>
      <c r="E110" s="23">
        <f t="shared" si="10"/>
        <v>4.7660155997732545</v>
      </c>
      <c r="F110" s="23">
        <f t="shared" si="11"/>
        <v>-4.7660155997732545</v>
      </c>
      <c r="H110" s="13"/>
      <c r="I110" s="14"/>
    </row>
    <row r="111" spans="1:9" x14ac:dyDescent="0.3">
      <c r="A111" s="2">
        <v>43957</v>
      </c>
      <c r="B111" s="1">
        <v>75.157499999999999</v>
      </c>
      <c r="C111" s="1">
        <v>2351.2600000000002</v>
      </c>
      <c r="D111" s="22">
        <f t="shared" si="9"/>
        <v>658.12557371541152</v>
      </c>
      <c r="E111" s="23">
        <f t="shared" si="10"/>
        <v>9.1408855351160128</v>
      </c>
      <c r="F111" s="23">
        <f t="shared" si="11"/>
        <v>-9.1408855351160128</v>
      </c>
      <c r="H111" s="13"/>
      <c r="I111" s="14"/>
    </row>
    <row r="112" spans="1:9" x14ac:dyDescent="0.3">
      <c r="A112" s="2">
        <v>43956</v>
      </c>
      <c r="B112" s="1">
        <v>74.39</v>
      </c>
      <c r="C112" s="1">
        <v>2317.8000000000002</v>
      </c>
      <c r="D112" s="22">
        <f t="shared" si="9"/>
        <v>648.98468818029551</v>
      </c>
      <c r="E112" s="23">
        <f t="shared" si="10"/>
        <v>1.2818491620382702</v>
      </c>
      <c r="F112" s="23">
        <f t="shared" si="11"/>
        <v>-1.2818491620382702</v>
      </c>
      <c r="H112" s="13"/>
      <c r="I112" s="14"/>
    </row>
    <row r="113" spans="1:9" x14ac:dyDescent="0.3">
      <c r="A113" s="2">
        <v>43955</v>
      </c>
      <c r="B113" s="1">
        <v>73.290000000000006</v>
      </c>
      <c r="C113" s="1">
        <v>2315.9899999999998</v>
      </c>
      <c r="D113" s="22">
        <f t="shared" si="9"/>
        <v>647.70283901825724</v>
      </c>
      <c r="E113" s="23">
        <f t="shared" si="10"/>
        <v>8.4315727251529324</v>
      </c>
      <c r="F113" s="23">
        <f t="shared" si="11"/>
        <v>-8.4315727251529324</v>
      </c>
      <c r="H113" s="13"/>
      <c r="I113" s="14"/>
    </row>
    <row r="114" spans="1:9" x14ac:dyDescent="0.3">
      <c r="A114" s="2">
        <v>43952</v>
      </c>
      <c r="B114" s="1">
        <v>72.267499999999998</v>
      </c>
      <c r="C114" s="1">
        <v>2286.04</v>
      </c>
      <c r="D114" s="22">
        <f t="shared" si="9"/>
        <v>639.2712662931043</v>
      </c>
      <c r="E114" s="23">
        <f t="shared" si="10"/>
        <v>-49.020995581099896</v>
      </c>
      <c r="F114" s="23">
        <f t="shared" si="11"/>
        <v>49.020995581099896</v>
      </c>
      <c r="H114" s="13"/>
      <c r="I114" s="14"/>
    </row>
    <row r="115" spans="1:9" x14ac:dyDescent="0.3">
      <c r="A115" s="2">
        <v>43951</v>
      </c>
      <c r="B115" s="1">
        <v>73.45</v>
      </c>
      <c r="C115" s="1">
        <v>2474</v>
      </c>
      <c r="D115" s="22">
        <f t="shared" si="9"/>
        <v>688.2922618742042</v>
      </c>
      <c r="E115" s="23">
        <f t="shared" si="10"/>
        <v>27.071789464016092</v>
      </c>
      <c r="F115" s="23">
        <f t="shared" si="11"/>
        <v>-27.071789464016092</v>
      </c>
      <c r="H115" s="13"/>
      <c r="I115" s="14"/>
    </row>
    <row r="116" spans="1:9" x14ac:dyDescent="0.3">
      <c r="A116" s="2">
        <v>43950</v>
      </c>
      <c r="B116" s="1">
        <v>71.932500000000005</v>
      </c>
      <c r="C116" s="1">
        <v>2372.71</v>
      </c>
      <c r="D116" s="22">
        <f t="shared" si="9"/>
        <v>661.22047241018811</v>
      </c>
      <c r="E116" s="23">
        <f t="shared" si="10"/>
        <v>16.718255510048834</v>
      </c>
      <c r="F116" s="23">
        <f t="shared" si="11"/>
        <v>-16.718255510048834</v>
      </c>
      <c r="H116" s="13"/>
      <c r="I116" s="14"/>
    </row>
    <row r="117" spans="1:9" x14ac:dyDescent="0.3">
      <c r="A117" s="2">
        <v>43949</v>
      </c>
      <c r="B117" s="1">
        <v>69.644999999999996</v>
      </c>
      <c r="C117" s="1">
        <v>2314.08</v>
      </c>
      <c r="D117" s="22">
        <f t="shared" si="9"/>
        <v>644.50221690013927</v>
      </c>
      <c r="E117" s="23">
        <f t="shared" si="10"/>
        <v>-16.712891830934723</v>
      </c>
      <c r="F117" s="23">
        <f t="shared" si="11"/>
        <v>16.712891830934723</v>
      </c>
      <c r="H117" s="13"/>
      <c r="I117" s="14"/>
    </row>
    <row r="118" spans="1:9" x14ac:dyDescent="0.3">
      <c r="A118" s="2">
        <v>43948</v>
      </c>
      <c r="B118" s="1">
        <v>70.792500000000004</v>
      </c>
      <c r="C118" s="1">
        <v>2376</v>
      </c>
      <c r="D118" s="22">
        <f t="shared" si="9"/>
        <v>661.215108731074</v>
      </c>
      <c r="E118" s="23">
        <f t="shared" si="10"/>
        <v>-8.7274236380949333</v>
      </c>
      <c r="F118" s="23">
        <f t="shared" si="11"/>
        <v>8.7274236380949333</v>
      </c>
      <c r="H118" s="13"/>
      <c r="I118" s="14"/>
    </row>
    <row r="119" spans="1:9" x14ac:dyDescent="0.3">
      <c r="A119" s="2">
        <v>43945</v>
      </c>
      <c r="B119" s="1">
        <v>70.742500000000007</v>
      </c>
      <c r="C119" s="1">
        <v>2410.2199999999998</v>
      </c>
      <c r="D119" s="22">
        <f t="shared" si="9"/>
        <v>669.94253236916893</v>
      </c>
      <c r="E119" s="23">
        <f t="shared" si="10"/>
        <v>4.2350632232466978</v>
      </c>
      <c r="F119" s="23">
        <f t="shared" si="11"/>
        <v>-4.2350632232466978</v>
      </c>
      <c r="H119" s="13"/>
      <c r="I119" s="14"/>
    </row>
    <row r="120" spans="1:9" x14ac:dyDescent="0.3">
      <c r="A120" s="2">
        <v>43944</v>
      </c>
      <c r="B120" s="1">
        <v>68.757499999999993</v>
      </c>
      <c r="C120" s="1">
        <v>2399.4499999999998</v>
      </c>
      <c r="D120" s="22">
        <f t="shared" si="9"/>
        <v>665.70746914592223</v>
      </c>
      <c r="E120" s="23">
        <f t="shared" si="10"/>
        <v>9.0112894616016774</v>
      </c>
      <c r="F120" s="23">
        <f t="shared" si="11"/>
        <v>-9.0112894616016774</v>
      </c>
      <c r="H120" s="13"/>
      <c r="I120" s="14"/>
    </row>
    <row r="121" spans="1:9" x14ac:dyDescent="0.3">
      <c r="A121" s="2">
        <v>43943</v>
      </c>
      <c r="B121" s="1">
        <v>69.025000000000006</v>
      </c>
      <c r="C121" s="1">
        <v>2363.4899999999998</v>
      </c>
      <c r="D121" s="22">
        <f t="shared" si="9"/>
        <v>656.69617968432055</v>
      </c>
      <c r="E121" s="23">
        <f t="shared" si="10"/>
        <v>10.496699092465747</v>
      </c>
      <c r="F121" s="23">
        <f t="shared" si="11"/>
        <v>-10.496699092465747</v>
      </c>
      <c r="H121" s="13"/>
      <c r="I121" s="14"/>
    </row>
    <row r="122" spans="1:9" x14ac:dyDescent="0.3">
      <c r="A122" s="2">
        <v>43942</v>
      </c>
      <c r="B122" s="1">
        <v>67.092500000000001</v>
      </c>
      <c r="C122" s="1">
        <v>2328.12</v>
      </c>
      <c r="D122" s="22">
        <f t="shared" si="9"/>
        <v>646.19948059185481</v>
      </c>
      <c r="E122" s="23">
        <f t="shared" si="10"/>
        <v>-18.365555514249309</v>
      </c>
      <c r="F122" s="23">
        <f t="shared" si="11"/>
        <v>18.365555514249309</v>
      </c>
      <c r="H122" s="13"/>
      <c r="I122" s="14"/>
    </row>
    <row r="123" spans="1:9" x14ac:dyDescent="0.3">
      <c r="A123" s="2">
        <v>43941</v>
      </c>
      <c r="B123" s="1">
        <v>69.232500000000002</v>
      </c>
      <c r="C123" s="1">
        <v>2393.61</v>
      </c>
      <c r="D123" s="22">
        <f t="shared" si="9"/>
        <v>664.56503610610412</v>
      </c>
      <c r="E123" s="23">
        <f t="shared" si="10"/>
        <v>3.6748613391845311</v>
      </c>
      <c r="F123" s="23">
        <f t="shared" si="11"/>
        <v>-3.6748613391845311</v>
      </c>
      <c r="H123" s="13"/>
      <c r="I123" s="14"/>
    </row>
    <row r="124" spans="1:9" x14ac:dyDescent="0.3">
      <c r="A124" s="2">
        <v>43938</v>
      </c>
      <c r="B124" s="1">
        <v>70.7</v>
      </c>
      <c r="C124" s="1">
        <v>2375</v>
      </c>
      <c r="D124" s="22">
        <f t="shared" si="9"/>
        <v>660.89017476691959</v>
      </c>
      <c r="E124" s="23">
        <f t="shared" si="10"/>
        <v>-9.2242258844565868</v>
      </c>
      <c r="F124" s="23">
        <f t="shared" si="11"/>
        <v>9.2242258844565868</v>
      </c>
      <c r="H124" s="13"/>
      <c r="I124" s="14"/>
    </row>
    <row r="125" spans="1:9" x14ac:dyDescent="0.3">
      <c r="A125" s="2">
        <v>43937</v>
      </c>
      <c r="B125" s="1">
        <v>71.672499999999999</v>
      </c>
      <c r="C125" s="1">
        <v>2408.19</v>
      </c>
      <c r="D125" s="22">
        <f t="shared" si="9"/>
        <v>670.11440065137617</v>
      </c>
      <c r="E125" s="23">
        <f t="shared" si="10"/>
        <v>26.163471126624131</v>
      </c>
      <c r="F125" s="23">
        <f t="shared" si="11"/>
        <v>-26.163471126624131</v>
      </c>
      <c r="H125" s="13"/>
      <c r="I125" s="14"/>
    </row>
    <row r="126" spans="1:9" x14ac:dyDescent="0.3">
      <c r="A126" s="2">
        <v>43936</v>
      </c>
      <c r="B126" s="1">
        <v>71.107500000000002</v>
      </c>
      <c r="C126" s="1">
        <v>2307.6799999999998</v>
      </c>
      <c r="D126" s="22">
        <f t="shared" si="9"/>
        <v>643.95092952475204</v>
      </c>
      <c r="E126" s="23">
        <f t="shared" si="10"/>
        <v>5.7519813920905563</v>
      </c>
      <c r="F126" s="23">
        <f t="shared" si="11"/>
        <v>-5.7519813920905563</v>
      </c>
      <c r="H126" s="13"/>
      <c r="I126" s="14"/>
    </row>
    <row r="127" spans="1:9" x14ac:dyDescent="0.3">
      <c r="A127" s="2">
        <v>43935</v>
      </c>
      <c r="B127" s="1">
        <v>71.762500000000003</v>
      </c>
      <c r="C127" s="1">
        <v>2283.3200000000002</v>
      </c>
      <c r="D127" s="22">
        <f t="shared" si="9"/>
        <v>638.19894813266149</v>
      </c>
      <c r="E127" s="23">
        <f t="shared" si="10"/>
        <v>31.879939417232322</v>
      </c>
      <c r="F127" s="23">
        <f t="shared" si="11"/>
        <v>-31.879939417232322</v>
      </c>
      <c r="H127" s="13"/>
      <c r="I127" s="14"/>
    </row>
    <row r="128" spans="1:9" x14ac:dyDescent="0.3">
      <c r="A128" s="2">
        <v>43934</v>
      </c>
      <c r="B128" s="1">
        <v>68.3125</v>
      </c>
      <c r="C128" s="1">
        <v>2168.87</v>
      </c>
      <c r="D128" s="22">
        <f t="shared" si="9"/>
        <v>606.31900871542916</v>
      </c>
      <c r="E128" s="23">
        <f t="shared" si="10"/>
        <v>33.278191797959266</v>
      </c>
      <c r="F128" s="23">
        <f t="shared" si="11"/>
        <v>-33.278191797959266</v>
      </c>
      <c r="H128" s="13"/>
      <c r="I128" s="14"/>
    </row>
    <row r="129" spans="1:9" x14ac:dyDescent="0.3">
      <c r="A129" s="2">
        <v>43930</v>
      </c>
      <c r="B129" s="1">
        <v>66.997500000000002</v>
      </c>
      <c r="C129" s="1">
        <v>2042.76</v>
      </c>
      <c r="D129" s="22">
        <f t="shared" si="9"/>
        <v>573.0408169174699</v>
      </c>
      <c r="E129" s="23">
        <f t="shared" si="10"/>
        <v>0.29558958215852726</v>
      </c>
      <c r="F129" s="23">
        <f t="shared" si="11"/>
        <v>-0.29558958215852726</v>
      </c>
      <c r="H129" s="13"/>
      <c r="I129" s="14"/>
    </row>
    <row r="130" spans="1:9" x14ac:dyDescent="0.3">
      <c r="A130" s="2">
        <v>43929</v>
      </c>
      <c r="B130" s="1">
        <v>66.517499999999998</v>
      </c>
      <c r="C130" s="1">
        <v>2043</v>
      </c>
      <c r="D130" s="22">
        <f t="shared" si="9"/>
        <v>572.74522733531137</v>
      </c>
      <c r="E130" s="23">
        <f t="shared" si="10"/>
        <v>9.2771747591755229</v>
      </c>
      <c r="F130" s="23">
        <f t="shared" si="11"/>
        <v>-9.2771747591755229</v>
      </c>
      <c r="H130" s="13"/>
      <c r="I130" s="14"/>
    </row>
    <row r="131" spans="1:9" x14ac:dyDescent="0.3">
      <c r="A131" s="2">
        <v>43928</v>
      </c>
      <c r="B131" s="1">
        <v>64.857500000000002</v>
      </c>
      <c r="C131" s="1">
        <v>2011.6</v>
      </c>
      <c r="D131" s="22">
        <f t="shared" si="9"/>
        <v>563.46805257613585</v>
      </c>
      <c r="E131" s="23">
        <f t="shared" si="10"/>
        <v>3.0229748215542713</v>
      </c>
      <c r="F131" s="23">
        <f t="shared" si="11"/>
        <v>-3.0229748215542713</v>
      </c>
      <c r="H131" s="13"/>
      <c r="I131" s="14"/>
    </row>
    <row r="132" spans="1:9" x14ac:dyDescent="0.3">
      <c r="A132" s="2">
        <v>43927</v>
      </c>
      <c r="B132" s="1">
        <v>65.617500000000007</v>
      </c>
      <c r="C132" s="1">
        <v>1997.59</v>
      </c>
      <c r="D132" s="22">
        <f t="shared" si="9"/>
        <v>560.44507775458158</v>
      </c>
      <c r="E132" s="23">
        <f t="shared" si="10"/>
        <v>27.22392663005769</v>
      </c>
      <c r="F132" s="23">
        <f t="shared" si="11"/>
        <v>-27.22392663005769</v>
      </c>
      <c r="H132" s="13"/>
      <c r="I132" s="14"/>
    </row>
    <row r="133" spans="1:9" x14ac:dyDescent="0.3">
      <c r="A133" s="2">
        <v>43924</v>
      </c>
      <c r="B133" s="1">
        <v>60.352499999999999</v>
      </c>
      <c r="C133" s="1">
        <v>1906.59</v>
      </c>
      <c r="D133" s="22">
        <f t="shared" si="9"/>
        <v>533.22115112452389</v>
      </c>
      <c r="E133" s="23">
        <f t="shared" si="10"/>
        <v>-3.7895865926104761</v>
      </c>
      <c r="F133" s="23">
        <f t="shared" si="11"/>
        <v>3.7895865926104761</v>
      </c>
      <c r="H133" s="13"/>
      <c r="I133" s="14"/>
    </row>
    <row r="134" spans="1:9" x14ac:dyDescent="0.3">
      <c r="A134" s="2">
        <v>43923</v>
      </c>
      <c r="B134" s="1">
        <v>61.232500000000002</v>
      </c>
      <c r="C134" s="1">
        <v>1918.83</v>
      </c>
      <c r="D134" s="22">
        <f t="shared" ref="D134:D197" si="12">$M$16*B134+(1-$M$16)*C134</f>
        <v>537.01073771713436</v>
      </c>
      <c r="E134" s="23">
        <f t="shared" ref="E134:E197" si="13">D134-D135</f>
        <v>3.5982715008960895</v>
      </c>
      <c r="F134" s="23">
        <f t="shared" ref="F134:F197" si="14">-E134</f>
        <v>-3.5982715008960895</v>
      </c>
      <c r="H134" s="13"/>
      <c r="I134" s="14"/>
    </row>
    <row r="135" spans="1:9" x14ac:dyDescent="0.3">
      <c r="A135" s="2">
        <v>43922</v>
      </c>
      <c r="B135" s="1">
        <v>60.227499999999999</v>
      </c>
      <c r="C135" s="1">
        <v>1907.7</v>
      </c>
      <c r="D135" s="22">
        <f t="shared" si="12"/>
        <v>533.41246621623827</v>
      </c>
      <c r="E135" s="23">
        <f t="shared" si="13"/>
        <v>-13.250656819472511</v>
      </c>
      <c r="F135" s="23">
        <f t="shared" si="14"/>
        <v>13.250656819472511</v>
      </c>
      <c r="H135" s="13"/>
      <c r="I135" s="14"/>
    </row>
    <row r="136" spans="1:9" x14ac:dyDescent="0.3">
      <c r="A136" s="2">
        <v>43921</v>
      </c>
      <c r="B136" s="1">
        <v>63.572499999999998</v>
      </c>
      <c r="C136" s="1">
        <v>1949.72</v>
      </c>
      <c r="D136" s="22">
        <f t="shared" si="12"/>
        <v>546.66312303571078</v>
      </c>
      <c r="E136" s="23">
        <f t="shared" si="13"/>
        <v>-3.7413706827294391</v>
      </c>
      <c r="F136" s="23">
        <f t="shared" si="14"/>
        <v>3.7413706827294391</v>
      </c>
      <c r="H136" s="13"/>
      <c r="I136" s="14"/>
    </row>
    <row r="137" spans="1:9" x14ac:dyDescent="0.3">
      <c r="A137" s="2">
        <v>43920</v>
      </c>
      <c r="B137" s="1">
        <v>63.702500000000001</v>
      </c>
      <c r="C137" s="1">
        <v>1963.95</v>
      </c>
      <c r="D137" s="22">
        <f t="shared" si="12"/>
        <v>550.40449371844022</v>
      </c>
      <c r="E137" s="23">
        <f t="shared" si="13"/>
        <v>17.668416341173952</v>
      </c>
      <c r="F137" s="23">
        <f t="shared" si="14"/>
        <v>-17.668416341173952</v>
      </c>
      <c r="H137" s="13"/>
      <c r="I137" s="14"/>
    </row>
    <row r="138" spans="1:9" x14ac:dyDescent="0.3">
      <c r="A138" s="2">
        <v>43917</v>
      </c>
      <c r="B138" s="1">
        <v>61.935000000000002</v>
      </c>
      <c r="C138" s="1">
        <v>1900.1</v>
      </c>
      <c r="D138" s="22">
        <f t="shared" si="12"/>
        <v>532.73607737726627</v>
      </c>
      <c r="E138" s="23">
        <f t="shared" si="13"/>
        <v>-16.176659967381852</v>
      </c>
      <c r="F138" s="23">
        <f t="shared" si="14"/>
        <v>16.176659967381852</v>
      </c>
      <c r="H138" s="13"/>
      <c r="I138" s="14"/>
    </row>
    <row r="139" spans="1:9" x14ac:dyDescent="0.3">
      <c r="A139" s="2">
        <v>43916</v>
      </c>
      <c r="B139" s="1">
        <v>64.61</v>
      </c>
      <c r="C139" s="1">
        <v>1955.49</v>
      </c>
      <c r="D139" s="22">
        <f t="shared" si="12"/>
        <v>548.91273734464812</v>
      </c>
      <c r="E139" s="23">
        <f t="shared" si="13"/>
        <v>20.241861045878863</v>
      </c>
      <c r="F139" s="23">
        <f t="shared" si="14"/>
        <v>-20.241861045878863</v>
      </c>
      <c r="H139" s="13"/>
      <c r="I139" s="14"/>
    </row>
    <row r="140" spans="1:9" x14ac:dyDescent="0.3">
      <c r="A140" s="2">
        <v>43915</v>
      </c>
      <c r="B140" s="1">
        <v>61.38</v>
      </c>
      <c r="C140" s="1">
        <v>1885.84</v>
      </c>
      <c r="D140" s="22">
        <f t="shared" si="12"/>
        <v>528.67087629876926</v>
      </c>
      <c r="E140" s="23">
        <f t="shared" si="13"/>
        <v>-14.150291291686131</v>
      </c>
      <c r="F140" s="23">
        <f t="shared" si="14"/>
        <v>14.150291291686131</v>
      </c>
      <c r="H140" s="13"/>
      <c r="I140" s="14"/>
    </row>
    <row r="141" spans="1:9" x14ac:dyDescent="0.3">
      <c r="A141" s="2">
        <v>43914</v>
      </c>
      <c r="B141" s="1">
        <v>61.72</v>
      </c>
      <c r="C141" s="1">
        <v>1940.1</v>
      </c>
      <c r="D141" s="22">
        <f t="shared" si="12"/>
        <v>542.82116759045539</v>
      </c>
      <c r="E141" s="23">
        <f t="shared" si="13"/>
        <v>13.731953675763748</v>
      </c>
      <c r="F141" s="23">
        <f t="shared" si="14"/>
        <v>-13.731953675763748</v>
      </c>
      <c r="H141" s="13"/>
      <c r="I141" s="14"/>
    </row>
    <row r="142" spans="1:9" x14ac:dyDescent="0.3">
      <c r="A142" s="2">
        <v>43913</v>
      </c>
      <c r="B142" s="1">
        <v>56.092500000000001</v>
      </c>
      <c r="C142" s="1">
        <v>1902.83</v>
      </c>
      <c r="D142" s="22">
        <f t="shared" si="12"/>
        <v>529.08921391469164</v>
      </c>
      <c r="E142" s="23">
        <f t="shared" si="13"/>
        <v>13.626898322290344</v>
      </c>
      <c r="F142" s="23">
        <f t="shared" si="14"/>
        <v>-13.626898322290344</v>
      </c>
      <c r="H142" s="13"/>
      <c r="I142" s="14"/>
    </row>
    <row r="143" spans="1:9" x14ac:dyDescent="0.3">
      <c r="A143" s="2">
        <v>43910</v>
      </c>
      <c r="B143" s="1">
        <v>57.31</v>
      </c>
      <c r="C143" s="1">
        <v>1846.09</v>
      </c>
      <c r="D143" s="22">
        <f t="shared" si="12"/>
        <v>515.4623155924013</v>
      </c>
      <c r="E143" s="23">
        <f t="shared" si="13"/>
        <v>-11.813367339283104</v>
      </c>
      <c r="F143" s="23">
        <f t="shared" si="14"/>
        <v>11.813367339283104</v>
      </c>
      <c r="H143" s="13"/>
      <c r="I143" s="14"/>
    </row>
    <row r="144" spans="1:9" x14ac:dyDescent="0.3">
      <c r="A144" s="2">
        <v>43909</v>
      </c>
      <c r="B144" s="1">
        <v>61.195</v>
      </c>
      <c r="C144" s="1">
        <v>1880.93</v>
      </c>
      <c r="D144" s="22">
        <f t="shared" si="12"/>
        <v>527.2756829316844</v>
      </c>
      <c r="E144" s="23">
        <f t="shared" si="13"/>
        <v>12.692995143191752</v>
      </c>
      <c r="F144" s="23">
        <f t="shared" si="14"/>
        <v>-12.692995143191752</v>
      </c>
      <c r="H144" s="13"/>
      <c r="I144" s="14"/>
    </row>
    <row r="145" spans="1:9" x14ac:dyDescent="0.3">
      <c r="A145" s="2">
        <v>43908</v>
      </c>
      <c r="B145" s="1">
        <v>61.667499999999997</v>
      </c>
      <c r="C145" s="1">
        <v>1830</v>
      </c>
      <c r="D145" s="22">
        <f t="shared" si="12"/>
        <v>514.58268778849265</v>
      </c>
      <c r="E145" s="23">
        <f t="shared" si="13"/>
        <v>4.5245971958020164</v>
      </c>
      <c r="F145" s="23">
        <f t="shared" si="14"/>
        <v>-4.5245971958020164</v>
      </c>
      <c r="H145" s="13"/>
      <c r="I145" s="14"/>
    </row>
    <row r="146" spans="1:9" x14ac:dyDescent="0.3">
      <c r="A146" s="2">
        <v>43907</v>
      </c>
      <c r="B146" s="1">
        <v>63.215000000000003</v>
      </c>
      <c r="C146" s="1">
        <v>1807.84</v>
      </c>
      <c r="D146" s="22">
        <f t="shared" si="12"/>
        <v>510.05809059269063</v>
      </c>
      <c r="E146" s="23">
        <f t="shared" si="13"/>
        <v>32.380110772368482</v>
      </c>
      <c r="F146" s="23">
        <f t="shared" si="14"/>
        <v>-32.380110772368482</v>
      </c>
      <c r="H146" s="13"/>
      <c r="I146" s="14"/>
    </row>
    <row r="147" spans="1:9" x14ac:dyDescent="0.3">
      <c r="A147" s="2">
        <v>43906</v>
      </c>
      <c r="B147" s="1">
        <v>60.552500000000002</v>
      </c>
      <c r="C147" s="1">
        <v>1689.15</v>
      </c>
      <c r="D147" s="22">
        <f t="shared" si="12"/>
        <v>477.67797982032215</v>
      </c>
      <c r="E147" s="23">
        <f t="shared" si="13"/>
        <v>-31.199874186951774</v>
      </c>
      <c r="F147" s="23">
        <f t="shared" si="14"/>
        <v>31.199874186951774</v>
      </c>
      <c r="H147" s="13"/>
      <c r="I147" s="14"/>
    </row>
    <row r="148" spans="1:9" x14ac:dyDescent="0.3">
      <c r="A148" s="2">
        <v>43903</v>
      </c>
      <c r="B148" s="1">
        <v>69.492500000000007</v>
      </c>
      <c r="C148" s="1">
        <v>1785</v>
      </c>
      <c r="D148" s="22">
        <f t="shared" si="12"/>
        <v>508.87785400727392</v>
      </c>
      <c r="E148" s="23">
        <f t="shared" si="13"/>
        <v>33.292157962762872</v>
      </c>
      <c r="F148" s="23">
        <f t="shared" si="14"/>
        <v>-33.292157962762872</v>
      </c>
      <c r="H148" s="13"/>
      <c r="I148" s="14"/>
    </row>
    <row r="149" spans="1:9" x14ac:dyDescent="0.3">
      <c r="A149" s="2">
        <v>43902</v>
      </c>
      <c r="B149" s="1">
        <v>62.057499999999997</v>
      </c>
      <c r="C149" s="1">
        <v>1676.61</v>
      </c>
      <c r="D149" s="22">
        <f t="shared" si="12"/>
        <v>475.58569604451105</v>
      </c>
      <c r="E149" s="23">
        <f t="shared" si="13"/>
        <v>-42.00446101710412</v>
      </c>
      <c r="F149" s="23">
        <f t="shared" si="14"/>
        <v>42.00446101710412</v>
      </c>
      <c r="H149" s="13"/>
      <c r="I149" s="14"/>
    </row>
    <row r="150" spans="1:9" x14ac:dyDescent="0.3">
      <c r="A150" s="2">
        <v>43901</v>
      </c>
      <c r="B150" s="1">
        <v>68.857500000000002</v>
      </c>
      <c r="C150" s="1">
        <v>1820.86</v>
      </c>
      <c r="D150" s="22">
        <f t="shared" si="12"/>
        <v>517.59015706161517</v>
      </c>
      <c r="E150" s="23">
        <f t="shared" si="13"/>
        <v>-20.017620055320776</v>
      </c>
      <c r="F150" s="23">
        <f t="shared" si="14"/>
        <v>20.017620055320776</v>
      </c>
      <c r="H150" s="13"/>
      <c r="I150" s="14"/>
    </row>
    <row r="151" spans="1:9" x14ac:dyDescent="0.3">
      <c r="A151" s="2">
        <v>43900</v>
      </c>
      <c r="B151" s="1">
        <v>71.334999999999994</v>
      </c>
      <c r="C151" s="1">
        <v>1891.82</v>
      </c>
      <c r="D151" s="22">
        <f t="shared" si="12"/>
        <v>537.60777711693595</v>
      </c>
      <c r="E151" s="23">
        <f t="shared" si="13"/>
        <v>26.926306726078565</v>
      </c>
      <c r="F151" s="23">
        <f t="shared" si="14"/>
        <v>-26.926306726078565</v>
      </c>
      <c r="H151" s="13"/>
      <c r="I151" s="14"/>
    </row>
    <row r="152" spans="1:9" x14ac:dyDescent="0.3">
      <c r="A152" s="2">
        <v>43899</v>
      </c>
      <c r="B152" s="1">
        <v>66.542400000000001</v>
      </c>
      <c r="C152" s="1">
        <v>1800.61</v>
      </c>
      <c r="D152" s="22">
        <f t="shared" si="12"/>
        <v>510.68147039085738</v>
      </c>
      <c r="E152" s="23">
        <f t="shared" si="13"/>
        <v>-29.986815007928499</v>
      </c>
      <c r="F152" s="23">
        <f t="shared" si="14"/>
        <v>29.986815007928499</v>
      </c>
      <c r="H152" s="13"/>
      <c r="I152" s="14"/>
    </row>
    <row r="153" spans="1:9" x14ac:dyDescent="0.3">
      <c r="A153" s="2">
        <v>43896</v>
      </c>
      <c r="B153" s="1">
        <v>72.257499999999993</v>
      </c>
      <c r="C153" s="1">
        <v>1901.09</v>
      </c>
      <c r="D153" s="22">
        <f t="shared" si="12"/>
        <v>540.66828539878588</v>
      </c>
      <c r="E153" s="23">
        <f t="shared" si="13"/>
        <v>-6.598938686018414</v>
      </c>
      <c r="F153" s="23">
        <f t="shared" si="14"/>
        <v>6.598938686018414</v>
      </c>
      <c r="H153" s="13"/>
      <c r="I153" s="14"/>
    </row>
    <row r="154" spans="1:9" x14ac:dyDescent="0.3">
      <c r="A154" s="2">
        <v>43895</v>
      </c>
      <c r="B154" s="1">
        <v>73.23</v>
      </c>
      <c r="C154" s="1">
        <v>1924.03</v>
      </c>
      <c r="D154" s="22">
        <f t="shared" si="12"/>
        <v>547.2672240848043</v>
      </c>
      <c r="E154" s="23">
        <f t="shared" si="13"/>
        <v>-15.093516761651586</v>
      </c>
      <c r="F154" s="23">
        <f t="shared" si="14"/>
        <v>15.093516761651586</v>
      </c>
      <c r="H154" s="13"/>
      <c r="I154" s="14"/>
    </row>
    <row r="155" spans="1:9" x14ac:dyDescent="0.3">
      <c r="A155" s="2">
        <v>43894</v>
      </c>
      <c r="B155" s="1">
        <v>75.685000000000002</v>
      </c>
      <c r="C155" s="1">
        <v>1975.83</v>
      </c>
      <c r="D155" s="22">
        <f t="shared" si="12"/>
        <v>562.36074084645588</v>
      </c>
      <c r="E155" s="23">
        <f t="shared" si="13"/>
        <v>19.615132467594435</v>
      </c>
      <c r="F155" s="23">
        <f t="shared" si="14"/>
        <v>-19.615132467594435</v>
      </c>
      <c r="H155" s="13"/>
      <c r="I155" s="14"/>
    </row>
    <row r="156" spans="1:9" x14ac:dyDescent="0.3">
      <c r="A156" s="2">
        <v>43893</v>
      </c>
      <c r="B156" s="1">
        <v>72.33</v>
      </c>
      <c r="C156" s="1">
        <v>1908.99</v>
      </c>
      <c r="D156" s="22">
        <f t="shared" si="12"/>
        <v>542.74560837886145</v>
      </c>
      <c r="E156" s="23">
        <f t="shared" si="13"/>
        <v>-13.280248152534909</v>
      </c>
      <c r="F156" s="23">
        <f t="shared" si="14"/>
        <v>13.280248152534909</v>
      </c>
      <c r="H156" s="13"/>
      <c r="I156" s="14"/>
    </row>
    <row r="157" spans="1:9" x14ac:dyDescent="0.3">
      <c r="A157" s="2">
        <v>43892</v>
      </c>
      <c r="B157" s="1">
        <v>74.702500000000001</v>
      </c>
      <c r="C157" s="1">
        <v>1953.95</v>
      </c>
      <c r="D157" s="22">
        <f t="shared" si="12"/>
        <v>556.02585653139636</v>
      </c>
      <c r="E157" s="23">
        <f t="shared" si="13"/>
        <v>22.712916734662713</v>
      </c>
      <c r="F157" s="23">
        <f t="shared" si="14"/>
        <v>-22.712916734662713</v>
      </c>
      <c r="H157" s="13"/>
      <c r="I157" s="14"/>
    </row>
    <row r="158" spans="1:9" x14ac:dyDescent="0.3">
      <c r="A158" s="2">
        <v>43889</v>
      </c>
      <c r="B158" s="1">
        <v>68.34</v>
      </c>
      <c r="C158" s="1">
        <v>1883.75</v>
      </c>
      <c r="D158" s="22">
        <f t="shared" si="12"/>
        <v>533.31293979673364</v>
      </c>
      <c r="E158" s="23">
        <f t="shared" si="13"/>
        <v>-0.17062404597106706</v>
      </c>
      <c r="F158" s="23">
        <f t="shared" si="14"/>
        <v>0.17062404597106706</v>
      </c>
      <c r="H158" s="13"/>
      <c r="I158" s="14"/>
    </row>
    <row r="159" spans="1:9" x14ac:dyDescent="0.3">
      <c r="A159" s="2">
        <v>43888</v>
      </c>
      <c r="B159" s="1">
        <v>68.38</v>
      </c>
      <c r="C159" s="1">
        <v>1884.3</v>
      </c>
      <c r="D159" s="22">
        <f t="shared" si="12"/>
        <v>533.48356384270471</v>
      </c>
      <c r="E159" s="23">
        <f t="shared" si="13"/>
        <v>-27.963711574766535</v>
      </c>
      <c r="F159" s="23">
        <f t="shared" si="14"/>
        <v>27.963711574766535</v>
      </c>
      <c r="H159" s="13"/>
      <c r="I159" s="14"/>
    </row>
    <row r="160" spans="1:9" x14ac:dyDescent="0.3">
      <c r="A160" s="2">
        <v>43887</v>
      </c>
      <c r="B160" s="1">
        <v>73.162400000000005</v>
      </c>
      <c r="C160" s="1">
        <v>1979.59</v>
      </c>
      <c r="D160" s="22">
        <f t="shared" si="12"/>
        <v>561.44727541747125</v>
      </c>
      <c r="E160" s="23">
        <f t="shared" si="13"/>
        <v>2.6042623623225154</v>
      </c>
      <c r="F160" s="23">
        <f t="shared" si="14"/>
        <v>-2.6042623623225154</v>
      </c>
      <c r="H160" s="13"/>
      <c r="I160" s="14"/>
    </row>
    <row r="161" spans="1:9" x14ac:dyDescent="0.3">
      <c r="A161" s="2">
        <v>43886</v>
      </c>
      <c r="B161" s="1">
        <v>72.02</v>
      </c>
      <c r="C161" s="1">
        <v>1972.74</v>
      </c>
      <c r="D161" s="22">
        <f t="shared" si="12"/>
        <v>558.84301305514873</v>
      </c>
      <c r="E161" s="23">
        <f t="shared" si="13"/>
        <v>-11.239672870912841</v>
      </c>
      <c r="F161" s="23">
        <f t="shared" si="14"/>
        <v>11.239672870912841</v>
      </c>
      <c r="H161" s="13"/>
      <c r="I161" s="14"/>
    </row>
    <row r="162" spans="1:9" x14ac:dyDescent="0.3">
      <c r="A162" s="2">
        <v>43885</v>
      </c>
      <c r="B162" s="1">
        <v>74.545000000000002</v>
      </c>
      <c r="C162" s="1">
        <v>2009.29</v>
      </c>
      <c r="D162" s="22">
        <f t="shared" si="12"/>
        <v>570.08268592606157</v>
      </c>
      <c r="E162" s="23">
        <f t="shared" si="13"/>
        <v>-24.966318458577689</v>
      </c>
      <c r="F162" s="23">
        <f t="shared" si="14"/>
        <v>24.966318458577689</v>
      </c>
      <c r="H162" s="13"/>
      <c r="I162" s="14"/>
    </row>
    <row r="163" spans="1:9" x14ac:dyDescent="0.3">
      <c r="A163" s="2">
        <v>43882</v>
      </c>
      <c r="B163" s="1">
        <v>78.262500000000003</v>
      </c>
      <c r="C163" s="1">
        <v>2095.9699999999998</v>
      </c>
      <c r="D163" s="22">
        <f t="shared" si="12"/>
        <v>595.04900438463926</v>
      </c>
      <c r="E163" s="23">
        <f t="shared" si="13"/>
        <v>-15.980726790204812</v>
      </c>
      <c r="F163" s="23">
        <f t="shared" si="14"/>
        <v>15.980726790204812</v>
      </c>
      <c r="H163" s="13"/>
      <c r="I163" s="14"/>
    </row>
    <row r="164" spans="1:9" x14ac:dyDescent="0.3">
      <c r="A164" s="2">
        <v>43881</v>
      </c>
      <c r="B164" s="1">
        <v>80.075000000000003</v>
      </c>
      <c r="C164" s="1">
        <v>2153.1</v>
      </c>
      <c r="D164" s="22">
        <f t="shared" si="12"/>
        <v>611.02973117484407</v>
      </c>
      <c r="E164" s="23">
        <f t="shared" si="13"/>
        <v>-5.0022857036640289</v>
      </c>
      <c r="F164" s="23">
        <f t="shared" si="14"/>
        <v>5.0022857036640289</v>
      </c>
      <c r="H164" s="13"/>
      <c r="I164" s="14"/>
    </row>
    <row r="165" spans="1:9" x14ac:dyDescent="0.3">
      <c r="A165" s="2">
        <v>43880</v>
      </c>
      <c r="B165" s="1">
        <v>80.905000000000001</v>
      </c>
      <c r="C165" s="1">
        <v>2170.2199999999998</v>
      </c>
      <c r="D165" s="22">
        <f t="shared" si="12"/>
        <v>616.0320168785081</v>
      </c>
      <c r="E165" s="23">
        <f t="shared" si="13"/>
        <v>4.5858021485928475</v>
      </c>
      <c r="F165" s="23">
        <f t="shared" si="14"/>
        <v>-4.5858021485928475</v>
      </c>
      <c r="H165" s="13"/>
      <c r="I165" s="14"/>
    </row>
    <row r="166" spans="1:9" x14ac:dyDescent="0.3">
      <c r="A166" s="2">
        <v>43879</v>
      </c>
      <c r="B166" s="1">
        <v>79.75</v>
      </c>
      <c r="C166" s="1">
        <v>2155.67</v>
      </c>
      <c r="D166" s="22">
        <f t="shared" si="12"/>
        <v>611.44621472991525</v>
      </c>
      <c r="E166" s="23">
        <f t="shared" si="13"/>
        <v>4.2208988717259217</v>
      </c>
      <c r="F166" s="23">
        <f t="shared" si="14"/>
        <v>-4.2208988717259217</v>
      </c>
      <c r="H166" s="13"/>
      <c r="I166" s="14"/>
    </row>
    <row r="167" spans="1:9" x14ac:dyDescent="0.3">
      <c r="A167" s="2">
        <v>43875</v>
      </c>
      <c r="B167" s="1">
        <v>81.237499999999997</v>
      </c>
      <c r="C167" s="1">
        <v>2134.87</v>
      </c>
      <c r="D167" s="22">
        <f t="shared" si="12"/>
        <v>607.22531585818933</v>
      </c>
      <c r="E167" s="23">
        <f t="shared" si="13"/>
        <v>-3.8270062166380967</v>
      </c>
      <c r="F167" s="23">
        <f t="shared" si="14"/>
        <v>3.8270062166380967</v>
      </c>
      <c r="H167" s="13"/>
      <c r="I167" s="14"/>
    </row>
    <row r="168" spans="1:9" x14ac:dyDescent="0.3">
      <c r="A168" s="2">
        <v>43874</v>
      </c>
      <c r="B168" s="1">
        <v>81.217500000000001</v>
      </c>
      <c r="C168" s="1">
        <v>2149.87</v>
      </c>
      <c r="D168" s="22">
        <f t="shared" si="12"/>
        <v>611.05232207482743</v>
      </c>
      <c r="E168" s="23">
        <f t="shared" si="13"/>
        <v>-3.0278589782525387</v>
      </c>
      <c r="F168" s="23">
        <f t="shared" si="14"/>
        <v>3.0278589782525387</v>
      </c>
      <c r="H168" s="13"/>
      <c r="I168" s="14"/>
    </row>
    <row r="169" spans="1:9" x14ac:dyDescent="0.3">
      <c r="A169" s="2">
        <v>43873</v>
      </c>
      <c r="B169" s="1">
        <v>81.8</v>
      </c>
      <c r="C169" s="1">
        <v>2160</v>
      </c>
      <c r="D169" s="22">
        <f t="shared" si="12"/>
        <v>614.08018105307997</v>
      </c>
      <c r="E169" s="23">
        <f t="shared" si="13"/>
        <v>3.7678570503993569</v>
      </c>
      <c r="F169" s="23">
        <f t="shared" si="14"/>
        <v>-3.7678570503993569</v>
      </c>
      <c r="H169" s="13"/>
      <c r="I169" s="14"/>
    </row>
    <row r="170" spans="1:9" x14ac:dyDescent="0.3">
      <c r="A170" s="2">
        <v>43872</v>
      </c>
      <c r="B170" s="1">
        <v>79.902500000000003</v>
      </c>
      <c r="C170" s="1">
        <v>2150.8000000000002</v>
      </c>
      <c r="D170" s="22">
        <f t="shared" si="12"/>
        <v>610.31232400268061</v>
      </c>
      <c r="E170" s="23">
        <f t="shared" si="13"/>
        <v>3.9651819583281167</v>
      </c>
      <c r="F170" s="23">
        <f t="shared" si="14"/>
        <v>-3.9651819583281167</v>
      </c>
      <c r="H170" s="13"/>
      <c r="I170" s="14"/>
    </row>
    <row r="171" spans="1:9" x14ac:dyDescent="0.3">
      <c r="A171" s="2">
        <v>43871</v>
      </c>
      <c r="B171" s="1">
        <v>80.387500000000003</v>
      </c>
      <c r="C171" s="1">
        <v>2133.91</v>
      </c>
      <c r="D171" s="22">
        <f t="shared" si="12"/>
        <v>606.34714204435249</v>
      </c>
      <c r="E171" s="23">
        <f t="shared" si="13"/>
        <v>14.274812733196768</v>
      </c>
      <c r="F171" s="23">
        <f t="shared" si="14"/>
        <v>-14.274812733196768</v>
      </c>
      <c r="H171" s="13"/>
      <c r="I171" s="14"/>
    </row>
    <row r="172" spans="1:9" x14ac:dyDescent="0.3">
      <c r="A172" s="2">
        <v>43868</v>
      </c>
      <c r="B172" s="1">
        <v>80.007499999999993</v>
      </c>
      <c r="C172" s="1">
        <v>2079.2800000000002</v>
      </c>
      <c r="D172" s="22">
        <f t="shared" si="12"/>
        <v>592.07232931115573</v>
      </c>
      <c r="E172" s="23">
        <f t="shared" si="13"/>
        <v>6.4771307352784788</v>
      </c>
      <c r="F172" s="23">
        <f t="shared" si="14"/>
        <v>-6.4771307352784788</v>
      </c>
      <c r="H172" s="13"/>
      <c r="I172" s="14"/>
    </row>
    <row r="173" spans="1:9" x14ac:dyDescent="0.3">
      <c r="A173" s="2">
        <v>43867</v>
      </c>
      <c r="B173" s="1">
        <v>81.302499999999995</v>
      </c>
      <c r="C173" s="1">
        <v>2050.23</v>
      </c>
      <c r="D173" s="22">
        <f t="shared" si="12"/>
        <v>585.59519857587725</v>
      </c>
      <c r="E173" s="23">
        <f t="shared" si="13"/>
        <v>3.3527029667596935</v>
      </c>
      <c r="F173" s="23">
        <f t="shared" si="14"/>
        <v>-3.3527029667596935</v>
      </c>
      <c r="H173" s="13"/>
      <c r="I173" s="14"/>
    </row>
    <row r="174" spans="1:9" x14ac:dyDescent="0.3">
      <c r="A174" s="2">
        <v>43866</v>
      </c>
      <c r="B174" s="1">
        <v>80.362499999999997</v>
      </c>
      <c r="C174" s="1">
        <v>2039.87</v>
      </c>
      <c r="D174" s="22">
        <f t="shared" si="12"/>
        <v>582.24249560911755</v>
      </c>
      <c r="E174" s="23">
        <f t="shared" si="13"/>
        <v>-2.0265123145052257</v>
      </c>
      <c r="F174" s="23">
        <f t="shared" si="14"/>
        <v>2.0265123145052257</v>
      </c>
      <c r="H174" s="13"/>
      <c r="I174" s="14"/>
    </row>
    <row r="175" spans="1:9" x14ac:dyDescent="0.3">
      <c r="A175" s="2">
        <v>43865</v>
      </c>
      <c r="B175" s="1">
        <v>79.712500000000006</v>
      </c>
      <c r="C175" s="1">
        <v>2049.67</v>
      </c>
      <c r="D175" s="22">
        <f t="shared" si="12"/>
        <v>584.26900792362278</v>
      </c>
      <c r="E175" s="23">
        <f t="shared" si="13"/>
        <v>13.541050221947216</v>
      </c>
      <c r="F175" s="23">
        <f t="shared" si="14"/>
        <v>-13.541050221947216</v>
      </c>
      <c r="H175" s="13"/>
      <c r="I175" s="14"/>
    </row>
    <row r="176" spans="1:9" x14ac:dyDescent="0.3">
      <c r="A176" s="2">
        <v>43864</v>
      </c>
      <c r="B176" s="1">
        <v>77.165000000000006</v>
      </c>
      <c r="C176" s="1">
        <v>2004.2</v>
      </c>
      <c r="D176" s="22">
        <f t="shared" si="12"/>
        <v>570.72795770167556</v>
      </c>
      <c r="E176" s="23">
        <f t="shared" si="13"/>
        <v>-1.3157609372947263</v>
      </c>
      <c r="F176" s="23">
        <f t="shared" si="14"/>
        <v>1.3157609372947263</v>
      </c>
      <c r="H176" s="13"/>
      <c r="I176" s="14"/>
    </row>
    <row r="177" spans="1:9" x14ac:dyDescent="0.3">
      <c r="A177" s="2">
        <v>43861</v>
      </c>
      <c r="B177" s="1">
        <v>77.377499999999998</v>
      </c>
      <c r="C177" s="1">
        <v>2008.72</v>
      </c>
      <c r="D177" s="22">
        <f t="shared" si="12"/>
        <v>572.04371863897029</v>
      </c>
      <c r="E177" s="23">
        <f t="shared" si="13"/>
        <v>32.685065942906249</v>
      </c>
      <c r="F177" s="23">
        <f t="shared" si="14"/>
        <v>-32.685065942906249</v>
      </c>
      <c r="H177" s="13"/>
      <c r="I177" s="14"/>
    </row>
    <row r="178" spans="1:9" x14ac:dyDescent="0.3">
      <c r="A178" s="2">
        <v>43860</v>
      </c>
      <c r="B178" s="1">
        <v>80.967500000000001</v>
      </c>
      <c r="C178" s="1">
        <v>1870.68</v>
      </c>
      <c r="D178" s="22">
        <f t="shared" si="12"/>
        <v>539.35865269606404</v>
      </c>
      <c r="E178" s="23">
        <f t="shared" si="13"/>
        <v>3.1602671143425596</v>
      </c>
      <c r="F178" s="23">
        <f t="shared" si="14"/>
        <v>-3.1602671143425596</v>
      </c>
      <c r="H178" s="13"/>
      <c r="I178" s="14"/>
    </row>
    <row r="179" spans="1:9" x14ac:dyDescent="0.3">
      <c r="A179" s="2">
        <v>43859</v>
      </c>
      <c r="B179" s="1">
        <v>81.084999999999994</v>
      </c>
      <c r="C179" s="1">
        <v>1858</v>
      </c>
      <c r="D179" s="22">
        <f t="shared" si="12"/>
        <v>536.19838558172148</v>
      </c>
      <c r="E179" s="23">
        <f t="shared" si="13"/>
        <v>2.4532877292856483</v>
      </c>
      <c r="F179" s="23">
        <f t="shared" si="14"/>
        <v>-2.4532877292856483</v>
      </c>
      <c r="H179" s="13"/>
      <c r="I179" s="14"/>
    </row>
    <row r="180" spans="1:9" x14ac:dyDescent="0.3">
      <c r="A180" s="2">
        <v>43858</v>
      </c>
      <c r="B180" s="1">
        <v>79.422499999999999</v>
      </c>
      <c r="C180" s="1">
        <v>1853.25</v>
      </c>
      <c r="D180" s="22">
        <f t="shared" si="12"/>
        <v>533.74509785243583</v>
      </c>
      <c r="E180" s="23">
        <f t="shared" si="13"/>
        <v>8.0054538131224717</v>
      </c>
      <c r="F180" s="23">
        <f t="shared" si="14"/>
        <v>-8.0054538131224717</v>
      </c>
      <c r="H180" s="13"/>
      <c r="I180" s="14"/>
    </row>
    <row r="181" spans="1:9" x14ac:dyDescent="0.3">
      <c r="A181" s="2">
        <v>43857</v>
      </c>
      <c r="B181" s="1">
        <v>77.237499999999997</v>
      </c>
      <c r="C181" s="1">
        <v>1828.34</v>
      </c>
      <c r="D181" s="22">
        <f t="shared" si="12"/>
        <v>525.73964403931336</v>
      </c>
      <c r="E181" s="23">
        <f t="shared" si="13"/>
        <v>-10.269647967184824</v>
      </c>
      <c r="F181" s="23">
        <f t="shared" si="14"/>
        <v>10.269647967184824</v>
      </c>
      <c r="H181" s="13"/>
      <c r="I181" s="14"/>
    </row>
    <row r="182" spans="1:9" x14ac:dyDescent="0.3">
      <c r="A182" s="2">
        <v>43854</v>
      </c>
      <c r="B182" s="1">
        <v>79.577500000000001</v>
      </c>
      <c r="C182" s="1">
        <v>1861.64</v>
      </c>
      <c r="D182" s="22">
        <f t="shared" si="12"/>
        <v>536.00929200649819</v>
      </c>
      <c r="E182" s="23">
        <f t="shared" si="13"/>
        <v>-6.046611929417395</v>
      </c>
      <c r="F182" s="23">
        <f t="shared" si="14"/>
        <v>6.046611929417395</v>
      </c>
      <c r="H182" s="13"/>
      <c r="I182" s="14"/>
    </row>
    <row r="183" spans="1:9" x14ac:dyDescent="0.3">
      <c r="A183" s="2">
        <v>43853</v>
      </c>
      <c r="B183" s="1">
        <v>79.807500000000005</v>
      </c>
      <c r="C183" s="1">
        <v>1884.58</v>
      </c>
      <c r="D183" s="22">
        <f t="shared" si="12"/>
        <v>542.05590393591558</v>
      </c>
      <c r="E183" s="23">
        <f t="shared" si="13"/>
        <v>-0.45310970584432653</v>
      </c>
      <c r="F183" s="23">
        <f t="shared" si="14"/>
        <v>0.45310970584432653</v>
      </c>
      <c r="H183" s="13"/>
      <c r="I183" s="14"/>
    </row>
    <row r="184" spans="1:9" x14ac:dyDescent="0.3">
      <c r="A184" s="2">
        <v>43852</v>
      </c>
      <c r="B184" s="1">
        <v>79.424999999999997</v>
      </c>
      <c r="C184" s="1">
        <v>1887.46</v>
      </c>
      <c r="D184" s="22">
        <f t="shared" si="12"/>
        <v>542.50901364175991</v>
      </c>
      <c r="E184" s="23">
        <f t="shared" si="13"/>
        <v>-0.9526656111676175</v>
      </c>
      <c r="F184" s="23">
        <f t="shared" si="14"/>
        <v>0.9526656111676175</v>
      </c>
      <c r="H184" s="13"/>
      <c r="I184" s="14"/>
    </row>
    <row r="185" spans="1:9" x14ac:dyDescent="0.3">
      <c r="A185" s="2">
        <v>43851</v>
      </c>
      <c r="B185" s="1">
        <v>79.142499999999998</v>
      </c>
      <c r="C185" s="1">
        <v>1892</v>
      </c>
      <c r="D185" s="22">
        <f t="shared" si="12"/>
        <v>543.46167925292752</v>
      </c>
      <c r="E185" s="23">
        <f t="shared" si="13"/>
        <v>6.5854136449315774</v>
      </c>
      <c r="F185" s="23">
        <f t="shared" si="14"/>
        <v>-6.5854136449315774</v>
      </c>
      <c r="H185" s="13"/>
      <c r="I185" s="14"/>
    </row>
    <row r="186" spans="1:9" x14ac:dyDescent="0.3">
      <c r="A186" s="2">
        <v>43847</v>
      </c>
      <c r="B186" s="1">
        <v>79.682500000000005</v>
      </c>
      <c r="C186" s="1">
        <v>1864.72</v>
      </c>
      <c r="D186" s="22">
        <f t="shared" si="12"/>
        <v>536.87626560799595</v>
      </c>
      <c r="E186" s="23">
        <f t="shared" si="13"/>
        <v>-2.7369497408769803</v>
      </c>
      <c r="F186" s="23">
        <f t="shared" si="14"/>
        <v>2.7369497408769803</v>
      </c>
      <c r="H186" s="13"/>
      <c r="I186" s="14"/>
    </row>
    <row r="187" spans="1:9" x14ac:dyDescent="0.3">
      <c r="A187" s="2">
        <v>43846</v>
      </c>
      <c r="B187" s="1">
        <v>78.81</v>
      </c>
      <c r="C187" s="1">
        <v>1877.94</v>
      </c>
      <c r="D187" s="22">
        <f t="shared" si="12"/>
        <v>539.61321534887293</v>
      </c>
      <c r="E187" s="23">
        <f t="shared" si="13"/>
        <v>4.8027967981129223</v>
      </c>
      <c r="F187" s="23">
        <f t="shared" si="14"/>
        <v>-4.8027967981129223</v>
      </c>
      <c r="H187" s="13"/>
      <c r="I187" s="14"/>
    </row>
    <row r="188" spans="1:9" x14ac:dyDescent="0.3">
      <c r="A188" s="2">
        <v>43845</v>
      </c>
      <c r="B188" s="1">
        <v>77.834999999999994</v>
      </c>
      <c r="C188" s="1">
        <v>1862.02</v>
      </c>
      <c r="D188" s="22">
        <f t="shared" si="12"/>
        <v>534.81041855076001</v>
      </c>
      <c r="E188" s="23">
        <f t="shared" si="13"/>
        <v>-2.1496497366765652</v>
      </c>
      <c r="F188" s="23">
        <f t="shared" si="14"/>
        <v>2.1496497366765652</v>
      </c>
      <c r="H188" s="13"/>
      <c r="I188" s="14"/>
    </row>
    <row r="189" spans="1:9" x14ac:dyDescent="0.3">
      <c r="A189" s="2">
        <v>43844</v>
      </c>
      <c r="B189" s="1">
        <v>78.17</v>
      </c>
      <c r="C189" s="1">
        <v>1869.44</v>
      </c>
      <c r="D189" s="22">
        <f t="shared" si="12"/>
        <v>536.96006828743657</v>
      </c>
      <c r="E189" s="23">
        <f t="shared" si="13"/>
        <v>-6.3948508151734131</v>
      </c>
      <c r="F189" s="23">
        <f t="shared" si="14"/>
        <v>6.3948508151734131</v>
      </c>
      <c r="H189" s="13"/>
      <c r="I189" s="14"/>
    </row>
    <row r="190" spans="1:9" x14ac:dyDescent="0.3">
      <c r="A190" s="2">
        <v>43843</v>
      </c>
      <c r="B190" s="1">
        <v>79.239999999999995</v>
      </c>
      <c r="C190" s="1">
        <v>1891.3</v>
      </c>
      <c r="D190" s="22">
        <f t="shared" si="12"/>
        <v>543.35491910260998</v>
      </c>
      <c r="E190" s="23">
        <f t="shared" si="13"/>
        <v>3.3178340745243986</v>
      </c>
      <c r="F190" s="23">
        <f t="shared" si="14"/>
        <v>-3.3178340745243986</v>
      </c>
      <c r="H190" s="13"/>
      <c r="I190" s="14"/>
    </row>
    <row r="191" spans="1:9" x14ac:dyDescent="0.3">
      <c r="A191" s="2">
        <v>43840</v>
      </c>
      <c r="B191" s="1">
        <v>77.582499999999996</v>
      </c>
      <c r="C191" s="1">
        <v>1883.16</v>
      </c>
      <c r="D191" s="22">
        <f t="shared" si="12"/>
        <v>540.03708502808558</v>
      </c>
      <c r="E191" s="23">
        <f t="shared" si="13"/>
        <v>-4.4519086087594815</v>
      </c>
      <c r="F191" s="23">
        <f t="shared" si="14"/>
        <v>4.4519086087594815</v>
      </c>
      <c r="H191" s="13"/>
      <c r="I191" s="14"/>
    </row>
    <row r="192" spans="1:9" x14ac:dyDescent="0.3">
      <c r="A192" s="2">
        <v>43839</v>
      </c>
      <c r="B192" s="1">
        <v>77.407499999999999</v>
      </c>
      <c r="C192" s="1">
        <v>1901.05</v>
      </c>
      <c r="D192" s="22">
        <f t="shared" si="12"/>
        <v>544.48899363684507</v>
      </c>
      <c r="E192" s="23">
        <f t="shared" si="13"/>
        <v>3.5232580851055673</v>
      </c>
      <c r="F192" s="23">
        <f t="shared" si="14"/>
        <v>-3.5232580851055673</v>
      </c>
      <c r="H192" s="13"/>
      <c r="I192" s="14"/>
    </row>
    <row r="193" spans="1:9" x14ac:dyDescent="0.3">
      <c r="A193" s="2">
        <v>43838</v>
      </c>
      <c r="B193" s="1">
        <v>75.797499999999999</v>
      </c>
      <c r="C193" s="1">
        <v>1891.97</v>
      </c>
      <c r="D193" s="22">
        <f t="shared" si="12"/>
        <v>540.9657355517395</v>
      </c>
      <c r="E193" s="23">
        <f t="shared" si="13"/>
        <v>-2.9210605875969122</v>
      </c>
      <c r="F193" s="23">
        <f t="shared" si="14"/>
        <v>2.9210605875969122</v>
      </c>
      <c r="H193" s="13"/>
      <c r="I193" s="14"/>
    </row>
    <row r="194" spans="1:9" x14ac:dyDescent="0.3">
      <c r="A194" s="2">
        <v>43837</v>
      </c>
      <c r="B194" s="1">
        <v>74.597499999999997</v>
      </c>
      <c r="C194" s="1">
        <v>1906.86</v>
      </c>
      <c r="D194" s="22">
        <f t="shared" si="12"/>
        <v>543.88679613933641</v>
      </c>
      <c r="E194" s="23">
        <f t="shared" si="13"/>
        <v>0.75716407680317843</v>
      </c>
      <c r="F194" s="23">
        <f t="shared" si="14"/>
        <v>-0.75716407680317843</v>
      </c>
      <c r="H194" s="13"/>
      <c r="I194" s="14"/>
    </row>
    <row r="195" spans="1:9" x14ac:dyDescent="0.3">
      <c r="A195" s="2">
        <v>43836</v>
      </c>
      <c r="B195" s="1">
        <v>74.95</v>
      </c>
      <c r="C195" s="1">
        <v>1902.88</v>
      </c>
      <c r="D195" s="22">
        <f t="shared" si="12"/>
        <v>543.12963206253323</v>
      </c>
      <c r="E195" s="23">
        <f t="shared" si="13"/>
        <v>7.5892105408130419</v>
      </c>
      <c r="F195" s="23">
        <f t="shared" si="14"/>
        <v>-7.5892105408130419</v>
      </c>
      <c r="H195" s="13"/>
      <c r="I195" s="14"/>
    </row>
    <row r="196" spans="1:9" x14ac:dyDescent="0.3">
      <c r="A196" s="2">
        <v>43833</v>
      </c>
      <c r="B196" s="1">
        <v>74.357500000000002</v>
      </c>
      <c r="C196" s="1">
        <v>1874.97</v>
      </c>
      <c r="D196" s="22">
        <f t="shared" si="12"/>
        <v>535.54042152172019</v>
      </c>
      <c r="E196" s="23">
        <f t="shared" si="13"/>
        <v>-6.4441616972833344</v>
      </c>
      <c r="F196" s="23">
        <f t="shared" si="14"/>
        <v>6.4441616972833344</v>
      </c>
      <c r="H196" s="13"/>
      <c r="I196" s="14"/>
    </row>
    <row r="197" spans="1:9" x14ac:dyDescent="0.3">
      <c r="A197" s="2">
        <v>43832</v>
      </c>
      <c r="B197" s="1">
        <v>75.087500000000006</v>
      </c>
      <c r="C197" s="1">
        <v>1898.01</v>
      </c>
      <c r="D197" s="22">
        <f t="shared" si="12"/>
        <v>541.98458321900353</v>
      </c>
      <c r="E197" s="23">
        <f t="shared" si="13"/>
        <v>14.095810018366478</v>
      </c>
      <c r="F197" s="23">
        <f t="shared" si="14"/>
        <v>-14.095810018366478</v>
      </c>
      <c r="H197" s="13"/>
      <c r="I197" s="14"/>
    </row>
    <row r="198" spans="1:9" x14ac:dyDescent="0.3">
      <c r="A198" s="2">
        <v>43831</v>
      </c>
      <c r="B198" s="1">
        <v>73.412499999999994</v>
      </c>
      <c r="C198" s="1">
        <v>1847.84</v>
      </c>
      <c r="D198" s="22">
        <f t="shared" ref="D198:D261" si="15">$M$16*B198+(1-$M$16)*C198</f>
        <v>527.88877320063705</v>
      </c>
      <c r="E198" s="23">
        <f t="shared" ref="E198:E261" si="16">D198-D199</f>
        <v>0</v>
      </c>
      <c r="F198" s="23">
        <f t="shared" ref="F198:F261" si="17">-E198</f>
        <v>0</v>
      </c>
      <c r="H198" s="13"/>
      <c r="I198" s="14"/>
    </row>
    <row r="199" spans="1:9" x14ac:dyDescent="0.3">
      <c r="A199" s="2">
        <v>43830</v>
      </c>
      <c r="B199" s="1">
        <v>73.412499999999994</v>
      </c>
      <c r="C199" s="1">
        <v>1847.84</v>
      </c>
      <c r="D199" s="22">
        <f t="shared" si="15"/>
        <v>527.88877320063705</v>
      </c>
      <c r="E199" s="23">
        <f t="shared" si="16"/>
        <v>0.63943242978996295</v>
      </c>
      <c r="F199" s="23">
        <f t="shared" si="17"/>
        <v>-0.63943242978996295</v>
      </c>
      <c r="H199" s="13"/>
      <c r="I199" s="14"/>
    </row>
    <row r="200" spans="1:9" x14ac:dyDescent="0.3">
      <c r="A200" s="2">
        <v>43829</v>
      </c>
      <c r="B200" s="1">
        <v>72.88</v>
      </c>
      <c r="C200" s="1">
        <v>1846.89</v>
      </c>
      <c r="D200" s="22">
        <f t="shared" si="15"/>
        <v>527.24934077084708</v>
      </c>
      <c r="E200" s="23">
        <f t="shared" si="16"/>
        <v>-5.5479710450288167</v>
      </c>
      <c r="F200" s="23">
        <f t="shared" si="17"/>
        <v>5.5479710450288167</v>
      </c>
      <c r="H200" s="13"/>
      <c r="I200" s="14"/>
    </row>
    <row r="201" spans="1:9" x14ac:dyDescent="0.3">
      <c r="A201" s="2">
        <v>43826</v>
      </c>
      <c r="B201" s="1">
        <v>72.45</v>
      </c>
      <c r="C201" s="1">
        <v>1869.8</v>
      </c>
      <c r="D201" s="22">
        <f t="shared" si="15"/>
        <v>532.7973118158759</v>
      </c>
      <c r="E201" s="23">
        <f t="shared" si="16"/>
        <v>0.24335280120476455</v>
      </c>
      <c r="F201" s="23">
        <f t="shared" si="17"/>
        <v>-0.24335280120476455</v>
      </c>
      <c r="H201" s="13"/>
      <c r="I201" s="14"/>
    </row>
    <row r="202" spans="1:9" x14ac:dyDescent="0.3">
      <c r="A202" s="2">
        <v>43825</v>
      </c>
      <c r="B202" s="1">
        <v>72.477500000000006</v>
      </c>
      <c r="C202" s="1">
        <v>1868.77</v>
      </c>
      <c r="D202" s="22">
        <f t="shared" si="15"/>
        <v>532.55395901467114</v>
      </c>
      <c r="E202" s="23">
        <f t="shared" si="16"/>
        <v>21.426214103213397</v>
      </c>
      <c r="F202" s="23">
        <f t="shared" si="17"/>
        <v>-21.426214103213397</v>
      </c>
      <c r="H202" s="13"/>
      <c r="I202" s="14"/>
    </row>
    <row r="203" spans="1:9" x14ac:dyDescent="0.3">
      <c r="A203" s="2">
        <v>43824</v>
      </c>
      <c r="B203" s="1">
        <v>71.067499999999995</v>
      </c>
      <c r="C203" s="1">
        <v>1789.21</v>
      </c>
      <c r="D203" s="22">
        <f t="shared" si="15"/>
        <v>511.12774491145774</v>
      </c>
      <c r="E203" s="23">
        <f t="shared" si="16"/>
        <v>0</v>
      </c>
      <c r="F203" s="23">
        <f t="shared" si="17"/>
        <v>0</v>
      </c>
      <c r="H203" s="13"/>
      <c r="I203" s="14"/>
    </row>
    <row r="204" spans="1:9" x14ac:dyDescent="0.3">
      <c r="A204" s="2">
        <v>43823</v>
      </c>
      <c r="B204" s="1">
        <v>71.067499999999995</v>
      </c>
      <c r="C204" s="1">
        <v>1789.21</v>
      </c>
      <c r="D204" s="22">
        <f t="shared" si="15"/>
        <v>511.12774491145774</v>
      </c>
      <c r="E204" s="23">
        <f t="shared" si="16"/>
        <v>-0.92050442614390704</v>
      </c>
      <c r="F204" s="23">
        <f t="shared" si="17"/>
        <v>0.92050442614390704</v>
      </c>
      <c r="H204" s="13"/>
      <c r="I204" s="14"/>
    </row>
    <row r="205" spans="1:9" x14ac:dyDescent="0.3">
      <c r="A205" s="2">
        <v>43822</v>
      </c>
      <c r="B205" s="1">
        <v>71</v>
      </c>
      <c r="C205" s="1">
        <v>1793</v>
      </c>
      <c r="D205" s="22">
        <f t="shared" si="15"/>
        <v>512.04824933760165</v>
      </c>
      <c r="E205" s="23">
        <f t="shared" si="16"/>
        <v>2.51283311059791</v>
      </c>
      <c r="F205" s="23">
        <f t="shared" si="17"/>
        <v>-2.51283311059791</v>
      </c>
      <c r="H205" s="13"/>
      <c r="I205" s="14"/>
    </row>
    <row r="206" spans="1:9" x14ac:dyDescent="0.3">
      <c r="A206" s="2">
        <v>43819</v>
      </c>
      <c r="B206" s="1">
        <v>69.86</v>
      </c>
      <c r="C206" s="1">
        <v>1786.5</v>
      </c>
      <c r="D206" s="22">
        <f t="shared" si="15"/>
        <v>509.53541622700374</v>
      </c>
      <c r="E206" s="23">
        <f t="shared" si="16"/>
        <v>-1.5882676451901148</v>
      </c>
      <c r="F206" s="23">
        <f t="shared" si="17"/>
        <v>1.5882676451901148</v>
      </c>
      <c r="H206" s="13"/>
      <c r="I206" s="14"/>
    </row>
    <row r="207" spans="1:9" x14ac:dyDescent="0.3">
      <c r="A207" s="2">
        <v>43818</v>
      </c>
      <c r="B207" s="1">
        <v>70.004999999999995</v>
      </c>
      <c r="C207" s="1">
        <v>1792.28</v>
      </c>
      <c r="D207" s="22">
        <f t="shared" si="15"/>
        <v>511.12368387219385</v>
      </c>
      <c r="E207" s="23">
        <f t="shared" si="16"/>
        <v>2.1651072471437374</v>
      </c>
      <c r="F207" s="23">
        <f t="shared" si="17"/>
        <v>-2.1651072471437374</v>
      </c>
      <c r="H207" s="13"/>
      <c r="I207" s="14"/>
    </row>
    <row r="208" spans="1:9" x14ac:dyDescent="0.3">
      <c r="A208" s="2">
        <v>43817</v>
      </c>
      <c r="B208" s="1">
        <v>69.935000000000002</v>
      </c>
      <c r="C208" s="1">
        <v>1784.03</v>
      </c>
      <c r="D208" s="22">
        <f t="shared" si="15"/>
        <v>508.95857662505011</v>
      </c>
      <c r="E208" s="23">
        <f t="shared" si="16"/>
        <v>-1.8227115629176751</v>
      </c>
      <c r="F208" s="23">
        <f t="shared" si="17"/>
        <v>1.8227115629176751</v>
      </c>
      <c r="H208" s="13"/>
      <c r="I208" s="14"/>
    </row>
    <row r="209" spans="1:9" x14ac:dyDescent="0.3">
      <c r="A209" s="2">
        <v>43816</v>
      </c>
      <c r="B209" s="1">
        <v>70.102500000000006</v>
      </c>
      <c r="C209" s="1">
        <v>1790.66</v>
      </c>
      <c r="D209" s="22">
        <f t="shared" si="15"/>
        <v>510.78128818796779</v>
      </c>
      <c r="E209" s="23">
        <f t="shared" si="16"/>
        <v>5.5961764308987085</v>
      </c>
      <c r="F209" s="23">
        <f t="shared" si="17"/>
        <v>-5.5961764308987085</v>
      </c>
      <c r="H209" s="13"/>
      <c r="I209" s="14"/>
    </row>
    <row r="210" spans="1:9" x14ac:dyDescent="0.3">
      <c r="A210" s="2">
        <v>43815</v>
      </c>
      <c r="B210" s="1">
        <v>69.965000000000003</v>
      </c>
      <c r="C210" s="1">
        <v>1769.21</v>
      </c>
      <c r="D210" s="22">
        <f t="shared" si="15"/>
        <v>505.18511175706908</v>
      </c>
      <c r="E210" s="23">
        <f t="shared" si="16"/>
        <v>2.9940706785290558</v>
      </c>
      <c r="F210" s="23">
        <f t="shared" si="17"/>
        <v>-2.9940706785290558</v>
      </c>
      <c r="H210" s="13"/>
      <c r="I210" s="14"/>
    </row>
    <row r="211" spans="1:9" x14ac:dyDescent="0.3">
      <c r="A211" s="2">
        <v>43812</v>
      </c>
      <c r="B211" s="1">
        <v>68.787499999999994</v>
      </c>
      <c r="C211" s="1">
        <v>1760.94</v>
      </c>
      <c r="D211" s="22">
        <f t="shared" si="15"/>
        <v>502.19104107854002</v>
      </c>
      <c r="E211" s="23">
        <f t="shared" si="16"/>
        <v>0.84246075614515803</v>
      </c>
      <c r="F211" s="23">
        <f t="shared" si="17"/>
        <v>-0.84246075614515803</v>
      </c>
      <c r="H211" s="13"/>
      <c r="I211" s="14"/>
    </row>
    <row r="212" spans="1:9" x14ac:dyDescent="0.3">
      <c r="A212" s="2">
        <v>43811</v>
      </c>
      <c r="B212" s="1">
        <v>67.864999999999995</v>
      </c>
      <c r="C212" s="1">
        <v>1760.33</v>
      </c>
      <c r="D212" s="22">
        <f t="shared" si="15"/>
        <v>501.34858032239487</v>
      </c>
      <c r="E212" s="23">
        <f t="shared" si="16"/>
        <v>3.1019363250864558</v>
      </c>
      <c r="F212" s="23">
        <f t="shared" si="17"/>
        <v>-3.1019363250864558</v>
      </c>
      <c r="H212" s="13"/>
      <c r="I212" s="14"/>
    </row>
    <row r="213" spans="1:9" x14ac:dyDescent="0.3">
      <c r="A213" s="2">
        <v>43810</v>
      </c>
      <c r="B213" s="1">
        <v>67.692499999999995</v>
      </c>
      <c r="C213" s="1">
        <v>1748.72</v>
      </c>
      <c r="D213" s="22">
        <f t="shared" si="15"/>
        <v>498.24664399730841</v>
      </c>
      <c r="E213" s="23">
        <f t="shared" si="16"/>
        <v>2.8616223742478155</v>
      </c>
      <c r="F213" s="23">
        <f t="shared" si="17"/>
        <v>-2.8616223742478155</v>
      </c>
      <c r="H213" s="13"/>
      <c r="I213" s="14"/>
    </row>
    <row r="214" spans="1:9" x14ac:dyDescent="0.3">
      <c r="A214" s="2">
        <v>43809</v>
      </c>
      <c r="B214" s="1">
        <v>67.12</v>
      </c>
      <c r="C214" s="1">
        <v>1739.21</v>
      </c>
      <c r="D214" s="22">
        <f t="shared" si="15"/>
        <v>495.3850216230606</v>
      </c>
      <c r="E214" s="23">
        <f t="shared" si="16"/>
        <v>-2.3479824537856757</v>
      </c>
      <c r="F214" s="23">
        <f t="shared" si="17"/>
        <v>2.3479824537856757</v>
      </c>
      <c r="H214" s="13"/>
      <c r="I214" s="14"/>
    </row>
    <row r="215" spans="1:9" x14ac:dyDescent="0.3">
      <c r="A215" s="2">
        <v>43808</v>
      </c>
      <c r="B215" s="1">
        <v>66.73</v>
      </c>
      <c r="C215" s="1">
        <v>1749.51</v>
      </c>
      <c r="D215" s="22">
        <f t="shared" si="15"/>
        <v>497.73300407684627</v>
      </c>
      <c r="E215" s="23">
        <f t="shared" si="16"/>
        <v>-1.2401234755332098</v>
      </c>
      <c r="F215" s="23">
        <f t="shared" si="17"/>
        <v>1.2401234755332098</v>
      </c>
      <c r="H215" s="13"/>
      <c r="I215" s="14"/>
    </row>
    <row r="216" spans="1:9" x14ac:dyDescent="0.3">
      <c r="A216" s="2">
        <v>43805</v>
      </c>
      <c r="B216" s="1">
        <v>67.677499999999995</v>
      </c>
      <c r="C216" s="1">
        <v>1751.6</v>
      </c>
      <c r="D216" s="22">
        <f t="shared" si="15"/>
        <v>498.97312755237948</v>
      </c>
      <c r="E216" s="23">
        <f t="shared" si="16"/>
        <v>3.8021353965497156</v>
      </c>
      <c r="F216" s="23">
        <f t="shared" si="17"/>
        <v>-3.8021353965497156</v>
      </c>
      <c r="H216" s="13"/>
      <c r="I216" s="14"/>
    </row>
    <row r="217" spans="1:9" x14ac:dyDescent="0.3">
      <c r="A217" s="2">
        <v>43804</v>
      </c>
      <c r="B217" s="1">
        <v>66.394999999999996</v>
      </c>
      <c r="C217" s="1">
        <v>1740.48</v>
      </c>
      <c r="D217" s="22">
        <f t="shared" si="15"/>
        <v>495.17099215582977</v>
      </c>
      <c r="E217" s="23">
        <f t="shared" si="16"/>
        <v>-4.4621785357009571</v>
      </c>
      <c r="F217" s="23">
        <f t="shared" si="17"/>
        <v>4.4621785357009571</v>
      </c>
      <c r="H217" s="13"/>
      <c r="I217" s="14"/>
    </row>
    <row r="218" spans="1:9" x14ac:dyDescent="0.3">
      <c r="A218" s="2">
        <v>43803</v>
      </c>
      <c r="B218" s="1">
        <v>65.435000000000002</v>
      </c>
      <c r="C218" s="1">
        <v>1760.69</v>
      </c>
      <c r="D218" s="22">
        <f t="shared" si="15"/>
        <v>499.63317069153072</v>
      </c>
      <c r="E218" s="23">
        <f t="shared" si="16"/>
        <v>-1.948416024451376</v>
      </c>
      <c r="F218" s="23">
        <f t="shared" si="17"/>
        <v>1.948416024451376</v>
      </c>
      <c r="H218" s="13"/>
      <c r="I218" s="14"/>
    </row>
    <row r="219" spans="1:9" x14ac:dyDescent="0.3">
      <c r="A219" s="2">
        <v>43802</v>
      </c>
      <c r="B219" s="1">
        <v>64.862499999999997</v>
      </c>
      <c r="C219" s="1">
        <v>1769.96</v>
      </c>
      <c r="D219" s="22">
        <f t="shared" si="15"/>
        <v>501.5815867159821</v>
      </c>
      <c r="E219" s="23">
        <f t="shared" si="16"/>
        <v>-3.8572138842593517</v>
      </c>
      <c r="F219" s="23">
        <f t="shared" si="17"/>
        <v>3.8572138842593517</v>
      </c>
      <c r="H219" s="13"/>
      <c r="I219" s="14"/>
    </row>
    <row r="220" spans="1:9" x14ac:dyDescent="0.3">
      <c r="A220" s="2">
        <v>43801</v>
      </c>
      <c r="B220" s="1">
        <v>66.040000000000006</v>
      </c>
      <c r="C220" s="1">
        <v>1781.6</v>
      </c>
      <c r="D220" s="22">
        <f t="shared" si="15"/>
        <v>505.43880060024145</v>
      </c>
      <c r="E220" s="23">
        <f t="shared" si="16"/>
        <v>-5.492254131631114</v>
      </c>
      <c r="F220" s="23">
        <f t="shared" si="17"/>
        <v>5.492254131631114</v>
      </c>
      <c r="H220" s="13"/>
      <c r="I220" s="14"/>
    </row>
    <row r="221" spans="1:9" x14ac:dyDescent="0.3">
      <c r="A221" s="2">
        <v>43798</v>
      </c>
      <c r="B221" s="1">
        <v>66.8125</v>
      </c>
      <c r="C221" s="1">
        <v>1800.8</v>
      </c>
      <c r="D221" s="22">
        <f t="shared" si="15"/>
        <v>510.93105473187256</v>
      </c>
      <c r="E221" s="23">
        <f t="shared" si="16"/>
        <v>-4.6457055046408868</v>
      </c>
      <c r="F221" s="23">
        <f t="shared" si="17"/>
        <v>4.6457055046408868</v>
      </c>
      <c r="H221" s="13"/>
      <c r="I221" s="14"/>
    </row>
    <row r="222" spans="1:9" x14ac:dyDescent="0.3">
      <c r="A222" s="2">
        <v>43797</v>
      </c>
      <c r="B222" s="1">
        <v>66.959999999999994</v>
      </c>
      <c r="C222" s="1">
        <v>1818.51</v>
      </c>
      <c r="D222" s="22">
        <f t="shared" si="15"/>
        <v>515.57676023651345</v>
      </c>
      <c r="E222" s="23">
        <f t="shared" si="16"/>
        <v>0</v>
      </c>
      <c r="F222" s="23">
        <f t="shared" si="17"/>
        <v>0</v>
      </c>
      <c r="H222" s="13"/>
      <c r="I222" s="14"/>
    </row>
    <row r="223" spans="1:9" x14ac:dyDescent="0.3">
      <c r="A223" s="2">
        <v>43796</v>
      </c>
      <c r="B223" s="1">
        <v>66.959999999999994</v>
      </c>
      <c r="C223" s="1">
        <v>1818.51</v>
      </c>
      <c r="D223" s="22">
        <f t="shared" si="15"/>
        <v>515.57676023651345</v>
      </c>
      <c r="E223" s="23">
        <f t="shared" si="16"/>
        <v>6.1848173152874324</v>
      </c>
      <c r="F223" s="23">
        <f t="shared" si="17"/>
        <v>-6.1848173152874324</v>
      </c>
      <c r="H223" s="13"/>
      <c r="I223" s="14"/>
    </row>
    <row r="224" spans="1:9" x14ac:dyDescent="0.3">
      <c r="A224" s="2">
        <v>43795</v>
      </c>
      <c r="B224" s="1">
        <v>66.072500000000005</v>
      </c>
      <c r="C224" s="1">
        <v>1796.94</v>
      </c>
      <c r="D224" s="22">
        <f t="shared" si="15"/>
        <v>509.39194292122602</v>
      </c>
      <c r="E224" s="23">
        <f t="shared" si="16"/>
        <v>5.5296862075227864</v>
      </c>
      <c r="F224" s="23">
        <f t="shared" si="17"/>
        <v>-5.5296862075227864</v>
      </c>
      <c r="H224" s="13"/>
      <c r="I224" s="14"/>
    </row>
    <row r="225" spans="1:9" x14ac:dyDescent="0.3">
      <c r="A225" s="2">
        <v>43794</v>
      </c>
      <c r="B225" s="1">
        <v>66.592500000000001</v>
      </c>
      <c r="C225" s="1">
        <v>1773.84</v>
      </c>
      <c r="D225" s="22">
        <f t="shared" si="15"/>
        <v>503.86225671370323</v>
      </c>
      <c r="E225" s="23">
        <f t="shared" si="16"/>
        <v>8.0558472155971685</v>
      </c>
      <c r="F225" s="23">
        <f t="shared" si="17"/>
        <v>-8.0558472155971685</v>
      </c>
      <c r="H225" s="13"/>
      <c r="I225" s="14"/>
    </row>
    <row r="226" spans="1:9" x14ac:dyDescent="0.3">
      <c r="A226" s="2">
        <v>43791</v>
      </c>
      <c r="B226" s="1">
        <v>65.444999999999993</v>
      </c>
      <c r="C226" s="1">
        <v>1745.72</v>
      </c>
      <c r="D226" s="22">
        <f t="shared" si="15"/>
        <v>495.80640949810606</v>
      </c>
      <c r="E226" s="23">
        <f t="shared" si="16"/>
        <v>2.7771698603623349</v>
      </c>
      <c r="F226" s="23">
        <f t="shared" si="17"/>
        <v>-2.7771698603623349</v>
      </c>
      <c r="H226" s="13"/>
      <c r="I226" s="14"/>
    </row>
    <row r="227" spans="1:9" x14ac:dyDescent="0.3">
      <c r="A227" s="2">
        <v>43790</v>
      </c>
      <c r="B227" s="1">
        <v>65.502499999999998</v>
      </c>
      <c r="C227" s="1">
        <v>1734.71</v>
      </c>
      <c r="D227" s="22">
        <f t="shared" si="15"/>
        <v>493.02923963774373</v>
      </c>
      <c r="E227" s="23">
        <f t="shared" si="16"/>
        <v>-2.9907217330303411</v>
      </c>
      <c r="F227" s="23">
        <f t="shared" si="17"/>
        <v>2.9907217330303411</v>
      </c>
      <c r="H227" s="13"/>
      <c r="I227" s="14"/>
    </row>
    <row r="228" spans="1:9" x14ac:dyDescent="0.3">
      <c r="A228" s="2">
        <v>43789</v>
      </c>
      <c r="B228" s="1">
        <v>65.797499999999999</v>
      </c>
      <c r="C228" s="1">
        <v>1745.53</v>
      </c>
      <c r="D228" s="22">
        <f t="shared" si="15"/>
        <v>496.01996137077407</v>
      </c>
      <c r="E228" s="23">
        <f t="shared" si="16"/>
        <v>-2.4359743884752447</v>
      </c>
      <c r="F228" s="23">
        <f t="shared" si="17"/>
        <v>2.4359743884752447</v>
      </c>
      <c r="H228" s="13"/>
      <c r="I228" s="14"/>
    </row>
    <row r="229" spans="1:9" x14ac:dyDescent="0.3">
      <c r="A229" s="2">
        <v>43788</v>
      </c>
      <c r="B229" s="1">
        <v>66.572500000000005</v>
      </c>
      <c r="C229" s="1">
        <v>1752.79</v>
      </c>
      <c r="D229" s="22">
        <f t="shared" si="15"/>
        <v>498.45593575924931</v>
      </c>
      <c r="E229" s="23">
        <f t="shared" si="16"/>
        <v>-8.4041919094829609E-2</v>
      </c>
      <c r="F229" s="23">
        <f t="shared" si="17"/>
        <v>8.4041919094829609E-2</v>
      </c>
      <c r="H229" s="13"/>
      <c r="I229" s="14"/>
    </row>
    <row r="230" spans="1:9" x14ac:dyDescent="0.3">
      <c r="A230" s="2">
        <v>43787</v>
      </c>
      <c r="B230" s="1">
        <v>66.775000000000006</v>
      </c>
      <c r="C230" s="1">
        <v>1752.53</v>
      </c>
      <c r="D230" s="22">
        <f t="shared" si="15"/>
        <v>498.53997767834414</v>
      </c>
      <c r="E230" s="23">
        <f t="shared" si="16"/>
        <v>3.5890754981615487</v>
      </c>
      <c r="F230" s="23">
        <f t="shared" si="17"/>
        <v>-3.5890754981615487</v>
      </c>
      <c r="H230" s="13"/>
      <c r="I230" s="14"/>
    </row>
    <row r="231" spans="1:9" x14ac:dyDescent="0.3">
      <c r="A231" s="2">
        <v>43784</v>
      </c>
      <c r="B231" s="1">
        <v>66.44</v>
      </c>
      <c r="C231" s="1">
        <v>1739.49</v>
      </c>
      <c r="D231" s="22">
        <f t="shared" si="15"/>
        <v>494.9509021801826</v>
      </c>
      <c r="E231" s="23">
        <f t="shared" si="16"/>
        <v>-3.289835471529841</v>
      </c>
      <c r="F231" s="23">
        <f t="shared" si="17"/>
        <v>3.289835471529841</v>
      </c>
      <c r="H231" s="13"/>
      <c r="I231" s="14"/>
    </row>
    <row r="232" spans="1:9" x14ac:dyDescent="0.3">
      <c r="A232" s="2">
        <v>43783</v>
      </c>
      <c r="B232" s="1">
        <v>65.66</v>
      </c>
      <c r="C232" s="1">
        <v>1754.6</v>
      </c>
      <c r="D232" s="22">
        <f t="shared" si="15"/>
        <v>498.24073765171244</v>
      </c>
      <c r="E232" s="23">
        <f t="shared" si="16"/>
        <v>4.130456770320734E-2</v>
      </c>
      <c r="F232" s="23">
        <f t="shared" si="17"/>
        <v>-4.130456770320734E-2</v>
      </c>
      <c r="H232" s="13"/>
      <c r="I232" s="14"/>
    </row>
    <row r="233" spans="1:9" x14ac:dyDescent="0.3">
      <c r="A233" s="2">
        <v>43782</v>
      </c>
      <c r="B233" s="1">
        <v>66.117500000000007</v>
      </c>
      <c r="C233" s="1">
        <v>1753.11</v>
      </c>
      <c r="D233" s="22">
        <f t="shared" si="15"/>
        <v>498.19943308400923</v>
      </c>
      <c r="E233" s="23">
        <f t="shared" si="16"/>
        <v>-5.9081844962092305</v>
      </c>
      <c r="F233" s="23">
        <f t="shared" si="17"/>
        <v>5.9081844962092305</v>
      </c>
      <c r="H233" s="13"/>
      <c r="I233" s="14"/>
    </row>
    <row r="234" spans="1:9" x14ac:dyDescent="0.3">
      <c r="A234" s="2">
        <v>43781</v>
      </c>
      <c r="B234" s="1">
        <v>65.489999999999995</v>
      </c>
      <c r="C234" s="1">
        <v>1778</v>
      </c>
      <c r="D234" s="22">
        <f t="shared" si="15"/>
        <v>504.10761758021846</v>
      </c>
      <c r="E234" s="23">
        <f t="shared" si="16"/>
        <v>1.5817649699500294</v>
      </c>
      <c r="F234" s="23">
        <f t="shared" si="17"/>
        <v>-1.5817649699500294</v>
      </c>
      <c r="H234" s="13"/>
      <c r="I234" s="14"/>
    </row>
    <row r="235" spans="1:9" x14ac:dyDescent="0.3">
      <c r="A235" s="2">
        <v>43780</v>
      </c>
      <c r="B235" s="1">
        <v>65.55</v>
      </c>
      <c r="C235" s="1">
        <v>1771.65</v>
      </c>
      <c r="D235" s="22">
        <f t="shared" si="15"/>
        <v>502.52585261026843</v>
      </c>
      <c r="E235" s="23">
        <f t="shared" si="16"/>
        <v>-3.261571682045826</v>
      </c>
      <c r="F235" s="23">
        <f t="shared" si="17"/>
        <v>3.261571682045826</v>
      </c>
      <c r="H235" s="13"/>
      <c r="I235" s="14"/>
    </row>
    <row r="236" spans="1:9" x14ac:dyDescent="0.3">
      <c r="A236" s="2">
        <v>43777</v>
      </c>
      <c r="B236" s="1">
        <v>65.034999999999997</v>
      </c>
      <c r="C236" s="1">
        <v>1785.88</v>
      </c>
      <c r="D236" s="22">
        <f t="shared" si="15"/>
        <v>505.78742429231426</v>
      </c>
      <c r="E236" s="23">
        <f t="shared" si="16"/>
        <v>-0.46217363688765545</v>
      </c>
      <c r="F236" s="23">
        <f t="shared" si="17"/>
        <v>0.46217363688765545</v>
      </c>
      <c r="H236" s="13"/>
      <c r="I236" s="14"/>
    </row>
    <row r="237" spans="1:9" x14ac:dyDescent="0.3">
      <c r="A237" s="2">
        <v>43776</v>
      </c>
      <c r="B237" s="1">
        <v>64.857500000000002</v>
      </c>
      <c r="C237" s="1">
        <v>1788.2</v>
      </c>
      <c r="D237" s="22">
        <f t="shared" si="15"/>
        <v>506.24959792920191</v>
      </c>
      <c r="E237" s="23">
        <f t="shared" si="16"/>
        <v>-1.5315993983728617</v>
      </c>
      <c r="F237" s="23">
        <f t="shared" si="17"/>
        <v>1.5315993983728617</v>
      </c>
      <c r="H237" s="13"/>
      <c r="I237" s="14"/>
    </row>
    <row r="238" spans="1:9" x14ac:dyDescent="0.3">
      <c r="A238" s="2">
        <v>43775</v>
      </c>
      <c r="B238" s="1">
        <v>64.31</v>
      </c>
      <c r="C238" s="1">
        <v>1795.77</v>
      </c>
      <c r="D238" s="22">
        <f t="shared" si="15"/>
        <v>507.78119732757477</v>
      </c>
      <c r="E238" s="23">
        <f t="shared" si="16"/>
        <v>-1.5009294006516143</v>
      </c>
      <c r="F238" s="23">
        <f t="shared" si="17"/>
        <v>1.5009294006516143</v>
      </c>
      <c r="H238" s="13"/>
      <c r="I238" s="14"/>
    </row>
    <row r="239" spans="1:9" x14ac:dyDescent="0.3">
      <c r="A239" s="2">
        <v>43774</v>
      </c>
      <c r="B239" s="1">
        <v>64.282499999999999</v>
      </c>
      <c r="C239" s="1">
        <v>1801.71</v>
      </c>
      <c r="D239" s="22">
        <f t="shared" si="15"/>
        <v>509.28212672822639</v>
      </c>
      <c r="E239" s="23">
        <f t="shared" si="16"/>
        <v>-0.82437884580849641</v>
      </c>
      <c r="F239" s="23">
        <f t="shared" si="17"/>
        <v>0.82437884580849641</v>
      </c>
      <c r="H239" s="13"/>
      <c r="I239" s="14"/>
    </row>
    <row r="240" spans="1:9" x14ac:dyDescent="0.3">
      <c r="A240" s="2">
        <v>43773</v>
      </c>
      <c r="B240" s="1">
        <v>64.375</v>
      </c>
      <c r="C240" s="1">
        <v>1804.66</v>
      </c>
      <c r="D240" s="22">
        <f t="shared" si="15"/>
        <v>510.10650557403488</v>
      </c>
      <c r="E240" s="23">
        <f t="shared" si="16"/>
        <v>3.6984074282934216</v>
      </c>
      <c r="F240" s="23">
        <f t="shared" si="17"/>
        <v>-3.6984074282934216</v>
      </c>
      <c r="H240" s="13"/>
      <c r="I240" s="14"/>
    </row>
    <row r="241" spans="1:9" x14ac:dyDescent="0.3">
      <c r="A241" s="2">
        <v>43770</v>
      </c>
      <c r="B241" s="1">
        <v>63.954999999999998</v>
      </c>
      <c r="C241" s="1">
        <v>1791.44</v>
      </c>
      <c r="D241" s="22">
        <f t="shared" si="15"/>
        <v>506.40809814574146</v>
      </c>
      <c r="E241" s="23">
        <f t="shared" si="16"/>
        <v>5.0984744280655718</v>
      </c>
      <c r="F241" s="23">
        <f t="shared" si="17"/>
        <v>-5.0984744280655718</v>
      </c>
      <c r="H241" s="13"/>
      <c r="I241" s="14"/>
    </row>
    <row r="242" spans="1:9" x14ac:dyDescent="0.3">
      <c r="A242" s="2">
        <v>43769</v>
      </c>
      <c r="B242" s="1">
        <v>62.19</v>
      </c>
      <c r="C242" s="1">
        <v>1776.66</v>
      </c>
      <c r="D242" s="22">
        <f t="shared" si="15"/>
        <v>501.30962371767589</v>
      </c>
      <c r="E242" s="23">
        <f t="shared" si="16"/>
        <v>0.1699291445218023</v>
      </c>
      <c r="F242" s="23">
        <f t="shared" si="17"/>
        <v>-0.1699291445218023</v>
      </c>
      <c r="H242" s="13"/>
      <c r="I242" s="14"/>
    </row>
    <row r="243" spans="1:9" x14ac:dyDescent="0.3">
      <c r="A243" s="2">
        <v>43768</v>
      </c>
      <c r="B243" s="1">
        <v>60.814999999999998</v>
      </c>
      <c r="C243" s="1">
        <v>1779.99</v>
      </c>
      <c r="D243" s="22">
        <f t="shared" si="15"/>
        <v>501.13969457315409</v>
      </c>
      <c r="E243" s="23">
        <f t="shared" si="16"/>
        <v>4.420270970048648</v>
      </c>
      <c r="F243" s="23">
        <f t="shared" si="17"/>
        <v>-4.420270970048648</v>
      </c>
      <c r="H243" s="13"/>
      <c r="I243" s="14"/>
    </row>
    <row r="244" spans="1:9" x14ac:dyDescent="0.3">
      <c r="A244" s="2">
        <v>43767</v>
      </c>
      <c r="B244" s="1">
        <v>60.822499999999998</v>
      </c>
      <c r="C244" s="1">
        <v>1762.71</v>
      </c>
      <c r="D244" s="22">
        <f t="shared" si="15"/>
        <v>496.71942360310544</v>
      </c>
      <c r="E244" s="23">
        <f t="shared" si="16"/>
        <v>-4.7517037537369902</v>
      </c>
      <c r="F244" s="23">
        <f t="shared" si="17"/>
        <v>4.7517037537369902</v>
      </c>
      <c r="H244" s="13"/>
      <c r="I244" s="14"/>
    </row>
    <row r="245" spans="1:9" x14ac:dyDescent="0.3">
      <c r="A245" s="2">
        <v>43766</v>
      </c>
      <c r="B245" s="1">
        <v>62.262500000000003</v>
      </c>
      <c r="C245" s="1">
        <v>1777.08</v>
      </c>
      <c r="D245" s="22">
        <f t="shared" si="15"/>
        <v>501.47112735684243</v>
      </c>
      <c r="E245" s="23">
        <f t="shared" si="16"/>
        <v>4.4933203444258538</v>
      </c>
      <c r="F245" s="23">
        <f t="shared" si="17"/>
        <v>-4.4933203444258538</v>
      </c>
      <c r="H245" s="13"/>
      <c r="I245" s="14"/>
    </row>
    <row r="246" spans="1:9" x14ac:dyDescent="0.3">
      <c r="A246" s="2">
        <v>43763</v>
      </c>
      <c r="B246" s="1">
        <v>61.645000000000003</v>
      </c>
      <c r="C246" s="1">
        <v>1761.33</v>
      </c>
      <c r="D246" s="22">
        <f t="shared" si="15"/>
        <v>496.97780701241658</v>
      </c>
      <c r="E246" s="23">
        <f t="shared" si="16"/>
        <v>-4.4237367227756295</v>
      </c>
      <c r="F246" s="23">
        <f t="shared" si="17"/>
        <v>4.4237367227756295</v>
      </c>
      <c r="H246" s="13"/>
      <c r="I246" s="14"/>
    </row>
    <row r="247" spans="1:9" x14ac:dyDescent="0.3">
      <c r="A247" s="2">
        <v>43762</v>
      </c>
      <c r="B247" s="1">
        <v>60.895000000000003</v>
      </c>
      <c r="C247" s="1">
        <v>1780.78</v>
      </c>
      <c r="D247" s="22">
        <f t="shared" si="15"/>
        <v>501.40154373519221</v>
      </c>
      <c r="E247" s="23">
        <f t="shared" si="16"/>
        <v>4.8408844920086835</v>
      </c>
      <c r="F247" s="23">
        <f t="shared" si="17"/>
        <v>-4.8408844920086835</v>
      </c>
      <c r="H247" s="13"/>
      <c r="I247" s="14"/>
    </row>
    <row r="248" spans="1:9" x14ac:dyDescent="0.3">
      <c r="A248" s="2">
        <v>43761</v>
      </c>
      <c r="B248" s="1">
        <v>60.795000000000002</v>
      </c>
      <c r="C248" s="1">
        <v>1762.17</v>
      </c>
      <c r="D248" s="22">
        <f t="shared" si="15"/>
        <v>496.56065924318352</v>
      </c>
      <c r="E248" s="23">
        <f t="shared" si="16"/>
        <v>-0.31298815816410297</v>
      </c>
      <c r="F248" s="23">
        <f t="shared" si="17"/>
        <v>0.31298815816410297</v>
      </c>
      <c r="H248" s="13"/>
      <c r="I248" s="14"/>
    </row>
    <row r="249" spans="1:9" x14ac:dyDescent="0.3">
      <c r="A249" s="2">
        <v>43760</v>
      </c>
      <c r="B249" s="1">
        <v>59.99</v>
      </c>
      <c r="C249" s="1">
        <v>1765.73</v>
      </c>
      <c r="D249" s="22">
        <f t="shared" si="15"/>
        <v>496.87364740134763</v>
      </c>
      <c r="E249" s="23">
        <f t="shared" si="16"/>
        <v>-5.2068655487889259</v>
      </c>
      <c r="F249" s="23">
        <f t="shared" si="17"/>
        <v>5.2068655487889259</v>
      </c>
      <c r="H249" s="13"/>
      <c r="I249" s="14"/>
    </row>
    <row r="250" spans="1:9" x14ac:dyDescent="0.3">
      <c r="A250" s="2">
        <v>43759</v>
      </c>
      <c r="B250" s="1">
        <v>60.127499999999998</v>
      </c>
      <c r="C250" s="1">
        <v>1785.66</v>
      </c>
      <c r="D250" s="22">
        <f t="shared" si="15"/>
        <v>502.08051295013655</v>
      </c>
      <c r="E250" s="23">
        <f t="shared" si="16"/>
        <v>7.9724063665984772</v>
      </c>
      <c r="F250" s="23">
        <f t="shared" si="17"/>
        <v>-7.9724063665984772</v>
      </c>
      <c r="H250" s="13"/>
      <c r="I250" s="14"/>
    </row>
    <row r="251" spans="1:9" x14ac:dyDescent="0.3">
      <c r="A251" s="2">
        <v>43756</v>
      </c>
      <c r="B251" s="1">
        <v>59.102499999999999</v>
      </c>
      <c r="C251" s="1">
        <v>1757.51</v>
      </c>
      <c r="D251" s="22">
        <f t="shared" si="15"/>
        <v>494.10810658353807</v>
      </c>
      <c r="E251" s="23">
        <f t="shared" si="16"/>
        <v>-7.4659391190974702</v>
      </c>
      <c r="F251" s="23">
        <f t="shared" si="17"/>
        <v>7.4659391190974702</v>
      </c>
      <c r="H251" s="13"/>
      <c r="I251" s="14"/>
    </row>
    <row r="252" spans="1:9" x14ac:dyDescent="0.3">
      <c r="A252" s="2">
        <v>43755</v>
      </c>
      <c r="B252" s="1">
        <v>58.82</v>
      </c>
      <c r="C252" s="1">
        <v>1787.48</v>
      </c>
      <c r="D252" s="22">
        <f t="shared" si="15"/>
        <v>501.57404570263554</v>
      </c>
      <c r="E252" s="23">
        <f t="shared" si="16"/>
        <v>2.7432935128447298</v>
      </c>
      <c r="F252" s="23">
        <f t="shared" si="17"/>
        <v>-2.7432935128447298</v>
      </c>
      <c r="H252" s="13"/>
      <c r="I252" s="14"/>
    </row>
    <row r="253" spans="1:9" x14ac:dyDescent="0.3">
      <c r="A253" s="2">
        <v>43754</v>
      </c>
      <c r="B253" s="1">
        <v>58.592500000000001</v>
      </c>
      <c r="C253" s="1">
        <v>1777.43</v>
      </c>
      <c r="D253" s="22">
        <f t="shared" si="15"/>
        <v>498.83075218979081</v>
      </c>
      <c r="E253" s="23">
        <f t="shared" si="16"/>
        <v>2.3973919077005803</v>
      </c>
      <c r="F253" s="23">
        <f t="shared" si="17"/>
        <v>-2.3973919077005803</v>
      </c>
      <c r="H253" s="13"/>
      <c r="I253" s="14"/>
    </row>
    <row r="254" spans="1:9" x14ac:dyDescent="0.3">
      <c r="A254" s="2">
        <v>43753</v>
      </c>
      <c r="B254" s="1">
        <v>58.83</v>
      </c>
      <c r="C254" s="1">
        <v>1767.38</v>
      </c>
      <c r="D254" s="22">
        <f t="shared" si="15"/>
        <v>496.43336028209023</v>
      </c>
      <c r="E254" s="23">
        <f t="shared" si="16"/>
        <v>7.8248039786775507</v>
      </c>
      <c r="F254" s="23">
        <f t="shared" si="17"/>
        <v>-7.8248039786775507</v>
      </c>
      <c r="H254" s="13"/>
      <c r="I254" s="14"/>
    </row>
    <row r="255" spans="1:9" x14ac:dyDescent="0.3">
      <c r="A255" s="2">
        <v>43752</v>
      </c>
      <c r="B255" s="1">
        <v>58.967500000000001</v>
      </c>
      <c r="C255" s="1">
        <v>1736.43</v>
      </c>
      <c r="D255" s="22">
        <f t="shared" si="15"/>
        <v>488.60855630341268</v>
      </c>
      <c r="E255" s="23">
        <f t="shared" si="16"/>
        <v>1.091897041641289</v>
      </c>
      <c r="F255" s="23">
        <f t="shared" si="17"/>
        <v>-1.091897041641289</v>
      </c>
      <c r="H255" s="13"/>
      <c r="I255" s="14"/>
    </row>
    <row r="256" spans="1:9" x14ac:dyDescent="0.3">
      <c r="A256" s="2">
        <v>43749</v>
      </c>
      <c r="B256" s="1">
        <v>59.052500000000002</v>
      </c>
      <c r="C256" s="1">
        <v>1731.92</v>
      </c>
      <c r="D256" s="22">
        <f t="shared" si="15"/>
        <v>487.51665926177139</v>
      </c>
      <c r="E256" s="23">
        <f t="shared" si="16"/>
        <v>4.124552128797859</v>
      </c>
      <c r="F256" s="23">
        <f t="shared" si="17"/>
        <v>-4.124552128797859</v>
      </c>
      <c r="H256" s="13"/>
      <c r="I256" s="14"/>
    </row>
    <row r="257" spans="1:9" x14ac:dyDescent="0.3">
      <c r="A257" s="2">
        <v>43748</v>
      </c>
      <c r="B257" s="1">
        <v>57.522500000000001</v>
      </c>
      <c r="C257" s="1">
        <v>1720.26</v>
      </c>
      <c r="D257" s="22">
        <f t="shared" si="15"/>
        <v>483.39210713297354</v>
      </c>
      <c r="E257" s="23">
        <f t="shared" si="16"/>
        <v>0.12596667706310427</v>
      </c>
      <c r="F257" s="23">
        <f t="shared" si="17"/>
        <v>-0.12596667706310427</v>
      </c>
      <c r="H257" s="13"/>
      <c r="I257" s="14"/>
    </row>
    <row r="258" spans="1:9" x14ac:dyDescent="0.3">
      <c r="A258" s="2">
        <v>43747</v>
      </c>
      <c r="B258" s="1">
        <v>56.7575</v>
      </c>
      <c r="C258" s="1">
        <v>1721.99</v>
      </c>
      <c r="D258" s="22">
        <f t="shared" si="15"/>
        <v>483.26614045591043</v>
      </c>
      <c r="E258" s="23">
        <f t="shared" si="16"/>
        <v>4.7100469948572936</v>
      </c>
      <c r="F258" s="23">
        <f t="shared" si="17"/>
        <v>-4.7100469948572936</v>
      </c>
      <c r="H258" s="13"/>
      <c r="I258" s="14"/>
    </row>
    <row r="259" spans="1:9" x14ac:dyDescent="0.3">
      <c r="A259" s="2">
        <v>43746</v>
      </c>
      <c r="B259" s="1">
        <v>56.1</v>
      </c>
      <c r="C259" s="1">
        <v>1705.51</v>
      </c>
      <c r="D259" s="22">
        <f t="shared" si="15"/>
        <v>478.55609346105314</v>
      </c>
      <c r="E259" s="23">
        <f t="shared" si="16"/>
        <v>-7.4484859951837734</v>
      </c>
      <c r="F259" s="23">
        <f t="shared" si="17"/>
        <v>7.4484859951837734</v>
      </c>
      <c r="H259" s="13"/>
      <c r="I259" s="14"/>
    </row>
    <row r="260" spans="1:9" x14ac:dyDescent="0.3">
      <c r="A260" s="2">
        <v>43745</v>
      </c>
      <c r="B260" s="1">
        <v>56.765000000000001</v>
      </c>
      <c r="C260" s="1">
        <v>1732.66</v>
      </c>
      <c r="D260" s="22">
        <f t="shared" si="15"/>
        <v>486.00457945623691</v>
      </c>
      <c r="E260" s="23">
        <f t="shared" si="16"/>
        <v>-1.7810193762987865</v>
      </c>
      <c r="F260" s="23">
        <f t="shared" si="17"/>
        <v>1.7810193762987865</v>
      </c>
      <c r="H260" s="13"/>
      <c r="I260" s="14"/>
    </row>
    <row r="261" spans="1:9" x14ac:dyDescent="0.3">
      <c r="A261" s="2">
        <v>43742</v>
      </c>
      <c r="B261" s="1">
        <v>56.752499999999998</v>
      </c>
      <c r="C261" s="1">
        <v>1739.65</v>
      </c>
      <c r="D261" s="22">
        <f t="shared" si="15"/>
        <v>487.7855988325357</v>
      </c>
      <c r="E261" s="23">
        <f t="shared" si="16"/>
        <v>5.0519382529394079</v>
      </c>
      <c r="F261" s="23">
        <f t="shared" si="17"/>
        <v>-5.0519382529394079</v>
      </c>
      <c r="H261" s="13"/>
      <c r="I261" s="14"/>
    </row>
    <row r="262" spans="1:9" x14ac:dyDescent="0.3">
      <c r="A262" s="2">
        <v>43741</v>
      </c>
      <c r="B262" s="1">
        <v>55.204999999999998</v>
      </c>
      <c r="C262" s="1">
        <v>1724.42</v>
      </c>
      <c r="D262" s="22">
        <f t="shared" ref="D262:D325" si="18">$M$16*B262+(1-$M$16)*C262</f>
        <v>482.73366057959629</v>
      </c>
      <c r="E262" s="23">
        <f t="shared" ref="E262:E325" si="19">D262-D263</f>
        <v>3.2119468490975009</v>
      </c>
      <c r="F262" s="23">
        <f t="shared" ref="F262:F325" si="20">-E262</f>
        <v>-3.2119468490975009</v>
      </c>
      <c r="H262" s="13"/>
      <c r="I262" s="14"/>
    </row>
    <row r="263" spans="1:9" x14ac:dyDescent="0.3">
      <c r="A263" s="2">
        <v>43740</v>
      </c>
      <c r="B263" s="1">
        <v>54.74</v>
      </c>
      <c r="C263" s="1">
        <v>1713.23</v>
      </c>
      <c r="D263" s="22">
        <f t="shared" si="18"/>
        <v>479.52171373049879</v>
      </c>
      <c r="E263" s="23">
        <f t="shared" si="19"/>
        <v>-6.7893387567981449</v>
      </c>
      <c r="F263" s="23">
        <f t="shared" si="20"/>
        <v>6.7893387567981449</v>
      </c>
      <c r="H263" s="13"/>
      <c r="I263" s="14"/>
    </row>
    <row r="264" spans="1:9" x14ac:dyDescent="0.3">
      <c r="A264" s="2">
        <v>43739</v>
      </c>
      <c r="B264" s="1">
        <v>56.147500000000001</v>
      </c>
      <c r="C264" s="1">
        <v>1735.65</v>
      </c>
      <c r="D264" s="22">
        <f t="shared" si="18"/>
        <v>486.31105248729693</v>
      </c>
      <c r="E264" s="23">
        <f t="shared" si="19"/>
        <v>4.870788416076266E-2</v>
      </c>
      <c r="F264" s="23">
        <f t="shared" si="20"/>
        <v>-4.870788416076266E-2</v>
      </c>
      <c r="H264" s="13"/>
      <c r="I264" s="14"/>
    </row>
    <row r="265" spans="1:9" x14ac:dyDescent="0.3">
      <c r="A265" s="2">
        <v>43738</v>
      </c>
      <c r="B265" s="1">
        <v>55.9925</v>
      </c>
      <c r="C265" s="1">
        <v>1735.91</v>
      </c>
      <c r="D265" s="22">
        <f t="shared" si="18"/>
        <v>486.26234460313617</v>
      </c>
      <c r="E265" s="23">
        <f t="shared" si="19"/>
        <v>3.6368118856267415</v>
      </c>
      <c r="F265" s="23">
        <f t="shared" si="20"/>
        <v>-3.6368118856267415</v>
      </c>
      <c r="H265" s="13"/>
      <c r="I265" s="14"/>
    </row>
    <row r="266" spans="1:9" x14ac:dyDescent="0.3">
      <c r="A266" s="2">
        <v>43735</v>
      </c>
      <c r="B266" s="1">
        <v>54.704999999999998</v>
      </c>
      <c r="C266" s="1">
        <v>1725.45</v>
      </c>
      <c r="D266" s="22">
        <f t="shared" si="18"/>
        <v>482.62553271750943</v>
      </c>
      <c r="E266" s="23">
        <f t="shared" si="19"/>
        <v>-3.8846335082870382</v>
      </c>
      <c r="F266" s="23">
        <f t="shared" si="20"/>
        <v>3.8846335082870382</v>
      </c>
      <c r="H266" s="13"/>
      <c r="I266" s="14"/>
    </row>
    <row r="267" spans="1:9" x14ac:dyDescent="0.3">
      <c r="A267" s="2">
        <v>43734</v>
      </c>
      <c r="B267" s="1">
        <v>54.972499999999997</v>
      </c>
      <c r="C267" s="1">
        <v>1739.84</v>
      </c>
      <c r="D267" s="22">
        <f t="shared" si="18"/>
        <v>486.51016622579647</v>
      </c>
      <c r="E267" s="23">
        <f t="shared" si="19"/>
        <v>-7.5090219933606477</v>
      </c>
      <c r="F267" s="23">
        <f t="shared" si="20"/>
        <v>7.5090219933606477</v>
      </c>
      <c r="H267" s="13"/>
      <c r="I267" s="14"/>
    </row>
    <row r="268" spans="1:9" x14ac:dyDescent="0.3">
      <c r="A268" s="2">
        <v>43733</v>
      </c>
      <c r="B268" s="1">
        <v>55.2575</v>
      </c>
      <c r="C268" s="1">
        <v>1768.33</v>
      </c>
      <c r="D268" s="22">
        <f t="shared" si="18"/>
        <v>494.01918821915712</v>
      </c>
      <c r="E268" s="23">
        <f t="shared" si="19"/>
        <v>7.4666703330316295</v>
      </c>
      <c r="F268" s="23">
        <f t="shared" si="20"/>
        <v>-7.4666703330316295</v>
      </c>
      <c r="H268" s="13"/>
      <c r="I268" s="14"/>
    </row>
    <row r="269" spans="1:9" x14ac:dyDescent="0.3">
      <c r="A269" s="2">
        <v>43732</v>
      </c>
      <c r="B269" s="1">
        <v>54.42</v>
      </c>
      <c r="C269" s="1">
        <v>1741.61</v>
      </c>
      <c r="D269" s="22">
        <f t="shared" si="18"/>
        <v>486.55251788612549</v>
      </c>
      <c r="E269" s="23">
        <f t="shared" si="19"/>
        <v>-11.383533953967515</v>
      </c>
      <c r="F269" s="23">
        <f t="shared" si="20"/>
        <v>11.383533953967515</v>
      </c>
      <c r="H269" s="13"/>
      <c r="I269" s="14"/>
    </row>
    <row r="270" spans="1:9" x14ac:dyDescent="0.3">
      <c r="A270" s="2">
        <v>43731</v>
      </c>
      <c r="B270" s="1">
        <v>54.68</v>
      </c>
      <c r="C270" s="1">
        <v>1785.3</v>
      </c>
      <c r="D270" s="22">
        <f t="shared" si="18"/>
        <v>497.936051840093</v>
      </c>
      <c r="E270" s="23">
        <f t="shared" si="19"/>
        <v>-2.0851637229048947</v>
      </c>
      <c r="F270" s="23">
        <f t="shared" si="20"/>
        <v>2.0851637229048947</v>
      </c>
      <c r="H270" s="13"/>
      <c r="I270" s="14"/>
    </row>
    <row r="271" spans="1:9" x14ac:dyDescent="0.3">
      <c r="A271" s="2">
        <v>43728</v>
      </c>
      <c r="B271" s="1">
        <v>54.432499999999997</v>
      </c>
      <c r="C271" s="1">
        <v>1794.16</v>
      </c>
      <c r="D271" s="22">
        <f t="shared" si="18"/>
        <v>500.0212155629979</v>
      </c>
      <c r="E271" s="23">
        <f t="shared" si="19"/>
        <v>-7.6031519602496473</v>
      </c>
      <c r="F271" s="23">
        <f t="shared" si="20"/>
        <v>7.6031519602496473</v>
      </c>
      <c r="H271" s="13"/>
      <c r="I271" s="14"/>
    </row>
    <row r="272" spans="1:9" x14ac:dyDescent="0.3">
      <c r="A272" s="2">
        <v>43727</v>
      </c>
      <c r="B272" s="1">
        <v>55.24</v>
      </c>
      <c r="C272" s="1">
        <v>1821.5</v>
      </c>
      <c r="D272" s="22">
        <f t="shared" si="18"/>
        <v>507.62436752324754</v>
      </c>
      <c r="E272" s="23">
        <f t="shared" si="19"/>
        <v>0.69814416965687087</v>
      </c>
      <c r="F272" s="23">
        <f t="shared" si="20"/>
        <v>-0.69814416965687087</v>
      </c>
      <c r="H272" s="13"/>
      <c r="I272" s="14"/>
    </row>
    <row r="273" spans="1:9" x14ac:dyDescent="0.3">
      <c r="A273" s="2">
        <v>43726</v>
      </c>
      <c r="B273" s="1">
        <v>55.692500000000003</v>
      </c>
      <c r="C273" s="1">
        <v>1817.46</v>
      </c>
      <c r="D273" s="22">
        <f t="shared" si="18"/>
        <v>506.92622335359067</v>
      </c>
      <c r="E273" s="23">
        <f t="shared" si="19"/>
        <v>-0.91872419173085973</v>
      </c>
      <c r="F273" s="23">
        <f t="shared" si="20"/>
        <v>0.91872419173085973</v>
      </c>
      <c r="H273" s="13"/>
      <c r="I273" s="14"/>
    </row>
    <row r="274" spans="1:9" x14ac:dyDescent="0.3">
      <c r="A274" s="2">
        <v>43725</v>
      </c>
      <c r="B274" s="1">
        <v>55.174999999999997</v>
      </c>
      <c r="C274" s="1">
        <v>1822.55</v>
      </c>
      <c r="D274" s="22">
        <f t="shared" si="18"/>
        <v>507.84494754532153</v>
      </c>
      <c r="E274" s="23">
        <f t="shared" si="19"/>
        <v>3.9163821706670205</v>
      </c>
      <c r="F274" s="23">
        <f t="shared" si="20"/>
        <v>-3.9163821706670205</v>
      </c>
      <c r="H274" s="13"/>
      <c r="I274" s="14"/>
    </row>
    <row r="275" spans="1:9" x14ac:dyDescent="0.3">
      <c r="A275" s="2">
        <v>43724</v>
      </c>
      <c r="B275" s="1">
        <v>54.975000000000001</v>
      </c>
      <c r="C275" s="1">
        <v>1807.84</v>
      </c>
      <c r="D275" s="22">
        <f t="shared" si="18"/>
        <v>503.92856537465451</v>
      </c>
      <c r="E275" s="23">
        <f t="shared" si="19"/>
        <v>-7.8540918849122932</v>
      </c>
      <c r="F275" s="23">
        <f t="shared" si="20"/>
        <v>7.8540918849122932</v>
      </c>
      <c r="H275" s="13"/>
      <c r="I275" s="14"/>
    </row>
    <row r="276" spans="1:9" x14ac:dyDescent="0.3">
      <c r="A276" s="2">
        <v>43721</v>
      </c>
      <c r="B276" s="1">
        <v>54.6875</v>
      </c>
      <c r="C276" s="1">
        <v>1839.34</v>
      </c>
      <c r="D276" s="22">
        <f t="shared" si="18"/>
        <v>511.7826572595668</v>
      </c>
      <c r="E276" s="23">
        <f t="shared" si="19"/>
        <v>-1.8844254018026732</v>
      </c>
      <c r="F276" s="23">
        <f t="shared" si="20"/>
        <v>1.8844254018026732</v>
      </c>
      <c r="H276" s="13"/>
      <c r="I276" s="14"/>
    </row>
    <row r="277" spans="1:9" x14ac:dyDescent="0.3">
      <c r="A277" s="2">
        <v>43720</v>
      </c>
      <c r="B277" s="1">
        <v>55.7712</v>
      </c>
      <c r="C277" s="1">
        <v>1843.55</v>
      </c>
      <c r="D277" s="22">
        <f t="shared" si="18"/>
        <v>513.66708266136948</v>
      </c>
      <c r="E277" s="23">
        <f t="shared" si="19"/>
        <v>5.1719905924926479</v>
      </c>
      <c r="F277" s="23">
        <f t="shared" si="20"/>
        <v>-5.1719905924926479</v>
      </c>
      <c r="H277" s="13"/>
      <c r="I277" s="14"/>
    </row>
    <row r="278" spans="1:9" x14ac:dyDescent="0.3">
      <c r="A278" s="2">
        <v>43719</v>
      </c>
      <c r="B278" s="1">
        <v>55.897500000000001</v>
      </c>
      <c r="C278" s="1">
        <v>1822.99</v>
      </c>
      <c r="D278" s="22">
        <f t="shared" si="18"/>
        <v>508.49509206887683</v>
      </c>
      <c r="E278" s="23">
        <f t="shared" si="19"/>
        <v>1.9062701038907335</v>
      </c>
      <c r="F278" s="23">
        <f t="shared" si="20"/>
        <v>-1.9062701038907335</v>
      </c>
      <c r="H278" s="13"/>
      <c r="I278" s="14"/>
    </row>
    <row r="279" spans="1:9" x14ac:dyDescent="0.3">
      <c r="A279" s="2">
        <v>43718</v>
      </c>
      <c r="B279" s="1">
        <v>54.174999999999997</v>
      </c>
      <c r="C279" s="1">
        <v>1820.55</v>
      </c>
      <c r="D279" s="22">
        <f t="shared" si="18"/>
        <v>506.5888219649861</v>
      </c>
      <c r="E279" s="23">
        <f t="shared" si="19"/>
        <v>-2.2956556971847704</v>
      </c>
      <c r="F279" s="23">
        <f t="shared" si="20"/>
        <v>2.2956556971847704</v>
      </c>
      <c r="H279" s="13"/>
      <c r="I279" s="14"/>
    </row>
    <row r="280" spans="1:9" x14ac:dyDescent="0.3">
      <c r="A280" s="2">
        <v>43717</v>
      </c>
      <c r="B280" s="1">
        <v>53.542499999999997</v>
      </c>
      <c r="C280" s="1">
        <v>1831.35</v>
      </c>
      <c r="D280" s="22">
        <f t="shared" si="18"/>
        <v>508.88447766217087</v>
      </c>
      <c r="E280" s="23">
        <f t="shared" si="19"/>
        <v>-0.38399982305082858</v>
      </c>
      <c r="F280" s="23">
        <f t="shared" si="20"/>
        <v>0.38399982305082858</v>
      </c>
      <c r="H280" s="13"/>
      <c r="I280" s="14"/>
    </row>
    <row r="281" spans="1:9" x14ac:dyDescent="0.3">
      <c r="A281" s="2">
        <v>43714</v>
      </c>
      <c r="B281" s="1">
        <v>53.314999999999998</v>
      </c>
      <c r="C281" s="1">
        <v>1833.51</v>
      </c>
      <c r="D281" s="22">
        <f t="shared" si="18"/>
        <v>509.26847748522169</v>
      </c>
      <c r="E281" s="23">
        <f t="shared" si="19"/>
        <v>-1.8503848063167538</v>
      </c>
      <c r="F281" s="23">
        <f t="shared" si="20"/>
        <v>1.8503848063167538</v>
      </c>
      <c r="H281" s="13"/>
      <c r="I281" s="14"/>
    </row>
    <row r="282" spans="1:9" x14ac:dyDescent="0.3">
      <c r="A282" s="2">
        <v>43713</v>
      </c>
      <c r="B282" s="1">
        <v>53.32</v>
      </c>
      <c r="C282" s="1">
        <v>1840.72</v>
      </c>
      <c r="D282" s="22">
        <f t="shared" si="18"/>
        <v>511.11886229153845</v>
      </c>
      <c r="E282" s="23">
        <f t="shared" si="19"/>
        <v>11.031247365557647</v>
      </c>
      <c r="F282" s="23">
        <f t="shared" si="20"/>
        <v>-11.031247365557647</v>
      </c>
      <c r="H282" s="13"/>
      <c r="I282" s="14"/>
    </row>
    <row r="283" spans="1:9" x14ac:dyDescent="0.3">
      <c r="A283" s="2">
        <v>43712</v>
      </c>
      <c r="B283" s="1">
        <v>52.297499999999999</v>
      </c>
      <c r="C283" s="1">
        <v>1800.62</v>
      </c>
      <c r="D283" s="22">
        <f t="shared" si="18"/>
        <v>500.0876149259808</v>
      </c>
      <c r="E283" s="23">
        <f t="shared" si="19"/>
        <v>3.4100641871731909</v>
      </c>
      <c r="F283" s="23">
        <f t="shared" si="20"/>
        <v>-3.4100641871731909</v>
      </c>
      <c r="H283" s="13"/>
      <c r="I283" s="14"/>
    </row>
    <row r="284" spans="1:9" x14ac:dyDescent="0.3">
      <c r="A284" s="2">
        <v>43711</v>
      </c>
      <c r="B284" s="1">
        <v>51.424999999999997</v>
      </c>
      <c r="C284" s="1">
        <v>1789.84</v>
      </c>
      <c r="D284" s="22">
        <f t="shared" si="18"/>
        <v>496.67755073880761</v>
      </c>
      <c r="E284" s="23">
        <f t="shared" si="19"/>
        <v>2.905157054599897</v>
      </c>
      <c r="F284" s="23">
        <f t="shared" si="20"/>
        <v>-2.905157054599897</v>
      </c>
      <c r="H284" s="13"/>
      <c r="I284" s="14"/>
    </row>
    <row r="285" spans="1:9" x14ac:dyDescent="0.3">
      <c r="A285" s="2">
        <v>43710</v>
      </c>
      <c r="B285" s="1">
        <v>52.185000000000002</v>
      </c>
      <c r="C285" s="1">
        <v>1776.29</v>
      </c>
      <c r="D285" s="22">
        <f t="shared" si="18"/>
        <v>493.77239368420771</v>
      </c>
      <c r="E285" s="23">
        <f t="shared" si="19"/>
        <v>0</v>
      </c>
      <c r="F285" s="23">
        <f t="shared" si="20"/>
        <v>0</v>
      </c>
      <c r="H285" s="13"/>
      <c r="I285" s="14"/>
    </row>
    <row r="286" spans="1:9" x14ac:dyDescent="0.3">
      <c r="A286" s="2">
        <v>43707</v>
      </c>
      <c r="B286" s="1">
        <v>52.185000000000002</v>
      </c>
      <c r="C286" s="1">
        <v>1776.29</v>
      </c>
      <c r="D286" s="22">
        <f t="shared" si="18"/>
        <v>493.77239368420771</v>
      </c>
      <c r="E286" s="23">
        <f t="shared" si="19"/>
        <v>-2.6396411405185063</v>
      </c>
      <c r="F286" s="23">
        <f t="shared" si="20"/>
        <v>2.6396411405185063</v>
      </c>
      <c r="H286" s="13"/>
      <c r="I286" s="14"/>
    </row>
    <row r="287" spans="1:9" x14ac:dyDescent="0.3">
      <c r="A287" s="2">
        <v>43706</v>
      </c>
      <c r="B287" s="1">
        <v>52.252499999999998</v>
      </c>
      <c r="C287" s="1">
        <v>1786.4</v>
      </c>
      <c r="D287" s="22">
        <f t="shared" si="18"/>
        <v>496.41203482472622</v>
      </c>
      <c r="E287" s="23">
        <f t="shared" si="19"/>
        <v>6.3203523495378136</v>
      </c>
      <c r="F287" s="23">
        <f t="shared" si="20"/>
        <v>-6.3203523495378136</v>
      </c>
      <c r="H287" s="13"/>
      <c r="I287" s="14"/>
    </row>
    <row r="288" spans="1:9" x14ac:dyDescent="0.3">
      <c r="A288" s="2">
        <v>43705</v>
      </c>
      <c r="B288" s="1">
        <v>51.3825</v>
      </c>
      <c r="C288" s="1">
        <v>1764.25</v>
      </c>
      <c r="D288" s="22">
        <f t="shared" si="18"/>
        <v>490.09168247518841</v>
      </c>
      <c r="E288" s="23">
        <f t="shared" si="19"/>
        <v>0.87460089314691913</v>
      </c>
      <c r="F288" s="23">
        <f t="shared" si="20"/>
        <v>-0.87460089314691913</v>
      </c>
      <c r="H288" s="13"/>
      <c r="I288" s="14"/>
    </row>
    <row r="289" spans="1:9" x14ac:dyDescent="0.3">
      <c r="A289" s="2">
        <v>43704</v>
      </c>
      <c r="B289" s="1">
        <v>51.04</v>
      </c>
      <c r="C289" s="1">
        <v>1761.83</v>
      </c>
      <c r="D289" s="22">
        <f t="shared" si="18"/>
        <v>489.21708158204149</v>
      </c>
      <c r="E289" s="23">
        <f t="shared" si="19"/>
        <v>-2.236430935016017</v>
      </c>
      <c r="F289" s="23">
        <f t="shared" si="20"/>
        <v>2.236430935016017</v>
      </c>
      <c r="H289" s="13"/>
      <c r="I289" s="14"/>
    </row>
    <row r="290" spans="1:9" x14ac:dyDescent="0.3">
      <c r="A290" s="2">
        <v>43703</v>
      </c>
      <c r="B290" s="1">
        <v>51.622500000000002</v>
      </c>
      <c r="C290" s="1">
        <v>1768.87</v>
      </c>
      <c r="D290" s="22">
        <f t="shared" si="18"/>
        <v>491.4535125170575</v>
      </c>
      <c r="E290" s="23">
        <f t="shared" si="19"/>
        <v>5.6463965503841109</v>
      </c>
      <c r="F290" s="23">
        <f t="shared" si="20"/>
        <v>-5.6463965503841109</v>
      </c>
      <c r="H290" s="13"/>
      <c r="I290" s="14"/>
    </row>
    <row r="291" spans="1:9" x14ac:dyDescent="0.3">
      <c r="A291" s="2">
        <v>43700</v>
      </c>
      <c r="B291" s="1">
        <v>50.66</v>
      </c>
      <c r="C291" s="1">
        <v>1749.62</v>
      </c>
      <c r="D291" s="22">
        <f t="shared" si="18"/>
        <v>485.80711596667339</v>
      </c>
      <c r="E291" s="23">
        <f t="shared" si="19"/>
        <v>-16.164121687453701</v>
      </c>
      <c r="F291" s="23">
        <f t="shared" si="20"/>
        <v>16.164121687453701</v>
      </c>
      <c r="H291" s="13"/>
      <c r="I291" s="14"/>
    </row>
    <row r="292" spans="1:9" x14ac:dyDescent="0.3">
      <c r="A292" s="2">
        <v>43699</v>
      </c>
      <c r="B292" s="1">
        <v>53.115000000000002</v>
      </c>
      <c r="C292" s="1">
        <v>1805.6</v>
      </c>
      <c r="D292" s="22">
        <f t="shared" si="18"/>
        <v>501.97123765412709</v>
      </c>
      <c r="E292" s="23">
        <f t="shared" si="19"/>
        <v>-4.6283672601023795</v>
      </c>
      <c r="F292" s="23">
        <f t="shared" si="20"/>
        <v>4.6283672601023795</v>
      </c>
      <c r="H292" s="13"/>
      <c r="I292" s="14"/>
    </row>
    <row r="293" spans="1:9" x14ac:dyDescent="0.3">
      <c r="A293" s="2">
        <v>43698</v>
      </c>
      <c r="B293" s="1">
        <v>53.16</v>
      </c>
      <c r="C293" s="1">
        <v>1823.54</v>
      </c>
      <c r="D293" s="22">
        <f t="shared" si="18"/>
        <v>506.59960491422947</v>
      </c>
      <c r="E293" s="23">
        <f t="shared" si="19"/>
        <v>6.0997512794418185</v>
      </c>
      <c r="F293" s="23">
        <f t="shared" si="20"/>
        <v>-6.0997512794418185</v>
      </c>
      <c r="H293" s="13"/>
      <c r="I293" s="14"/>
    </row>
    <row r="294" spans="1:9" x14ac:dyDescent="0.3">
      <c r="A294" s="2">
        <v>43697</v>
      </c>
      <c r="B294" s="1">
        <v>52.59</v>
      </c>
      <c r="C294" s="1">
        <v>1801.38</v>
      </c>
      <c r="D294" s="22">
        <f t="shared" si="18"/>
        <v>500.49985363478766</v>
      </c>
      <c r="E294" s="23">
        <f t="shared" si="19"/>
        <v>-3.7734313680949754</v>
      </c>
      <c r="F294" s="23">
        <f t="shared" si="20"/>
        <v>3.7734313680949754</v>
      </c>
      <c r="H294" s="13"/>
      <c r="I294" s="14"/>
    </row>
    <row r="295" spans="1:9" x14ac:dyDescent="0.3">
      <c r="A295" s="2">
        <v>43696</v>
      </c>
      <c r="B295" s="1">
        <v>52.587499999999999</v>
      </c>
      <c r="C295" s="1">
        <v>1816.12</v>
      </c>
      <c r="D295" s="22">
        <f t="shared" si="18"/>
        <v>504.27328500288263</v>
      </c>
      <c r="E295" s="23">
        <f t="shared" si="19"/>
        <v>6.7477365458263989</v>
      </c>
      <c r="F295" s="23">
        <f t="shared" si="20"/>
        <v>-6.7477365458263989</v>
      </c>
      <c r="H295" s="13"/>
      <c r="I295" s="14"/>
    </row>
    <row r="296" spans="1:9" x14ac:dyDescent="0.3">
      <c r="A296" s="2">
        <v>43693</v>
      </c>
      <c r="B296" s="1">
        <v>51.625</v>
      </c>
      <c r="C296" s="1">
        <v>1792.57</v>
      </c>
      <c r="D296" s="22">
        <f t="shared" si="18"/>
        <v>497.52554845705623</v>
      </c>
      <c r="E296" s="23">
        <f t="shared" si="19"/>
        <v>5.0984763559185922</v>
      </c>
      <c r="F296" s="23">
        <f t="shared" si="20"/>
        <v>-5.0984763559185922</v>
      </c>
      <c r="H296" s="13"/>
      <c r="I296" s="14"/>
    </row>
    <row r="297" spans="1:9" x14ac:dyDescent="0.3">
      <c r="A297" s="2">
        <v>43692</v>
      </c>
      <c r="B297" s="1">
        <v>50.435000000000002</v>
      </c>
      <c r="C297" s="1">
        <v>1776.12</v>
      </c>
      <c r="D297" s="22">
        <f t="shared" si="18"/>
        <v>492.42707210113764</v>
      </c>
      <c r="E297" s="23">
        <f t="shared" si="19"/>
        <v>3.1827843462488659</v>
      </c>
      <c r="F297" s="23">
        <f t="shared" si="20"/>
        <v>-3.1827843462488659</v>
      </c>
      <c r="H297" s="13"/>
      <c r="I297" s="14"/>
    </row>
    <row r="298" spans="1:9" x14ac:dyDescent="0.3">
      <c r="A298" s="2">
        <v>43691</v>
      </c>
      <c r="B298" s="1">
        <v>50.6875</v>
      </c>
      <c r="C298" s="1">
        <v>1762.96</v>
      </c>
      <c r="D298" s="22">
        <f t="shared" si="18"/>
        <v>489.24428775488877</v>
      </c>
      <c r="E298" s="23">
        <f t="shared" si="19"/>
        <v>-16.877712843566769</v>
      </c>
      <c r="F298" s="23">
        <f t="shared" si="20"/>
        <v>16.877712843566769</v>
      </c>
      <c r="H298" s="13"/>
      <c r="I298" s="14"/>
    </row>
    <row r="299" spans="1:9" x14ac:dyDescent="0.3">
      <c r="A299" s="2">
        <v>43690</v>
      </c>
      <c r="B299" s="1">
        <v>52.2425</v>
      </c>
      <c r="C299" s="1">
        <v>1824.34</v>
      </c>
      <c r="D299" s="22">
        <f t="shared" si="18"/>
        <v>506.12200059845554</v>
      </c>
      <c r="E299" s="23">
        <f t="shared" si="19"/>
        <v>11.675343832560429</v>
      </c>
      <c r="F299" s="23">
        <f t="shared" si="20"/>
        <v>-11.675343832560429</v>
      </c>
      <c r="H299" s="13"/>
      <c r="I299" s="14"/>
    </row>
    <row r="300" spans="1:9" x14ac:dyDescent="0.3">
      <c r="A300" s="2">
        <v>43689</v>
      </c>
      <c r="B300" s="1">
        <v>50.12</v>
      </c>
      <c r="C300" s="1">
        <v>1784.92</v>
      </c>
      <c r="D300" s="22">
        <f t="shared" si="18"/>
        <v>494.44665676589511</v>
      </c>
      <c r="E300" s="23">
        <f t="shared" si="19"/>
        <v>-5.898649638907898</v>
      </c>
      <c r="F300" s="23">
        <f t="shared" si="20"/>
        <v>5.898649638907898</v>
      </c>
      <c r="H300" s="13"/>
      <c r="I300" s="14"/>
    </row>
    <row r="301" spans="1:9" x14ac:dyDescent="0.3">
      <c r="A301" s="2">
        <v>43686</v>
      </c>
      <c r="B301" s="1">
        <v>50.247500000000002</v>
      </c>
      <c r="C301" s="1">
        <v>1807.58</v>
      </c>
      <c r="D301" s="22">
        <f t="shared" si="18"/>
        <v>500.34530640480301</v>
      </c>
      <c r="E301" s="23">
        <f t="shared" si="19"/>
        <v>-6.9363018342850751</v>
      </c>
      <c r="F301" s="23">
        <f t="shared" si="20"/>
        <v>6.9363018342850751</v>
      </c>
      <c r="H301" s="13"/>
      <c r="I301" s="14"/>
    </row>
    <row r="302" spans="1:9" x14ac:dyDescent="0.3">
      <c r="A302" s="2">
        <v>43685</v>
      </c>
      <c r="B302" s="1">
        <v>50.857500000000002</v>
      </c>
      <c r="C302" s="1">
        <v>1832.89</v>
      </c>
      <c r="D302" s="22">
        <f t="shared" si="18"/>
        <v>507.28160823908809</v>
      </c>
      <c r="E302" s="23">
        <f t="shared" si="19"/>
        <v>10.930801343027838</v>
      </c>
      <c r="F302" s="23">
        <f t="shared" si="20"/>
        <v>-10.930801343027838</v>
      </c>
      <c r="H302" s="13"/>
      <c r="I302" s="14"/>
    </row>
    <row r="303" spans="1:9" x14ac:dyDescent="0.3">
      <c r="A303" s="2">
        <v>43684</v>
      </c>
      <c r="B303" s="1">
        <v>49.76</v>
      </c>
      <c r="C303" s="1">
        <v>1793.4</v>
      </c>
      <c r="D303" s="22">
        <f t="shared" si="18"/>
        <v>496.35080689606025</v>
      </c>
      <c r="E303" s="23">
        <f t="shared" si="19"/>
        <v>1.8059954364972555</v>
      </c>
      <c r="F303" s="23">
        <f t="shared" si="20"/>
        <v>-1.8059954364972555</v>
      </c>
      <c r="H303" s="13"/>
      <c r="I303" s="14"/>
    </row>
    <row r="304" spans="1:9" x14ac:dyDescent="0.3">
      <c r="A304" s="2">
        <v>43683</v>
      </c>
      <c r="B304" s="1">
        <v>49.25</v>
      </c>
      <c r="C304" s="1">
        <v>1787.83</v>
      </c>
      <c r="D304" s="22">
        <f t="shared" si="18"/>
        <v>494.54481145956299</v>
      </c>
      <c r="E304" s="23">
        <f t="shared" si="19"/>
        <v>6.4946957676072543</v>
      </c>
      <c r="F304" s="23">
        <f t="shared" si="20"/>
        <v>-6.4946957676072543</v>
      </c>
      <c r="H304" s="13"/>
      <c r="I304" s="14"/>
    </row>
    <row r="305" spans="1:9" x14ac:dyDescent="0.3">
      <c r="A305" s="2">
        <v>43682</v>
      </c>
      <c r="B305" s="1">
        <v>48.335000000000001</v>
      </c>
      <c r="C305" s="1">
        <v>1765.13</v>
      </c>
      <c r="D305" s="22">
        <f t="shared" si="18"/>
        <v>488.05011569195574</v>
      </c>
      <c r="E305" s="23">
        <f t="shared" si="19"/>
        <v>-16.869602173795954</v>
      </c>
      <c r="F305" s="23">
        <f t="shared" si="20"/>
        <v>16.869602173795954</v>
      </c>
      <c r="H305" s="13"/>
      <c r="I305" s="14"/>
    </row>
    <row r="306" spans="1:9" x14ac:dyDescent="0.3">
      <c r="A306" s="2">
        <v>43679</v>
      </c>
      <c r="B306" s="1">
        <v>51.005000000000003</v>
      </c>
      <c r="C306" s="1">
        <v>1823.24</v>
      </c>
      <c r="D306" s="22">
        <f t="shared" si="18"/>
        <v>504.91971786575169</v>
      </c>
      <c r="E306" s="23">
        <f t="shared" si="19"/>
        <v>-9.0366301648406875</v>
      </c>
      <c r="F306" s="23">
        <f t="shared" si="20"/>
        <v>9.0366301648406875</v>
      </c>
      <c r="H306" s="13"/>
      <c r="I306" s="14"/>
    </row>
    <row r="307" spans="1:9" x14ac:dyDescent="0.3">
      <c r="A307" s="2">
        <v>43678</v>
      </c>
      <c r="B307" s="1">
        <v>52.107500000000002</v>
      </c>
      <c r="C307" s="1">
        <v>1855.32</v>
      </c>
      <c r="D307" s="22">
        <f t="shared" si="18"/>
        <v>513.95634803059238</v>
      </c>
      <c r="E307" s="23">
        <f t="shared" si="19"/>
        <v>-3.7925144193072811</v>
      </c>
      <c r="F307" s="23">
        <f t="shared" si="20"/>
        <v>3.7925144193072811</v>
      </c>
      <c r="H307" s="13"/>
      <c r="I307" s="14"/>
    </row>
    <row r="308" spans="1:9" x14ac:dyDescent="0.3">
      <c r="A308" s="2">
        <v>43677</v>
      </c>
      <c r="B308" s="1">
        <v>53.26</v>
      </c>
      <c r="C308" s="1">
        <v>1866.78</v>
      </c>
      <c r="D308" s="22">
        <f t="shared" si="18"/>
        <v>517.74886244989966</v>
      </c>
      <c r="E308" s="23">
        <f t="shared" si="19"/>
        <v>-7.3397609187070429</v>
      </c>
      <c r="F308" s="23">
        <f t="shared" si="20"/>
        <v>7.3397609187070429</v>
      </c>
      <c r="H308" s="13"/>
      <c r="I308" s="14"/>
    </row>
    <row r="309" spans="1:9" x14ac:dyDescent="0.3">
      <c r="A309" s="2">
        <v>43676</v>
      </c>
      <c r="B309" s="1">
        <v>52.195</v>
      </c>
      <c r="C309" s="1">
        <v>1898.53</v>
      </c>
      <c r="D309" s="22">
        <f t="shared" si="18"/>
        <v>525.0886233686067</v>
      </c>
      <c r="E309" s="23">
        <f t="shared" si="19"/>
        <v>-3.7326398226936135</v>
      </c>
      <c r="F309" s="23">
        <f t="shared" si="20"/>
        <v>3.7326398226936135</v>
      </c>
      <c r="H309" s="13"/>
      <c r="I309" s="14"/>
    </row>
    <row r="310" spans="1:9" x14ac:dyDescent="0.3">
      <c r="A310" s="2">
        <v>43675</v>
      </c>
      <c r="B310" s="1">
        <v>52.42</v>
      </c>
      <c r="C310" s="1">
        <v>1912.45</v>
      </c>
      <c r="D310" s="22">
        <f t="shared" si="18"/>
        <v>528.82126319130032</v>
      </c>
      <c r="E310" s="23">
        <f t="shared" si="19"/>
        <v>-7.4766636647266296</v>
      </c>
      <c r="F310" s="23">
        <f t="shared" si="20"/>
        <v>7.4766636647266296</v>
      </c>
      <c r="H310" s="13"/>
      <c r="I310" s="14"/>
    </row>
    <row r="311" spans="1:9" x14ac:dyDescent="0.3">
      <c r="A311" s="2">
        <v>43672</v>
      </c>
      <c r="B311" s="1">
        <v>51.935000000000002</v>
      </c>
      <c r="C311" s="1">
        <v>1943.05</v>
      </c>
      <c r="D311" s="22">
        <f t="shared" si="18"/>
        <v>536.29792685602695</v>
      </c>
      <c r="E311" s="23">
        <f t="shared" si="19"/>
        <v>-7.7470867113814847</v>
      </c>
      <c r="F311" s="23">
        <f t="shared" si="20"/>
        <v>7.7470867113814847</v>
      </c>
      <c r="H311" s="13"/>
      <c r="I311" s="14"/>
    </row>
    <row r="312" spans="1:9" x14ac:dyDescent="0.3">
      <c r="A312" s="2">
        <v>43671</v>
      </c>
      <c r="B312" s="1">
        <v>51.755000000000003</v>
      </c>
      <c r="C312" s="1">
        <v>1973.82</v>
      </c>
      <c r="D312" s="22">
        <f t="shared" si="18"/>
        <v>544.04501356740843</v>
      </c>
      <c r="E312" s="23">
        <f t="shared" si="19"/>
        <v>-7.2196776113646592</v>
      </c>
      <c r="F312" s="23">
        <f t="shared" si="20"/>
        <v>7.2196776113646592</v>
      </c>
      <c r="H312" s="13"/>
      <c r="I312" s="14"/>
    </row>
    <row r="313" spans="1:9" x14ac:dyDescent="0.3">
      <c r="A313" s="2">
        <v>43670</v>
      </c>
      <c r="B313" s="1">
        <v>52.167499999999997</v>
      </c>
      <c r="C313" s="1">
        <v>2000.81</v>
      </c>
      <c r="D313" s="22">
        <f t="shared" si="18"/>
        <v>551.26469117877309</v>
      </c>
      <c r="E313" s="23">
        <f t="shared" si="19"/>
        <v>1.5870990048840667</v>
      </c>
      <c r="F313" s="23">
        <f t="shared" si="20"/>
        <v>-1.5870990048840667</v>
      </c>
      <c r="H313" s="13"/>
      <c r="I313" s="14"/>
    </row>
    <row r="314" spans="1:9" x14ac:dyDescent="0.3">
      <c r="A314" s="2">
        <v>43669</v>
      </c>
      <c r="B314" s="1">
        <v>52.21</v>
      </c>
      <c r="C314" s="1">
        <v>1994.49</v>
      </c>
      <c r="D314" s="22">
        <f t="shared" si="18"/>
        <v>549.67759217388902</v>
      </c>
      <c r="E314" s="23">
        <f t="shared" si="19"/>
        <v>2.570541781735983</v>
      </c>
      <c r="F314" s="23">
        <f t="shared" si="20"/>
        <v>-2.570541781735983</v>
      </c>
      <c r="H314" s="13"/>
      <c r="I314" s="14"/>
    </row>
    <row r="315" spans="1:9" x14ac:dyDescent="0.3">
      <c r="A315" s="2">
        <v>43668</v>
      </c>
      <c r="B315" s="1">
        <v>51.805</v>
      </c>
      <c r="C315" s="1">
        <v>1985.63</v>
      </c>
      <c r="D315" s="22">
        <f t="shared" si="18"/>
        <v>547.10705039215304</v>
      </c>
      <c r="E315" s="23">
        <f t="shared" si="19"/>
        <v>6.2678456416425661</v>
      </c>
      <c r="F315" s="23">
        <f t="shared" si="20"/>
        <v>-6.2678456416425661</v>
      </c>
      <c r="H315" s="13"/>
      <c r="I315" s="14"/>
    </row>
    <row r="316" spans="1:9" x14ac:dyDescent="0.3">
      <c r="A316" s="2">
        <v>43665</v>
      </c>
      <c r="B316" s="1">
        <v>50.647500000000001</v>
      </c>
      <c r="C316" s="1">
        <v>1964.52</v>
      </c>
      <c r="D316" s="22">
        <f t="shared" si="18"/>
        <v>540.83920475051048</v>
      </c>
      <c r="E316" s="23">
        <f t="shared" si="19"/>
        <v>-3.997883881980556</v>
      </c>
      <c r="F316" s="23">
        <f t="shared" si="20"/>
        <v>3.997883881980556</v>
      </c>
      <c r="H316" s="13"/>
      <c r="I316" s="14"/>
    </row>
    <row r="317" spans="1:9" x14ac:dyDescent="0.3">
      <c r="A317" s="2">
        <v>43664</v>
      </c>
      <c r="B317" s="1">
        <v>51.414999999999999</v>
      </c>
      <c r="C317" s="1">
        <v>1977.9</v>
      </c>
      <c r="D317" s="22">
        <f t="shared" si="18"/>
        <v>544.83708863249103</v>
      </c>
      <c r="E317" s="23">
        <f t="shared" si="19"/>
        <v>-3.1894669727831797</v>
      </c>
      <c r="F317" s="23">
        <f t="shared" si="20"/>
        <v>3.1894669727831797</v>
      </c>
      <c r="H317" s="13"/>
      <c r="I317" s="14"/>
    </row>
    <row r="318" spans="1:9" x14ac:dyDescent="0.3">
      <c r="A318" s="2">
        <v>43663</v>
      </c>
      <c r="B318" s="1">
        <v>50.837499999999999</v>
      </c>
      <c r="C318" s="1">
        <v>1992.03</v>
      </c>
      <c r="D318" s="22">
        <f t="shared" si="18"/>
        <v>548.02655560527421</v>
      </c>
      <c r="E318" s="23">
        <f t="shared" si="19"/>
        <v>-4.7908280162477013</v>
      </c>
      <c r="F318" s="23">
        <f t="shared" si="20"/>
        <v>4.7908280162477013</v>
      </c>
      <c r="H318" s="13"/>
      <c r="I318" s="14"/>
    </row>
    <row r="319" spans="1:9" x14ac:dyDescent="0.3">
      <c r="A319" s="2">
        <v>43662</v>
      </c>
      <c r="B319" s="1">
        <v>51.125</v>
      </c>
      <c r="C319" s="1">
        <v>2009.9</v>
      </c>
      <c r="D319" s="22">
        <f t="shared" si="18"/>
        <v>552.81738362152191</v>
      </c>
      <c r="E319" s="23">
        <f t="shared" si="19"/>
        <v>-2.9724703954102552</v>
      </c>
      <c r="F319" s="23">
        <f t="shared" si="20"/>
        <v>2.9724703954102552</v>
      </c>
      <c r="H319" s="13"/>
      <c r="I319" s="14"/>
    </row>
    <row r="320" spans="1:9" x14ac:dyDescent="0.3">
      <c r="A320" s="2">
        <v>43661</v>
      </c>
      <c r="B320" s="1">
        <v>51.302500000000002</v>
      </c>
      <c r="C320" s="1">
        <v>2020.99</v>
      </c>
      <c r="D320" s="22">
        <f t="shared" si="18"/>
        <v>555.78985401693217</v>
      </c>
      <c r="E320" s="23">
        <f t="shared" si="19"/>
        <v>2.9138945829406566</v>
      </c>
      <c r="F320" s="23">
        <f t="shared" si="20"/>
        <v>-2.9138945829406566</v>
      </c>
      <c r="H320" s="13"/>
      <c r="I320" s="14"/>
    </row>
    <row r="321" spans="1:9" x14ac:dyDescent="0.3">
      <c r="A321" s="2">
        <v>43658</v>
      </c>
      <c r="B321" s="1">
        <v>50.825000000000003</v>
      </c>
      <c r="C321" s="1">
        <v>2011</v>
      </c>
      <c r="D321" s="22">
        <f t="shared" si="18"/>
        <v>552.87595943399151</v>
      </c>
      <c r="E321" s="23">
        <f t="shared" si="19"/>
        <v>2.8315783503508101</v>
      </c>
      <c r="F321" s="23">
        <f t="shared" si="20"/>
        <v>-2.8315783503508101</v>
      </c>
      <c r="H321" s="13"/>
      <c r="I321" s="14"/>
    </row>
    <row r="322" spans="1:9" x14ac:dyDescent="0.3">
      <c r="A322" s="2">
        <v>43657</v>
      </c>
      <c r="B322" s="1">
        <v>50.4375</v>
      </c>
      <c r="C322" s="1">
        <v>2001.07</v>
      </c>
      <c r="D322" s="22">
        <f t="shared" si="18"/>
        <v>550.0443810836407</v>
      </c>
      <c r="E322" s="23">
        <f t="shared" si="19"/>
        <v>-4.4603255179567896</v>
      </c>
      <c r="F322" s="23">
        <f t="shared" si="20"/>
        <v>4.4603255179567896</v>
      </c>
      <c r="H322" s="13"/>
      <c r="I322" s="14"/>
    </row>
    <row r="323" spans="1:9" x14ac:dyDescent="0.3">
      <c r="A323" s="2">
        <v>43656</v>
      </c>
      <c r="B323" s="1">
        <v>50.807499999999997</v>
      </c>
      <c r="C323" s="1">
        <v>2017.41</v>
      </c>
      <c r="D323" s="22">
        <f t="shared" si="18"/>
        <v>554.50470660159749</v>
      </c>
      <c r="E323" s="23">
        <f t="shared" si="19"/>
        <v>7.8258931673474308</v>
      </c>
      <c r="F323" s="23">
        <f t="shared" si="20"/>
        <v>-7.8258931673474308</v>
      </c>
      <c r="H323" s="13"/>
      <c r="I323" s="14"/>
    </row>
    <row r="324" spans="1:9" x14ac:dyDescent="0.3">
      <c r="A324" s="2">
        <v>43655</v>
      </c>
      <c r="B324" s="1">
        <v>50.31</v>
      </c>
      <c r="C324" s="1">
        <v>1988.3</v>
      </c>
      <c r="D324" s="22">
        <f t="shared" si="18"/>
        <v>546.67881343425006</v>
      </c>
      <c r="E324" s="23">
        <f t="shared" si="19"/>
        <v>9.4422800784662968</v>
      </c>
      <c r="F324" s="23">
        <f t="shared" si="20"/>
        <v>-9.4422800784662968</v>
      </c>
      <c r="H324" s="13"/>
      <c r="I324" s="14"/>
    </row>
    <row r="325" spans="1:9" x14ac:dyDescent="0.3">
      <c r="A325" s="2">
        <v>43654</v>
      </c>
      <c r="B325" s="1">
        <v>50.005000000000003</v>
      </c>
      <c r="C325" s="1">
        <v>1952.32</v>
      </c>
      <c r="D325" s="22">
        <f t="shared" si="18"/>
        <v>537.23653335578376</v>
      </c>
      <c r="E325" s="23">
        <f t="shared" si="19"/>
        <v>1.6272138842593904</v>
      </c>
      <c r="F325" s="23">
        <f t="shared" si="20"/>
        <v>-1.6272138842593904</v>
      </c>
      <c r="H325" s="13"/>
      <c r="I325" s="14"/>
    </row>
    <row r="326" spans="1:9" x14ac:dyDescent="0.3">
      <c r="A326" s="2">
        <v>43651</v>
      </c>
      <c r="B326" s="1">
        <v>51.057499999999997</v>
      </c>
      <c r="C326" s="1">
        <v>1942.91</v>
      </c>
      <c r="D326" s="22">
        <f t="shared" ref="D326:D389" si="21">$M$16*B326+(1-$M$16)*C326</f>
        <v>535.60931947152437</v>
      </c>
      <c r="E326" s="23">
        <f t="shared" ref="E326:E389" si="22">D326-D327</f>
        <v>0.96797667022656242</v>
      </c>
      <c r="F326" s="23">
        <f t="shared" ref="F326:F389" si="23">-E326</f>
        <v>-0.96797667022656242</v>
      </c>
      <c r="H326" s="13"/>
      <c r="I326" s="14"/>
    </row>
    <row r="327" spans="1:9" x14ac:dyDescent="0.3">
      <c r="A327" s="2">
        <v>43650</v>
      </c>
      <c r="B327" s="1">
        <v>51.102499999999999</v>
      </c>
      <c r="C327" s="1">
        <v>1939</v>
      </c>
      <c r="D327" s="22">
        <f t="shared" si="21"/>
        <v>534.64134280129781</v>
      </c>
      <c r="E327" s="23">
        <f t="shared" si="22"/>
        <v>0</v>
      </c>
      <c r="F327" s="23">
        <f t="shared" si="23"/>
        <v>0</v>
      </c>
      <c r="H327" s="13"/>
      <c r="I327" s="14"/>
    </row>
    <row r="328" spans="1:9" x14ac:dyDescent="0.3">
      <c r="A328" s="2">
        <v>43649</v>
      </c>
      <c r="B328" s="1">
        <v>51.102499999999999</v>
      </c>
      <c r="C328" s="1">
        <v>1939</v>
      </c>
      <c r="D328" s="22">
        <f t="shared" si="21"/>
        <v>534.64134280129781</v>
      </c>
      <c r="E328" s="23">
        <f t="shared" si="22"/>
        <v>1.513656228032346</v>
      </c>
      <c r="F328" s="23">
        <f t="shared" si="23"/>
        <v>-1.513656228032346</v>
      </c>
      <c r="H328" s="13"/>
      <c r="I328" s="14"/>
    </row>
    <row r="329" spans="1:9" x14ac:dyDescent="0.3">
      <c r="A329" s="2">
        <v>43648</v>
      </c>
      <c r="B329" s="1">
        <v>50.682499999999997</v>
      </c>
      <c r="C329" s="1">
        <v>1934.31</v>
      </c>
      <c r="D329" s="22">
        <f t="shared" si="21"/>
        <v>533.12768657326546</v>
      </c>
      <c r="E329" s="23">
        <f t="shared" si="22"/>
        <v>3.3236849874663221</v>
      </c>
      <c r="F329" s="23">
        <f t="shared" si="23"/>
        <v>-3.3236849874663221</v>
      </c>
      <c r="H329" s="13"/>
      <c r="I329" s="14"/>
    </row>
    <row r="330" spans="1:9" x14ac:dyDescent="0.3">
      <c r="A330" s="2">
        <v>43647</v>
      </c>
      <c r="B330" s="1">
        <v>50.387500000000003</v>
      </c>
      <c r="C330" s="1">
        <v>1922.19</v>
      </c>
      <c r="D330" s="22">
        <f t="shared" si="21"/>
        <v>529.80400158579914</v>
      </c>
      <c r="E330" s="23">
        <f t="shared" si="22"/>
        <v>7.9900126102253353</v>
      </c>
      <c r="F330" s="23">
        <f t="shared" si="23"/>
        <v>-7.9900126102253353</v>
      </c>
      <c r="H330" s="13"/>
      <c r="I330" s="14"/>
    </row>
    <row r="331" spans="1:9" x14ac:dyDescent="0.3">
      <c r="A331" s="2">
        <v>43644</v>
      </c>
      <c r="B331" s="1">
        <v>49.48</v>
      </c>
      <c r="C331" s="1">
        <v>1893.63</v>
      </c>
      <c r="D331" s="22">
        <f t="shared" si="21"/>
        <v>521.81398897557381</v>
      </c>
      <c r="E331" s="23">
        <f t="shared" si="22"/>
        <v>-3.0662002915196354</v>
      </c>
      <c r="F331" s="23">
        <f t="shared" si="23"/>
        <v>3.0662002915196354</v>
      </c>
      <c r="H331" s="13"/>
      <c r="I331" s="14"/>
    </row>
    <row r="332" spans="1:9" x14ac:dyDescent="0.3">
      <c r="A332" s="2">
        <v>43643</v>
      </c>
      <c r="B332" s="1">
        <v>49.935000000000002</v>
      </c>
      <c r="C332" s="1">
        <v>1904.28</v>
      </c>
      <c r="D332" s="22">
        <f t="shared" si="21"/>
        <v>524.88018926709344</v>
      </c>
      <c r="E332" s="23">
        <f t="shared" si="22"/>
        <v>1.6408518768685099</v>
      </c>
      <c r="F332" s="23">
        <f t="shared" si="23"/>
        <v>-1.6408518768685099</v>
      </c>
      <c r="H332" s="13"/>
      <c r="I332" s="14"/>
    </row>
    <row r="333" spans="1:9" x14ac:dyDescent="0.3">
      <c r="A333" s="2">
        <v>43642</v>
      </c>
      <c r="B333" s="1">
        <v>49.95</v>
      </c>
      <c r="C333" s="1">
        <v>1897.83</v>
      </c>
      <c r="D333" s="22">
        <f t="shared" si="21"/>
        <v>523.23933739022493</v>
      </c>
      <c r="E333" s="23">
        <f t="shared" si="22"/>
        <v>5.7964635501562043</v>
      </c>
      <c r="F333" s="23">
        <f t="shared" si="23"/>
        <v>-5.7964635501562043</v>
      </c>
      <c r="H333" s="13"/>
      <c r="I333" s="14"/>
    </row>
    <row r="334" spans="1:9" x14ac:dyDescent="0.3">
      <c r="A334" s="2">
        <v>43641</v>
      </c>
      <c r="B334" s="1">
        <v>48.892499999999998</v>
      </c>
      <c r="C334" s="1">
        <v>1878.27</v>
      </c>
      <c r="D334" s="22">
        <f t="shared" si="21"/>
        <v>517.44287384006873</v>
      </c>
      <c r="E334" s="23">
        <f t="shared" si="22"/>
        <v>-9.6855199281487785</v>
      </c>
      <c r="F334" s="23">
        <f t="shared" si="23"/>
        <v>9.6855199281487785</v>
      </c>
      <c r="H334" s="13"/>
      <c r="I334" s="14"/>
    </row>
    <row r="335" spans="1:9" x14ac:dyDescent="0.3">
      <c r="A335" s="2">
        <v>43640</v>
      </c>
      <c r="B335" s="1">
        <v>49.645000000000003</v>
      </c>
      <c r="C335" s="1">
        <v>1913.9</v>
      </c>
      <c r="D335" s="22">
        <f t="shared" si="21"/>
        <v>527.12839376821751</v>
      </c>
      <c r="E335" s="23">
        <f t="shared" si="22"/>
        <v>0.6287327878889073</v>
      </c>
      <c r="F335" s="23">
        <f t="shared" si="23"/>
        <v>-0.6287327878889073</v>
      </c>
      <c r="H335" s="13"/>
      <c r="I335" s="14"/>
    </row>
    <row r="336" spans="1:9" x14ac:dyDescent="0.3">
      <c r="A336" s="2">
        <v>43637</v>
      </c>
      <c r="B336" s="1">
        <v>49.695</v>
      </c>
      <c r="C336" s="1">
        <v>1911.3</v>
      </c>
      <c r="D336" s="22">
        <f t="shared" si="21"/>
        <v>526.4996609803286</v>
      </c>
      <c r="E336" s="23">
        <f t="shared" si="22"/>
        <v>-1.8911638998540639</v>
      </c>
      <c r="F336" s="23">
        <f t="shared" si="23"/>
        <v>1.8911638998540639</v>
      </c>
      <c r="H336" s="13"/>
      <c r="I336" s="14"/>
    </row>
    <row r="337" spans="1:9" x14ac:dyDescent="0.3">
      <c r="A337" s="2">
        <v>43636</v>
      </c>
      <c r="B337" s="1">
        <v>49.865000000000002</v>
      </c>
      <c r="C337" s="1">
        <v>1918.19</v>
      </c>
      <c r="D337" s="22">
        <f t="shared" si="21"/>
        <v>528.39082488018266</v>
      </c>
      <c r="E337" s="23">
        <f t="shared" si="22"/>
        <v>2.7032705369696259</v>
      </c>
      <c r="F337" s="23">
        <f t="shared" si="23"/>
        <v>-2.7032705369696259</v>
      </c>
      <c r="H337" s="13"/>
      <c r="I337" s="14"/>
    </row>
    <row r="338" spans="1:9" x14ac:dyDescent="0.3">
      <c r="A338" s="2">
        <v>43635</v>
      </c>
      <c r="B338" s="1">
        <v>49.467500000000001</v>
      </c>
      <c r="C338" s="1">
        <v>1908.79</v>
      </c>
      <c r="D338" s="22">
        <f t="shared" si="21"/>
        <v>525.68755434321304</v>
      </c>
      <c r="E338" s="23">
        <f t="shared" si="22"/>
        <v>1.7925900152375789</v>
      </c>
      <c r="F338" s="23">
        <f t="shared" si="23"/>
        <v>-1.7925900152375789</v>
      </c>
      <c r="H338" s="13"/>
      <c r="I338" s="14"/>
    </row>
    <row r="339" spans="1:9" x14ac:dyDescent="0.3">
      <c r="A339" s="2">
        <v>43634</v>
      </c>
      <c r="B339" s="1">
        <v>49.612499999999997</v>
      </c>
      <c r="C339" s="1">
        <v>1901.37</v>
      </c>
      <c r="D339" s="22">
        <f t="shared" si="21"/>
        <v>523.89496432797546</v>
      </c>
      <c r="E339" s="23">
        <f t="shared" si="22"/>
        <v>4.776983240763002</v>
      </c>
      <c r="F339" s="23">
        <f t="shared" si="23"/>
        <v>-4.776983240763002</v>
      </c>
      <c r="H339" s="13"/>
      <c r="I339" s="14"/>
    </row>
    <row r="340" spans="1:9" x14ac:dyDescent="0.3">
      <c r="A340" s="2">
        <v>43633</v>
      </c>
      <c r="B340" s="1">
        <v>48.472499999999997</v>
      </c>
      <c r="C340" s="1">
        <v>1886.03</v>
      </c>
      <c r="D340" s="22">
        <f t="shared" si="21"/>
        <v>519.11798108721246</v>
      </c>
      <c r="E340" s="23">
        <f t="shared" si="22"/>
        <v>4.4040783899411053</v>
      </c>
      <c r="F340" s="23">
        <f t="shared" si="23"/>
        <v>-4.4040783899411053</v>
      </c>
      <c r="H340" s="13"/>
      <c r="I340" s="14"/>
    </row>
    <row r="341" spans="1:9" x14ac:dyDescent="0.3">
      <c r="A341" s="2">
        <v>43630</v>
      </c>
      <c r="B341" s="1">
        <v>48.185000000000002</v>
      </c>
      <c r="C341" s="1">
        <v>1869.67</v>
      </c>
      <c r="D341" s="22">
        <f t="shared" si="21"/>
        <v>514.71390269727135</v>
      </c>
      <c r="E341" s="23">
        <f t="shared" si="22"/>
        <v>-0.42357484854312588</v>
      </c>
      <c r="F341" s="23">
        <f t="shared" si="23"/>
        <v>0.42357484854312588</v>
      </c>
      <c r="H341" s="13"/>
      <c r="I341" s="14"/>
    </row>
    <row r="342" spans="1:9" x14ac:dyDescent="0.3">
      <c r="A342" s="2">
        <v>43629</v>
      </c>
      <c r="B342" s="1">
        <v>48.537500000000001</v>
      </c>
      <c r="C342" s="1">
        <v>1870.3</v>
      </c>
      <c r="D342" s="22">
        <f t="shared" si="21"/>
        <v>515.13747754581448</v>
      </c>
      <c r="E342" s="23">
        <f t="shared" si="22"/>
        <v>3.829322449228016</v>
      </c>
      <c r="F342" s="23">
        <f t="shared" si="23"/>
        <v>-3.829322449228016</v>
      </c>
      <c r="H342" s="13"/>
      <c r="I342" s="14"/>
    </row>
    <row r="343" spans="1:9" x14ac:dyDescent="0.3">
      <c r="A343" s="2">
        <v>43628</v>
      </c>
      <c r="B343" s="1">
        <v>48.547499999999999</v>
      </c>
      <c r="C343" s="1">
        <v>1855.32</v>
      </c>
      <c r="D343" s="22">
        <f t="shared" si="21"/>
        <v>511.30815509658646</v>
      </c>
      <c r="E343" s="23">
        <f t="shared" si="22"/>
        <v>-2.2616328982588811</v>
      </c>
      <c r="F343" s="23">
        <f t="shared" si="23"/>
        <v>2.2616328982588811</v>
      </c>
      <c r="H343" s="13"/>
      <c r="I343" s="14"/>
    </row>
    <row r="344" spans="1:9" x14ac:dyDescent="0.3">
      <c r="A344" s="2">
        <v>43627</v>
      </c>
      <c r="B344" s="1">
        <v>48.702500000000001</v>
      </c>
      <c r="C344" s="1">
        <v>1863.7</v>
      </c>
      <c r="D344" s="22">
        <f t="shared" si="21"/>
        <v>513.56978799484534</v>
      </c>
      <c r="E344" s="23">
        <f t="shared" si="22"/>
        <v>1.2010155205927049</v>
      </c>
      <c r="F344" s="23">
        <f t="shared" si="23"/>
        <v>-1.2010155205927049</v>
      </c>
      <c r="H344" s="13"/>
      <c r="I344" s="14"/>
    </row>
    <row r="345" spans="1:9" x14ac:dyDescent="0.3">
      <c r="A345" s="2">
        <v>43626</v>
      </c>
      <c r="B345" s="1">
        <v>48.145000000000003</v>
      </c>
      <c r="C345" s="1">
        <v>1860.63</v>
      </c>
      <c r="D345" s="22">
        <f t="shared" si="21"/>
        <v>512.36877247425264</v>
      </c>
      <c r="E345" s="23">
        <f t="shared" si="22"/>
        <v>14.948611556931382</v>
      </c>
      <c r="F345" s="23">
        <f t="shared" si="23"/>
        <v>-14.948611556931382</v>
      </c>
      <c r="H345" s="13"/>
      <c r="I345" s="14"/>
    </row>
    <row r="346" spans="1:9" x14ac:dyDescent="0.3">
      <c r="A346" s="2">
        <v>43623</v>
      </c>
      <c r="B346" s="1">
        <v>47.537500000000001</v>
      </c>
      <c r="C346" s="1">
        <v>1804.03</v>
      </c>
      <c r="D346" s="22">
        <f t="shared" si="21"/>
        <v>497.42016091732125</v>
      </c>
      <c r="E346" s="23">
        <f t="shared" si="22"/>
        <v>13.638582797497179</v>
      </c>
      <c r="F346" s="23">
        <f t="shared" si="23"/>
        <v>-13.638582797497179</v>
      </c>
      <c r="H346" s="13"/>
      <c r="I346" s="14"/>
    </row>
    <row r="347" spans="1:9" x14ac:dyDescent="0.3">
      <c r="A347" s="2">
        <v>43622</v>
      </c>
      <c r="B347" s="1">
        <v>46.305</v>
      </c>
      <c r="C347" s="1">
        <v>1754.36</v>
      </c>
      <c r="D347" s="22">
        <f t="shared" si="21"/>
        <v>483.78157811982408</v>
      </c>
      <c r="E347" s="23">
        <f t="shared" si="22"/>
        <v>4.5605475652950531</v>
      </c>
      <c r="F347" s="23">
        <f t="shared" si="23"/>
        <v>-4.5605475652950531</v>
      </c>
      <c r="H347" s="13"/>
      <c r="I347" s="14"/>
    </row>
    <row r="348" spans="1:9" x14ac:dyDescent="0.3">
      <c r="A348" s="2">
        <v>43621</v>
      </c>
      <c r="B348" s="1">
        <v>45.634999999999998</v>
      </c>
      <c r="C348" s="1">
        <v>1738.5</v>
      </c>
      <c r="D348" s="22">
        <f t="shared" si="21"/>
        <v>479.22103055452902</v>
      </c>
      <c r="E348" s="23">
        <f t="shared" si="22"/>
        <v>2.8290716424555171</v>
      </c>
      <c r="F348" s="23">
        <f t="shared" si="23"/>
        <v>-2.8290716424555171</v>
      </c>
      <c r="H348" s="13"/>
      <c r="I348" s="14"/>
    </row>
    <row r="349" spans="1:9" x14ac:dyDescent="0.3">
      <c r="A349" s="2">
        <v>43620</v>
      </c>
      <c r="B349" s="1">
        <v>44.91</v>
      </c>
      <c r="C349" s="1">
        <v>1729.56</v>
      </c>
      <c r="D349" s="22">
        <f t="shared" si="21"/>
        <v>476.39195891207351</v>
      </c>
      <c r="E349" s="23">
        <f t="shared" si="22"/>
        <v>10.622391102135452</v>
      </c>
      <c r="F349" s="23">
        <f t="shared" si="23"/>
        <v>-10.622391102135452</v>
      </c>
      <c r="H349" s="13"/>
      <c r="I349" s="14"/>
    </row>
    <row r="350" spans="1:9" x14ac:dyDescent="0.3">
      <c r="A350" s="2">
        <v>43619</v>
      </c>
      <c r="B350" s="1">
        <v>43.325000000000003</v>
      </c>
      <c r="C350" s="1">
        <v>1692.69</v>
      </c>
      <c r="D350" s="22">
        <f t="shared" si="21"/>
        <v>465.76956780993805</v>
      </c>
      <c r="E350" s="23">
        <f t="shared" si="22"/>
        <v>-21.428789738733826</v>
      </c>
      <c r="F350" s="23">
        <f t="shared" si="23"/>
        <v>21.428789738733826</v>
      </c>
      <c r="H350" s="13"/>
      <c r="I350" s="14"/>
    </row>
    <row r="351" spans="1:9" x14ac:dyDescent="0.3">
      <c r="A351" s="2">
        <v>43616</v>
      </c>
      <c r="B351" s="1">
        <v>43.767499999999998</v>
      </c>
      <c r="C351" s="1">
        <v>1775.07</v>
      </c>
      <c r="D351" s="22">
        <f t="shared" si="21"/>
        <v>487.19835754867188</v>
      </c>
      <c r="E351" s="23">
        <f t="shared" si="22"/>
        <v>-11.165858782715418</v>
      </c>
      <c r="F351" s="23">
        <f t="shared" si="23"/>
        <v>11.165858782715418</v>
      </c>
      <c r="H351" s="13"/>
      <c r="I351" s="14"/>
    </row>
    <row r="352" spans="1:9" x14ac:dyDescent="0.3">
      <c r="A352" s="2">
        <v>43615</v>
      </c>
      <c r="B352" s="1">
        <v>44.575000000000003</v>
      </c>
      <c r="C352" s="1">
        <v>1816.32</v>
      </c>
      <c r="D352" s="22">
        <f t="shared" si="21"/>
        <v>498.3642163313873</v>
      </c>
      <c r="E352" s="23">
        <f t="shared" si="22"/>
        <v>-0.56398929903991757</v>
      </c>
      <c r="F352" s="23">
        <f t="shared" si="23"/>
        <v>0.56398929903991757</v>
      </c>
      <c r="H352" s="13"/>
      <c r="I352" s="14"/>
    </row>
    <row r="353" spans="1:9" x14ac:dyDescent="0.3">
      <c r="A353" s="2">
        <v>43614</v>
      </c>
      <c r="B353" s="1">
        <v>44.344999999999999</v>
      </c>
      <c r="C353" s="1">
        <v>1819.19</v>
      </c>
      <c r="D353" s="22">
        <f t="shared" si="21"/>
        <v>498.92820563042721</v>
      </c>
      <c r="E353" s="23">
        <f t="shared" si="22"/>
        <v>-4.5736783191613881</v>
      </c>
      <c r="F353" s="23">
        <f t="shared" si="23"/>
        <v>4.5736783191613881</v>
      </c>
      <c r="H353" s="13"/>
      <c r="I353" s="14"/>
    </row>
    <row r="354" spans="1:9" x14ac:dyDescent="0.3">
      <c r="A354" s="2">
        <v>43613</v>
      </c>
      <c r="B354" s="1">
        <v>44.557499999999997</v>
      </c>
      <c r="C354" s="1">
        <v>1836.43</v>
      </c>
      <c r="D354" s="22">
        <f t="shared" si="21"/>
        <v>503.5018839495886</v>
      </c>
      <c r="E354" s="23">
        <f t="shared" si="22"/>
        <v>3.2304346137728999</v>
      </c>
      <c r="F354" s="23">
        <f t="shared" si="23"/>
        <v>-3.2304346137728999</v>
      </c>
      <c r="H354" s="13"/>
      <c r="I354" s="14"/>
    </row>
    <row r="355" spans="1:9" x14ac:dyDescent="0.3">
      <c r="A355" s="2">
        <v>43612</v>
      </c>
      <c r="B355" s="1">
        <v>44.7425</v>
      </c>
      <c r="C355" s="1">
        <v>1823.28</v>
      </c>
      <c r="D355" s="22">
        <f t="shared" si="21"/>
        <v>500.2714493358157</v>
      </c>
      <c r="E355" s="23">
        <f t="shared" si="22"/>
        <v>0</v>
      </c>
      <c r="F355" s="23">
        <f t="shared" si="23"/>
        <v>0</v>
      </c>
      <c r="H355" s="13"/>
      <c r="I355" s="14"/>
    </row>
    <row r="356" spans="1:9" x14ac:dyDescent="0.3">
      <c r="A356" s="2">
        <v>43609</v>
      </c>
      <c r="B356" s="1">
        <v>44.7425</v>
      </c>
      <c r="C356" s="1">
        <v>1823.28</v>
      </c>
      <c r="D356" s="22">
        <f t="shared" si="21"/>
        <v>500.2714493358157</v>
      </c>
      <c r="E356" s="23">
        <f t="shared" si="22"/>
        <v>1.8694611892241255</v>
      </c>
      <c r="F356" s="23">
        <f t="shared" si="23"/>
        <v>-1.8694611892241255</v>
      </c>
      <c r="H356" s="13"/>
      <c r="I356" s="14"/>
    </row>
    <row r="357" spans="1:9" x14ac:dyDescent="0.3">
      <c r="A357" s="2">
        <v>43608</v>
      </c>
      <c r="B357" s="1">
        <v>44.914999999999999</v>
      </c>
      <c r="C357" s="1">
        <v>1815.48</v>
      </c>
      <c r="D357" s="22">
        <f t="shared" si="21"/>
        <v>498.40198814659158</v>
      </c>
      <c r="E357" s="23">
        <f t="shared" si="22"/>
        <v>-11.900972698164139</v>
      </c>
      <c r="F357" s="23">
        <f t="shared" si="23"/>
        <v>11.900972698164139</v>
      </c>
      <c r="H357" s="13"/>
      <c r="I357" s="14"/>
    </row>
    <row r="358" spans="1:9" x14ac:dyDescent="0.3">
      <c r="A358" s="2">
        <v>43607</v>
      </c>
      <c r="B358" s="1">
        <v>45.695</v>
      </c>
      <c r="C358" s="1">
        <v>1859.68</v>
      </c>
      <c r="D358" s="22">
        <f t="shared" si="21"/>
        <v>510.30296084475572</v>
      </c>
      <c r="E358" s="23">
        <f t="shared" si="22"/>
        <v>-0.15716881725506937</v>
      </c>
      <c r="F358" s="23">
        <f t="shared" si="23"/>
        <v>0.15716881725506937</v>
      </c>
      <c r="H358" s="13"/>
      <c r="I358" s="14"/>
    </row>
    <row r="359" spans="1:9" x14ac:dyDescent="0.3">
      <c r="A359" s="2">
        <v>43606</v>
      </c>
      <c r="B359" s="1">
        <v>46.65</v>
      </c>
      <c r="C359" s="1">
        <v>1857.52</v>
      </c>
      <c r="D359" s="22">
        <f t="shared" si="21"/>
        <v>510.46012966201079</v>
      </c>
      <c r="E359" s="23">
        <f t="shared" si="22"/>
        <v>0.28136771176923503</v>
      </c>
      <c r="F359" s="23">
        <f t="shared" si="23"/>
        <v>-0.28136771176923503</v>
      </c>
      <c r="H359" s="13"/>
      <c r="I359" s="14"/>
    </row>
    <row r="360" spans="1:9" x14ac:dyDescent="0.3">
      <c r="A360" s="2">
        <v>43605</v>
      </c>
      <c r="B360" s="1">
        <v>45.772500000000001</v>
      </c>
      <c r="C360" s="1">
        <v>1858.97</v>
      </c>
      <c r="D360" s="22">
        <f t="shared" si="21"/>
        <v>510.17876195024155</v>
      </c>
      <c r="E360" s="23">
        <f t="shared" si="22"/>
        <v>-3.6680140258187066</v>
      </c>
      <c r="F360" s="23">
        <f t="shared" si="23"/>
        <v>3.6680140258187066</v>
      </c>
      <c r="H360" s="13"/>
      <c r="I360" s="14"/>
    </row>
    <row r="361" spans="1:9" x14ac:dyDescent="0.3">
      <c r="A361" s="2">
        <v>43602</v>
      </c>
      <c r="B361" s="1">
        <v>47.25</v>
      </c>
      <c r="C361" s="1">
        <v>1869</v>
      </c>
      <c r="D361" s="22">
        <f t="shared" si="21"/>
        <v>513.84677597606026</v>
      </c>
      <c r="E361" s="23">
        <f t="shared" si="22"/>
        <v>-10.079609726846797</v>
      </c>
      <c r="F361" s="23">
        <f t="shared" si="23"/>
        <v>10.079609726846797</v>
      </c>
      <c r="H361" s="13"/>
      <c r="I361" s="14"/>
    </row>
    <row r="362" spans="1:9" x14ac:dyDescent="0.3">
      <c r="A362" s="2">
        <v>43601</v>
      </c>
      <c r="B362" s="1">
        <v>47.52</v>
      </c>
      <c r="C362" s="1">
        <v>1907.57</v>
      </c>
      <c r="D362" s="22">
        <f t="shared" si="21"/>
        <v>523.92638570290706</v>
      </c>
      <c r="E362" s="23">
        <f t="shared" si="22"/>
        <v>9.1718800076865818</v>
      </c>
      <c r="F362" s="23">
        <f t="shared" si="23"/>
        <v>-9.1718800076865818</v>
      </c>
      <c r="H362" s="13"/>
      <c r="I362" s="14"/>
    </row>
    <row r="363" spans="1:9" x14ac:dyDescent="0.3">
      <c r="A363" s="2">
        <v>43600</v>
      </c>
      <c r="B363" s="1">
        <v>47.73</v>
      </c>
      <c r="C363" s="1">
        <v>1871.15</v>
      </c>
      <c r="D363" s="22">
        <f t="shared" si="21"/>
        <v>514.75450569522047</v>
      </c>
      <c r="E363" s="23">
        <f t="shared" si="22"/>
        <v>8.3678658049188357</v>
      </c>
      <c r="F363" s="23">
        <f t="shared" si="23"/>
        <v>-8.3678658049188357</v>
      </c>
      <c r="H363" s="13"/>
      <c r="I363" s="14"/>
    </row>
    <row r="364" spans="1:9" x14ac:dyDescent="0.3">
      <c r="A364" s="2">
        <v>43599</v>
      </c>
      <c r="B364" s="1">
        <v>47.164999999999999</v>
      </c>
      <c r="C364" s="1">
        <v>1840.12</v>
      </c>
      <c r="D364" s="22">
        <f t="shared" si="21"/>
        <v>506.38663989030164</v>
      </c>
      <c r="E364" s="23">
        <f t="shared" si="22"/>
        <v>5.0135778195031548</v>
      </c>
      <c r="F364" s="23">
        <f t="shared" si="23"/>
        <v>-5.0135778195031548</v>
      </c>
      <c r="H364" s="13"/>
      <c r="I364" s="14"/>
    </row>
    <row r="365" spans="1:9" x14ac:dyDescent="0.3">
      <c r="A365" s="2">
        <v>43598</v>
      </c>
      <c r="B365" s="1">
        <v>46.43</v>
      </c>
      <c r="C365" s="1">
        <v>1822.68</v>
      </c>
      <c r="D365" s="22">
        <f t="shared" si="21"/>
        <v>501.37306207079848</v>
      </c>
      <c r="E365" s="23">
        <f t="shared" si="22"/>
        <v>-19.368451768913019</v>
      </c>
      <c r="F365" s="23">
        <f t="shared" si="23"/>
        <v>19.368451768913019</v>
      </c>
      <c r="H365" s="13"/>
      <c r="I365" s="14"/>
    </row>
    <row r="366" spans="1:9" x14ac:dyDescent="0.3">
      <c r="A366" s="2">
        <v>43595</v>
      </c>
      <c r="B366" s="1">
        <v>49.295000000000002</v>
      </c>
      <c r="C366" s="1">
        <v>1889.98</v>
      </c>
      <c r="D366" s="22">
        <f t="shared" si="21"/>
        <v>520.7415138397115</v>
      </c>
      <c r="E366" s="23">
        <f t="shared" si="22"/>
        <v>-3.1914108509205334</v>
      </c>
      <c r="F366" s="23">
        <f t="shared" si="23"/>
        <v>3.1914108509205334</v>
      </c>
      <c r="H366" s="13"/>
      <c r="I366" s="14"/>
    </row>
    <row r="367" spans="1:9" x14ac:dyDescent="0.3">
      <c r="A367" s="2">
        <v>43594</v>
      </c>
      <c r="B367" s="1">
        <v>50.18</v>
      </c>
      <c r="C367" s="1">
        <v>1899.87</v>
      </c>
      <c r="D367" s="22">
        <f t="shared" si="21"/>
        <v>523.93292469063203</v>
      </c>
      <c r="E367" s="23">
        <f t="shared" si="22"/>
        <v>-4.9900594467212613</v>
      </c>
      <c r="F367" s="23">
        <f t="shared" si="23"/>
        <v>4.9900594467212613</v>
      </c>
      <c r="H367" s="13"/>
      <c r="I367" s="14"/>
    </row>
    <row r="368" spans="1:9" x14ac:dyDescent="0.3">
      <c r="A368" s="2">
        <v>43593</v>
      </c>
      <c r="B368" s="1">
        <v>50.725000000000001</v>
      </c>
      <c r="C368" s="1">
        <v>1917.77</v>
      </c>
      <c r="D368" s="22">
        <f t="shared" si="21"/>
        <v>528.9229841373533</v>
      </c>
      <c r="E368" s="23">
        <f t="shared" si="22"/>
        <v>-0.81984688028683195</v>
      </c>
      <c r="F368" s="23">
        <f t="shared" si="23"/>
        <v>0.81984688028683195</v>
      </c>
      <c r="H368" s="13"/>
      <c r="I368" s="14"/>
    </row>
    <row r="369" spans="1:9" x14ac:dyDescent="0.3">
      <c r="A369" s="2">
        <v>43592</v>
      </c>
      <c r="B369" s="1">
        <v>50.715000000000003</v>
      </c>
      <c r="C369" s="1">
        <v>1921</v>
      </c>
      <c r="D369" s="22">
        <f t="shared" si="21"/>
        <v>529.74283101764013</v>
      </c>
      <c r="E369" s="23">
        <f t="shared" si="22"/>
        <v>-8.613654458540509</v>
      </c>
      <c r="F369" s="23">
        <f t="shared" si="23"/>
        <v>8.613654458540509</v>
      </c>
      <c r="H369" s="13"/>
      <c r="I369" s="14"/>
    </row>
    <row r="370" spans="1:9" x14ac:dyDescent="0.3">
      <c r="A370" s="2">
        <v>43591</v>
      </c>
      <c r="B370" s="1">
        <v>52.12</v>
      </c>
      <c r="C370" s="1">
        <v>1950.55</v>
      </c>
      <c r="D370" s="22">
        <f t="shared" si="21"/>
        <v>538.35648547618064</v>
      </c>
      <c r="E370" s="23">
        <f t="shared" si="22"/>
        <v>-3.6585729998706711</v>
      </c>
      <c r="F370" s="23">
        <f t="shared" si="23"/>
        <v>3.6585729998706711</v>
      </c>
      <c r="H370" s="13"/>
      <c r="I370" s="14"/>
    </row>
    <row r="371" spans="1:9" x14ac:dyDescent="0.3">
      <c r="A371" s="2">
        <v>43588</v>
      </c>
      <c r="B371" s="1">
        <v>52.9375</v>
      </c>
      <c r="C371" s="1">
        <v>1962.46</v>
      </c>
      <c r="D371" s="22">
        <f t="shared" si="21"/>
        <v>542.01505847605131</v>
      </c>
      <c r="E371" s="23">
        <f t="shared" si="22"/>
        <v>16.271099144657569</v>
      </c>
      <c r="F371" s="23">
        <f t="shared" si="23"/>
        <v>-16.271099144657569</v>
      </c>
      <c r="H371" s="13"/>
      <c r="I371" s="14"/>
    </row>
    <row r="372" spans="1:9" x14ac:dyDescent="0.3">
      <c r="A372" s="2">
        <v>43587</v>
      </c>
      <c r="B372" s="1">
        <v>52.287500000000001</v>
      </c>
      <c r="C372" s="1">
        <v>1900.82</v>
      </c>
      <c r="D372" s="22">
        <f t="shared" si="21"/>
        <v>525.74395933139374</v>
      </c>
      <c r="E372" s="23">
        <f t="shared" si="22"/>
        <v>-2.9953206983242353</v>
      </c>
      <c r="F372" s="23">
        <f t="shared" si="23"/>
        <v>2.9953206983242353</v>
      </c>
      <c r="H372" s="13"/>
      <c r="I372" s="14"/>
    </row>
    <row r="373" spans="1:9" x14ac:dyDescent="0.3">
      <c r="A373" s="2">
        <v>43586</v>
      </c>
      <c r="B373" s="1">
        <v>52.63</v>
      </c>
      <c r="C373" s="1">
        <v>1911.52</v>
      </c>
      <c r="D373" s="22">
        <f t="shared" si="21"/>
        <v>528.73928002971797</v>
      </c>
      <c r="E373" s="23">
        <f t="shared" si="22"/>
        <v>-2.0100929466073012</v>
      </c>
      <c r="F373" s="23">
        <f t="shared" si="23"/>
        <v>2.0100929466073012</v>
      </c>
      <c r="H373" s="13"/>
      <c r="I373" s="14"/>
    </row>
    <row r="374" spans="1:9" x14ac:dyDescent="0.3">
      <c r="A374" s="2">
        <v>43585</v>
      </c>
      <c r="B374" s="1">
        <v>50.167499999999997</v>
      </c>
      <c r="C374" s="1">
        <v>1926.52</v>
      </c>
      <c r="D374" s="22">
        <f t="shared" si="21"/>
        <v>530.74937297632528</v>
      </c>
      <c r="E374" s="23">
        <f t="shared" si="22"/>
        <v>-3.7831719651645699</v>
      </c>
      <c r="F374" s="23">
        <f t="shared" si="23"/>
        <v>3.7831719651645699</v>
      </c>
      <c r="H374" s="13"/>
      <c r="I374" s="14"/>
    </row>
    <row r="375" spans="1:9" x14ac:dyDescent="0.3">
      <c r="A375" s="2">
        <v>43584</v>
      </c>
      <c r="B375" s="1">
        <v>51.152500000000003</v>
      </c>
      <c r="C375" s="1">
        <v>1938.43</v>
      </c>
      <c r="D375" s="22">
        <f t="shared" si="21"/>
        <v>534.53254494148985</v>
      </c>
      <c r="E375" s="23">
        <f t="shared" si="22"/>
        <v>-3.0670818125681762</v>
      </c>
      <c r="F375" s="23">
        <f t="shared" si="23"/>
        <v>3.0670818125681762</v>
      </c>
      <c r="H375" s="13"/>
      <c r="I375" s="14"/>
    </row>
    <row r="376" spans="1:9" x14ac:dyDescent="0.3">
      <c r="A376" s="2">
        <v>43581</v>
      </c>
      <c r="B376" s="1">
        <v>51.075000000000003</v>
      </c>
      <c r="C376" s="1">
        <v>1950.63</v>
      </c>
      <c r="D376" s="22">
        <f t="shared" si="21"/>
        <v>537.59962675405802</v>
      </c>
      <c r="E376" s="23">
        <f t="shared" si="22"/>
        <v>12.209106343810049</v>
      </c>
      <c r="F376" s="23">
        <f t="shared" si="23"/>
        <v>-12.209106343810049</v>
      </c>
      <c r="H376" s="13"/>
      <c r="I376" s="14"/>
    </row>
    <row r="377" spans="1:9" x14ac:dyDescent="0.3">
      <c r="A377" s="2">
        <v>43580</v>
      </c>
      <c r="B377" s="1">
        <v>51.32</v>
      </c>
      <c r="C377" s="1">
        <v>1902.25</v>
      </c>
      <c r="D377" s="22">
        <f t="shared" si="21"/>
        <v>525.39052041024797</v>
      </c>
      <c r="E377" s="23">
        <f t="shared" si="22"/>
        <v>-0.22155818707460639</v>
      </c>
      <c r="F377" s="23">
        <f t="shared" si="23"/>
        <v>0.22155818707460639</v>
      </c>
      <c r="H377" s="13"/>
      <c r="I377" s="14"/>
    </row>
    <row r="378" spans="1:9" x14ac:dyDescent="0.3">
      <c r="A378" s="2">
        <v>43579</v>
      </c>
      <c r="B378" s="1">
        <v>51.79</v>
      </c>
      <c r="C378" s="1">
        <v>1901.75</v>
      </c>
      <c r="D378" s="22">
        <f t="shared" si="21"/>
        <v>525.61207859732258</v>
      </c>
      <c r="E378" s="23">
        <f t="shared" si="22"/>
        <v>-5.6993952325592545</v>
      </c>
      <c r="F378" s="23">
        <f t="shared" si="23"/>
        <v>5.6993952325592545</v>
      </c>
      <c r="H378" s="13"/>
      <c r="I378" s="14"/>
    </row>
    <row r="379" spans="1:9" x14ac:dyDescent="0.3">
      <c r="A379" s="2">
        <v>43578</v>
      </c>
      <c r="B379" s="1">
        <v>51.87</v>
      </c>
      <c r="C379" s="1">
        <v>1923.77</v>
      </c>
      <c r="D379" s="22">
        <f t="shared" si="21"/>
        <v>531.31147382988183</v>
      </c>
      <c r="E379" s="23">
        <f t="shared" si="22"/>
        <v>9.886946043532248</v>
      </c>
      <c r="F379" s="23">
        <f t="shared" si="23"/>
        <v>-9.886946043532248</v>
      </c>
      <c r="H379" s="13"/>
      <c r="I379" s="14"/>
    </row>
    <row r="380" spans="1:9" x14ac:dyDescent="0.3">
      <c r="A380" s="2">
        <v>43577</v>
      </c>
      <c r="B380" s="1">
        <v>51.1325</v>
      </c>
      <c r="C380" s="1">
        <v>1887.31</v>
      </c>
      <c r="D380" s="22">
        <f t="shared" si="21"/>
        <v>521.42452778634959</v>
      </c>
      <c r="E380" s="23">
        <f t="shared" si="22"/>
        <v>6.6865363334874246</v>
      </c>
      <c r="F380" s="23">
        <f t="shared" si="23"/>
        <v>-6.6865363334874246</v>
      </c>
      <c r="H380" s="13"/>
      <c r="I380" s="14"/>
    </row>
    <row r="381" spans="1:9" x14ac:dyDescent="0.3">
      <c r="A381" s="2">
        <v>43574</v>
      </c>
      <c r="B381" s="1">
        <v>50.965000000000003</v>
      </c>
      <c r="C381" s="1">
        <v>1861.69</v>
      </c>
      <c r="D381" s="22">
        <f t="shared" si="21"/>
        <v>514.73799145286216</v>
      </c>
      <c r="E381" s="23">
        <f t="shared" si="22"/>
        <v>0</v>
      </c>
      <c r="F381" s="23">
        <f t="shared" si="23"/>
        <v>0</v>
      </c>
      <c r="H381" s="13"/>
      <c r="I381" s="14"/>
    </row>
    <row r="382" spans="1:9" x14ac:dyDescent="0.3">
      <c r="A382" s="2">
        <v>43573</v>
      </c>
      <c r="B382" s="1">
        <v>50.965000000000003</v>
      </c>
      <c r="C382" s="1">
        <v>1861.69</v>
      </c>
      <c r="D382" s="22">
        <f t="shared" si="21"/>
        <v>514.73799145286216</v>
      </c>
      <c r="E382" s="23">
        <f t="shared" si="22"/>
        <v>-0.66591598486115799</v>
      </c>
      <c r="F382" s="23">
        <f t="shared" si="23"/>
        <v>0.66591598486115799</v>
      </c>
      <c r="H382" s="13"/>
      <c r="I382" s="14"/>
    </row>
    <row r="383" spans="1:9" x14ac:dyDescent="0.3">
      <c r="A383" s="2">
        <v>43572</v>
      </c>
      <c r="B383" s="1">
        <v>50.782499999999999</v>
      </c>
      <c r="C383" s="1">
        <v>1864.82</v>
      </c>
      <c r="D383" s="22">
        <f t="shared" si="21"/>
        <v>515.40390743772332</v>
      </c>
      <c r="E383" s="23">
        <f t="shared" si="22"/>
        <v>1.177461720071733</v>
      </c>
      <c r="F383" s="23">
        <f t="shared" si="23"/>
        <v>-1.177461720071733</v>
      </c>
      <c r="H383" s="13"/>
      <c r="I383" s="14"/>
    </row>
    <row r="384" spans="1:9" x14ac:dyDescent="0.3">
      <c r="A384" s="2">
        <v>43571</v>
      </c>
      <c r="B384" s="1">
        <v>49.8125</v>
      </c>
      <c r="C384" s="1">
        <v>1863.04</v>
      </c>
      <c r="D384" s="22">
        <f t="shared" si="21"/>
        <v>514.22644571765159</v>
      </c>
      <c r="E384" s="23">
        <f t="shared" si="22"/>
        <v>4.6575211667930034</v>
      </c>
      <c r="F384" s="23">
        <f t="shared" si="23"/>
        <v>-4.6575211667930034</v>
      </c>
      <c r="H384" s="13"/>
      <c r="I384" s="14"/>
    </row>
    <row r="385" spans="1:9" x14ac:dyDescent="0.3">
      <c r="A385" s="2">
        <v>43570</v>
      </c>
      <c r="B385" s="1">
        <v>49.807499999999997</v>
      </c>
      <c r="C385" s="1">
        <v>1844.87</v>
      </c>
      <c r="D385" s="22">
        <f t="shared" si="21"/>
        <v>509.56892455085858</v>
      </c>
      <c r="E385" s="23">
        <f t="shared" si="22"/>
        <v>0.53053599817690156</v>
      </c>
      <c r="F385" s="23">
        <f t="shared" si="23"/>
        <v>-0.53053599817690156</v>
      </c>
      <c r="H385" s="13"/>
      <c r="I385" s="14"/>
    </row>
    <row r="386" spans="1:9" x14ac:dyDescent="0.3">
      <c r="A386" s="2">
        <v>43567</v>
      </c>
      <c r="B386" s="1">
        <v>49.717500000000001</v>
      </c>
      <c r="C386" s="1">
        <v>1843.06</v>
      </c>
      <c r="D386" s="22">
        <f t="shared" si="21"/>
        <v>509.03838855268168</v>
      </c>
      <c r="E386" s="23">
        <f t="shared" si="22"/>
        <v>-0.27356432453206025</v>
      </c>
      <c r="F386" s="23">
        <f t="shared" si="23"/>
        <v>0.27356432453206025</v>
      </c>
      <c r="H386" s="13"/>
      <c r="I386" s="14"/>
    </row>
    <row r="387" spans="1:9" x14ac:dyDescent="0.3">
      <c r="A387" s="2">
        <v>43566</v>
      </c>
      <c r="B387" s="1">
        <v>49.737499999999997</v>
      </c>
      <c r="C387" s="1">
        <v>1844.07</v>
      </c>
      <c r="D387" s="22">
        <f t="shared" si="21"/>
        <v>509.31195287721374</v>
      </c>
      <c r="E387" s="23">
        <f t="shared" si="22"/>
        <v>-1.1455369621034492</v>
      </c>
      <c r="F387" s="23">
        <f t="shared" si="23"/>
        <v>1.1455369621034492</v>
      </c>
      <c r="H387" s="13"/>
      <c r="I387" s="14"/>
    </row>
    <row r="388" spans="1:9" x14ac:dyDescent="0.3">
      <c r="A388" s="2">
        <v>43565</v>
      </c>
      <c r="B388" s="1">
        <v>50.155000000000001</v>
      </c>
      <c r="C388" s="1">
        <v>1847.33</v>
      </c>
      <c r="D388" s="22">
        <f t="shared" si="21"/>
        <v>510.45748983931719</v>
      </c>
      <c r="E388" s="23">
        <f t="shared" si="22"/>
        <v>3.1511677555600954</v>
      </c>
      <c r="F388" s="23">
        <f t="shared" si="23"/>
        <v>-3.1511677555600954</v>
      </c>
      <c r="H388" s="13"/>
      <c r="I388" s="14"/>
    </row>
    <row r="389" spans="1:9" x14ac:dyDescent="0.3">
      <c r="A389" s="2">
        <v>43564</v>
      </c>
      <c r="B389" s="1">
        <v>49.875</v>
      </c>
      <c r="C389" s="1">
        <v>1835.84</v>
      </c>
      <c r="D389" s="22">
        <f t="shared" si="21"/>
        <v>507.3063220837571</v>
      </c>
      <c r="E389" s="23">
        <f t="shared" si="22"/>
        <v>-3.702461799252319</v>
      </c>
      <c r="F389" s="23">
        <f t="shared" si="23"/>
        <v>3.702461799252319</v>
      </c>
      <c r="H389" s="13"/>
      <c r="I389" s="14"/>
    </row>
    <row r="390" spans="1:9" x14ac:dyDescent="0.3">
      <c r="A390" s="2">
        <v>43563</v>
      </c>
      <c r="B390" s="1">
        <v>50.024999999999999</v>
      </c>
      <c r="C390" s="1">
        <v>1849.86</v>
      </c>
      <c r="D390" s="22">
        <f t="shared" ref="D390:D453" si="24">$M$16*B390+(1-$M$16)*C390</f>
        <v>511.00878388300941</v>
      </c>
      <c r="E390" s="23">
        <f t="shared" ref="E390:E453" si="25">D390-D391</f>
        <v>3.7985624758596828</v>
      </c>
      <c r="F390" s="23">
        <f t="shared" ref="F390:F453" si="26">-E390</f>
        <v>-3.7985624758596828</v>
      </c>
      <c r="H390" s="13"/>
      <c r="I390" s="14"/>
    </row>
    <row r="391" spans="1:9" x14ac:dyDescent="0.3">
      <c r="A391" s="2">
        <v>43560</v>
      </c>
      <c r="B391" s="1">
        <v>49.25</v>
      </c>
      <c r="C391" s="1">
        <v>1837.28</v>
      </c>
      <c r="D391" s="22">
        <f t="shared" si="24"/>
        <v>507.21022140714973</v>
      </c>
      <c r="E391" s="23">
        <f t="shared" si="25"/>
        <v>4.9614520622186546</v>
      </c>
      <c r="F391" s="23">
        <f t="shared" si="26"/>
        <v>-4.9614520622186546</v>
      </c>
      <c r="H391" s="13"/>
      <c r="I391" s="14"/>
    </row>
    <row r="392" spans="1:9" x14ac:dyDescent="0.3">
      <c r="A392" s="2">
        <v>43559</v>
      </c>
      <c r="B392" s="1">
        <v>48.922499999999999</v>
      </c>
      <c r="C392" s="1">
        <v>1818.86</v>
      </c>
      <c r="D392" s="22">
        <f t="shared" si="24"/>
        <v>502.24876934493108</v>
      </c>
      <c r="E392" s="23">
        <f t="shared" si="25"/>
        <v>-0.40804174214571276</v>
      </c>
      <c r="F392" s="23">
        <f t="shared" si="26"/>
        <v>0.40804174214571276</v>
      </c>
      <c r="H392" s="13"/>
      <c r="I392" s="14"/>
    </row>
    <row r="393" spans="1:9" x14ac:dyDescent="0.3">
      <c r="A393" s="2">
        <v>43558</v>
      </c>
      <c r="B393" s="1">
        <v>48.837499999999999</v>
      </c>
      <c r="C393" s="1">
        <v>1820.7</v>
      </c>
      <c r="D393" s="22">
        <f t="shared" si="24"/>
        <v>502.65681108707679</v>
      </c>
      <c r="E393" s="23">
        <f t="shared" si="25"/>
        <v>1.9685021443925166</v>
      </c>
      <c r="F393" s="23">
        <f t="shared" si="26"/>
        <v>-1.9685021443925166</v>
      </c>
      <c r="H393" s="13"/>
      <c r="I393" s="14"/>
    </row>
    <row r="394" spans="1:9" x14ac:dyDescent="0.3">
      <c r="A394" s="2">
        <v>43557</v>
      </c>
      <c r="B394" s="1">
        <v>48.505000000000003</v>
      </c>
      <c r="C394" s="1">
        <v>1813.98</v>
      </c>
      <c r="D394" s="22">
        <f t="shared" si="24"/>
        <v>500.68830894268427</v>
      </c>
      <c r="E394" s="23">
        <f t="shared" si="25"/>
        <v>0.46320634979645092</v>
      </c>
      <c r="F394" s="23">
        <f t="shared" si="26"/>
        <v>-0.46320634979645092</v>
      </c>
      <c r="H394" s="13"/>
      <c r="I394" s="14"/>
    </row>
    <row r="395" spans="1:9" x14ac:dyDescent="0.3">
      <c r="A395" s="2">
        <v>43556</v>
      </c>
      <c r="B395" s="1">
        <v>47.81</v>
      </c>
      <c r="C395" s="1">
        <v>1814.19</v>
      </c>
      <c r="D395" s="22">
        <f t="shared" si="24"/>
        <v>500.22510259288782</v>
      </c>
      <c r="E395" s="23">
        <f t="shared" si="25"/>
        <v>8.8047389067584731</v>
      </c>
      <c r="F395" s="23">
        <f t="shared" si="26"/>
        <v>-8.8047389067584731</v>
      </c>
      <c r="H395" s="13"/>
      <c r="I395" s="14"/>
    </row>
    <row r="396" spans="1:9" x14ac:dyDescent="0.3">
      <c r="A396" s="2">
        <v>43553</v>
      </c>
      <c r="B396" s="1">
        <v>47.487499999999997</v>
      </c>
      <c r="C396" s="1">
        <v>1780.75</v>
      </c>
      <c r="D396" s="22">
        <f t="shared" si="24"/>
        <v>491.42036368612935</v>
      </c>
      <c r="E396" s="23">
        <f t="shared" si="25"/>
        <v>2.1061418879054941</v>
      </c>
      <c r="F396" s="23">
        <f t="shared" si="26"/>
        <v>-2.1061418879054941</v>
      </c>
      <c r="H396" s="13"/>
      <c r="I396" s="14"/>
    </row>
    <row r="397" spans="1:9" x14ac:dyDescent="0.3">
      <c r="A397" s="2">
        <v>43552</v>
      </c>
      <c r="B397" s="1">
        <v>47.18</v>
      </c>
      <c r="C397" s="1">
        <v>1773.42</v>
      </c>
      <c r="D397" s="22">
        <f t="shared" si="24"/>
        <v>489.31422179822385</v>
      </c>
      <c r="E397" s="23">
        <f t="shared" si="25"/>
        <v>2.0237816314185579</v>
      </c>
      <c r="F397" s="23">
        <f t="shared" si="26"/>
        <v>-2.0237816314185579</v>
      </c>
      <c r="H397" s="13"/>
      <c r="I397" s="14"/>
    </row>
    <row r="398" spans="1:9" x14ac:dyDescent="0.3">
      <c r="A398" s="2">
        <v>43551</v>
      </c>
      <c r="B398" s="1">
        <v>47.1175</v>
      </c>
      <c r="C398" s="1">
        <v>1765.7</v>
      </c>
      <c r="D398" s="22">
        <f t="shared" si="24"/>
        <v>487.2904401668053</v>
      </c>
      <c r="E398" s="23">
        <f t="shared" si="25"/>
        <v>-4.313200724598687</v>
      </c>
      <c r="F398" s="23">
        <f t="shared" si="26"/>
        <v>4.313200724598687</v>
      </c>
      <c r="H398" s="13"/>
      <c r="I398" s="14"/>
    </row>
    <row r="399" spans="1:9" x14ac:dyDescent="0.3">
      <c r="A399" s="2">
        <v>43550</v>
      </c>
      <c r="B399" s="1">
        <v>46.697499999999998</v>
      </c>
      <c r="C399" s="1">
        <v>1783.76</v>
      </c>
      <c r="D399" s="22">
        <f t="shared" si="24"/>
        <v>491.60364089140398</v>
      </c>
      <c r="E399" s="23">
        <f t="shared" si="25"/>
        <v>2.0705542336000349</v>
      </c>
      <c r="F399" s="23">
        <f t="shared" si="26"/>
        <v>-2.0705542336000349</v>
      </c>
      <c r="H399" s="13"/>
      <c r="I399" s="14"/>
    </row>
    <row r="400" spans="1:9" x14ac:dyDescent="0.3">
      <c r="A400" s="2">
        <v>43549</v>
      </c>
      <c r="B400" s="1">
        <v>47.185000000000002</v>
      </c>
      <c r="C400" s="1">
        <v>1774.26</v>
      </c>
      <c r="D400" s="22">
        <f t="shared" si="24"/>
        <v>489.53308665780395</v>
      </c>
      <c r="E400" s="23">
        <f t="shared" si="25"/>
        <v>2.0010442800269175</v>
      </c>
      <c r="F400" s="23">
        <f t="shared" si="26"/>
        <v>-2.0010442800269175</v>
      </c>
      <c r="H400" s="13"/>
      <c r="I400" s="14"/>
    </row>
    <row r="401" spans="1:9" x14ac:dyDescent="0.3">
      <c r="A401" s="2">
        <v>43546</v>
      </c>
      <c r="B401" s="1">
        <v>47.762500000000003</v>
      </c>
      <c r="C401" s="1">
        <v>1764.77</v>
      </c>
      <c r="D401" s="22">
        <f t="shared" si="24"/>
        <v>487.53204237777703</v>
      </c>
      <c r="E401" s="23">
        <f t="shared" si="25"/>
        <v>-14.707596036338543</v>
      </c>
      <c r="F401" s="23">
        <f t="shared" si="26"/>
        <v>14.707596036338543</v>
      </c>
      <c r="H401" s="13"/>
      <c r="I401" s="14"/>
    </row>
    <row r="402" spans="1:9" x14ac:dyDescent="0.3">
      <c r="A402" s="2">
        <v>43545</v>
      </c>
      <c r="B402" s="1">
        <v>48.772500000000001</v>
      </c>
      <c r="C402" s="1">
        <v>1819.26</v>
      </c>
      <c r="D402" s="22">
        <f t="shared" si="24"/>
        <v>502.23963841411557</v>
      </c>
      <c r="E402" s="23">
        <f t="shared" si="25"/>
        <v>6.9209639436448924</v>
      </c>
      <c r="F402" s="23">
        <f t="shared" si="26"/>
        <v>-6.9209639436448924</v>
      </c>
      <c r="H402" s="13"/>
      <c r="I402" s="14"/>
    </row>
    <row r="403" spans="1:9" x14ac:dyDescent="0.3">
      <c r="A403" s="2">
        <v>43544</v>
      </c>
      <c r="B403" s="1">
        <v>47.04</v>
      </c>
      <c r="C403" s="1">
        <v>1797.27</v>
      </c>
      <c r="D403" s="22">
        <f t="shared" si="24"/>
        <v>495.31867447047068</v>
      </c>
      <c r="E403" s="23">
        <f t="shared" si="25"/>
        <v>9.3750968814940734</v>
      </c>
      <c r="F403" s="23">
        <f t="shared" si="26"/>
        <v>-9.3750968814940734</v>
      </c>
      <c r="H403" s="13"/>
      <c r="I403" s="14"/>
    </row>
    <row r="404" spans="1:9" x14ac:dyDescent="0.3">
      <c r="A404" s="2">
        <v>43543</v>
      </c>
      <c r="B404" s="1">
        <v>46.6325</v>
      </c>
      <c r="C404" s="1">
        <v>1761.85</v>
      </c>
      <c r="D404" s="22">
        <f t="shared" si="24"/>
        <v>485.94357758897661</v>
      </c>
      <c r="E404" s="23">
        <f t="shared" si="25"/>
        <v>4.7685807112827661</v>
      </c>
      <c r="F404" s="23">
        <f t="shared" si="26"/>
        <v>-4.7685807112827661</v>
      </c>
      <c r="H404" s="13"/>
      <c r="I404" s="14"/>
    </row>
    <row r="405" spans="1:9" x14ac:dyDescent="0.3">
      <c r="A405" s="2">
        <v>43542</v>
      </c>
      <c r="B405" s="1">
        <v>47.005000000000003</v>
      </c>
      <c r="C405" s="1">
        <v>1742.15</v>
      </c>
      <c r="D405" s="22">
        <f t="shared" si="24"/>
        <v>481.17499687769384</v>
      </c>
      <c r="E405" s="23">
        <f t="shared" si="25"/>
        <v>7.9833213875330671</v>
      </c>
      <c r="F405" s="23">
        <f t="shared" si="26"/>
        <v>-7.9833213875330671</v>
      </c>
      <c r="H405" s="13"/>
      <c r="I405" s="14"/>
    </row>
    <row r="406" spans="1:9" x14ac:dyDescent="0.3">
      <c r="A406" s="2">
        <v>43539</v>
      </c>
      <c r="B406" s="1">
        <v>46.53</v>
      </c>
      <c r="C406" s="1">
        <v>1712.36</v>
      </c>
      <c r="D406" s="22">
        <f t="shared" si="24"/>
        <v>473.19167549016078</v>
      </c>
      <c r="E406" s="23">
        <f t="shared" si="25"/>
        <v>7.1395876357175325</v>
      </c>
      <c r="F406" s="23">
        <f t="shared" si="26"/>
        <v>-7.1395876357175325</v>
      </c>
      <c r="H406" s="13"/>
      <c r="I406" s="14"/>
    </row>
    <row r="407" spans="1:9" x14ac:dyDescent="0.3">
      <c r="A407" s="2">
        <v>43538</v>
      </c>
      <c r="B407" s="1">
        <v>45.932499999999997</v>
      </c>
      <c r="C407" s="1">
        <v>1686.22</v>
      </c>
      <c r="D407" s="22">
        <f t="shared" si="24"/>
        <v>466.05208785444324</v>
      </c>
      <c r="E407" s="23">
        <f t="shared" si="25"/>
        <v>-0.79995983180896246</v>
      </c>
      <c r="F407" s="23">
        <f t="shared" si="26"/>
        <v>0.79995983180896246</v>
      </c>
      <c r="H407" s="13"/>
      <c r="I407" s="14"/>
    </row>
    <row r="408" spans="1:9" x14ac:dyDescent="0.3">
      <c r="A408" s="2">
        <v>43537</v>
      </c>
      <c r="B408" s="1">
        <v>45.427500000000002</v>
      </c>
      <c r="C408" s="1">
        <v>1690.81</v>
      </c>
      <c r="D408" s="22">
        <f t="shared" si="24"/>
        <v>466.85204768625221</v>
      </c>
      <c r="E408" s="23">
        <f t="shared" si="25"/>
        <v>4.6847589116733275</v>
      </c>
      <c r="F408" s="23">
        <f t="shared" si="26"/>
        <v>-4.6847589116733275</v>
      </c>
      <c r="H408" s="13"/>
      <c r="I408" s="14"/>
    </row>
    <row r="409" spans="1:9" x14ac:dyDescent="0.3">
      <c r="A409" s="2">
        <v>43536</v>
      </c>
      <c r="B409" s="1">
        <v>45.227499999999999</v>
      </c>
      <c r="C409" s="1">
        <v>1673.1</v>
      </c>
      <c r="D409" s="22">
        <f t="shared" si="24"/>
        <v>462.16728877457888</v>
      </c>
      <c r="E409" s="23">
        <f t="shared" si="25"/>
        <v>1.0089883351132585</v>
      </c>
      <c r="F409" s="23">
        <f t="shared" si="26"/>
        <v>-1.0089883351132585</v>
      </c>
      <c r="H409" s="13"/>
      <c r="I409" s="14"/>
    </row>
    <row r="410" spans="1:9" x14ac:dyDescent="0.3">
      <c r="A410" s="2">
        <v>43535</v>
      </c>
      <c r="B410" s="1">
        <v>44.725000000000001</v>
      </c>
      <c r="C410" s="1">
        <v>1670.62</v>
      </c>
      <c r="D410" s="22">
        <f t="shared" si="24"/>
        <v>461.15830043946562</v>
      </c>
      <c r="E410" s="23">
        <f t="shared" si="25"/>
        <v>13.874128355758558</v>
      </c>
      <c r="F410" s="23">
        <f t="shared" si="26"/>
        <v>-13.874128355758558</v>
      </c>
      <c r="H410" s="13"/>
      <c r="I410" s="14"/>
    </row>
    <row r="411" spans="1:9" x14ac:dyDescent="0.3">
      <c r="A411" s="2">
        <v>43532</v>
      </c>
      <c r="B411" s="1">
        <v>43.227499999999999</v>
      </c>
      <c r="C411" s="1">
        <v>1620.8</v>
      </c>
      <c r="D411" s="22">
        <f t="shared" si="24"/>
        <v>447.28417208370706</v>
      </c>
      <c r="E411" s="23">
        <f t="shared" si="25"/>
        <v>-1.2427996107118133</v>
      </c>
      <c r="F411" s="23">
        <f t="shared" si="26"/>
        <v>1.2427996107118133</v>
      </c>
      <c r="H411" s="13"/>
      <c r="I411" s="14"/>
    </row>
    <row r="412" spans="1:9" x14ac:dyDescent="0.3">
      <c r="A412" s="2">
        <v>43531</v>
      </c>
      <c r="B412" s="1">
        <v>43.125</v>
      </c>
      <c r="C412" s="1">
        <v>1625.95</v>
      </c>
      <c r="D412" s="22">
        <f t="shared" si="24"/>
        <v>448.52697169441888</v>
      </c>
      <c r="E412" s="23">
        <f t="shared" si="25"/>
        <v>-11.389056536353905</v>
      </c>
      <c r="F412" s="23">
        <f t="shared" si="26"/>
        <v>11.389056536353905</v>
      </c>
      <c r="H412" s="13"/>
      <c r="I412" s="14"/>
    </row>
    <row r="413" spans="1:9" x14ac:dyDescent="0.3">
      <c r="A413" s="2">
        <v>43530</v>
      </c>
      <c r="B413" s="1">
        <v>43.63</v>
      </c>
      <c r="C413" s="1">
        <v>1668.95</v>
      </c>
      <c r="D413" s="22">
        <f t="shared" si="24"/>
        <v>459.91602823077278</v>
      </c>
      <c r="E413" s="23">
        <f t="shared" si="25"/>
        <v>-6.2016569172411096</v>
      </c>
      <c r="F413" s="23">
        <f t="shared" si="26"/>
        <v>6.2016569172411096</v>
      </c>
      <c r="H413" s="13"/>
      <c r="I413" s="14"/>
    </row>
    <row r="414" spans="1:9" x14ac:dyDescent="0.3">
      <c r="A414" s="2">
        <v>43529</v>
      </c>
      <c r="B414" s="1">
        <v>43.8825</v>
      </c>
      <c r="C414" s="1">
        <v>1692.43</v>
      </c>
      <c r="D414" s="22">
        <f t="shared" si="24"/>
        <v>466.11768514801389</v>
      </c>
      <c r="E414" s="23">
        <f t="shared" si="25"/>
        <v>-1.0174196240275819</v>
      </c>
      <c r="F414" s="23">
        <f t="shared" si="26"/>
        <v>1.0174196240275819</v>
      </c>
      <c r="H414" s="13"/>
      <c r="I414" s="14"/>
    </row>
    <row r="415" spans="1:9" x14ac:dyDescent="0.3">
      <c r="A415" s="2">
        <v>43528</v>
      </c>
      <c r="B415" s="1">
        <v>43.962499999999999</v>
      </c>
      <c r="C415" s="1">
        <v>1696.17</v>
      </c>
      <c r="D415" s="22">
        <f t="shared" si="24"/>
        <v>467.13510477204147</v>
      </c>
      <c r="E415" s="23">
        <f t="shared" si="25"/>
        <v>6.4233615557239432</v>
      </c>
      <c r="F415" s="23">
        <f t="shared" si="26"/>
        <v>-6.4233615557239432</v>
      </c>
      <c r="H415" s="13"/>
      <c r="I415" s="14"/>
    </row>
    <row r="416" spans="1:9" x14ac:dyDescent="0.3">
      <c r="A416" s="2">
        <v>43525</v>
      </c>
      <c r="B416" s="1">
        <v>43.7425</v>
      </c>
      <c r="C416" s="1">
        <v>1671.73</v>
      </c>
      <c r="D416" s="22">
        <f t="shared" si="24"/>
        <v>460.71174321631753</v>
      </c>
      <c r="E416" s="23">
        <f t="shared" si="25"/>
        <v>8.5088688736474865</v>
      </c>
      <c r="F416" s="23">
        <f t="shared" si="26"/>
        <v>-8.5088688736474865</v>
      </c>
      <c r="H416" s="13"/>
      <c r="I416" s="14"/>
    </row>
    <row r="417" spans="1:9" x14ac:dyDescent="0.3">
      <c r="A417" s="2">
        <v>43524</v>
      </c>
      <c r="B417" s="1">
        <v>43.287500000000001</v>
      </c>
      <c r="C417" s="1">
        <v>1639.83</v>
      </c>
      <c r="D417" s="22">
        <f t="shared" si="24"/>
        <v>452.20287434267004</v>
      </c>
      <c r="E417" s="23">
        <f t="shared" si="25"/>
        <v>-0.64258423167837009</v>
      </c>
      <c r="F417" s="23">
        <f t="shared" si="26"/>
        <v>0.64258423167837009</v>
      </c>
      <c r="H417" s="13"/>
      <c r="I417" s="14"/>
    </row>
    <row r="418" spans="1:9" x14ac:dyDescent="0.3">
      <c r="A418" s="2">
        <v>43523</v>
      </c>
      <c r="B418" s="1">
        <v>43.717500000000001</v>
      </c>
      <c r="C418" s="1">
        <v>1641.09</v>
      </c>
      <c r="D418" s="22">
        <f t="shared" si="24"/>
        <v>452.84545857434841</v>
      </c>
      <c r="E418" s="23">
        <f t="shared" si="25"/>
        <v>1.3016520184278306</v>
      </c>
      <c r="F418" s="23">
        <f t="shared" si="26"/>
        <v>-1.3016520184278306</v>
      </c>
      <c r="H418" s="13"/>
      <c r="I418" s="14"/>
    </row>
    <row r="419" spans="1:9" x14ac:dyDescent="0.3">
      <c r="A419" s="2">
        <v>43522</v>
      </c>
      <c r="B419" s="1">
        <v>43.582500000000003</v>
      </c>
      <c r="C419" s="1">
        <v>1636.4</v>
      </c>
      <c r="D419" s="22">
        <f t="shared" si="24"/>
        <v>451.54380655592058</v>
      </c>
      <c r="E419" s="23">
        <f t="shared" si="25"/>
        <v>0.88942383363200861</v>
      </c>
      <c r="F419" s="23">
        <f t="shared" si="26"/>
        <v>-0.88942383363200861</v>
      </c>
      <c r="H419" s="13"/>
      <c r="I419" s="14"/>
    </row>
    <row r="420" spans="1:9" x14ac:dyDescent="0.3">
      <c r="A420" s="2">
        <v>43521</v>
      </c>
      <c r="B420" s="1">
        <v>43.557499999999997</v>
      </c>
      <c r="C420" s="1">
        <v>1633</v>
      </c>
      <c r="D420" s="22">
        <f t="shared" si="24"/>
        <v>450.65438272228857</v>
      </c>
      <c r="E420" s="23">
        <f t="shared" si="25"/>
        <v>0.60314127787739835</v>
      </c>
      <c r="F420" s="23">
        <f t="shared" si="26"/>
        <v>-0.60314127787739835</v>
      </c>
      <c r="H420" s="13"/>
      <c r="I420" s="14"/>
    </row>
    <row r="421" spans="1:9" x14ac:dyDescent="0.3">
      <c r="A421" s="2">
        <v>43518</v>
      </c>
      <c r="B421" s="1">
        <v>43.2425</v>
      </c>
      <c r="C421" s="1">
        <v>1631.56</v>
      </c>
      <c r="D421" s="22">
        <f t="shared" si="24"/>
        <v>450.05124144441118</v>
      </c>
      <c r="E421" s="23">
        <f t="shared" si="25"/>
        <v>3.4594420690551715</v>
      </c>
      <c r="F421" s="23">
        <f t="shared" si="26"/>
        <v>-3.4594420690551715</v>
      </c>
      <c r="H421" s="13"/>
      <c r="I421" s="14"/>
    </row>
    <row r="422" spans="1:9" x14ac:dyDescent="0.3">
      <c r="A422" s="2">
        <v>43517</v>
      </c>
      <c r="B422" s="1">
        <v>42.765000000000001</v>
      </c>
      <c r="C422" s="1">
        <v>1619.44</v>
      </c>
      <c r="D422" s="22">
        <f t="shared" si="24"/>
        <v>446.591799375356</v>
      </c>
      <c r="E422" s="23">
        <f t="shared" si="25"/>
        <v>-0.86168359046087062</v>
      </c>
      <c r="F422" s="23">
        <f t="shared" si="26"/>
        <v>0.86168359046087062</v>
      </c>
      <c r="H422" s="13"/>
      <c r="I422" s="14"/>
    </row>
    <row r="423" spans="1:9" x14ac:dyDescent="0.3">
      <c r="A423" s="2">
        <v>43516</v>
      </c>
      <c r="B423" s="1">
        <v>43.0075</v>
      </c>
      <c r="C423" s="1">
        <v>1622.1</v>
      </c>
      <c r="D423" s="22">
        <f t="shared" si="24"/>
        <v>447.45348296581687</v>
      </c>
      <c r="E423" s="23">
        <f t="shared" si="25"/>
        <v>-1.1990027148303852</v>
      </c>
      <c r="F423" s="23">
        <f t="shared" si="26"/>
        <v>1.1990027148303852</v>
      </c>
      <c r="H423" s="13"/>
      <c r="I423" s="14"/>
    </row>
    <row r="424" spans="1:9" x14ac:dyDescent="0.3">
      <c r="A424" s="2">
        <v>43515</v>
      </c>
      <c r="B424" s="1">
        <v>42.732500000000002</v>
      </c>
      <c r="C424" s="1">
        <v>1627.58</v>
      </c>
      <c r="D424" s="22">
        <f t="shared" si="24"/>
        <v>448.65248568064726</v>
      </c>
      <c r="E424" s="23">
        <f t="shared" si="25"/>
        <v>5.1225891304915763</v>
      </c>
      <c r="F424" s="23">
        <f t="shared" si="26"/>
        <v>-5.1225891304915763</v>
      </c>
      <c r="H424" s="13"/>
      <c r="I424" s="14"/>
    </row>
    <row r="425" spans="1:9" x14ac:dyDescent="0.3">
      <c r="A425" s="2">
        <v>43514</v>
      </c>
      <c r="B425" s="1">
        <v>42.604999999999997</v>
      </c>
      <c r="C425" s="1">
        <v>1607.95</v>
      </c>
      <c r="D425" s="22">
        <f t="shared" si="24"/>
        <v>443.52989655015568</v>
      </c>
      <c r="E425" s="23">
        <f t="shared" si="25"/>
        <v>0</v>
      </c>
      <c r="F425" s="23">
        <f t="shared" si="26"/>
        <v>0</v>
      </c>
      <c r="H425" s="13"/>
      <c r="I425" s="14"/>
    </row>
    <row r="426" spans="1:9" x14ac:dyDescent="0.3">
      <c r="A426" s="2">
        <v>43511</v>
      </c>
      <c r="B426" s="1">
        <v>42.604999999999997</v>
      </c>
      <c r="C426" s="1">
        <v>1607.95</v>
      </c>
      <c r="D426" s="22">
        <f t="shared" si="24"/>
        <v>443.52989655015568</v>
      </c>
      <c r="E426" s="23">
        <f t="shared" si="25"/>
        <v>-3.8357141007988957</v>
      </c>
      <c r="F426" s="23">
        <f t="shared" si="26"/>
        <v>3.8357141007988957</v>
      </c>
      <c r="H426" s="13"/>
      <c r="I426" s="14"/>
    </row>
    <row r="427" spans="1:9" x14ac:dyDescent="0.3">
      <c r="A427" s="2">
        <v>43510</v>
      </c>
      <c r="B427" s="1">
        <v>42.7</v>
      </c>
      <c r="C427" s="1">
        <v>1622.65</v>
      </c>
      <c r="D427" s="22">
        <f t="shared" si="24"/>
        <v>447.36561065095458</v>
      </c>
      <c r="E427" s="23">
        <f t="shared" si="25"/>
        <v>-4.328478283771517</v>
      </c>
      <c r="F427" s="23">
        <f t="shared" si="26"/>
        <v>4.328478283771517</v>
      </c>
      <c r="H427" s="13"/>
      <c r="I427" s="14"/>
    </row>
    <row r="428" spans="1:9" x14ac:dyDescent="0.3">
      <c r="A428" s="2">
        <v>43509</v>
      </c>
      <c r="B428" s="1">
        <v>42.545000000000002</v>
      </c>
      <c r="C428" s="1">
        <v>1640</v>
      </c>
      <c r="D428" s="22">
        <f t="shared" si="24"/>
        <v>451.6940889347261</v>
      </c>
      <c r="E428" s="23">
        <f t="shared" si="25"/>
        <v>0.37765219537698158</v>
      </c>
      <c r="F428" s="23">
        <f t="shared" si="26"/>
        <v>-0.37765219537698158</v>
      </c>
      <c r="H428" s="13"/>
      <c r="I428" s="14"/>
    </row>
    <row r="429" spans="1:9" x14ac:dyDescent="0.3">
      <c r="A429" s="2">
        <v>43508</v>
      </c>
      <c r="B429" s="1">
        <v>42.722499999999997</v>
      </c>
      <c r="C429" s="1">
        <v>1638.01</v>
      </c>
      <c r="D429" s="22">
        <f t="shared" si="24"/>
        <v>451.31643673934911</v>
      </c>
      <c r="E429" s="23">
        <f t="shared" si="25"/>
        <v>12.311977694745849</v>
      </c>
      <c r="F429" s="23">
        <f t="shared" si="26"/>
        <v>-12.311977694745849</v>
      </c>
      <c r="H429" s="13"/>
      <c r="I429" s="14"/>
    </row>
    <row r="430" spans="1:9" x14ac:dyDescent="0.3">
      <c r="A430" s="2">
        <v>43507</v>
      </c>
      <c r="B430" s="1">
        <v>42.357500000000002</v>
      </c>
      <c r="C430" s="1">
        <v>1591</v>
      </c>
      <c r="D430" s="22">
        <f t="shared" si="24"/>
        <v>439.00445904460327</v>
      </c>
      <c r="E430" s="23">
        <f t="shared" si="25"/>
        <v>0.52977988051469538</v>
      </c>
      <c r="F430" s="23">
        <f t="shared" si="26"/>
        <v>-0.52977988051469538</v>
      </c>
      <c r="H430" s="13"/>
      <c r="I430" s="14"/>
    </row>
    <row r="431" spans="1:9" x14ac:dyDescent="0.3">
      <c r="A431" s="2">
        <v>43504</v>
      </c>
      <c r="B431" s="1">
        <v>42.602499999999999</v>
      </c>
      <c r="C431" s="1">
        <v>1588.22</v>
      </c>
      <c r="D431" s="22">
        <f t="shared" si="24"/>
        <v>438.47467916408857</v>
      </c>
      <c r="E431" s="23">
        <f t="shared" si="25"/>
        <v>-6.7962472863769108</v>
      </c>
      <c r="F431" s="23">
        <f t="shared" si="26"/>
        <v>6.7962472863769108</v>
      </c>
      <c r="H431" s="13"/>
      <c r="I431" s="14"/>
    </row>
    <row r="432" spans="1:9" x14ac:dyDescent="0.3">
      <c r="A432" s="2">
        <v>43503</v>
      </c>
      <c r="B432" s="1">
        <v>42.734999999999999</v>
      </c>
      <c r="C432" s="1">
        <v>1614.37</v>
      </c>
      <c r="D432" s="22">
        <f t="shared" si="24"/>
        <v>445.27092645046548</v>
      </c>
      <c r="E432" s="23">
        <f t="shared" si="25"/>
        <v>-7.2447876711074173</v>
      </c>
      <c r="F432" s="23">
        <f t="shared" si="26"/>
        <v>7.2447876711074173</v>
      </c>
      <c r="H432" s="13"/>
      <c r="I432" s="14"/>
    </row>
    <row r="433" spans="1:9" x14ac:dyDescent="0.3">
      <c r="A433" s="2">
        <v>43502</v>
      </c>
      <c r="B433" s="1">
        <v>43.56</v>
      </c>
      <c r="C433" s="1">
        <v>1640.26</v>
      </c>
      <c r="D433" s="22">
        <f t="shared" si="24"/>
        <v>452.5157141215729</v>
      </c>
      <c r="E433" s="23">
        <f t="shared" si="25"/>
        <v>-4.739971398927139</v>
      </c>
      <c r="F433" s="23">
        <f t="shared" si="26"/>
        <v>4.739971398927139</v>
      </c>
      <c r="H433" s="13"/>
      <c r="I433" s="14"/>
    </row>
    <row r="434" spans="1:9" x14ac:dyDescent="0.3">
      <c r="A434" s="2">
        <v>43501</v>
      </c>
      <c r="B434" s="1">
        <v>43.545000000000002</v>
      </c>
      <c r="C434" s="1">
        <v>1658.81</v>
      </c>
      <c r="D434" s="22">
        <f t="shared" si="24"/>
        <v>457.25568552050004</v>
      </c>
      <c r="E434" s="23">
        <f t="shared" si="25"/>
        <v>7.0760903109576248</v>
      </c>
      <c r="F434" s="23">
        <f t="shared" si="26"/>
        <v>-7.0760903109576248</v>
      </c>
      <c r="H434" s="13"/>
      <c r="I434" s="14"/>
    </row>
    <row r="435" spans="1:9" x14ac:dyDescent="0.3">
      <c r="A435" s="2">
        <v>43500</v>
      </c>
      <c r="B435" s="1">
        <v>42.8125</v>
      </c>
      <c r="C435" s="1">
        <v>1633.31</v>
      </c>
      <c r="D435" s="22">
        <f t="shared" si="24"/>
        <v>450.17959520954241</v>
      </c>
      <c r="E435" s="23">
        <f t="shared" si="25"/>
        <v>2.6930006100281503</v>
      </c>
      <c r="F435" s="23">
        <f t="shared" si="26"/>
        <v>-2.6930006100281503</v>
      </c>
      <c r="H435" s="13"/>
      <c r="I435" s="14"/>
    </row>
    <row r="436" spans="1:9" x14ac:dyDescent="0.3">
      <c r="A436" s="2">
        <v>43497</v>
      </c>
      <c r="B436" s="1">
        <v>41.63</v>
      </c>
      <c r="C436" s="1">
        <v>1626.23</v>
      </c>
      <c r="D436" s="22">
        <f t="shared" si="24"/>
        <v>447.48659459951426</v>
      </c>
      <c r="E436" s="23">
        <f t="shared" si="25"/>
        <v>-23.676738692633535</v>
      </c>
      <c r="F436" s="23">
        <f t="shared" si="26"/>
        <v>23.676738692633535</v>
      </c>
      <c r="H436" s="13"/>
      <c r="I436" s="14"/>
    </row>
    <row r="437" spans="1:9" x14ac:dyDescent="0.3">
      <c r="A437" s="2">
        <v>43496</v>
      </c>
      <c r="B437" s="1">
        <v>41.61</v>
      </c>
      <c r="C437" s="1">
        <v>1718.73</v>
      </c>
      <c r="D437" s="22">
        <f t="shared" si="24"/>
        <v>471.1633332921478</v>
      </c>
      <c r="E437" s="23">
        <f t="shared" si="25"/>
        <v>12.592168170051252</v>
      </c>
      <c r="F437" s="23">
        <f t="shared" si="26"/>
        <v>-12.592168170051252</v>
      </c>
      <c r="H437" s="13"/>
      <c r="I437" s="14"/>
    </row>
    <row r="438" spans="1:9" x14ac:dyDescent="0.3">
      <c r="A438" s="2">
        <v>43495</v>
      </c>
      <c r="B438" s="1">
        <v>41.3125</v>
      </c>
      <c r="C438" s="1">
        <v>1670.43</v>
      </c>
      <c r="D438" s="22">
        <f t="shared" si="24"/>
        <v>458.57116512209655</v>
      </c>
      <c r="E438" s="23">
        <f t="shared" si="25"/>
        <v>21.572101328640429</v>
      </c>
      <c r="F438" s="23">
        <f t="shared" si="26"/>
        <v>-21.572101328640429</v>
      </c>
      <c r="H438" s="13"/>
      <c r="I438" s="14"/>
    </row>
    <row r="439" spans="1:9" x14ac:dyDescent="0.3">
      <c r="A439" s="2">
        <v>43494</v>
      </c>
      <c r="B439" s="1">
        <v>38.67</v>
      </c>
      <c r="C439" s="1">
        <v>1593.88</v>
      </c>
      <c r="D439" s="22">
        <f t="shared" si="24"/>
        <v>436.99906379345612</v>
      </c>
      <c r="E439" s="23">
        <f t="shared" si="25"/>
        <v>-11.573355930526247</v>
      </c>
      <c r="F439" s="23">
        <f t="shared" si="26"/>
        <v>11.573355930526247</v>
      </c>
      <c r="H439" s="13"/>
      <c r="I439" s="14"/>
    </row>
    <row r="440" spans="1:9" x14ac:dyDescent="0.3">
      <c r="A440" s="2">
        <v>43493</v>
      </c>
      <c r="B440" s="1">
        <v>39.075000000000003</v>
      </c>
      <c r="C440" s="1">
        <v>1637.89</v>
      </c>
      <c r="D440" s="22">
        <f t="shared" si="24"/>
        <v>448.57241972398236</v>
      </c>
      <c r="E440" s="23">
        <f t="shared" si="25"/>
        <v>-8.6416981285391898</v>
      </c>
      <c r="F440" s="23">
        <f t="shared" si="26"/>
        <v>8.6416981285391898</v>
      </c>
      <c r="H440" s="13"/>
      <c r="I440" s="14"/>
    </row>
    <row r="441" spans="1:9" x14ac:dyDescent="0.3">
      <c r="A441" s="2">
        <v>43490</v>
      </c>
      <c r="B441" s="1">
        <v>39.44</v>
      </c>
      <c r="C441" s="1">
        <v>1670.57</v>
      </c>
      <c r="D441" s="22">
        <f t="shared" si="24"/>
        <v>457.21411785252155</v>
      </c>
      <c r="E441" s="23">
        <f t="shared" si="25"/>
        <v>4.9468052173216961</v>
      </c>
      <c r="F441" s="23">
        <f t="shared" si="26"/>
        <v>-4.9468052173216961</v>
      </c>
      <c r="H441" s="13"/>
      <c r="I441" s="14"/>
    </row>
    <row r="442" spans="1:9" x14ac:dyDescent="0.3">
      <c r="A442" s="2">
        <v>43489</v>
      </c>
      <c r="B442" s="1">
        <v>38.174999999999997</v>
      </c>
      <c r="C442" s="1">
        <v>1654.93</v>
      </c>
      <c r="D442" s="22">
        <f t="shared" si="24"/>
        <v>452.26731263519986</v>
      </c>
      <c r="E442" s="23">
        <f t="shared" si="25"/>
        <v>3.5919507048035371</v>
      </c>
      <c r="F442" s="23">
        <f t="shared" si="26"/>
        <v>-3.5919507048035371</v>
      </c>
      <c r="H442" s="13"/>
      <c r="I442" s="14"/>
    </row>
    <row r="443" spans="1:9" x14ac:dyDescent="0.3">
      <c r="A443" s="2">
        <v>43488</v>
      </c>
      <c r="B443" s="1">
        <v>38.479999999999997</v>
      </c>
      <c r="C443" s="1">
        <v>1640.02</v>
      </c>
      <c r="D443" s="22">
        <f t="shared" si="24"/>
        <v>448.67536193039632</v>
      </c>
      <c r="E443" s="23">
        <f t="shared" si="25"/>
        <v>2.1258863406810633</v>
      </c>
      <c r="F443" s="23">
        <f t="shared" si="26"/>
        <v>-2.1258863406810633</v>
      </c>
      <c r="H443" s="13"/>
      <c r="I443" s="14"/>
    </row>
    <row r="444" spans="1:9" x14ac:dyDescent="0.3">
      <c r="A444" s="2">
        <v>43487</v>
      </c>
      <c r="B444" s="1">
        <v>38.325000000000003</v>
      </c>
      <c r="C444" s="1">
        <v>1632.17</v>
      </c>
      <c r="D444" s="22">
        <f t="shared" si="24"/>
        <v>446.54947558971526</v>
      </c>
      <c r="E444" s="23">
        <f t="shared" si="25"/>
        <v>-17.054330398182117</v>
      </c>
      <c r="F444" s="23">
        <f t="shared" si="26"/>
        <v>17.054330398182117</v>
      </c>
      <c r="H444" s="13"/>
      <c r="I444" s="14"/>
    </row>
    <row r="445" spans="1:9" x14ac:dyDescent="0.3">
      <c r="A445" s="2">
        <v>43486</v>
      </c>
      <c r="B445" s="1">
        <v>39.204999999999998</v>
      </c>
      <c r="C445" s="1">
        <v>1696.2</v>
      </c>
      <c r="D445" s="22">
        <f t="shared" si="24"/>
        <v>463.60380598789737</v>
      </c>
      <c r="E445" s="23">
        <f t="shared" si="25"/>
        <v>0</v>
      </c>
      <c r="F445" s="23">
        <f t="shared" si="26"/>
        <v>0</v>
      </c>
      <c r="H445" s="13"/>
      <c r="I445" s="14"/>
    </row>
    <row r="446" spans="1:9" x14ac:dyDescent="0.3">
      <c r="A446" s="2">
        <v>43483</v>
      </c>
      <c r="B446" s="1">
        <v>39.204999999999998</v>
      </c>
      <c r="C446" s="1">
        <v>1696.2</v>
      </c>
      <c r="D446" s="22">
        <f t="shared" si="24"/>
        <v>463.60380598789737</v>
      </c>
      <c r="E446" s="23">
        <f t="shared" si="25"/>
        <v>0.9417840901190857</v>
      </c>
      <c r="F446" s="23">
        <f t="shared" si="26"/>
        <v>-0.9417840901190857</v>
      </c>
      <c r="H446" s="13"/>
      <c r="I446" s="14"/>
    </row>
    <row r="447" spans="1:9" x14ac:dyDescent="0.3">
      <c r="A447" s="2">
        <v>43482</v>
      </c>
      <c r="B447" s="1">
        <v>38.965000000000003</v>
      </c>
      <c r="C447" s="1">
        <v>1693.22</v>
      </c>
      <c r="D447" s="22">
        <f t="shared" si="24"/>
        <v>462.66202189777829</v>
      </c>
      <c r="E447" s="23">
        <f t="shared" si="25"/>
        <v>2.5889165948892696</v>
      </c>
      <c r="F447" s="23">
        <f t="shared" si="26"/>
        <v>-2.5889165948892696</v>
      </c>
      <c r="H447" s="13"/>
      <c r="I447" s="14"/>
    </row>
    <row r="448" spans="1:9" x14ac:dyDescent="0.3">
      <c r="A448" s="2">
        <v>43481</v>
      </c>
      <c r="B448" s="1">
        <v>38.734999999999999</v>
      </c>
      <c r="C448" s="1">
        <v>1683.78</v>
      </c>
      <c r="D448" s="22">
        <f t="shared" si="24"/>
        <v>460.07310530288902</v>
      </c>
      <c r="E448" s="23">
        <f t="shared" si="25"/>
        <v>2.7092391418858028</v>
      </c>
      <c r="F448" s="23">
        <f t="shared" si="26"/>
        <v>-2.7092391418858028</v>
      </c>
      <c r="H448" s="13"/>
      <c r="I448" s="14"/>
    </row>
    <row r="449" spans="1:9" x14ac:dyDescent="0.3">
      <c r="A449" s="2">
        <v>43480</v>
      </c>
      <c r="B449" s="1">
        <v>38.267499999999998</v>
      </c>
      <c r="C449" s="1">
        <v>1674.56</v>
      </c>
      <c r="D449" s="22">
        <f t="shared" si="24"/>
        <v>457.36386616100322</v>
      </c>
      <c r="E449" s="23">
        <f t="shared" si="25"/>
        <v>15.259725649329141</v>
      </c>
      <c r="F449" s="23">
        <f t="shared" si="26"/>
        <v>-15.259725649329141</v>
      </c>
      <c r="H449" s="13"/>
      <c r="I449" s="14"/>
    </row>
    <row r="450" spans="1:9" x14ac:dyDescent="0.3">
      <c r="A450" s="2">
        <v>43479</v>
      </c>
      <c r="B450" s="1">
        <v>37.5</v>
      </c>
      <c r="C450" s="1">
        <v>1617.21</v>
      </c>
      <c r="D450" s="22">
        <f t="shared" si="24"/>
        <v>442.10414051167407</v>
      </c>
      <c r="E450" s="23">
        <f t="shared" si="25"/>
        <v>-6.4064004060900857</v>
      </c>
      <c r="F450" s="23">
        <f t="shared" si="26"/>
        <v>6.4064004060900857</v>
      </c>
      <c r="H450" s="13"/>
      <c r="I450" s="14"/>
    </row>
    <row r="451" spans="1:9" x14ac:dyDescent="0.3">
      <c r="A451" s="2">
        <v>43476</v>
      </c>
      <c r="B451" s="1">
        <v>38.072499999999998</v>
      </c>
      <c r="C451" s="1">
        <v>1640.56</v>
      </c>
      <c r="D451" s="22">
        <f t="shared" si="24"/>
        <v>448.51054091776416</v>
      </c>
      <c r="E451" s="23">
        <f t="shared" si="25"/>
        <v>-4.2917391814761459</v>
      </c>
      <c r="F451" s="23">
        <f t="shared" si="26"/>
        <v>4.2917391814761459</v>
      </c>
      <c r="H451" s="13"/>
      <c r="I451" s="14"/>
    </row>
    <row r="452" spans="1:9" x14ac:dyDescent="0.3">
      <c r="A452" s="2">
        <v>43475</v>
      </c>
      <c r="B452" s="1">
        <v>38.450000000000003</v>
      </c>
      <c r="C452" s="1">
        <v>1656.22</v>
      </c>
      <c r="D452" s="22">
        <f t="shared" si="24"/>
        <v>452.80228009924031</v>
      </c>
      <c r="E452" s="23">
        <f t="shared" si="25"/>
        <v>-0.72847724066446062</v>
      </c>
      <c r="F452" s="23">
        <f t="shared" si="26"/>
        <v>0.72847724066446062</v>
      </c>
      <c r="H452" s="13"/>
      <c r="I452" s="14"/>
    </row>
    <row r="453" spans="1:9" x14ac:dyDescent="0.3">
      <c r="A453" s="2">
        <v>43474</v>
      </c>
      <c r="B453" s="1">
        <v>38.327500000000001</v>
      </c>
      <c r="C453" s="1">
        <v>1659.42</v>
      </c>
      <c r="D453" s="22">
        <f t="shared" si="24"/>
        <v>453.53075733990477</v>
      </c>
      <c r="E453" s="23">
        <f t="shared" si="25"/>
        <v>1.2034762767379448</v>
      </c>
      <c r="F453" s="23">
        <f t="shared" si="26"/>
        <v>-1.2034762767379448</v>
      </c>
      <c r="H453" s="13"/>
      <c r="I453" s="14"/>
    </row>
    <row r="454" spans="1:9" x14ac:dyDescent="0.3">
      <c r="A454" s="2">
        <v>43473</v>
      </c>
      <c r="B454" s="1">
        <v>37.6875</v>
      </c>
      <c r="C454" s="1">
        <v>1656.58</v>
      </c>
      <c r="D454" s="22">
        <f t="shared" ref="D454:D517" si="27">$M$16*B454+(1-$M$16)*C454</f>
        <v>452.32728106316682</v>
      </c>
      <c r="E454" s="23">
        <f t="shared" ref="E454:E517" si="28">D454-D455</f>
        <v>7.4577509255434506</v>
      </c>
      <c r="F454" s="23">
        <f t="shared" ref="F454:F517" si="29">-E454</f>
        <v>-7.4577509255434506</v>
      </c>
      <c r="H454" s="13"/>
      <c r="I454" s="14"/>
    </row>
    <row r="455" spans="1:9" x14ac:dyDescent="0.3">
      <c r="A455" s="2">
        <v>43472</v>
      </c>
      <c r="B455" s="1">
        <v>36.982500000000002</v>
      </c>
      <c r="C455" s="1">
        <v>1629.51</v>
      </c>
      <c r="D455" s="22">
        <f t="shared" si="27"/>
        <v>444.86953013762337</v>
      </c>
      <c r="E455" s="23">
        <f t="shared" si="28"/>
        <v>13.800146768130901</v>
      </c>
      <c r="F455" s="23">
        <f t="shared" si="29"/>
        <v>-13.800146768130901</v>
      </c>
      <c r="H455" s="13"/>
      <c r="I455" s="14"/>
    </row>
    <row r="456" spans="1:9" x14ac:dyDescent="0.3">
      <c r="A456" s="2">
        <v>43469</v>
      </c>
      <c r="B456" s="1">
        <v>37.064999999999998</v>
      </c>
      <c r="C456" s="1">
        <v>1575.39</v>
      </c>
      <c r="D456" s="22">
        <f t="shared" si="27"/>
        <v>431.06938336949247</v>
      </c>
      <c r="E456" s="23">
        <f t="shared" si="28"/>
        <v>20.366421770834791</v>
      </c>
      <c r="F456" s="23">
        <f t="shared" si="29"/>
        <v>-20.366421770834791</v>
      </c>
      <c r="H456" s="13"/>
      <c r="I456" s="14"/>
    </row>
    <row r="457" spans="1:9" x14ac:dyDescent="0.3">
      <c r="A457" s="2">
        <v>43468</v>
      </c>
      <c r="B457" s="1">
        <v>35.547499999999999</v>
      </c>
      <c r="C457" s="1">
        <v>1500.28</v>
      </c>
      <c r="D457" s="22">
        <f t="shared" si="27"/>
        <v>410.70296159865768</v>
      </c>
      <c r="E457" s="23">
        <f t="shared" si="28"/>
        <v>-12.875764951362271</v>
      </c>
      <c r="F457" s="23">
        <f t="shared" si="29"/>
        <v>12.875764951362271</v>
      </c>
      <c r="H457" s="13"/>
      <c r="I457" s="14"/>
    </row>
    <row r="458" spans="1:9" x14ac:dyDescent="0.3">
      <c r="A458" s="2">
        <v>43467</v>
      </c>
      <c r="B458" s="1">
        <v>39.479999999999997</v>
      </c>
      <c r="C458" s="1">
        <v>1539.13</v>
      </c>
      <c r="D458" s="22">
        <f t="shared" si="27"/>
        <v>423.57872655001995</v>
      </c>
      <c r="E458" s="23">
        <f t="shared" si="28"/>
        <v>9.5511009141492877</v>
      </c>
      <c r="F458" s="23">
        <f t="shared" si="29"/>
        <v>-9.5511009141492877</v>
      </c>
      <c r="H458" s="13"/>
      <c r="I458" s="14"/>
    </row>
    <row r="459" spans="1:9" x14ac:dyDescent="0.3">
      <c r="A459" s="2">
        <v>43466</v>
      </c>
      <c r="B459" s="1">
        <v>39.435000000000002</v>
      </c>
      <c r="C459" s="1">
        <v>1501.97</v>
      </c>
      <c r="D459" s="22">
        <f t="shared" si="27"/>
        <v>414.02762563587066</v>
      </c>
      <c r="E459" s="23">
        <f t="shared" si="28"/>
        <v>0</v>
      </c>
      <c r="F459" s="23">
        <f t="shared" si="29"/>
        <v>0</v>
      </c>
      <c r="H459" s="13"/>
      <c r="I459" s="14"/>
    </row>
    <row r="460" spans="1:9" x14ac:dyDescent="0.3">
      <c r="A460" s="2">
        <v>43465</v>
      </c>
      <c r="B460" s="1">
        <v>39.435000000000002</v>
      </c>
      <c r="C460" s="1">
        <v>1501.97</v>
      </c>
      <c r="D460" s="22">
        <f t="shared" si="27"/>
        <v>414.02762563587066</v>
      </c>
      <c r="E460" s="23">
        <f t="shared" si="28"/>
        <v>6.4150202424568192</v>
      </c>
      <c r="F460" s="23">
        <f t="shared" si="29"/>
        <v>-6.4150202424568192</v>
      </c>
      <c r="H460" s="13"/>
      <c r="I460" s="14"/>
    </row>
    <row r="461" spans="1:9" x14ac:dyDescent="0.3">
      <c r="A461" s="2">
        <v>43462</v>
      </c>
      <c r="B461" s="1">
        <v>39.057499999999997</v>
      </c>
      <c r="C461" s="1">
        <v>1478.02</v>
      </c>
      <c r="D461" s="22">
        <f t="shared" si="27"/>
        <v>407.61260539341384</v>
      </c>
      <c r="E461" s="23">
        <f t="shared" si="28"/>
        <v>4.2102144942875839</v>
      </c>
      <c r="F461" s="23">
        <f t="shared" si="29"/>
        <v>-4.2102144942875839</v>
      </c>
      <c r="H461" s="13"/>
      <c r="I461" s="14"/>
    </row>
    <row r="462" spans="1:9" x14ac:dyDescent="0.3">
      <c r="A462" s="2">
        <v>43461</v>
      </c>
      <c r="B462" s="1">
        <v>39.037500000000001</v>
      </c>
      <c r="C462" s="1">
        <v>1461.64</v>
      </c>
      <c r="D462" s="22">
        <f t="shared" si="27"/>
        <v>403.40239089912626</v>
      </c>
      <c r="E462" s="23">
        <f t="shared" si="28"/>
        <v>-2.561410850920538</v>
      </c>
      <c r="F462" s="23">
        <f t="shared" si="29"/>
        <v>2.561410850920538</v>
      </c>
      <c r="H462" s="13"/>
      <c r="I462" s="14"/>
    </row>
    <row r="463" spans="1:9" x14ac:dyDescent="0.3">
      <c r="A463" s="2">
        <v>43460</v>
      </c>
      <c r="B463" s="1">
        <v>39.292499999999997</v>
      </c>
      <c r="C463" s="1">
        <v>1470.9</v>
      </c>
      <c r="D463" s="22">
        <f t="shared" si="27"/>
        <v>405.9638017500468</v>
      </c>
      <c r="E463" s="23">
        <f t="shared" si="28"/>
        <v>34.435496542611759</v>
      </c>
      <c r="F463" s="23">
        <f t="shared" si="29"/>
        <v>-34.435496542611759</v>
      </c>
      <c r="H463" s="13"/>
      <c r="I463" s="14"/>
    </row>
    <row r="464" spans="1:9" x14ac:dyDescent="0.3">
      <c r="A464" s="2">
        <v>43459</v>
      </c>
      <c r="B464" s="1">
        <v>36.707500000000003</v>
      </c>
      <c r="C464" s="1">
        <v>1343.96</v>
      </c>
      <c r="D464" s="22">
        <f t="shared" si="27"/>
        <v>371.52830520743504</v>
      </c>
      <c r="E464" s="23">
        <f t="shared" si="28"/>
        <v>0</v>
      </c>
      <c r="F464" s="23">
        <f t="shared" si="29"/>
        <v>0</v>
      </c>
      <c r="H464" s="13"/>
      <c r="I464" s="14"/>
    </row>
    <row r="465" spans="1:9" x14ac:dyDescent="0.3">
      <c r="A465" s="2">
        <v>43458</v>
      </c>
      <c r="B465" s="1">
        <v>36.707500000000003</v>
      </c>
      <c r="C465" s="1">
        <v>1343.96</v>
      </c>
      <c r="D465" s="22">
        <f t="shared" si="27"/>
        <v>371.52830520743504</v>
      </c>
      <c r="E465" s="23">
        <f t="shared" si="28"/>
        <v>-9.3029232446062906</v>
      </c>
      <c r="F465" s="23">
        <f t="shared" si="29"/>
        <v>9.3029232446062906</v>
      </c>
      <c r="H465" s="13"/>
      <c r="I465" s="14"/>
    </row>
    <row r="466" spans="1:9" x14ac:dyDescent="0.3">
      <c r="A466" s="2">
        <v>43455</v>
      </c>
      <c r="B466" s="1">
        <v>37.682499999999997</v>
      </c>
      <c r="C466" s="1">
        <v>1377.45</v>
      </c>
      <c r="D466" s="22">
        <f t="shared" si="27"/>
        <v>380.83122845204133</v>
      </c>
      <c r="E466" s="23">
        <f t="shared" si="28"/>
        <v>-22.490159378356225</v>
      </c>
      <c r="F466" s="23">
        <f t="shared" si="29"/>
        <v>22.490159378356225</v>
      </c>
      <c r="H466" s="13"/>
      <c r="I466" s="14"/>
    </row>
    <row r="467" spans="1:9" x14ac:dyDescent="0.3">
      <c r="A467" s="2">
        <v>43454</v>
      </c>
      <c r="B467" s="1">
        <v>39.207500000000003</v>
      </c>
      <c r="C467" s="1">
        <v>1460.83</v>
      </c>
      <c r="D467" s="22">
        <f t="shared" si="27"/>
        <v>403.32138783039755</v>
      </c>
      <c r="E467" s="23">
        <f t="shared" si="28"/>
        <v>-9.527333662447802</v>
      </c>
      <c r="F467" s="23">
        <f t="shared" si="29"/>
        <v>9.527333662447802</v>
      </c>
      <c r="H467" s="13"/>
      <c r="I467" s="14"/>
    </row>
    <row r="468" spans="1:9" x14ac:dyDescent="0.3">
      <c r="A468" s="2">
        <v>43453</v>
      </c>
      <c r="B468" s="1">
        <v>40.222499999999997</v>
      </c>
      <c r="C468" s="1">
        <v>1495.08</v>
      </c>
      <c r="D468" s="22">
        <f t="shared" si="27"/>
        <v>412.84872149284536</v>
      </c>
      <c r="E468" s="23">
        <f t="shared" si="28"/>
        <v>-15.408800104383658</v>
      </c>
      <c r="F468" s="23">
        <f t="shared" si="29"/>
        <v>15.408800104383658</v>
      </c>
      <c r="H468" s="13"/>
      <c r="I468" s="14"/>
    </row>
    <row r="469" spans="1:9" x14ac:dyDescent="0.3">
      <c r="A469" s="2">
        <v>43452</v>
      </c>
      <c r="B469" s="1">
        <v>41.517499999999998</v>
      </c>
      <c r="C469" s="1">
        <v>1551.48</v>
      </c>
      <c r="D469" s="22">
        <f t="shared" si="27"/>
        <v>428.25752159722902</v>
      </c>
      <c r="E469" s="23">
        <f t="shared" si="28"/>
        <v>8.225872119325345</v>
      </c>
      <c r="F469" s="23">
        <f t="shared" si="29"/>
        <v>-8.225872119325345</v>
      </c>
      <c r="H469" s="13"/>
      <c r="I469" s="14"/>
    </row>
    <row r="470" spans="1:9" x14ac:dyDescent="0.3">
      <c r="A470" s="2">
        <v>43451</v>
      </c>
      <c r="B470" s="1">
        <v>40.984999999999999</v>
      </c>
      <c r="C470" s="1">
        <v>1520.91</v>
      </c>
      <c r="D470" s="22">
        <f t="shared" si="27"/>
        <v>420.03164947790367</v>
      </c>
      <c r="E470" s="23">
        <f t="shared" si="28"/>
        <v>-18.471307855386044</v>
      </c>
      <c r="F470" s="23">
        <f t="shared" si="29"/>
        <v>18.471307855386044</v>
      </c>
      <c r="H470" s="13"/>
      <c r="I470" s="14"/>
    </row>
    <row r="471" spans="1:9" x14ac:dyDescent="0.3">
      <c r="A471" s="2">
        <v>43448</v>
      </c>
      <c r="B471" s="1">
        <v>41.37</v>
      </c>
      <c r="C471" s="1">
        <v>1591.91</v>
      </c>
      <c r="D471" s="22">
        <f t="shared" si="27"/>
        <v>438.50295733328971</v>
      </c>
      <c r="E471" s="23">
        <f t="shared" si="28"/>
        <v>-18.041915593786996</v>
      </c>
      <c r="F471" s="23">
        <f t="shared" si="29"/>
        <v>18.041915593786996</v>
      </c>
      <c r="H471" s="13"/>
      <c r="I471" s="14"/>
    </row>
    <row r="472" spans="1:9" x14ac:dyDescent="0.3">
      <c r="A472" s="2">
        <v>43447</v>
      </c>
      <c r="B472" s="1">
        <v>42.737499999999997</v>
      </c>
      <c r="C472" s="1">
        <v>1658.38</v>
      </c>
      <c r="D472" s="22">
        <f t="shared" si="27"/>
        <v>456.54487292707671</v>
      </c>
      <c r="E472" s="23">
        <f t="shared" si="28"/>
        <v>-0.97756607543590235</v>
      </c>
      <c r="F472" s="23">
        <f t="shared" si="29"/>
        <v>0.97756607543590235</v>
      </c>
      <c r="H472" s="13"/>
      <c r="I472" s="14"/>
    </row>
    <row r="473" spans="1:9" x14ac:dyDescent="0.3">
      <c r="A473" s="2">
        <v>43446</v>
      </c>
      <c r="B473" s="1">
        <v>42.274999999999999</v>
      </c>
      <c r="C473" s="1">
        <v>1663.54</v>
      </c>
      <c r="D473" s="22">
        <f t="shared" si="27"/>
        <v>457.52243900251261</v>
      </c>
      <c r="E473" s="23">
        <f t="shared" si="28"/>
        <v>5.2867545251197043</v>
      </c>
      <c r="F473" s="23">
        <f t="shared" si="29"/>
        <v>-5.2867545251197043</v>
      </c>
      <c r="H473" s="13"/>
      <c r="I473" s="14"/>
    </row>
    <row r="474" spans="1:9" x14ac:dyDescent="0.3">
      <c r="A474" s="2">
        <v>43445</v>
      </c>
      <c r="B474" s="1">
        <v>42.157499999999999</v>
      </c>
      <c r="C474" s="1">
        <v>1643.24</v>
      </c>
      <c r="D474" s="22">
        <f t="shared" si="27"/>
        <v>452.23568447739291</v>
      </c>
      <c r="E474" s="23">
        <f t="shared" si="28"/>
        <v>0.38564798577266401</v>
      </c>
      <c r="F474" s="23">
        <f t="shared" si="29"/>
        <v>-0.38564798577266401</v>
      </c>
      <c r="H474" s="13"/>
      <c r="I474" s="14"/>
    </row>
    <row r="475" spans="1:9" x14ac:dyDescent="0.3">
      <c r="A475" s="2">
        <v>43444</v>
      </c>
      <c r="B475" s="1">
        <v>42.4</v>
      </c>
      <c r="C475" s="1">
        <v>1641.03</v>
      </c>
      <c r="D475" s="22">
        <f t="shared" si="27"/>
        <v>451.85003649162024</v>
      </c>
      <c r="E475" s="23">
        <f t="shared" si="28"/>
        <v>3.2543195574484116</v>
      </c>
      <c r="F475" s="23">
        <f t="shared" si="29"/>
        <v>-3.2543195574484116</v>
      </c>
      <c r="H475" s="13"/>
      <c r="I475" s="14"/>
    </row>
    <row r="476" spans="1:9" x14ac:dyDescent="0.3">
      <c r="A476" s="2">
        <v>43441</v>
      </c>
      <c r="B476" s="1">
        <v>42.122500000000002</v>
      </c>
      <c r="C476" s="1">
        <v>1629.13</v>
      </c>
      <c r="D476" s="22">
        <f t="shared" si="27"/>
        <v>448.59571693417183</v>
      </c>
      <c r="E476" s="23">
        <f t="shared" si="28"/>
        <v>-19.102742566927418</v>
      </c>
      <c r="F476" s="23">
        <f t="shared" si="29"/>
        <v>19.102742566927418</v>
      </c>
      <c r="H476" s="13"/>
      <c r="I476" s="14"/>
    </row>
    <row r="477" spans="1:9" x14ac:dyDescent="0.3">
      <c r="A477" s="2">
        <v>43440</v>
      </c>
      <c r="B477" s="1">
        <v>43.68</v>
      </c>
      <c r="C477" s="1">
        <v>1699.19</v>
      </c>
      <c r="D477" s="22">
        <f t="shared" si="27"/>
        <v>467.69845950109925</v>
      </c>
      <c r="E477" s="23">
        <f t="shared" si="28"/>
        <v>7.5197484668429411</v>
      </c>
      <c r="F477" s="23">
        <f t="shared" si="29"/>
        <v>-7.5197484668429411</v>
      </c>
      <c r="H477" s="13"/>
      <c r="I477" s="14"/>
    </row>
    <row r="478" spans="1:9" x14ac:dyDescent="0.3">
      <c r="A478" s="2">
        <v>43439</v>
      </c>
      <c r="B478" s="1">
        <v>44.172499999999999</v>
      </c>
      <c r="C478" s="1">
        <v>1668.4</v>
      </c>
      <c r="D478" s="22">
        <f t="shared" si="27"/>
        <v>460.17871103425631</v>
      </c>
      <c r="E478" s="23">
        <f t="shared" si="28"/>
        <v>0</v>
      </c>
      <c r="F478" s="23">
        <f t="shared" si="29"/>
        <v>0</v>
      </c>
      <c r="H478" s="13"/>
      <c r="I478" s="14"/>
    </row>
    <row r="479" spans="1:9" x14ac:dyDescent="0.3">
      <c r="A479" s="2">
        <v>43438</v>
      </c>
      <c r="B479" s="1">
        <v>44.172499999999999</v>
      </c>
      <c r="C479" s="1">
        <v>1668.4</v>
      </c>
      <c r="D479" s="22">
        <f t="shared" si="27"/>
        <v>460.17871103425631</v>
      </c>
      <c r="E479" s="23">
        <f t="shared" si="28"/>
        <v>-28.138740089638986</v>
      </c>
      <c r="F479" s="23">
        <f t="shared" si="29"/>
        <v>28.138740089638986</v>
      </c>
      <c r="H479" s="13"/>
      <c r="I479" s="14"/>
    </row>
    <row r="480" spans="1:9" x14ac:dyDescent="0.3">
      <c r="A480" s="2">
        <v>43437</v>
      </c>
      <c r="B480" s="1">
        <v>46.204999999999998</v>
      </c>
      <c r="C480" s="1">
        <v>1772.36</v>
      </c>
      <c r="D480" s="22">
        <f t="shared" si="27"/>
        <v>488.3174511238953</v>
      </c>
      <c r="E480" s="23">
        <f t="shared" si="28"/>
        <v>22.211405542445277</v>
      </c>
      <c r="F480" s="23">
        <f t="shared" si="29"/>
        <v>-22.211405542445277</v>
      </c>
      <c r="H480" s="13"/>
      <c r="I480" s="14"/>
    </row>
    <row r="481" spans="1:9" x14ac:dyDescent="0.3">
      <c r="A481" s="2">
        <v>43434</v>
      </c>
      <c r="B481" s="1">
        <v>44.645000000000003</v>
      </c>
      <c r="C481" s="1">
        <v>1690.17</v>
      </c>
      <c r="D481" s="22">
        <f t="shared" si="27"/>
        <v>466.10604558145002</v>
      </c>
      <c r="E481" s="23">
        <f t="shared" si="28"/>
        <v>4.0712950867994095</v>
      </c>
      <c r="F481" s="23">
        <f t="shared" si="29"/>
        <v>-4.0712950867994095</v>
      </c>
      <c r="H481" s="13"/>
      <c r="I481" s="14"/>
    </row>
    <row r="482" spans="1:9" x14ac:dyDescent="0.3">
      <c r="A482" s="2">
        <v>43433</v>
      </c>
      <c r="B482" s="1">
        <v>44.887500000000003</v>
      </c>
      <c r="C482" s="1">
        <v>1673.57</v>
      </c>
      <c r="D482" s="22">
        <f t="shared" si="27"/>
        <v>462.03475049465061</v>
      </c>
      <c r="E482" s="23">
        <f t="shared" si="28"/>
        <v>-1.3291012866355345</v>
      </c>
      <c r="F482" s="23">
        <f t="shared" si="29"/>
        <v>1.3291012866355345</v>
      </c>
      <c r="H482" s="13"/>
      <c r="I482" s="14"/>
    </row>
    <row r="483" spans="1:9" x14ac:dyDescent="0.3">
      <c r="A483" s="2">
        <v>43432</v>
      </c>
      <c r="B483" s="1">
        <v>45.234999999999999</v>
      </c>
      <c r="C483" s="1">
        <v>1677.75</v>
      </c>
      <c r="D483" s="22">
        <f t="shared" si="27"/>
        <v>463.36385178128614</v>
      </c>
      <c r="E483" s="23">
        <f t="shared" si="28"/>
        <v>25.918566806649608</v>
      </c>
      <c r="F483" s="23">
        <f t="shared" si="29"/>
        <v>-25.918566806649608</v>
      </c>
      <c r="H483" s="13"/>
      <c r="I483" s="14"/>
    </row>
    <row r="484" spans="1:9" x14ac:dyDescent="0.3">
      <c r="A484" s="2">
        <v>43431</v>
      </c>
      <c r="B484" s="1">
        <v>43.56</v>
      </c>
      <c r="C484" s="1">
        <v>1581.42</v>
      </c>
      <c r="D484" s="22">
        <f t="shared" si="27"/>
        <v>437.44528497463654</v>
      </c>
      <c r="E484" s="23">
        <f t="shared" si="28"/>
        <v>-4.7616767637862267E-2</v>
      </c>
      <c r="F484" s="23">
        <f t="shared" si="29"/>
        <v>4.7616767637862267E-2</v>
      </c>
      <c r="H484" s="13"/>
      <c r="I484" s="14"/>
    </row>
    <row r="485" spans="1:9" x14ac:dyDescent="0.3">
      <c r="A485" s="2">
        <v>43430</v>
      </c>
      <c r="B485" s="1">
        <v>43.655000000000001</v>
      </c>
      <c r="C485" s="1">
        <v>1581.33</v>
      </c>
      <c r="D485" s="22">
        <f t="shared" si="27"/>
        <v>437.4929017422744</v>
      </c>
      <c r="E485" s="23">
        <f t="shared" si="28"/>
        <v>20.736381602643689</v>
      </c>
      <c r="F485" s="23">
        <f t="shared" si="29"/>
        <v>-20.736381602643689</v>
      </c>
      <c r="H485" s="13"/>
      <c r="I485" s="14"/>
    </row>
    <row r="486" spans="1:9" x14ac:dyDescent="0.3">
      <c r="A486" s="2">
        <v>43427</v>
      </c>
      <c r="B486" s="1">
        <v>43.072499999999998</v>
      </c>
      <c r="C486" s="1">
        <v>1502.06</v>
      </c>
      <c r="D486" s="22">
        <f t="shared" si="27"/>
        <v>416.75652013963071</v>
      </c>
      <c r="E486" s="23">
        <f t="shared" si="28"/>
        <v>-4.592361299594188</v>
      </c>
      <c r="F486" s="23">
        <f t="shared" si="29"/>
        <v>4.592361299594188</v>
      </c>
      <c r="H486" s="13"/>
      <c r="I486" s="14"/>
    </row>
    <row r="487" spans="1:9" x14ac:dyDescent="0.3">
      <c r="A487" s="2">
        <v>43426</v>
      </c>
      <c r="B487" s="1">
        <v>44.195</v>
      </c>
      <c r="C487" s="1">
        <v>1516.73</v>
      </c>
      <c r="D487" s="22">
        <f t="shared" si="27"/>
        <v>421.3488814392249</v>
      </c>
      <c r="E487" s="23">
        <f t="shared" si="28"/>
        <v>0</v>
      </c>
      <c r="F487" s="23">
        <f t="shared" si="29"/>
        <v>0</v>
      </c>
      <c r="H487" s="13"/>
      <c r="I487" s="14"/>
    </row>
    <row r="488" spans="1:9" x14ac:dyDescent="0.3">
      <c r="A488" s="2">
        <v>43425</v>
      </c>
      <c r="B488" s="1">
        <v>44.195</v>
      </c>
      <c r="C488" s="1">
        <v>1516.73</v>
      </c>
      <c r="D488" s="22">
        <f t="shared" si="27"/>
        <v>421.3488814392249</v>
      </c>
      <c r="E488" s="23">
        <f t="shared" si="28"/>
        <v>5.4105973727512264</v>
      </c>
      <c r="F488" s="23">
        <f t="shared" si="29"/>
        <v>-5.4105973727512264</v>
      </c>
      <c r="H488" s="13"/>
      <c r="I488" s="14"/>
    </row>
    <row r="489" spans="1:9" x14ac:dyDescent="0.3">
      <c r="A489" s="2">
        <v>43424</v>
      </c>
      <c r="B489" s="1">
        <v>44.244999999999997</v>
      </c>
      <c r="C489" s="1">
        <v>1495.46</v>
      </c>
      <c r="D489" s="22">
        <f t="shared" si="27"/>
        <v>415.93828406647367</v>
      </c>
      <c r="E489" s="23">
        <f t="shared" si="28"/>
        <v>-5.9619947287005175</v>
      </c>
      <c r="F489" s="23">
        <f t="shared" si="29"/>
        <v>5.9619947287005175</v>
      </c>
      <c r="H489" s="13"/>
      <c r="I489" s="14"/>
    </row>
    <row r="490" spans="1:9" x14ac:dyDescent="0.3">
      <c r="A490" s="2">
        <v>43423</v>
      </c>
      <c r="B490" s="1">
        <v>46.465000000000003</v>
      </c>
      <c r="C490" s="1">
        <v>1512.29</v>
      </c>
      <c r="D490" s="22">
        <f t="shared" si="27"/>
        <v>421.90027879517419</v>
      </c>
      <c r="E490" s="23">
        <f t="shared" si="28"/>
        <v>-22.203286276516451</v>
      </c>
      <c r="F490" s="23">
        <f t="shared" si="29"/>
        <v>22.203286276516451</v>
      </c>
      <c r="H490" s="13"/>
      <c r="I490" s="14"/>
    </row>
    <row r="491" spans="1:9" x14ac:dyDescent="0.3">
      <c r="A491" s="2">
        <v>43420</v>
      </c>
      <c r="B491" s="1">
        <v>48.3825</v>
      </c>
      <c r="C491" s="1">
        <v>1593.41</v>
      </c>
      <c r="D491" s="22">
        <f t="shared" si="27"/>
        <v>444.10356507169064</v>
      </c>
      <c r="E491" s="23">
        <f t="shared" si="28"/>
        <v>-6.2726954137089024</v>
      </c>
      <c r="F491" s="23">
        <f t="shared" si="29"/>
        <v>6.2726954137089024</v>
      </c>
      <c r="H491" s="13"/>
      <c r="I491" s="14"/>
    </row>
    <row r="492" spans="1:9" x14ac:dyDescent="0.3">
      <c r="A492" s="2">
        <v>43419</v>
      </c>
      <c r="B492" s="1">
        <v>47.852499999999999</v>
      </c>
      <c r="C492" s="1">
        <v>1619.44</v>
      </c>
      <c r="D492" s="22">
        <f t="shared" si="27"/>
        <v>450.37626048539954</v>
      </c>
      <c r="E492" s="23">
        <f t="shared" si="28"/>
        <v>6.0899608749161303</v>
      </c>
      <c r="F492" s="23">
        <f t="shared" si="29"/>
        <v>-6.0899608749161303</v>
      </c>
      <c r="H492" s="13"/>
      <c r="I492" s="14"/>
    </row>
    <row r="493" spans="1:9" x14ac:dyDescent="0.3">
      <c r="A493" s="2">
        <v>43418</v>
      </c>
      <c r="B493" s="1">
        <v>46.7</v>
      </c>
      <c r="C493" s="1">
        <v>1599.01</v>
      </c>
      <c r="D493" s="22">
        <f t="shared" si="27"/>
        <v>444.28629961048341</v>
      </c>
      <c r="E493" s="23">
        <f t="shared" si="28"/>
        <v>-9.2468081882818751</v>
      </c>
      <c r="F493" s="23">
        <f t="shared" si="29"/>
        <v>9.2468081882818751</v>
      </c>
      <c r="H493" s="13"/>
      <c r="I493" s="14"/>
    </row>
    <row r="494" spans="1:9" x14ac:dyDescent="0.3">
      <c r="A494" s="2">
        <v>43417</v>
      </c>
      <c r="B494" s="1">
        <v>48.057499999999997</v>
      </c>
      <c r="C494" s="1">
        <v>1631.17</v>
      </c>
      <c r="D494" s="22">
        <f t="shared" si="27"/>
        <v>453.53310779876529</v>
      </c>
      <c r="E494" s="23">
        <f t="shared" si="28"/>
        <v>-1.8155723898424867</v>
      </c>
      <c r="F494" s="23">
        <f t="shared" si="29"/>
        <v>1.8155723898424867</v>
      </c>
      <c r="H494" s="13"/>
      <c r="I494" s="14"/>
    </row>
    <row r="495" spans="1:9" x14ac:dyDescent="0.3">
      <c r="A495" s="2">
        <v>43416</v>
      </c>
      <c r="B495" s="1">
        <v>48.542499999999997</v>
      </c>
      <c r="C495" s="1">
        <v>1636.85</v>
      </c>
      <c r="D495" s="22">
        <f t="shared" si="27"/>
        <v>455.34868018860777</v>
      </c>
      <c r="E495" s="23">
        <f t="shared" si="28"/>
        <v>-21.273447992387787</v>
      </c>
      <c r="F495" s="23">
        <f t="shared" si="29"/>
        <v>21.273447992387787</v>
      </c>
      <c r="H495" s="13"/>
      <c r="I495" s="14"/>
    </row>
    <row r="496" spans="1:9" x14ac:dyDescent="0.3">
      <c r="A496" s="2">
        <v>43413</v>
      </c>
      <c r="B496" s="1">
        <v>51.1175</v>
      </c>
      <c r="C496" s="1">
        <v>1712.43</v>
      </c>
      <c r="D496" s="22">
        <f t="shared" si="27"/>
        <v>476.62212818099556</v>
      </c>
      <c r="E496" s="23">
        <f t="shared" si="28"/>
        <v>-11.627808444411698</v>
      </c>
      <c r="F496" s="23">
        <f t="shared" si="29"/>
        <v>11.627808444411698</v>
      </c>
      <c r="H496" s="13"/>
      <c r="I496" s="14"/>
    </row>
    <row r="497" spans="1:9" x14ac:dyDescent="0.3">
      <c r="A497" s="2">
        <v>43412</v>
      </c>
      <c r="B497" s="1">
        <v>52.122500000000002</v>
      </c>
      <c r="C497" s="1">
        <v>1754.91</v>
      </c>
      <c r="D497" s="22">
        <f t="shared" si="27"/>
        <v>488.24993662540726</v>
      </c>
      <c r="E497" s="23">
        <f t="shared" si="28"/>
        <v>-0.42006699977213202</v>
      </c>
      <c r="F497" s="23">
        <f t="shared" si="29"/>
        <v>0.42006699977213202</v>
      </c>
      <c r="H497" s="13"/>
      <c r="I497" s="14"/>
    </row>
    <row r="498" spans="1:9" x14ac:dyDescent="0.3">
      <c r="A498" s="2">
        <v>43411</v>
      </c>
      <c r="B498" s="1">
        <v>52.487499999999997</v>
      </c>
      <c r="C498" s="1">
        <v>1755.49</v>
      </c>
      <c r="D498" s="22">
        <f t="shared" si="27"/>
        <v>488.67000362517939</v>
      </c>
      <c r="E498" s="23">
        <f t="shared" si="28"/>
        <v>30.009516370577501</v>
      </c>
      <c r="F498" s="23">
        <f t="shared" si="29"/>
        <v>-30.009516370577501</v>
      </c>
      <c r="H498" s="13"/>
      <c r="I498" s="14"/>
    </row>
    <row r="499" spans="1:9" x14ac:dyDescent="0.3">
      <c r="A499" s="2">
        <v>43410</v>
      </c>
      <c r="B499" s="1">
        <v>50.942500000000003</v>
      </c>
      <c r="C499" s="1">
        <v>1642.81</v>
      </c>
      <c r="D499" s="22">
        <f t="shared" si="27"/>
        <v>458.66048725460189</v>
      </c>
      <c r="E499" s="23">
        <f t="shared" si="28"/>
        <v>4.2498565195518836</v>
      </c>
      <c r="F499" s="23">
        <f t="shared" si="29"/>
        <v>-4.2498565195518836</v>
      </c>
      <c r="H499" s="13"/>
      <c r="I499" s="14"/>
    </row>
    <row r="500" spans="1:9" x14ac:dyDescent="0.3">
      <c r="A500" s="2">
        <v>43409</v>
      </c>
      <c r="B500" s="1">
        <v>50.397500000000001</v>
      </c>
      <c r="C500" s="1">
        <v>1627.8</v>
      </c>
      <c r="D500" s="22">
        <f t="shared" si="27"/>
        <v>454.41063073505001</v>
      </c>
      <c r="E500" s="23">
        <f t="shared" si="28"/>
        <v>-10.758973229011701</v>
      </c>
      <c r="F500" s="23">
        <f t="shared" si="29"/>
        <v>10.758973229011701</v>
      </c>
      <c r="H500" s="13"/>
      <c r="I500" s="14"/>
    </row>
    <row r="501" spans="1:9" x14ac:dyDescent="0.3">
      <c r="A501" s="2">
        <v>43406</v>
      </c>
      <c r="B501" s="1">
        <v>51.87</v>
      </c>
      <c r="C501" s="1">
        <v>1665.53</v>
      </c>
      <c r="D501" s="22">
        <f t="shared" si="27"/>
        <v>465.16960396406171</v>
      </c>
      <c r="E501" s="23">
        <f t="shared" si="28"/>
        <v>-2.7411772364639546</v>
      </c>
      <c r="F501" s="23">
        <f t="shared" si="29"/>
        <v>2.7411772364639546</v>
      </c>
      <c r="H501" s="13"/>
      <c r="I501" s="14"/>
    </row>
    <row r="502" spans="1:9" x14ac:dyDescent="0.3">
      <c r="A502" s="2">
        <v>43405</v>
      </c>
      <c r="B502" s="1">
        <v>55.555</v>
      </c>
      <c r="C502" s="1">
        <v>1665.53</v>
      </c>
      <c r="D502" s="22">
        <f t="shared" si="27"/>
        <v>467.91078120052566</v>
      </c>
      <c r="E502" s="23">
        <f t="shared" si="28"/>
        <v>17.918453696766164</v>
      </c>
      <c r="F502" s="23">
        <f t="shared" si="29"/>
        <v>-17.918453696766164</v>
      </c>
      <c r="H502" s="13"/>
      <c r="I502" s="14"/>
    </row>
    <row r="503" spans="1:9" x14ac:dyDescent="0.3">
      <c r="A503" s="2">
        <v>43404</v>
      </c>
      <c r="B503" s="1">
        <v>54.715000000000003</v>
      </c>
      <c r="C503" s="1">
        <v>1598.01</v>
      </c>
      <c r="D503" s="22">
        <f t="shared" si="27"/>
        <v>449.9923275037595</v>
      </c>
      <c r="E503" s="23">
        <f t="shared" si="28"/>
        <v>18.345513418205087</v>
      </c>
      <c r="F503" s="23">
        <f t="shared" si="29"/>
        <v>-18.345513418205087</v>
      </c>
      <c r="H503" s="13"/>
      <c r="I503" s="14"/>
    </row>
    <row r="504" spans="1:9" x14ac:dyDescent="0.3">
      <c r="A504" s="2">
        <v>43403</v>
      </c>
      <c r="B504" s="1">
        <v>53.325000000000003</v>
      </c>
      <c r="C504" s="1">
        <v>1530.42</v>
      </c>
      <c r="D504" s="22">
        <f t="shared" si="27"/>
        <v>431.64681408555441</v>
      </c>
      <c r="E504" s="23">
        <f t="shared" si="28"/>
        <v>-1.9696956884266115</v>
      </c>
      <c r="F504" s="23">
        <f t="shared" si="29"/>
        <v>1.9696956884266115</v>
      </c>
      <c r="H504" s="13"/>
      <c r="I504" s="14"/>
    </row>
    <row r="505" spans="1:9" x14ac:dyDescent="0.3">
      <c r="A505" s="2">
        <v>43402</v>
      </c>
      <c r="B505" s="1">
        <v>53.06</v>
      </c>
      <c r="C505" s="1">
        <v>1538.88</v>
      </c>
      <c r="D505" s="22">
        <f t="shared" si="27"/>
        <v>433.61650977398102</v>
      </c>
      <c r="E505" s="23">
        <f t="shared" si="28"/>
        <v>-27.374164100220185</v>
      </c>
      <c r="F505" s="23">
        <f t="shared" si="29"/>
        <v>27.374164100220185</v>
      </c>
      <c r="H505" s="13"/>
      <c r="I505" s="14"/>
    </row>
    <row r="506" spans="1:9" x14ac:dyDescent="0.3">
      <c r="A506" s="2">
        <v>43399</v>
      </c>
      <c r="B506" s="1">
        <v>54.075000000000003</v>
      </c>
      <c r="C506" s="1">
        <v>1642.81</v>
      </c>
      <c r="D506" s="22">
        <f t="shared" si="27"/>
        <v>460.99067387420121</v>
      </c>
      <c r="E506" s="23">
        <f t="shared" si="28"/>
        <v>-36.344550992751351</v>
      </c>
      <c r="F506" s="23">
        <f t="shared" si="29"/>
        <v>36.344550992751351</v>
      </c>
      <c r="H506" s="13"/>
      <c r="I506" s="14"/>
    </row>
    <row r="507" spans="1:9" x14ac:dyDescent="0.3">
      <c r="A507" s="2">
        <v>43398</v>
      </c>
      <c r="B507" s="1">
        <v>54.95</v>
      </c>
      <c r="C507" s="1">
        <v>1782.17</v>
      </c>
      <c r="D507" s="22">
        <f t="shared" si="27"/>
        <v>497.33522486695256</v>
      </c>
      <c r="E507" s="23">
        <f t="shared" si="28"/>
        <v>31.091046841325124</v>
      </c>
      <c r="F507" s="23">
        <f t="shared" si="29"/>
        <v>-31.091046841325124</v>
      </c>
      <c r="H507" s="13"/>
      <c r="I507" s="14"/>
    </row>
    <row r="508" spans="1:9" x14ac:dyDescent="0.3">
      <c r="A508" s="2">
        <v>43397</v>
      </c>
      <c r="B508" s="1">
        <v>53.772500000000001</v>
      </c>
      <c r="C508" s="1">
        <v>1664.2</v>
      </c>
      <c r="D508" s="22">
        <f t="shared" si="27"/>
        <v>466.24417802562743</v>
      </c>
      <c r="E508" s="23">
        <f t="shared" si="28"/>
        <v>-28.185923286611285</v>
      </c>
      <c r="F508" s="23">
        <f t="shared" si="29"/>
        <v>28.185923286611285</v>
      </c>
      <c r="H508" s="13"/>
      <c r="I508" s="14"/>
    </row>
    <row r="509" spans="1:9" x14ac:dyDescent="0.3">
      <c r="A509" s="2">
        <v>43396</v>
      </c>
      <c r="B509" s="1">
        <v>55.682499999999997</v>
      </c>
      <c r="C509" s="1">
        <v>1768.7</v>
      </c>
      <c r="D509" s="22">
        <f t="shared" si="27"/>
        <v>494.43010131223872</v>
      </c>
      <c r="E509" s="23">
        <f t="shared" si="28"/>
        <v>-4.889372256684112</v>
      </c>
      <c r="F509" s="23">
        <f t="shared" si="29"/>
        <v>4.889372256684112</v>
      </c>
      <c r="H509" s="13"/>
      <c r="I509" s="14"/>
    </row>
    <row r="510" spans="1:9" x14ac:dyDescent="0.3">
      <c r="A510" s="2">
        <v>43395</v>
      </c>
      <c r="B510" s="1">
        <v>55.162500000000001</v>
      </c>
      <c r="C510" s="1">
        <v>1789.3</v>
      </c>
      <c r="D510" s="22">
        <f t="shared" si="27"/>
        <v>499.31947356892283</v>
      </c>
      <c r="E510" s="23">
        <f t="shared" si="28"/>
        <v>6.7214913456637646</v>
      </c>
      <c r="F510" s="23">
        <f t="shared" si="29"/>
        <v>-6.7214913456637646</v>
      </c>
      <c r="H510" s="13"/>
      <c r="I510" s="14"/>
    </row>
    <row r="511" spans="1:9" x14ac:dyDescent="0.3">
      <c r="A511" s="2">
        <v>43392</v>
      </c>
      <c r="B511" s="1">
        <v>54.827500000000001</v>
      </c>
      <c r="C511" s="1">
        <v>1764.03</v>
      </c>
      <c r="D511" s="22">
        <f t="shared" si="27"/>
        <v>492.59798222325907</v>
      </c>
      <c r="E511" s="23">
        <f t="shared" si="28"/>
        <v>-1.1016434222698308</v>
      </c>
      <c r="F511" s="23">
        <f t="shared" si="29"/>
        <v>1.1016434222698308</v>
      </c>
      <c r="H511" s="13"/>
      <c r="I511" s="14"/>
    </row>
    <row r="512" spans="1:9" x14ac:dyDescent="0.3">
      <c r="A512" s="2">
        <v>43391</v>
      </c>
      <c r="B512" s="1">
        <v>54.005000000000003</v>
      </c>
      <c r="C512" s="1">
        <v>1770.72</v>
      </c>
      <c r="D512" s="22">
        <f t="shared" si="27"/>
        <v>493.6996256455289</v>
      </c>
      <c r="E512" s="23">
        <f t="shared" si="28"/>
        <v>-16.587679343680747</v>
      </c>
      <c r="F512" s="23">
        <f t="shared" si="29"/>
        <v>16.587679343680747</v>
      </c>
      <c r="H512" s="13"/>
      <c r="I512" s="14"/>
    </row>
    <row r="513" spans="1:9" x14ac:dyDescent="0.3">
      <c r="A513" s="2">
        <v>43390</v>
      </c>
      <c r="B513" s="1">
        <v>55.297499999999999</v>
      </c>
      <c r="C513" s="1">
        <v>1831.73</v>
      </c>
      <c r="D513" s="22">
        <f t="shared" si="27"/>
        <v>510.28730498920964</v>
      </c>
      <c r="E513" s="23">
        <f t="shared" si="28"/>
        <v>2.8360682198284053</v>
      </c>
      <c r="F513" s="23">
        <f t="shared" si="29"/>
        <v>-2.8360682198284053</v>
      </c>
      <c r="H513" s="13"/>
      <c r="I513" s="14"/>
    </row>
    <row r="514" spans="1:9" x14ac:dyDescent="0.3">
      <c r="A514" s="2">
        <v>43389</v>
      </c>
      <c r="B514" s="1">
        <v>55.537500000000001</v>
      </c>
      <c r="C514" s="1">
        <v>1819.96</v>
      </c>
      <c r="D514" s="22">
        <f t="shared" si="27"/>
        <v>507.45123676938124</v>
      </c>
      <c r="E514" s="23">
        <f t="shared" si="28"/>
        <v>16.004760113141742</v>
      </c>
      <c r="F514" s="23">
        <f t="shared" si="29"/>
        <v>-16.004760113141742</v>
      </c>
      <c r="H514" s="13"/>
      <c r="I514" s="14"/>
    </row>
    <row r="515" spans="1:9" x14ac:dyDescent="0.3">
      <c r="A515" s="2">
        <v>43388</v>
      </c>
      <c r="B515" s="1">
        <v>54.34</v>
      </c>
      <c r="C515" s="1">
        <v>1760.95</v>
      </c>
      <c r="D515" s="22">
        <f t="shared" si="27"/>
        <v>491.4464766562395</v>
      </c>
      <c r="E515" s="23">
        <f t="shared" si="28"/>
        <v>-7.9677844254294996</v>
      </c>
      <c r="F515" s="23">
        <f t="shared" si="29"/>
        <v>7.9677844254294996</v>
      </c>
      <c r="H515" s="13"/>
      <c r="I515" s="14"/>
    </row>
    <row r="516" spans="1:9" x14ac:dyDescent="0.3">
      <c r="A516" s="2">
        <v>43385</v>
      </c>
      <c r="B516" s="1">
        <v>55.527500000000003</v>
      </c>
      <c r="C516" s="1">
        <v>1788.61</v>
      </c>
      <c r="D516" s="22">
        <f t="shared" si="27"/>
        <v>499.414261081669</v>
      </c>
      <c r="E516" s="23">
        <f t="shared" si="28"/>
        <v>19.161215951885879</v>
      </c>
      <c r="F516" s="23">
        <f t="shared" si="29"/>
        <v>-19.161215951885879</v>
      </c>
      <c r="H516" s="13"/>
      <c r="I516" s="14"/>
    </row>
    <row r="517" spans="1:9" x14ac:dyDescent="0.3">
      <c r="A517" s="2">
        <v>43384</v>
      </c>
      <c r="B517" s="1">
        <v>53.612499999999997</v>
      </c>
      <c r="C517" s="1">
        <v>1719.36</v>
      </c>
      <c r="D517" s="22">
        <f t="shared" si="27"/>
        <v>480.25304512978312</v>
      </c>
      <c r="E517" s="23">
        <f t="shared" si="28"/>
        <v>-9.5475471136282408</v>
      </c>
      <c r="F517" s="23">
        <f t="shared" si="29"/>
        <v>9.5475471136282408</v>
      </c>
      <c r="H517" s="13"/>
      <c r="I517" s="14"/>
    </row>
    <row r="518" spans="1:9" x14ac:dyDescent="0.3">
      <c r="A518" s="2">
        <v>43383</v>
      </c>
      <c r="B518" s="1">
        <v>54.09</v>
      </c>
      <c r="C518" s="1">
        <v>1755.25</v>
      </c>
      <c r="D518" s="22">
        <f t="shared" ref="D518:D581" si="30">$M$16*B518+(1-$M$16)*C518</f>
        <v>489.80059224341136</v>
      </c>
      <c r="E518" s="23">
        <f t="shared" ref="E518:E581" si="31">D518-D519</f>
        <v>-31.426900566865982</v>
      </c>
      <c r="F518" s="23">
        <f t="shared" ref="F518:F581" si="32">-E518</f>
        <v>31.426900566865982</v>
      </c>
      <c r="H518" s="13"/>
      <c r="I518" s="14"/>
    </row>
    <row r="519" spans="1:9" x14ac:dyDescent="0.3">
      <c r="A519" s="2">
        <v>43382</v>
      </c>
      <c r="B519" s="1">
        <v>56.717500000000001</v>
      </c>
      <c r="C519" s="1">
        <v>1870.32</v>
      </c>
      <c r="D519" s="22">
        <f t="shared" si="30"/>
        <v>521.22749281027734</v>
      </c>
      <c r="E519" s="23">
        <f t="shared" si="31"/>
        <v>2.0876435992189499</v>
      </c>
      <c r="F519" s="23">
        <f t="shared" si="32"/>
        <v>-2.0876435992189499</v>
      </c>
      <c r="H519" s="13"/>
      <c r="I519" s="14"/>
    </row>
    <row r="520" spans="1:9" x14ac:dyDescent="0.3">
      <c r="A520" s="2">
        <v>43381</v>
      </c>
      <c r="B520" s="1">
        <v>55.942500000000003</v>
      </c>
      <c r="C520" s="1">
        <v>1864.42</v>
      </c>
      <c r="D520" s="22">
        <f t="shared" si="30"/>
        <v>519.13984921105839</v>
      </c>
      <c r="E520" s="23">
        <f t="shared" si="31"/>
        <v>-6.5587520664191743</v>
      </c>
      <c r="F520" s="23">
        <f t="shared" si="32"/>
        <v>6.5587520664191743</v>
      </c>
      <c r="H520" s="13"/>
      <c r="I520" s="14"/>
    </row>
    <row r="521" spans="1:9" x14ac:dyDescent="0.3">
      <c r="A521" s="2">
        <v>43378</v>
      </c>
      <c r="B521" s="1">
        <v>56.072499999999998</v>
      </c>
      <c r="C521" s="1">
        <v>1889.65</v>
      </c>
      <c r="D521" s="22">
        <f t="shared" si="30"/>
        <v>525.69860127747756</v>
      </c>
      <c r="E521" s="23">
        <f t="shared" si="31"/>
        <v>-5.7516865614210246</v>
      </c>
      <c r="F521" s="23">
        <f t="shared" si="32"/>
        <v>5.7516865614210246</v>
      </c>
      <c r="H521" s="13"/>
      <c r="I521" s="14"/>
    </row>
    <row r="522" spans="1:9" x14ac:dyDescent="0.3">
      <c r="A522" s="2">
        <v>43377</v>
      </c>
      <c r="B522" s="1">
        <v>56.997500000000002</v>
      </c>
      <c r="C522" s="1">
        <v>1909.42</v>
      </c>
      <c r="D522" s="22">
        <f t="shared" si="30"/>
        <v>531.45028783889859</v>
      </c>
      <c r="E522" s="23">
        <f t="shared" si="31"/>
        <v>-11.859234559795141</v>
      </c>
      <c r="F522" s="23">
        <f t="shared" si="32"/>
        <v>11.859234559795141</v>
      </c>
      <c r="H522" s="13"/>
      <c r="I522" s="14"/>
    </row>
    <row r="523" spans="1:9" x14ac:dyDescent="0.3">
      <c r="A523" s="2">
        <v>43376</v>
      </c>
      <c r="B523" s="1">
        <v>58.017499999999998</v>
      </c>
      <c r="C523" s="1">
        <v>1952.76</v>
      </c>
      <c r="D523" s="22">
        <f t="shared" si="30"/>
        <v>543.30952239869373</v>
      </c>
      <c r="E523" s="23">
        <f t="shared" si="31"/>
        <v>-4.2322771075060928</v>
      </c>
      <c r="F523" s="23">
        <f t="shared" si="32"/>
        <v>4.2322771075060928</v>
      </c>
      <c r="H523" s="13"/>
      <c r="I523" s="14"/>
    </row>
    <row r="524" spans="1:9" x14ac:dyDescent="0.3">
      <c r="A524" s="2">
        <v>43375</v>
      </c>
      <c r="B524" s="1">
        <v>57.32</v>
      </c>
      <c r="C524" s="1">
        <v>1971.31</v>
      </c>
      <c r="D524" s="22">
        <f t="shared" si="30"/>
        <v>547.54179950619982</v>
      </c>
      <c r="E524" s="23">
        <f t="shared" si="31"/>
        <v>-8.0892938481551937</v>
      </c>
      <c r="F524" s="23">
        <f t="shared" si="32"/>
        <v>8.0892938481551937</v>
      </c>
      <c r="H524" s="13"/>
      <c r="I524" s="14"/>
    </row>
    <row r="525" spans="1:9" x14ac:dyDescent="0.3">
      <c r="A525" s="2">
        <v>43374</v>
      </c>
      <c r="B525" s="1">
        <v>56.814999999999998</v>
      </c>
      <c r="C525" s="1">
        <v>2004.36</v>
      </c>
      <c r="D525" s="22">
        <f t="shared" si="30"/>
        <v>555.63109335435502</v>
      </c>
      <c r="E525" s="23">
        <f t="shared" si="31"/>
        <v>0.63100306872865985</v>
      </c>
      <c r="F525" s="23">
        <f t="shared" si="32"/>
        <v>-0.63100306872865985</v>
      </c>
      <c r="H525" s="13"/>
      <c r="I525" s="14"/>
    </row>
    <row r="526" spans="1:9" x14ac:dyDescent="0.3">
      <c r="A526" s="2">
        <v>43371</v>
      </c>
      <c r="B526" s="1">
        <v>56.435000000000002</v>
      </c>
      <c r="C526" s="1">
        <v>2003</v>
      </c>
      <c r="D526" s="22">
        <f t="shared" si="30"/>
        <v>555.00009028562636</v>
      </c>
      <c r="E526" s="23">
        <f t="shared" si="31"/>
        <v>-2.4092180938637284</v>
      </c>
      <c r="F526" s="23">
        <f t="shared" si="32"/>
        <v>2.4092180938637284</v>
      </c>
      <c r="H526" s="13"/>
      <c r="I526" s="14"/>
    </row>
    <row r="527" spans="1:9" x14ac:dyDescent="0.3">
      <c r="A527" s="2">
        <v>43370</v>
      </c>
      <c r="B527" s="1">
        <v>56.237499999999997</v>
      </c>
      <c r="C527" s="1">
        <v>2012.98</v>
      </c>
      <c r="D527" s="22">
        <f t="shared" si="30"/>
        <v>557.40930837949008</v>
      </c>
      <c r="E527" s="23">
        <f t="shared" si="31"/>
        <v>10.608506158459932</v>
      </c>
      <c r="F527" s="23">
        <f t="shared" si="32"/>
        <v>-10.608506158459932</v>
      </c>
      <c r="H527" s="13"/>
      <c r="I527" s="14"/>
    </row>
    <row r="528" spans="1:9" x14ac:dyDescent="0.3">
      <c r="A528" s="2">
        <v>43369</v>
      </c>
      <c r="B528" s="1">
        <v>55.104999999999997</v>
      </c>
      <c r="C528" s="1">
        <v>1974.85</v>
      </c>
      <c r="D528" s="22">
        <f t="shared" si="30"/>
        <v>546.80080222103015</v>
      </c>
      <c r="E528" s="23">
        <f t="shared" si="31"/>
        <v>-0.25232675660095083</v>
      </c>
      <c r="F528" s="23">
        <f t="shared" si="32"/>
        <v>0.25232675660095083</v>
      </c>
      <c r="H528" s="13"/>
      <c r="I528" s="14"/>
    </row>
    <row r="529" spans="1:9" x14ac:dyDescent="0.3">
      <c r="A529" s="2">
        <v>43368</v>
      </c>
      <c r="B529" s="1">
        <v>55.547499999999999</v>
      </c>
      <c r="C529" s="1">
        <v>1974.55</v>
      </c>
      <c r="D529" s="22">
        <f t="shared" si="30"/>
        <v>547.0531289776311</v>
      </c>
      <c r="E529" s="23">
        <f t="shared" si="31"/>
        <v>10.554043120563279</v>
      </c>
      <c r="F529" s="23">
        <f t="shared" si="32"/>
        <v>-10.554043120563279</v>
      </c>
      <c r="H529" s="13"/>
      <c r="I529" s="14"/>
    </row>
    <row r="530" spans="1:9" x14ac:dyDescent="0.3">
      <c r="A530" s="2">
        <v>43367</v>
      </c>
      <c r="B530" s="1">
        <v>55.197499999999998</v>
      </c>
      <c r="C530" s="1">
        <v>1934.36</v>
      </c>
      <c r="D530" s="22">
        <f t="shared" si="30"/>
        <v>536.49908585706783</v>
      </c>
      <c r="E530" s="23">
        <f t="shared" si="31"/>
        <v>5.5381117128780488</v>
      </c>
      <c r="F530" s="23">
        <f t="shared" si="32"/>
        <v>-5.5381117128780488</v>
      </c>
      <c r="H530" s="13"/>
      <c r="I530" s="14"/>
    </row>
    <row r="531" spans="1:9" x14ac:dyDescent="0.3">
      <c r="A531" s="2">
        <v>43364</v>
      </c>
      <c r="B531" s="1">
        <v>54.414999999999999</v>
      </c>
      <c r="C531" s="1">
        <v>1915.01</v>
      </c>
      <c r="D531" s="22">
        <f t="shared" si="30"/>
        <v>530.96097414418978</v>
      </c>
      <c r="E531" s="23">
        <f t="shared" si="31"/>
        <v>-7.9426638416758806</v>
      </c>
      <c r="F531" s="23">
        <f t="shared" si="32"/>
        <v>7.9426638416758806</v>
      </c>
      <c r="H531" s="13"/>
      <c r="I531" s="14"/>
    </row>
    <row r="532" spans="1:9" x14ac:dyDescent="0.3">
      <c r="A532" s="2">
        <v>43363</v>
      </c>
      <c r="B532" s="1">
        <v>55.0075</v>
      </c>
      <c r="C532" s="1">
        <v>1944.3</v>
      </c>
      <c r="D532" s="22">
        <f t="shared" si="30"/>
        <v>538.90363798586566</v>
      </c>
      <c r="E532" s="23">
        <f t="shared" si="31"/>
        <v>4.8882332605581951</v>
      </c>
      <c r="F532" s="23">
        <f t="shared" si="32"/>
        <v>-4.8882332605581951</v>
      </c>
      <c r="H532" s="13"/>
      <c r="I532" s="14"/>
    </row>
    <row r="533" spans="1:9" x14ac:dyDescent="0.3">
      <c r="A533" s="2">
        <v>43362</v>
      </c>
      <c r="B533" s="1">
        <v>54.592500000000001</v>
      </c>
      <c r="C533" s="1">
        <v>1926.42</v>
      </c>
      <c r="D533" s="22">
        <f t="shared" si="30"/>
        <v>534.01540472530746</v>
      </c>
      <c r="E533" s="23">
        <f t="shared" si="31"/>
        <v>-3.7229413216682588</v>
      </c>
      <c r="F533" s="23">
        <f t="shared" si="32"/>
        <v>3.7229413216682588</v>
      </c>
      <c r="H533" s="13"/>
      <c r="I533" s="14"/>
    </row>
    <row r="534" spans="1:9" x14ac:dyDescent="0.3">
      <c r="A534" s="2">
        <v>43361</v>
      </c>
      <c r="B534" s="1">
        <v>54.56</v>
      </c>
      <c r="C534" s="1">
        <v>1941.05</v>
      </c>
      <c r="D534" s="22">
        <f t="shared" si="30"/>
        <v>537.73834604697572</v>
      </c>
      <c r="E534" s="23">
        <f t="shared" si="31"/>
        <v>8.5242153604456234</v>
      </c>
      <c r="F534" s="23">
        <f t="shared" si="32"/>
        <v>-8.5242153604456234</v>
      </c>
      <c r="H534" s="13"/>
      <c r="I534" s="14"/>
    </row>
    <row r="535" spans="1:9" x14ac:dyDescent="0.3">
      <c r="A535" s="2">
        <v>43360</v>
      </c>
      <c r="B535" s="1">
        <v>54.47</v>
      </c>
      <c r="C535" s="1">
        <v>1908.03</v>
      </c>
      <c r="D535" s="22">
        <f t="shared" si="30"/>
        <v>529.2141306865301</v>
      </c>
      <c r="E535" s="23">
        <f t="shared" si="31"/>
        <v>-17.029138958950284</v>
      </c>
      <c r="F535" s="23">
        <f t="shared" si="32"/>
        <v>17.029138958950284</v>
      </c>
      <c r="H535" s="13"/>
      <c r="I535" s="14"/>
    </row>
    <row r="536" spans="1:9" x14ac:dyDescent="0.3">
      <c r="A536" s="2">
        <v>43357</v>
      </c>
      <c r="B536" s="1">
        <v>55.96</v>
      </c>
      <c r="C536" s="1">
        <v>1970.19</v>
      </c>
      <c r="D536" s="22">
        <f t="shared" si="30"/>
        <v>546.24326964548038</v>
      </c>
      <c r="E536" s="23">
        <f t="shared" si="31"/>
        <v>-5.5184907356356234</v>
      </c>
      <c r="F536" s="23">
        <f t="shared" si="32"/>
        <v>5.5184907356356234</v>
      </c>
      <c r="H536" s="13"/>
      <c r="I536" s="14"/>
    </row>
    <row r="537" spans="1:9" x14ac:dyDescent="0.3">
      <c r="A537" s="2">
        <v>43356</v>
      </c>
      <c r="B537" s="1">
        <v>56.602499999999999</v>
      </c>
      <c r="C537" s="1">
        <v>1989.87</v>
      </c>
      <c r="D537" s="22">
        <f t="shared" si="30"/>
        <v>551.76176038111601</v>
      </c>
      <c r="E537" s="23">
        <f t="shared" si="31"/>
        <v>0.95977602480854785</v>
      </c>
      <c r="F537" s="23">
        <f t="shared" si="32"/>
        <v>-0.95977602480854785</v>
      </c>
      <c r="H537" s="13"/>
      <c r="I537" s="14"/>
    </row>
    <row r="538" spans="1:9" x14ac:dyDescent="0.3">
      <c r="A538" s="2">
        <v>43355</v>
      </c>
      <c r="B538" s="1">
        <v>55.267499999999998</v>
      </c>
      <c r="C538" s="1">
        <v>1990</v>
      </c>
      <c r="D538" s="22">
        <f t="shared" si="30"/>
        <v>550.80198435630746</v>
      </c>
      <c r="E538" s="23">
        <f t="shared" si="31"/>
        <v>0.21296518228916739</v>
      </c>
      <c r="F538" s="23">
        <f t="shared" si="32"/>
        <v>-0.21296518228916739</v>
      </c>
      <c r="H538" s="13"/>
      <c r="I538" s="14"/>
    </row>
    <row r="539" spans="1:9" x14ac:dyDescent="0.3">
      <c r="A539" s="2">
        <v>43354</v>
      </c>
      <c r="B539" s="1">
        <v>55.962499999999999</v>
      </c>
      <c r="C539" s="1">
        <v>1987.15</v>
      </c>
      <c r="D539" s="22">
        <f t="shared" si="30"/>
        <v>550.58901917401829</v>
      </c>
      <c r="E539" s="23">
        <f t="shared" si="31"/>
        <v>13.356432136484386</v>
      </c>
      <c r="F539" s="23">
        <f t="shared" si="32"/>
        <v>-13.356432136484386</v>
      </c>
      <c r="H539" s="13"/>
      <c r="I539" s="14"/>
    </row>
    <row r="540" spans="1:9" x14ac:dyDescent="0.3">
      <c r="A540" s="2">
        <v>43353</v>
      </c>
      <c r="B540" s="1">
        <v>54.582500000000003</v>
      </c>
      <c r="C540" s="1">
        <v>1939.01</v>
      </c>
      <c r="D540" s="22">
        <f t="shared" si="30"/>
        <v>537.2325870375339</v>
      </c>
      <c r="E540" s="23">
        <f t="shared" si="31"/>
        <v>-3.8973268357815414</v>
      </c>
      <c r="F540" s="23">
        <f t="shared" si="32"/>
        <v>3.8973268357815414</v>
      </c>
      <c r="H540" s="13"/>
      <c r="I540" s="14"/>
    </row>
    <row r="541" spans="1:9" x14ac:dyDescent="0.3">
      <c r="A541" s="2">
        <v>43350</v>
      </c>
      <c r="B541" s="1">
        <v>55.325000000000003</v>
      </c>
      <c r="C541" s="1">
        <v>1952.07</v>
      </c>
      <c r="D541" s="22">
        <f t="shared" si="30"/>
        <v>541.12991387331545</v>
      </c>
      <c r="E541" s="23">
        <f t="shared" si="31"/>
        <v>-1.9329671101420445</v>
      </c>
      <c r="F541" s="23">
        <f t="shared" si="32"/>
        <v>1.9329671101420445</v>
      </c>
      <c r="H541" s="13"/>
      <c r="I541" s="14"/>
    </row>
    <row r="542" spans="1:9" x14ac:dyDescent="0.3">
      <c r="A542" s="2">
        <v>43349</v>
      </c>
      <c r="B542" s="1">
        <v>55.774999999999999</v>
      </c>
      <c r="C542" s="1">
        <v>1958.31</v>
      </c>
      <c r="D542" s="22">
        <f t="shared" si="30"/>
        <v>543.06288098345749</v>
      </c>
      <c r="E542" s="23">
        <f t="shared" si="31"/>
        <v>-10.052246578580252</v>
      </c>
      <c r="F542" s="23">
        <f t="shared" si="32"/>
        <v>10.052246578580252</v>
      </c>
      <c r="H542" s="13"/>
      <c r="I542" s="14"/>
    </row>
    <row r="543" spans="1:9" x14ac:dyDescent="0.3">
      <c r="A543" s="2">
        <v>43348</v>
      </c>
      <c r="B543" s="1">
        <v>56.717500000000001</v>
      </c>
      <c r="C543" s="1">
        <v>1994.82</v>
      </c>
      <c r="D543" s="22">
        <f t="shared" si="30"/>
        <v>553.11512756203774</v>
      </c>
      <c r="E543" s="23">
        <f t="shared" si="31"/>
        <v>-11.72334540651525</v>
      </c>
      <c r="F543" s="23">
        <f t="shared" si="32"/>
        <v>11.72334540651525</v>
      </c>
      <c r="H543" s="13"/>
      <c r="I543" s="14"/>
    </row>
    <row r="544" spans="1:9" x14ac:dyDescent="0.3">
      <c r="A544" s="2">
        <v>43347</v>
      </c>
      <c r="B544" s="1">
        <v>57.09</v>
      </c>
      <c r="C544" s="1">
        <v>2039.51</v>
      </c>
      <c r="D544" s="22">
        <f t="shared" si="30"/>
        <v>564.83847296855299</v>
      </c>
      <c r="E544" s="23">
        <f t="shared" si="31"/>
        <v>6.9999226345781835</v>
      </c>
      <c r="F544" s="23">
        <f t="shared" si="32"/>
        <v>-6.9999226345781835</v>
      </c>
      <c r="H544" s="13"/>
      <c r="I544" s="14"/>
    </row>
    <row r="545" spans="1:9" x14ac:dyDescent="0.3">
      <c r="A545" s="2">
        <v>43346</v>
      </c>
      <c r="B545" s="1">
        <v>56.907499999999999</v>
      </c>
      <c r="C545" s="1">
        <v>2012.71</v>
      </c>
      <c r="D545" s="22">
        <f t="shared" si="30"/>
        <v>557.83855033397481</v>
      </c>
      <c r="E545" s="23">
        <f t="shared" si="31"/>
        <v>0</v>
      </c>
      <c r="F545" s="23">
        <f t="shared" si="32"/>
        <v>0</v>
      </c>
      <c r="H545" s="13"/>
      <c r="I545" s="14"/>
    </row>
    <row r="546" spans="1:9" x14ac:dyDescent="0.3">
      <c r="A546" s="2">
        <v>43343</v>
      </c>
      <c r="B546" s="1">
        <v>56.907499999999999</v>
      </c>
      <c r="C546" s="1">
        <v>2012.71</v>
      </c>
      <c r="D546" s="22">
        <f t="shared" si="30"/>
        <v>557.83855033397481</v>
      </c>
      <c r="E546" s="23">
        <f t="shared" si="31"/>
        <v>3.1292956176467897</v>
      </c>
      <c r="F546" s="23">
        <f t="shared" si="32"/>
        <v>-3.1292956176467897</v>
      </c>
      <c r="H546" s="13"/>
      <c r="I546" s="14"/>
    </row>
    <row r="547" spans="1:9" x14ac:dyDescent="0.3">
      <c r="A547" s="2">
        <v>43342</v>
      </c>
      <c r="B547" s="1">
        <v>56.2575</v>
      </c>
      <c r="C547" s="1">
        <v>2002.38</v>
      </c>
      <c r="D547" s="22">
        <f t="shared" si="30"/>
        <v>554.70925471632802</v>
      </c>
      <c r="E547" s="23">
        <f t="shared" si="31"/>
        <v>1.4774531239138469</v>
      </c>
      <c r="F547" s="23">
        <f t="shared" si="32"/>
        <v>-1.4774531239138469</v>
      </c>
      <c r="H547" s="13"/>
      <c r="I547" s="14"/>
    </row>
    <row r="548" spans="1:9" x14ac:dyDescent="0.3">
      <c r="A548" s="2">
        <v>43341</v>
      </c>
      <c r="B548" s="1">
        <v>55.744999999999997</v>
      </c>
      <c r="C548" s="1">
        <v>1998.1</v>
      </c>
      <c r="D548" s="22">
        <f t="shared" si="30"/>
        <v>553.23180159241417</v>
      </c>
      <c r="E548" s="23">
        <f t="shared" si="31"/>
        <v>17.329854908421567</v>
      </c>
      <c r="F548" s="23">
        <f t="shared" si="32"/>
        <v>-17.329854908421567</v>
      </c>
      <c r="H548" s="13"/>
      <c r="I548" s="14"/>
    </row>
    <row r="549" spans="1:9" x14ac:dyDescent="0.3">
      <c r="A549" s="2">
        <v>43340</v>
      </c>
      <c r="B549" s="1">
        <v>54.924999999999997</v>
      </c>
      <c r="C549" s="1">
        <v>1932.82</v>
      </c>
      <c r="D549" s="22">
        <f t="shared" si="30"/>
        <v>535.90194668399261</v>
      </c>
      <c r="E549" s="23">
        <f t="shared" si="31"/>
        <v>1.6437902275763463</v>
      </c>
      <c r="F549" s="23">
        <f t="shared" si="32"/>
        <v>-1.6437902275763463</v>
      </c>
      <c r="H549" s="13"/>
      <c r="I549" s="14"/>
    </row>
    <row r="550" spans="1:9" x14ac:dyDescent="0.3">
      <c r="A550" s="2">
        <v>43339</v>
      </c>
      <c r="B550" s="1">
        <v>54.484999999999999</v>
      </c>
      <c r="C550" s="1">
        <v>1927.68</v>
      </c>
      <c r="D550" s="22">
        <f t="shared" si="30"/>
        <v>534.25815645641626</v>
      </c>
      <c r="E550" s="23">
        <f t="shared" si="31"/>
        <v>6.0400633024273702</v>
      </c>
      <c r="F550" s="23">
        <f t="shared" si="32"/>
        <v>-6.0400633024273702</v>
      </c>
      <c r="H550" s="13"/>
      <c r="I550" s="14"/>
    </row>
    <row r="551" spans="1:9" x14ac:dyDescent="0.3">
      <c r="A551" s="2">
        <v>43336</v>
      </c>
      <c r="B551" s="1">
        <v>54.04</v>
      </c>
      <c r="C551" s="1">
        <v>1905.39</v>
      </c>
      <c r="D551" s="22">
        <f t="shared" si="30"/>
        <v>528.21809315398889</v>
      </c>
      <c r="E551" s="23">
        <f t="shared" si="31"/>
        <v>0.76235166032904544</v>
      </c>
      <c r="F551" s="23">
        <f t="shared" si="32"/>
        <v>-0.76235166032904544</v>
      </c>
      <c r="H551" s="13"/>
      <c r="I551" s="14"/>
    </row>
    <row r="552" spans="1:9" x14ac:dyDescent="0.3">
      <c r="A552" s="2">
        <v>43335</v>
      </c>
      <c r="B552" s="1">
        <v>53.872500000000002</v>
      </c>
      <c r="C552" s="1">
        <v>1902.9</v>
      </c>
      <c r="D552" s="22">
        <f t="shared" si="30"/>
        <v>527.45574149365984</v>
      </c>
      <c r="E552" s="23">
        <f t="shared" si="31"/>
        <v>-0.43042497450778683</v>
      </c>
      <c r="F552" s="23">
        <f t="shared" si="32"/>
        <v>0.43042497450778683</v>
      </c>
      <c r="H552" s="13"/>
      <c r="I552" s="14"/>
    </row>
    <row r="553" spans="1:9" x14ac:dyDescent="0.3">
      <c r="A553" s="2">
        <v>43334</v>
      </c>
      <c r="B553" s="1">
        <v>53.762500000000003</v>
      </c>
      <c r="C553" s="1">
        <v>1904.9</v>
      </c>
      <c r="D553" s="22">
        <f t="shared" si="30"/>
        <v>527.88616646816763</v>
      </c>
      <c r="E553" s="23">
        <f t="shared" si="31"/>
        <v>5.5034371516541114</v>
      </c>
      <c r="F553" s="23">
        <f t="shared" si="32"/>
        <v>-5.5034371516541114</v>
      </c>
      <c r="H553" s="13"/>
      <c r="I553" s="14"/>
    </row>
    <row r="554" spans="1:9" x14ac:dyDescent="0.3">
      <c r="A554" s="2">
        <v>43333</v>
      </c>
      <c r="B554" s="1">
        <v>53.76</v>
      </c>
      <c r="C554" s="1">
        <v>1883.42</v>
      </c>
      <c r="D554" s="22">
        <f t="shared" si="30"/>
        <v>522.38272931651352</v>
      </c>
      <c r="E554" s="23">
        <f t="shared" si="31"/>
        <v>1.64049582998598</v>
      </c>
      <c r="F554" s="23">
        <f t="shared" si="32"/>
        <v>-1.64049582998598</v>
      </c>
      <c r="H554" s="13"/>
      <c r="I554" s="14"/>
    </row>
    <row r="555" spans="1:9" x14ac:dyDescent="0.3">
      <c r="A555" s="2">
        <v>43332</v>
      </c>
      <c r="B555" s="1">
        <v>53.865000000000002</v>
      </c>
      <c r="C555" s="1">
        <v>1876.71</v>
      </c>
      <c r="D555" s="22">
        <f t="shared" si="30"/>
        <v>520.74223348652754</v>
      </c>
      <c r="E555" s="23">
        <f t="shared" si="31"/>
        <v>-1.8055053900703797</v>
      </c>
      <c r="F555" s="23">
        <f t="shared" si="32"/>
        <v>1.8055053900703797</v>
      </c>
      <c r="H555" s="13"/>
      <c r="I555" s="14"/>
    </row>
    <row r="556" spans="1:9" x14ac:dyDescent="0.3">
      <c r="A556" s="2">
        <v>43329</v>
      </c>
      <c r="B556" s="1">
        <v>54.395000000000003</v>
      </c>
      <c r="C556" s="1">
        <v>1882.22</v>
      </c>
      <c r="D556" s="22">
        <f t="shared" si="30"/>
        <v>522.54773887659792</v>
      </c>
      <c r="E556" s="23">
        <f t="shared" si="31"/>
        <v>-0.30911373849960455</v>
      </c>
      <c r="F556" s="23">
        <f t="shared" si="32"/>
        <v>0.30911373849960455</v>
      </c>
      <c r="H556" s="13"/>
      <c r="I556" s="14"/>
    </row>
    <row r="557" spans="1:9" x14ac:dyDescent="0.3">
      <c r="A557" s="2">
        <v>43328</v>
      </c>
      <c r="B557" s="1">
        <v>53.33</v>
      </c>
      <c r="C557" s="1">
        <v>1886.52</v>
      </c>
      <c r="D557" s="22">
        <f t="shared" si="30"/>
        <v>522.85685261509752</v>
      </c>
      <c r="E557" s="23">
        <f t="shared" si="31"/>
        <v>1.5716730664498755</v>
      </c>
      <c r="F557" s="23">
        <f t="shared" si="32"/>
        <v>-1.5716730664498755</v>
      </c>
      <c r="H557" s="13"/>
      <c r="I557" s="14"/>
    </row>
    <row r="558" spans="1:9" x14ac:dyDescent="0.3">
      <c r="A558" s="2">
        <v>43327</v>
      </c>
      <c r="B558" s="1">
        <v>52.56</v>
      </c>
      <c r="C558" s="1">
        <v>1882.62</v>
      </c>
      <c r="D558" s="22">
        <f t="shared" si="30"/>
        <v>521.28517954864765</v>
      </c>
      <c r="E558" s="23">
        <f t="shared" si="31"/>
        <v>-9.3932056234118591</v>
      </c>
      <c r="F558" s="23">
        <f t="shared" si="32"/>
        <v>9.3932056234118591</v>
      </c>
      <c r="H558" s="13"/>
      <c r="I558" s="14"/>
    </row>
    <row r="559" spans="1:9" x14ac:dyDescent="0.3">
      <c r="A559" s="2">
        <v>43326</v>
      </c>
      <c r="B559" s="1">
        <v>52.4375</v>
      </c>
      <c r="C559" s="1">
        <v>1919.65</v>
      </c>
      <c r="D559" s="22">
        <f t="shared" si="30"/>
        <v>530.67838517205951</v>
      </c>
      <c r="E559" s="23">
        <f t="shared" si="31"/>
        <v>6.1697972311918647</v>
      </c>
      <c r="F559" s="23">
        <f t="shared" si="32"/>
        <v>-6.1697972311918647</v>
      </c>
      <c r="H559" s="13"/>
      <c r="I559" s="14"/>
    </row>
    <row r="560" spans="1:9" x14ac:dyDescent="0.3">
      <c r="A560" s="2">
        <v>43325</v>
      </c>
      <c r="B560" s="1">
        <v>52.217500000000001</v>
      </c>
      <c r="C560" s="1">
        <v>1896.2</v>
      </c>
      <c r="D560" s="22">
        <f t="shared" si="30"/>
        <v>524.50858794086764</v>
      </c>
      <c r="E560" s="23">
        <f t="shared" si="31"/>
        <v>2.7848411759083547</v>
      </c>
      <c r="F560" s="23">
        <f t="shared" si="32"/>
        <v>-2.7848411759083547</v>
      </c>
      <c r="H560" s="13"/>
      <c r="I560" s="14"/>
    </row>
    <row r="561" spans="1:9" x14ac:dyDescent="0.3">
      <c r="A561" s="2">
        <v>43322</v>
      </c>
      <c r="B561" s="1">
        <v>51.8825</v>
      </c>
      <c r="C561" s="1">
        <v>1886.3</v>
      </c>
      <c r="D561" s="22">
        <f t="shared" si="30"/>
        <v>521.72374676495929</v>
      </c>
      <c r="E561" s="23">
        <f t="shared" si="31"/>
        <v>-3.3809122083356442</v>
      </c>
      <c r="F561" s="23">
        <f t="shared" si="32"/>
        <v>3.3809122083356442</v>
      </c>
      <c r="H561" s="13"/>
      <c r="I561" s="14"/>
    </row>
    <row r="562" spans="1:9" x14ac:dyDescent="0.3">
      <c r="A562" s="2">
        <v>43321</v>
      </c>
      <c r="B562" s="1">
        <v>52.22</v>
      </c>
      <c r="C562" s="1">
        <v>1898.52</v>
      </c>
      <c r="D562" s="22">
        <f t="shared" si="30"/>
        <v>525.10465897329493</v>
      </c>
      <c r="E562" s="23">
        <f t="shared" si="31"/>
        <v>3.3766357900384492</v>
      </c>
      <c r="F562" s="23">
        <f t="shared" si="32"/>
        <v>-3.3766357900384492</v>
      </c>
      <c r="H562" s="13"/>
      <c r="I562" s="14"/>
    </row>
    <row r="563" spans="1:9" x14ac:dyDescent="0.3">
      <c r="A563" s="2">
        <v>43320</v>
      </c>
      <c r="B563" s="1">
        <v>51.8125</v>
      </c>
      <c r="C563" s="1">
        <v>1886.52</v>
      </c>
      <c r="D563" s="22">
        <f t="shared" si="30"/>
        <v>521.72802318325648</v>
      </c>
      <c r="E563" s="23">
        <f t="shared" si="31"/>
        <v>6.1832945559517611</v>
      </c>
      <c r="F563" s="23">
        <f t="shared" si="32"/>
        <v>-6.1832945559517611</v>
      </c>
      <c r="H563" s="13"/>
      <c r="I563" s="14"/>
    </row>
    <row r="564" spans="1:9" x14ac:dyDescent="0.3">
      <c r="A564" s="2">
        <v>43319</v>
      </c>
      <c r="B564" s="1">
        <v>51.777500000000003</v>
      </c>
      <c r="C564" s="1">
        <v>1862.48</v>
      </c>
      <c r="D564" s="22">
        <f t="shared" si="30"/>
        <v>515.54472862730472</v>
      </c>
      <c r="E564" s="23">
        <f t="shared" si="31"/>
        <v>3.4082313327052134</v>
      </c>
      <c r="F564" s="23">
        <f t="shared" si="32"/>
        <v>-3.4082313327052134</v>
      </c>
      <c r="H564" s="13"/>
      <c r="I564" s="14"/>
    </row>
    <row r="565" spans="1:9" x14ac:dyDescent="0.3">
      <c r="A565" s="2">
        <v>43318</v>
      </c>
      <c r="B565" s="1">
        <v>52.267499999999998</v>
      </c>
      <c r="C565" s="1">
        <v>1847.75</v>
      </c>
      <c r="D565" s="22">
        <f t="shared" si="30"/>
        <v>512.13649729459951</v>
      </c>
      <c r="E565" s="23">
        <f t="shared" si="31"/>
        <v>6.4656777883139398</v>
      </c>
      <c r="F565" s="23">
        <f t="shared" si="32"/>
        <v>-6.4656777883139398</v>
      </c>
      <c r="H565" s="13"/>
      <c r="I565" s="14"/>
    </row>
    <row r="566" spans="1:9" x14ac:dyDescent="0.3">
      <c r="A566" s="2">
        <v>43315</v>
      </c>
      <c r="B566" s="1">
        <v>51.997500000000002</v>
      </c>
      <c r="C566" s="1">
        <v>1823.29</v>
      </c>
      <c r="D566" s="22">
        <f t="shared" si="30"/>
        <v>505.67081950628557</v>
      </c>
      <c r="E566" s="23">
        <f t="shared" si="31"/>
        <v>-2.7160452439534311</v>
      </c>
      <c r="F566" s="23">
        <f t="shared" si="32"/>
        <v>2.7160452439534311</v>
      </c>
      <c r="H566" s="13"/>
      <c r="I566" s="14"/>
    </row>
    <row r="567" spans="1:9" x14ac:dyDescent="0.3">
      <c r="A567" s="2">
        <v>43314</v>
      </c>
      <c r="B567" s="1">
        <v>51.847499999999997</v>
      </c>
      <c r="C567" s="1">
        <v>1834.33</v>
      </c>
      <c r="D567" s="22">
        <f t="shared" si="30"/>
        <v>508.386864750239</v>
      </c>
      <c r="E567" s="23">
        <f t="shared" si="31"/>
        <v>10.612981648220511</v>
      </c>
      <c r="F567" s="23">
        <f t="shared" si="32"/>
        <v>-10.612981648220511</v>
      </c>
      <c r="H567" s="13"/>
      <c r="I567" s="14"/>
    </row>
    <row r="568" spans="1:9" x14ac:dyDescent="0.3">
      <c r="A568" s="2">
        <v>43313</v>
      </c>
      <c r="B568" s="1">
        <v>50.375</v>
      </c>
      <c r="C568" s="1">
        <v>1797.17</v>
      </c>
      <c r="D568" s="22">
        <f t="shared" si="30"/>
        <v>497.77388310201849</v>
      </c>
      <c r="E568" s="23">
        <f t="shared" si="31"/>
        <v>7.1380657611279048</v>
      </c>
      <c r="F568" s="23">
        <f t="shared" si="32"/>
        <v>-7.1380657611279048</v>
      </c>
      <c r="H568" s="13"/>
      <c r="I568" s="14"/>
    </row>
    <row r="569" spans="1:9" x14ac:dyDescent="0.3">
      <c r="A569" s="2">
        <v>43312</v>
      </c>
      <c r="B569" s="1">
        <v>47.572499999999998</v>
      </c>
      <c r="C569" s="1">
        <v>1777.44</v>
      </c>
      <c r="D569" s="22">
        <f t="shared" si="30"/>
        <v>490.63581734089058</v>
      </c>
      <c r="E569" s="23">
        <f t="shared" si="31"/>
        <v>-0.38523546312893586</v>
      </c>
      <c r="F569" s="23">
        <f t="shared" si="32"/>
        <v>0.38523546312893586</v>
      </c>
      <c r="H569" s="13"/>
      <c r="I569" s="14"/>
    </row>
    <row r="570" spans="1:9" x14ac:dyDescent="0.3">
      <c r="A570" s="2">
        <v>43311</v>
      </c>
      <c r="B570" s="1">
        <v>47.477499999999999</v>
      </c>
      <c r="C570" s="1">
        <v>1779.22</v>
      </c>
      <c r="D570" s="22">
        <f t="shared" si="30"/>
        <v>491.02105280401952</v>
      </c>
      <c r="E570" s="23">
        <f t="shared" si="31"/>
        <v>-9.9445647390231784</v>
      </c>
      <c r="F570" s="23">
        <f t="shared" si="32"/>
        <v>9.9445647390231784</v>
      </c>
      <c r="H570" s="13"/>
      <c r="I570" s="14"/>
    </row>
    <row r="571" spans="1:9" x14ac:dyDescent="0.3">
      <c r="A571" s="2">
        <v>43308</v>
      </c>
      <c r="B571" s="1">
        <v>47.744999999999997</v>
      </c>
      <c r="C571" s="1">
        <v>1817.27</v>
      </c>
      <c r="D571" s="22">
        <f t="shared" si="30"/>
        <v>500.9656175430427</v>
      </c>
      <c r="E571" s="23">
        <f t="shared" si="31"/>
        <v>1.7736055358302565</v>
      </c>
      <c r="F571" s="23">
        <f t="shared" si="32"/>
        <v>-1.7736055358302565</v>
      </c>
      <c r="H571" s="13"/>
      <c r="I571" s="14"/>
    </row>
    <row r="572" spans="1:9" x14ac:dyDescent="0.3">
      <c r="A572" s="2">
        <v>43307</v>
      </c>
      <c r="B572" s="1">
        <v>48.552500000000002</v>
      </c>
      <c r="C572" s="1">
        <v>1808</v>
      </c>
      <c r="D572" s="22">
        <f t="shared" si="30"/>
        <v>499.19201200721244</v>
      </c>
      <c r="E572" s="23">
        <f t="shared" si="31"/>
        <v>-14.356584371451788</v>
      </c>
      <c r="F572" s="23">
        <f t="shared" si="32"/>
        <v>14.356584371451788</v>
      </c>
      <c r="H572" s="13"/>
      <c r="I572" s="14"/>
    </row>
    <row r="573" spans="1:9" x14ac:dyDescent="0.3">
      <c r="A573" s="2">
        <v>43306</v>
      </c>
      <c r="B573" s="1">
        <v>48.704999999999998</v>
      </c>
      <c r="C573" s="1">
        <v>1863.61</v>
      </c>
      <c r="D573" s="22">
        <f t="shared" si="30"/>
        <v>513.54859637866423</v>
      </c>
      <c r="E573" s="23">
        <f t="shared" si="31"/>
        <v>9.1414990570759187</v>
      </c>
      <c r="F573" s="23">
        <f t="shared" si="32"/>
        <v>-9.1414990570759187</v>
      </c>
      <c r="H573" s="13"/>
      <c r="I573" s="14"/>
    </row>
    <row r="574" spans="1:9" x14ac:dyDescent="0.3">
      <c r="A574" s="2">
        <v>43305</v>
      </c>
      <c r="B574" s="1">
        <v>48.25</v>
      </c>
      <c r="C574" s="1">
        <v>1829.24</v>
      </c>
      <c r="D574" s="22">
        <f t="shared" si="30"/>
        <v>504.40709732158831</v>
      </c>
      <c r="E574" s="23">
        <f t="shared" si="31"/>
        <v>7.2353571691703564</v>
      </c>
      <c r="F574" s="23">
        <f t="shared" si="32"/>
        <v>-7.2353571691703564</v>
      </c>
      <c r="H574" s="13"/>
      <c r="I574" s="14"/>
    </row>
    <row r="575" spans="1:9" x14ac:dyDescent="0.3">
      <c r="A575" s="2">
        <v>43304</v>
      </c>
      <c r="B575" s="1">
        <v>47.902500000000003</v>
      </c>
      <c r="C575" s="1">
        <v>1802</v>
      </c>
      <c r="D575" s="22">
        <f t="shared" si="30"/>
        <v>497.17174015241795</v>
      </c>
      <c r="E575" s="23">
        <f t="shared" si="31"/>
        <v>-2.9650546270887048</v>
      </c>
      <c r="F575" s="23">
        <f t="shared" si="32"/>
        <v>2.9650546270887048</v>
      </c>
      <c r="H575" s="13"/>
      <c r="I575" s="14"/>
    </row>
    <row r="576" spans="1:9" x14ac:dyDescent="0.3">
      <c r="A576" s="2">
        <v>43301</v>
      </c>
      <c r="B576" s="1">
        <v>47.86</v>
      </c>
      <c r="C576" s="1">
        <v>1813.7</v>
      </c>
      <c r="D576" s="22">
        <f t="shared" si="30"/>
        <v>500.13679477950666</v>
      </c>
      <c r="E576" s="23">
        <f t="shared" si="31"/>
        <v>0.10514548748176367</v>
      </c>
      <c r="F576" s="23">
        <f t="shared" si="32"/>
        <v>-0.10514548748176367</v>
      </c>
      <c r="H576" s="13"/>
      <c r="I576" s="14"/>
    </row>
    <row r="577" spans="1:9" x14ac:dyDescent="0.3">
      <c r="A577" s="2">
        <v>43300</v>
      </c>
      <c r="B577" s="1">
        <v>47.97</v>
      </c>
      <c r="C577" s="1">
        <v>1812.97</v>
      </c>
      <c r="D577" s="22">
        <f t="shared" si="30"/>
        <v>500.03164929202489</v>
      </c>
      <c r="E577" s="23">
        <f t="shared" si="31"/>
        <v>-7.395727595770154</v>
      </c>
      <c r="F577" s="23">
        <f t="shared" si="32"/>
        <v>7.395727595770154</v>
      </c>
      <c r="H577" s="13"/>
      <c r="I577" s="14"/>
    </row>
    <row r="578" spans="1:9" x14ac:dyDescent="0.3">
      <c r="A578" s="2">
        <v>43299</v>
      </c>
      <c r="B578" s="1">
        <v>47.6</v>
      </c>
      <c r="C578" s="1">
        <v>1842.92</v>
      </c>
      <c r="D578" s="22">
        <f t="shared" si="30"/>
        <v>507.42737688779505</v>
      </c>
      <c r="E578" s="23">
        <f t="shared" si="31"/>
        <v>-0.45395387130065501</v>
      </c>
      <c r="F578" s="23">
        <f t="shared" si="32"/>
        <v>0.45395387130065501</v>
      </c>
      <c r="H578" s="13"/>
      <c r="I578" s="14"/>
    </row>
    <row r="579" spans="1:9" x14ac:dyDescent="0.3">
      <c r="A579" s="2">
        <v>43298</v>
      </c>
      <c r="B579" s="1">
        <v>47.862499999999997</v>
      </c>
      <c r="C579" s="1">
        <v>1843.93</v>
      </c>
      <c r="D579" s="22">
        <f t="shared" si="30"/>
        <v>507.8813307590957</v>
      </c>
      <c r="E579" s="23">
        <f t="shared" si="31"/>
        <v>5.5917554890462497</v>
      </c>
      <c r="F579" s="23">
        <f t="shared" si="32"/>
        <v>-5.5917554890462497</v>
      </c>
      <c r="H579" s="13"/>
      <c r="I579" s="14"/>
    </row>
    <row r="580" spans="1:9" x14ac:dyDescent="0.3">
      <c r="A580" s="2">
        <v>43297</v>
      </c>
      <c r="B580" s="1">
        <v>47.727499999999999</v>
      </c>
      <c r="C580" s="1">
        <v>1822.49</v>
      </c>
      <c r="D580" s="22">
        <f t="shared" si="30"/>
        <v>502.28957527004945</v>
      </c>
      <c r="E580" s="23">
        <f t="shared" si="31"/>
        <v>2.3448411759083001</v>
      </c>
      <c r="F580" s="23">
        <f t="shared" si="32"/>
        <v>-2.3448411759083001</v>
      </c>
      <c r="H580" s="13"/>
      <c r="I580" s="14"/>
    </row>
    <row r="581" spans="1:9" x14ac:dyDescent="0.3">
      <c r="A581" s="2">
        <v>43294</v>
      </c>
      <c r="B581" s="1">
        <v>47.832500000000003</v>
      </c>
      <c r="C581" s="1">
        <v>1813.03</v>
      </c>
      <c r="D581" s="22">
        <f t="shared" si="30"/>
        <v>499.94473409414115</v>
      </c>
      <c r="E581" s="23">
        <f t="shared" si="31"/>
        <v>4.2588113547791977</v>
      </c>
      <c r="F581" s="23">
        <f t="shared" si="32"/>
        <v>-4.2588113547791977</v>
      </c>
      <c r="H581" s="13"/>
      <c r="I581" s="14"/>
    </row>
    <row r="582" spans="1:9" x14ac:dyDescent="0.3">
      <c r="A582" s="2">
        <v>43293</v>
      </c>
      <c r="B582" s="1">
        <v>47.7575</v>
      </c>
      <c r="C582" s="1">
        <v>1796.62</v>
      </c>
      <c r="D582" s="22">
        <f t="shared" ref="D582:D645" si="33">$M$16*B582+(1-$M$16)*C582</f>
        <v>495.68592273936196</v>
      </c>
      <c r="E582" s="23">
        <f t="shared" ref="E582:E645" si="34">D582-D583</f>
        <v>11.245747759046196</v>
      </c>
      <c r="F582" s="23">
        <f t="shared" ref="F582:F645" si="35">-E582</f>
        <v>-11.245747759046196</v>
      </c>
      <c r="H582" s="13"/>
      <c r="I582" s="14"/>
    </row>
    <row r="583" spans="1:9" x14ac:dyDescent="0.3">
      <c r="A583" s="2">
        <v>43292</v>
      </c>
      <c r="B583" s="1">
        <v>46.97</v>
      </c>
      <c r="C583" s="1">
        <v>1755</v>
      </c>
      <c r="D583" s="22">
        <f t="shared" si="33"/>
        <v>484.44017498031576</v>
      </c>
      <c r="E583" s="23">
        <f t="shared" si="34"/>
        <v>2.5962357192588001</v>
      </c>
      <c r="F583" s="23">
        <f t="shared" si="35"/>
        <v>-2.5962357192588001</v>
      </c>
      <c r="H583" s="13"/>
      <c r="I583" s="14"/>
    </row>
    <row r="584" spans="1:9" x14ac:dyDescent="0.3">
      <c r="A584" s="2">
        <v>43291</v>
      </c>
      <c r="B584" s="1">
        <v>47.587499999999999</v>
      </c>
      <c r="C584" s="1">
        <v>1743.07</v>
      </c>
      <c r="D584" s="22">
        <f t="shared" si="33"/>
        <v>481.84393926105696</v>
      </c>
      <c r="E584" s="23">
        <f t="shared" si="34"/>
        <v>0.99453582122771422</v>
      </c>
      <c r="F584" s="23">
        <f t="shared" si="35"/>
        <v>-0.99453582122771422</v>
      </c>
      <c r="H584" s="13"/>
      <c r="I584" s="14"/>
    </row>
    <row r="585" spans="1:9" x14ac:dyDescent="0.3">
      <c r="A585" s="2">
        <v>43290</v>
      </c>
      <c r="B585" s="1">
        <v>47.645000000000003</v>
      </c>
      <c r="C585" s="1">
        <v>1739.02</v>
      </c>
      <c r="D585" s="22">
        <f t="shared" si="33"/>
        <v>480.84940343982925</v>
      </c>
      <c r="E585" s="23">
        <f t="shared" si="34"/>
        <v>7.7567832845538192</v>
      </c>
      <c r="F585" s="23">
        <f t="shared" si="35"/>
        <v>-7.7567832845538192</v>
      </c>
      <c r="H585" s="13"/>
      <c r="I585" s="14"/>
    </row>
    <row r="586" spans="1:9" x14ac:dyDescent="0.3">
      <c r="A586" s="2">
        <v>43287</v>
      </c>
      <c r="B586" s="1">
        <v>46.9925</v>
      </c>
      <c r="C586" s="1">
        <v>1710.63</v>
      </c>
      <c r="D586" s="22">
        <f t="shared" si="33"/>
        <v>473.09262015527543</v>
      </c>
      <c r="E586" s="23">
        <f t="shared" si="34"/>
        <v>3.2697081402906747</v>
      </c>
      <c r="F586" s="23">
        <f t="shared" si="35"/>
        <v>-3.2697081402906747</v>
      </c>
      <c r="H586" s="13"/>
      <c r="I586" s="14"/>
    </row>
    <row r="587" spans="1:9" x14ac:dyDescent="0.3">
      <c r="A587" s="2">
        <v>43286</v>
      </c>
      <c r="B587" s="1">
        <v>46.35</v>
      </c>
      <c r="C587" s="1">
        <v>1699.73</v>
      </c>
      <c r="D587" s="22">
        <f t="shared" si="33"/>
        <v>469.82291201498475</v>
      </c>
      <c r="E587" s="23">
        <f t="shared" si="34"/>
        <v>1.7530781338113002</v>
      </c>
      <c r="F587" s="23">
        <f t="shared" si="35"/>
        <v>-1.7530781338113002</v>
      </c>
      <c r="H587" s="13"/>
      <c r="I587" s="14"/>
    </row>
    <row r="588" spans="1:9" x14ac:dyDescent="0.3">
      <c r="A588" s="2">
        <v>43285</v>
      </c>
      <c r="B588" s="1">
        <v>45.98</v>
      </c>
      <c r="C588" s="1">
        <v>1693.96</v>
      </c>
      <c r="D588" s="22">
        <f t="shared" si="33"/>
        <v>468.06983388117345</v>
      </c>
      <c r="E588" s="23">
        <f t="shared" si="34"/>
        <v>0</v>
      </c>
      <c r="F588" s="23">
        <f t="shared" si="35"/>
        <v>0</v>
      </c>
      <c r="H588" s="13"/>
      <c r="I588" s="14"/>
    </row>
    <row r="589" spans="1:9" x14ac:dyDescent="0.3">
      <c r="A589" s="2">
        <v>43284</v>
      </c>
      <c r="B589" s="1">
        <v>45.98</v>
      </c>
      <c r="C589" s="1">
        <v>1693.96</v>
      </c>
      <c r="D589" s="22">
        <f t="shared" si="33"/>
        <v>468.06983388117345</v>
      </c>
      <c r="E589" s="23">
        <f t="shared" si="34"/>
        <v>-5.682666654274783</v>
      </c>
      <c r="F589" s="23">
        <f t="shared" si="35"/>
        <v>5.682666654274783</v>
      </c>
      <c r="H589" s="13"/>
      <c r="I589" s="14"/>
    </row>
    <row r="590" spans="1:9" x14ac:dyDescent="0.3">
      <c r="A590" s="2">
        <v>43283</v>
      </c>
      <c r="B590" s="1">
        <v>46.795000000000002</v>
      </c>
      <c r="C590" s="1">
        <v>1713.78</v>
      </c>
      <c r="D590" s="22">
        <f t="shared" si="33"/>
        <v>473.75250053544823</v>
      </c>
      <c r="E590" s="23">
        <f t="shared" si="34"/>
        <v>3.9655906252656337</v>
      </c>
      <c r="F590" s="23">
        <f t="shared" si="35"/>
        <v>-3.9655906252656337</v>
      </c>
      <c r="H590" s="13"/>
      <c r="I590" s="14"/>
    </row>
    <row r="591" spans="1:9" x14ac:dyDescent="0.3">
      <c r="A591" s="2">
        <v>43280</v>
      </c>
      <c r="B591" s="1">
        <v>46.277500000000003</v>
      </c>
      <c r="C591" s="1">
        <v>1699.8</v>
      </c>
      <c r="D591" s="22">
        <f t="shared" si="33"/>
        <v>469.7869099101826</v>
      </c>
      <c r="E591" s="23">
        <f t="shared" si="34"/>
        <v>-0.49513496347077535</v>
      </c>
      <c r="F591" s="23">
        <f t="shared" si="35"/>
        <v>0.49513496347077535</v>
      </c>
      <c r="H591" s="13"/>
      <c r="I591" s="14"/>
    </row>
    <row r="592" spans="1:9" x14ac:dyDescent="0.3">
      <c r="A592" s="2">
        <v>43279</v>
      </c>
      <c r="B592" s="1">
        <v>46.375</v>
      </c>
      <c r="C592" s="1">
        <v>1701.45</v>
      </c>
      <c r="D592" s="22">
        <f t="shared" si="33"/>
        <v>470.28204487365338</v>
      </c>
      <c r="E592" s="23">
        <f t="shared" si="34"/>
        <v>10.734979189520004</v>
      </c>
      <c r="F592" s="23">
        <f t="shared" si="35"/>
        <v>-10.734979189520004</v>
      </c>
      <c r="H592" s="13"/>
      <c r="I592" s="14"/>
    </row>
    <row r="593" spans="1:9" x14ac:dyDescent="0.3">
      <c r="A593" s="2">
        <v>43278</v>
      </c>
      <c r="B593" s="1">
        <v>46.04</v>
      </c>
      <c r="C593" s="1">
        <v>1660.51</v>
      </c>
      <c r="D593" s="22">
        <f t="shared" si="33"/>
        <v>459.54706568413337</v>
      </c>
      <c r="E593" s="23">
        <f t="shared" si="34"/>
        <v>-7.8825317699846664</v>
      </c>
      <c r="F593" s="23">
        <f t="shared" si="35"/>
        <v>7.8825317699846664</v>
      </c>
      <c r="H593" s="13"/>
      <c r="I593" s="14"/>
    </row>
    <row r="594" spans="1:9" x14ac:dyDescent="0.3">
      <c r="A594" s="2">
        <v>43277</v>
      </c>
      <c r="B594" s="1">
        <v>46.107500000000002</v>
      </c>
      <c r="C594" s="1">
        <v>1691.09</v>
      </c>
      <c r="D594" s="22">
        <f t="shared" si="33"/>
        <v>467.42959745411804</v>
      </c>
      <c r="E594" s="23">
        <f t="shared" si="34"/>
        <v>7.5764377616822003</v>
      </c>
      <c r="F594" s="23">
        <f t="shared" si="35"/>
        <v>-7.5764377616822003</v>
      </c>
      <c r="H594" s="13"/>
      <c r="I594" s="14"/>
    </row>
    <row r="595" spans="1:9" x14ac:dyDescent="0.3">
      <c r="A595" s="2">
        <v>43276</v>
      </c>
      <c r="B595" s="1">
        <v>45.542499999999997</v>
      </c>
      <c r="C595" s="1">
        <v>1663.15</v>
      </c>
      <c r="D595" s="22">
        <f t="shared" si="33"/>
        <v>459.85315969243584</v>
      </c>
      <c r="E595" s="23">
        <f t="shared" si="34"/>
        <v>-13.963129142735852</v>
      </c>
      <c r="F595" s="23">
        <f t="shared" si="35"/>
        <v>13.963129142735852</v>
      </c>
      <c r="H595" s="13"/>
      <c r="I595" s="14"/>
    </row>
    <row r="596" spans="1:9" x14ac:dyDescent="0.3">
      <c r="A596" s="2">
        <v>43273</v>
      </c>
      <c r="B596" s="1">
        <v>46.23</v>
      </c>
      <c r="C596" s="1">
        <v>1715.67</v>
      </c>
      <c r="D596" s="22">
        <f t="shared" si="33"/>
        <v>473.81628883517169</v>
      </c>
      <c r="E596" s="23">
        <f t="shared" si="34"/>
        <v>-3.8270502405351863</v>
      </c>
      <c r="F596" s="23">
        <f t="shared" si="35"/>
        <v>3.8270502405351863</v>
      </c>
      <c r="H596" s="13"/>
      <c r="I596" s="14"/>
    </row>
    <row r="597" spans="1:9" x14ac:dyDescent="0.3">
      <c r="A597" s="2">
        <v>43272</v>
      </c>
      <c r="B597" s="1">
        <v>46.365000000000002</v>
      </c>
      <c r="C597" s="1">
        <v>1730.22</v>
      </c>
      <c r="D597" s="22">
        <f t="shared" si="33"/>
        <v>477.64333907570688</v>
      </c>
      <c r="E597" s="23">
        <f t="shared" si="34"/>
        <v>-5.2800613745743021</v>
      </c>
      <c r="F597" s="23">
        <f t="shared" si="35"/>
        <v>5.2800613745743021</v>
      </c>
      <c r="H597" s="13"/>
      <c r="I597" s="14"/>
    </row>
    <row r="598" spans="1:9" x14ac:dyDescent="0.3">
      <c r="A598" s="2">
        <v>43271</v>
      </c>
      <c r="B598" s="1">
        <v>46.625</v>
      </c>
      <c r="C598" s="1">
        <v>1750.08</v>
      </c>
      <c r="D598" s="22">
        <f t="shared" si="33"/>
        <v>482.92340045028118</v>
      </c>
      <c r="E598" s="23">
        <f t="shared" si="34"/>
        <v>4.0693559491140832</v>
      </c>
      <c r="F598" s="23">
        <f t="shared" si="35"/>
        <v>-4.0693559491140832</v>
      </c>
      <c r="H598" s="13"/>
      <c r="I598" s="14"/>
    </row>
    <row r="599" spans="1:9" x14ac:dyDescent="0.3">
      <c r="A599" s="2">
        <v>43270</v>
      </c>
      <c r="B599" s="1">
        <v>46.422499999999999</v>
      </c>
      <c r="C599" s="1">
        <v>1734.78</v>
      </c>
      <c r="D599" s="22">
        <f t="shared" si="33"/>
        <v>478.8540445011671</v>
      </c>
      <c r="E599" s="23">
        <f t="shared" si="34"/>
        <v>2.2476158828920916</v>
      </c>
      <c r="F599" s="23">
        <f t="shared" si="35"/>
        <v>-2.2476158828920916</v>
      </c>
      <c r="H599" s="13"/>
      <c r="I599" s="14"/>
    </row>
    <row r="600" spans="1:9" x14ac:dyDescent="0.3">
      <c r="A600" s="2">
        <v>43269</v>
      </c>
      <c r="B600" s="1">
        <v>47.185000000000002</v>
      </c>
      <c r="C600" s="1">
        <v>1723.79</v>
      </c>
      <c r="D600" s="22">
        <f t="shared" si="33"/>
        <v>476.606428618275</v>
      </c>
      <c r="E600" s="23">
        <f t="shared" si="34"/>
        <v>1.9843051777314145</v>
      </c>
      <c r="F600" s="23">
        <f t="shared" si="35"/>
        <v>-1.9843051777314145</v>
      </c>
      <c r="H600" s="13"/>
      <c r="I600" s="14"/>
    </row>
    <row r="601" spans="1:9" x14ac:dyDescent="0.3">
      <c r="A601" s="2">
        <v>43266</v>
      </c>
      <c r="B601" s="1">
        <v>47.21</v>
      </c>
      <c r="C601" s="1">
        <v>1715.97</v>
      </c>
      <c r="D601" s="22">
        <f t="shared" si="33"/>
        <v>474.62212344054359</v>
      </c>
      <c r="E601" s="23">
        <f t="shared" si="34"/>
        <v>-2.385329294482176</v>
      </c>
      <c r="F601" s="23">
        <f t="shared" si="35"/>
        <v>2.385329294482176</v>
      </c>
      <c r="H601" s="13"/>
      <c r="I601" s="14"/>
    </row>
    <row r="602" spans="1:9" x14ac:dyDescent="0.3">
      <c r="A602" s="2">
        <v>43265</v>
      </c>
      <c r="B602" s="1">
        <v>47.7</v>
      </c>
      <c r="C602" s="1">
        <v>1723.86</v>
      </c>
      <c r="D602" s="22">
        <f t="shared" si="33"/>
        <v>477.00745273502577</v>
      </c>
      <c r="E602" s="23">
        <f t="shared" si="34"/>
        <v>4.8849828868647478</v>
      </c>
      <c r="F602" s="23">
        <f t="shared" si="35"/>
        <v>-4.8849828868647478</v>
      </c>
      <c r="H602" s="13"/>
      <c r="I602" s="14"/>
    </row>
    <row r="603" spans="1:9" x14ac:dyDescent="0.3">
      <c r="A603" s="2">
        <v>43264</v>
      </c>
      <c r="B603" s="1">
        <v>47.674999999999997</v>
      </c>
      <c r="C603" s="1">
        <v>1704.86</v>
      </c>
      <c r="D603" s="22">
        <f t="shared" si="33"/>
        <v>472.12246984816102</v>
      </c>
      <c r="E603" s="23">
        <f t="shared" si="34"/>
        <v>1.2710969000818864</v>
      </c>
      <c r="F603" s="23">
        <f t="shared" si="35"/>
        <v>-1.2710969000818864</v>
      </c>
      <c r="H603" s="13"/>
      <c r="I603" s="14"/>
    </row>
    <row r="604" spans="1:9" x14ac:dyDescent="0.3">
      <c r="A604" s="2">
        <v>43263</v>
      </c>
      <c r="B604" s="1">
        <v>48.07</v>
      </c>
      <c r="C604" s="1">
        <v>1698.75</v>
      </c>
      <c r="D604" s="22">
        <f t="shared" si="33"/>
        <v>470.85137294807913</v>
      </c>
      <c r="E604" s="23">
        <f t="shared" si="34"/>
        <v>2.6617563737921159</v>
      </c>
      <c r="F604" s="23">
        <f t="shared" si="35"/>
        <v>-2.6617563737921159</v>
      </c>
      <c r="H604" s="13"/>
      <c r="I604" s="14"/>
    </row>
    <row r="605" spans="1:9" x14ac:dyDescent="0.3">
      <c r="A605" s="2">
        <v>43262</v>
      </c>
      <c r="B605" s="1">
        <v>47.807499999999997</v>
      </c>
      <c r="C605" s="1">
        <v>1689.12</v>
      </c>
      <c r="D605" s="22">
        <f t="shared" si="33"/>
        <v>468.18961657428702</v>
      </c>
      <c r="E605" s="23">
        <f t="shared" si="34"/>
        <v>1.2265189828101484</v>
      </c>
      <c r="F605" s="23">
        <f t="shared" si="35"/>
        <v>-1.2265189828101484</v>
      </c>
      <c r="H605" s="13"/>
      <c r="I605" s="14"/>
    </row>
    <row r="606" spans="1:9" x14ac:dyDescent="0.3">
      <c r="A606" s="2">
        <v>43259</v>
      </c>
      <c r="B606" s="1">
        <v>47.924999999999997</v>
      </c>
      <c r="C606" s="1">
        <v>1683.99</v>
      </c>
      <c r="D606" s="22">
        <f t="shared" si="33"/>
        <v>466.96309759147687</v>
      </c>
      <c r="E606" s="23">
        <f t="shared" si="34"/>
        <v>-1.6873315762335324</v>
      </c>
      <c r="F606" s="23">
        <f t="shared" si="35"/>
        <v>1.6873315762335324</v>
      </c>
      <c r="H606" s="13"/>
      <c r="I606" s="14"/>
    </row>
    <row r="607" spans="1:9" x14ac:dyDescent="0.3">
      <c r="A607" s="2">
        <v>43258</v>
      </c>
      <c r="B607" s="1">
        <v>48.365000000000002</v>
      </c>
      <c r="C607" s="1">
        <v>1689.3</v>
      </c>
      <c r="D607" s="22">
        <f t="shared" si="33"/>
        <v>468.6504291677104</v>
      </c>
      <c r="E607" s="23">
        <f t="shared" si="34"/>
        <v>-1.748713667719926</v>
      </c>
      <c r="F607" s="23">
        <f t="shared" si="35"/>
        <v>1.748713667719926</v>
      </c>
      <c r="H607" s="13"/>
      <c r="I607" s="14"/>
    </row>
    <row r="608" spans="1:9" x14ac:dyDescent="0.3">
      <c r="A608" s="2">
        <v>43257</v>
      </c>
      <c r="B608" s="1">
        <v>48.494999999999997</v>
      </c>
      <c r="C608" s="1">
        <v>1695.75</v>
      </c>
      <c r="D608" s="22">
        <f t="shared" si="33"/>
        <v>470.39914283543033</v>
      </c>
      <c r="E608" s="23">
        <f t="shared" si="34"/>
        <v>-2.9076382907362586E-2</v>
      </c>
      <c r="F608" s="23">
        <f t="shared" si="35"/>
        <v>2.9076382907362586E-2</v>
      </c>
      <c r="H608" s="13"/>
      <c r="I608" s="14"/>
    </row>
    <row r="609" spans="1:9" x14ac:dyDescent="0.3">
      <c r="A609" s="2">
        <v>43256</v>
      </c>
      <c r="B609" s="1">
        <v>48.327500000000001</v>
      </c>
      <c r="C609" s="1">
        <v>1696.35</v>
      </c>
      <c r="D609" s="22">
        <f t="shared" si="33"/>
        <v>470.42821921833769</v>
      </c>
      <c r="E609" s="23">
        <f t="shared" si="34"/>
        <v>8.2356165721008665</v>
      </c>
      <c r="F609" s="23">
        <f t="shared" si="35"/>
        <v>-8.2356165721008665</v>
      </c>
      <c r="H609" s="13"/>
      <c r="I609" s="14"/>
    </row>
    <row r="610" spans="1:9" x14ac:dyDescent="0.3">
      <c r="A610" s="2">
        <v>43255</v>
      </c>
      <c r="B610" s="1">
        <v>47.957500000000003</v>
      </c>
      <c r="C610" s="1">
        <v>1665.27</v>
      </c>
      <c r="D610" s="22">
        <f t="shared" si="33"/>
        <v>462.19260264623682</v>
      </c>
      <c r="E610" s="23">
        <f t="shared" si="34"/>
        <v>6.3735501031762851</v>
      </c>
      <c r="F610" s="23">
        <f t="shared" si="35"/>
        <v>-6.3735501031762851</v>
      </c>
      <c r="H610" s="13"/>
      <c r="I610" s="14"/>
    </row>
    <row r="611" spans="1:9" x14ac:dyDescent="0.3">
      <c r="A611" s="2">
        <v>43252</v>
      </c>
      <c r="B611" s="1">
        <v>47.56</v>
      </c>
      <c r="C611" s="1">
        <v>1641.54</v>
      </c>
      <c r="D611" s="22">
        <f t="shared" si="33"/>
        <v>455.81905254306054</v>
      </c>
      <c r="E611" s="23">
        <f t="shared" si="34"/>
        <v>3.6797311161656694</v>
      </c>
      <c r="F611" s="23">
        <f t="shared" si="35"/>
        <v>-3.6797311161656694</v>
      </c>
      <c r="H611" s="13"/>
      <c r="I611" s="14"/>
    </row>
    <row r="612" spans="1:9" x14ac:dyDescent="0.3">
      <c r="A612" s="2">
        <v>43251</v>
      </c>
      <c r="B612" s="1">
        <v>46.717500000000001</v>
      </c>
      <c r="C612" s="1">
        <v>1629.62</v>
      </c>
      <c r="D612" s="22">
        <f t="shared" si="33"/>
        <v>452.13932142689487</v>
      </c>
      <c r="E612" s="23">
        <f t="shared" si="34"/>
        <v>1.0943137738893824</v>
      </c>
      <c r="F612" s="23">
        <f t="shared" si="35"/>
        <v>-1.0943137738893824</v>
      </c>
      <c r="H612" s="13"/>
      <c r="I612" s="14"/>
    </row>
    <row r="613" spans="1:9" x14ac:dyDescent="0.3">
      <c r="A613" s="2">
        <v>43250</v>
      </c>
      <c r="B613" s="1">
        <v>46.875</v>
      </c>
      <c r="C613" s="1">
        <v>1624.89</v>
      </c>
      <c r="D613" s="22">
        <f t="shared" si="33"/>
        <v>451.04500765300548</v>
      </c>
      <c r="E613" s="23">
        <f t="shared" si="34"/>
        <v>3.0042420336653777</v>
      </c>
      <c r="F613" s="23">
        <f t="shared" si="35"/>
        <v>-3.0042420336653777</v>
      </c>
      <c r="H613" s="13"/>
      <c r="I613" s="14"/>
    </row>
    <row r="614" spans="1:9" x14ac:dyDescent="0.3">
      <c r="A614" s="2">
        <v>43249</v>
      </c>
      <c r="B614" s="1">
        <v>46.975000000000001</v>
      </c>
      <c r="C614" s="1">
        <v>1612.87</v>
      </c>
      <c r="D614" s="22">
        <f t="shared" si="33"/>
        <v>448.04076561934011</v>
      </c>
      <c r="E614" s="23">
        <f t="shared" si="34"/>
        <v>0.57020292716930499</v>
      </c>
      <c r="F614" s="23">
        <f t="shared" si="35"/>
        <v>-0.57020292716930499</v>
      </c>
      <c r="H614" s="13"/>
      <c r="I614" s="14"/>
    </row>
    <row r="615" spans="1:9" x14ac:dyDescent="0.3">
      <c r="A615" s="2">
        <v>43248</v>
      </c>
      <c r="B615" s="1">
        <v>47.145000000000003</v>
      </c>
      <c r="C615" s="1">
        <v>1610.15</v>
      </c>
      <c r="D615" s="22">
        <f t="shared" si="33"/>
        <v>447.4705626921708</v>
      </c>
      <c r="E615" s="23">
        <f t="shared" si="34"/>
        <v>0</v>
      </c>
      <c r="F615" s="23">
        <f t="shared" si="35"/>
        <v>0</v>
      </c>
      <c r="H615" s="13"/>
      <c r="I615" s="14"/>
    </row>
    <row r="616" spans="1:9" x14ac:dyDescent="0.3">
      <c r="A616" s="2">
        <v>43245</v>
      </c>
      <c r="B616" s="1">
        <v>47.145000000000003</v>
      </c>
      <c r="C616" s="1">
        <v>1610.15</v>
      </c>
      <c r="D616" s="22">
        <f t="shared" si="33"/>
        <v>447.4705626921708</v>
      </c>
      <c r="E616" s="23">
        <f t="shared" si="34"/>
        <v>1.8933356088887763</v>
      </c>
      <c r="F616" s="23">
        <f t="shared" si="35"/>
        <v>-1.8933356088887763</v>
      </c>
      <c r="H616" s="13"/>
      <c r="I616" s="14"/>
    </row>
    <row r="617" spans="1:9" x14ac:dyDescent="0.3">
      <c r="A617" s="2">
        <v>43244</v>
      </c>
      <c r="B617" s="1">
        <v>47.037500000000001</v>
      </c>
      <c r="C617" s="1">
        <v>1603.07</v>
      </c>
      <c r="D617" s="22">
        <f t="shared" si="33"/>
        <v>445.57722708328203</v>
      </c>
      <c r="E617" s="23">
        <f t="shared" si="34"/>
        <v>0.27085854517349617</v>
      </c>
      <c r="F617" s="23">
        <f t="shared" si="35"/>
        <v>-0.27085854517349617</v>
      </c>
      <c r="H617" s="13"/>
      <c r="I617" s="14"/>
    </row>
    <row r="618" spans="1:9" x14ac:dyDescent="0.3">
      <c r="A618" s="2">
        <v>43243</v>
      </c>
      <c r="B618" s="1">
        <v>47.09</v>
      </c>
      <c r="C618" s="1">
        <v>1601.86</v>
      </c>
      <c r="D618" s="22">
        <f t="shared" si="33"/>
        <v>445.30636853810853</v>
      </c>
      <c r="E618" s="23">
        <f t="shared" si="34"/>
        <v>5.4634916995620983</v>
      </c>
      <c r="F618" s="23">
        <f t="shared" si="35"/>
        <v>-5.4634916995620983</v>
      </c>
      <c r="H618" s="13"/>
      <c r="I618" s="14"/>
    </row>
    <row r="619" spans="1:9" x14ac:dyDescent="0.3">
      <c r="A619" s="2">
        <v>43242</v>
      </c>
      <c r="B619" s="1">
        <v>46.79</v>
      </c>
      <c r="C619" s="1">
        <v>1581.4</v>
      </c>
      <c r="D619" s="22">
        <f t="shared" si="33"/>
        <v>439.84287683854643</v>
      </c>
      <c r="E619" s="23">
        <f t="shared" si="34"/>
        <v>-1.1272751004723318</v>
      </c>
      <c r="F619" s="23">
        <f t="shared" si="35"/>
        <v>1.1272751004723318</v>
      </c>
      <c r="H619" s="13"/>
      <c r="I619" s="14"/>
    </row>
    <row r="620" spans="1:9" x14ac:dyDescent="0.3">
      <c r="A620" s="2">
        <v>43241</v>
      </c>
      <c r="B620" s="1">
        <v>46.907499999999999</v>
      </c>
      <c r="C620" s="1">
        <v>1585.46</v>
      </c>
      <c r="D620" s="22">
        <f t="shared" si="33"/>
        <v>440.97015193901876</v>
      </c>
      <c r="E620" s="23">
        <f t="shared" si="34"/>
        <v>3.0859112444092034</v>
      </c>
      <c r="F620" s="23">
        <f t="shared" si="35"/>
        <v>-3.0859112444092034</v>
      </c>
      <c r="H620" s="13"/>
      <c r="I620" s="14"/>
    </row>
    <row r="621" spans="1:9" x14ac:dyDescent="0.3">
      <c r="A621" s="2">
        <v>43238</v>
      </c>
      <c r="B621" s="1">
        <v>46.577500000000001</v>
      </c>
      <c r="C621" s="1">
        <v>1574.37</v>
      </c>
      <c r="D621" s="22">
        <f t="shared" si="33"/>
        <v>437.88424069460956</v>
      </c>
      <c r="E621" s="23">
        <f t="shared" si="34"/>
        <v>-2.0192266900218101</v>
      </c>
      <c r="F621" s="23">
        <f t="shared" si="35"/>
        <v>2.0192266900218101</v>
      </c>
      <c r="H621" s="13"/>
      <c r="I621" s="14"/>
    </row>
    <row r="622" spans="1:9" x14ac:dyDescent="0.3">
      <c r="A622" s="2">
        <v>43237</v>
      </c>
      <c r="B622" s="1">
        <v>46.747500000000002</v>
      </c>
      <c r="C622" s="1">
        <v>1581.76</v>
      </c>
      <c r="D622" s="22">
        <f t="shared" si="33"/>
        <v>439.90346738463137</v>
      </c>
      <c r="E622" s="23">
        <f t="shared" si="34"/>
        <v>-1.6351158433017758</v>
      </c>
      <c r="F622" s="23">
        <f t="shared" si="35"/>
        <v>1.6351158433017758</v>
      </c>
      <c r="H622" s="13"/>
      <c r="I622" s="14"/>
    </row>
    <row r="623" spans="1:9" x14ac:dyDescent="0.3">
      <c r="A623" s="2">
        <v>43236</v>
      </c>
      <c r="B623" s="1">
        <v>47.045000000000002</v>
      </c>
      <c r="C623" s="1">
        <v>1587.28</v>
      </c>
      <c r="D623" s="22">
        <f t="shared" si="33"/>
        <v>441.53858322793315</v>
      </c>
      <c r="E623" s="23">
        <f t="shared" si="34"/>
        <v>3.1819468490974714</v>
      </c>
      <c r="F623" s="23">
        <f t="shared" si="35"/>
        <v>-3.1819468490974714</v>
      </c>
      <c r="H623" s="13"/>
      <c r="I623" s="14"/>
    </row>
    <row r="624" spans="1:9" x14ac:dyDescent="0.3">
      <c r="A624" s="2">
        <v>43235</v>
      </c>
      <c r="B624" s="1">
        <v>46.61</v>
      </c>
      <c r="C624" s="1">
        <v>1576.12</v>
      </c>
      <c r="D624" s="22">
        <f t="shared" si="33"/>
        <v>438.35663637883567</v>
      </c>
      <c r="E624" s="23">
        <f t="shared" si="34"/>
        <v>-6.8287185665331549</v>
      </c>
      <c r="F624" s="23">
        <f t="shared" si="35"/>
        <v>6.8287185665331549</v>
      </c>
      <c r="H624" s="13"/>
      <c r="I624" s="14"/>
    </row>
    <row r="625" spans="1:9" x14ac:dyDescent="0.3">
      <c r="A625" s="2">
        <v>43234</v>
      </c>
      <c r="B625" s="1">
        <v>47.037500000000001</v>
      </c>
      <c r="C625" s="1">
        <v>1601.54</v>
      </c>
      <c r="D625" s="22">
        <f t="shared" si="33"/>
        <v>445.18535494536883</v>
      </c>
      <c r="E625" s="23">
        <f t="shared" si="34"/>
        <v>-0.43271823122262276</v>
      </c>
      <c r="F625" s="23">
        <f t="shared" si="35"/>
        <v>0.43271823122262276</v>
      </c>
      <c r="H625" s="13"/>
      <c r="I625" s="14"/>
    </row>
    <row r="626" spans="1:9" x14ac:dyDescent="0.3">
      <c r="A626" s="2">
        <v>43231</v>
      </c>
      <c r="B626" s="1">
        <v>47.147500000000001</v>
      </c>
      <c r="C626" s="1">
        <v>1602.91</v>
      </c>
      <c r="D626" s="22">
        <f t="shared" si="33"/>
        <v>445.61807317659145</v>
      </c>
      <c r="E626" s="23">
        <f t="shared" si="34"/>
        <v>-1.8499493077979423</v>
      </c>
      <c r="F626" s="23">
        <f t="shared" si="35"/>
        <v>1.8499493077979423</v>
      </c>
      <c r="H626" s="13"/>
      <c r="I626" s="14"/>
    </row>
    <row r="627" spans="1:9" x14ac:dyDescent="0.3">
      <c r="A627" s="2">
        <v>43230</v>
      </c>
      <c r="B627" s="1">
        <v>47.51</v>
      </c>
      <c r="C627" s="1">
        <v>1609.08</v>
      </c>
      <c r="D627" s="22">
        <f t="shared" si="33"/>
        <v>447.46802248438939</v>
      </c>
      <c r="E627" s="23">
        <f t="shared" si="34"/>
        <v>0.77501148793749053</v>
      </c>
      <c r="F627" s="23">
        <f t="shared" si="35"/>
        <v>-0.77501148793749053</v>
      </c>
      <c r="H627" s="13"/>
      <c r="I627" s="14"/>
    </row>
    <row r="628" spans="1:9" x14ac:dyDescent="0.3">
      <c r="A628" s="2">
        <v>43229</v>
      </c>
      <c r="B628" s="1">
        <v>46.84</v>
      </c>
      <c r="C628" s="1">
        <v>1608</v>
      </c>
      <c r="D628" s="22">
        <f t="shared" si="33"/>
        <v>446.6930109964519</v>
      </c>
      <c r="E628" s="23">
        <f t="shared" si="34"/>
        <v>4.2417391814760776</v>
      </c>
      <c r="F628" s="23">
        <f t="shared" si="35"/>
        <v>-4.2417391814760776</v>
      </c>
      <c r="H628" s="13"/>
      <c r="I628" s="14"/>
    </row>
    <row r="629" spans="1:9" x14ac:dyDescent="0.3">
      <c r="A629" s="2">
        <v>43228</v>
      </c>
      <c r="B629" s="1">
        <v>46.512500000000003</v>
      </c>
      <c r="C629" s="1">
        <v>1592.39</v>
      </c>
      <c r="D629" s="22">
        <f t="shared" si="33"/>
        <v>442.45127181497583</v>
      </c>
      <c r="E629" s="23">
        <f t="shared" si="34"/>
        <v>-1.819461189224171</v>
      </c>
      <c r="F629" s="23">
        <f t="shared" si="35"/>
        <v>1.819461189224171</v>
      </c>
      <c r="H629" s="13"/>
      <c r="I629" s="14"/>
    </row>
    <row r="630" spans="1:9" x14ac:dyDescent="0.3">
      <c r="A630" s="2">
        <v>43227</v>
      </c>
      <c r="B630" s="1">
        <v>46.29</v>
      </c>
      <c r="C630" s="1">
        <v>1600.14</v>
      </c>
      <c r="D630" s="22">
        <f t="shared" si="33"/>
        <v>444.2707330042</v>
      </c>
      <c r="E630" s="23">
        <f t="shared" si="34"/>
        <v>5.1623881311753053</v>
      </c>
      <c r="F630" s="23">
        <f t="shared" si="35"/>
        <v>-5.1623881311753053</v>
      </c>
      <c r="H630" s="13"/>
      <c r="I630" s="14"/>
    </row>
    <row r="631" spans="1:9" x14ac:dyDescent="0.3">
      <c r="A631" s="2">
        <v>43224</v>
      </c>
      <c r="B631" s="1">
        <v>45.957500000000003</v>
      </c>
      <c r="C631" s="1">
        <v>1580.95</v>
      </c>
      <c r="D631" s="22">
        <f t="shared" si="33"/>
        <v>439.10834487302469</v>
      </c>
      <c r="E631" s="23">
        <f t="shared" si="34"/>
        <v>3.5637366435949502</v>
      </c>
      <c r="F631" s="23">
        <f t="shared" si="35"/>
        <v>-3.5637366435949502</v>
      </c>
      <c r="H631" s="13"/>
      <c r="I631" s="14"/>
    </row>
    <row r="632" spans="1:9" x14ac:dyDescent="0.3">
      <c r="A632" s="2">
        <v>43223</v>
      </c>
      <c r="B632" s="1">
        <v>44.222499999999997</v>
      </c>
      <c r="C632" s="1">
        <v>1572.075</v>
      </c>
      <c r="D632" s="22">
        <f t="shared" si="33"/>
        <v>435.54460822942974</v>
      </c>
      <c r="E632" s="23">
        <f t="shared" si="34"/>
        <v>0.67293071847649344</v>
      </c>
      <c r="F632" s="23">
        <f t="shared" si="35"/>
        <v>-0.67293071847649344</v>
      </c>
      <c r="H632" s="13"/>
      <c r="I632" s="14"/>
    </row>
    <row r="633" spans="1:9" x14ac:dyDescent="0.3">
      <c r="A633" s="2">
        <v>43222</v>
      </c>
      <c r="B633" s="1">
        <v>44.142499999999998</v>
      </c>
      <c r="C633" s="1">
        <v>1569.68</v>
      </c>
      <c r="D633" s="22">
        <f t="shared" si="33"/>
        <v>434.87167751095325</v>
      </c>
      <c r="E633" s="23">
        <f t="shared" si="34"/>
        <v>-1.8328743218960426</v>
      </c>
      <c r="F633" s="23">
        <f t="shared" si="35"/>
        <v>1.8328743218960426</v>
      </c>
      <c r="H633" s="13"/>
      <c r="I633" s="14"/>
    </row>
    <row r="634" spans="1:9" x14ac:dyDescent="0.3">
      <c r="A634" s="2">
        <v>43221</v>
      </c>
      <c r="B634" s="1">
        <v>42.274999999999999</v>
      </c>
      <c r="C634" s="1">
        <v>1582.26</v>
      </c>
      <c r="D634" s="22">
        <f t="shared" si="33"/>
        <v>436.70455183284929</v>
      </c>
      <c r="E634" s="23">
        <f t="shared" si="34"/>
        <v>4.845425053688416</v>
      </c>
      <c r="F634" s="23">
        <f t="shared" si="35"/>
        <v>-4.845425053688416</v>
      </c>
      <c r="H634" s="13"/>
      <c r="I634" s="14"/>
    </row>
    <row r="635" spans="1:9" x14ac:dyDescent="0.3">
      <c r="A635" s="2">
        <v>43220</v>
      </c>
      <c r="B635" s="1">
        <v>41.314999999999998</v>
      </c>
      <c r="C635" s="1">
        <v>1566.13</v>
      </c>
      <c r="D635" s="22">
        <f t="shared" si="33"/>
        <v>431.85912677916087</v>
      </c>
      <c r="E635" s="23">
        <f t="shared" si="34"/>
        <v>-1.1155073179234023</v>
      </c>
      <c r="F635" s="23">
        <f t="shared" si="35"/>
        <v>1.1155073179234023</v>
      </c>
      <c r="H635" s="13"/>
      <c r="I635" s="14"/>
    </row>
    <row r="636" spans="1:9" x14ac:dyDescent="0.3">
      <c r="A636" s="2">
        <v>43217</v>
      </c>
      <c r="B636" s="1">
        <v>40.58</v>
      </c>
      <c r="C636" s="1">
        <v>1572.62</v>
      </c>
      <c r="D636" s="22">
        <f t="shared" si="33"/>
        <v>432.97463409708428</v>
      </c>
      <c r="E636" s="23">
        <f t="shared" si="34"/>
        <v>13.646483871793578</v>
      </c>
      <c r="F636" s="23">
        <f t="shared" si="35"/>
        <v>-13.646483871793578</v>
      </c>
      <c r="H636" s="13"/>
      <c r="I636" s="14"/>
    </row>
    <row r="637" spans="1:9" x14ac:dyDescent="0.3">
      <c r="A637" s="2">
        <v>43216</v>
      </c>
      <c r="B637" s="1">
        <v>41.055</v>
      </c>
      <c r="C637" s="1">
        <v>1517.96</v>
      </c>
      <c r="D637" s="22">
        <f t="shared" si="33"/>
        <v>419.3281502252907</v>
      </c>
      <c r="E637" s="23">
        <f t="shared" si="34"/>
        <v>14.907499392386399</v>
      </c>
      <c r="F637" s="23">
        <f t="shared" si="35"/>
        <v>-14.907499392386399</v>
      </c>
      <c r="H637" s="13"/>
      <c r="I637" s="14"/>
    </row>
    <row r="638" spans="1:9" x14ac:dyDescent="0.3">
      <c r="A638" s="2">
        <v>43215</v>
      </c>
      <c r="B638" s="1">
        <v>40.912500000000001</v>
      </c>
      <c r="C638" s="1">
        <v>1460.17</v>
      </c>
      <c r="D638" s="22">
        <f t="shared" si="33"/>
        <v>404.4206508329043</v>
      </c>
      <c r="E638" s="23">
        <f t="shared" si="34"/>
        <v>0.15252775591733325</v>
      </c>
      <c r="F638" s="23">
        <f t="shared" si="35"/>
        <v>-0.15252775591733325</v>
      </c>
      <c r="H638" s="13"/>
      <c r="I638" s="14"/>
    </row>
    <row r="639" spans="1:9" x14ac:dyDescent="0.3">
      <c r="A639" s="2">
        <v>43214</v>
      </c>
      <c r="B639" s="1">
        <v>40.734999999999999</v>
      </c>
      <c r="C639" s="1">
        <v>1460.09</v>
      </c>
      <c r="D639" s="22">
        <f t="shared" si="33"/>
        <v>404.26812307698697</v>
      </c>
      <c r="E639" s="23">
        <f t="shared" si="34"/>
        <v>-15.224102567284604</v>
      </c>
      <c r="F639" s="23">
        <f t="shared" si="35"/>
        <v>15.224102567284604</v>
      </c>
      <c r="H639" s="13"/>
      <c r="I639" s="14"/>
    </row>
    <row r="640" spans="1:9" x14ac:dyDescent="0.3">
      <c r="A640" s="2">
        <v>43213</v>
      </c>
      <c r="B640" s="1">
        <v>41.31</v>
      </c>
      <c r="C640" s="1">
        <v>1517.86</v>
      </c>
      <c r="D640" s="22">
        <f t="shared" si="33"/>
        <v>419.49222564427157</v>
      </c>
      <c r="E640" s="23">
        <f t="shared" si="34"/>
        <v>-2.5557542689899151</v>
      </c>
      <c r="F640" s="23">
        <f t="shared" si="35"/>
        <v>2.5557542689899151</v>
      </c>
      <c r="H640" s="13"/>
      <c r="I640" s="14"/>
    </row>
    <row r="641" spans="1:6" x14ac:dyDescent="0.3">
      <c r="A641" s="2">
        <v>43210</v>
      </c>
      <c r="B641" s="1">
        <v>41.43</v>
      </c>
      <c r="C641" s="1">
        <v>1527.49</v>
      </c>
      <c r="D641" s="22">
        <f t="shared" si="33"/>
        <v>422.04797991326149</v>
      </c>
      <c r="E641" s="23">
        <f t="shared" si="34"/>
        <v>-8.8518722962745073</v>
      </c>
      <c r="F641" s="23">
        <f t="shared" si="35"/>
        <v>8.8518722962745073</v>
      </c>
    </row>
    <row r="642" spans="1:6" x14ac:dyDescent="0.3">
      <c r="A642" s="2">
        <v>43209</v>
      </c>
      <c r="B642" s="1">
        <v>43.2</v>
      </c>
      <c r="C642" s="1">
        <v>1556.91</v>
      </c>
      <c r="D642" s="22">
        <f t="shared" si="33"/>
        <v>430.89985220953599</v>
      </c>
      <c r="E642" s="23">
        <f t="shared" si="34"/>
        <v>6.508288851573468</v>
      </c>
      <c r="F642" s="23">
        <f t="shared" si="35"/>
        <v>-6.508288851573468</v>
      </c>
    </row>
    <row r="643" spans="1:6" x14ac:dyDescent="0.3">
      <c r="A643" s="2">
        <v>43208</v>
      </c>
      <c r="B643" s="1">
        <v>44.46</v>
      </c>
      <c r="C643" s="1">
        <v>1527.84</v>
      </c>
      <c r="D643" s="22">
        <f t="shared" si="33"/>
        <v>424.39156335796253</v>
      </c>
      <c r="E643" s="23">
        <f t="shared" si="34"/>
        <v>6.0751877418870777</v>
      </c>
      <c r="F643" s="23">
        <f t="shared" si="35"/>
        <v>-6.0751877418870777</v>
      </c>
    </row>
    <row r="644" spans="1:6" x14ac:dyDescent="0.3">
      <c r="A644" s="2">
        <v>43207</v>
      </c>
      <c r="B644" s="1">
        <v>44.56</v>
      </c>
      <c r="C644" s="1">
        <v>1503.83</v>
      </c>
      <c r="D644" s="22">
        <f t="shared" si="33"/>
        <v>418.31637561607545</v>
      </c>
      <c r="E644" s="23">
        <f t="shared" si="34"/>
        <v>16.414351446204137</v>
      </c>
      <c r="F644" s="23">
        <f t="shared" si="35"/>
        <v>-16.414351446204137</v>
      </c>
    </row>
    <row r="645" spans="1:6" x14ac:dyDescent="0.3">
      <c r="A645" s="2">
        <v>43206</v>
      </c>
      <c r="B645" s="1">
        <v>43.954999999999998</v>
      </c>
      <c r="C645" s="1">
        <v>1441.5</v>
      </c>
      <c r="D645" s="22">
        <f t="shared" si="33"/>
        <v>401.90202416987131</v>
      </c>
      <c r="E645" s="23">
        <f t="shared" si="34"/>
        <v>2.9458107447509292</v>
      </c>
      <c r="F645" s="23">
        <f t="shared" si="35"/>
        <v>-2.9458107447509292</v>
      </c>
    </row>
    <row r="646" spans="1:6" x14ac:dyDescent="0.3">
      <c r="A646" s="2">
        <v>43203</v>
      </c>
      <c r="B646" s="1">
        <v>43.682499999999997</v>
      </c>
      <c r="C646" s="1">
        <v>1430.79</v>
      </c>
      <c r="D646" s="22">
        <f t="shared" ref="D646:D709" si="36">$M$16*B646+(1-$M$16)*C646</f>
        <v>398.95621342512038</v>
      </c>
      <c r="E646" s="23">
        <f t="shared" ref="E646:E709" si="37">D646-D647</f>
        <v>-4.4262625508398514</v>
      </c>
      <c r="F646" s="23">
        <f t="shared" ref="F646:F709" si="38">-E646</f>
        <v>4.4262625508398514</v>
      </c>
    </row>
    <row r="647" spans="1:6" x14ac:dyDescent="0.3">
      <c r="A647" s="2">
        <v>43202</v>
      </c>
      <c r="B647" s="1">
        <v>43.534999999999997</v>
      </c>
      <c r="C647" s="1">
        <v>1448.5</v>
      </c>
      <c r="D647" s="22">
        <f t="shared" si="36"/>
        <v>403.38247597596023</v>
      </c>
      <c r="E647" s="23">
        <f t="shared" si="37"/>
        <v>5.8100403265523255</v>
      </c>
      <c r="F647" s="23">
        <f t="shared" si="38"/>
        <v>-5.8100403265523255</v>
      </c>
    </row>
    <row r="648" spans="1:6" x14ac:dyDescent="0.3">
      <c r="A648" s="2">
        <v>43201</v>
      </c>
      <c r="B648" s="1">
        <v>43.11</v>
      </c>
      <c r="C648" s="1">
        <v>1427.05</v>
      </c>
      <c r="D648" s="22">
        <f t="shared" si="36"/>
        <v>397.57243564940791</v>
      </c>
      <c r="E648" s="23">
        <f t="shared" si="37"/>
        <v>-2.4993061416579394</v>
      </c>
      <c r="F648" s="23">
        <f t="shared" si="38"/>
        <v>2.4993061416579394</v>
      </c>
    </row>
    <row r="649" spans="1:6" x14ac:dyDescent="0.3">
      <c r="A649" s="2">
        <v>43200</v>
      </c>
      <c r="B649" s="1">
        <v>43.3125</v>
      </c>
      <c r="C649" s="1">
        <v>1436.22</v>
      </c>
      <c r="D649" s="22">
        <f t="shared" si="36"/>
        <v>400.07174179106585</v>
      </c>
      <c r="E649" s="23">
        <f t="shared" si="37"/>
        <v>8.3147245270413919</v>
      </c>
      <c r="F649" s="23">
        <f t="shared" si="38"/>
        <v>-8.3147245270413919</v>
      </c>
    </row>
    <row r="650" spans="1:6" x14ac:dyDescent="0.3">
      <c r="A650" s="2">
        <v>43199</v>
      </c>
      <c r="B650" s="1">
        <v>42.512500000000003</v>
      </c>
      <c r="C650" s="1">
        <v>1406.08</v>
      </c>
      <c r="D650" s="22">
        <f t="shared" si="36"/>
        <v>391.75701726402446</v>
      </c>
      <c r="E650" s="23">
        <f t="shared" si="37"/>
        <v>0.5282743134950465</v>
      </c>
      <c r="F650" s="23">
        <f t="shared" si="38"/>
        <v>-0.5282743134950465</v>
      </c>
    </row>
    <row r="651" spans="1:6" x14ac:dyDescent="0.3">
      <c r="A651" s="2">
        <v>43196</v>
      </c>
      <c r="B651" s="1">
        <v>42.094999999999999</v>
      </c>
      <c r="C651" s="1">
        <v>1405.23</v>
      </c>
      <c r="D651" s="22">
        <f t="shared" si="36"/>
        <v>391.22874295052941</v>
      </c>
      <c r="E651" s="23">
        <f t="shared" si="37"/>
        <v>-12.736943230933264</v>
      </c>
      <c r="F651" s="23">
        <f t="shared" si="38"/>
        <v>12.736943230933264</v>
      </c>
    </row>
    <row r="652" spans="1:6" x14ac:dyDescent="0.3">
      <c r="A652" s="2">
        <v>43195</v>
      </c>
      <c r="B652" s="1">
        <v>43.2</v>
      </c>
      <c r="C652" s="1">
        <v>1451.75</v>
      </c>
      <c r="D652" s="22">
        <f t="shared" si="36"/>
        <v>403.96568618146267</v>
      </c>
      <c r="E652" s="23">
        <f t="shared" si="37"/>
        <v>10.768554038062973</v>
      </c>
      <c r="F652" s="23">
        <f t="shared" si="38"/>
        <v>-10.768554038062973</v>
      </c>
    </row>
    <row r="653" spans="1:6" x14ac:dyDescent="0.3">
      <c r="A653" s="2">
        <v>43194</v>
      </c>
      <c r="B653" s="1">
        <v>42.902500000000003</v>
      </c>
      <c r="C653" s="1">
        <v>1410.57</v>
      </c>
      <c r="D653" s="22">
        <f t="shared" si="36"/>
        <v>393.1971321433997</v>
      </c>
      <c r="E653" s="23">
        <f t="shared" si="37"/>
        <v>5.3422646556420545</v>
      </c>
      <c r="F653" s="23">
        <f t="shared" si="38"/>
        <v>-5.3422646556420545</v>
      </c>
    </row>
    <row r="654" spans="1:6" x14ac:dyDescent="0.3">
      <c r="A654" s="2">
        <v>43193</v>
      </c>
      <c r="B654" s="1">
        <v>42.097499999999997</v>
      </c>
      <c r="C654" s="1">
        <v>1392.05</v>
      </c>
      <c r="D654" s="22">
        <f t="shared" si="36"/>
        <v>387.85486748775764</v>
      </c>
      <c r="E654" s="23">
        <f t="shared" si="37"/>
        <v>5.4558854559352312</v>
      </c>
      <c r="F654" s="23">
        <f t="shared" si="38"/>
        <v>-5.4558854559352312</v>
      </c>
    </row>
    <row r="655" spans="1:6" x14ac:dyDescent="0.3">
      <c r="A655" s="2">
        <v>43192</v>
      </c>
      <c r="B655" s="1">
        <v>41.67</v>
      </c>
      <c r="C655" s="1">
        <v>1371.99</v>
      </c>
      <c r="D655" s="22">
        <f t="shared" si="36"/>
        <v>382.39898203182241</v>
      </c>
      <c r="E655" s="23">
        <f t="shared" si="37"/>
        <v>-19.503627943682034</v>
      </c>
      <c r="F655" s="23">
        <f t="shared" si="38"/>
        <v>19.503627943682034</v>
      </c>
    </row>
    <row r="656" spans="1:6" x14ac:dyDescent="0.3">
      <c r="A656" s="2">
        <v>43189</v>
      </c>
      <c r="B656" s="1">
        <v>41.945</v>
      </c>
      <c r="C656" s="1">
        <v>1447.34</v>
      </c>
      <c r="D656" s="22">
        <f t="shared" si="36"/>
        <v>401.90260997550445</v>
      </c>
      <c r="E656" s="23">
        <f t="shared" si="37"/>
        <v>0</v>
      </c>
      <c r="F656" s="23">
        <f t="shared" si="38"/>
        <v>0</v>
      </c>
    </row>
    <row r="657" spans="1:6" x14ac:dyDescent="0.3">
      <c r="A657" s="2">
        <v>43188</v>
      </c>
      <c r="B657" s="1">
        <v>41.945</v>
      </c>
      <c r="C657" s="1">
        <v>1447.34</v>
      </c>
      <c r="D657" s="22">
        <f t="shared" si="36"/>
        <v>401.90260997550445</v>
      </c>
      <c r="E657" s="23">
        <f t="shared" si="37"/>
        <v>4.3192784253309355</v>
      </c>
      <c r="F657" s="23">
        <f t="shared" si="38"/>
        <v>-4.3192784253309355</v>
      </c>
    </row>
    <row r="658" spans="1:6" x14ac:dyDescent="0.3">
      <c r="A658" s="2">
        <v>43187</v>
      </c>
      <c r="B658" s="1">
        <v>41.62</v>
      </c>
      <c r="C658" s="1">
        <v>1431.42</v>
      </c>
      <c r="D658" s="22">
        <f t="shared" si="36"/>
        <v>397.58333155017351</v>
      </c>
      <c r="E658" s="23">
        <f t="shared" si="37"/>
        <v>-17.155423442557947</v>
      </c>
      <c r="F658" s="23">
        <f t="shared" si="38"/>
        <v>17.155423442557947</v>
      </c>
    </row>
    <row r="659" spans="1:6" x14ac:dyDescent="0.3">
      <c r="A659" s="2">
        <v>43186</v>
      </c>
      <c r="B659" s="1">
        <v>42.085000000000001</v>
      </c>
      <c r="C659" s="1">
        <v>1497.05</v>
      </c>
      <c r="D659" s="22">
        <f t="shared" si="36"/>
        <v>414.73875499273146</v>
      </c>
      <c r="E659" s="23">
        <f t="shared" si="37"/>
        <v>-15.886586299304781</v>
      </c>
      <c r="F659" s="23">
        <f t="shared" si="38"/>
        <v>15.886586299304781</v>
      </c>
    </row>
    <row r="660" spans="1:6" x14ac:dyDescent="0.3">
      <c r="A660" s="2">
        <v>43185</v>
      </c>
      <c r="B660" s="1">
        <v>43.192500000000003</v>
      </c>
      <c r="C660" s="1">
        <v>1555.86</v>
      </c>
      <c r="D660" s="22">
        <f t="shared" si="36"/>
        <v>430.62534129203624</v>
      </c>
      <c r="E660" s="23">
        <f t="shared" si="37"/>
        <v>16.900506670719437</v>
      </c>
      <c r="F660" s="23">
        <f t="shared" si="38"/>
        <v>-16.900506670719437</v>
      </c>
    </row>
    <row r="661" spans="1:6" x14ac:dyDescent="0.3">
      <c r="A661" s="2">
        <v>43182</v>
      </c>
      <c r="B661" s="1">
        <v>41.234999999999999</v>
      </c>
      <c r="C661" s="1">
        <v>1495.56</v>
      </c>
      <c r="D661" s="22">
        <f t="shared" si="36"/>
        <v>413.7248346213168</v>
      </c>
      <c r="E661" s="23">
        <f t="shared" si="37"/>
        <v>-13.369495890578662</v>
      </c>
      <c r="F661" s="23">
        <f t="shared" si="38"/>
        <v>13.369495890578662</v>
      </c>
    </row>
    <row r="662" spans="1:6" x14ac:dyDescent="0.3">
      <c r="A662" s="2">
        <v>43181</v>
      </c>
      <c r="B662" s="1">
        <v>42.212499999999999</v>
      </c>
      <c r="C662" s="1">
        <v>1544.92</v>
      </c>
      <c r="D662" s="22">
        <f t="shared" si="36"/>
        <v>427.09433051189546</v>
      </c>
      <c r="E662" s="23">
        <f t="shared" si="37"/>
        <v>-9.9113229614876559</v>
      </c>
      <c r="F662" s="23">
        <f t="shared" si="38"/>
        <v>9.9113229614876559</v>
      </c>
    </row>
    <row r="663" spans="1:6" x14ac:dyDescent="0.3">
      <c r="A663" s="2">
        <v>43180</v>
      </c>
      <c r="B663" s="1">
        <v>42.817500000000003</v>
      </c>
      <c r="C663" s="1">
        <v>1581.86</v>
      </c>
      <c r="D663" s="22">
        <f t="shared" si="36"/>
        <v>437.00565347338312</v>
      </c>
      <c r="E663" s="23">
        <f t="shared" si="37"/>
        <v>-1.9292793100768222</v>
      </c>
      <c r="F663" s="23">
        <f t="shared" si="38"/>
        <v>1.9292793100768222</v>
      </c>
    </row>
    <row r="664" spans="1:6" x14ac:dyDescent="0.3">
      <c r="A664" s="2">
        <v>43179</v>
      </c>
      <c r="B664" s="1">
        <v>43.81</v>
      </c>
      <c r="C664" s="1">
        <v>1586.51</v>
      </c>
      <c r="D664" s="22">
        <f t="shared" si="36"/>
        <v>438.93493278345994</v>
      </c>
      <c r="E664" s="23">
        <f t="shared" si="37"/>
        <v>10.638543514051946</v>
      </c>
      <c r="F664" s="23">
        <f t="shared" si="38"/>
        <v>-10.638543514051946</v>
      </c>
    </row>
    <row r="665" spans="1:6" x14ac:dyDescent="0.3">
      <c r="A665" s="2">
        <v>43178</v>
      </c>
      <c r="B665" s="1">
        <v>43.825000000000003</v>
      </c>
      <c r="C665" s="1">
        <v>1544.93</v>
      </c>
      <c r="D665" s="22">
        <f t="shared" si="36"/>
        <v>428.296389269408</v>
      </c>
      <c r="E665" s="23">
        <f t="shared" si="37"/>
        <v>-7.3571938793444929</v>
      </c>
      <c r="F665" s="23">
        <f t="shared" si="38"/>
        <v>7.3571938793444929</v>
      </c>
    </row>
    <row r="666" spans="1:6" x14ac:dyDescent="0.3">
      <c r="A666" s="2">
        <v>43175</v>
      </c>
      <c r="B666" s="1">
        <v>44.505000000000003</v>
      </c>
      <c r="C666" s="1">
        <v>1571.68</v>
      </c>
      <c r="D666" s="22">
        <f t="shared" si="36"/>
        <v>435.65358314875249</v>
      </c>
      <c r="E666" s="23">
        <f t="shared" si="37"/>
        <v>-2.8423363958660275</v>
      </c>
      <c r="F666" s="23">
        <f t="shared" si="38"/>
        <v>2.8423363958660275</v>
      </c>
    </row>
    <row r="667" spans="1:6" x14ac:dyDescent="0.3">
      <c r="A667" s="2">
        <v>43174</v>
      </c>
      <c r="B667" s="1">
        <v>44.662500000000001</v>
      </c>
      <c r="C667" s="1">
        <v>1582.32</v>
      </c>
      <c r="D667" s="22">
        <f t="shared" si="36"/>
        <v>438.49591954461852</v>
      </c>
      <c r="E667" s="23">
        <f t="shared" si="37"/>
        <v>-2.1841166302791635</v>
      </c>
      <c r="F667" s="23">
        <f t="shared" si="38"/>
        <v>2.1841166302791635</v>
      </c>
    </row>
    <row r="668" spans="1:6" x14ac:dyDescent="0.3">
      <c r="A668" s="2">
        <v>43173</v>
      </c>
      <c r="B668" s="1">
        <v>44.61</v>
      </c>
      <c r="C668" s="1">
        <v>1591</v>
      </c>
      <c r="D668" s="22">
        <f t="shared" si="36"/>
        <v>440.68003617489768</v>
      </c>
      <c r="E668" s="23">
        <f t="shared" si="37"/>
        <v>0.43774217102418334</v>
      </c>
      <c r="F668" s="23">
        <f t="shared" si="38"/>
        <v>-0.43774217102418334</v>
      </c>
    </row>
    <row r="669" spans="1:6" x14ac:dyDescent="0.3">
      <c r="A669" s="2">
        <v>43172</v>
      </c>
      <c r="B669" s="1">
        <v>44.9925</v>
      </c>
      <c r="C669" s="1">
        <v>1588.18</v>
      </c>
      <c r="D669" s="22">
        <f t="shared" si="36"/>
        <v>440.2422940038735</v>
      </c>
      <c r="E669" s="23">
        <f t="shared" si="37"/>
        <v>-2.9404872338279802</v>
      </c>
      <c r="F669" s="23">
        <f t="shared" si="38"/>
        <v>2.9404872338279802</v>
      </c>
    </row>
    <row r="670" spans="1:6" x14ac:dyDescent="0.3">
      <c r="A670" s="2">
        <v>43171</v>
      </c>
      <c r="B670" s="1">
        <v>45.43</v>
      </c>
      <c r="C670" s="1">
        <v>1598.39</v>
      </c>
      <c r="D670" s="22">
        <f t="shared" si="36"/>
        <v>443.18278123770148</v>
      </c>
      <c r="E670" s="23">
        <f t="shared" si="37"/>
        <v>5.3180341890949308</v>
      </c>
      <c r="F670" s="23">
        <f t="shared" si="38"/>
        <v>-5.3180341890949308</v>
      </c>
    </row>
    <row r="671" spans="1:6" x14ac:dyDescent="0.3">
      <c r="A671" s="2">
        <v>43168</v>
      </c>
      <c r="B671" s="1">
        <v>44.994999999999997</v>
      </c>
      <c r="C671" s="1">
        <v>1578.89</v>
      </c>
      <c r="D671" s="22">
        <f t="shared" si="36"/>
        <v>437.86474704860655</v>
      </c>
      <c r="E671" s="23">
        <f t="shared" si="37"/>
        <v>7.4884189954116778</v>
      </c>
      <c r="F671" s="23">
        <f t="shared" si="38"/>
        <v>-7.4884189954116778</v>
      </c>
    </row>
    <row r="672" spans="1:6" x14ac:dyDescent="0.3">
      <c r="A672" s="2">
        <v>43167</v>
      </c>
      <c r="B672" s="1">
        <v>44.234999999999999</v>
      </c>
      <c r="C672" s="1">
        <v>1551.86</v>
      </c>
      <c r="D672" s="22">
        <f t="shared" si="36"/>
        <v>430.37632805319487</v>
      </c>
      <c r="E672" s="23">
        <f t="shared" si="37"/>
        <v>2.1122215164908198</v>
      </c>
      <c r="F672" s="23">
        <f t="shared" si="38"/>
        <v>-2.1122215164908198</v>
      </c>
    </row>
    <row r="673" spans="1:6" x14ac:dyDescent="0.3">
      <c r="A673" s="2">
        <v>43166</v>
      </c>
      <c r="B673" s="1">
        <v>43.7575</v>
      </c>
      <c r="C673" s="1">
        <v>1545</v>
      </c>
      <c r="D673" s="22">
        <f t="shared" si="36"/>
        <v>428.26410653670405</v>
      </c>
      <c r="E673" s="23">
        <f t="shared" si="37"/>
        <v>1.5800957592061877</v>
      </c>
      <c r="F673" s="23">
        <f t="shared" si="38"/>
        <v>-1.5800957592061877</v>
      </c>
    </row>
    <row r="674" spans="1:6" x14ac:dyDescent="0.3">
      <c r="A674" s="2">
        <v>43165</v>
      </c>
      <c r="B674" s="1">
        <v>44.167499999999997</v>
      </c>
      <c r="C674" s="1">
        <v>1537.64</v>
      </c>
      <c r="D674" s="22">
        <f t="shared" si="36"/>
        <v>426.68401077749786</v>
      </c>
      <c r="E674" s="23">
        <f t="shared" si="37"/>
        <v>3.5655466013686237</v>
      </c>
      <c r="F674" s="23">
        <f t="shared" si="38"/>
        <v>-3.5655466013686237</v>
      </c>
    </row>
    <row r="675" spans="1:6" x14ac:dyDescent="0.3">
      <c r="A675" s="2">
        <v>43164</v>
      </c>
      <c r="B675" s="1">
        <v>44.204999999999998</v>
      </c>
      <c r="C675" s="1">
        <v>1523.61</v>
      </c>
      <c r="D675" s="22">
        <f t="shared" si="36"/>
        <v>423.11846417612924</v>
      </c>
      <c r="E675" s="23">
        <f t="shared" si="37"/>
        <v>6.0965344056343156</v>
      </c>
      <c r="F675" s="23">
        <f t="shared" si="38"/>
        <v>-6.0965344056343156</v>
      </c>
    </row>
    <row r="676" spans="1:6" x14ac:dyDescent="0.3">
      <c r="A676" s="2">
        <v>43161</v>
      </c>
      <c r="B676" s="1">
        <v>44.052500000000002</v>
      </c>
      <c r="C676" s="1">
        <v>1500.25</v>
      </c>
      <c r="D676" s="22">
        <f t="shared" si="36"/>
        <v>417.02192977049492</v>
      </c>
      <c r="E676" s="23">
        <f t="shared" si="37"/>
        <v>1.9666759582294731</v>
      </c>
      <c r="F676" s="23">
        <f t="shared" si="38"/>
        <v>-1.9666759582294731</v>
      </c>
    </row>
    <row r="677" spans="1:6" x14ac:dyDescent="0.3">
      <c r="A677" s="2">
        <v>43160</v>
      </c>
      <c r="B677" s="1">
        <v>43.75</v>
      </c>
      <c r="C677" s="1">
        <v>1493.45</v>
      </c>
      <c r="D677" s="22">
        <f t="shared" si="36"/>
        <v>415.05525381226545</v>
      </c>
      <c r="E677" s="23">
        <f t="shared" si="37"/>
        <v>-5.4466080737114453</v>
      </c>
      <c r="F677" s="23">
        <f t="shared" si="38"/>
        <v>5.4466080737114453</v>
      </c>
    </row>
    <row r="678" spans="1:6" x14ac:dyDescent="0.3">
      <c r="A678" s="2">
        <v>43159</v>
      </c>
      <c r="B678" s="1">
        <v>44.53</v>
      </c>
      <c r="C678" s="1">
        <v>1512.45</v>
      </c>
      <c r="D678" s="22">
        <f t="shared" si="36"/>
        <v>420.50186188597689</v>
      </c>
      <c r="E678" s="23">
        <f t="shared" si="37"/>
        <v>7.0167499430283442E-2</v>
      </c>
      <c r="F678" s="23">
        <f t="shared" si="38"/>
        <v>-7.0167499430283442E-2</v>
      </c>
    </row>
    <row r="679" spans="1:6" x14ac:dyDescent="0.3">
      <c r="A679" s="2">
        <v>43158</v>
      </c>
      <c r="B679" s="1">
        <v>44.597499999999997</v>
      </c>
      <c r="C679" s="1">
        <v>1511.98</v>
      </c>
      <c r="D679" s="22">
        <f t="shared" si="36"/>
        <v>420.43169438654661</v>
      </c>
      <c r="E679" s="23">
        <f t="shared" si="37"/>
        <v>-2.6614338267955304</v>
      </c>
      <c r="F679" s="23">
        <f t="shared" si="38"/>
        <v>2.6614338267955304</v>
      </c>
    </row>
    <row r="680" spans="1:6" x14ac:dyDescent="0.3">
      <c r="A680" s="2">
        <v>43157</v>
      </c>
      <c r="B680" s="1">
        <v>44.7425</v>
      </c>
      <c r="C680" s="1">
        <v>1521.95</v>
      </c>
      <c r="D680" s="22">
        <f t="shared" si="36"/>
        <v>423.09312821334214</v>
      </c>
      <c r="E680" s="23">
        <f t="shared" si="37"/>
        <v>6.267267547421568</v>
      </c>
      <c r="F680" s="23">
        <f t="shared" si="38"/>
        <v>-6.267267547421568</v>
      </c>
    </row>
    <row r="681" spans="1:6" x14ac:dyDescent="0.3">
      <c r="A681" s="2">
        <v>43154</v>
      </c>
      <c r="B681" s="1">
        <v>43.875</v>
      </c>
      <c r="C681" s="1">
        <v>1500</v>
      </c>
      <c r="D681" s="22">
        <f t="shared" si="36"/>
        <v>416.82586066592057</v>
      </c>
      <c r="E681" s="23">
        <f t="shared" si="37"/>
        <v>4.3127068224657705</v>
      </c>
      <c r="F681" s="23">
        <f t="shared" si="38"/>
        <v>-4.3127068224657705</v>
      </c>
    </row>
    <row r="682" spans="1:6" x14ac:dyDescent="0.3">
      <c r="A682" s="2">
        <v>43153</v>
      </c>
      <c r="B682" s="1">
        <v>43.125</v>
      </c>
      <c r="C682" s="1">
        <v>1485.34</v>
      </c>
      <c r="D682" s="22">
        <f t="shared" si="36"/>
        <v>412.5131538434548</v>
      </c>
      <c r="E682" s="23">
        <f t="shared" si="37"/>
        <v>0.88575900944181285</v>
      </c>
      <c r="F682" s="23">
        <f t="shared" si="38"/>
        <v>-0.88575900944181285</v>
      </c>
    </row>
    <row r="683" spans="1:6" x14ac:dyDescent="0.3">
      <c r="A683" s="2">
        <v>43152</v>
      </c>
      <c r="B683" s="1">
        <v>42.767499999999998</v>
      </c>
      <c r="C683" s="1">
        <v>1482.92</v>
      </c>
      <c r="D683" s="22">
        <f t="shared" si="36"/>
        <v>411.62739483401299</v>
      </c>
      <c r="E683" s="23">
        <f t="shared" si="37"/>
        <v>3.5866941936525905</v>
      </c>
      <c r="F683" s="23">
        <f t="shared" si="38"/>
        <v>-3.5866941936525905</v>
      </c>
    </row>
    <row r="684" spans="1:6" x14ac:dyDescent="0.3">
      <c r="A684" s="2">
        <v>43151</v>
      </c>
      <c r="B684" s="1">
        <v>42.962499999999999</v>
      </c>
      <c r="C684" s="1">
        <v>1468.35</v>
      </c>
      <c r="D684" s="22">
        <f t="shared" si="36"/>
        <v>408.0407006403604</v>
      </c>
      <c r="E684" s="23">
        <f t="shared" si="37"/>
        <v>4.9275671185430951</v>
      </c>
      <c r="F684" s="23">
        <f t="shared" si="38"/>
        <v>-4.9275671185430951</v>
      </c>
    </row>
    <row r="685" spans="1:6" x14ac:dyDescent="0.3">
      <c r="A685" s="2">
        <v>43150</v>
      </c>
      <c r="B685" s="1">
        <v>43.107500000000002</v>
      </c>
      <c r="C685" s="1">
        <v>1448.69</v>
      </c>
      <c r="D685" s="22">
        <f t="shared" si="36"/>
        <v>403.1131335218173</v>
      </c>
      <c r="E685" s="23">
        <f t="shared" si="37"/>
        <v>0</v>
      </c>
      <c r="F685" s="23">
        <f t="shared" si="38"/>
        <v>0</v>
      </c>
    </row>
    <row r="686" spans="1:6" x14ac:dyDescent="0.3">
      <c r="A686" s="2">
        <v>43147</v>
      </c>
      <c r="B686" s="1">
        <v>43.107500000000002</v>
      </c>
      <c r="C686" s="1">
        <v>1448.69</v>
      </c>
      <c r="D686" s="22">
        <f t="shared" si="36"/>
        <v>403.1131335218173</v>
      </c>
      <c r="E686" s="23">
        <f t="shared" si="37"/>
        <v>-3.4517037537370356</v>
      </c>
      <c r="F686" s="23">
        <f t="shared" si="38"/>
        <v>3.4517037537370356</v>
      </c>
    </row>
    <row r="687" spans="1:6" x14ac:dyDescent="0.3">
      <c r="A687" s="2">
        <v>43146</v>
      </c>
      <c r="B687" s="1">
        <v>43.247500000000002</v>
      </c>
      <c r="C687" s="1">
        <v>1461.76</v>
      </c>
      <c r="D687" s="22">
        <f t="shared" si="36"/>
        <v>406.56483727555434</v>
      </c>
      <c r="E687" s="23">
        <f t="shared" si="37"/>
        <v>3.7882485250210607</v>
      </c>
      <c r="F687" s="23">
        <f t="shared" si="38"/>
        <v>-3.7882485250210607</v>
      </c>
    </row>
    <row r="688" spans="1:6" x14ac:dyDescent="0.3">
      <c r="A688" s="2">
        <v>43145</v>
      </c>
      <c r="B688" s="1">
        <v>41.842500000000001</v>
      </c>
      <c r="C688" s="1">
        <v>1451.05</v>
      </c>
      <c r="D688" s="22">
        <f t="shared" si="36"/>
        <v>402.77658875053328</v>
      </c>
      <c r="E688" s="23">
        <f t="shared" si="37"/>
        <v>9.922313578352373</v>
      </c>
      <c r="F688" s="23">
        <f t="shared" si="38"/>
        <v>-9.922313578352373</v>
      </c>
    </row>
    <row r="689" spans="1:6" x14ac:dyDescent="0.3">
      <c r="A689" s="2">
        <v>43144</v>
      </c>
      <c r="B689" s="1">
        <v>41.085000000000001</v>
      </c>
      <c r="C689" s="1">
        <v>1414.51</v>
      </c>
      <c r="D689" s="22">
        <f t="shared" si="36"/>
        <v>392.85427517218091</v>
      </c>
      <c r="E689" s="23">
        <f t="shared" si="37"/>
        <v>7.5463602378991368</v>
      </c>
      <c r="F689" s="23">
        <f t="shared" si="38"/>
        <v>-7.5463602378991368</v>
      </c>
    </row>
    <row r="690" spans="1:6" x14ac:dyDescent="0.3">
      <c r="A690" s="2">
        <v>43143</v>
      </c>
      <c r="B690" s="1">
        <v>40.677500000000002</v>
      </c>
      <c r="C690" s="1">
        <v>1386.23</v>
      </c>
      <c r="D690" s="22">
        <f t="shared" si="36"/>
        <v>385.30791493428177</v>
      </c>
      <c r="E690" s="23">
        <f t="shared" si="37"/>
        <v>13.114738022012546</v>
      </c>
      <c r="F690" s="23">
        <f t="shared" si="38"/>
        <v>-13.114738022012546</v>
      </c>
    </row>
    <row r="691" spans="1:6" x14ac:dyDescent="0.3">
      <c r="A691" s="2">
        <v>43140</v>
      </c>
      <c r="B691" s="1">
        <v>39.102499999999999</v>
      </c>
      <c r="C691" s="1">
        <v>1339.6</v>
      </c>
      <c r="D691" s="22">
        <f t="shared" si="36"/>
        <v>372.19317691226922</v>
      </c>
      <c r="E691" s="23">
        <f t="shared" si="37"/>
        <v>-2.5574483834618036</v>
      </c>
      <c r="F691" s="23">
        <f t="shared" si="38"/>
        <v>2.5574483834618036</v>
      </c>
    </row>
    <row r="692" spans="1:6" x14ac:dyDescent="0.3">
      <c r="A692" s="2">
        <v>43139</v>
      </c>
      <c r="B692" s="1">
        <v>38.787500000000001</v>
      </c>
      <c r="C692" s="1">
        <v>1350.5</v>
      </c>
      <c r="D692" s="22">
        <f t="shared" si="36"/>
        <v>374.75062529573103</v>
      </c>
      <c r="E692" s="23">
        <f t="shared" si="37"/>
        <v>-17.792405640213815</v>
      </c>
      <c r="F692" s="23">
        <f t="shared" si="38"/>
        <v>17.792405640213815</v>
      </c>
    </row>
    <row r="693" spans="1:6" x14ac:dyDescent="0.3">
      <c r="A693" s="2">
        <v>43138</v>
      </c>
      <c r="B693" s="1">
        <v>39.884999999999998</v>
      </c>
      <c r="C693" s="1">
        <v>1416.78</v>
      </c>
      <c r="D693" s="22">
        <f t="shared" si="36"/>
        <v>392.54303093594484</v>
      </c>
      <c r="E693" s="23">
        <f t="shared" si="37"/>
        <v>-7.3236630546984998</v>
      </c>
      <c r="F693" s="23">
        <f t="shared" si="38"/>
        <v>7.3236630546984998</v>
      </c>
    </row>
    <row r="694" spans="1:6" x14ac:dyDescent="0.3">
      <c r="A694" s="2">
        <v>43137</v>
      </c>
      <c r="B694" s="1">
        <v>40.7575</v>
      </c>
      <c r="C694" s="1">
        <v>1442.84</v>
      </c>
      <c r="D694" s="22">
        <f t="shared" si="36"/>
        <v>399.86669399064334</v>
      </c>
      <c r="E694" s="23">
        <f t="shared" si="37"/>
        <v>14.749910341075406</v>
      </c>
      <c r="F694" s="23">
        <f t="shared" si="38"/>
        <v>-14.749910341075406</v>
      </c>
    </row>
    <row r="695" spans="1:6" x14ac:dyDescent="0.3">
      <c r="A695" s="2">
        <v>43136</v>
      </c>
      <c r="B695" s="1">
        <v>39.122500000000002</v>
      </c>
      <c r="C695" s="1">
        <v>1390</v>
      </c>
      <c r="D695" s="22">
        <f t="shared" si="36"/>
        <v>385.11678364956794</v>
      </c>
      <c r="E695" s="23">
        <f t="shared" si="37"/>
        <v>-10.977951040113965</v>
      </c>
      <c r="F695" s="23">
        <f t="shared" si="38"/>
        <v>10.977951040113965</v>
      </c>
    </row>
    <row r="696" spans="1:6" x14ac:dyDescent="0.3">
      <c r="A696" s="2">
        <v>43133</v>
      </c>
      <c r="B696" s="1">
        <v>40.125</v>
      </c>
      <c r="C696" s="1">
        <v>1429.95</v>
      </c>
      <c r="D696" s="22">
        <f t="shared" si="36"/>
        <v>396.0947346896819</v>
      </c>
      <c r="E696" s="23">
        <f t="shared" si="37"/>
        <v>8.8783654906106904</v>
      </c>
      <c r="F696" s="23">
        <f t="shared" si="38"/>
        <v>-8.8783654906106904</v>
      </c>
    </row>
    <row r="697" spans="1:6" x14ac:dyDescent="0.3">
      <c r="A697" s="2">
        <v>43132</v>
      </c>
      <c r="B697" s="1">
        <v>41.945</v>
      </c>
      <c r="C697" s="1">
        <v>1390</v>
      </c>
      <c r="D697" s="22">
        <f t="shared" si="36"/>
        <v>387.21636919907121</v>
      </c>
      <c r="E697" s="23">
        <f t="shared" si="37"/>
        <v>-15.530397574903361</v>
      </c>
      <c r="F697" s="23">
        <f t="shared" si="38"/>
        <v>15.530397574903361</v>
      </c>
    </row>
    <row r="698" spans="1:6" x14ac:dyDescent="0.3">
      <c r="A698" s="2">
        <v>43131</v>
      </c>
      <c r="B698" s="1">
        <v>41.857500000000002</v>
      </c>
      <c r="C698" s="1">
        <v>1450.89</v>
      </c>
      <c r="D698" s="22">
        <f t="shared" si="36"/>
        <v>402.74676677397457</v>
      </c>
      <c r="E698" s="23">
        <f t="shared" si="37"/>
        <v>3.4331068932454514</v>
      </c>
      <c r="F698" s="23">
        <f t="shared" si="38"/>
        <v>-3.4331068932454514</v>
      </c>
    </row>
    <row r="699" spans="1:6" x14ac:dyDescent="0.3">
      <c r="A699" s="2">
        <v>43130</v>
      </c>
      <c r="B699" s="1">
        <v>41.7425</v>
      </c>
      <c r="C699" s="1">
        <v>1437.82</v>
      </c>
      <c r="D699" s="22">
        <f t="shared" si="36"/>
        <v>399.31365988072912</v>
      </c>
      <c r="E699" s="23">
        <f t="shared" si="37"/>
        <v>4.974260269088461</v>
      </c>
      <c r="F699" s="23">
        <f t="shared" si="38"/>
        <v>-4.974260269088461</v>
      </c>
    </row>
    <row r="700" spans="1:6" x14ac:dyDescent="0.3">
      <c r="A700" s="2">
        <v>43129</v>
      </c>
      <c r="B700" s="1">
        <v>41.99</v>
      </c>
      <c r="C700" s="1">
        <v>1417.68</v>
      </c>
      <c r="D700" s="22">
        <f t="shared" si="36"/>
        <v>394.33939961164066</v>
      </c>
      <c r="E700" s="23">
        <f t="shared" si="37"/>
        <v>3.3430542731903756</v>
      </c>
      <c r="F700" s="23">
        <f t="shared" si="38"/>
        <v>-3.3430542731903756</v>
      </c>
    </row>
    <row r="701" spans="1:6" x14ac:dyDescent="0.3">
      <c r="A701" s="2">
        <v>43126</v>
      </c>
      <c r="B701" s="1">
        <v>42.877499999999998</v>
      </c>
      <c r="C701" s="1">
        <v>1402.05</v>
      </c>
      <c r="D701" s="22">
        <f t="shared" si="36"/>
        <v>390.99634533845028</v>
      </c>
      <c r="E701" s="23">
        <f t="shared" si="37"/>
        <v>6.2470139280502508</v>
      </c>
      <c r="F701" s="23">
        <f t="shared" si="38"/>
        <v>-6.2470139280502508</v>
      </c>
    </row>
    <row r="702" spans="1:6" x14ac:dyDescent="0.3">
      <c r="A702" s="2">
        <v>43125</v>
      </c>
      <c r="B702" s="1">
        <v>42.777500000000003</v>
      </c>
      <c r="C702" s="1">
        <v>1377.95</v>
      </c>
      <c r="D702" s="22">
        <f t="shared" si="36"/>
        <v>384.74933141040003</v>
      </c>
      <c r="E702" s="23">
        <f t="shared" si="37"/>
        <v>4.6568445007668515</v>
      </c>
      <c r="F702" s="23">
        <f t="shared" si="38"/>
        <v>-4.6568445007668515</v>
      </c>
    </row>
    <row r="703" spans="1:6" x14ac:dyDescent="0.3">
      <c r="A703" s="2">
        <v>43124</v>
      </c>
      <c r="B703" s="1">
        <v>43.555</v>
      </c>
      <c r="C703" s="1">
        <v>1357.51</v>
      </c>
      <c r="D703" s="22">
        <f t="shared" si="36"/>
        <v>380.09248690963318</v>
      </c>
      <c r="E703" s="23">
        <f t="shared" si="37"/>
        <v>-1.8127431349507219</v>
      </c>
      <c r="F703" s="23">
        <f t="shared" si="38"/>
        <v>1.8127431349507219</v>
      </c>
    </row>
    <row r="704" spans="1:6" x14ac:dyDescent="0.3">
      <c r="A704" s="2">
        <v>43123</v>
      </c>
      <c r="B704" s="1">
        <v>44.26</v>
      </c>
      <c r="C704" s="1">
        <v>1362.54</v>
      </c>
      <c r="D704" s="22">
        <f t="shared" si="36"/>
        <v>381.9052300445839</v>
      </c>
      <c r="E704" s="23">
        <f t="shared" si="37"/>
        <v>9.030742939413642</v>
      </c>
      <c r="F704" s="23">
        <f t="shared" si="38"/>
        <v>-9.030742939413642</v>
      </c>
    </row>
    <row r="705" spans="1:6" x14ac:dyDescent="0.3">
      <c r="A705" s="2">
        <v>43122</v>
      </c>
      <c r="B705" s="1">
        <v>44.25</v>
      </c>
      <c r="C705" s="1">
        <v>1327.31</v>
      </c>
      <c r="D705" s="22">
        <f t="shared" si="36"/>
        <v>372.87448710517026</v>
      </c>
      <c r="E705" s="23">
        <f t="shared" si="37"/>
        <v>8.1114760812009195</v>
      </c>
      <c r="F705" s="23">
        <f t="shared" si="38"/>
        <v>-8.1114760812009195</v>
      </c>
    </row>
    <row r="706" spans="1:6" x14ac:dyDescent="0.3">
      <c r="A706" s="2">
        <v>43119</v>
      </c>
      <c r="B706" s="1">
        <v>44.615000000000002</v>
      </c>
      <c r="C706" s="1">
        <v>1294.58</v>
      </c>
      <c r="D706" s="22">
        <f t="shared" si="36"/>
        <v>364.76301102396934</v>
      </c>
      <c r="E706" s="23">
        <f t="shared" si="37"/>
        <v>0.17394334728970762</v>
      </c>
      <c r="F706" s="23">
        <f t="shared" si="38"/>
        <v>-0.17394334728970762</v>
      </c>
    </row>
    <row r="707" spans="1:6" x14ac:dyDescent="0.3">
      <c r="A707" s="2">
        <v>43118</v>
      </c>
      <c r="B707" s="1">
        <v>44.814999999999998</v>
      </c>
      <c r="C707" s="1">
        <v>1293.32</v>
      </c>
      <c r="D707" s="22">
        <f t="shared" si="36"/>
        <v>364.58906767667963</v>
      </c>
      <c r="E707" s="23">
        <f t="shared" si="37"/>
        <v>-0.40053599817696295</v>
      </c>
      <c r="F707" s="23">
        <f t="shared" si="38"/>
        <v>0.40053599817696295</v>
      </c>
    </row>
    <row r="708" spans="1:6" x14ac:dyDescent="0.3">
      <c r="A708" s="2">
        <v>43117</v>
      </c>
      <c r="B708" s="1">
        <v>44.774999999999999</v>
      </c>
      <c r="C708" s="1">
        <v>1295</v>
      </c>
      <c r="D708" s="22">
        <f t="shared" si="36"/>
        <v>364.9896036748566</v>
      </c>
      <c r="E708" s="23">
        <f t="shared" si="37"/>
        <v>-1.9842295818012303</v>
      </c>
      <c r="F708" s="23">
        <f t="shared" si="38"/>
        <v>1.9842295818012303</v>
      </c>
    </row>
    <row r="709" spans="1:6" x14ac:dyDescent="0.3">
      <c r="A709" s="2">
        <v>43116</v>
      </c>
      <c r="B709" s="1">
        <v>44.047499999999999</v>
      </c>
      <c r="C709" s="1">
        <v>1304.8599999999999</v>
      </c>
      <c r="D709" s="22">
        <f t="shared" si="36"/>
        <v>366.97383325665783</v>
      </c>
      <c r="E709" s="23">
        <f t="shared" si="37"/>
        <v>-0.25445444173863052</v>
      </c>
      <c r="F709" s="23">
        <f t="shared" si="38"/>
        <v>0.25445444173863052</v>
      </c>
    </row>
    <row r="710" spans="1:6" x14ac:dyDescent="0.3">
      <c r="A710" s="2">
        <v>43115</v>
      </c>
      <c r="B710" s="1">
        <v>44.272500000000001</v>
      </c>
      <c r="C710" s="1">
        <v>1305.2</v>
      </c>
      <c r="D710" s="22">
        <f t="shared" ref="D710:D773" si="39">$M$16*B710+(1-$M$16)*C710</f>
        <v>367.22828769839646</v>
      </c>
      <c r="E710" s="23">
        <f t="shared" ref="E710:E773" si="40">D710-D711</f>
        <v>0</v>
      </c>
      <c r="F710" s="23">
        <f t="shared" ref="F710:F773" si="41">-E710</f>
        <v>0</v>
      </c>
    </row>
    <row r="711" spans="1:6" x14ac:dyDescent="0.3">
      <c r="A711" s="2">
        <v>43112</v>
      </c>
      <c r="B711" s="1">
        <v>44.272500000000001</v>
      </c>
      <c r="C711" s="1">
        <v>1305.2</v>
      </c>
      <c r="D711" s="22">
        <f t="shared" si="39"/>
        <v>367.22828769839646</v>
      </c>
      <c r="E711" s="23">
        <f t="shared" si="40"/>
        <v>7.6413047260645044</v>
      </c>
      <c r="F711" s="23">
        <f t="shared" si="41"/>
        <v>-7.6413047260645044</v>
      </c>
    </row>
    <row r="712" spans="1:6" x14ac:dyDescent="0.3">
      <c r="A712" s="2">
        <v>43111</v>
      </c>
      <c r="B712" s="1">
        <v>43.82</v>
      </c>
      <c r="C712" s="1">
        <v>1276.68</v>
      </c>
      <c r="D712" s="22">
        <f t="shared" si="39"/>
        <v>359.58698297233195</v>
      </c>
      <c r="E712" s="23">
        <f t="shared" si="40"/>
        <v>5.9085156393638272</v>
      </c>
      <c r="F712" s="23">
        <f t="shared" si="41"/>
        <v>-5.9085156393638272</v>
      </c>
    </row>
    <row r="713" spans="1:6" x14ac:dyDescent="0.3">
      <c r="A713" s="2">
        <v>43110</v>
      </c>
      <c r="B713" s="1">
        <v>43.572499999999998</v>
      </c>
      <c r="C713" s="1">
        <v>1254.33</v>
      </c>
      <c r="D713" s="22">
        <f t="shared" si="39"/>
        <v>353.67846733296813</v>
      </c>
      <c r="E713" s="23">
        <f t="shared" si="40"/>
        <v>0.41004595175002123</v>
      </c>
      <c r="F713" s="23">
        <f t="shared" si="41"/>
        <v>-0.41004595175002123</v>
      </c>
    </row>
    <row r="714" spans="1:6" x14ac:dyDescent="0.3">
      <c r="A714" s="2">
        <v>43109</v>
      </c>
      <c r="B714" s="1">
        <v>43.582500000000003</v>
      </c>
      <c r="C714" s="1">
        <v>1252.7</v>
      </c>
      <c r="D714" s="22">
        <f t="shared" si="39"/>
        <v>353.2684213812181</v>
      </c>
      <c r="E714" s="23">
        <f t="shared" si="40"/>
        <v>1.4894927612572246</v>
      </c>
      <c r="F714" s="23">
        <f t="shared" si="41"/>
        <v>-1.4894927612572246</v>
      </c>
    </row>
    <row r="715" spans="1:6" x14ac:dyDescent="0.3">
      <c r="A715" s="2">
        <v>43108</v>
      </c>
      <c r="B715" s="1">
        <v>43.587499999999999</v>
      </c>
      <c r="C715" s="1">
        <v>1246.8699999999999</v>
      </c>
      <c r="D715" s="22">
        <f t="shared" si="39"/>
        <v>351.77892861996088</v>
      </c>
      <c r="E715" s="23">
        <f t="shared" si="40"/>
        <v>4.4202269461515584</v>
      </c>
      <c r="F715" s="23">
        <f t="shared" si="41"/>
        <v>-4.4202269461515584</v>
      </c>
    </row>
    <row r="716" spans="1:6" x14ac:dyDescent="0.3">
      <c r="A716" s="2">
        <v>43105</v>
      </c>
      <c r="B716" s="1">
        <v>43.75</v>
      </c>
      <c r="C716" s="1">
        <v>1229.1400000000001</v>
      </c>
      <c r="D716" s="22">
        <f t="shared" si="39"/>
        <v>347.35870167380932</v>
      </c>
      <c r="E716" s="23">
        <f t="shared" si="40"/>
        <v>5.3736132472423606</v>
      </c>
      <c r="F716" s="23">
        <f t="shared" si="41"/>
        <v>-5.3736132472423606</v>
      </c>
    </row>
    <row r="717" spans="1:6" x14ac:dyDescent="0.3">
      <c r="A717" s="2">
        <v>43104</v>
      </c>
      <c r="B717" s="1">
        <v>43.2575</v>
      </c>
      <c r="C717" s="1">
        <v>1209.5899999999999</v>
      </c>
      <c r="D717" s="22">
        <f t="shared" si="39"/>
        <v>341.98508842656696</v>
      </c>
      <c r="E717" s="23">
        <f t="shared" si="40"/>
        <v>1.5292917619408968</v>
      </c>
      <c r="F717" s="23">
        <f t="shared" si="41"/>
        <v>-1.5292917619408968</v>
      </c>
    </row>
    <row r="718" spans="1:6" x14ac:dyDescent="0.3">
      <c r="A718" s="2">
        <v>43103</v>
      </c>
      <c r="B718" s="1">
        <v>43.057499999999997</v>
      </c>
      <c r="C718" s="1">
        <v>1204.2</v>
      </c>
      <c r="D718" s="22">
        <f t="shared" si="39"/>
        <v>340.45579666462606</v>
      </c>
      <c r="E718" s="23">
        <f t="shared" si="40"/>
        <v>3.8849685071476188</v>
      </c>
      <c r="F718" s="23">
        <f t="shared" si="41"/>
        <v>-3.8849685071476188</v>
      </c>
    </row>
    <row r="719" spans="1:6" x14ac:dyDescent="0.3">
      <c r="A719" s="2">
        <v>43102</v>
      </c>
      <c r="B719" s="1">
        <v>43.064999999999998</v>
      </c>
      <c r="C719" s="1">
        <v>1189.01</v>
      </c>
      <c r="D719" s="22">
        <f t="shared" si="39"/>
        <v>336.57082815747845</v>
      </c>
      <c r="E719" s="23">
        <f t="shared" si="40"/>
        <v>5.5681787126501376</v>
      </c>
      <c r="F719" s="23">
        <f t="shared" si="41"/>
        <v>-5.5681787126501376</v>
      </c>
    </row>
    <row r="720" spans="1:6" x14ac:dyDescent="0.3">
      <c r="A720" s="2">
        <v>43101</v>
      </c>
      <c r="B720" s="1">
        <v>42.307499999999997</v>
      </c>
      <c r="C720" s="1">
        <v>1169.47</v>
      </c>
      <c r="D720" s="22">
        <f t="shared" si="39"/>
        <v>331.00264944482831</v>
      </c>
      <c r="E720" s="23">
        <f t="shared" si="40"/>
        <v>0</v>
      </c>
      <c r="F720" s="23">
        <f t="shared" si="41"/>
        <v>0</v>
      </c>
    </row>
    <row r="721" spans="1:6" x14ac:dyDescent="0.3">
      <c r="A721" s="2">
        <v>43098</v>
      </c>
      <c r="B721" s="1">
        <v>42.307499999999997</v>
      </c>
      <c r="C721" s="1">
        <v>1169.47</v>
      </c>
      <c r="D721" s="22">
        <f t="shared" si="39"/>
        <v>331.00264944482831</v>
      </c>
      <c r="E721" s="23">
        <f t="shared" si="40"/>
        <v>-4.6034103200729533</v>
      </c>
      <c r="F721" s="23">
        <f t="shared" si="41"/>
        <v>4.6034103200729533</v>
      </c>
    </row>
    <row r="722" spans="1:6" x14ac:dyDescent="0.3">
      <c r="A722" s="2">
        <v>43097</v>
      </c>
      <c r="B722" s="1">
        <v>42.77</v>
      </c>
      <c r="C722" s="1">
        <v>1186.0999999999999</v>
      </c>
      <c r="D722" s="22">
        <f t="shared" si="39"/>
        <v>335.60605976490126</v>
      </c>
      <c r="E722" s="23">
        <f t="shared" si="40"/>
        <v>1.0727871588476887</v>
      </c>
      <c r="F722" s="23">
        <f t="shared" si="41"/>
        <v>-1.0727871588476887</v>
      </c>
    </row>
    <row r="723" spans="1:6" x14ac:dyDescent="0.3">
      <c r="A723" s="2">
        <v>43096</v>
      </c>
      <c r="B723" s="1">
        <v>42.65</v>
      </c>
      <c r="C723" s="1">
        <v>1182.26</v>
      </c>
      <c r="D723" s="22">
        <f t="shared" si="39"/>
        <v>334.53327260605357</v>
      </c>
      <c r="E723" s="23">
        <f t="shared" si="40"/>
        <v>1.4142697499923429</v>
      </c>
      <c r="F723" s="23">
        <f t="shared" si="41"/>
        <v>-1.4142697499923429</v>
      </c>
    </row>
    <row r="724" spans="1:6" x14ac:dyDescent="0.3">
      <c r="A724" s="2">
        <v>43095</v>
      </c>
      <c r="B724" s="1">
        <v>42.642499999999998</v>
      </c>
      <c r="C724" s="1">
        <v>1176.76</v>
      </c>
      <c r="D724" s="22">
        <f t="shared" si="39"/>
        <v>333.11900285606123</v>
      </c>
      <c r="E724" s="23">
        <f t="shared" si="40"/>
        <v>1.3257542689899537</v>
      </c>
      <c r="F724" s="23">
        <f t="shared" si="41"/>
        <v>-1.3257542689899537</v>
      </c>
    </row>
    <row r="725" spans="1:6" x14ac:dyDescent="0.3">
      <c r="A725" s="2">
        <v>43094</v>
      </c>
      <c r="B725" s="1">
        <v>43.752499999999998</v>
      </c>
      <c r="C725" s="1">
        <v>1168.3599999999999</v>
      </c>
      <c r="D725" s="22">
        <f t="shared" si="39"/>
        <v>331.79324858707128</v>
      </c>
      <c r="E725" s="23">
        <f t="shared" si="40"/>
        <v>0</v>
      </c>
      <c r="F725" s="23">
        <f t="shared" si="41"/>
        <v>0</v>
      </c>
    </row>
    <row r="726" spans="1:6" x14ac:dyDescent="0.3">
      <c r="A726" s="2">
        <v>43091</v>
      </c>
      <c r="B726" s="1">
        <v>43.752499999999998</v>
      </c>
      <c r="C726" s="1">
        <v>1168.3599999999999</v>
      </c>
      <c r="D726" s="22">
        <f t="shared" si="39"/>
        <v>331.79324858707128</v>
      </c>
      <c r="E726" s="23">
        <f t="shared" si="40"/>
        <v>-1.6392037141467881</v>
      </c>
      <c r="F726" s="23">
        <f t="shared" si="41"/>
        <v>1.6392037141467881</v>
      </c>
    </row>
    <row r="727" spans="1:6" x14ac:dyDescent="0.3">
      <c r="A727" s="2">
        <v>43090</v>
      </c>
      <c r="B727" s="1">
        <v>43.752499999999998</v>
      </c>
      <c r="C727" s="1">
        <v>1174.76</v>
      </c>
      <c r="D727" s="22">
        <f t="shared" si="39"/>
        <v>333.43245230121806</v>
      </c>
      <c r="E727" s="23">
        <f t="shared" si="40"/>
        <v>-0.60977988051462262</v>
      </c>
      <c r="F727" s="23">
        <f t="shared" si="41"/>
        <v>0.60977988051462262</v>
      </c>
    </row>
    <row r="728" spans="1:6" x14ac:dyDescent="0.3">
      <c r="A728" s="2">
        <v>43089</v>
      </c>
      <c r="B728" s="1">
        <v>43.587499999999999</v>
      </c>
      <c r="C728" s="1">
        <v>1177.6199999999999</v>
      </c>
      <c r="D728" s="22">
        <f t="shared" si="39"/>
        <v>334.04223218173269</v>
      </c>
      <c r="E728" s="23">
        <f t="shared" si="40"/>
        <v>-2.5351196990079075</v>
      </c>
      <c r="F728" s="23">
        <f t="shared" si="41"/>
        <v>2.5351196990079075</v>
      </c>
    </row>
    <row r="729" spans="1:6" x14ac:dyDescent="0.3">
      <c r="A729" s="2">
        <v>43088</v>
      </c>
      <c r="B729" s="1">
        <v>43.634999999999998</v>
      </c>
      <c r="C729" s="1">
        <v>1187.3800000000001</v>
      </c>
      <c r="D729" s="22">
        <f t="shared" si="39"/>
        <v>336.57735188074059</v>
      </c>
      <c r="E729" s="23">
        <f t="shared" si="40"/>
        <v>-1.169222834315633</v>
      </c>
      <c r="F729" s="23">
        <f t="shared" si="41"/>
        <v>1.169222834315633</v>
      </c>
    </row>
    <row r="730" spans="1:6" x14ac:dyDescent="0.3">
      <c r="A730" s="2">
        <v>43087</v>
      </c>
      <c r="B730" s="1">
        <v>44.104999999999997</v>
      </c>
      <c r="C730" s="1">
        <v>1190.58</v>
      </c>
      <c r="D730" s="22">
        <f t="shared" si="39"/>
        <v>337.74657471505623</v>
      </c>
      <c r="E730" s="23">
        <f t="shared" si="40"/>
        <v>3.3856997210817781</v>
      </c>
      <c r="F730" s="23">
        <f t="shared" si="41"/>
        <v>-3.3856997210817781</v>
      </c>
    </row>
    <row r="731" spans="1:6" x14ac:dyDescent="0.3">
      <c r="A731" s="2">
        <v>43084</v>
      </c>
      <c r="B731" s="1">
        <v>43.4925</v>
      </c>
      <c r="C731" s="1">
        <v>1179.1400000000001</v>
      </c>
      <c r="D731" s="22">
        <f t="shared" si="39"/>
        <v>334.36087499397445</v>
      </c>
      <c r="E731" s="23">
        <f t="shared" si="40"/>
        <v>1.5753378906401849</v>
      </c>
      <c r="F731" s="23">
        <f t="shared" si="41"/>
        <v>-1.5753378906401849</v>
      </c>
    </row>
    <row r="732" spans="1:6" x14ac:dyDescent="0.3">
      <c r="A732" s="2">
        <v>43083</v>
      </c>
      <c r="B732" s="1">
        <v>43.055</v>
      </c>
      <c r="C732" s="1">
        <v>1174.26</v>
      </c>
      <c r="D732" s="22">
        <f t="shared" si="39"/>
        <v>332.78553710333426</v>
      </c>
      <c r="E732" s="23">
        <f t="shared" si="40"/>
        <v>2.5852536985519805</v>
      </c>
      <c r="F732" s="23">
        <f t="shared" si="41"/>
        <v>-2.5852536985519805</v>
      </c>
    </row>
    <row r="733" spans="1:6" x14ac:dyDescent="0.3">
      <c r="A733" s="2">
        <v>43082</v>
      </c>
      <c r="B733" s="1">
        <v>43.067500000000003</v>
      </c>
      <c r="C733" s="1">
        <v>1164.1300000000001</v>
      </c>
      <c r="D733" s="22">
        <f t="shared" si="39"/>
        <v>330.20028340478228</v>
      </c>
      <c r="E733" s="23">
        <f t="shared" si="40"/>
        <v>-0.1373171965164488</v>
      </c>
      <c r="F733" s="23">
        <f t="shared" si="41"/>
        <v>0.1373171965164488</v>
      </c>
    </row>
    <row r="734" spans="1:6" x14ac:dyDescent="0.3">
      <c r="A734" s="2">
        <v>43081</v>
      </c>
      <c r="B734" s="1">
        <v>42.924999999999997</v>
      </c>
      <c r="C734" s="1">
        <v>1165.08</v>
      </c>
      <c r="D734" s="22">
        <f t="shared" si="39"/>
        <v>330.33760060129873</v>
      </c>
      <c r="E734" s="23">
        <f t="shared" si="40"/>
        <v>-1.163911775256679</v>
      </c>
      <c r="F734" s="23">
        <f t="shared" si="41"/>
        <v>1.163911775256679</v>
      </c>
    </row>
    <row r="735" spans="1:6" x14ac:dyDescent="0.3">
      <c r="A735" s="2">
        <v>43080</v>
      </c>
      <c r="B735" s="1">
        <v>43.167499999999997</v>
      </c>
      <c r="C735" s="1">
        <v>1168.92</v>
      </c>
      <c r="D735" s="22">
        <f t="shared" si="39"/>
        <v>331.50151237655541</v>
      </c>
      <c r="E735" s="23">
        <f t="shared" si="40"/>
        <v>2.386085412144439</v>
      </c>
      <c r="F735" s="23">
        <f t="shared" si="41"/>
        <v>-2.386085412144439</v>
      </c>
    </row>
    <row r="736" spans="1:6" x14ac:dyDescent="0.3">
      <c r="A736" s="2">
        <v>43077</v>
      </c>
      <c r="B736" s="1">
        <v>42.342500000000001</v>
      </c>
      <c r="C736" s="1">
        <v>1162</v>
      </c>
      <c r="D736" s="22">
        <f t="shared" si="39"/>
        <v>329.11542696441097</v>
      </c>
      <c r="E736" s="23">
        <f t="shared" si="40"/>
        <v>0.57533596278710775</v>
      </c>
      <c r="F736" s="23">
        <f t="shared" si="41"/>
        <v>-0.57533596278710775</v>
      </c>
    </row>
    <row r="737" spans="1:6" x14ac:dyDescent="0.3">
      <c r="A737" s="2">
        <v>43076</v>
      </c>
      <c r="B737" s="1">
        <v>42.33</v>
      </c>
      <c r="C737" s="1">
        <v>1159.79</v>
      </c>
      <c r="D737" s="22">
        <f t="shared" si="39"/>
        <v>328.54009100162386</v>
      </c>
      <c r="E737" s="23">
        <f t="shared" si="40"/>
        <v>1.9632245852195638</v>
      </c>
      <c r="F737" s="23">
        <f t="shared" si="41"/>
        <v>-1.9632245852195638</v>
      </c>
    </row>
    <row r="738" spans="1:6" x14ac:dyDescent="0.3">
      <c r="A738" s="2">
        <v>43075</v>
      </c>
      <c r="B738" s="1">
        <v>42.252499999999998</v>
      </c>
      <c r="C738" s="1">
        <v>1152.3499999999999</v>
      </c>
      <c r="D738" s="22">
        <f t="shared" si="39"/>
        <v>326.5768664164043</v>
      </c>
      <c r="E738" s="23">
        <f t="shared" si="40"/>
        <v>2.6438735349186686</v>
      </c>
      <c r="F738" s="23">
        <f t="shared" si="41"/>
        <v>-2.6438735349186686</v>
      </c>
    </row>
    <row r="739" spans="1:6" x14ac:dyDescent="0.3">
      <c r="A739" s="2">
        <v>43074</v>
      </c>
      <c r="B739" s="1">
        <v>42.41</v>
      </c>
      <c r="C739" s="1">
        <v>1141.57</v>
      </c>
      <c r="D739" s="22">
        <f t="shared" si="39"/>
        <v>323.93299288148563</v>
      </c>
      <c r="E739" s="23">
        <f t="shared" si="40"/>
        <v>1.9219219453693199</v>
      </c>
      <c r="F739" s="23">
        <f t="shared" si="41"/>
        <v>-1.9219219453693199</v>
      </c>
    </row>
    <row r="740" spans="1:6" x14ac:dyDescent="0.3">
      <c r="A740" s="2">
        <v>43073</v>
      </c>
      <c r="B740" s="1">
        <v>42.45</v>
      </c>
      <c r="C740" s="1">
        <v>1133.95</v>
      </c>
      <c r="D740" s="22">
        <f t="shared" si="39"/>
        <v>322.01107093611631</v>
      </c>
      <c r="E740" s="23">
        <f t="shared" si="40"/>
        <v>-7.5064272376711756</v>
      </c>
      <c r="F740" s="23">
        <f t="shared" si="41"/>
        <v>7.5064272376711756</v>
      </c>
    </row>
    <row r="741" spans="1:6" x14ac:dyDescent="0.3">
      <c r="A741" s="2">
        <v>43070</v>
      </c>
      <c r="B741" s="1">
        <v>42.762500000000003</v>
      </c>
      <c r="C741" s="1">
        <v>1162.3499999999999</v>
      </c>
      <c r="D741" s="22">
        <f t="shared" si="39"/>
        <v>329.51749817378749</v>
      </c>
      <c r="E741" s="23">
        <f t="shared" si="40"/>
        <v>-3.8369832407630042</v>
      </c>
      <c r="F741" s="23">
        <f t="shared" si="41"/>
        <v>3.8369832407630042</v>
      </c>
    </row>
    <row r="742" spans="1:6" x14ac:dyDescent="0.3">
      <c r="A742" s="2">
        <v>43069</v>
      </c>
      <c r="B742" s="1">
        <v>42.962499999999999</v>
      </c>
      <c r="C742" s="1">
        <v>1176.75</v>
      </c>
      <c r="D742" s="22">
        <f t="shared" si="39"/>
        <v>333.35448141455049</v>
      </c>
      <c r="E742" s="23">
        <f t="shared" si="40"/>
        <v>4.4055695772435683</v>
      </c>
      <c r="F742" s="23">
        <f t="shared" si="41"/>
        <v>-4.4055695772435683</v>
      </c>
    </row>
    <row r="743" spans="1:6" x14ac:dyDescent="0.3">
      <c r="A743" s="2">
        <v>43068</v>
      </c>
      <c r="B743" s="1">
        <v>42.37</v>
      </c>
      <c r="C743" s="1">
        <v>1161.27</v>
      </c>
      <c r="D743" s="22">
        <f t="shared" si="39"/>
        <v>328.94891183730692</v>
      </c>
      <c r="E743" s="23">
        <f t="shared" si="40"/>
        <v>-8.9481673038931717</v>
      </c>
      <c r="F743" s="23">
        <f t="shared" si="41"/>
        <v>8.9481673038931717</v>
      </c>
    </row>
    <row r="744" spans="1:6" x14ac:dyDescent="0.3">
      <c r="A744" s="2">
        <v>43067</v>
      </c>
      <c r="B744" s="1">
        <v>43.267499999999998</v>
      </c>
      <c r="C744" s="1">
        <v>1193.5999999999999</v>
      </c>
      <c r="D744" s="22">
        <f t="shared" si="39"/>
        <v>337.89707914120009</v>
      </c>
      <c r="E744" s="23">
        <f t="shared" si="40"/>
        <v>-0.76084802116247374</v>
      </c>
      <c r="F744" s="23">
        <f t="shared" si="41"/>
        <v>0.76084802116247374</v>
      </c>
    </row>
    <row r="745" spans="1:6" x14ac:dyDescent="0.3">
      <c r="A745" s="2">
        <v>43066</v>
      </c>
      <c r="B745" s="1">
        <v>43.522500000000001</v>
      </c>
      <c r="C745" s="1">
        <v>1195.83</v>
      </c>
      <c r="D745" s="22">
        <f t="shared" si="39"/>
        <v>338.65792716236257</v>
      </c>
      <c r="E745" s="23">
        <f t="shared" si="40"/>
        <v>2.3540620823710015</v>
      </c>
      <c r="F745" s="23">
        <f t="shared" si="41"/>
        <v>-2.3540620823710015</v>
      </c>
    </row>
    <row r="746" spans="1:6" x14ac:dyDescent="0.3">
      <c r="A746" s="2">
        <v>43063</v>
      </c>
      <c r="B746" s="1">
        <v>43.7425</v>
      </c>
      <c r="C746" s="1">
        <v>1186</v>
      </c>
      <c r="D746" s="22">
        <f t="shared" si="39"/>
        <v>336.30386507999157</v>
      </c>
      <c r="E746" s="23">
        <f t="shared" si="40"/>
        <v>7.6446470032581715</v>
      </c>
      <c r="F746" s="23">
        <f t="shared" si="41"/>
        <v>-7.6446470032581715</v>
      </c>
    </row>
    <row r="747" spans="1:6" x14ac:dyDescent="0.3">
      <c r="A747" s="2">
        <v>43062</v>
      </c>
      <c r="B747" s="1">
        <v>43.74</v>
      </c>
      <c r="C747" s="1">
        <v>1156.1600000000001</v>
      </c>
      <c r="D747" s="22">
        <f t="shared" si="39"/>
        <v>328.6592180767334</v>
      </c>
      <c r="E747" s="23">
        <f t="shared" si="40"/>
        <v>0</v>
      </c>
      <c r="F747" s="23">
        <f t="shared" si="41"/>
        <v>0</v>
      </c>
    </row>
    <row r="748" spans="1:6" x14ac:dyDescent="0.3">
      <c r="A748" s="2">
        <v>43061</v>
      </c>
      <c r="B748" s="1">
        <v>43.74</v>
      </c>
      <c r="C748" s="1">
        <v>1156.1600000000001</v>
      </c>
      <c r="D748" s="22">
        <f t="shared" si="39"/>
        <v>328.6592180767334</v>
      </c>
      <c r="E748" s="23">
        <f t="shared" si="40"/>
        <v>4.6080762851389636</v>
      </c>
      <c r="F748" s="23">
        <f t="shared" si="41"/>
        <v>-4.6080762851389636</v>
      </c>
    </row>
    <row r="749" spans="1:6" x14ac:dyDescent="0.3">
      <c r="A749" s="2">
        <v>43060</v>
      </c>
      <c r="B749" s="1">
        <v>43.284999999999997</v>
      </c>
      <c r="C749" s="1">
        <v>1139.49</v>
      </c>
      <c r="D749" s="22">
        <f t="shared" si="39"/>
        <v>324.05114179159443</v>
      </c>
      <c r="E749" s="23">
        <f t="shared" si="40"/>
        <v>3.9633959403559516</v>
      </c>
      <c r="F749" s="23">
        <f t="shared" si="41"/>
        <v>-3.9633959403559516</v>
      </c>
    </row>
    <row r="750" spans="1:6" x14ac:dyDescent="0.3">
      <c r="A750" s="2">
        <v>43059</v>
      </c>
      <c r="B750" s="1">
        <v>42.494999999999997</v>
      </c>
      <c r="C750" s="1">
        <v>1126.31</v>
      </c>
      <c r="D750" s="22">
        <f t="shared" si="39"/>
        <v>320.08774585123848</v>
      </c>
      <c r="E750" s="23">
        <f t="shared" si="40"/>
        <v>-0.94598298463324682</v>
      </c>
      <c r="F750" s="23">
        <f t="shared" si="41"/>
        <v>0.94598298463324682</v>
      </c>
    </row>
    <row r="751" spans="1:6" x14ac:dyDescent="0.3">
      <c r="A751" s="2">
        <v>43056</v>
      </c>
      <c r="B751" s="1">
        <v>42.537500000000001</v>
      </c>
      <c r="C751" s="1">
        <v>1129.8800000000001</v>
      </c>
      <c r="D751" s="22">
        <f t="shared" si="39"/>
        <v>321.03372883587173</v>
      </c>
      <c r="E751" s="23">
        <f t="shared" si="40"/>
        <v>-2.074560724955802</v>
      </c>
      <c r="F751" s="23">
        <f t="shared" si="41"/>
        <v>2.074560724955802</v>
      </c>
    </row>
    <row r="752" spans="1:6" x14ac:dyDescent="0.3">
      <c r="A752" s="2">
        <v>43055</v>
      </c>
      <c r="B752" s="1">
        <v>42.774999999999999</v>
      </c>
      <c r="C752" s="1">
        <v>1137.29</v>
      </c>
      <c r="D752" s="22">
        <f t="shared" si="39"/>
        <v>323.10828956082753</v>
      </c>
      <c r="E752" s="23">
        <f t="shared" si="40"/>
        <v>3.0905877334860747</v>
      </c>
      <c r="F752" s="23">
        <f t="shared" si="41"/>
        <v>-3.0905877334860747</v>
      </c>
    </row>
    <row r="753" spans="1:6" x14ac:dyDescent="0.3">
      <c r="A753" s="2">
        <v>43054</v>
      </c>
      <c r="B753" s="1">
        <v>42.27</v>
      </c>
      <c r="C753" s="1">
        <v>1126.69</v>
      </c>
      <c r="D753" s="22">
        <f t="shared" si="39"/>
        <v>320.01770182734145</v>
      </c>
      <c r="E753" s="23">
        <f t="shared" si="40"/>
        <v>-3.0199636875150304</v>
      </c>
      <c r="F753" s="23">
        <f t="shared" si="41"/>
        <v>3.0199636875150304</v>
      </c>
    </row>
    <row r="754" spans="1:6" x14ac:dyDescent="0.3">
      <c r="A754" s="2">
        <v>43053</v>
      </c>
      <c r="B754" s="1">
        <v>42.835000000000001</v>
      </c>
      <c r="C754" s="1">
        <v>1136.8399999999999</v>
      </c>
      <c r="D754" s="22">
        <f t="shared" si="39"/>
        <v>323.03766551485649</v>
      </c>
      <c r="E754" s="23">
        <f t="shared" si="40"/>
        <v>1.4753857702431787</v>
      </c>
      <c r="F754" s="23">
        <f t="shared" si="41"/>
        <v>-1.4753857702431787</v>
      </c>
    </row>
    <row r="755" spans="1:6" x14ac:dyDescent="0.3">
      <c r="A755" s="2">
        <v>43052</v>
      </c>
      <c r="B755" s="1">
        <v>43.4925</v>
      </c>
      <c r="C755" s="1">
        <v>1129.17</v>
      </c>
      <c r="D755" s="22">
        <f t="shared" si="39"/>
        <v>321.56227974461331</v>
      </c>
      <c r="E755" s="23">
        <f t="shared" si="40"/>
        <v>0.84822169344010945</v>
      </c>
      <c r="F755" s="23">
        <f t="shared" si="41"/>
        <v>-0.84822169344010945</v>
      </c>
    </row>
    <row r="756" spans="1:6" x14ac:dyDescent="0.3">
      <c r="A756" s="2">
        <v>43049</v>
      </c>
      <c r="B756" s="1">
        <v>43.667499999999997</v>
      </c>
      <c r="C756" s="1">
        <v>1125.3499999999999</v>
      </c>
      <c r="D756" s="22">
        <f t="shared" si="39"/>
        <v>320.7140580511732</v>
      </c>
      <c r="E756" s="23">
        <f t="shared" si="40"/>
        <v>-1.1931767056165086</v>
      </c>
      <c r="F756" s="23">
        <f t="shared" si="41"/>
        <v>1.1931767056165086</v>
      </c>
    </row>
    <row r="757" spans="1:6" x14ac:dyDescent="0.3">
      <c r="A757" s="2">
        <v>43048</v>
      </c>
      <c r="B757" s="1">
        <v>43.97</v>
      </c>
      <c r="C757" s="1">
        <v>1129.1300000000001</v>
      </c>
      <c r="D757" s="22">
        <f t="shared" si="39"/>
        <v>321.90723475678971</v>
      </c>
      <c r="E757" s="23">
        <f t="shared" si="40"/>
        <v>-1.0274196240276297</v>
      </c>
      <c r="F757" s="23">
        <f t="shared" si="41"/>
        <v>1.0274196240276297</v>
      </c>
    </row>
    <row r="758" spans="1:6" x14ac:dyDescent="0.3">
      <c r="A758" s="2">
        <v>43047</v>
      </c>
      <c r="B758" s="1">
        <v>44.06</v>
      </c>
      <c r="C758" s="1">
        <v>1132.8800000000001</v>
      </c>
      <c r="D758" s="22">
        <f t="shared" si="39"/>
        <v>322.93465438081734</v>
      </c>
      <c r="E758" s="23">
        <f t="shared" si="40"/>
        <v>2.7529144900870506</v>
      </c>
      <c r="F758" s="23">
        <f t="shared" si="41"/>
        <v>-2.7529144900870506</v>
      </c>
    </row>
    <row r="759" spans="1:6" x14ac:dyDescent="0.3">
      <c r="A759" s="2">
        <v>43046</v>
      </c>
      <c r="B759" s="1">
        <v>43.702500000000001</v>
      </c>
      <c r="C759" s="1">
        <v>1123.17</v>
      </c>
      <c r="D759" s="22">
        <f t="shared" si="39"/>
        <v>320.18173989073028</v>
      </c>
      <c r="E759" s="23">
        <f t="shared" si="40"/>
        <v>0.74701762539496031</v>
      </c>
      <c r="F759" s="23">
        <f t="shared" si="41"/>
        <v>-0.74701762539496031</v>
      </c>
    </row>
    <row r="760" spans="1:6" x14ac:dyDescent="0.3">
      <c r="A760" s="2">
        <v>43045</v>
      </c>
      <c r="B760" s="1">
        <v>43.5625</v>
      </c>
      <c r="C760" s="1">
        <v>1120.6600000000001</v>
      </c>
      <c r="D760" s="22">
        <f t="shared" si="39"/>
        <v>319.43472226533532</v>
      </c>
      <c r="E760" s="23">
        <f t="shared" si="40"/>
        <v>2.6459428164422434</v>
      </c>
      <c r="F760" s="23">
        <f t="shared" si="41"/>
        <v>-2.6459428164422434</v>
      </c>
    </row>
    <row r="761" spans="1:6" x14ac:dyDescent="0.3">
      <c r="A761" s="2">
        <v>43042</v>
      </c>
      <c r="B761" s="1">
        <v>43.125</v>
      </c>
      <c r="C761" s="1">
        <v>1111.5999999999999</v>
      </c>
      <c r="D761" s="22">
        <f t="shared" si="39"/>
        <v>316.78877944889308</v>
      </c>
      <c r="E761" s="23">
        <f t="shared" si="40"/>
        <v>5.2678647618114951</v>
      </c>
      <c r="F761" s="23">
        <f t="shared" si="41"/>
        <v>-5.2678647618114951</v>
      </c>
    </row>
    <row r="762" spans="1:6" x14ac:dyDescent="0.3">
      <c r="A762" s="2">
        <v>43041</v>
      </c>
      <c r="B762" s="1">
        <v>42.027500000000003</v>
      </c>
      <c r="C762" s="1">
        <v>1094.22</v>
      </c>
      <c r="D762" s="22">
        <f t="shared" si="39"/>
        <v>311.52091468708159</v>
      </c>
      <c r="E762" s="23">
        <f t="shared" si="40"/>
        <v>-2.1960662919753986</v>
      </c>
      <c r="F762" s="23">
        <f t="shared" si="41"/>
        <v>2.1960662919753986</v>
      </c>
    </row>
    <row r="763" spans="1:6" x14ac:dyDescent="0.3">
      <c r="A763" s="2">
        <v>43040</v>
      </c>
      <c r="B763" s="1">
        <v>41.722499999999997</v>
      </c>
      <c r="C763" s="1">
        <v>1103.68</v>
      </c>
      <c r="D763" s="22">
        <f t="shared" si="39"/>
        <v>313.71698097905698</v>
      </c>
      <c r="E763" s="23">
        <f t="shared" si="40"/>
        <v>-0.80963342910632718</v>
      </c>
      <c r="F763" s="23">
        <f t="shared" si="41"/>
        <v>0.80963342910632718</v>
      </c>
    </row>
    <row r="764" spans="1:6" x14ac:dyDescent="0.3">
      <c r="A764" s="2">
        <v>43039</v>
      </c>
      <c r="B764" s="1">
        <v>42.26</v>
      </c>
      <c r="C764" s="1">
        <v>1105.28</v>
      </c>
      <c r="D764" s="22">
        <f t="shared" si="39"/>
        <v>314.52661440816331</v>
      </c>
      <c r="E764" s="23">
        <f t="shared" si="40"/>
        <v>-0.99517231906287407</v>
      </c>
      <c r="F764" s="23">
        <f t="shared" si="41"/>
        <v>0.99517231906287407</v>
      </c>
    </row>
    <row r="765" spans="1:6" x14ac:dyDescent="0.3">
      <c r="A765" s="2">
        <v>43038</v>
      </c>
      <c r="B765" s="1">
        <v>41.68</v>
      </c>
      <c r="C765" s="1">
        <v>1110.8499999999999</v>
      </c>
      <c r="D765" s="22">
        <f t="shared" si="39"/>
        <v>315.52178672722619</v>
      </c>
      <c r="E765" s="23">
        <f t="shared" si="40"/>
        <v>3.2181480253628933</v>
      </c>
      <c r="F765" s="23">
        <f t="shared" si="41"/>
        <v>-3.2181480253628933</v>
      </c>
    </row>
    <row r="766" spans="1:6" x14ac:dyDescent="0.3">
      <c r="A766" s="2">
        <v>43035</v>
      </c>
      <c r="B766" s="1">
        <v>40.762500000000003</v>
      </c>
      <c r="C766" s="1">
        <v>1100.95</v>
      </c>
      <c r="D766" s="22">
        <f t="shared" si="39"/>
        <v>312.30363870186329</v>
      </c>
      <c r="E766" s="23">
        <f t="shared" si="40"/>
        <v>33.96614812899395</v>
      </c>
      <c r="F766" s="23">
        <f t="shared" si="41"/>
        <v>-33.96614812899395</v>
      </c>
    </row>
    <row r="767" spans="1:6" x14ac:dyDescent="0.3">
      <c r="A767" s="2">
        <v>43034</v>
      </c>
      <c r="B767" s="1">
        <v>39.352499999999999</v>
      </c>
      <c r="C767" s="1">
        <v>972.42989999999998</v>
      </c>
      <c r="D767" s="22">
        <f t="shared" si="39"/>
        <v>278.33749057286934</v>
      </c>
      <c r="E767" s="23">
        <f t="shared" si="40"/>
        <v>6.3028326355095032E-2</v>
      </c>
      <c r="F767" s="23">
        <f t="shared" si="41"/>
        <v>-6.3028326355095032E-2</v>
      </c>
    </row>
    <row r="768" spans="1:6" x14ac:dyDescent="0.3">
      <c r="A768" s="2">
        <v>43033</v>
      </c>
      <c r="B768" s="1">
        <v>39.102499999999999</v>
      </c>
      <c r="C768" s="1">
        <v>972.90989999999999</v>
      </c>
      <c r="D768" s="22">
        <f t="shared" si="39"/>
        <v>278.27446224651425</v>
      </c>
      <c r="E768" s="23">
        <f t="shared" si="40"/>
        <v>-0.8941338225950517</v>
      </c>
      <c r="F768" s="23">
        <f t="shared" si="41"/>
        <v>0.8941338225950517</v>
      </c>
    </row>
    <row r="769" spans="1:6" x14ac:dyDescent="0.3">
      <c r="A769" s="2">
        <v>43032</v>
      </c>
      <c r="B769" s="1">
        <v>39.274999999999999</v>
      </c>
      <c r="C769" s="1">
        <v>975.8999</v>
      </c>
      <c r="D769" s="22">
        <f t="shared" si="39"/>
        <v>279.1685960691093</v>
      </c>
      <c r="E769" s="23">
        <f t="shared" si="40"/>
        <v>2.6317307612341097</v>
      </c>
      <c r="F769" s="23">
        <f t="shared" si="41"/>
        <v>-2.6317307612341097</v>
      </c>
    </row>
    <row r="770" spans="1:6" x14ac:dyDescent="0.3">
      <c r="A770" s="2">
        <v>43031</v>
      </c>
      <c r="B770" s="1">
        <v>39.042499999999997</v>
      </c>
      <c r="C770" s="1">
        <v>966.3</v>
      </c>
      <c r="D770" s="22">
        <f t="shared" si="39"/>
        <v>276.53686530787519</v>
      </c>
      <c r="E770" s="23">
        <f t="shared" si="40"/>
        <v>-4.269097765206709</v>
      </c>
      <c r="F770" s="23">
        <f t="shared" si="41"/>
        <v>4.269097765206709</v>
      </c>
    </row>
    <row r="771" spans="1:6" x14ac:dyDescent="0.3">
      <c r="A771" s="2">
        <v>43028</v>
      </c>
      <c r="B771" s="1">
        <v>39.0625</v>
      </c>
      <c r="C771" s="1">
        <v>982.90989999999999</v>
      </c>
      <c r="D771" s="22">
        <f t="shared" si="39"/>
        <v>280.8059630730819</v>
      </c>
      <c r="E771" s="23">
        <f t="shared" si="40"/>
        <v>-0.8975043490297594</v>
      </c>
      <c r="F771" s="23">
        <f t="shared" si="41"/>
        <v>0.8975043490297594</v>
      </c>
    </row>
    <row r="772" spans="1:6" x14ac:dyDescent="0.3">
      <c r="A772" s="2">
        <v>43027</v>
      </c>
      <c r="B772" s="1">
        <v>38.994999999999997</v>
      </c>
      <c r="C772" s="1">
        <v>986.61009999999999</v>
      </c>
      <c r="D772" s="22">
        <f t="shared" si="39"/>
        <v>281.70346742211166</v>
      </c>
      <c r="E772" s="23">
        <f t="shared" si="40"/>
        <v>-3.3640804937100484</v>
      </c>
      <c r="F772" s="23">
        <f t="shared" si="41"/>
        <v>3.3640804937100484</v>
      </c>
    </row>
    <row r="773" spans="1:6" x14ac:dyDescent="0.3">
      <c r="A773" s="2">
        <v>43026</v>
      </c>
      <c r="B773" s="1">
        <v>39.94</v>
      </c>
      <c r="C773" s="1">
        <v>997</v>
      </c>
      <c r="D773" s="22">
        <f t="shared" si="39"/>
        <v>285.06754791582171</v>
      </c>
      <c r="E773" s="23">
        <f t="shared" si="40"/>
        <v>-3.2388409989591764</v>
      </c>
      <c r="F773" s="23">
        <f t="shared" si="41"/>
        <v>3.2388409989591764</v>
      </c>
    </row>
    <row r="774" spans="1:6" x14ac:dyDescent="0.3">
      <c r="A774" s="2">
        <v>43025</v>
      </c>
      <c r="B774" s="1">
        <v>40.1175</v>
      </c>
      <c r="C774" s="1">
        <v>1009.13</v>
      </c>
      <c r="D774" s="22">
        <f t="shared" ref="D774:D837" si="42">$M$16*B774+(1-$M$16)*C774</f>
        <v>288.30638891478088</v>
      </c>
      <c r="E774" s="23">
        <f t="shared" ref="E774:E837" si="43">D774-D775</f>
        <v>0.82431184603632346</v>
      </c>
      <c r="F774" s="23">
        <f t="shared" ref="F774:F837" si="44">-E774</f>
        <v>-0.82431184603632346</v>
      </c>
    </row>
    <row r="775" spans="1:6" x14ac:dyDescent="0.3">
      <c r="A775" s="2">
        <v>43024</v>
      </c>
      <c r="B775" s="1">
        <v>39.97</v>
      </c>
      <c r="C775" s="1">
        <v>1006.34</v>
      </c>
      <c r="D775" s="22">
        <f t="shared" si="42"/>
        <v>287.48207706874456</v>
      </c>
      <c r="E775" s="23">
        <f t="shared" si="43"/>
        <v>1.4082762413480623</v>
      </c>
      <c r="F775" s="23">
        <f t="shared" si="44"/>
        <v>-1.4082762413480623</v>
      </c>
    </row>
    <row r="776" spans="1:6" x14ac:dyDescent="0.3">
      <c r="A776" s="2">
        <v>43021</v>
      </c>
      <c r="B776" s="1">
        <v>39.247500000000002</v>
      </c>
      <c r="C776" s="1">
        <v>1002.94</v>
      </c>
      <c r="D776" s="22">
        <f t="shared" si="42"/>
        <v>286.0738008273965</v>
      </c>
      <c r="E776" s="23">
        <f t="shared" si="43"/>
        <v>0.69892133534131062</v>
      </c>
      <c r="F776" s="23">
        <f t="shared" si="44"/>
        <v>-0.69892133534131062</v>
      </c>
    </row>
    <row r="777" spans="1:6" x14ac:dyDescent="0.3">
      <c r="A777" s="2">
        <v>43020</v>
      </c>
      <c r="B777" s="1">
        <v>39</v>
      </c>
      <c r="C777" s="1">
        <v>1000.93</v>
      </c>
      <c r="D777" s="22">
        <f t="shared" si="42"/>
        <v>285.37487949205519</v>
      </c>
      <c r="E777" s="23">
        <f t="shared" si="43"/>
        <v>1.4165419586851158</v>
      </c>
      <c r="F777" s="23">
        <f t="shared" si="44"/>
        <v>-1.4165419586851158</v>
      </c>
    </row>
    <row r="778" spans="1:6" x14ac:dyDescent="0.3">
      <c r="A778" s="2">
        <v>43019</v>
      </c>
      <c r="B778" s="1">
        <v>39.137500000000003</v>
      </c>
      <c r="C778" s="1">
        <v>995</v>
      </c>
      <c r="D778" s="22">
        <f t="shared" si="42"/>
        <v>283.95833753337007</v>
      </c>
      <c r="E778" s="23">
        <f t="shared" si="43"/>
        <v>2.1186591198118094</v>
      </c>
      <c r="F778" s="23">
        <f t="shared" si="44"/>
        <v>-2.1186591198118094</v>
      </c>
    </row>
    <row r="779" spans="1:6" x14ac:dyDescent="0.3">
      <c r="A779" s="2">
        <v>43018</v>
      </c>
      <c r="B779" s="1">
        <v>38.975000000000001</v>
      </c>
      <c r="C779" s="1">
        <v>987.2</v>
      </c>
      <c r="D779" s="22">
        <f t="shared" si="42"/>
        <v>281.83967841355826</v>
      </c>
      <c r="E779" s="23">
        <f t="shared" si="43"/>
        <v>-0.95955783317629084</v>
      </c>
      <c r="F779" s="23">
        <f t="shared" si="44"/>
        <v>0.95955783317629084</v>
      </c>
    </row>
    <row r="780" spans="1:6" x14ac:dyDescent="0.3">
      <c r="A780" s="2">
        <v>43017</v>
      </c>
      <c r="B780" s="1">
        <v>38.96</v>
      </c>
      <c r="C780" s="1">
        <v>990.99</v>
      </c>
      <c r="D780" s="22">
        <f t="shared" si="42"/>
        <v>282.79923624673455</v>
      </c>
      <c r="E780" s="23">
        <f t="shared" si="43"/>
        <v>0.46153450236965909</v>
      </c>
      <c r="F780" s="23">
        <f t="shared" si="44"/>
        <v>-0.46153450236965909</v>
      </c>
    </row>
    <row r="781" spans="1:6" x14ac:dyDescent="0.3">
      <c r="A781" s="2">
        <v>43014</v>
      </c>
      <c r="B781" s="1">
        <v>38.825000000000003</v>
      </c>
      <c r="C781" s="1">
        <v>989.58010000000002</v>
      </c>
      <c r="D781" s="22">
        <f t="shared" si="42"/>
        <v>282.33770174436489</v>
      </c>
      <c r="E781" s="23">
        <f t="shared" si="43"/>
        <v>2.2192391418857937</v>
      </c>
      <c r="F781" s="23">
        <f t="shared" si="44"/>
        <v>-2.2192391418857937</v>
      </c>
    </row>
    <row r="782" spans="1:6" x14ac:dyDescent="0.3">
      <c r="A782" s="2">
        <v>43013</v>
      </c>
      <c r="B782" s="1">
        <v>38.847499999999997</v>
      </c>
      <c r="C782" s="1">
        <v>980.8501</v>
      </c>
      <c r="D782" s="22">
        <f t="shared" si="42"/>
        <v>280.1184626024791</v>
      </c>
      <c r="E782" s="23">
        <f t="shared" si="43"/>
        <v>4.2995595851133999</v>
      </c>
      <c r="F782" s="23">
        <f t="shared" si="44"/>
        <v>-4.2995595851133999</v>
      </c>
    </row>
    <row r="783" spans="1:6" x14ac:dyDescent="0.3">
      <c r="A783" s="2">
        <v>43012</v>
      </c>
      <c r="B783" s="1">
        <v>38.369999999999997</v>
      </c>
      <c r="C783" s="1">
        <v>965.45</v>
      </c>
      <c r="D783" s="22">
        <f t="shared" si="42"/>
        <v>275.8189030173657</v>
      </c>
      <c r="E783" s="23">
        <f t="shared" si="43"/>
        <v>1.9526543783266561</v>
      </c>
      <c r="F783" s="23">
        <f t="shared" si="44"/>
        <v>-1.9526543783266561</v>
      </c>
    </row>
    <row r="784" spans="1:6" x14ac:dyDescent="0.3">
      <c r="A784" s="2">
        <v>43011</v>
      </c>
      <c r="B784" s="1">
        <v>38.619999999999997</v>
      </c>
      <c r="C784" s="1">
        <v>957.1001</v>
      </c>
      <c r="D784" s="22">
        <f t="shared" si="42"/>
        <v>273.86624863903904</v>
      </c>
      <c r="E784" s="23">
        <f t="shared" si="43"/>
        <v>-0.41065227249117697</v>
      </c>
      <c r="F784" s="23">
        <f t="shared" si="44"/>
        <v>0.41065227249117697</v>
      </c>
    </row>
    <row r="785" spans="1:6" x14ac:dyDescent="0.3">
      <c r="A785" s="2">
        <v>43010</v>
      </c>
      <c r="B785" s="1">
        <v>38.452500000000001</v>
      </c>
      <c r="C785" s="1">
        <v>959.18989999999997</v>
      </c>
      <c r="D785" s="22">
        <f t="shared" si="42"/>
        <v>274.27690091153022</v>
      </c>
      <c r="E785" s="23">
        <f t="shared" si="43"/>
        <v>-0.61093274616456483</v>
      </c>
      <c r="F785" s="23">
        <f t="shared" si="44"/>
        <v>0.61093274616456483</v>
      </c>
    </row>
    <row r="786" spans="1:6" x14ac:dyDescent="0.3">
      <c r="A786" s="2">
        <v>43007</v>
      </c>
      <c r="B786" s="1">
        <v>38.53</v>
      </c>
      <c r="C786" s="1">
        <v>961.3501</v>
      </c>
      <c r="D786" s="22">
        <f t="shared" si="42"/>
        <v>274.88783365769478</v>
      </c>
      <c r="E786" s="23">
        <f t="shared" si="43"/>
        <v>1.4240864759059377</v>
      </c>
      <c r="F786" s="23">
        <f t="shared" si="44"/>
        <v>-1.4240864759059377</v>
      </c>
    </row>
    <row r="787" spans="1:6" x14ac:dyDescent="0.3">
      <c r="A787" s="2">
        <v>43006</v>
      </c>
      <c r="B787" s="1">
        <v>38.32</v>
      </c>
      <c r="C787" s="1">
        <v>956.3999</v>
      </c>
      <c r="D787" s="22">
        <f t="shared" si="42"/>
        <v>273.46374718178885</v>
      </c>
      <c r="E787" s="23">
        <f t="shared" si="43"/>
        <v>1.2396530594684805</v>
      </c>
      <c r="F787" s="23">
        <f t="shared" si="44"/>
        <v>-1.2396530594684805</v>
      </c>
    </row>
    <row r="788" spans="1:6" x14ac:dyDescent="0.3">
      <c r="A788" s="2">
        <v>43005</v>
      </c>
      <c r="B788" s="1">
        <v>38.557499999999997</v>
      </c>
      <c r="C788" s="1">
        <v>950.87009999999998</v>
      </c>
      <c r="D788" s="22">
        <f t="shared" si="42"/>
        <v>272.22409412232037</v>
      </c>
      <c r="E788" s="23">
        <f t="shared" si="43"/>
        <v>3.3453666500743111</v>
      </c>
      <c r="F788" s="23">
        <f t="shared" si="44"/>
        <v>-3.3453666500743111</v>
      </c>
    </row>
    <row r="789" spans="1:6" x14ac:dyDescent="0.3">
      <c r="A789" s="2">
        <v>43004</v>
      </c>
      <c r="B789" s="1">
        <v>38.284999999999997</v>
      </c>
      <c r="C789" s="1">
        <v>938.6001</v>
      </c>
      <c r="D789" s="22">
        <f t="shared" si="42"/>
        <v>268.87872747224606</v>
      </c>
      <c r="E789" s="23">
        <f t="shared" si="43"/>
        <v>0.17689485869163946</v>
      </c>
      <c r="F789" s="23">
        <f t="shared" si="44"/>
        <v>-0.17689485869163946</v>
      </c>
    </row>
    <row r="790" spans="1:6" x14ac:dyDescent="0.3">
      <c r="A790" s="2">
        <v>43003</v>
      </c>
      <c r="B790" s="1">
        <v>37.637500000000003</v>
      </c>
      <c r="C790" s="1">
        <v>939.79</v>
      </c>
      <c r="D790" s="22">
        <f t="shared" si="42"/>
        <v>268.70183261355442</v>
      </c>
      <c r="E790" s="23">
        <f t="shared" si="43"/>
        <v>-4.1705061780809842</v>
      </c>
      <c r="F790" s="23">
        <f t="shared" si="44"/>
        <v>4.1705061780809842</v>
      </c>
    </row>
    <row r="791" spans="1:6" x14ac:dyDescent="0.3">
      <c r="A791" s="2">
        <v>43000</v>
      </c>
      <c r="B791" s="1">
        <v>37.972499999999997</v>
      </c>
      <c r="C791" s="1">
        <v>955.1001</v>
      </c>
      <c r="D791" s="22">
        <f t="shared" si="42"/>
        <v>272.8723387916354</v>
      </c>
      <c r="E791" s="23">
        <f t="shared" si="43"/>
        <v>-2.7249009744614909</v>
      </c>
      <c r="F791" s="23">
        <f t="shared" si="44"/>
        <v>2.7249009744614909</v>
      </c>
    </row>
    <row r="792" spans="1:6" x14ac:dyDescent="0.3">
      <c r="A792" s="2">
        <v>42999</v>
      </c>
      <c r="B792" s="1">
        <v>38.347499999999997</v>
      </c>
      <c r="C792" s="1">
        <v>964.6499</v>
      </c>
      <c r="D792" s="22">
        <f t="shared" si="42"/>
        <v>275.59723976609689</v>
      </c>
      <c r="E792" s="23">
        <f t="shared" si="43"/>
        <v>-2.6908564414044918</v>
      </c>
      <c r="F792" s="23">
        <f t="shared" si="44"/>
        <v>2.6908564414044918</v>
      </c>
    </row>
    <row r="793" spans="1:6" x14ac:dyDescent="0.3">
      <c r="A793" s="2">
        <v>42998</v>
      </c>
      <c r="B793" s="1">
        <v>39.017499999999998</v>
      </c>
      <c r="C793" s="1">
        <v>973.21</v>
      </c>
      <c r="D793" s="22">
        <f t="shared" si="42"/>
        <v>278.28809620750138</v>
      </c>
      <c r="E793" s="23">
        <f t="shared" si="43"/>
        <v>0.36331859248866749</v>
      </c>
      <c r="F793" s="23">
        <f t="shared" si="44"/>
        <v>-0.36331859248866749</v>
      </c>
    </row>
    <row r="794" spans="1:6" x14ac:dyDescent="0.3">
      <c r="A794" s="2">
        <v>42997</v>
      </c>
      <c r="B794" s="1">
        <v>39.682499999999997</v>
      </c>
      <c r="C794" s="1">
        <v>969.86009999999999</v>
      </c>
      <c r="D794" s="22">
        <f t="shared" si="42"/>
        <v>277.92477761501272</v>
      </c>
      <c r="E794" s="23">
        <f t="shared" si="43"/>
        <v>-1.0978144214413419</v>
      </c>
      <c r="F794" s="23">
        <f t="shared" si="44"/>
        <v>1.0978144214413419</v>
      </c>
    </row>
    <row r="795" spans="1:6" x14ac:dyDescent="0.3">
      <c r="A795" s="2">
        <v>42996</v>
      </c>
      <c r="B795" s="1">
        <v>39.667499999999997</v>
      </c>
      <c r="C795" s="1">
        <v>974.18989999999997</v>
      </c>
      <c r="D795" s="22">
        <f t="shared" si="42"/>
        <v>279.02259203645406</v>
      </c>
      <c r="E795" s="23">
        <f t="shared" si="43"/>
        <v>-3.4522299367329197</v>
      </c>
      <c r="F795" s="23">
        <f t="shared" si="44"/>
        <v>3.4522299367329197</v>
      </c>
    </row>
    <row r="796" spans="1:6" x14ac:dyDescent="0.3">
      <c r="A796" s="2">
        <v>42993</v>
      </c>
      <c r="B796" s="1">
        <v>39.97</v>
      </c>
      <c r="C796" s="1">
        <v>986.79</v>
      </c>
      <c r="D796" s="22">
        <f t="shared" si="42"/>
        <v>282.47482197318698</v>
      </c>
      <c r="E796" s="23">
        <f t="shared" si="43"/>
        <v>-1.090650877552207</v>
      </c>
      <c r="F796" s="23">
        <f t="shared" si="44"/>
        <v>1.090650877552207</v>
      </c>
    </row>
    <row r="797" spans="1:6" x14ac:dyDescent="0.3">
      <c r="A797" s="2">
        <v>42992</v>
      </c>
      <c r="B797" s="1">
        <v>39.57</v>
      </c>
      <c r="C797" s="1">
        <v>992.21</v>
      </c>
      <c r="D797" s="22">
        <f t="shared" si="42"/>
        <v>283.56547285073918</v>
      </c>
      <c r="E797" s="23">
        <f t="shared" si="43"/>
        <v>-2.1475706399719456</v>
      </c>
      <c r="F797" s="23">
        <f t="shared" si="44"/>
        <v>2.1475706399719456</v>
      </c>
    </row>
    <row r="798" spans="1:6" x14ac:dyDescent="0.3">
      <c r="A798" s="2">
        <v>42991</v>
      </c>
      <c r="B798" s="1">
        <v>39.912500000000001</v>
      </c>
      <c r="C798" s="1">
        <v>999.6001</v>
      </c>
      <c r="D798" s="22">
        <f t="shared" si="42"/>
        <v>285.71304349071113</v>
      </c>
      <c r="E798" s="23">
        <f t="shared" si="43"/>
        <v>4.1342353653604391</v>
      </c>
      <c r="F798" s="23">
        <f t="shared" si="44"/>
        <v>-4.1342353653604391</v>
      </c>
    </row>
    <row r="799" spans="1:6" x14ac:dyDescent="0.3">
      <c r="A799" s="2">
        <v>42990</v>
      </c>
      <c r="B799" s="1">
        <v>40.215000000000003</v>
      </c>
      <c r="C799" s="1">
        <v>982.58010000000002</v>
      </c>
      <c r="D799" s="22">
        <f t="shared" si="42"/>
        <v>281.57880812535069</v>
      </c>
      <c r="E799" s="23">
        <f t="shared" si="43"/>
        <v>1.0643058865613853</v>
      </c>
      <c r="F799" s="23">
        <f t="shared" si="44"/>
        <v>-1.0643058865613853</v>
      </c>
    </row>
    <row r="800" spans="1:6" x14ac:dyDescent="0.3">
      <c r="A800" s="2">
        <v>42989</v>
      </c>
      <c r="B800" s="1">
        <v>40.375</v>
      </c>
      <c r="C800" s="1">
        <v>977.96</v>
      </c>
      <c r="D800" s="22">
        <f t="shared" si="42"/>
        <v>280.51450223878931</v>
      </c>
      <c r="E800" s="23">
        <f t="shared" si="43"/>
        <v>3.622630007512555</v>
      </c>
      <c r="F800" s="23">
        <f t="shared" si="44"/>
        <v>-3.622630007512555</v>
      </c>
    </row>
    <row r="801" spans="1:6" x14ac:dyDescent="0.3">
      <c r="A801" s="2">
        <v>42986</v>
      </c>
      <c r="B801" s="1">
        <v>39.657499999999999</v>
      </c>
      <c r="C801" s="1">
        <v>965.8999</v>
      </c>
      <c r="D801" s="22">
        <f t="shared" si="42"/>
        <v>276.89187223127675</v>
      </c>
      <c r="E801" s="23">
        <f t="shared" si="43"/>
        <v>-3.9647471686391782</v>
      </c>
      <c r="F801" s="23">
        <f t="shared" si="44"/>
        <v>3.9647471686391782</v>
      </c>
    </row>
    <row r="802" spans="1:6" x14ac:dyDescent="0.3">
      <c r="A802" s="2">
        <v>42985</v>
      </c>
      <c r="B802" s="1">
        <v>40.314999999999998</v>
      </c>
      <c r="C802" s="1">
        <v>979.47</v>
      </c>
      <c r="D802" s="22">
        <f t="shared" si="42"/>
        <v>280.85661939991593</v>
      </c>
      <c r="E802" s="23">
        <f t="shared" si="43"/>
        <v>2.8681059293189151</v>
      </c>
      <c r="F802" s="23">
        <f t="shared" si="44"/>
        <v>-2.8681059293189151</v>
      </c>
    </row>
    <row r="803" spans="1:6" x14ac:dyDescent="0.3">
      <c r="A803" s="2">
        <v>42984</v>
      </c>
      <c r="B803" s="1">
        <v>40.477499999999999</v>
      </c>
      <c r="C803" s="1">
        <v>967.8</v>
      </c>
      <c r="D803" s="22">
        <f t="shared" si="42"/>
        <v>277.98851347059701</v>
      </c>
      <c r="E803" s="23">
        <f t="shared" si="43"/>
        <v>0.61638305541288219</v>
      </c>
      <c r="F803" s="23">
        <f t="shared" si="44"/>
        <v>-0.61638305541288219</v>
      </c>
    </row>
    <row r="804" spans="1:6" x14ac:dyDescent="0.3">
      <c r="A804" s="2">
        <v>42983</v>
      </c>
      <c r="B804" s="1">
        <v>40.520000000000003</v>
      </c>
      <c r="C804" s="1">
        <v>965.27</v>
      </c>
      <c r="D804" s="22">
        <f t="shared" si="42"/>
        <v>277.37213041518413</v>
      </c>
      <c r="E804" s="23">
        <f t="shared" si="43"/>
        <v>-3.6908681844386706</v>
      </c>
      <c r="F804" s="23">
        <f t="shared" si="44"/>
        <v>3.6908681844386706</v>
      </c>
    </row>
    <row r="805" spans="1:6" x14ac:dyDescent="0.3">
      <c r="A805" s="2">
        <v>42982</v>
      </c>
      <c r="B805" s="1">
        <v>41.012500000000003</v>
      </c>
      <c r="C805" s="1">
        <v>978.25</v>
      </c>
      <c r="D805" s="22">
        <f t="shared" si="42"/>
        <v>281.0629985996228</v>
      </c>
      <c r="E805" s="23">
        <f t="shared" si="43"/>
        <v>0</v>
      </c>
      <c r="F805" s="23">
        <f t="shared" si="44"/>
        <v>0</v>
      </c>
    </row>
    <row r="806" spans="1:6" x14ac:dyDescent="0.3">
      <c r="A806" s="2">
        <v>42979</v>
      </c>
      <c r="B806" s="1">
        <v>41.012500000000003</v>
      </c>
      <c r="C806" s="1">
        <v>978.25</v>
      </c>
      <c r="D806" s="22">
        <f t="shared" si="42"/>
        <v>281.0629985996228</v>
      </c>
      <c r="E806" s="23">
        <f t="shared" si="43"/>
        <v>-0.59262229610044415</v>
      </c>
      <c r="F806" s="23">
        <f t="shared" si="44"/>
        <v>0.59262229610044415</v>
      </c>
    </row>
    <row r="807" spans="1:6" x14ac:dyDescent="0.3">
      <c r="A807" s="2">
        <v>42978</v>
      </c>
      <c r="B807" s="1">
        <v>41</v>
      </c>
      <c r="C807" s="1">
        <v>980.6001</v>
      </c>
      <c r="D807" s="22">
        <f t="shared" si="42"/>
        <v>281.65562089572325</v>
      </c>
      <c r="E807" s="23">
        <f t="shared" si="43"/>
        <v>3.4530733933593751</v>
      </c>
      <c r="F807" s="23">
        <f t="shared" si="44"/>
        <v>-3.4530733933593751</v>
      </c>
    </row>
    <row r="808" spans="1:6" x14ac:dyDescent="0.3">
      <c r="A808" s="2">
        <v>42977</v>
      </c>
      <c r="B808" s="1">
        <v>40.837499999999999</v>
      </c>
      <c r="C808" s="1">
        <v>967.59010000000001</v>
      </c>
      <c r="D808" s="22">
        <f t="shared" si="42"/>
        <v>278.20254750236387</v>
      </c>
      <c r="E808" s="23">
        <f t="shared" si="43"/>
        <v>3.5472052881013951</v>
      </c>
      <c r="F808" s="23">
        <f t="shared" si="44"/>
        <v>-3.5472052881013951</v>
      </c>
    </row>
    <row r="809" spans="1:6" x14ac:dyDescent="0.3">
      <c r="A809" s="2">
        <v>42976</v>
      </c>
      <c r="B809" s="1">
        <v>40.727499999999999</v>
      </c>
      <c r="C809" s="1">
        <v>954.06010000000003</v>
      </c>
      <c r="D809" s="22">
        <f t="shared" si="42"/>
        <v>274.65534221426248</v>
      </c>
      <c r="E809" s="23">
        <f t="shared" si="43"/>
        <v>2.327070069534102</v>
      </c>
      <c r="F809" s="23">
        <f t="shared" si="44"/>
        <v>-2.327070069534102</v>
      </c>
    </row>
    <row r="810" spans="1:6" x14ac:dyDescent="0.3">
      <c r="A810" s="2">
        <v>42975</v>
      </c>
      <c r="B810" s="1">
        <v>40.3675</v>
      </c>
      <c r="C810" s="1">
        <v>946.02</v>
      </c>
      <c r="D810" s="22">
        <f t="shared" si="42"/>
        <v>272.32827214472837</v>
      </c>
      <c r="E810" s="23">
        <f t="shared" si="43"/>
        <v>0.494064894969938</v>
      </c>
      <c r="F810" s="23">
        <f t="shared" si="44"/>
        <v>-0.494064894969938</v>
      </c>
    </row>
    <row r="811" spans="1:6" x14ac:dyDescent="0.3">
      <c r="A811" s="2">
        <v>42972</v>
      </c>
      <c r="B811" s="1">
        <v>39.965000000000003</v>
      </c>
      <c r="C811" s="1">
        <v>945.26</v>
      </c>
      <c r="D811" s="22">
        <f t="shared" si="42"/>
        <v>271.83420724975844</v>
      </c>
      <c r="E811" s="23">
        <f t="shared" si="43"/>
        <v>-1.7318214457112049</v>
      </c>
      <c r="F811" s="23">
        <f t="shared" si="44"/>
        <v>1.7318214457112049</v>
      </c>
    </row>
    <row r="812" spans="1:6" x14ac:dyDescent="0.3">
      <c r="A812" s="2">
        <v>42971</v>
      </c>
      <c r="B812" s="1">
        <v>39.817500000000003</v>
      </c>
      <c r="C812" s="1">
        <v>952.45</v>
      </c>
      <c r="D812" s="22">
        <f t="shared" si="42"/>
        <v>273.56602869546964</v>
      </c>
      <c r="E812" s="23">
        <f t="shared" si="43"/>
        <v>-1.5535346803520724</v>
      </c>
      <c r="F812" s="23">
        <f t="shared" si="44"/>
        <v>1.5535346803520724</v>
      </c>
    </row>
    <row r="813" spans="1:6" x14ac:dyDescent="0.3">
      <c r="A813" s="2">
        <v>42970</v>
      </c>
      <c r="B813" s="1">
        <v>39.994999999999997</v>
      </c>
      <c r="C813" s="1">
        <v>958</v>
      </c>
      <c r="D813" s="22">
        <f t="shared" si="42"/>
        <v>275.11956337582171</v>
      </c>
      <c r="E813" s="23">
        <f t="shared" si="43"/>
        <v>-2.242298331444033</v>
      </c>
      <c r="F813" s="23">
        <f t="shared" si="44"/>
        <v>2.242298331444033</v>
      </c>
    </row>
    <row r="814" spans="1:6" x14ac:dyDescent="0.3">
      <c r="A814" s="2">
        <v>42969</v>
      </c>
      <c r="B814" s="1">
        <v>39.945</v>
      </c>
      <c r="C814" s="1">
        <v>966.8999</v>
      </c>
      <c r="D814" s="22">
        <f t="shared" si="42"/>
        <v>277.36186170726575</v>
      </c>
      <c r="E814" s="23">
        <f t="shared" si="43"/>
        <v>3.9637828504415893</v>
      </c>
      <c r="F814" s="23">
        <f t="shared" si="44"/>
        <v>-3.9637828504415893</v>
      </c>
    </row>
    <row r="815" spans="1:6" x14ac:dyDescent="0.3">
      <c r="A815" s="2">
        <v>42968</v>
      </c>
      <c r="B815" s="1">
        <v>39.302500000000002</v>
      </c>
      <c r="C815" s="1">
        <v>953.29</v>
      </c>
      <c r="D815" s="22">
        <f t="shared" si="42"/>
        <v>273.39807885682416</v>
      </c>
      <c r="E815" s="23">
        <f t="shared" si="43"/>
        <v>-1.3806614015631453</v>
      </c>
      <c r="F815" s="23">
        <f t="shared" si="44"/>
        <v>1.3806614015631453</v>
      </c>
    </row>
    <row r="816" spans="1:6" x14ac:dyDescent="0.3">
      <c r="A816" s="2">
        <v>42965</v>
      </c>
      <c r="B816" s="1">
        <v>39.375</v>
      </c>
      <c r="C816" s="1">
        <v>958.47</v>
      </c>
      <c r="D816" s="22">
        <f t="shared" si="42"/>
        <v>274.7787402583873</v>
      </c>
      <c r="E816" s="23">
        <f t="shared" si="43"/>
        <v>-0.60483802903229389</v>
      </c>
      <c r="F816" s="23">
        <f t="shared" si="44"/>
        <v>0.60483802903229389</v>
      </c>
    </row>
    <row r="817" spans="1:6" x14ac:dyDescent="0.3">
      <c r="A817" s="2">
        <v>42964</v>
      </c>
      <c r="B817" s="1">
        <v>39.465000000000003</v>
      </c>
      <c r="C817" s="1">
        <v>960.57010000000002</v>
      </c>
      <c r="D817" s="22">
        <f t="shared" si="42"/>
        <v>275.3835782874196</v>
      </c>
      <c r="E817" s="23">
        <f t="shared" si="43"/>
        <v>-5.0849632337815933</v>
      </c>
      <c r="F817" s="23">
        <f t="shared" si="44"/>
        <v>5.0849632337815933</v>
      </c>
    </row>
    <row r="818" spans="1:6" x14ac:dyDescent="0.3">
      <c r="A818" s="2">
        <v>42963</v>
      </c>
      <c r="B818" s="1">
        <v>40.237499999999997</v>
      </c>
      <c r="C818" s="1">
        <v>978.17989999999998</v>
      </c>
      <c r="D818" s="22">
        <f t="shared" si="42"/>
        <v>280.46854152120119</v>
      </c>
      <c r="E818" s="23">
        <f t="shared" si="43"/>
        <v>-1.288837852083077</v>
      </c>
      <c r="F818" s="23">
        <f t="shared" si="44"/>
        <v>1.288837852083077</v>
      </c>
    </row>
    <row r="819" spans="1:6" x14ac:dyDescent="0.3">
      <c r="A819" s="2">
        <v>42962</v>
      </c>
      <c r="B819" s="1">
        <v>40.4</v>
      </c>
      <c r="C819" s="1">
        <v>982.74</v>
      </c>
      <c r="D819" s="22">
        <f t="shared" si="42"/>
        <v>281.75737937328427</v>
      </c>
      <c r="E819" s="23">
        <f t="shared" si="43"/>
        <v>0.18201473361540366</v>
      </c>
      <c r="F819" s="23">
        <f t="shared" si="44"/>
        <v>-0.18201473361540366</v>
      </c>
    </row>
    <row r="820" spans="1:6" x14ac:dyDescent="0.3">
      <c r="A820" s="2">
        <v>42961</v>
      </c>
      <c r="B820" s="1">
        <v>39.962499999999999</v>
      </c>
      <c r="C820" s="1">
        <v>983.3</v>
      </c>
      <c r="D820" s="22">
        <f t="shared" si="42"/>
        <v>281.57536463966886</v>
      </c>
      <c r="E820" s="23">
        <f t="shared" si="43"/>
        <v>4.3620282285866097</v>
      </c>
      <c r="F820" s="23">
        <f t="shared" si="44"/>
        <v>-4.3620282285866097</v>
      </c>
    </row>
    <row r="821" spans="1:6" x14ac:dyDescent="0.3">
      <c r="A821" s="2">
        <v>42958</v>
      </c>
      <c r="B821" s="1">
        <v>39.369999999999997</v>
      </c>
      <c r="C821" s="1">
        <v>967.99</v>
      </c>
      <c r="D821" s="22">
        <f t="shared" si="42"/>
        <v>277.21333641108225</v>
      </c>
      <c r="E821" s="23">
        <f t="shared" si="43"/>
        <v>3.2370279734900578</v>
      </c>
      <c r="F821" s="23">
        <f t="shared" si="44"/>
        <v>-3.2370279734900578</v>
      </c>
    </row>
    <row r="822" spans="1:6" x14ac:dyDescent="0.3">
      <c r="A822" s="2">
        <v>42957</v>
      </c>
      <c r="B822" s="1">
        <v>38.83</v>
      </c>
      <c r="C822" s="1">
        <v>956.91989999999998</v>
      </c>
      <c r="D822" s="22">
        <f t="shared" si="42"/>
        <v>273.97630843759219</v>
      </c>
      <c r="E822" s="23">
        <f t="shared" si="43"/>
        <v>-7.4936762153924974</v>
      </c>
      <c r="F822" s="23">
        <f t="shared" si="44"/>
        <v>7.4936762153924974</v>
      </c>
    </row>
    <row r="823" spans="1:6" x14ac:dyDescent="0.3">
      <c r="A823" s="2">
        <v>42956</v>
      </c>
      <c r="B823" s="1">
        <v>40.265000000000001</v>
      </c>
      <c r="C823" s="1">
        <v>982.01</v>
      </c>
      <c r="D823" s="22">
        <f t="shared" si="42"/>
        <v>281.46998465298469</v>
      </c>
      <c r="E823" s="23">
        <f t="shared" si="43"/>
        <v>-1.8232396737666363</v>
      </c>
      <c r="F823" s="23">
        <f t="shared" si="44"/>
        <v>1.8232396737666363</v>
      </c>
    </row>
    <row r="824" spans="1:6" x14ac:dyDescent="0.3">
      <c r="A824" s="2">
        <v>42955</v>
      </c>
      <c r="B824" s="1">
        <v>40.020000000000003</v>
      </c>
      <c r="C824" s="1">
        <v>989.84010000000001</v>
      </c>
      <c r="D824" s="22">
        <f t="shared" si="42"/>
        <v>283.29322432675133</v>
      </c>
      <c r="E824" s="23">
        <f t="shared" si="43"/>
        <v>-0.38617941941350864</v>
      </c>
      <c r="F824" s="23">
        <f t="shared" si="44"/>
        <v>0.38617941941350864</v>
      </c>
    </row>
    <row r="825" spans="1:6" x14ac:dyDescent="0.3">
      <c r="A825" s="2">
        <v>42954</v>
      </c>
      <c r="B825" s="1">
        <v>39.702500000000001</v>
      </c>
      <c r="C825" s="1">
        <v>992.27</v>
      </c>
      <c r="D825" s="22">
        <f t="shared" si="42"/>
        <v>283.67940374616484</v>
      </c>
      <c r="E825" s="23">
        <f t="shared" si="43"/>
        <v>1.6512473831122065</v>
      </c>
      <c r="F825" s="23">
        <f t="shared" si="44"/>
        <v>-1.6512473831122065</v>
      </c>
    </row>
    <row r="826" spans="1:6" x14ac:dyDescent="0.3">
      <c r="A826" s="2">
        <v>42951</v>
      </c>
      <c r="B826" s="1">
        <v>39.097499999999997</v>
      </c>
      <c r="C826" s="1">
        <v>987.58010000000002</v>
      </c>
      <c r="D826" s="22">
        <f t="shared" si="42"/>
        <v>282.02815636305263</v>
      </c>
      <c r="E826" s="23">
        <f t="shared" si="43"/>
        <v>0.32158836416863323</v>
      </c>
      <c r="F826" s="23">
        <f t="shared" si="44"/>
        <v>-0.32158836416863323</v>
      </c>
    </row>
    <row r="827" spans="1:6" x14ac:dyDescent="0.3">
      <c r="A827" s="2">
        <v>42950</v>
      </c>
      <c r="B827" s="1">
        <v>38.892499999999998</v>
      </c>
      <c r="C827" s="1">
        <v>986.91989999999998</v>
      </c>
      <c r="D827" s="22">
        <f t="shared" si="42"/>
        <v>281.706567998884</v>
      </c>
      <c r="E827" s="23">
        <f t="shared" si="43"/>
        <v>-2.5894171653270632</v>
      </c>
      <c r="F827" s="23">
        <f t="shared" si="44"/>
        <v>2.5894171653270632</v>
      </c>
    </row>
    <row r="828" spans="1:6" x14ac:dyDescent="0.3">
      <c r="A828" s="2">
        <v>42949</v>
      </c>
      <c r="B828" s="1">
        <v>39.284999999999997</v>
      </c>
      <c r="C828" s="1">
        <v>995.88990000000001</v>
      </c>
      <c r="D828" s="22">
        <f t="shared" si="42"/>
        <v>284.29598516421106</v>
      </c>
      <c r="E828" s="23">
        <f t="shared" si="43"/>
        <v>1.2416797347548254</v>
      </c>
      <c r="F828" s="23">
        <f t="shared" si="44"/>
        <v>-1.2416797347548254</v>
      </c>
    </row>
    <row r="829" spans="1:6" x14ac:dyDescent="0.3">
      <c r="A829" s="2">
        <v>42948</v>
      </c>
      <c r="B829" s="1">
        <v>37.512500000000003</v>
      </c>
      <c r="C829" s="1">
        <v>996.18989999999997</v>
      </c>
      <c r="D829" s="22">
        <f t="shared" si="42"/>
        <v>283.05430542945624</v>
      </c>
      <c r="E829" s="23">
        <f t="shared" si="43"/>
        <v>2.3994690765521796</v>
      </c>
      <c r="F829" s="23">
        <f t="shared" si="44"/>
        <v>-2.3994690765521796</v>
      </c>
    </row>
    <row r="830" spans="1:6" x14ac:dyDescent="0.3">
      <c r="A830" s="2">
        <v>42947</v>
      </c>
      <c r="B830" s="1">
        <v>37.182499999999997</v>
      </c>
      <c r="C830" s="1">
        <v>987.78</v>
      </c>
      <c r="D830" s="22">
        <f t="shared" si="42"/>
        <v>280.65483635290406</v>
      </c>
      <c r="E830" s="23">
        <f t="shared" si="43"/>
        <v>-8.4058070474061992</v>
      </c>
      <c r="F830" s="23">
        <f t="shared" si="44"/>
        <v>8.4058070474061992</v>
      </c>
    </row>
    <row r="831" spans="1:6" x14ac:dyDescent="0.3">
      <c r="A831" s="2">
        <v>42944</v>
      </c>
      <c r="B831" s="1">
        <v>37.375</v>
      </c>
      <c r="C831" s="1">
        <v>1020.04</v>
      </c>
      <c r="D831" s="22">
        <f t="shared" si="42"/>
        <v>289.06064340031025</v>
      </c>
      <c r="E831" s="23">
        <f t="shared" si="43"/>
        <v>-6.8461467867188048</v>
      </c>
      <c r="F831" s="23">
        <f t="shared" si="44"/>
        <v>6.8461467867188048</v>
      </c>
    </row>
    <row r="832" spans="1:6" x14ac:dyDescent="0.3">
      <c r="A832" s="2">
        <v>42943</v>
      </c>
      <c r="B832" s="1">
        <v>37.64</v>
      </c>
      <c r="C832" s="1">
        <v>1046</v>
      </c>
      <c r="D832" s="22">
        <f t="shared" si="42"/>
        <v>295.90679018702906</v>
      </c>
      <c r="E832" s="23">
        <f t="shared" si="43"/>
        <v>-2.2809629005376451</v>
      </c>
      <c r="F832" s="23">
        <f t="shared" si="44"/>
        <v>2.2809629005376451</v>
      </c>
    </row>
    <row r="833" spans="1:6" x14ac:dyDescent="0.3">
      <c r="A833" s="2">
        <v>42942</v>
      </c>
      <c r="B833" s="1">
        <v>38.365000000000002</v>
      </c>
      <c r="C833" s="1">
        <v>1052.8</v>
      </c>
      <c r="D833" s="22">
        <f t="shared" si="42"/>
        <v>298.1877530875667</v>
      </c>
      <c r="E833" s="23">
        <f t="shared" si="43"/>
        <v>3.4456011492766834</v>
      </c>
      <c r="F833" s="23">
        <f t="shared" si="44"/>
        <v>-3.4456011492766834</v>
      </c>
    </row>
    <row r="834" spans="1:6" x14ac:dyDescent="0.3">
      <c r="A834" s="2">
        <v>42941</v>
      </c>
      <c r="B834" s="1">
        <v>38.185000000000002</v>
      </c>
      <c r="C834" s="1">
        <v>1039.8699999999999</v>
      </c>
      <c r="D834" s="22">
        <f t="shared" si="42"/>
        <v>294.74215193829002</v>
      </c>
      <c r="E834" s="23">
        <f t="shared" si="43"/>
        <v>0.35651512710398947</v>
      </c>
      <c r="F834" s="23">
        <f t="shared" si="44"/>
        <v>-0.35651512710398947</v>
      </c>
    </row>
    <row r="835" spans="1:6" x14ac:dyDescent="0.3">
      <c r="A835" s="2">
        <v>42940</v>
      </c>
      <c r="B835" s="1">
        <v>38.022500000000001</v>
      </c>
      <c r="C835" s="1">
        <v>1038.95</v>
      </c>
      <c r="D835" s="22">
        <f t="shared" si="42"/>
        <v>294.38563681118603</v>
      </c>
      <c r="E835" s="23">
        <f t="shared" si="43"/>
        <v>3.7398105678018396</v>
      </c>
      <c r="F835" s="23">
        <f t="shared" si="44"/>
        <v>-3.7398105678018396</v>
      </c>
    </row>
    <row r="836" spans="1:6" x14ac:dyDescent="0.3">
      <c r="A836" s="2">
        <v>42937</v>
      </c>
      <c r="B836" s="1">
        <v>37.567500000000003</v>
      </c>
      <c r="C836" s="1">
        <v>1025.67</v>
      </c>
      <c r="D836" s="22">
        <f t="shared" si="42"/>
        <v>290.64582624338419</v>
      </c>
      <c r="E836" s="23">
        <f t="shared" si="43"/>
        <v>-0.78907831076043067</v>
      </c>
      <c r="F836" s="23">
        <f t="shared" si="44"/>
        <v>0.78907831076043067</v>
      </c>
    </row>
    <row r="837" spans="1:6" x14ac:dyDescent="0.3">
      <c r="A837" s="2">
        <v>42936</v>
      </c>
      <c r="B837" s="1">
        <v>37.585000000000001</v>
      </c>
      <c r="C837" s="1">
        <v>1028.7</v>
      </c>
      <c r="D837" s="22">
        <f t="shared" si="42"/>
        <v>291.43490455414462</v>
      </c>
      <c r="E837" s="23">
        <f t="shared" si="43"/>
        <v>0.34225116067085537</v>
      </c>
      <c r="F837" s="23">
        <f t="shared" si="44"/>
        <v>-0.34225116067085537</v>
      </c>
    </row>
    <row r="838" spans="1:6" x14ac:dyDescent="0.3">
      <c r="A838" s="2">
        <v>42935</v>
      </c>
      <c r="B838" s="1">
        <v>37.755000000000003</v>
      </c>
      <c r="C838" s="1">
        <v>1026.8699999999999</v>
      </c>
      <c r="D838" s="22">
        <f t="shared" ref="D838:D901" si="45">$M$16*B838+(1-$M$16)*C838</f>
        <v>291.09265339347377</v>
      </c>
      <c r="E838" s="23">
        <f t="shared" ref="E838:E901" si="46">D838-D839</f>
        <v>0.79463439303287942</v>
      </c>
      <c r="F838" s="23">
        <f t="shared" ref="F838:F901" si="47">-E838</f>
        <v>-0.79463439303287942</v>
      </c>
    </row>
    <row r="839" spans="1:6" x14ac:dyDescent="0.3">
      <c r="A839" s="2">
        <v>42934</v>
      </c>
      <c r="B839" s="1">
        <v>37.520000000000003</v>
      </c>
      <c r="C839" s="1">
        <v>1024.45</v>
      </c>
      <c r="D839" s="22">
        <f t="shared" si="45"/>
        <v>290.29801900044089</v>
      </c>
      <c r="E839" s="23">
        <f t="shared" si="46"/>
        <v>3.7874732871899255</v>
      </c>
      <c r="F839" s="23">
        <f t="shared" si="47"/>
        <v>-3.7874732871899255</v>
      </c>
    </row>
    <row r="840" spans="1:6" x14ac:dyDescent="0.3">
      <c r="A840" s="2">
        <v>42933</v>
      </c>
      <c r="B840" s="1">
        <v>37.39</v>
      </c>
      <c r="C840" s="1">
        <v>1010.04</v>
      </c>
      <c r="D840" s="22">
        <f t="shared" si="45"/>
        <v>286.51054571325096</v>
      </c>
      <c r="E840" s="23">
        <f t="shared" si="46"/>
        <v>2.2046172007169389</v>
      </c>
      <c r="F840" s="23">
        <f t="shared" si="47"/>
        <v>-2.2046172007169389</v>
      </c>
    </row>
    <row r="841" spans="1:6" x14ac:dyDescent="0.3">
      <c r="A841" s="2">
        <v>42930</v>
      </c>
      <c r="B841" s="1">
        <v>37.26</v>
      </c>
      <c r="C841" s="1">
        <v>1001.81</v>
      </c>
      <c r="D841" s="22">
        <f t="shared" si="45"/>
        <v>284.30592851253402</v>
      </c>
      <c r="E841" s="23">
        <f t="shared" si="46"/>
        <v>0.53840831303926961</v>
      </c>
      <c r="F841" s="23">
        <f t="shared" si="47"/>
        <v>-0.53840831303926961</v>
      </c>
    </row>
    <row r="842" spans="1:6" x14ac:dyDescent="0.3">
      <c r="A842" s="2">
        <v>42929</v>
      </c>
      <c r="B842" s="1">
        <v>36.942500000000003</v>
      </c>
      <c r="C842" s="1">
        <v>1000.63</v>
      </c>
      <c r="D842" s="22">
        <f t="shared" si="45"/>
        <v>283.76752019949475</v>
      </c>
      <c r="E842" s="23">
        <f t="shared" si="46"/>
        <v>-1.1285021443925416</v>
      </c>
      <c r="F842" s="23">
        <f t="shared" si="47"/>
        <v>1.1285021443925416</v>
      </c>
    </row>
    <row r="843" spans="1:6" x14ac:dyDescent="0.3">
      <c r="A843" s="2">
        <v>42928</v>
      </c>
      <c r="B843" s="1">
        <v>36.435000000000002</v>
      </c>
      <c r="C843" s="1">
        <v>1006.51</v>
      </c>
      <c r="D843" s="22">
        <f t="shared" si="45"/>
        <v>284.8960223438873</v>
      </c>
      <c r="E843" s="23">
        <f t="shared" si="46"/>
        <v>3.2099137041429913</v>
      </c>
      <c r="F843" s="23">
        <f t="shared" si="47"/>
        <v>-3.2099137041429913</v>
      </c>
    </row>
    <row r="844" spans="1:6" x14ac:dyDescent="0.3">
      <c r="A844" s="2">
        <v>42927</v>
      </c>
      <c r="B844" s="1">
        <v>36.3825</v>
      </c>
      <c r="C844" s="1">
        <v>994.12990000000002</v>
      </c>
      <c r="D844" s="22">
        <f t="shared" si="45"/>
        <v>281.6861086397443</v>
      </c>
      <c r="E844" s="23">
        <f t="shared" si="46"/>
        <v>-0.51195422623231934</v>
      </c>
      <c r="F844" s="23">
        <f t="shared" si="47"/>
        <v>0.51195422623231934</v>
      </c>
    </row>
    <row r="845" spans="1:6" x14ac:dyDescent="0.3">
      <c r="A845" s="2">
        <v>42926</v>
      </c>
      <c r="B845" s="1">
        <v>36.265000000000001</v>
      </c>
      <c r="C845" s="1">
        <v>996.47</v>
      </c>
      <c r="D845" s="22">
        <f t="shared" si="45"/>
        <v>282.19806286597662</v>
      </c>
      <c r="E845" s="23">
        <f t="shared" si="46"/>
        <v>4.6996364000665949</v>
      </c>
      <c r="F845" s="23">
        <f t="shared" si="47"/>
        <v>-4.6996364000665949</v>
      </c>
    </row>
    <row r="846" spans="1:6" x14ac:dyDescent="0.3">
      <c r="A846" s="2">
        <v>42923</v>
      </c>
      <c r="B846" s="1">
        <v>36.045000000000002</v>
      </c>
      <c r="C846" s="1">
        <v>978.76</v>
      </c>
      <c r="D846" s="22">
        <f t="shared" si="45"/>
        <v>277.49842646591003</v>
      </c>
      <c r="E846" s="23">
        <f t="shared" si="46"/>
        <v>3.7581104938548719</v>
      </c>
      <c r="F846" s="23">
        <f t="shared" si="47"/>
        <v>-3.7581104938548719</v>
      </c>
    </row>
    <row r="847" spans="1:6" x14ac:dyDescent="0.3">
      <c r="A847" s="2">
        <v>42922</v>
      </c>
      <c r="B847" s="1">
        <v>35.682499999999997</v>
      </c>
      <c r="C847" s="1">
        <v>965.13990000000001</v>
      </c>
      <c r="D847" s="22">
        <f t="shared" si="45"/>
        <v>273.74031597205516</v>
      </c>
      <c r="E847" s="23">
        <f t="shared" si="46"/>
        <v>-1.8562634355856744</v>
      </c>
      <c r="F847" s="23">
        <f t="shared" si="47"/>
        <v>1.8562634355856744</v>
      </c>
    </row>
    <row r="848" spans="1:6" x14ac:dyDescent="0.3">
      <c r="A848" s="2">
        <v>42921</v>
      </c>
      <c r="B848" s="1">
        <v>36.022500000000001</v>
      </c>
      <c r="C848" s="1">
        <v>971.3999</v>
      </c>
      <c r="D848" s="22">
        <f t="shared" si="45"/>
        <v>275.59657940764083</v>
      </c>
      <c r="E848" s="23">
        <f t="shared" si="46"/>
        <v>4.6533892720509584</v>
      </c>
      <c r="F848" s="23">
        <f t="shared" si="47"/>
        <v>-4.6533892720509584</v>
      </c>
    </row>
    <row r="849" spans="1:6" x14ac:dyDescent="0.3">
      <c r="A849" s="2">
        <v>42920</v>
      </c>
      <c r="B849" s="1">
        <v>35.875</v>
      </c>
      <c r="C849" s="1">
        <v>953.65989999999999</v>
      </c>
      <c r="D849" s="22">
        <f t="shared" si="45"/>
        <v>270.94319013558987</v>
      </c>
      <c r="E849" s="23">
        <f t="shared" si="46"/>
        <v>0</v>
      </c>
      <c r="F849" s="23">
        <f t="shared" si="47"/>
        <v>0</v>
      </c>
    </row>
    <row r="850" spans="1:6" x14ac:dyDescent="0.3">
      <c r="A850" s="2">
        <v>42919</v>
      </c>
      <c r="B850" s="1">
        <v>35.875</v>
      </c>
      <c r="C850" s="1">
        <v>953.65989999999999</v>
      </c>
      <c r="D850" s="22">
        <f t="shared" si="45"/>
        <v>270.94319013558987</v>
      </c>
      <c r="E850" s="23">
        <f t="shared" si="46"/>
        <v>-3.7695701091244018</v>
      </c>
      <c r="F850" s="23">
        <f t="shared" si="47"/>
        <v>3.7695701091244018</v>
      </c>
    </row>
    <row r="851" spans="1:6" x14ac:dyDescent="0.3">
      <c r="A851" s="2">
        <v>42916</v>
      </c>
      <c r="B851" s="1">
        <v>36.005000000000003</v>
      </c>
      <c r="C851" s="1">
        <v>968</v>
      </c>
      <c r="D851" s="22">
        <f t="shared" si="45"/>
        <v>274.71276024471427</v>
      </c>
      <c r="E851" s="23">
        <f t="shared" si="46"/>
        <v>-1.967820913830451</v>
      </c>
      <c r="F851" s="23">
        <f t="shared" si="47"/>
        <v>1.967820913830451</v>
      </c>
    </row>
    <row r="852" spans="1:6" x14ac:dyDescent="0.3">
      <c r="A852" s="2">
        <v>42915</v>
      </c>
      <c r="B852" s="1">
        <v>35.92</v>
      </c>
      <c r="C852" s="1">
        <v>975.92989999999998</v>
      </c>
      <c r="D852" s="22">
        <f t="shared" si="45"/>
        <v>276.68058115854473</v>
      </c>
      <c r="E852" s="23">
        <f t="shared" si="46"/>
        <v>-4.0880920825159137</v>
      </c>
      <c r="F852" s="23">
        <f t="shared" si="47"/>
        <v>4.0880920825159137</v>
      </c>
    </row>
    <row r="853" spans="1:6" x14ac:dyDescent="0.3">
      <c r="A853" s="2">
        <v>42914</v>
      </c>
      <c r="B853" s="1">
        <v>36.457500000000003</v>
      </c>
      <c r="C853" s="1">
        <v>990.33010000000002</v>
      </c>
      <c r="D853" s="22">
        <f t="shared" si="45"/>
        <v>280.76867324106064</v>
      </c>
      <c r="E853" s="23">
        <f t="shared" si="46"/>
        <v>3.8610612964270103</v>
      </c>
      <c r="F853" s="23">
        <f t="shared" si="47"/>
        <v>-3.8610612964270103</v>
      </c>
    </row>
    <row r="854" spans="1:6" x14ac:dyDescent="0.3">
      <c r="A854" s="2">
        <v>42913</v>
      </c>
      <c r="B854" s="1">
        <v>35.932499999999997</v>
      </c>
      <c r="C854" s="1">
        <v>976.78</v>
      </c>
      <c r="D854" s="22">
        <f t="shared" si="45"/>
        <v>276.90761194463363</v>
      </c>
      <c r="E854" s="23">
        <f t="shared" si="46"/>
        <v>-4.794034366044059</v>
      </c>
      <c r="F854" s="23">
        <f t="shared" si="47"/>
        <v>4.794034366044059</v>
      </c>
    </row>
    <row r="855" spans="1:6" x14ac:dyDescent="0.3">
      <c r="A855" s="2">
        <v>42912</v>
      </c>
      <c r="B855" s="1">
        <v>36.454999999999998</v>
      </c>
      <c r="C855" s="1">
        <v>993.98</v>
      </c>
      <c r="D855" s="22">
        <f t="shared" si="45"/>
        <v>281.70164631067769</v>
      </c>
      <c r="E855" s="23">
        <f t="shared" si="46"/>
        <v>-2.585331222335185</v>
      </c>
      <c r="F855" s="23">
        <f t="shared" si="47"/>
        <v>2.585331222335185</v>
      </c>
    </row>
    <row r="856" spans="1:6" x14ac:dyDescent="0.3">
      <c r="A856" s="2">
        <v>42909</v>
      </c>
      <c r="B856" s="1">
        <v>36.57</v>
      </c>
      <c r="C856" s="1">
        <v>1003.74</v>
      </c>
      <c r="D856" s="22">
        <f t="shared" si="45"/>
        <v>284.28697753301287</v>
      </c>
      <c r="E856" s="23">
        <f t="shared" si="46"/>
        <v>0.7458260092139426</v>
      </c>
      <c r="F856" s="23">
        <f t="shared" si="47"/>
        <v>-0.7458260092139426</v>
      </c>
    </row>
    <row r="857" spans="1:6" x14ac:dyDescent="0.3">
      <c r="A857" s="2">
        <v>42908</v>
      </c>
      <c r="B857" s="1">
        <v>36.407499999999999</v>
      </c>
      <c r="C857" s="1">
        <v>1001.3</v>
      </c>
      <c r="D857" s="22">
        <f t="shared" si="45"/>
        <v>283.54115152379893</v>
      </c>
      <c r="E857" s="23">
        <f t="shared" si="46"/>
        <v>-0.28282925489185118</v>
      </c>
      <c r="F857" s="23">
        <f t="shared" si="47"/>
        <v>0.28282925489185118</v>
      </c>
    </row>
    <row r="858" spans="1:6" x14ac:dyDescent="0.3">
      <c r="A858" s="2">
        <v>42907</v>
      </c>
      <c r="B858" s="1">
        <v>36.467500000000001</v>
      </c>
      <c r="C858" s="1">
        <v>1002.23</v>
      </c>
      <c r="D858" s="22">
        <f t="shared" si="45"/>
        <v>283.82398077869078</v>
      </c>
      <c r="E858" s="23">
        <f t="shared" si="46"/>
        <v>2.6289579821033726</v>
      </c>
      <c r="F858" s="23">
        <f t="shared" si="47"/>
        <v>-2.6289579821033726</v>
      </c>
    </row>
    <row r="859" spans="1:6" x14ac:dyDescent="0.3">
      <c r="A859" s="2">
        <v>42906</v>
      </c>
      <c r="B859" s="1">
        <v>36.252499999999998</v>
      </c>
      <c r="C859" s="1">
        <v>992.59010000000001</v>
      </c>
      <c r="D859" s="22">
        <f t="shared" si="45"/>
        <v>281.19502279658741</v>
      </c>
      <c r="E859" s="23">
        <f t="shared" si="46"/>
        <v>-0.90809101668781977</v>
      </c>
      <c r="F859" s="23">
        <f t="shared" si="47"/>
        <v>0.90809101668781977</v>
      </c>
    </row>
    <row r="860" spans="1:6" x14ac:dyDescent="0.3">
      <c r="A860" s="2">
        <v>42905</v>
      </c>
      <c r="B860" s="1">
        <v>36.585000000000001</v>
      </c>
      <c r="C860" s="1">
        <v>995.16989999999998</v>
      </c>
      <c r="D860" s="22">
        <f t="shared" si="45"/>
        <v>282.10311381327523</v>
      </c>
      <c r="E860" s="23">
        <f t="shared" si="46"/>
        <v>2.6675634387529499</v>
      </c>
      <c r="F860" s="23">
        <f t="shared" si="47"/>
        <v>-2.6675634387529499</v>
      </c>
    </row>
    <row r="861" spans="1:6" x14ac:dyDescent="0.3">
      <c r="A861" s="2">
        <v>42902</v>
      </c>
      <c r="B861" s="1">
        <v>35.567500000000003</v>
      </c>
      <c r="C861" s="1">
        <v>987.71</v>
      </c>
      <c r="D861" s="22">
        <f t="shared" si="45"/>
        <v>279.43555037452228</v>
      </c>
      <c r="E861" s="23">
        <f t="shared" si="46"/>
        <v>5.6535651917233167</v>
      </c>
      <c r="F861" s="23">
        <f t="shared" si="47"/>
        <v>-5.6535651917233167</v>
      </c>
    </row>
    <row r="862" spans="1:6" x14ac:dyDescent="0.3">
      <c r="A862" s="2">
        <v>42901</v>
      </c>
      <c r="B862" s="1">
        <v>36.072499999999998</v>
      </c>
      <c r="C862" s="1">
        <v>964.16989999999998</v>
      </c>
      <c r="D862" s="22">
        <f t="shared" si="45"/>
        <v>273.78198518279896</v>
      </c>
      <c r="E862" s="23">
        <f t="shared" si="46"/>
        <v>-3.3121629369608172</v>
      </c>
      <c r="F862" s="23">
        <f t="shared" si="47"/>
        <v>3.3121629369608172</v>
      </c>
    </row>
    <row r="863" spans="1:6" x14ac:dyDescent="0.3">
      <c r="A863" s="2">
        <v>42900</v>
      </c>
      <c r="B863" s="1">
        <v>36.29</v>
      </c>
      <c r="C863" s="1">
        <v>976.47</v>
      </c>
      <c r="D863" s="22">
        <f t="shared" si="45"/>
        <v>277.09414811975978</v>
      </c>
      <c r="E863" s="23">
        <f t="shared" si="46"/>
        <v>-1.3723976120791122</v>
      </c>
      <c r="F863" s="23">
        <f t="shared" si="47"/>
        <v>1.3723976120791122</v>
      </c>
    </row>
    <row r="864" spans="1:6" x14ac:dyDescent="0.3">
      <c r="A864" s="2">
        <v>42899</v>
      </c>
      <c r="B864" s="1">
        <v>36.647500000000001</v>
      </c>
      <c r="C864" s="1">
        <v>980.79</v>
      </c>
      <c r="D864" s="22">
        <f t="shared" si="45"/>
        <v>278.46654573183889</v>
      </c>
      <c r="E864" s="23">
        <f t="shared" si="46"/>
        <v>4.2848830960364808</v>
      </c>
      <c r="F864" s="23">
        <f t="shared" si="47"/>
        <v>-4.2848830960364808</v>
      </c>
    </row>
    <row r="865" spans="1:6" x14ac:dyDescent="0.3">
      <c r="A865" s="2">
        <v>42898</v>
      </c>
      <c r="B865" s="1">
        <v>36.354999999999997</v>
      </c>
      <c r="C865" s="1">
        <v>964.90989999999999</v>
      </c>
      <c r="D865" s="22">
        <f t="shared" si="45"/>
        <v>274.18166263580241</v>
      </c>
      <c r="E865" s="23">
        <f t="shared" si="46"/>
        <v>-4.094182235112271</v>
      </c>
      <c r="F865" s="23">
        <f t="shared" si="47"/>
        <v>4.094182235112271</v>
      </c>
    </row>
    <row r="866" spans="1:6" x14ac:dyDescent="0.3">
      <c r="A866" s="2">
        <v>42895</v>
      </c>
      <c r="B866" s="1">
        <v>37.244999999999997</v>
      </c>
      <c r="C866" s="1">
        <v>978.31010000000003</v>
      </c>
      <c r="D866" s="22">
        <f t="shared" si="45"/>
        <v>278.27584487091468</v>
      </c>
      <c r="E866" s="23">
        <f t="shared" si="46"/>
        <v>-9.3034192505081137</v>
      </c>
      <c r="F866" s="23">
        <f t="shared" si="47"/>
        <v>9.3034192505081137</v>
      </c>
    </row>
    <row r="867" spans="1:6" x14ac:dyDescent="0.3">
      <c r="A867" s="2">
        <v>42894</v>
      </c>
      <c r="B867" s="1">
        <v>38.747500000000002</v>
      </c>
      <c r="C867" s="1">
        <v>1010.27</v>
      </c>
      <c r="D867" s="22">
        <f t="shared" si="45"/>
        <v>287.5792641214228</v>
      </c>
      <c r="E867" s="23">
        <f t="shared" si="46"/>
        <v>-1.9442953801103613E-2</v>
      </c>
      <c r="F867" s="23">
        <f t="shared" si="47"/>
        <v>1.9442953801103613E-2</v>
      </c>
    </row>
    <row r="868" spans="1:6" x14ac:dyDescent="0.3">
      <c r="A868" s="2">
        <v>42893</v>
      </c>
      <c r="B868" s="1">
        <v>38.842500000000001</v>
      </c>
      <c r="C868" s="1">
        <v>1010.07</v>
      </c>
      <c r="D868" s="22">
        <f t="shared" si="45"/>
        <v>287.5987070752239</v>
      </c>
      <c r="E868" s="23">
        <f t="shared" si="46"/>
        <v>1.9818989694943525</v>
      </c>
      <c r="F868" s="23">
        <f t="shared" si="47"/>
        <v>-1.9818989694943525</v>
      </c>
    </row>
    <row r="869" spans="1:6" x14ac:dyDescent="0.3">
      <c r="A869" s="2">
        <v>42892</v>
      </c>
      <c r="B869" s="1">
        <v>38.612499999999997</v>
      </c>
      <c r="C869" s="1">
        <v>1003</v>
      </c>
      <c r="D869" s="22">
        <f t="shared" si="45"/>
        <v>285.61680810572955</v>
      </c>
      <c r="E869" s="23">
        <f t="shared" si="46"/>
        <v>-2.0393836654410507</v>
      </c>
      <c r="F869" s="23">
        <f t="shared" si="47"/>
        <v>2.0393836654410507</v>
      </c>
    </row>
    <row r="870" spans="1:6" x14ac:dyDescent="0.3">
      <c r="A870" s="2">
        <v>42891</v>
      </c>
      <c r="B870" s="1">
        <v>38.482500000000002</v>
      </c>
      <c r="C870" s="1">
        <v>1011.34</v>
      </c>
      <c r="D870" s="22">
        <f t="shared" si="45"/>
        <v>287.6561917711706</v>
      </c>
      <c r="E870" s="23">
        <f t="shared" si="46"/>
        <v>0.89806664587376872</v>
      </c>
      <c r="F870" s="23">
        <f t="shared" si="47"/>
        <v>-0.89806664587376872</v>
      </c>
    </row>
    <row r="871" spans="1:6" x14ac:dyDescent="0.3">
      <c r="A871" s="2">
        <v>42888</v>
      </c>
      <c r="B871" s="1">
        <v>38.862499999999997</v>
      </c>
      <c r="C871" s="1">
        <v>1006.73</v>
      </c>
      <c r="D871" s="22">
        <f t="shared" si="45"/>
        <v>286.75812512529683</v>
      </c>
      <c r="E871" s="23">
        <f t="shared" si="46"/>
        <v>3.183182489175465</v>
      </c>
      <c r="F871" s="23">
        <f t="shared" si="47"/>
        <v>-3.183182489175465</v>
      </c>
    </row>
    <row r="872" spans="1:6" x14ac:dyDescent="0.3">
      <c r="A872" s="2">
        <v>42887</v>
      </c>
      <c r="B872" s="1">
        <v>38.295000000000002</v>
      </c>
      <c r="C872" s="1">
        <v>995.95</v>
      </c>
      <c r="D872" s="22">
        <f t="shared" si="45"/>
        <v>283.57494263612136</v>
      </c>
      <c r="E872" s="23">
        <f t="shared" si="46"/>
        <v>0.41872822335290039</v>
      </c>
      <c r="F872" s="23">
        <f t="shared" si="47"/>
        <v>-0.41872822335290039</v>
      </c>
    </row>
    <row r="873" spans="1:6" x14ac:dyDescent="0.3">
      <c r="A873" s="2">
        <v>42886</v>
      </c>
      <c r="B873" s="1">
        <v>38.19</v>
      </c>
      <c r="C873" s="1">
        <v>994.62009999999998</v>
      </c>
      <c r="D873" s="22">
        <f t="shared" si="45"/>
        <v>283.15621441276846</v>
      </c>
      <c r="E873" s="23">
        <f t="shared" si="46"/>
        <v>-0.7019470250133395</v>
      </c>
      <c r="F873" s="23">
        <f t="shared" si="47"/>
        <v>0.7019470250133395</v>
      </c>
    </row>
    <row r="874" spans="1:6" x14ac:dyDescent="0.3">
      <c r="A874" s="2">
        <v>42885</v>
      </c>
      <c r="B874" s="1">
        <v>38.417499999999997</v>
      </c>
      <c r="C874" s="1">
        <v>996.7</v>
      </c>
      <c r="D874" s="22">
        <f t="shared" si="45"/>
        <v>283.8581614377818</v>
      </c>
      <c r="E874" s="23">
        <f t="shared" si="46"/>
        <v>0.24679365020358546</v>
      </c>
      <c r="F874" s="23">
        <f t="shared" si="47"/>
        <v>-0.24679365020358546</v>
      </c>
    </row>
    <row r="875" spans="1:6" x14ac:dyDescent="0.3">
      <c r="A875" s="2">
        <v>42884</v>
      </c>
      <c r="B875" s="1">
        <v>38.402500000000003</v>
      </c>
      <c r="C875" s="1">
        <v>995.78</v>
      </c>
      <c r="D875" s="22">
        <f t="shared" si="45"/>
        <v>283.61136778757822</v>
      </c>
      <c r="E875" s="23">
        <f t="shared" si="46"/>
        <v>0</v>
      </c>
      <c r="F875" s="23">
        <f t="shared" si="47"/>
        <v>0</v>
      </c>
    </row>
    <row r="876" spans="1:6" x14ac:dyDescent="0.3">
      <c r="A876" s="2">
        <v>42881</v>
      </c>
      <c r="B876" s="1">
        <v>38.402500000000003</v>
      </c>
      <c r="C876" s="1">
        <v>995.78</v>
      </c>
      <c r="D876" s="22">
        <f t="shared" si="45"/>
        <v>283.61136778757822</v>
      </c>
      <c r="E876" s="23">
        <f t="shared" si="46"/>
        <v>0.56637516808484634</v>
      </c>
      <c r="F876" s="23">
        <f t="shared" si="47"/>
        <v>-0.56637516808484634</v>
      </c>
    </row>
    <row r="877" spans="1:6" x14ac:dyDescent="0.3">
      <c r="A877" s="2">
        <v>42880</v>
      </c>
      <c r="B877" s="1">
        <v>38.467500000000001</v>
      </c>
      <c r="C877" s="1">
        <v>993.37990000000002</v>
      </c>
      <c r="D877" s="22">
        <f t="shared" si="45"/>
        <v>283.04499261949337</v>
      </c>
      <c r="E877" s="23">
        <f t="shared" si="46"/>
        <v>3.4358284472600644</v>
      </c>
      <c r="F877" s="23">
        <f t="shared" si="47"/>
        <v>-3.4358284472600644</v>
      </c>
    </row>
    <row r="878" spans="1:6" x14ac:dyDescent="0.3">
      <c r="A878" s="2">
        <v>42879</v>
      </c>
      <c r="B878" s="1">
        <v>38.335000000000001</v>
      </c>
      <c r="C878" s="1">
        <v>980.3501</v>
      </c>
      <c r="D878" s="22">
        <f t="shared" si="45"/>
        <v>279.60916417223331</v>
      </c>
      <c r="E878" s="23">
        <f t="shared" si="46"/>
        <v>2.1709464170517094</v>
      </c>
      <c r="F878" s="23">
        <f t="shared" si="47"/>
        <v>-2.1709464170517094</v>
      </c>
    </row>
    <row r="879" spans="1:6" x14ac:dyDescent="0.3">
      <c r="A879" s="2">
        <v>42878</v>
      </c>
      <c r="B879" s="1">
        <v>38.450000000000003</v>
      </c>
      <c r="C879" s="1">
        <v>971.54</v>
      </c>
      <c r="D879" s="22">
        <f t="shared" si="45"/>
        <v>277.4382177551816</v>
      </c>
      <c r="E879" s="23">
        <f t="shared" si="46"/>
        <v>0.18752083251581553</v>
      </c>
      <c r="F879" s="23">
        <f t="shared" si="47"/>
        <v>-0.18752083251581553</v>
      </c>
    </row>
    <row r="880" spans="1:6" x14ac:dyDescent="0.3">
      <c r="A880" s="2">
        <v>42877</v>
      </c>
      <c r="B880" s="1">
        <v>38.497500000000002</v>
      </c>
      <c r="C880" s="1">
        <v>970.66989999999998</v>
      </c>
      <c r="D880" s="22">
        <f t="shared" si="45"/>
        <v>277.25069692266578</v>
      </c>
      <c r="E880" s="23">
        <f t="shared" si="46"/>
        <v>2.9467396124885568</v>
      </c>
      <c r="F880" s="23">
        <f t="shared" si="47"/>
        <v>-2.9467396124885568</v>
      </c>
    </row>
    <row r="881" spans="1:6" x14ac:dyDescent="0.3">
      <c r="A881" s="2">
        <v>42874</v>
      </c>
      <c r="B881" s="1">
        <v>38.265000000000001</v>
      </c>
      <c r="C881" s="1">
        <v>959.84010000000001</v>
      </c>
      <c r="D881" s="22">
        <f t="shared" si="45"/>
        <v>274.30395731017722</v>
      </c>
      <c r="E881" s="23">
        <f t="shared" si="46"/>
        <v>0.44249882056726619</v>
      </c>
      <c r="F881" s="23">
        <f t="shared" si="47"/>
        <v>-0.44249882056726619</v>
      </c>
    </row>
    <row r="882" spans="1:6" x14ac:dyDescent="0.3">
      <c r="A882" s="2">
        <v>42873</v>
      </c>
      <c r="B882" s="1">
        <v>38.134999999999998</v>
      </c>
      <c r="C882" s="1">
        <v>958.49</v>
      </c>
      <c r="D882" s="22">
        <f t="shared" si="45"/>
        <v>273.86145848960996</v>
      </c>
      <c r="E882" s="23">
        <f t="shared" si="46"/>
        <v>3.9424723232633596</v>
      </c>
      <c r="F882" s="23">
        <f t="shared" si="47"/>
        <v>-3.9424723232633596</v>
      </c>
    </row>
    <row r="883" spans="1:6" x14ac:dyDescent="0.3">
      <c r="A883" s="2">
        <v>42872</v>
      </c>
      <c r="B883" s="1">
        <v>37.5625</v>
      </c>
      <c r="C883" s="1">
        <v>944.76</v>
      </c>
      <c r="D883" s="22">
        <f t="shared" si="45"/>
        <v>269.9189861663466</v>
      </c>
      <c r="E883" s="23">
        <f t="shared" si="46"/>
        <v>-6.4288178471682045</v>
      </c>
      <c r="F883" s="23">
        <f t="shared" si="47"/>
        <v>6.4288178471682045</v>
      </c>
    </row>
    <row r="884" spans="1:6" x14ac:dyDescent="0.3">
      <c r="A884" s="2">
        <v>42871</v>
      </c>
      <c r="B884" s="1">
        <v>38.8675</v>
      </c>
      <c r="C884" s="1">
        <v>966.07010000000002</v>
      </c>
      <c r="D884" s="22">
        <f t="shared" si="45"/>
        <v>276.3478040135148</v>
      </c>
      <c r="E884" s="23">
        <f t="shared" si="46"/>
        <v>2.0318700341442195</v>
      </c>
      <c r="F884" s="23">
        <f t="shared" si="47"/>
        <v>-2.0318700341442195</v>
      </c>
    </row>
    <row r="885" spans="1:6" x14ac:dyDescent="0.3">
      <c r="A885" s="2">
        <v>42870</v>
      </c>
      <c r="B885" s="1">
        <v>38.924999999999997</v>
      </c>
      <c r="C885" s="1">
        <v>957.97</v>
      </c>
      <c r="D885" s="22">
        <f t="shared" si="45"/>
        <v>274.31593397937058</v>
      </c>
      <c r="E885" s="23">
        <f t="shared" si="46"/>
        <v>-0.94011751605819427</v>
      </c>
      <c r="F885" s="23">
        <f t="shared" si="47"/>
        <v>0.94011751605819427</v>
      </c>
    </row>
    <row r="886" spans="1:6" x14ac:dyDescent="0.3">
      <c r="A886" s="2">
        <v>42867</v>
      </c>
      <c r="B886" s="1">
        <v>39.024999999999999</v>
      </c>
      <c r="C886" s="1">
        <v>961.3501</v>
      </c>
      <c r="D886" s="22">
        <f t="shared" si="45"/>
        <v>275.25605149542878</v>
      </c>
      <c r="E886" s="23">
        <f t="shared" si="46"/>
        <v>3.9164367185750848</v>
      </c>
      <c r="F886" s="23">
        <f t="shared" si="47"/>
        <v>-3.9164367185750848</v>
      </c>
    </row>
    <row r="887" spans="1:6" x14ac:dyDescent="0.3">
      <c r="A887" s="2">
        <v>42866</v>
      </c>
      <c r="B887" s="1">
        <v>38.487499999999997</v>
      </c>
      <c r="C887" s="1">
        <v>947.62009999999998</v>
      </c>
      <c r="D887" s="22">
        <f t="shared" si="45"/>
        <v>271.33961477685369</v>
      </c>
      <c r="E887" s="23">
        <f t="shared" si="46"/>
        <v>-0.21230307189591713</v>
      </c>
      <c r="F887" s="23">
        <f t="shared" si="47"/>
        <v>0.21230307189591713</v>
      </c>
    </row>
    <row r="888" spans="1:6" x14ac:dyDescent="0.3">
      <c r="A888" s="2">
        <v>42865</v>
      </c>
      <c r="B888" s="1">
        <v>38.314999999999998</v>
      </c>
      <c r="C888" s="1">
        <v>948.95</v>
      </c>
      <c r="D888" s="22">
        <f t="shared" si="45"/>
        <v>271.55191784874961</v>
      </c>
      <c r="E888" s="23">
        <f t="shared" si="46"/>
        <v>-1.1269886900449251</v>
      </c>
      <c r="F888" s="23">
        <f t="shared" si="47"/>
        <v>1.1269886900449251</v>
      </c>
    </row>
    <row r="889" spans="1:6" x14ac:dyDescent="0.3">
      <c r="A889" s="2">
        <v>42864</v>
      </c>
      <c r="B889" s="1">
        <v>38.497500000000002</v>
      </c>
      <c r="C889" s="1">
        <v>952.82010000000002</v>
      </c>
      <c r="D889" s="22">
        <f t="shared" si="45"/>
        <v>272.67890653879454</v>
      </c>
      <c r="E889" s="23">
        <f t="shared" si="46"/>
        <v>1.1504295390437846</v>
      </c>
      <c r="F889" s="23">
        <f t="shared" si="47"/>
        <v>-1.1504295390437846</v>
      </c>
    </row>
    <row r="890" spans="1:6" x14ac:dyDescent="0.3">
      <c r="A890" s="2">
        <v>42863</v>
      </c>
      <c r="B890" s="1">
        <v>38.252499999999998</v>
      </c>
      <c r="C890" s="1">
        <v>949.04</v>
      </c>
      <c r="D890" s="22">
        <f t="shared" si="45"/>
        <v>271.52847699975075</v>
      </c>
      <c r="E890" s="23">
        <f t="shared" si="46"/>
        <v>4.566908353662825</v>
      </c>
      <c r="F890" s="23">
        <f t="shared" si="47"/>
        <v>-4.566908353662825</v>
      </c>
    </row>
    <row r="891" spans="1:6" x14ac:dyDescent="0.3">
      <c r="A891" s="2">
        <v>42860</v>
      </c>
      <c r="B891" s="1">
        <v>37.24</v>
      </c>
      <c r="C891" s="1">
        <v>934.1499</v>
      </c>
      <c r="D891" s="22">
        <f t="shared" si="45"/>
        <v>266.96156864608793</v>
      </c>
      <c r="E891" s="23">
        <f t="shared" si="46"/>
        <v>-0.41382636414550689</v>
      </c>
      <c r="F891" s="23">
        <f t="shared" si="47"/>
        <v>0.41382636414550689</v>
      </c>
    </row>
    <row r="892" spans="1:6" x14ac:dyDescent="0.3">
      <c r="A892" s="2">
        <v>42859</v>
      </c>
      <c r="B892" s="1">
        <v>36.6325</v>
      </c>
      <c r="C892" s="1">
        <v>937.53</v>
      </c>
      <c r="D892" s="22">
        <f t="shared" si="45"/>
        <v>267.37539501023343</v>
      </c>
      <c r="E892" s="23">
        <f t="shared" si="46"/>
        <v>-0.99500289177956347</v>
      </c>
      <c r="F892" s="23">
        <f t="shared" si="47"/>
        <v>0.99500289177956347</v>
      </c>
    </row>
    <row r="893" spans="1:6" x14ac:dyDescent="0.3">
      <c r="A893" s="2">
        <v>42858</v>
      </c>
      <c r="B893" s="1">
        <v>36.765000000000001</v>
      </c>
      <c r="C893" s="1">
        <v>941.03</v>
      </c>
      <c r="D893" s="22">
        <f t="shared" si="45"/>
        <v>268.370397902013</v>
      </c>
      <c r="E893" s="23">
        <f t="shared" si="46"/>
        <v>-1.5973624394365515</v>
      </c>
      <c r="F893" s="23">
        <f t="shared" si="47"/>
        <v>1.5973624394365515</v>
      </c>
    </row>
    <row r="894" spans="1:6" x14ac:dyDescent="0.3">
      <c r="A894" s="2">
        <v>42857</v>
      </c>
      <c r="B894" s="1">
        <v>36.877499999999998</v>
      </c>
      <c r="C894" s="1">
        <v>946.93989999999997</v>
      </c>
      <c r="D894" s="22">
        <f t="shared" si="45"/>
        <v>269.96776034144955</v>
      </c>
      <c r="E894" s="23">
        <f t="shared" si="46"/>
        <v>-0.15747680861875324</v>
      </c>
      <c r="F894" s="23">
        <f t="shared" si="47"/>
        <v>0.15747680861875324</v>
      </c>
    </row>
    <row r="895" spans="1:6" x14ac:dyDescent="0.3">
      <c r="A895" s="2">
        <v>42856</v>
      </c>
      <c r="B895" s="1">
        <v>36.645000000000003</v>
      </c>
      <c r="C895" s="1">
        <v>948.23</v>
      </c>
      <c r="D895" s="22">
        <f t="shared" si="45"/>
        <v>270.1252371500683</v>
      </c>
      <c r="E895" s="23">
        <f t="shared" si="46"/>
        <v>6.49724649939958</v>
      </c>
      <c r="F895" s="23">
        <f t="shared" si="47"/>
        <v>-6.49724649939958</v>
      </c>
    </row>
    <row r="896" spans="1:6" x14ac:dyDescent="0.3">
      <c r="A896" s="2">
        <v>42853</v>
      </c>
      <c r="B896" s="1">
        <v>35.912500000000001</v>
      </c>
      <c r="C896" s="1">
        <v>924.99</v>
      </c>
      <c r="D896" s="22">
        <f t="shared" si="45"/>
        <v>263.62799065066872</v>
      </c>
      <c r="E896" s="23">
        <f t="shared" si="46"/>
        <v>1.6669800938869344</v>
      </c>
      <c r="F896" s="23">
        <f t="shared" si="47"/>
        <v>-1.6669800938869344</v>
      </c>
    </row>
    <row r="897" spans="1:6" x14ac:dyDescent="0.3">
      <c r="A897" s="2">
        <v>42852</v>
      </c>
      <c r="B897" s="1">
        <v>35.947499999999998</v>
      </c>
      <c r="C897" s="1">
        <v>918.37990000000002</v>
      </c>
      <c r="D897" s="22">
        <f t="shared" si="45"/>
        <v>261.96101055678179</v>
      </c>
      <c r="E897" s="23">
        <f t="shared" si="46"/>
        <v>2.3486124592317879</v>
      </c>
      <c r="F897" s="23">
        <f t="shared" si="47"/>
        <v>-2.3486124592317879</v>
      </c>
    </row>
    <row r="898" spans="1:6" x14ac:dyDescent="0.3">
      <c r="A898" s="2">
        <v>42851</v>
      </c>
      <c r="B898" s="1">
        <v>35.92</v>
      </c>
      <c r="C898" s="1">
        <v>909.29</v>
      </c>
      <c r="D898" s="22">
        <f t="shared" si="45"/>
        <v>259.61239809755</v>
      </c>
      <c r="E898" s="23">
        <f t="shared" si="46"/>
        <v>0.26963079242335652</v>
      </c>
      <c r="F898" s="23">
        <f t="shared" si="47"/>
        <v>-0.26963079242335652</v>
      </c>
    </row>
    <row r="899" spans="1:6" x14ac:dyDescent="0.3">
      <c r="A899" s="2">
        <v>42850</v>
      </c>
      <c r="B899" s="1">
        <v>36.1325</v>
      </c>
      <c r="C899" s="1">
        <v>907.62009999999998</v>
      </c>
      <c r="D899" s="22">
        <f t="shared" si="45"/>
        <v>259.34276730512664</v>
      </c>
      <c r="E899" s="23">
        <f t="shared" si="46"/>
        <v>0.21934965536189566</v>
      </c>
      <c r="F899" s="23">
        <f t="shared" si="47"/>
        <v>-0.21934965536189566</v>
      </c>
    </row>
    <row r="900" spans="1:6" x14ac:dyDescent="0.3">
      <c r="A900" s="2">
        <v>42849</v>
      </c>
      <c r="B900" s="1">
        <v>35.909999999999997</v>
      </c>
      <c r="C900" s="1">
        <v>907.40989999999999</v>
      </c>
      <c r="D900" s="22">
        <f t="shared" si="45"/>
        <v>259.12341764976475</v>
      </c>
      <c r="E900" s="23">
        <f t="shared" si="46"/>
        <v>2.5291465295556463</v>
      </c>
      <c r="F900" s="23">
        <f t="shared" si="47"/>
        <v>-2.5291465295556463</v>
      </c>
    </row>
    <row r="901" spans="1:6" x14ac:dyDescent="0.3">
      <c r="A901" s="2">
        <v>42846</v>
      </c>
      <c r="B901" s="1">
        <v>35.567500000000003</v>
      </c>
      <c r="C901" s="1">
        <v>898.53</v>
      </c>
      <c r="D901" s="22">
        <f t="shared" si="45"/>
        <v>256.5942711202091</v>
      </c>
      <c r="E901" s="23">
        <f t="shared" si="46"/>
        <v>-0.93576357397785159</v>
      </c>
      <c r="F901" s="23">
        <f t="shared" si="47"/>
        <v>0.93576357397785159</v>
      </c>
    </row>
    <row r="902" spans="1:6" x14ac:dyDescent="0.3">
      <c r="A902" s="2">
        <v>42845</v>
      </c>
      <c r="B902" s="1">
        <v>35.61</v>
      </c>
      <c r="C902" s="1">
        <v>902.06010000000003</v>
      </c>
      <c r="D902" s="22">
        <f t="shared" ref="D902:D965" si="48">$M$16*B902+(1-$M$16)*C902</f>
        <v>257.53003469418695</v>
      </c>
      <c r="E902" s="23">
        <f t="shared" ref="E902:E965" si="49">D902-D903</f>
        <v>1.0598495169697912</v>
      </c>
      <c r="F902" s="23">
        <f t="shared" ref="F902:F965" si="50">-E902</f>
        <v>-1.0598495169697912</v>
      </c>
    </row>
    <row r="903" spans="1:6" x14ac:dyDescent="0.3">
      <c r="A903" s="2">
        <v>42844</v>
      </c>
      <c r="B903" s="1">
        <v>35.17</v>
      </c>
      <c r="C903" s="1">
        <v>899.2</v>
      </c>
      <c r="D903" s="22">
        <f t="shared" si="48"/>
        <v>256.47018517721716</v>
      </c>
      <c r="E903" s="23">
        <f t="shared" si="49"/>
        <v>-1.2697588324926414</v>
      </c>
      <c r="F903" s="23">
        <f t="shared" si="50"/>
        <v>1.2697588324926414</v>
      </c>
    </row>
    <row r="904" spans="1:6" x14ac:dyDescent="0.3">
      <c r="A904" s="2">
        <v>42843</v>
      </c>
      <c r="B904" s="1">
        <v>35.299999999999997</v>
      </c>
      <c r="C904" s="1">
        <v>903.78</v>
      </c>
      <c r="D904" s="22">
        <f t="shared" si="48"/>
        <v>257.7399440097098</v>
      </c>
      <c r="E904" s="23">
        <f t="shared" si="49"/>
        <v>0.34130456770327555</v>
      </c>
      <c r="F904" s="23">
        <f t="shared" si="50"/>
        <v>-0.34130456770327555</v>
      </c>
    </row>
    <row r="905" spans="1:6" x14ac:dyDescent="0.3">
      <c r="A905" s="2">
        <v>42842</v>
      </c>
      <c r="B905" s="1">
        <v>35.457500000000003</v>
      </c>
      <c r="C905" s="1">
        <v>901.99</v>
      </c>
      <c r="D905" s="22">
        <f t="shared" si="48"/>
        <v>257.39863944200653</v>
      </c>
      <c r="E905" s="23">
        <f t="shared" si="49"/>
        <v>4.5811761758021703</v>
      </c>
      <c r="F905" s="23">
        <f t="shared" si="50"/>
        <v>-4.5811761758021703</v>
      </c>
    </row>
    <row r="906" spans="1:6" x14ac:dyDescent="0.3">
      <c r="A906" s="2">
        <v>42839</v>
      </c>
      <c r="B906" s="1">
        <v>35.262500000000003</v>
      </c>
      <c r="C906" s="1">
        <v>884.66989999999998</v>
      </c>
      <c r="D906" s="22">
        <f t="shared" si="48"/>
        <v>252.81746326620436</v>
      </c>
      <c r="E906" s="23">
        <f t="shared" si="49"/>
        <v>0</v>
      </c>
      <c r="F906" s="23">
        <f t="shared" si="50"/>
        <v>0</v>
      </c>
    </row>
    <row r="907" spans="1:6" x14ac:dyDescent="0.3">
      <c r="A907" s="2">
        <v>42838</v>
      </c>
      <c r="B907" s="1">
        <v>35.262500000000003</v>
      </c>
      <c r="C907" s="1">
        <v>884.66989999999998</v>
      </c>
      <c r="D907" s="22">
        <f t="shared" si="48"/>
        <v>252.81746326620436</v>
      </c>
      <c r="E907" s="23">
        <f t="shared" si="49"/>
        <v>-3.1003137749226539</v>
      </c>
      <c r="F907" s="23">
        <f t="shared" si="50"/>
        <v>3.1003137749226539</v>
      </c>
    </row>
    <row r="908" spans="1:6" x14ac:dyDescent="0.3">
      <c r="A908" s="2">
        <v>42837</v>
      </c>
      <c r="B908" s="1">
        <v>35.450000000000003</v>
      </c>
      <c r="C908" s="1">
        <v>896.23</v>
      </c>
      <c r="D908" s="22">
        <f t="shared" si="48"/>
        <v>255.91777704112701</v>
      </c>
      <c r="E908" s="23">
        <f t="shared" si="49"/>
        <v>-1.5384607571784272</v>
      </c>
      <c r="F908" s="23">
        <f t="shared" si="50"/>
        <v>1.5384607571784272</v>
      </c>
    </row>
    <row r="909" spans="1:6" x14ac:dyDescent="0.3">
      <c r="A909" s="2">
        <v>42836</v>
      </c>
      <c r="B909" s="1">
        <v>35.407499999999999</v>
      </c>
      <c r="C909" s="1">
        <v>902.36009999999999</v>
      </c>
      <c r="D909" s="22">
        <f t="shared" si="48"/>
        <v>257.45623779830544</v>
      </c>
      <c r="E909" s="23">
        <f t="shared" si="49"/>
        <v>-1.4850337549826236</v>
      </c>
      <c r="F909" s="23">
        <f t="shared" si="50"/>
        <v>1.4850337549826236</v>
      </c>
    </row>
    <row r="910" spans="1:6" x14ac:dyDescent="0.3">
      <c r="A910" s="2">
        <v>42835</v>
      </c>
      <c r="B910" s="1">
        <v>35.792499999999997</v>
      </c>
      <c r="C910" s="1">
        <v>907.04</v>
      </c>
      <c r="D910" s="22">
        <f t="shared" si="48"/>
        <v>258.94127155328806</v>
      </c>
      <c r="E910" s="23">
        <f t="shared" si="49"/>
        <v>3.0828980066010274</v>
      </c>
      <c r="F910" s="23">
        <f t="shared" si="50"/>
        <v>-3.0828980066010274</v>
      </c>
    </row>
    <row r="911" spans="1:6" x14ac:dyDescent="0.3">
      <c r="A911" s="2">
        <v>42832</v>
      </c>
      <c r="B911" s="1">
        <v>35.835000000000001</v>
      </c>
      <c r="C911" s="1">
        <v>894.87990000000002</v>
      </c>
      <c r="D911" s="22">
        <f t="shared" si="48"/>
        <v>255.85837354668703</v>
      </c>
      <c r="E911" s="23">
        <f t="shared" si="49"/>
        <v>-0.93036253927166968</v>
      </c>
      <c r="F911" s="23">
        <f t="shared" si="50"/>
        <v>0.93036253927166968</v>
      </c>
    </row>
    <row r="912" spans="1:6" x14ac:dyDescent="0.3">
      <c r="A912" s="2">
        <v>42831</v>
      </c>
      <c r="B912" s="1">
        <v>35.914999999999999</v>
      </c>
      <c r="C912" s="1">
        <v>898.28</v>
      </c>
      <c r="D912" s="22">
        <f t="shared" si="48"/>
        <v>256.7887360859587</v>
      </c>
      <c r="E912" s="23">
        <f t="shared" si="49"/>
        <v>-2.8843300814594386</v>
      </c>
      <c r="F912" s="23">
        <f t="shared" si="50"/>
        <v>2.8843300814594386</v>
      </c>
    </row>
    <row r="913" spans="1:6" x14ac:dyDescent="0.3">
      <c r="A913" s="2">
        <v>42830</v>
      </c>
      <c r="B913" s="1">
        <v>36.005000000000003</v>
      </c>
      <c r="C913" s="1">
        <v>909.28</v>
      </c>
      <c r="D913" s="22">
        <f t="shared" si="48"/>
        <v>259.67306616741814</v>
      </c>
      <c r="E913" s="23">
        <f t="shared" si="49"/>
        <v>0.48800560557663175</v>
      </c>
      <c r="F913" s="23">
        <f t="shared" si="50"/>
        <v>-0.48800560557663175</v>
      </c>
    </row>
    <row r="914" spans="1:6" x14ac:dyDescent="0.3">
      <c r="A914" s="2">
        <v>42829</v>
      </c>
      <c r="B914" s="1">
        <v>36.192500000000003</v>
      </c>
      <c r="C914" s="1">
        <v>906.83010000000002</v>
      </c>
      <c r="D914" s="22">
        <f t="shared" si="48"/>
        <v>259.18506056184151</v>
      </c>
      <c r="E914" s="23">
        <f t="shared" si="49"/>
        <v>4.1228559105570355</v>
      </c>
      <c r="F914" s="23">
        <f t="shared" si="50"/>
        <v>-4.1228559105570355</v>
      </c>
    </row>
    <row r="915" spans="1:6" x14ac:dyDescent="0.3">
      <c r="A915" s="2">
        <v>42828</v>
      </c>
      <c r="B915" s="1">
        <v>35.924999999999997</v>
      </c>
      <c r="C915" s="1">
        <v>891.51</v>
      </c>
      <c r="D915" s="22">
        <f t="shared" si="48"/>
        <v>255.06220465128447</v>
      </c>
      <c r="E915" s="23">
        <f t="shared" si="49"/>
        <v>1.2803828784637119</v>
      </c>
      <c r="F915" s="23">
        <f t="shared" si="50"/>
        <v>-1.2803828784637119</v>
      </c>
    </row>
    <row r="916" spans="1:6" x14ac:dyDescent="0.3">
      <c r="A916" s="2">
        <v>42825</v>
      </c>
      <c r="B916" s="1">
        <v>35.914999999999999</v>
      </c>
      <c r="C916" s="1">
        <v>886.54</v>
      </c>
      <c r="D916" s="22">
        <f t="shared" si="48"/>
        <v>253.78182177282076</v>
      </c>
      <c r="E916" s="23">
        <f t="shared" si="49"/>
        <v>2.5622437835359051</v>
      </c>
      <c r="F916" s="23">
        <f t="shared" si="50"/>
        <v>-2.5622437835359051</v>
      </c>
    </row>
    <row r="917" spans="1:6" x14ac:dyDescent="0.3">
      <c r="A917" s="2">
        <v>42824</v>
      </c>
      <c r="B917" s="1">
        <v>35.982500000000002</v>
      </c>
      <c r="C917" s="1">
        <v>876.34010000000001</v>
      </c>
      <c r="D917" s="22">
        <f t="shared" si="48"/>
        <v>251.21957798928486</v>
      </c>
      <c r="E917" s="23">
        <f t="shared" si="49"/>
        <v>0.48203963734349031</v>
      </c>
      <c r="F917" s="23">
        <f t="shared" si="50"/>
        <v>-0.48203963734349031</v>
      </c>
    </row>
    <row r="918" spans="1:6" x14ac:dyDescent="0.3">
      <c r="A918" s="2">
        <v>42823</v>
      </c>
      <c r="B918" s="1">
        <v>36.03</v>
      </c>
      <c r="C918" s="1">
        <v>874.32010000000002</v>
      </c>
      <c r="D918" s="22">
        <f t="shared" si="48"/>
        <v>250.73753835194137</v>
      </c>
      <c r="E918" s="23">
        <f t="shared" si="49"/>
        <v>4.7517561978761762</v>
      </c>
      <c r="F918" s="23">
        <f t="shared" si="50"/>
        <v>-4.7517561978761762</v>
      </c>
    </row>
    <row r="919" spans="1:6" x14ac:dyDescent="0.3">
      <c r="A919" s="2">
        <v>42822</v>
      </c>
      <c r="B919" s="1">
        <v>35.950000000000003</v>
      </c>
      <c r="C919" s="1">
        <v>856</v>
      </c>
      <c r="D919" s="22">
        <f t="shared" si="48"/>
        <v>245.98578215406519</v>
      </c>
      <c r="E919" s="23">
        <f t="shared" si="49"/>
        <v>2.8942355412763163</v>
      </c>
      <c r="F919" s="23">
        <f t="shared" si="50"/>
        <v>-2.8942355412763163</v>
      </c>
    </row>
    <row r="920" spans="1:6" x14ac:dyDescent="0.3">
      <c r="A920" s="2">
        <v>42821</v>
      </c>
      <c r="B920" s="1">
        <v>35.22</v>
      </c>
      <c r="C920" s="1">
        <v>846.82010000000002</v>
      </c>
      <c r="D920" s="22">
        <f t="shared" si="48"/>
        <v>243.09154661278887</v>
      </c>
      <c r="E920" s="23">
        <f t="shared" si="49"/>
        <v>0.35454441738576747</v>
      </c>
      <c r="F920" s="23">
        <f t="shared" si="50"/>
        <v>-0.35454441738576747</v>
      </c>
    </row>
    <row r="921" spans="1:6" x14ac:dyDescent="0.3">
      <c r="A921" s="2">
        <v>42818</v>
      </c>
      <c r="B921" s="1">
        <v>35.159999999999997</v>
      </c>
      <c r="C921" s="1">
        <v>845.61009999999999</v>
      </c>
      <c r="D921" s="22">
        <f t="shared" si="48"/>
        <v>242.73700219540311</v>
      </c>
      <c r="E921" s="23">
        <f t="shared" si="49"/>
        <v>-0.50536226145416663</v>
      </c>
      <c r="F921" s="23">
        <f t="shared" si="50"/>
        <v>0.50536226145416663</v>
      </c>
    </row>
    <row r="922" spans="1:6" x14ac:dyDescent="0.3">
      <c r="A922" s="2">
        <v>42817</v>
      </c>
      <c r="B922" s="1">
        <v>35.229999999999997</v>
      </c>
      <c r="C922" s="1">
        <v>847.37990000000002</v>
      </c>
      <c r="D922" s="22">
        <f t="shared" si="48"/>
        <v>243.24236445685727</v>
      </c>
      <c r="E922" s="23">
        <f t="shared" si="49"/>
        <v>-0.26720092220222114</v>
      </c>
      <c r="F922" s="23">
        <f t="shared" si="50"/>
        <v>0.26720092220222114</v>
      </c>
    </row>
    <row r="923" spans="1:6" x14ac:dyDescent="0.3">
      <c r="A923" s="2">
        <v>42816</v>
      </c>
      <c r="B923" s="1">
        <v>35.354999999999997</v>
      </c>
      <c r="C923" s="1">
        <v>848.06010000000003</v>
      </c>
      <c r="D923" s="22">
        <f t="shared" si="48"/>
        <v>243.5095653790595</v>
      </c>
      <c r="E923" s="23">
        <f t="shared" si="49"/>
        <v>1.5386263287556687</v>
      </c>
      <c r="F923" s="23">
        <f t="shared" si="50"/>
        <v>-1.5386263287556687</v>
      </c>
    </row>
    <row r="924" spans="1:6" x14ac:dyDescent="0.3">
      <c r="A924" s="2">
        <v>42815</v>
      </c>
      <c r="B924" s="1">
        <v>34.96</v>
      </c>
      <c r="C924" s="1">
        <v>843.2</v>
      </c>
      <c r="D924" s="22">
        <f t="shared" si="48"/>
        <v>241.97093905030383</v>
      </c>
      <c r="E924" s="23">
        <f t="shared" si="49"/>
        <v>-3.8281183811829465</v>
      </c>
      <c r="F924" s="23">
        <f t="shared" si="50"/>
        <v>3.8281183811829465</v>
      </c>
    </row>
    <row r="925" spans="1:6" x14ac:dyDescent="0.3">
      <c r="A925" s="2">
        <v>42814</v>
      </c>
      <c r="B925" s="1">
        <v>35.365000000000002</v>
      </c>
      <c r="C925" s="1">
        <v>856.97</v>
      </c>
      <c r="D925" s="22">
        <f t="shared" si="48"/>
        <v>245.79905743148677</v>
      </c>
      <c r="E925" s="23">
        <f t="shared" si="49"/>
        <v>1.4668934410318002</v>
      </c>
      <c r="F925" s="23">
        <f t="shared" si="50"/>
        <v>-1.4668934410318002</v>
      </c>
    </row>
    <row r="926" spans="1:6" x14ac:dyDescent="0.3">
      <c r="A926" s="2">
        <v>42811</v>
      </c>
      <c r="B926" s="1">
        <v>34.997500000000002</v>
      </c>
      <c r="C926" s="1">
        <v>852.31010000000003</v>
      </c>
      <c r="D926" s="22">
        <f t="shared" si="48"/>
        <v>244.33216399045497</v>
      </c>
      <c r="E926" s="23">
        <f t="shared" si="49"/>
        <v>-0.41442619249752966</v>
      </c>
      <c r="F926" s="23">
        <f t="shared" si="50"/>
        <v>0.41442619249752966</v>
      </c>
    </row>
    <row r="927" spans="1:6" x14ac:dyDescent="0.3">
      <c r="A927" s="2">
        <v>42810</v>
      </c>
      <c r="B927" s="1">
        <v>35.172499999999999</v>
      </c>
      <c r="C927" s="1">
        <v>853.41989999999998</v>
      </c>
      <c r="D927" s="22">
        <f t="shared" si="48"/>
        <v>244.7465901829525</v>
      </c>
      <c r="E927" s="23">
        <f t="shared" si="49"/>
        <v>0.15800367772359891</v>
      </c>
      <c r="F927" s="23">
        <f t="shared" si="50"/>
        <v>-0.15800367772359891</v>
      </c>
    </row>
    <row r="928" spans="1:6" x14ac:dyDescent="0.3">
      <c r="A928" s="2">
        <v>42809</v>
      </c>
      <c r="B928" s="1">
        <v>35.115000000000002</v>
      </c>
      <c r="C928" s="1">
        <v>852.97</v>
      </c>
      <c r="D928" s="22">
        <f t="shared" si="48"/>
        <v>244.5885865052289</v>
      </c>
      <c r="E928" s="23">
        <f t="shared" si="49"/>
        <v>0.38606910457431809</v>
      </c>
      <c r="F928" s="23">
        <f t="shared" si="50"/>
        <v>-0.38606910457431809</v>
      </c>
    </row>
    <row r="929" spans="1:6" x14ac:dyDescent="0.3">
      <c r="A929" s="2">
        <v>42808</v>
      </c>
      <c r="B929" s="1">
        <v>34.747500000000002</v>
      </c>
      <c r="C929" s="1">
        <v>852.53</v>
      </c>
      <c r="D929" s="22">
        <f t="shared" si="48"/>
        <v>244.20251740065459</v>
      </c>
      <c r="E929" s="23">
        <f t="shared" si="49"/>
        <v>-0.56669771508140343</v>
      </c>
      <c r="F929" s="23">
        <f t="shared" si="50"/>
        <v>0.56669771508140343</v>
      </c>
    </row>
    <row r="930" spans="1:6" x14ac:dyDescent="0.3">
      <c r="A930" s="2">
        <v>42807</v>
      </c>
      <c r="B930" s="1">
        <v>34.799999999999997</v>
      </c>
      <c r="C930" s="1">
        <v>854.59010000000001</v>
      </c>
      <c r="D930" s="22">
        <f t="shared" si="48"/>
        <v>244.76921511573599</v>
      </c>
      <c r="E930" s="23">
        <f t="shared" si="49"/>
        <v>0.55673121496744216</v>
      </c>
      <c r="F930" s="23">
        <f t="shared" si="50"/>
        <v>-0.55673121496744216</v>
      </c>
    </row>
    <row r="931" spans="1:6" x14ac:dyDescent="0.3">
      <c r="A931" s="2">
        <v>42804</v>
      </c>
      <c r="B931" s="1">
        <v>34.784999999999997</v>
      </c>
      <c r="C931" s="1">
        <v>852.46</v>
      </c>
      <c r="D931" s="22">
        <f t="shared" si="48"/>
        <v>244.21248390076855</v>
      </c>
      <c r="E931" s="23">
        <f t="shared" si="49"/>
        <v>-5.2762255119688461E-2</v>
      </c>
      <c r="F931" s="23">
        <f t="shared" si="50"/>
        <v>5.2762255119688461E-2</v>
      </c>
    </row>
    <row r="932" spans="1:6" x14ac:dyDescent="0.3">
      <c r="A932" s="2">
        <v>42803</v>
      </c>
      <c r="B932" s="1">
        <v>34.67</v>
      </c>
      <c r="C932" s="1">
        <v>853</v>
      </c>
      <c r="D932" s="22">
        <f t="shared" si="48"/>
        <v>244.26524615588824</v>
      </c>
      <c r="E932" s="23">
        <f t="shared" si="49"/>
        <v>0.58080399726537735</v>
      </c>
      <c r="F932" s="23">
        <f t="shared" si="50"/>
        <v>-0.58080399726537735</v>
      </c>
    </row>
    <row r="933" spans="1:6" x14ac:dyDescent="0.3">
      <c r="A933" s="2">
        <v>42802</v>
      </c>
      <c r="B933" s="1">
        <v>34.75</v>
      </c>
      <c r="C933" s="1">
        <v>850.5</v>
      </c>
      <c r="D933" s="22">
        <f t="shared" si="48"/>
        <v>243.68444215862286</v>
      </c>
      <c r="E933" s="23">
        <f t="shared" si="49"/>
        <v>1.0507389253463373</v>
      </c>
      <c r="F933" s="23">
        <f t="shared" si="50"/>
        <v>-1.0507389253463373</v>
      </c>
    </row>
    <row r="934" spans="1:6" x14ac:dyDescent="0.3">
      <c r="A934" s="2">
        <v>42801</v>
      </c>
      <c r="B934" s="1">
        <v>34.880000000000003</v>
      </c>
      <c r="C934" s="1">
        <v>846.02</v>
      </c>
      <c r="D934" s="22">
        <f t="shared" si="48"/>
        <v>242.63370323327652</v>
      </c>
      <c r="E934" s="23">
        <f t="shared" si="49"/>
        <v>-0.11766535607102924</v>
      </c>
      <c r="F934" s="23">
        <f t="shared" si="50"/>
        <v>0.11766535607102924</v>
      </c>
    </row>
    <row r="935" spans="1:6" x14ac:dyDescent="0.3">
      <c r="A935" s="2">
        <v>42800</v>
      </c>
      <c r="B935" s="1">
        <v>34.835000000000001</v>
      </c>
      <c r="C935" s="1">
        <v>846.61009999999999</v>
      </c>
      <c r="D935" s="22">
        <f t="shared" si="48"/>
        <v>242.75136858934755</v>
      </c>
      <c r="E935" s="23">
        <f t="shared" si="49"/>
        <v>-0.91930560874388334</v>
      </c>
      <c r="F935" s="23">
        <f t="shared" si="50"/>
        <v>0.91930560874388334</v>
      </c>
    </row>
    <row r="936" spans="1:6" x14ac:dyDescent="0.3">
      <c r="A936" s="2">
        <v>42797</v>
      </c>
      <c r="B936" s="1">
        <v>34.945</v>
      </c>
      <c r="C936" s="1">
        <v>849.87990000000002</v>
      </c>
      <c r="D936" s="22">
        <f t="shared" si="48"/>
        <v>243.67067419809143</v>
      </c>
      <c r="E936" s="23">
        <f t="shared" si="49"/>
        <v>0.40093606895661082</v>
      </c>
      <c r="F936" s="23">
        <f t="shared" si="50"/>
        <v>-0.40093606895661082</v>
      </c>
    </row>
    <row r="937" spans="1:6" x14ac:dyDescent="0.3">
      <c r="A937" s="2">
        <v>42796</v>
      </c>
      <c r="B937" s="1">
        <v>34.74</v>
      </c>
      <c r="C937" s="1">
        <v>848.90989999999999</v>
      </c>
      <c r="D937" s="22">
        <f t="shared" si="48"/>
        <v>243.26973812913482</v>
      </c>
      <c r="E937" s="23">
        <f t="shared" si="49"/>
        <v>-1.222448837195202</v>
      </c>
      <c r="F937" s="23">
        <f t="shared" si="50"/>
        <v>1.222448837195202</v>
      </c>
    </row>
    <row r="938" spans="1:6" x14ac:dyDescent="0.3">
      <c r="A938" s="2">
        <v>42795</v>
      </c>
      <c r="B938" s="1">
        <v>34.947499999999998</v>
      </c>
      <c r="C938" s="1">
        <v>853.08010000000002</v>
      </c>
      <c r="D938" s="22">
        <f t="shared" si="48"/>
        <v>244.49218696633002</v>
      </c>
      <c r="E938" s="23">
        <f t="shared" si="49"/>
        <v>2.5799873722200743</v>
      </c>
      <c r="F938" s="23">
        <f t="shared" si="50"/>
        <v>-2.5799873722200743</v>
      </c>
    </row>
    <row r="939" spans="1:6" x14ac:dyDescent="0.3">
      <c r="A939" s="2">
        <v>42794</v>
      </c>
      <c r="B939" s="1">
        <v>34.247500000000002</v>
      </c>
      <c r="C939" s="1">
        <v>845.04</v>
      </c>
      <c r="D939" s="22">
        <f t="shared" si="48"/>
        <v>241.91219959410995</v>
      </c>
      <c r="E939" s="23">
        <f t="shared" si="49"/>
        <v>-0.91086836035455576</v>
      </c>
      <c r="F939" s="23">
        <f t="shared" si="50"/>
        <v>0.91086836035455576</v>
      </c>
    </row>
    <row r="940" spans="1:6" x14ac:dyDescent="0.3">
      <c r="A940" s="2">
        <v>42793</v>
      </c>
      <c r="B940" s="1">
        <v>34.232500000000002</v>
      </c>
      <c r="C940" s="1">
        <v>848.63990000000001</v>
      </c>
      <c r="D940" s="22">
        <f t="shared" si="48"/>
        <v>242.82306795446451</v>
      </c>
      <c r="E940" s="23">
        <f t="shared" si="49"/>
        <v>0.92101288390978198</v>
      </c>
      <c r="F940" s="23">
        <f t="shared" si="50"/>
        <v>-0.92101288390978198</v>
      </c>
    </row>
    <row r="941" spans="1:6" x14ac:dyDescent="0.3">
      <c r="A941" s="2">
        <v>42790</v>
      </c>
      <c r="B941" s="1">
        <v>34.164999999999999</v>
      </c>
      <c r="C941" s="1">
        <v>845.24</v>
      </c>
      <c r="D941" s="22">
        <f t="shared" si="48"/>
        <v>241.90205507055472</v>
      </c>
      <c r="E941" s="23">
        <f t="shared" si="49"/>
        <v>-1.7558712521340851</v>
      </c>
      <c r="F941" s="23">
        <f t="shared" si="50"/>
        <v>1.7558712521340851</v>
      </c>
    </row>
    <row r="942" spans="1:6" x14ac:dyDescent="0.3">
      <c r="A942" s="2">
        <v>42789</v>
      </c>
      <c r="B942" s="1">
        <v>34.1325</v>
      </c>
      <c r="C942" s="1">
        <v>852.18989999999997</v>
      </c>
      <c r="D942" s="22">
        <f t="shared" si="48"/>
        <v>243.65792632268881</v>
      </c>
      <c r="E942" s="23">
        <f t="shared" si="49"/>
        <v>-0.98386250071459358</v>
      </c>
      <c r="F942" s="23">
        <f t="shared" si="50"/>
        <v>0.98386250071459358</v>
      </c>
    </row>
    <row r="943" spans="1:6" x14ac:dyDescent="0.3">
      <c r="A943" s="2">
        <v>42788</v>
      </c>
      <c r="B943" s="1">
        <v>34.277500000000003</v>
      </c>
      <c r="C943" s="1">
        <v>855.61009999999999</v>
      </c>
      <c r="D943" s="22">
        <f t="shared" si="48"/>
        <v>244.6417888234034</v>
      </c>
      <c r="E943" s="23">
        <f t="shared" si="49"/>
        <v>-0.13628587854668694</v>
      </c>
      <c r="F943" s="23">
        <f t="shared" si="50"/>
        <v>0.13628587854668694</v>
      </c>
    </row>
    <row r="944" spans="1:6" x14ac:dyDescent="0.3">
      <c r="A944" s="2">
        <v>42787</v>
      </c>
      <c r="B944" s="1">
        <v>34.174999999999997</v>
      </c>
      <c r="C944" s="1">
        <v>856.43989999999997</v>
      </c>
      <c r="D944" s="22">
        <f t="shared" si="48"/>
        <v>244.77807470195009</v>
      </c>
      <c r="E944" s="23">
        <f t="shared" si="49"/>
        <v>3.0943458561155239</v>
      </c>
      <c r="F944" s="23">
        <f t="shared" si="50"/>
        <v>-3.0943458561155239</v>
      </c>
    </row>
    <row r="945" spans="1:6" x14ac:dyDescent="0.3">
      <c r="A945" s="2">
        <v>42786</v>
      </c>
      <c r="B945" s="1">
        <v>33.93</v>
      </c>
      <c r="C945" s="1">
        <v>845.07010000000002</v>
      </c>
      <c r="D945" s="22">
        <f t="shared" si="48"/>
        <v>241.68372884583457</v>
      </c>
      <c r="E945" s="23">
        <f t="shared" si="49"/>
        <v>0</v>
      </c>
      <c r="F945" s="23">
        <f t="shared" si="50"/>
        <v>0</v>
      </c>
    </row>
    <row r="946" spans="1:6" x14ac:dyDescent="0.3">
      <c r="A946" s="2">
        <v>42783</v>
      </c>
      <c r="B946" s="1">
        <v>33.93</v>
      </c>
      <c r="C946" s="1">
        <v>845.07010000000002</v>
      </c>
      <c r="D946" s="22">
        <f t="shared" si="48"/>
        <v>241.68372884583457</v>
      </c>
      <c r="E946" s="23">
        <f t="shared" si="49"/>
        <v>0.30802343539252774</v>
      </c>
      <c r="F946" s="23">
        <f t="shared" si="50"/>
        <v>-0.30802343539252774</v>
      </c>
    </row>
    <row r="947" spans="1:6" x14ac:dyDescent="0.3">
      <c r="A947" s="2">
        <v>42782</v>
      </c>
      <c r="B947" s="1">
        <v>33.836199999999998</v>
      </c>
      <c r="C947" s="1">
        <v>844.13990000000001</v>
      </c>
      <c r="D947" s="22">
        <f t="shared" si="48"/>
        <v>241.37570541044204</v>
      </c>
      <c r="E947" s="23">
        <f t="shared" si="49"/>
        <v>0.33807320959283516</v>
      </c>
      <c r="F947" s="23">
        <f t="shared" si="50"/>
        <v>-0.33807320959283516</v>
      </c>
    </row>
    <row r="948" spans="1:6" x14ac:dyDescent="0.3">
      <c r="A948" s="2">
        <v>42781</v>
      </c>
      <c r="B948" s="1">
        <v>33.877499999999998</v>
      </c>
      <c r="C948" s="1">
        <v>842.7</v>
      </c>
      <c r="D948" s="22">
        <f t="shared" si="48"/>
        <v>241.0376322008492</v>
      </c>
      <c r="E948" s="23">
        <f t="shared" si="49"/>
        <v>1.7073026408834835</v>
      </c>
      <c r="F948" s="23">
        <f t="shared" si="50"/>
        <v>-1.7073026408834835</v>
      </c>
    </row>
    <row r="949" spans="1:6" x14ac:dyDescent="0.3">
      <c r="A949" s="2">
        <v>42780</v>
      </c>
      <c r="B949" s="1">
        <v>33.755000000000003</v>
      </c>
      <c r="C949" s="1">
        <v>836.38990000000001</v>
      </c>
      <c r="D949" s="22">
        <f t="shared" si="48"/>
        <v>239.33032955996572</v>
      </c>
      <c r="E949" s="23">
        <f t="shared" si="49"/>
        <v>0.28584249269997031</v>
      </c>
      <c r="F949" s="23">
        <f t="shared" si="50"/>
        <v>-0.28584249269997031</v>
      </c>
    </row>
    <row r="950" spans="1:6" x14ac:dyDescent="0.3">
      <c r="A950" s="2">
        <v>42779</v>
      </c>
      <c r="B950" s="1">
        <v>33.322499999999998</v>
      </c>
      <c r="C950" s="1">
        <v>836.53</v>
      </c>
      <c r="D950" s="22">
        <f t="shared" si="48"/>
        <v>239.04448706726575</v>
      </c>
      <c r="E950" s="23">
        <f t="shared" si="49"/>
        <v>2.540642281394156</v>
      </c>
      <c r="F950" s="23">
        <f t="shared" si="50"/>
        <v>-2.540642281394156</v>
      </c>
    </row>
    <row r="951" spans="1:6" x14ac:dyDescent="0.3">
      <c r="A951" s="2">
        <v>42776</v>
      </c>
      <c r="B951" s="1">
        <v>33.03</v>
      </c>
      <c r="C951" s="1">
        <v>827.46</v>
      </c>
      <c r="D951" s="22">
        <f t="shared" si="48"/>
        <v>236.50384478587159</v>
      </c>
      <c r="E951" s="23">
        <f t="shared" si="49"/>
        <v>1.5065498460132289</v>
      </c>
      <c r="F951" s="23">
        <f t="shared" si="50"/>
        <v>-1.5065498460132289</v>
      </c>
    </row>
    <row r="952" spans="1:6" x14ac:dyDescent="0.3">
      <c r="A952" s="2">
        <v>42775</v>
      </c>
      <c r="B952" s="1">
        <v>33.104999999999997</v>
      </c>
      <c r="C952" s="1">
        <v>821.36009999999999</v>
      </c>
      <c r="D952" s="22">
        <f t="shared" si="48"/>
        <v>234.99729493985836</v>
      </c>
      <c r="E952" s="23">
        <f t="shared" si="49"/>
        <v>0.49330088997959365</v>
      </c>
      <c r="F952" s="23">
        <f t="shared" si="50"/>
        <v>-0.49330088997959365</v>
      </c>
    </row>
    <row r="953" spans="1:6" x14ac:dyDescent="0.3">
      <c r="A953" s="2">
        <v>42774</v>
      </c>
      <c r="B953" s="1">
        <v>33.01</v>
      </c>
      <c r="C953" s="1">
        <v>819.71</v>
      </c>
      <c r="D953" s="22">
        <f t="shared" si="48"/>
        <v>234.50399404987877</v>
      </c>
      <c r="E953" s="23">
        <f t="shared" si="49"/>
        <v>1.9415094227256873</v>
      </c>
      <c r="F953" s="23">
        <f t="shared" si="50"/>
        <v>-1.9415094227256873</v>
      </c>
    </row>
    <row r="954" spans="1:6" x14ac:dyDescent="0.3">
      <c r="A954" s="2">
        <v>42773</v>
      </c>
      <c r="B954" s="1">
        <v>32.8825</v>
      </c>
      <c r="C954" s="1">
        <v>812.5</v>
      </c>
      <c r="D954" s="22">
        <f t="shared" si="48"/>
        <v>232.56248462715308</v>
      </c>
      <c r="E954" s="23">
        <f t="shared" si="49"/>
        <v>1.475397003084197</v>
      </c>
      <c r="F954" s="23">
        <f t="shared" si="50"/>
        <v>-1.475397003084197</v>
      </c>
    </row>
    <row r="955" spans="1:6" x14ac:dyDescent="0.3">
      <c r="A955" s="2">
        <v>42772</v>
      </c>
      <c r="B955" s="1">
        <v>32.572499999999998</v>
      </c>
      <c r="C955" s="1">
        <v>807.63990000000001</v>
      </c>
      <c r="D955" s="22">
        <f t="shared" si="48"/>
        <v>231.08708762406889</v>
      </c>
      <c r="E955" s="23">
        <f t="shared" si="49"/>
        <v>-0.43068508626819835</v>
      </c>
      <c r="F955" s="23">
        <f t="shared" si="50"/>
        <v>0.43068508626819835</v>
      </c>
    </row>
    <row r="956" spans="1:6" x14ac:dyDescent="0.3">
      <c r="A956" s="2">
        <v>42769</v>
      </c>
      <c r="B956" s="1">
        <v>32.270000000000003</v>
      </c>
      <c r="C956" s="1">
        <v>810.2</v>
      </c>
      <c r="D956" s="22">
        <f t="shared" si="48"/>
        <v>231.51777271033708</v>
      </c>
      <c r="E956" s="23">
        <f t="shared" si="49"/>
        <v>-7.517453282275028</v>
      </c>
      <c r="F956" s="23">
        <f t="shared" si="50"/>
        <v>7.517453282275028</v>
      </c>
    </row>
    <row r="957" spans="1:6" x14ac:dyDescent="0.3">
      <c r="A957" s="2">
        <v>42768</v>
      </c>
      <c r="B957" s="1">
        <v>32.1325</v>
      </c>
      <c r="C957" s="1">
        <v>839.95</v>
      </c>
      <c r="D957" s="22">
        <f t="shared" si="48"/>
        <v>239.03522599261211</v>
      </c>
      <c r="E957" s="23">
        <f t="shared" si="49"/>
        <v>1.9056157049096782</v>
      </c>
      <c r="F957" s="23">
        <f t="shared" si="50"/>
        <v>-1.9056157049096782</v>
      </c>
    </row>
    <row r="958" spans="1:6" x14ac:dyDescent="0.3">
      <c r="A958" s="2">
        <v>42767</v>
      </c>
      <c r="B958" s="1">
        <v>32.1875</v>
      </c>
      <c r="C958" s="1">
        <v>832.3501</v>
      </c>
      <c r="D958" s="22">
        <f t="shared" si="48"/>
        <v>237.12961028770243</v>
      </c>
      <c r="E958" s="23">
        <f t="shared" si="49"/>
        <v>3.6480271865127065</v>
      </c>
      <c r="F958" s="23">
        <f t="shared" si="50"/>
        <v>-3.6480271865127065</v>
      </c>
    </row>
    <row r="959" spans="1:6" x14ac:dyDescent="0.3">
      <c r="A959" s="2">
        <v>42766</v>
      </c>
      <c r="B959" s="1">
        <v>30.337499999999999</v>
      </c>
      <c r="C959" s="1">
        <v>823.48</v>
      </c>
      <c r="D959" s="22">
        <f t="shared" si="48"/>
        <v>233.48158310118973</v>
      </c>
      <c r="E959" s="23">
        <f t="shared" si="49"/>
        <v>-1.8193121011329367</v>
      </c>
      <c r="F959" s="23">
        <f t="shared" si="50"/>
        <v>1.8193121011329367</v>
      </c>
    </row>
    <row r="960" spans="1:6" x14ac:dyDescent="0.3">
      <c r="A960" s="2">
        <v>42765</v>
      </c>
      <c r="B960" s="1">
        <v>30.407499999999999</v>
      </c>
      <c r="C960" s="1">
        <v>830.37990000000002</v>
      </c>
      <c r="D960" s="22">
        <f t="shared" si="48"/>
        <v>235.30089520232266</v>
      </c>
      <c r="E960" s="23">
        <f t="shared" si="49"/>
        <v>-1.4400524441390985</v>
      </c>
      <c r="F960" s="23">
        <f t="shared" si="50"/>
        <v>1.4400524441390985</v>
      </c>
    </row>
    <row r="961" spans="1:6" x14ac:dyDescent="0.3">
      <c r="A961" s="2">
        <v>42762</v>
      </c>
      <c r="B961" s="1">
        <v>30.487500000000001</v>
      </c>
      <c r="C961" s="1">
        <v>835.77</v>
      </c>
      <c r="D961" s="22">
        <f t="shared" si="48"/>
        <v>236.74094764646176</v>
      </c>
      <c r="E961" s="23">
        <f t="shared" si="49"/>
        <v>-0.86381916292657479</v>
      </c>
      <c r="F961" s="23">
        <f t="shared" si="50"/>
        <v>0.86381916292657479</v>
      </c>
    </row>
    <row r="962" spans="1:6" x14ac:dyDescent="0.3">
      <c r="A962" s="2">
        <v>42761</v>
      </c>
      <c r="B962" s="1">
        <v>30.484999999999999</v>
      </c>
      <c r="C962" s="1">
        <v>839.1499</v>
      </c>
      <c r="D962" s="22">
        <f t="shared" si="48"/>
        <v>237.60476680938834</v>
      </c>
      <c r="E962" s="23">
        <f t="shared" si="49"/>
        <v>0.68474278001912126</v>
      </c>
      <c r="F962" s="23">
        <f t="shared" si="50"/>
        <v>-0.68474278001912126</v>
      </c>
    </row>
    <row r="963" spans="1:6" x14ac:dyDescent="0.3">
      <c r="A963" s="2">
        <v>42760</v>
      </c>
      <c r="B963" s="1">
        <v>30.47</v>
      </c>
      <c r="C963" s="1">
        <v>836.52</v>
      </c>
      <c r="D963" s="22">
        <f t="shared" si="48"/>
        <v>236.92002402936922</v>
      </c>
      <c r="E963" s="23">
        <f t="shared" si="49"/>
        <v>3.9614738190706476</v>
      </c>
      <c r="F963" s="23">
        <f t="shared" si="50"/>
        <v>-3.9614738190706476</v>
      </c>
    </row>
    <row r="964" spans="1:6" x14ac:dyDescent="0.3">
      <c r="A964" s="2">
        <v>42759</v>
      </c>
      <c r="B964" s="1">
        <v>29.9925</v>
      </c>
      <c r="C964" s="1">
        <v>822.43989999999997</v>
      </c>
      <c r="D964" s="22">
        <f t="shared" si="48"/>
        <v>232.95855021029857</v>
      </c>
      <c r="E964" s="23">
        <f t="shared" si="49"/>
        <v>1.1474760997887756</v>
      </c>
      <c r="F964" s="23">
        <f t="shared" si="50"/>
        <v>-1.1474760997887756</v>
      </c>
    </row>
    <row r="965" spans="1:6" x14ac:dyDescent="0.3">
      <c r="A965" s="2">
        <v>42758</v>
      </c>
      <c r="B965" s="1">
        <v>30.02</v>
      </c>
      <c r="C965" s="1">
        <v>817.87990000000002</v>
      </c>
      <c r="D965" s="22">
        <f t="shared" si="48"/>
        <v>231.81107411050979</v>
      </c>
      <c r="E965" s="23">
        <f t="shared" si="49"/>
        <v>2.4608255554805112</v>
      </c>
      <c r="F965" s="23">
        <f t="shared" si="50"/>
        <v>-2.4608255554805112</v>
      </c>
    </row>
    <row r="966" spans="1:6" x14ac:dyDescent="0.3">
      <c r="A966" s="2">
        <v>42755</v>
      </c>
      <c r="B966" s="1">
        <v>30</v>
      </c>
      <c r="C966" s="1">
        <v>808.33010000000002</v>
      </c>
      <c r="D966" s="22">
        <f t="shared" ref="D966:D1029" si="51">$M$16*B966+(1-$M$16)*C966</f>
        <v>229.35024855502928</v>
      </c>
      <c r="E966" s="23">
        <f t="shared" ref="E966:E1029" si="52">D966-D967</f>
        <v>-0.14091045639855793</v>
      </c>
      <c r="F966" s="23">
        <f t="shared" ref="F966:F1029" si="53">-E966</f>
        <v>0.14091045639855793</v>
      </c>
    </row>
    <row r="967" spans="1:6" x14ac:dyDescent="0.3">
      <c r="A967" s="2">
        <v>42754</v>
      </c>
      <c r="B967" s="1">
        <v>29.945</v>
      </c>
      <c r="C967" s="1">
        <v>809.04</v>
      </c>
      <c r="D967" s="22">
        <f t="shared" si="51"/>
        <v>229.49115901142784</v>
      </c>
      <c r="E967" s="23">
        <f t="shared" si="52"/>
        <v>0.36050249829088443</v>
      </c>
      <c r="F967" s="23">
        <f t="shared" si="53"/>
        <v>-0.36050249829088443</v>
      </c>
    </row>
    <row r="968" spans="1:6" x14ac:dyDescent="0.3">
      <c r="A968" s="2">
        <v>42753</v>
      </c>
      <c r="B968" s="1">
        <v>29.997499999999999</v>
      </c>
      <c r="C968" s="1">
        <v>807.48</v>
      </c>
      <c r="D968" s="22">
        <f t="shared" si="51"/>
        <v>229.13065651313696</v>
      </c>
      <c r="E968" s="23">
        <f t="shared" si="52"/>
        <v>-0.57558098600051721</v>
      </c>
      <c r="F968" s="23">
        <f t="shared" si="53"/>
        <v>0.57558098600051721</v>
      </c>
    </row>
    <row r="969" spans="1:6" x14ac:dyDescent="0.3">
      <c r="A969" s="2">
        <v>42752</v>
      </c>
      <c r="B969" s="1">
        <v>30</v>
      </c>
      <c r="C969" s="1">
        <v>809.72</v>
      </c>
      <c r="D969" s="22">
        <f t="shared" si="51"/>
        <v>229.70623749913747</v>
      </c>
      <c r="E969" s="23">
        <f t="shared" si="52"/>
        <v>-1.7218963328113261</v>
      </c>
      <c r="F969" s="23">
        <f t="shared" si="53"/>
        <v>1.7218963328113261</v>
      </c>
    </row>
    <row r="970" spans="1:6" x14ac:dyDescent="0.3">
      <c r="A970" s="2">
        <v>42751</v>
      </c>
      <c r="B970" s="1">
        <v>29.76</v>
      </c>
      <c r="C970" s="1">
        <v>817.13990000000001</v>
      </c>
      <c r="D970" s="22">
        <f t="shared" si="51"/>
        <v>231.4281338319488</v>
      </c>
      <c r="E970" s="23">
        <f t="shared" si="52"/>
        <v>0</v>
      </c>
      <c r="F970" s="23">
        <f t="shared" si="53"/>
        <v>0</v>
      </c>
    </row>
    <row r="971" spans="1:6" x14ac:dyDescent="0.3">
      <c r="A971" s="2">
        <v>42748</v>
      </c>
      <c r="B971" s="1">
        <v>29.76</v>
      </c>
      <c r="C971" s="1">
        <v>817.13990000000001</v>
      </c>
      <c r="D971" s="22">
        <f t="shared" si="51"/>
        <v>231.4281338319488</v>
      </c>
      <c r="E971" s="23">
        <f t="shared" si="52"/>
        <v>0.85738612414161253</v>
      </c>
      <c r="F971" s="23">
        <f t="shared" si="53"/>
        <v>-0.85738612414161253</v>
      </c>
    </row>
    <row r="972" spans="1:6" x14ac:dyDescent="0.3">
      <c r="A972" s="2">
        <v>42747</v>
      </c>
      <c r="B972" s="1">
        <v>29.8125</v>
      </c>
      <c r="C972" s="1">
        <v>813.63990000000001</v>
      </c>
      <c r="D972" s="22">
        <f t="shared" si="51"/>
        <v>230.57074770780719</v>
      </c>
      <c r="E972" s="23">
        <f t="shared" si="52"/>
        <v>3.6515460694877788</v>
      </c>
      <c r="F972" s="23">
        <f t="shared" si="53"/>
        <v>-3.6515460694877788</v>
      </c>
    </row>
    <row r="973" spans="1:6" x14ac:dyDescent="0.3">
      <c r="A973" s="2">
        <v>42746</v>
      </c>
      <c r="B973" s="1">
        <v>29.9375</v>
      </c>
      <c r="C973" s="1">
        <v>799.02</v>
      </c>
      <c r="D973" s="22">
        <f t="shared" si="51"/>
        <v>226.91920163831941</v>
      </c>
      <c r="E973" s="23">
        <f t="shared" si="52"/>
        <v>0.9181573303509083</v>
      </c>
      <c r="F973" s="23">
        <f t="shared" si="53"/>
        <v>-0.9181573303509083</v>
      </c>
    </row>
    <row r="974" spans="1:6" x14ac:dyDescent="0.3">
      <c r="A974" s="2">
        <v>42745</v>
      </c>
      <c r="B974" s="1">
        <v>29.7775</v>
      </c>
      <c r="C974" s="1">
        <v>795.8999</v>
      </c>
      <c r="D974" s="22">
        <f t="shared" si="51"/>
        <v>226.0010443079685</v>
      </c>
      <c r="E974" s="23">
        <f t="shared" si="52"/>
        <v>-0.2389318593522205</v>
      </c>
      <c r="F974" s="23">
        <f t="shared" si="53"/>
        <v>0.2389318593522205</v>
      </c>
    </row>
    <row r="975" spans="1:6" x14ac:dyDescent="0.3">
      <c r="A975" s="2">
        <v>42744</v>
      </c>
      <c r="B975" s="1">
        <v>29.747499999999999</v>
      </c>
      <c r="C975" s="1">
        <v>796.91989999999998</v>
      </c>
      <c r="D975" s="22">
        <f t="shared" si="51"/>
        <v>226.23997616732072</v>
      </c>
      <c r="E975" s="23">
        <f t="shared" si="52"/>
        <v>0.43901727046335282</v>
      </c>
      <c r="F975" s="23">
        <f t="shared" si="53"/>
        <v>-0.43901727046335282</v>
      </c>
    </row>
    <row r="976" spans="1:6" x14ac:dyDescent="0.3">
      <c r="A976" s="2">
        <v>42741</v>
      </c>
      <c r="B976" s="1">
        <v>29.477499999999999</v>
      </c>
      <c r="C976" s="1">
        <v>795.99</v>
      </c>
      <c r="D976" s="22">
        <f t="shared" si="51"/>
        <v>225.80095889685737</v>
      </c>
      <c r="E976" s="23">
        <f t="shared" si="52"/>
        <v>4.2219507048034757</v>
      </c>
      <c r="F976" s="23">
        <f t="shared" si="53"/>
        <v>-4.2219507048034757</v>
      </c>
    </row>
    <row r="977" spans="1:6" x14ac:dyDescent="0.3">
      <c r="A977" s="2">
        <v>42740</v>
      </c>
      <c r="B977" s="1">
        <v>29.1525</v>
      </c>
      <c r="C977" s="1">
        <v>780.45</v>
      </c>
      <c r="D977" s="22">
        <f t="shared" si="51"/>
        <v>221.57900819205389</v>
      </c>
      <c r="E977" s="23">
        <f t="shared" si="52"/>
        <v>6.0697893438639312</v>
      </c>
      <c r="F977" s="23">
        <f t="shared" si="53"/>
        <v>-6.0697893438639312</v>
      </c>
    </row>
    <row r="978" spans="1:6" x14ac:dyDescent="0.3">
      <c r="A978" s="2">
        <v>42739</v>
      </c>
      <c r="B978" s="1">
        <v>29.004999999999999</v>
      </c>
      <c r="C978" s="1">
        <v>757.17989999999998</v>
      </c>
      <c r="D978" s="22">
        <f t="shared" si="51"/>
        <v>215.50921884818996</v>
      </c>
      <c r="E978" s="23">
        <f t="shared" si="52"/>
        <v>0.87482486833820872</v>
      </c>
      <c r="F978" s="23">
        <f t="shared" si="53"/>
        <v>-0.87482486833820872</v>
      </c>
    </row>
    <row r="979" spans="1:6" x14ac:dyDescent="0.3">
      <c r="A979" s="2">
        <v>42738</v>
      </c>
      <c r="B979" s="1">
        <v>29.037500000000001</v>
      </c>
      <c r="C979" s="1">
        <v>753.66989999999998</v>
      </c>
      <c r="D979" s="22">
        <f t="shared" si="51"/>
        <v>214.63439397985175</v>
      </c>
      <c r="E979" s="23">
        <f t="shared" si="52"/>
        <v>1.0345956197809016</v>
      </c>
      <c r="F979" s="23">
        <f t="shared" si="53"/>
        <v>-1.0345956197809016</v>
      </c>
    </row>
    <row r="980" spans="1:6" x14ac:dyDescent="0.3">
      <c r="A980" s="2">
        <v>42737</v>
      </c>
      <c r="B980" s="1">
        <v>28.954999999999998</v>
      </c>
      <c r="C980" s="1">
        <v>749.87009999999998</v>
      </c>
      <c r="D980" s="22">
        <f t="shared" si="51"/>
        <v>213.59979836007085</v>
      </c>
      <c r="E980" s="23">
        <f t="shared" si="52"/>
        <v>0</v>
      </c>
      <c r="F980" s="23">
        <f t="shared" si="53"/>
        <v>0</v>
      </c>
    </row>
    <row r="981" spans="1:6" x14ac:dyDescent="0.3">
      <c r="A981" s="2">
        <v>42734</v>
      </c>
      <c r="B981" s="1">
        <v>28.954999999999998</v>
      </c>
      <c r="C981" s="1">
        <v>749.87009999999998</v>
      </c>
      <c r="D981" s="22">
        <f t="shared" si="51"/>
        <v>213.59979836007085</v>
      </c>
      <c r="E981" s="23">
        <f t="shared" si="52"/>
        <v>-4.0827790728829427</v>
      </c>
      <c r="F981" s="23">
        <f t="shared" si="53"/>
        <v>4.0827790728829427</v>
      </c>
    </row>
    <row r="982" spans="1:6" x14ac:dyDescent="0.3">
      <c r="A982" s="2">
        <v>42733</v>
      </c>
      <c r="B982" s="1">
        <v>29.182500000000001</v>
      </c>
      <c r="C982" s="1">
        <v>765.1499</v>
      </c>
      <c r="D982" s="22">
        <f t="shared" si="51"/>
        <v>217.68257743295379</v>
      </c>
      <c r="E982" s="23">
        <f t="shared" si="52"/>
        <v>-1.7933356088887251</v>
      </c>
      <c r="F982" s="23">
        <f t="shared" si="53"/>
        <v>1.7933356088887251</v>
      </c>
    </row>
    <row r="983" spans="1:6" x14ac:dyDescent="0.3">
      <c r="A983" s="2">
        <v>42732</v>
      </c>
      <c r="B983" s="1">
        <v>29.19</v>
      </c>
      <c r="C983" s="1">
        <v>772.12990000000002</v>
      </c>
      <c r="D983" s="22">
        <f t="shared" si="51"/>
        <v>219.47591304184252</v>
      </c>
      <c r="E983" s="23">
        <f t="shared" si="52"/>
        <v>9.3987371186784685E-2</v>
      </c>
      <c r="F983" s="23">
        <f t="shared" si="53"/>
        <v>-9.3987371186784685E-2</v>
      </c>
    </row>
    <row r="984" spans="1:6" x14ac:dyDescent="0.3">
      <c r="A984" s="2">
        <v>42731</v>
      </c>
      <c r="B984" s="1">
        <v>29.315000000000001</v>
      </c>
      <c r="C984" s="1">
        <v>771.3999</v>
      </c>
      <c r="D984" s="22">
        <f t="shared" si="51"/>
        <v>219.38192567065573</v>
      </c>
      <c r="E984" s="23">
        <f t="shared" si="52"/>
        <v>2.9062830659478323</v>
      </c>
      <c r="F984" s="23">
        <f t="shared" si="53"/>
        <v>-2.9062830659478323</v>
      </c>
    </row>
    <row r="985" spans="1:6" x14ac:dyDescent="0.3">
      <c r="A985" s="2">
        <v>42730</v>
      </c>
      <c r="B985" s="1">
        <v>29.13</v>
      </c>
      <c r="C985" s="1">
        <v>760.59010000000001</v>
      </c>
      <c r="D985" s="22">
        <f t="shared" si="51"/>
        <v>216.4756426047079</v>
      </c>
      <c r="E985" s="23">
        <f t="shared" si="52"/>
        <v>0</v>
      </c>
      <c r="F985" s="23">
        <f t="shared" si="53"/>
        <v>0</v>
      </c>
    </row>
    <row r="986" spans="1:6" x14ac:dyDescent="0.3">
      <c r="A986" s="2">
        <v>42727</v>
      </c>
      <c r="B986" s="1">
        <v>29.13</v>
      </c>
      <c r="C986" s="1">
        <v>760.59010000000001</v>
      </c>
      <c r="D986" s="22">
        <f t="shared" si="51"/>
        <v>216.4756426047079</v>
      </c>
      <c r="E986" s="23">
        <f t="shared" si="52"/>
        <v>-1.4299493077979832</v>
      </c>
      <c r="F986" s="23">
        <f t="shared" si="53"/>
        <v>1.4299493077979832</v>
      </c>
    </row>
    <row r="987" spans="1:6" x14ac:dyDescent="0.3">
      <c r="A987" s="2">
        <v>42726</v>
      </c>
      <c r="B987" s="1">
        <v>29.072500000000002</v>
      </c>
      <c r="C987" s="1">
        <v>766.34010000000001</v>
      </c>
      <c r="D987" s="22">
        <f t="shared" si="51"/>
        <v>217.90559191250588</v>
      </c>
      <c r="E987" s="23">
        <f t="shared" si="52"/>
        <v>-1.2342907980143423</v>
      </c>
      <c r="F987" s="23">
        <f t="shared" si="53"/>
        <v>1.2342907980143423</v>
      </c>
    </row>
    <row r="988" spans="1:6" x14ac:dyDescent="0.3">
      <c r="A988" s="2">
        <v>42725</v>
      </c>
      <c r="B988" s="1">
        <v>29.265000000000001</v>
      </c>
      <c r="C988" s="1">
        <v>770.6001</v>
      </c>
      <c r="D988" s="22">
        <f t="shared" si="51"/>
        <v>219.13988271052023</v>
      </c>
      <c r="E988" s="23">
        <f t="shared" si="52"/>
        <v>-0.1383157007091711</v>
      </c>
      <c r="F988" s="23">
        <f t="shared" si="53"/>
        <v>0.1383157007091711</v>
      </c>
    </row>
    <row r="989" spans="1:6" x14ac:dyDescent="0.3">
      <c r="A989" s="2">
        <v>42724</v>
      </c>
      <c r="B989" s="1">
        <v>29.237500000000001</v>
      </c>
      <c r="C989" s="1">
        <v>771.22</v>
      </c>
      <c r="D989" s="22">
        <f t="shared" si="51"/>
        <v>219.2781984112294</v>
      </c>
      <c r="E989" s="23">
        <f t="shared" si="52"/>
        <v>1.3946257968749194</v>
      </c>
      <c r="F989" s="23">
        <f t="shared" si="53"/>
        <v>-1.3946257968749194</v>
      </c>
    </row>
    <row r="990" spans="1:6" x14ac:dyDescent="0.3">
      <c r="A990" s="2">
        <v>42723</v>
      </c>
      <c r="B990" s="1">
        <v>29.16</v>
      </c>
      <c r="C990" s="1">
        <v>766</v>
      </c>
      <c r="D990" s="22">
        <f t="shared" si="51"/>
        <v>217.88357261435448</v>
      </c>
      <c r="E990" s="23">
        <f t="shared" si="52"/>
        <v>2.2325124914543721</v>
      </c>
      <c r="F990" s="23">
        <f t="shared" si="53"/>
        <v>-2.2325124914543721</v>
      </c>
    </row>
    <row r="991" spans="1:6" x14ac:dyDescent="0.3">
      <c r="A991" s="2">
        <v>42720</v>
      </c>
      <c r="B991" s="1">
        <v>28.9925</v>
      </c>
      <c r="C991" s="1">
        <v>757.77</v>
      </c>
      <c r="D991" s="22">
        <f t="shared" si="51"/>
        <v>215.65106012290011</v>
      </c>
      <c r="E991" s="23">
        <f t="shared" si="52"/>
        <v>-0.79939033374600399</v>
      </c>
      <c r="F991" s="23">
        <f t="shared" si="53"/>
        <v>0.79939033374600399</v>
      </c>
    </row>
    <row r="992" spans="1:6" x14ac:dyDescent="0.3">
      <c r="A992" s="2">
        <v>42719</v>
      </c>
      <c r="B992" s="1">
        <v>28.954999999999998</v>
      </c>
      <c r="C992" s="1">
        <v>761</v>
      </c>
      <c r="D992" s="22">
        <f t="shared" si="51"/>
        <v>216.45045045664611</v>
      </c>
      <c r="E992" s="23">
        <f t="shared" si="52"/>
        <v>-1.8857674296838809</v>
      </c>
      <c r="F992" s="23">
        <f t="shared" si="53"/>
        <v>1.8857674296838809</v>
      </c>
    </row>
    <row r="993" spans="1:6" x14ac:dyDescent="0.3">
      <c r="A993" s="2">
        <v>42718</v>
      </c>
      <c r="B993" s="1">
        <v>28.797499999999999</v>
      </c>
      <c r="C993" s="1">
        <v>768.82010000000002</v>
      </c>
      <c r="D993" s="22">
        <f t="shared" si="51"/>
        <v>218.33621788632999</v>
      </c>
      <c r="E993" s="23">
        <f t="shared" si="52"/>
        <v>-1.4138132034515252</v>
      </c>
      <c r="F993" s="23">
        <f t="shared" si="53"/>
        <v>1.4138132034515252</v>
      </c>
    </row>
    <row r="994" spans="1:6" x14ac:dyDescent="0.3">
      <c r="A994" s="2">
        <v>42717</v>
      </c>
      <c r="B994" s="1">
        <v>28.797499999999999</v>
      </c>
      <c r="C994" s="1">
        <v>774.34010000000001</v>
      </c>
      <c r="D994" s="22">
        <f t="shared" si="51"/>
        <v>219.75003108978152</v>
      </c>
      <c r="E994" s="23">
        <f t="shared" si="52"/>
        <v>3.9935864156612411</v>
      </c>
      <c r="F994" s="23">
        <f t="shared" si="53"/>
        <v>-3.9935864156612411</v>
      </c>
    </row>
    <row r="995" spans="1:6" x14ac:dyDescent="0.3">
      <c r="A995" s="2">
        <v>42716</v>
      </c>
      <c r="B995" s="1">
        <v>28.324999999999999</v>
      </c>
      <c r="C995" s="1">
        <v>760.12009999999998</v>
      </c>
      <c r="D995" s="22">
        <f t="shared" si="51"/>
        <v>215.75644467412027</v>
      </c>
      <c r="E995" s="23">
        <f t="shared" si="52"/>
        <v>-2.3081408241439476</v>
      </c>
      <c r="F995" s="23">
        <f t="shared" si="53"/>
        <v>2.3081408241439476</v>
      </c>
    </row>
    <row r="996" spans="1:6" x14ac:dyDescent="0.3">
      <c r="A996" s="2">
        <v>42713</v>
      </c>
      <c r="B996" s="1">
        <v>28.487500000000001</v>
      </c>
      <c r="C996" s="1">
        <v>768.65989999999999</v>
      </c>
      <c r="D996" s="22">
        <f t="shared" si="51"/>
        <v>218.06458549826422</v>
      </c>
      <c r="E996" s="23">
        <f t="shared" si="52"/>
        <v>0.68091834372657445</v>
      </c>
      <c r="F996" s="23">
        <f t="shared" si="53"/>
        <v>-0.68091834372657445</v>
      </c>
    </row>
    <row r="997" spans="1:6" x14ac:dyDescent="0.3">
      <c r="A997" s="2">
        <v>42712</v>
      </c>
      <c r="B997" s="1">
        <v>28.03</v>
      </c>
      <c r="C997" s="1">
        <v>767.33010000000002</v>
      </c>
      <c r="D997" s="22">
        <f t="shared" si="51"/>
        <v>217.38366715453765</v>
      </c>
      <c r="E997" s="23">
        <f t="shared" si="52"/>
        <v>-0.58867103876178817</v>
      </c>
      <c r="F997" s="23">
        <f t="shared" si="53"/>
        <v>0.58867103876178817</v>
      </c>
    </row>
    <row r="998" spans="1:6" x14ac:dyDescent="0.3">
      <c r="A998" s="2">
        <v>42711</v>
      </c>
      <c r="B998" s="1">
        <v>27.7575</v>
      </c>
      <c r="C998" s="1">
        <v>770.41989999999998</v>
      </c>
      <c r="D998" s="22">
        <f t="shared" si="51"/>
        <v>217.97233819329944</v>
      </c>
      <c r="E998" s="23">
        <f t="shared" si="52"/>
        <v>1.6607362886633155</v>
      </c>
      <c r="F998" s="23">
        <f t="shared" si="53"/>
        <v>-1.6607362886633155</v>
      </c>
    </row>
    <row r="999" spans="1:6" x14ac:dyDescent="0.3">
      <c r="A999" s="2">
        <v>42710</v>
      </c>
      <c r="B999" s="1">
        <v>27.487500000000001</v>
      </c>
      <c r="C999" s="1">
        <v>764.72</v>
      </c>
      <c r="D999" s="22">
        <f t="shared" si="51"/>
        <v>216.31160190463612</v>
      </c>
      <c r="E999" s="23">
        <f t="shared" si="52"/>
        <v>1.5290211261693969</v>
      </c>
      <c r="F999" s="23">
        <f t="shared" si="53"/>
        <v>-1.5290211261693969</v>
      </c>
    </row>
    <row r="1000" spans="1:6" x14ac:dyDescent="0.3">
      <c r="A1000" s="2">
        <v>42709</v>
      </c>
      <c r="B1000" s="1">
        <v>27.2775</v>
      </c>
      <c r="C1000" s="1">
        <v>759.36009999999999</v>
      </c>
      <c r="D1000" s="22">
        <f t="shared" si="51"/>
        <v>214.78258077846672</v>
      </c>
      <c r="E1000" s="23">
        <f t="shared" si="52"/>
        <v>4.7245933400960496</v>
      </c>
      <c r="F1000" s="23">
        <f t="shared" si="53"/>
        <v>-4.7245933400960496</v>
      </c>
    </row>
    <row r="1001" spans="1:6" x14ac:dyDescent="0.3">
      <c r="A1001" s="2">
        <v>42706</v>
      </c>
      <c r="B1001" s="1">
        <v>27.475000000000001</v>
      </c>
      <c r="C1001" s="1">
        <v>740.34010000000001</v>
      </c>
      <c r="D1001" s="22">
        <f t="shared" si="51"/>
        <v>210.05798743837067</v>
      </c>
      <c r="E1001" s="23">
        <f t="shared" si="52"/>
        <v>-0.77147731777859008</v>
      </c>
      <c r="F1001" s="23">
        <f t="shared" si="53"/>
        <v>0.77147731777859008</v>
      </c>
    </row>
    <row r="1002" spans="1:6" x14ac:dyDescent="0.3">
      <c r="A1002" s="2">
        <v>42705</v>
      </c>
      <c r="B1002" s="1">
        <v>27.372499999999999</v>
      </c>
      <c r="C1002" s="1">
        <v>743.6499</v>
      </c>
      <c r="D1002" s="22">
        <f t="shared" si="51"/>
        <v>210.82946475614926</v>
      </c>
      <c r="E1002" s="23">
        <f t="shared" si="52"/>
        <v>-1.9639879041008328</v>
      </c>
      <c r="F1002" s="23">
        <f t="shared" si="53"/>
        <v>1.9639879041008328</v>
      </c>
    </row>
    <row r="1003" spans="1:6" x14ac:dyDescent="0.3">
      <c r="A1003" s="2">
        <v>42704</v>
      </c>
      <c r="B1003" s="1">
        <v>27.63</v>
      </c>
      <c r="C1003" s="1">
        <v>750.57010000000002</v>
      </c>
      <c r="D1003" s="22">
        <f t="shared" si="51"/>
        <v>212.7934526602501</v>
      </c>
      <c r="E1003" s="23">
        <f t="shared" si="52"/>
        <v>-3.2354855610714708</v>
      </c>
      <c r="F1003" s="23">
        <f t="shared" si="53"/>
        <v>3.2354855610714708</v>
      </c>
    </row>
    <row r="1004" spans="1:6" x14ac:dyDescent="0.3">
      <c r="A1004" s="2">
        <v>42703</v>
      </c>
      <c r="B1004" s="1">
        <v>27.864999999999998</v>
      </c>
      <c r="C1004" s="1">
        <v>762.52</v>
      </c>
      <c r="D1004" s="22">
        <f t="shared" si="51"/>
        <v>216.02893822132157</v>
      </c>
      <c r="E1004" s="23">
        <f t="shared" si="52"/>
        <v>-1.10899026296633</v>
      </c>
      <c r="F1004" s="23">
        <f t="shared" si="53"/>
        <v>1.10899026296633</v>
      </c>
    </row>
    <row r="1005" spans="1:6" x14ac:dyDescent="0.3">
      <c r="A1005" s="2">
        <v>42702</v>
      </c>
      <c r="B1005" s="1">
        <v>27.892499999999998</v>
      </c>
      <c r="C1005" s="1">
        <v>766.77</v>
      </c>
      <c r="D1005" s="22">
        <f t="shared" si="51"/>
        <v>217.1379284842879</v>
      </c>
      <c r="E1005" s="23">
        <f t="shared" si="52"/>
        <v>-3.52424659820133</v>
      </c>
      <c r="F1005" s="23">
        <f t="shared" si="53"/>
        <v>3.52424659820133</v>
      </c>
    </row>
    <row r="1006" spans="1:6" x14ac:dyDescent="0.3">
      <c r="A1006" s="2">
        <v>42699</v>
      </c>
      <c r="B1006" s="1">
        <v>27.947500000000002</v>
      </c>
      <c r="C1006" s="1">
        <v>780.37009999999998</v>
      </c>
      <c r="D1006" s="22">
        <f t="shared" si="51"/>
        <v>220.66217508248923</v>
      </c>
      <c r="E1006" s="23">
        <f t="shared" si="52"/>
        <v>0.1681738138368587</v>
      </c>
      <c r="F1006" s="23">
        <f t="shared" si="53"/>
        <v>-0.1681738138368587</v>
      </c>
    </row>
    <row r="1007" spans="1:6" x14ac:dyDescent="0.3">
      <c r="A1007" s="2">
        <v>42698</v>
      </c>
      <c r="B1007" s="1">
        <v>27.807500000000001</v>
      </c>
      <c r="C1007" s="1">
        <v>780.12009999999998</v>
      </c>
      <c r="D1007" s="22">
        <f t="shared" si="51"/>
        <v>220.49400126865237</v>
      </c>
      <c r="E1007" s="23">
        <f t="shared" si="52"/>
        <v>0</v>
      </c>
      <c r="F1007" s="23">
        <f t="shared" si="53"/>
        <v>0</v>
      </c>
    </row>
    <row r="1008" spans="1:6" x14ac:dyDescent="0.3">
      <c r="A1008" s="2">
        <v>42697</v>
      </c>
      <c r="B1008" s="1">
        <v>27.807500000000001</v>
      </c>
      <c r="C1008" s="1">
        <v>780.12009999999998</v>
      </c>
      <c r="D1008" s="22">
        <f t="shared" si="51"/>
        <v>220.49400126865237</v>
      </c>
      <c r="E1008" s="23">
        <f t="shared" si="52"/>
        <v>-1.4404163783497665</v>
      </c>
      <c r="F1008" s="23">
        <f t="shared" si="53"/>
        <v>1.4404163783497665</v>
      </c>
    </row>
    <row r="1009" spans="1:6" x14ac:dyDescent="0.3">
      <c r="A1009" s="2">
        <v>42696</v>
      </c>
      <c r="B1009" s="1">
        <v>27.95</v>
      </c>
      <c r="C1009" s="1">
        <v>785.33010000000002</v>
      </c>
      <c r="D1009" s="22">
        <f t="shared" si="51"/>
        <v>221.93441764700214</v>
      </c>
      <c r="E1009" s="23">
        <f t="shared" si="52"/>
        <v>1.3781927580899946</v>
      </c>
      <c r="F1009" s="23">
        <f t="shared" si="53"/>
        <v>-1.3781927580899946</v>
      </c>
    </row>
    <row r="1010" spans="1:6" x14ac:dyDescent="0.3">
      <c r="A1010" s="2">
        <v>42695</v>
      </c>
      <c r="B1010" s="1">
        <v>27.932500000000001</v>
      </c>
      <c r="C1010" s="1">
        <v>780</v>
      </c>
      <c r="D1010" s="22">
        <f t="shared" si="51"/>
        <v>220.55622488891214</v>
      </c>
      <c r="E1010" s="23">
        <f t="shared" si="52"/>
        <v>5.3921246966228296</v>
      </c>
      <c r="F1010" s="23">
        <f t="shared" si="53"/>
        <v>-5.3921246966228296</v>
      </c>
    </row>
    <row r="1011" spans="1:6" x14ac:dyDescent="0.3">
      <c r="A1011" s="2">
        <v>42692</v>
      </c>
      <c r="B1011" s="1">
        <v>27.515000000000001</v>
      </c>
      <c r="C1011" s="1">
        <v>760.15989999999999</v>
      </c>
      <c r="D1011" s="22">
        <f t="shared" si="51"/>
        <v>215.16410019228931</v>
      </c>
      <c r="E1011" s="23">
        <f t="shared" si="52"/>
        <v>0.98348872860196934</v>
      </c>
      <c r="F1011" s="23">
        <f t="shared" si="53"/>
        <v>-0.98348872860196934</v>
      </c>
    </row>
    <row r="1012" spans="1:6" x14ac:dyDescent="0.3">
      <c r="A1012" s="2">
        <v>42691</v>
      </c>
      <c r="B1012" s="1">
        <v>27.487500000000001</v>
      </c>
      <c r="C1012" s="1">
        <v>756.3999</v>
      </c>
      <c r="D1012" s="22">
        <f t="shared" si="51"/>
        <v>214.18061146368734</v>
      </c>
      <c r="E1012" s="23">
        <f t="shared" si="52"/>
        <v>2.5307401443693891</v>
      </c>
      <c r="F1012" s="23">
        <f t="shared" si="53"/>
        <v>-2.5307401443693891</v>
      </c>
    </row>
    <row r="1013" spans="1:6" x14ac:dyDescent="0.3">
      <c r="A1013" s="2">
        <v>42690</v>
      </c>
      <c r="B1013" s="1">
        <v>27.497499999999999</v>
      </c>
      <c r="C1013" s="1">
        <v>746.49</v>
      </c>
      <c r="D1013" s="22">
        <f t="shared" si="51"/>
        <v>211.64987131931795</v>
      </c>
      <c r="E1013" s="23">
        <f t="shared" si="52"/>
        <v>1.3679977182486027</v>
      </c>
      <c r="F1013" s="23">
        <f t="shared" si="53"/>
        <v>-1.3679977182486027</v>
      </c>
    </row>
    <row r="1014" spans="1:6" x14ac:dyDescent="0.3">
      <c r="A1014" s="2">
        <v>42689</v>
      </c>
      <c r="B1014" s="1">
        <v>26.7775</v>
      </c>
      <c r="C1014" s="1">
        <v>743.24</v>
      </c>
      <c r="D1014" s="22">
        <f t="shared" si="51"/>
        <v>210.28187360106935</v>
      </c>
      <c r="E1014" s="23">
        <f t="shared" si="52"/>
        <v>6.4508857110317877</v>
      </c>
      <c r="F1014" s="23">
        <f t="shared" si="53"/>
        <v>-6.4508857110317877</v>
      </c>
    </row>
    <row r="1015" spans="1:6" x14ac:dyDescent="0.3">
      <c r="A1015" s="2">
        <v>42688</v>
      </c>
      <c r="B1015" s="1">
        <v>26.427499999999998</v>
      </c>
      <c r="C1015" s="1">
        <v>719.07010000000002</v>
      </c>
      <c r="D1015" s="22">
        <f t="shared" si="51"/>
        <v>203.83098789003756</v>
      </c>
      <c r="E1015" s="23">
        <f t="shared" si="52"/>
        <v>-5.6129530647022534</v>
      </c>
      <c r="F1015" s="23">
        <f t="shared" si="53"/>
        <v>5.6129530647022534</v>
      </c>
    </row>
    <row r="1016" spans="1:6" x14ac:dyDescent="0.3">
      <c r="A1016" s="2">
        <v>42685</v>
      </c>
      <c r="B1016" s="1">
        <v>27.107500000000002</v>
      </c>
      <c r="C1016" s="1">
        <v>739.01</v>
      </c>
      <c r="D1016" s="22">
        <f t="shared" si="51"/>
        <v>209.44394095473982</v>
      </c>
      <c r="E1016" s="23">
        <f t="shared" si="52"/>
        <v>-0.74409768602600934</v>
      </c>
      <c r="F1016" s="23">
        <f t="shared" si="53"/>
        <v>0.74409768602600934</v>
      </c>
    </row>
    <row r="1017" spans="1:6" x14ac:dyDescent="0.3">
      <c r="A1017" s="2">
        <v>42684</v>
      </c>
      <c r="B1017" s="1">
        <v>26.947500000000002</v>
      </c>
      <c r="C1017" s="1">
        <v>742.37990000000002</v>
      </c>
      <c r="D1017" s="22">
        <f t="shared" si="51"/>
        <v>210.18803864076582</v>
      </c>
      <c r="E1017" s="23">
        <f t="shared" si="52"/>
        <v>-8.1303476090859306</v>
      </c>
      <c r="F1017" s="23">
        <f t="shared" si="53"/>
        <v>8.1303476090859306</v>
      </c>
    </row>
    <row r="1018" spans="1:6" x14ac:dyDescent="0.3">
      <c r="A1018" s="2">
        <v>42683</v>
      </c>
      <c r="B1018" s="1">
        <v>27.72</v>
      </c>
      <c r="C1018" s="1">
        <v>771.87990000000002</v>
      </c>
      <c r="D1018" s="22">
        <f t="shared" si="51"/>
        <v>218.31838624985176</v>
      </c>
      <c r="E1018" s="23">
        <f t="shared" si="52"/>
        <v>-4.0982129213661267</v>
      </c>
      <c r="F1018" s="23">
        <f t="shared" si="53"/>
        <v>4.0982129213661267</v>
      </c>
    </row>
    <row r="1019" spans="1:6" x14ac:dyDescent="0.3">
      <c r="A1019" s="2">
        <v>42682</v>
      </c>
      <c r="B1019" s="1">
        <v>27.765000000000001</v>
      </c>
      <c r="C1019" s="1">
        <v>787.75</v>
      </c>
      <c r="D1019" s="22">
        <f t="shared" si="51"/>
        <v>222.41659917121788</v>
      </c>
      <c r="E1019" s="23">
        <f t="shared" si="52"/>
        <v>0.84317934229943603</v>
      </c>
      <c r="F1019" s="23">
        <f t="shared" si="53"/>
        <v>-0.84317934229943603</v>
      </c>
    </row>
    <row r="1020" spans="1:6" x14ac:dyDescent="0.3">
      <c r="A1020" s="2">
        <v>42681</v>
      </c>
      <c r="B1020" s="1">
        <v>27.602499999999999</v>
      </c>
      <c r="C1020" s="1">
        <v>784.92989999999998</v>
      </c>
      <c r="D1020" s="22">
        <f t="shared" si="51"/>
        <v>221.57341982891845</v>
      </c>
      <c r="E1020" s="23">
        <f t="shared" si="52"/>
        <v>7.9449774375828213</v>
      </c>
      <c r="F1020" s="23">
        <f t="shared" si="53"/>
        <v>-7.9449774375828213</v>
      </c>
    </row>
    <row r="1021" spans="1:6" x14ac:dyDescent="0.3">
      <c r="A1021" s="2">
        <v>42678</v>
      </c>
      <c r="B1021" s="1">
        <v>27.21</v>
      </c>
      <c r="C1021" s="1">
        <v>755.05</v>
      </c>
      <c r="D1021" s="22">
        <f t="shared" si="51"/>
        <v>213.62844239133562</v>
      </c>
      <c r="E1021" s="23">
        <f t="shared" si="52"/>
        <v>-3.2524933712853965</v>
      </c>
      <c r="F1021" s="23">
        <f t="shared" si="53"/>
        <v>3.2524933712853965</v>
      </c>
    </row>
    <row r="1022" spans="1:6" x14ac:dyDescent="0.3">
      <c r="A1022" s="2">
        <v>42677</v>
      </c>
      <c r="B1022" s="1">
        <v>27.4575</v>
      </c>
      <c r="C1022" s="1">
        <v>767.03</v>
      </c>
      <c r="D1022" s="22">
        <f t="shared" si="51"/>
        <v>216.88093576262102</v>
      </c>
      <c r="E1022" s="23">
        <f t="shared" si="52"/>
        <v>4.91742458826252E-2</v>
      </c>
      <c r="F1022" s="23">
        <f t="shared" si="53"/>
        <v>-4.91742458826252E-2</v>
      </c>
    </row>
    <row r="1023" spans="1:6" x14ac:dyDescent="0.3">
      <c r="A1023" s="2">
        <v>42676</v>
      </c>
      <c r="B1023" s="1">
        <v>27.897500000000001</v>
      </c>
      <c r="C1023" s="1">
        <v>765.56010000000003</v>
      </c>
      <c r="D1023" s="22">
        <f t="shared" si="51"/>
        <v>216.8317615167384</v>
      </c>
      <c r="E1023" s="23">
        <f t="shared" si="52"/>
        <v>-5.0654446840504761</v>
      </c>
      <c r="F1023" s="23">
        <f t="shared" si="53"/>
        <v>5.0654446840504761</v>
      </c>
    </row>
    <row r="1024" spans="1:6" x14ac:dyDescent="0.3">
      <c r="A1024" s="2">
        <v>42675</v>
      </c>
      <c r="B1024" s="1">
        <v>27.872499999999999</v>
      </c>
      <c r="C1024" s="1">
        <v>785.40989999999999</v>
      </c>
      <c r="D1024" s="22">
        <f t="shared" si="51"/>
        <v>221.89720620078887</v>
      </c>
      <c r="E1024" s="23">
        <f t="shared" si="52"/>
        <v>-1.5108006744734155</v>
      </c>
      <c r="F1024" s="23">
        <f t="shared" si="53"/>
        <v>1.5108006744734155</v>
      </c>
    </row>
    <row r="1025" spans="1:6" x14ac:dyDescent="0.3">
      <c r="A1025" s="2">
        <v>42674</v>
      </c>
      <c r="B1025" s="1">
        <v>28.385000000000002</v>
      </c>
      <c r="C1025" s="1">
        <v>789.82010000000002</v>
      </c>
      <c r="D1025" s="22">
        <f t="shared" si="51"/>
        <v>223.40800687526229</v>
      </c>
      <c r="E1025" s="23">
        <f t="shared" si="52"/>
        <v>3.4242209856433306</v>
      </c>
      <c r="F1025" s="23">
        <f t="shared" si="53"/>
        <v>-3.4242209856433306</v>
      </c>
    </row>
    <row r="1026" spans="1:6" x14ac:dyDescent="0.3">
      <c r="A1026" s="2">
        <v>42671</v>
      </c>
      <c r="B1026" s="1">
        <v>28.43</v>
      </c>
      <c r="C1026" s="1">
        <v>776.32010000000002</v>
      </c>
      <c r="D1026" s="22">
        <f t="shared" si="51"/>
        <v>219.98378588961896</v>
      </c>
      <c r="E1026" s="23">
        <f t="shared" si="52"/>
        <v>-10.90885553703751</v>
      </c>
      <c r="F1026" s="23">
        <f t="shared" si="53"/>
        <v>10.90885553703751</v>
      </c>
    </row>
    <row r="1027" spans="1:6" x14ac:dyDescent="0.3">
      <c r="A1027" s="2">
        <v>42670</v>
      </c>
      <c r="B1027" s="1">
        <v>28.62</v>
      </c>
      <c r="C1027" s="1">
        <v>818.36009999999999</v>
      </c>
      <c r="D1027" s="22">
        <f t="shared" si="51"/>
        <v>230.89264142665647</v>
      </c>
      <c r="E1027" s="23">
        <f t="shared" si="52"/>
        <v>-1.2898363562757709</v>
      </c>
      <c r="F1027" s="23">
        <f t="shared" si="53"/>
        <v>1.2898363562757709</v>
      </c>
    </row>
    <row r="1028" spans="1:6" x14ac:dyDescent="0.3">
      <c r="A1028" s="2">
        <v>42669</v>
      </c>
      <c r="B1028" s="1">
        <v>28.897500000000001</v>
      </c>
      <c r="C1028" s="1">
        <v>822.59010000000001</v>
      </c>
      <c r="D1028" s="22">
        <f t="shared" si="51"/>
        <v>232.18247778293224</v>
      </c>
      <c r="E1028" s="23">
        <f t="shared" si="52"/>
        <v>-3.7192463203838884</v>
      </c>
      <c r="F1028" s="23">
        <f t="shared" si="53"/>
        <v>3.7192463203838884</v>
      </c>
    </row>
    <row r="1029" spans="1:6" x14ac:dyDescent="0.3">
      <c r="A1029" s="2">
        <v>42668</v>
      </c>
      <c r="B1029" s="1">
        <v>29.5625</v>
      </c>
      <c r="C1029" s="1">
        <v>835.17989999999998</v>
      </c>
      <c r="D1029" s="22">
        <f t="shared" si="51"/>
        <v>235.90172410331613</v>
      </c>
      <c r="E1029" s="23">
        <f t="shared" si="52"/>
        <v>-0.63379550094245474</v>
      </c>
      <c r="F1029" s="23">
        <f t="shared" si="53"/>
        <v>0.63379550094245474</v>
      </c>
    </row>
    <row r="1030" spans="1:6" x14ac:dyDescent="0.3">
      <c r="A1030" s="2">
        <v>42667</v>
      </c>
      <c r="B1030" s="1">
        <v>29.412500000000001</v>
      </c>
      <c r="C1030" s="1">
        <v>838.09010000000001</v>
      </c>
      <c r="D1030" s="22">
        <f t="shared" ref="D1030:D1093" si="54">$M$16*B1030+(1-$M$16)*C1030</f>
        <v>236.53551960425858</v>
      </c>
      <c r="E1030" s="23">
        <f t="shared" ref="E1030:E1093" si="55">D1030-D1031</f>
        <v>5.0872912321266028</v>
      </c>
      <c r="F1030" s="23">
        <f t="shared" ref="F1030:F1093" si="56">-E1030</f>
        <v>-5.0872912321266028</v>
      </c>
    </row>
    <row r="1031" spans="1:6" x14ac:dyDescent="0.3">
      <c r="A1031" s="2">
        <v>42664</v>
      </c>
      <c r="B1031" s="1">
        <v>29.15</v>
      </c>
      <c r="C1031" s="1">
        <v>818.99</v>
      </c>
      <c r="D1031" s="22">
        <f t="shared" si="54"/>
        <v>231.44822837213198</v>
      </c>
      <c r="E1031" s="23">
        <f t="shared" si="55"/>
        <v>2.1350376106886699</v>
      </c>
      <c r="F1031" s="23">
        <f t="shared" si="56"/>
        <v>-2.1350376106886699</v>
      </c>
    </row>
    <row r="1032" spans="1:6" x14ac:dyDescent="0.3">
      <c r="A1032" s="2">
        <v>42663</v>
      </c>
      <c r="B1032" s="1">
        <v>29.265000000000001</v>
      </c>
      <c r="C1032" s="1">
        <v>810.32010000000002</v>
      </c>
      <c r="D1032" s="22">
        <f t="shared" si="54"/>
        <v>229.31319076144331</v>
      </c>
      <c r="E1032" s="23">
        <f t="shared" si="55"/>
        <v>-1.8987524182509787</v>
      </c>
      <c r="F1032" s="23">
        <f t="shared" si="56"/>
        <v>1.8987524182509787</v>
      </c>
    </row>
    <row r="1033" spans="1:6" x14ac:dyDescent="0.3">
      <c r="A1033" s="2">
        <v>42662</v>
      </c>
      <c r="B1033" s="1">
        <v>29.28</v>
      </c>
      <c r="C1033" s="1">
        <v>817.68989999999997</v>
      </c>
      <c r="D1033" s="22">
        <f t="shared" si="54"/>
        <v>231.21194317969429</v>
      </c>
      <c r="E1033" s="23">
        <f t="shared" si="55"/>
        <v>-5.4843988507229824E-2</v>
      </c>
      <c r="F1033" s="23">
        <f t="shared" si="56"/>
        <v>5.4843988507229824E-2</v>
      </c>
    </row>
    <row r="1034" spans="1:6" x14ac:dyDescent="0.3">
      <c r="A1034" s="2">
        <v>42661</v>
      </c>
      <c r="B1034" s="1">
        <v>29.3675</v>
      </c>
      <c r="C1034" s="1">
        <v>817.6499</v>
      </c>
      <c r="D1034" s="22">
        <f t="shared" si="54"/>
        <v>231.26678716820152</v>
      </c>
      <c r="E1034" s="23">
        <f t="shared" si="55"/>
        <v>1.1888871266251613</v>
      </c>
      <c r="F1034" s="23">
        <f t="shared" si="56"/>
        <v>-1.1888871266251613</v>
      </c>
    </row>
    <row r="1035" spans="1:6" x14ac:dyDescent="0.3">
      <c r="A1035" s="2">
        <v>42660</v>
      </c>
      <c r="B1035" s="1">
        <v>29.387499999999999</v>
      </c>
      <c r="C1035" s="1">
        <v>812.95</v>
      </c>
      <c r="D1035" s="22">
        <f t="shared" si="54"/>
        <v>230.07790004157636</v>
      </c>
      <c r="E1035" s="23">
        <f t="shared" si="55"/>
        <v>-2.5786945475508958</v>
      </c>
      <c r="F1035" s="23">
        <f t="shared" si="56"/>
        <v>2.5786945475508958</v>
      </c>
    </row>
    <row r="1036" spans="1:6" x14ac:dyDescent="0.3">
      <c r="A1036" s="2">
        <v>42657</v>
      </c>
      <c r="B1036" s="1">
        <v>29.407499999999999</v>
      </c>
      <c r="C1036" s="1">
        <v>822.96</v>
      </c>
      <c r="D1036" s="22">
        <f t="shared" si="54"/>
        <v>232.65659458912725</v>
      </c>
      <c r="E1036" s="23">
        <f t="shared" si="55"/>
        <v>-1.497834074524377</v>
      </c>
      <c r="F1036" s="23">
        <f t="shared" si="56"/>
        <v>1.497834074524377</v>
      </c>
    </row>
    <row r="1037" spans="1:6" x14ac:dyDescent="0.3">
      <c r="A1037" s="2">
        <v>42656</v>
      </c>
      <c r="B1037" s="1">
        <v>29.245000000000001</v>
      </c>
      <c r="C1037" s="1">
        <v>829.28</v>
      </c>
      <c r="D1037" s="22">
        <f t="shared" si="54"/>
        <v>234.15442866365163</v>
      </c>
      <c r="E1037" s="23">
        <f t="shared" si="55"/>
        <v>-1.2989383517412421</v>
      </c>
      <c r="F1037" s="23">
        <f t="shared" si="56"/>
        <v>1.2989383517412421</v>
      </c>
    </row>
    <row r="1038" spans="1:6" x14ac:dyDescent="0.3">
      <c r="A1038" s="2">
        <v>42655</v>
      </c>
      <c r="B1038" s="1">
        <v>29.335000000000001</v>
      </c>
      <c r="C1038" s="1">
        <v>834.09010000000001</v>
      </c>
      <c r="D1038" s="22">
        <f t="shared" si="54"/>
        <v>235.45336701539287</v>
      </c>
      <c r="E1038" s="23">
        <f t="shared" si="55"/>
        <v>0.98486100490728745</v>
      </c>
      <c r="F1038" s="23">
        <f t="shared" si="56"/>
        <v>-0.98486100490728745</v>
      </c>
    </row>
    <row r="1039" spans="1:6" x14ac:dyDescent="0.3">
      <c r="A1039" s="2">
        <v>42654</v>
      </c>
      <c r="B1039" s="1">
        <v>29.074999999999999</v>
      </c>
      <c r="C1039" s="1">
        <v>831</v>
      </c>
      <c r="D1039" s="22">
        <f t="shared" si="54"/>
        <v>234.46850601048558</v>
      </c>
      <c r="E1039" s="23">
        <f t="shared" si="55"/>
        <v>-2.6966128141633874</v>
      </c>
      <c r="F1039" s="23">
        <f t="shared" si="56"/>
        <v>2.6966128141633874</v>
      </c>
    </row>
    <row r="1040" spans="1:6" x14ac:dyDescent="0.3">
      <c r="A1040" s="2">
        <v>42653</v>
      </c>
      <c r="B1040" s="1">
        <v>29.012499999999999</v>
      </c>
      <c r="C1040" s="1">
        <v>841.71</v>
      </c>
      <c r="D1040" s="22">
        <f t="shared" si="54"/>
        <v>237.16511882464897</v>
      </c>
      <c r="E1040" s="23">
        <f t="shared" si="55"/>
        <v>0.95406945950594491</v>
      </c>
      <c r="F1040" s="23">
        <f t="shared" si="56"/>
        <v>-0.95406945950594491</v>
      </c>
    </row>
    <row r="1041" spans="1:6" x14ac:dyDescent="0.3">
      <c r="A1041" s="2">
        <v>42650</v>
      </c>
      <c r="B1041" s="1">
        <v>28.515000000000001</v>
      </c>
      <c r="C1041" s="1">
        <v>839.42989999999998</v>
      </c>
      <c r="D1041" s="22">
        <f t="shared" si="54"/>
        <v>236.21104936514303</v>
      </c>
      <c r="E1041" s="23">
        <f t="shared" si="55"/>
        <v>-0.53954538131225149</v>
      </c>
      <c r="F1041" s="23">
        <f t="shared" si="56"/>
        <v>0.53954538131225149</v>
      </c>
    </row>
    <row r="1042" spans="1:6" x14ac:dyDescent="0.3">
      <c r="A1042" s="2">
        <v>42649</v>
      </c>
      <c r="B1042" s="1">
        <v>28.4725</v>
      </c>
      <c r="C1042" s="1">
        <v>841.65989999999999</v>
      </c>
      <c r="D1042" s="22">
        <f t="shared" si="54"/>
        <v>236.75059474645528</v>
      </c>
      <c r="E1042" s="23">
        <f t="shared" si="55"/>
        <v>-0.53537666389215133</v>
      </c>
      <c r="F1042" s="23">
        <f t="shared" si="56"/>
        <v>0.53537666389215133</v>
      </c>
    </row>
    <row r="1043" spans="1:6" x14ac:dyDescent="0.3">
      <c r="A1043" s="2">
        <v>42648</v>
      </c>
      <c r="B1043" s="1">
        <v>28.262499999999999</v>
      </c>
      <c r="C1043" s="1">
        <v>844.36009999999999</v>
      </c>
      <c r="D1043" s="22">
        <f t="shared" si="54"/>
        <v>237.28597141034743</v>
      </c>
      <c r="E1043" s="23">
        <f t="shared" si="55"/>
        <v>2.6551012876687992</v>
      </c>
      <c r="F1043" s="23">
        <f t="shared" si="56"/>
        <v>-2.6551012876687992</v>
      </c>
    </row>
    <row r="1044" spans="1:6" x14ac:dyDescent="0.3">
      <c r="A1044" s="2">
        <v>42647</v>
      </c>
      <c r="B1044" s="1">
        <v>28.25</v>
      </c>
      <c r="C1044" s="1">
        <v>834.03</v>
      </c>
      <c r="D1044" s="22">
        <f t="shared" si="54"/>
        <v>234.63087012267863</v>
      </c>
      <c r="E1044" s="23">
        <f t="shared" si="55"/>
        <v>-0.60483539234928685</v>
      </c>
      <c r="F1044" s="23">
        <f t="shared" si="56"/>
        <v>0.60483539234928685</v>
      </c>
    </row>
    <row r="1045" spans="1:6" x14ac:dyDescent="0.3">
      <c r="A1045" s="2">
        <v>42646</v>
      </c>
      <c r="B1045" s="1">
        <v>28.13</v>
      </c>
      <c r="C1045" s="1">
        <v>836.74</v>
      </c>
      <c r="D1045" s="22">
        <f t="shared" si="54"/>
        <v>235.23570551502792</v>
      </c>
      <c r="E1045" s="23">
        <f t="shared" si="55"/>
        <v>-0.2445805539547905</v>
      </c>
      <c r="F1045" s="23">
        <f t="shared" si="56"/>
        <v>0.2445805539547905</v>
      </c>
    </row>
    <row r="1046" spans="1:6" x14ac:dyDescent="0.3">
      <c r="A1046" s="2">
        <v>42643</v>
      </c>
      <c r="B1046" s="1">
        <v>28.262499999999999</v>
      </c>
      <c r="C1046" s="1">
        <v>837.31010000000003</v>
      </c>
      <c r="D1046" s="22">
        <f t="shared" si="54"/>
        <v>235.48028606898271</v>
      </c>
      <c r="E1046" s="23">
        <f t="shared" si="55"/>
        <v>2.2774155924057027</v>
      </c>
      <c r="F1046" s="23">
        <f t="shared" si="56"/>
        <v>-2.2774155924057027</v>
      </c>
    </row>
    <row r="1047" spans="1:6" x14ac:dyDescent="0.3">
      <c r="A1047" s="2">
        <v>42642</v>
      </c>
      <c r="B1047" s="1">
        <v>28.045000000000002</v>
      </c>
      <c r="C1047" s="1">
        <v>829.05</v>
      </c>
      <c r="D1047" s="22">
        <f t="shared" si="54"/>
        <v>233.202870476577</v>
      </c>
      <c r="E1047" s="23">
        <f t="shared" si="55"/>
        <v>-0.24464298919087923</v>
      </c>
      <c r="F1047" s="23">
        <f t="shared" si="56"/>
        <v>0.24464298919087923</v>
      </c>
    </row>
    <row r="1048" spans="1:6" x14ac:dyDescent="0.3">
      <c r="A1048" s="2">
        <v>42641</v>
      </c>
      <c r="B1048" s="1">
        <v>28.487500000000001</v>
      </c>
      <c r="C1048" s="1">
        <v>828.72</v>
      </c>
      <c r="D1048" s="22">
        <f t="shared" si="54"/>
        <v>233.44751346576788</v>
      </c>
      <c r="E1048" s="23">
        <f t="shared" si="55"/>
        <v>3.3896509556995511</v>
      </c>
      <c r="F1048" s="23">
        <f t="shared" si="56"/>
        <v>-3.3896509556995511</v>
      </c>
    </row>
    <row r="1049" spans="1:6" x14ac:dyDescent="0.3">
      <c r="A1049" s="2">
        <v>42640</v>
      </c>
      <c r="B1049" s="1">
        <v>28.272500000000001</v>
      </c>
      <c r="C1049" s="1">
        <v>816.11009999999999</v>
      </c>
      <c r="D1049" s="22">
        <f t="shared" si="54"/>
        <v>230.05786251006833</v>
      </c>
      <c r="E1049" s="23">
        <f t="shared" si="55"/>
        <v>4.3804332188339004</v>
      </c>
      <c r="F1049" s="23">
        <f t="shared" si="56"/>
        <v>-4.3804332188339004</v>
      </c>
    </row>
    <row r="1050" spans="1:6" x14ac:dyDescent="0.3">
      <c r="A1050" s="2">
        <v>42639</v>
      </c>
      <c r="B1050" s="1">
        <v>28.22</v>
      </c>
      <c r="C1050" s="1">
        <v>799.15989999999999</v>
      </c>
      <c r="D1050" s="22">
        <f t="shared" si="54"/>
        <v>225.67742929123443</v>
      </c>
      <c r="E1050" s="23">
        <f t="shared" si="55"/>
        <v>-1.6562785241327163</v>
      </c>
      <c r="F1050" s="23">
        <f t="shared" si="56"/>
        <v>1.6562785241327163</v>
      </c>
    </row>
    <row r="1051" spans="1:6" x14ac:dyDescent="0.3">
      <c r="A1051" s="2">
        <v>42636</v>
      </c>
      <c r="B1051" s="1">
        <v>28.177499999999998</v>
      </c>
      <c r="C1051" s="1">
        <v>805.75</v>
      </c>
      <c r="D1051" s="22">
        <f t="shared" si="54"/>
        <v>227.33370781536715</v>
      </c>
      <c r="E1051" s="23">
        <f t="shared" si="55"/>
        <v>-8.6268176037663125E-2</v>
      </c>
      <c r="F1051" s="23">
        <f t="shared" si="56"/>
        <v>8.6268176037663125E-2</v>
      </c>
    </row>
    <row r="1052" spans="1:6" x14ac:dyDescent="0.3">
      <c r="A1052" s="2">
        <v>42635</v>
      </c>
      <c r="B1052" s="1">
        <v>28.655000000000001</v>
      </c>
      <c r="C1052" s="1">
        <v>804.7</v>
      </c>
      <c r="D1052" s="22">
        <f t="shared" si="54"/>
        <v>227.41997599140481</v>
      </c>
      <c r="E1052" s="23">
        <f t="shared" si="55"/>
        <v>4.0306250890782565</v>
      </c>
      <c r="F1052" s="23">
        <f t="shared" si="56"/>
        <v>-4.0306250890782565</v>
      </c>
    </row>
    <row r="1053" spans="1:6" x14ac:dyDescent="0.3">
      <c r="A1053" s="2">
        <v>42634</v>
      </c>
      <c r="B1053" s="1">
        <v>28.387499999999999</v>
      </c>
      <c r="C1053" s="1">
        <v>789.74</v>
      </c>
      <c r="D1053" s="22">
        <f t="shared" si="54"/>
        <v>223.38935090232656</v>
      </c>
      <c r="E1053" s="23">
        <f t="shared" si="55"/>
        <v>2.4345961526949225</v>
      </c>
      <c r="F1053" s="23">
        <f t="shared" si="56"/>
        <v>-2.4345961526949225</v>
      </c>
    </row>
    <row r="1054" spans="1:6" x14ac:dyDescent="0.3">
      <c r="A1054" s="2">
        <v>42633</v>
      </c>
      <c r="B1054" s="1">
        <v>28.392499999999998</v>
      </c>
      <c r="C1054" s="1">
        <v>780.22</v>
      </c>
      <c r="D1054" s="22">
        <f t="shared" si="54"/>
        <v>220.95475474963163</v>
      </c>
      <c r="E1054" s="23">
        <f t="shared" si="55"/>
        <v>1.3094776727101873</v>
      </c>
      <c r="F1054" s="23">
        <f t="shared" si="56"/>
        <v>-1.3094776727101873</v>
      </c>
    </row>
    <row r="1055" spans="1:6" x14ac:dyDescent="0.3">
      <c r="A1055" s="2">
        <v>42632</v>
      </c>
      <c r="B1055" s="1">
        <v>28.395</v>
      </c>
      <c r="C1055" s="1">
        <v>775.1001</v>
      </c>
      <c r="D1055" s="22">
        <f t="shared" si="54"/>
        <v>219.64527707692145</v>
      </c>
      <c r="E1055" s="23">
        <f t="shared" si="55"/>
        <v>-1.1251218027767891</v>
      </c>
      <c r="F1055" s="23">
        <f t="shared" si="56"/>
        <v>1.1251218027767891</v>
      </c>
    </row>
    <row r="1056" spans="1:6" x14ac:dyDescent="0.3">
      <c r="A1056" s="2">
        <v>42629</v>
      </c>
      <c r="B1056" s="1">
        <v>28.73</v>
      </c>
      <c r="C1056" s="1">
        <v>778.52</v>
      </c>
      <c r="D1056" s="22">
        <f t="shared" si="54"/>
        <v>220.77039887969823</v>
      </c>
      <c r="E1056" s="23">
        <f t="shared" si="55"/>
        <v>2.1407348937243853</v>
      </c>
      <c r="F1056" s="23">
        <f t="shared" si="56"/>
        <v>-2.1407348937243853</v>
      </c>
    </row>
    <row r="1057" spans="1:6" x14ac:dyDescent="0.3">
      <c r="A1057" s="2">
        <v>42628</v>
      </c>
      <c r="B1057" s="1">
        <v>28.892499999999998</v>
      </c>
      <c r="C1057" s="1">
        <v>769.68989999999997</v>
      </c>
      <c r="D1057" s="22">
        <f t="shared" si="54"/>
        <v>218.62966398597385</v>
      </c>
      <c r="E1057" s="23">
        <f t="shared" si="55"/>
        <v>2.9093094644499047</v>
      </c>
      <c r="F1057" s="23">
        <f t="shared" si="56"/>
        <v>-2.9093094644499047</v>
      </c>
    </row>
    <row r="1058" spans="1:6" x14ac:dyDescent="0.3">
      <c r="A1058" s="2">
        <v>42627</v>
      </c>
      <c r="B1058" s="1">
        <v>27.942499999999999</v>
      </c>
      <c r="C1058" s="1">
        <v>761.09010000000001</v>
      </c>
      <c r="D1058" s="22">
        <f t="shared" si="54"/>
        <v>215.72035452152394</v>
      </c>
      <c r="E1058" s="23">
        <f t="shared" si="55"/>
        <v>0.730915729764547</v>
      </c>
      <c r="F1058" s="23">
        <f t="shared" si="56"/>
        <v>-0.730915729764547</v>
      </c>
    </row>
    <row r="1059" spans="1:6" x14ac:dyDescent="0.3">
      <c r="A1059" s="2">
        <v>42626</v>
      </c>
      <c r="B1059" s="1">
        <v>26.987500000000001</v>
      </c>
      <c r="C1059" s="1">
        <v>761.01</v>
      </c>
      <c r="D1059" s="22">
        <f t="shared" si="54"/>
        <v>214.9894387917594</v>
      </c>
      <c r="E1059" s="23">
        <f t="shared" si="55"/>
        <v>-2.2174148835757421</v>
      </c>
      <c r="F1059" s="23">
        <f t="shared" si="56"/>
        <v>2.2174148835757421</v>
      </c>
    </row>
    <row r="1060" spans="1:6" x14ac:dyDescent="0.3">
      <c r="A1060" s="2">
        <v>42625</v>
      </c>
      <c r="B1060" s="1">
        <v>26.36</v>
      </c>
      <c r="C1060" s="1">
        <v>771.49</v>
      </c>
      <c r="D1060" s="22">
        <f t="shared" si="54"/>
        <v>217.20685367533514</v>
      </c>
      <c r="E1060" s="23">
        <f t="shared" si="55"/>
        <v>3.3366384267213789</v>
      </c>
      <c r="F1060" s="23">
        <f t="shared" si="56"/>
        <v>-3.3366384267213789</v>
      </c>
    </row>
    <row r="1061" spans="1:6" x14ac:dyDescent="0.3">
      <c r="A1061" s="2">
        <v>42622</v>
      </c>
      <c r="B1061" s="1">
        <v>25.782499999999999</v>
      </c>
      <c r="C1061" s="1">
        <v>760.13990000000001</v>
      </c>
      <c r="D1061" s="22">
        <f t="shared" si="54"/>
        <v>213.87021524861376</v>
      </c>
      <c r="E1061" s="23">
        <f t="shared" si="55"/>
        <v>-6.5710400724890121</v>
      </c>
      <c r="F1061" s="23">
        <f t="shared" si="56"/>
        <v>6.5710400724890121</v>
      </c>
    </row>
    <row r="1062" spans="1:6" x14ac:dyDescent="0.3">
      <c r="A1062" s="2">
        <v>42621</v>
      </c>
      <c r="B1062" s="1">
        <v>26.38</v>
      </c>
      <c r="C1062" s="1">
        <v>784.06010000000003</v>
      </c>
      <c r="D1062" s="22">
        <f t="shared" si="54"/>
        <v>220.44125532110277</v>
      </c>
      <c r="E1062" s="23">
        <f t="shared" si="55"/>
        <v>-0.63569796914467247</v>
      </c>
      <c r="F1062" s="23">
        <f t="shared" si="56"/>
        <v>0.63569796914467247</v>
      </c>
    </row>
    <row r="1063" spans="1:6" x14ac:dyDescent="0.3">
      <c r="A1063" s="2">
        <v>42620</v>
      </c>
      <c r="B1063" s="1">
        <v>27.09</v>
      </c>
      <c r="C1063" s="1">
        <v>784.48</v>
      </c>
      <c r="D1063" s="22">
        <f t="shared" si="54"/>
        <v>221.07695329024745</v>
      </c>
      <c r="E1063" s="23">
        <f t="shared" si="55"/>
        <v>-1.0016776309858813</v>
      </c>
      <c r="F1063" s="23">
        <f t="shared" si="56"/>
        <v>1.0016776309858813</v>
      </c>
    </row>
    <row r="1064" spans="1:6" x14ac:dyDescent="0.3">
      <c r="A1064" s="2">
        <v>42619</v>
      </c>
      <c r="B1064" s="1">
        <v>26.925000000000001</v>
      </c>
      <c r="C1064" s="1">
        <v>788.87009999999998</v>
      </c>
      <c r="D1064" s="22">
        <f t="shared" si="54"/>
        <v>222.07863092123333</v>
      </c>
      <c r="E1064" s="23">
        <f t="shared" si="55"/>
        <v>4.2026154518796091</v>
      </c>
      <c r="F1064" s="23">
        <f t="shared" si="56"/>
        <v>-4.2026154518796091</v>
      </c>
    </row>
    <row r="1065" spans="1:6" x14ac:dyDescent="0.3">
      <c r="A1065" s="2">
        <v>42618</v>
      </c>
      <c r="B1065" s="1">
        <v>26.932500000000001</v>
      </c>
      <c r="C1065" s="1">
        <v>772.43989999999997</v>
      </c>
      <c r="D1065" s="22">
        <f t="shared" si="54"/>
        <v>217.87601546935372</v>
      </c>
      <c r="E1065" s="23">
        <f t="shared" si="55"/>
        <v>0</v>
      </c>
      <c r="F1065" s="23">
        <f t="shared" si="56"/>
        <v>0</v>
      </c>
    </row>
    <row r="1066" spans="1:6" x14ac:dyDescent="0.3">
      <c r="A1066" s="2">
        <v>42615</v>
      </c>
      <c r="B1066" s="1">
        <v>26.932500000000001</v>
      </c>
      <c r="C1066" s="1">
        <v>772.43989999999997</v>
      </c>
      <c r="D1066" s="22">
        <f t="shared" si="54"/>
        <v>217.87601546935372</v>
      </c>
      <c r="E1066" s="23">
        <f t="shared" si="55"/>
        <v>0.65206593601052987</v>
      </c>
      <c r="F1066" s="23">
        <f t="shared" si="56"/>
        <v>-0.65206593601052987</v>
      </c>
    </row>
    <row r="1067" spans="1:6" x14ac:dyDescent="0.3">
      <c r="A1067" s="2">
        <v>42614</v>
      </c>
      <c r="B1067" s="1">
        <v>26.682500000000001</v>
      </c>
      <c r="C1067" s="1">
        <v>770.62009999999998</v>
      </c>
      <c r="D1067" s="22">
        <f t="shared" si="54"/>
        <v>217.22394953334319</v>
      </c>
      <c r="E1067" s="23">
        <f t="shared" si="55"/>
        <v>0.49115479350297164</v>
      </c>
      <c r="F1067" s="23">
        <f t="shared" si="56"/>
        <v>-0.49115479350297164</v>
      </c>
    </row>
    <row r="1068" spans="1:6" x14ac:dyDescent="0.3">
      <c r="A1068" s="2">
        <v>42613</v>
      </c>
      <c r="B1068" s="1">
        <v>26.524999999999999</v>
      </c>
      <c r="C1068" s="1">
        <v>769.15989999999999</v>
      </c>
      <c r="D1068" s="22">
        <f t="shared" si="54"/>
        <v>216.73279473984022</v>
      </c>
      <c r="E1068" s="23">
        <f t="shared" si="55"/>
        <v>0.42322405230549975</v>
      </c>
      <c r="F1068" s="23">
        <f t="shared" si="56"/>
        <v>-0.42322405230549975</v>
      </c>
    </row>
    <row r="1069" spans="1:6" x14ac:dyDescent="0.3">
      <c r="A1069" s="2">
        <v>42612</v>
      </c>
      <c r="B1069" s="1">
        <v>26.5</v>
      </c>
      <c r="C1069" s="1">
        <v>767.58010000000002</v>
      </c>
      <c r="D1069" s="22">
        <f t="shared" si="54"/>
        <v>216.30957068753472</v>
      </c>
      <c r="E1069" s="23">
        <f t="shared" si="55"/>
        <v>-1.1026945465176254</v>
      </c>
      <c r="F1069" s="23">
        <f t="shared" si="56"/>
        <v>1.1026945465176254</v>
      </c>
    </row>
    <row r="1070" spans="1:6" x14ac:dyDescent="0.3">
      <c r="A1070" s="2">
        <v>42611</v>
      </c>
      <c r="B1070" s="1">
        <v>26.704999999999998</v>
      </c>
      <c r="C1070" s="1">
        <v>771.29</v>
      </c>
      <c r="D1070" s="22">
        <f t="shared" si="54"/>
        <v>217.41226523405234</v>
      </c>
      <c r="E1070" s="23">
        <f t="shared" si="55"/>
        <v>0.56421134637818682</v>
      </c>
      <c r="F1070" s="23">
        <f t="shared" si="56"/>
        <v>-0.56421134637818682</v>
      </c>
    </row>
    <row r="1071" spans="1:6" x14ac:dyDescent="0.3">
      <c r="A1071" s="2">
        <v>42608</v>
      </c>
      <c r="B1071" s="1">
        <v>26.734999999999999</v>
      </c>
      <c r="C1071" s="1">
        <v>769</v>
      </c>
      <c r="D1071" s="22">
        <f t="shared" si="54"/>
        <v>216.84805388767415</v>
      </c>
      <c r="E1071" s="23">
        <f t="shared" si="55"/>
        <v>2.3877479545832898</v>
      </c>
      <c r="F1071" s="23">
        <f t="shared" si="56"/>
        <v>-2.3877479545832898</v>
      </c>
    </row>
    <row r="1072" spans="1:6" x14ac:dyDescent="0.3">
      <c r="A1072" s="2">
        <v>42607</v>
      </c>
      <c r="B1072" s="1">
        <v>26.892499999999998</v>
      </c>
      <c r="C1072" s="1">
        <v>759.22</v>
      </c>
      <c r="D1072" s="22">
        <f t="shared" si="54"/>
        <v>214.46030593309086</v>
      </c>
      <c r="E1072" s="23">
        <f t="shared" si="55"/>
        <v>0.41902183499934154</v>
      </c>
      <c r="F1072" s="23">
        <f t="shared" si="56"/>
        <v>-0.41902183499934154</v>
      </c>
    </row>
    <row r="1073" spans="1:6" x14ac:dyDescent="0.3">
      <c r="A1073" s="2">
        <v>42606</v>
      </c>
      <c r="B1073" s="1">
        <v>27.0075</v>
      </c>
      <c r="C1073" s="1">
        <v>757.25</v>
      </c>
      <c r="D1073" s="22">
        <f t="shared" si="54"/>
        <v>214.04128409809152</v>
      </c>
      <c r="E1073" s="23">
        <f t="shared" si="55"/>
        <v>-1.4843472737754269</v>
      </c>
      <c r="F1073" s="23">
        <f t="shared" si="56"/>
        <v>1.4843472737754269</v>
      </c>
    </row>
    <row r="1074" spans="1:6" x14ac:dyDescent="0.3">
      <c r="A1074" s="2">
        <v>42605</v>
      </c>
      <c r="B1074" s="1">
        <v>27.212499999999999</v>
      </c>
      <c r="C1074" s="1">
        <v>762.45</v>
      </c>
      <c r="D1074" s="22">
        <f t="shared" si="54"/>
        <v>215.52563137186695</v>
      </c>
      <c r="E1074" s="23">
        <f t="shared" si="55"/>
        <v>0.82392229926767868</v>
      </c>
      <c r="F1074" s="23">
        <f t="shared" si="56"/>
        <v>-0.82392229926767868</v>
      </c>
    </row>
    <row r="1075" spans="1:6" x14ac:dyDescent="0.3">
      <c r="A1075" s="2">
        <v>42604</v>
      </c>
      <c r="B1075" s="1">
        <v>27.127500000000001</v>
      </c>
      <c r="C1075" s="1">
        <v>759.48</v>
      </c>
      <c r="D1075" s="22">
        <f t="shared" si="54"/>
        <v>214.70170907259927</v>
      </c>
      <c r="E1075" s="23">
        <f t="shared" si="55"/>
        <v>0.39769358259113119</v>
      </c>
      <c r="F1075" s="23">
        <f t="shared" si="56"/>
        <v>-0.39769358259113119</v>
      </c>
    </row>
    <row r="1076" spans="1:6" x14ac:dyDescent="0.3">
      <c r="A1076" s="2">
        <v>42601</v>
      </c>
      <c r="B1076" s="1">
        <v>27.34</v>
      </c>
      <c r="C1076" s="1">
        <v>757.31010000000003</v>
      </c>
      <c r="D1076" s="22">
        <f t="shared" si="54"/>
        <v>214.30401549000814</v>
      </c>
      <c r="E1076" s="23">
        <f t="shared" si="55"/>
        <v>-1.779201077463739</v>
      </c>
      <c r="F1076" s="23">
        <f t="shared" si="56"/>
        <v>1.779201077463739</v>
      </c>
    </row>
    <row r="1077" spans="1:6" x14ac:dyDescent="0.3">
      <c r="A1077" s="2">
        <v>42600</v>
      </c>
      <c r="B1077" s="1">
        <v>27.27</v>
      </c>
      <c r="C1077" s="1">
        <v>764.46</v>
      </c>
      <c r="D1077" s="22">
        <f t="shared" si="54"/>
        <v>216.08321656747188</v>
      </c>
      <c r="E1077" s="23">
        <f t="shared" si="55"/>
        <v>-6.9551340787228355E-2</v>
      </c>
      <c r="F1077" s="23">
        <f t="shared" si="56"/>
        <v>6.9551340787228355E-2</v>
      </c>
    </row>
    <row r="1078" spans="1:6" x14ac:dyDescent="0.3">
      <c r="A1078" s="2">
        <v>42599</v>
      </c>
      <c r="B1078" s="1">
        <v>27.305</v>
      </c>
      <c r="C1078" s="1">
        <v>764.62990000000002</v>
      </c>
      <c r="D1078" s="22">
        <f t="shared" si="54"/>
        <v>216.15276790825911</v>
      </c>
      <c r="E1078" s="23">
        <f t="shared" si="55"/>
        <v>0.12133350305327895</v>
      </c>
      <c r="F1078" s="23">
        <f t="shared" si="56"/>
        <v>-0.12133350305327895</v>
      </c>
    </row>
    <row r="1079" spans="1:6" x14ac:dyDescent="0.3">
      <c r="A1079" s="2">
        <v>42598</v>
      </c>
      <c r="B1079" s="1">
        <v>27.344999999999999</v>
      </c>
      <c r="C1079" s="1">
        <v>764.04</v>
      </c>
      <c r="D1079" s="22">
        <f t="shared" si="54"/>
        <v>216.03143440520583</v>
      </c>
      <c r="E1079" s="23">
        <f t="shared" si="55"/>
        <v>-1.1583556929842587</v>
      </c>
      <c r="F1079" s="23">
        <f t="shared" si="56"/>
        <v>1.1583556929842587</v>
      </c>
    </row>
    <row r="1080" spans="1:6" x14ac:dyDescent="0.3">
      <c r="A1080" s="2">
        <v>42597</v>
      </c>
      <c r="B1080" s="1">
        <v>27.37</v>
      </c>
      <c r="C1080" s="1">
        <v>768.49</v>
      </c>
      <c r="D1080" s="22">
        <f t="shared" si="54"/>
        <v>217.18979009819009</v>
      </c>
      <c r="E1080" s="23">
        <f t="shared" si="55"/>
        <v>-0.80069753813222633</v>
      </c>
      <c r="F1080" s="23">
        <f t="shared" si="56"/>
        <v>0.80069753813222633</v>
      </c>
    </row>
    <row r="1081" spans="1:6" x14ac:dyDescent="0.3">
      <c r="A1081" s="2">
        <v>42594</v>
      </c>
      <c r="B1081" s="1">
        <v>27.045000000000002</v>
      </c>
      <c r="C1081" s="1">
        <v>772.56010000000003</v>
      </c>
      <c r="D1081" s="22">
        <f t="shared" si="54"/>
        <v>217.99048763632231</v>
      </c>
      <c r="E1081" s="23">
        <f t="shared" si="55"/>
        <v>0.38460352982986024</v>
      </c>
      <c r="F1081" s="23">
        <f t="shared" si="56"/>
        <v>-0.38460352982986024</v>
      </c>
    </row>
    <row r="1082" spans="1:6" x14ac:dyDescent="0.3">
      <c r="A1082" s="2">
        <v>42593</v>
      </c>
      <c r="B1082" s="1">
        <v>26.982500000000002</v>
      </c>
      <c r="C1082" s="1">
        <v>771.24</v>
      </c>
      <c r="D1082" s="22">
        <f t="shared" si="54"/>
        <v>217.60588410649245</v>
      </c>
      <c r="E1082" s="23">
        <f t="shared" si="55"/>
        <v>0.67337314039676244</v>
      </c>
      <c r="F1082" s="23">
        <f t="shared" si="56"/>
        <v>-0.67337314039676244</v>
      </c>
    </row>
    <row r="1083" spans="1:6" x14ac:dyDescent="0.3">
      <c r="A1083" s="2">
        <v>42592</v>
      </c>
      <c r="B1083" s="1">
        <v>27</v>
      </c>
      <c r="C1083" s="1">
        <v>768.56010000000003</v>
      </c>
      <c r="D1083" s="22">
        <f t="shared" si="54"/>
        <v>216.93251096609569</v>
      </c>
      <c r="E1083" s="23">
        <f t="shared" si="55"/>
        <v>-8.6603174898243651E-2</v>
      </c>
      <c r="F1083" s="23">
        <f t="shared" si="56"/>
        <v>8.6603174898243651E-2</v>
      </c>
    </row>
    <row r="1084" spans="1:6" x14ac:dyDescent="0.3">
      <c r="A1084" s="2">
        <v>42591</v>
      </c>
      <c r="B1084" s="1">
        <v>27.202500000000001</v>
      </c>
      <c r="C1084" s="1">
        <v>768.31010000000003</v>
      </c>
      <c r="D1084" s="22">
        <f t="shared" si="54"/>
        <v>217.01911414099393</v>
      </c>
      <c r="E1084" s="23">
        <f t="shared" si="55"/>
        <v>0.53004595175011104</v>
      </c>
      <c r="F1084" s="23">
        <f t="shared" si="56"/>
        <v>-0.53004595175011104</v>
      </c>
    </row>
    <row r="1085" spans="1:6" x14ac:dyDescent="0.3">
      <c r="A1085" s="2">
        <v>42590</v>
      </c>
      <c r="B1085" s="1">
        <v>27.092500000000001</v>
      </c>
      <c r="C1085" s="1">
        <v>766.56010000000003</v>
      </c>
      <c r="D1085" s="22">
        <f t="shared" si="54"/>
        <v>216.48906818924382</v>
      </c>
      <c r="E1085" s="23">
        <f t="shared" si="55"/>
        <v>0.31409050752793632</v>
      </c>
      <c r="F1085" s="23">
        <f t="shared" si="56"/>
        <v>-0.31409050752793632</v>
      </c>
    </row>
    <row r="1086" spans="1:6" x14ac:dyDescent="0.3">
      <c r="A1086" s="2">
        <v>42587</v>
      </c>
      <c r="B1086" s="1">
        <v>26.87</v>
      </c>
      <c r="C1086" s="1">
        <v>765.98</v>
      </c>
      <c r="D1086" s="22">
        <f t="shared" si="54"/>
        <v>216.17497768171589</v>
      </c>
      <c r="E1086" s="23">
        <f t="shared" si="55"/>
        <v>1.6338237274625556</v>
      </c>
      <c r="F1086" s="23">
        <f t="shared" si="56"/>
        <v>-1.6338237274625556</v>
      </c>
    </row>
    <row r="1087" spans="1:6" x14ac:dyDescent="0.3">
      <c r="A1087" s="2">
        <v>42586</v>
      </c>
      <c r="B1087" s="1">
        <v>26.467500000000001</v>
      </c>
      <c r="C1087" s="1">
        <v>760.77</v>
      </c>
      <c r="D1087" s="22">
        <f t="shared" si="54"/>
        <v>214.54115395425333</v>
      </c>
      <c r="E1087" s="23">
        <f t="shared" si="55"/>
        <v>1.5849529084074732</v>
      </c>
      <c r="F1087" s="23">
        <f t="shared" si="56"/>
        <v>-1.5849529084074732</v>
      </c>
    </row>
    <row r="1088" spans="1:6" x14ac:dyDescent="0.3">
      <c r="A1088" s="2">
        <v>42585</v>
      </c>
      <c r="B1088" s="1">
        <v>26.447500000000002</v>
      </c>
      <c r="C1088" s="1">
        <v>754.63990000000001</v>
      </c>
      <c r="D1088" s="22">
        <f t="shared" si="54"/>
        <v>212.95620104584586</v>
      </c>
      <c r="E1088" s="23">
        <f t="shared" si="55"/>
        <v>-1.2778182998683292</v>
      </c>
      <c r="F1088" s="23">
        <f t="shared" si="56"/>
        <v>1.2778182998683292</v>
      </c>
    </row>
    <row r="1089" spans="1:6" x14ac:dyDescent="0.3">
      <c r="A1089" s="2">
        <v>42584</v>
      </c>
      <c r="B1089" s="1">
        <v>26.12</v>
      </c>
      <c r="C1089" s="1">
        <v>760.58010000000002</v>
      </c>
      <c r="D1089" s="22">
        <f t="shared" si="54"/>
        <v>214.23401934571419</v>
      </c>
      <c r="E1089" s="23">
        <f t="shared" si="55"/>
        <v>-2.1258042523619736</v>
      </c>
      <c r="F1089" s="23">
        <f t="shared" si="56"/>
        <v>2.1258042523619736</v>
      </c>
    </row>
    <row r="1090" spans="1:6" x14ac:dyDescent="0.3">
      <c r="A1090" s="2">
        <v>42583</v>
      </c>
      <c r="B1090" s="1">
        <v>26.512499999999999</v>
      </c>
      <c r="C1090" s="1">
        <v>767.74</v>
      </c>
      <c r="D1090" s="22">
        <f t="shared" si="54"/>
        <v>216.35982359807616</v>
      </c>
      <c r="E1090" s="23">
        <f t="shared" si="55"/>
        <v>2.6293580528830205</v>
      </c>
      <c r="F1090" s="23">
        <f t="shared" si="56"/>
        <v>-2.6293580528830205</v>
      </c>
    </row>
    <row r="1091" spans="1:6" x14ac:dyDescent="0.3">
      <c r="A1091" s="2">
        <v>42580</v>
      </c>
      <c r="B1091" s="1">
        <v>26.052499999999998</v>
      </c>
      <c r="C1091" s="1">
        <v>758.81010000000003</v>
      </c>
      <c r="D1091" s="22">
        <f t="shared" si="54"/>
        <v>213.73046554519314</v>
      </c>
      <c r="E1091" s="23">
        <f t="shared" si="55"/>
        <v>1.5638026794405562</v>
      </c>
      <c r="F1091" s="23">
        <f t="shared" si="56"/>
        <v>-1.5638026794405562</v>
      </c>
    </row>
    <row r="1092" spans="1:6" x14ac:dyDescent="0.3">
      <c r="A1092" s="2">
        <v>42579</v>
      </c>
      <c r="B1092" s="1">
        <v>26.085000000000001</v>
      </c>
      <c r="C1092" s="1">
        <v>752.61009999999999</v>
      </c>
      <c r="D1092" s="22">
        <f t="shared" si="54"/>
        <v>212.16666286575258</v>
      </c>
      <c r="E1092" s="23">
        <f t="shared" si="55"/>
        <v>4.3411893364961713</v>
      </c>
      <c r="F1092" s="23">
        <f t="shared" si="56"/>
        <v>-4.3411893364961713</v>
      </c>
    </row>
    <row r="1093" spans="1:6" x14ac:dyDescent="0.3">
      <c r="A1093" s="2">
        <v>42578</v>
      </c>
      <c r="B1093" s="1">
        <v>25.737500000000001</v>
      </c>
      <c r="C1093" s="1">
        <v>736.66989999999998</v>
      </c>
      <c r="D1093" s="22">
        <f t="shared" si="54"/>
        <v>207.82547352925641</v>
      </c>
      <c r="E1093" s="23">
        <f t="shared" si="55"/>
        <v>1.4444472405195938</v>
      </c>
      <c r="F1093" s="23">
        <f t="shared" si="56"/>
        <v>-1.4444472405195938</v>
      </c>
    </row>
    <row r="1094" spans="1:6" x14ac:dyDescent="0.3">
      <c r="A1094" s="2">
        <v>42577</v>
      </c>
      <c r="B1094" s="1">
        <v>24.1675</v>
      </c>
      <c r="C1094" s="1">
        <v>735.59010000000001</v>
      </c>
      <c r="D1094" s="22">
        <f t="shared" ref="D1094:D1157" si="57">$M$16*B1094+(1-$M$16)*C1094</f>
        <v>206.38102628873682</v>
      </c>
      <c r="E1094" s="23">
        <f t="shared" ref="E1094:E1157" si="58">D1094-D1095</f>
        <v>-1.1542237982422421</v>
      </c>
      <c r="F1094" s="23">
        <f t="shared" ref="F1094:F1157" si="59">-E1094</f>
        <v>1.1542237982422421</v>
      </c>
    </row>
    <row r="1095" spans="1:6" x14ac:dyDescent="0.3">
      <c r="A1095" s="2">
        <v>42576</v>
      </c>
      <c r="B1095" s="1">
        <v>24.335000000000001</v>
      </c>
      <c r="C1095" s="1">
        <v>739.61009999999999</v>
      </c>
      <c r="D1095" s="22">
        <f t="shared" si="57"/>
        <v>207.53525008697906</v>
      </c>
      <c r="E1095" s="23">
        <f t="shared" si="58"/>
        <v>-1.5901378552502763</v>
      </c>
      <c r="F1095" s="23">
        <f t="shared" si="59"/>
        <v>1.5901378552502763</v>
      </c>
    </row>
    <row r="1096" spans="1:6" x14ac:dyDescent="0.3">
      <c r="A1096" s="2">
        <v>42573</v>
      </c>
      <c r="B1096" s="1">
        <v>24.664999999999999</v>
      </c>
      <c r="C1096" s="1">
        <v>744.86009999999999</v>
      </c>
      <c r="D1096" s="22">
        <f t="shared" si="57"/>
        <v>209.12538794222934</v>
      </c>
      <c r="E1096" s="23">
        <f t="shared" si="58"/>
        <v>-3.3010601125113226E-2</v>
      </c>
      <c r="F1096" s="23">
        <f t="shared" si="59"/>
        <v>3.3010601125113226E-2</v>
      </c>
    </row>
    <row r="1097" spans="1:6" x14ac:dyDescent="0.3">
      <c r="A1097" s="2">
        <v>42572</v>
      </c>
      <c r="B1097" s="1">
        <v>24.857500000000002</v>
      </c>
      <c r="C1097" s="1">
        <v>744.42989999999998</v>
      </c>
      <c r="D1097" s="22">
        <f t="shared" si="57"/>
        <v>209.15839854335445</v>
      </c>
      <c r="E1097" s="23">
        <f t="shared" si="58"/>
        <v>-0.42899097179630985</v>
      </c>
      <c r="F1097" s="23">
        <f t="shared" si="59"/>
        <v>0.42899097179630985</v>
      </c>
    </row>
    <row r="1098" spans="1:6" x14ac:dyDescent="0.3">
      <c r="A1098" s="2">
        <v>42571</v>
      </c>
      <c r="B1098" s="1">
        <v>24.99</v>
      </c>
      <c r="C1098" s="1">
        <v>745.72</v>
      </c>
      <c r="D1098" s="22">
        <f t="shared" si="57"/>
        <v>209.58738951515076</v>
      </c>
      <c r="E1098" s="23">
        <f t="shared" si="58"/>
        <v>1.4945817729778241</v>
      </c>
      <c r="F1098" s="23">
        <f t="shared" si="59"/>
        <v>-1.4945817729778241</v>
      </c>
    </row>
    <row r="1099" spans="1:6" x14ac:dyDescent="0.3">
      <c r="A1099" s="2">
        <v>42570</v>
      </c>
      <c r="B1099" s="1">
        <v>24.967500000000001</v>
      </c>
      <c r="C1099" s="1">
        <v>739.95</v>
      </c>
      <c r="D1099" s="22">
        <f t="shared" si="57"/>
        <v>208.09280774217294</v>
      </c>
      <c r="E1099" s="23">
        <f t="shared" si="58"/>
        <v>1.0011803833400563</v>
      </c>
      <c r="F1099" s="23">
        <f t="shared" si="59"/>
        <v>-1.0011803833400563</v>
      </c>
    </row>
    <row r="1100" spans="1:6" x14ac:dyDescent="0.3">
      <c r="A1100" s="2">
        <v>42569</v>
      </c>
      <c r="B1100" s="1">
        <v>24.9575</v>
      </c>
      <c r="C1100" s="1">
        <v>736.07010000000002</v>
      </c>
      <c r="D1100" s="22">
        <f t="shared" si="57"/>
        <v>207.09162735883288</v>
      </c>
      <c r="E1100" s="23">
        <f t="shared" si="58"/>
        <v>0.35667737588934756</v>
      </c>
      <c r="F1100" s="23">
        <f t="shared" si="59"/>
        <v>-0.35667737588934756</v>
      </c>
    </row>
    <row r="1101" spans="1:6" x14ac:dyDescent="0.3">
      <c r="A1101" s="2">
        <v>42566</v>
      </c>
      <c r="B1101" s="1">
        <v>24.695</v>
      </c>
      <c r="C1101" s="1">
        <v>735.43989999999997</v>
      </c>
      <c r="D1101" s="22">
        <f t="shared" si="57"/>
        <v>206.73494998294353</v>
      </c>
      <c r="E1101" s="23">
        <f t="shared" si="58"/>
        <v>-1.4771686413392615</v>
      </c>
      <c r="F1101" s="23">
        <f t="shared" si="59"/>
        <v>1.4771686413392615</v>
      </c>
    </row>
    <row r="1102" spans="1:6" x14ac:dyDescent="0.3">
      <c r="A1102" s="2">
        <v>42565</v>
      </c>
      <c r="B1102" s="1">
        <v>24.697500000000002</v>
      </c>
      <c r="C1102" s="1">
        <v>741.2</v>
      </c>
      <c r="D1102" s="22">
        <f t="shared" si="57"/>
        <v>208.21211862428279</v>
      </c>
      <c r="E1102" s="23">
        <f t="shared" si="58"/>
        <v>-9.1742458825763151E-3</v>
      </c>
      <c r="F1102" s="23">
        <f t="shared" si="59"/>
        <v>9.1742458825763151E-3</v>
      </c>
    </row>
    <row r="1103" spans="1:6" x14ac:dyDescent="0.3">
      <c r="A1103" s="2">
        <v>42564</v>
      </c>
      <c r="B1103" s="1">
        <v>24.217500000000001</v>
      </c>
      <c r="C1103" s="1">
        <v>742.62990000000002</v>
      </c>
      <c r="D1103" s="22">
        <f t="shared" si="57"/>
        <v>208.22129287016537</v>
      </c>
      <c r="E1103" s="23">
        <f t="shared" si="58"/>
        <v>-1.5314890835336143</v>
      </c>
      <c r="F1103" s="23">
        <f t="shared" si="59"/>
        <v>1.5314890835336143</v>
      </c>
    </row>
    <row r="1104" spans="1:6" x14ac:dyDescent="0.3">
      <c r="A1104" s="2">
        <v>42563</v>
      </c>
      <c r="B1104" s="1">
        <v>24.355</v>
      </c>
      <c r="C1104" s="1">
        <v>748.21</v>
      </c>
      <c r="D1104" s="22">
        <f t="shared" si="57"/>
        <v>209.75278195369899</v>
      </c>
      <c r="E1104" s="23">
        <f t="shared" si="58"/>
        <v>-1.3447932963051983</v>
      </c>
      <c r="F1104" s="23">
        <f t="shared" si="59"/>
        <v>1.3447932963051983</v>
      </c>
    </row>
    <row r="1105" spans="1:6" x14ac:dyDescent="0.3">
      <c r="A1105" s="2">
        <v>42562</v>
      </c>
      <c r="B1105" s="1">
        <v>24.245000000000001</v>
      </c>
      <c r="C1105" s="1">
        <v>753.78</v>
      </c>
      <c r="D1105" s="22">
        <f t="shared" si="57"/>
        <v>211.09757525000418</v>
      </c>
      <c r="E1105" s="23">
        <f t="shared" si="58"/>
        <v>2.0970858441901328</v>
      </c>
      <c r="F1105" s="23">
        <f t="shared" si="59"/>
        <v>-2.0970858441901328</v>
      </c>
    </row>
    <row r="1106" spans="1:6" x14ac:dyDescent="0.3">
      <c r="A1106" s="2">
        <v>42559</v>
      </c>
      <c r="B1106" s="1">
        <v>24.17</v>
      </c>
      <c r="C1106" s="1">
        <v>745.81010000000003</v>
      </c>
      <c r="D1106" s="22">
        <f t="shared" si="57"/>
        <v>209.00048940581405</v>
      </c>
      <c r="E1106" s="23">
        <f t="shared" si="58"/>
        <v>2.504217129937274</v>
      </c>
      <c r="F1106" s="23">
        <f t="shared" si="59"/>
        <v>-2.504217129937274</v>
      </c>
    </row>
    <row r="1107" spans="1:6" x14ac:dyDescent="0.3">
      <c r="A1107" s="2">
        <v>42558</v>
      </c>
      <c r="B1107" s="1">
        <v>23.984999999999999</v>
      </c>
      <c r="C1107" s="1">
        <v>736.57010000000002</v>
      </c>
      <c r="D1107" s="22">
        <f t="shared" si="57"/>
        <v>206.49627227587678</v>
      </c>
      <c r="E1107" s="23">
        <f t="shared" si="58"/>
        <v>-0.19012347553319842</v>
      </c>
      <c r="F1107" s="23">
        <f t="shared" si="59"/>
        <v>0.19012347553319842</v>
      </c>
    </row>
    <row r="1108" spans="1:6" x14ac:dyDescent="0.3">
      <c r="A1108" s="2">
        <v>42557</v>
      </c>
      <c r="B1108" s="1">
        <v>23.8825</v>
      </c>
      <c r="C1108" s="1">
        <v>737.61009999999999</v>
      </c>
      <c r="D1108" s="22">
        <f t="shared" si="57"/>
        <v>206.68639575140998</v>
      </c>
      <c r="E1108" s="23">
        <f t="shared" si="58"/>
        <v>2.5361773156446077</v>
      </c>
      <c r="F1108" s="23">
        <f t="shared" si="59"/>
        <v>-2.5361773156446077</v>
      </c>
    </row>
    <row r="1109" spans="1:6" x14ac:dyDescent="0.3">
      <c r="A1109" s="2">
        <v>42556</v>
      </c>
      <c r="B1109" s="1">
        <v>23.747499999999999</v>
      </c>
      <c r="C1109" s="1">
        <v>728.1001</v>
      </c>
      <c r="D1109" s="22">
        <f t="shared" si="57"/>
        <v>204.15021843576537</v>
      </c>
      <c r="E1109" s="23">
        <f t="shared" si="58"/>
        <v>0.45250338510325605</v>
      </c>
      <c r="F1109" s="23">
        <f t="shared" si="59"/>
        <v>-0.45250338510325605</v>
      </c>
    </row>
    <row r="1110" spans="1:6" x14ac:dyDescent="0.3">
      <c r="A1110" s="2">
        <v>42555</v>
      </c>
      <c r="B1110" s="1">
        <v>23.9725</v>
      </c>
      <c r="C1110" s="1">
        <v>725.67989999999998</v>
      </c>
      <c r="D1110" s="22">
        <f t="shared" si="57"/>
        <v>203.69771505066211</v>
      </c>
      <c r="E1110" s="23">
        <f t="shared" si="58"/>
        <v>0</v>
      </c>
      <c r="F1110" s="23">
        <f t="shared" si="59"/>
        <v>0</v>
      </c>
    </row>
    <row r="1111" spans="1:6" x14ac:dyDescent="0.3">
      <c r="A1111" s="2">
        <v>42552</v>
      </c>
      <c r="B1111" s="1">
        <v>23.9725</v>
      </c>
      <c r="C1111" s="1">
        <v>725.67989999999998</v>
      </c>
      <c r="D1111" s="22">
        <f t="shared" si="57"/>
        <v>203.69771505066211</v>
      </c>
      <c r="E1111" s="23">
        <f t="shared" si="58"/>
        <v>2.6305030084839984</v>
      </c>
      <c r="F1111" s="23">
        <f t="shared" si="59"/>
        <v>-2.6305030084839984</v>
      </c>
    </row>
    <row r="1112" spans="1:6" x14ac:dyDescent="0.3">
      <c r="A1112" s="2">
        <v>42551</v>
      </c>
      <c r="B1112" s="1">
        <v>23.9</v>
      </c>
      <c r="C1112" s="1">
        <v>715.62009999999998</v>
      </c>
      <c r="D1112" s="22">
        <f t="shared" si="57"/>
        <v>201.06721204217811</v>
      </c>
      <c r="E1112" s="23">
        <f t="shared" si="58"/>
        <v>0.22828483750606665</v>
      </c>
      <c r="F1112" s="23">
        <f t="shared" si="59"/>
        <v>-0.22828483750606665</v>
      </c>
    </row>
    <row r="1113" spans="1:6" x14ac:dyDescent="0.3">
      <c r="A1113" s="2">
        <v>42550</v>
      </c>
      <c r="B1113" s="1">
        <v>23.6</v>
      </c>
      <c r="C1113" s="1">
        <v>715.6001</v>
      </c>
      <c r="D1113" s="22">
        <f t="shared" si="57"/>
        <v>200.83892720467205</v>
      </c>
      <c r="E1113" s="23">
        <f t="shared" si="58"/>
        <v>2.1100208721060767</v>
      </c>
      <c r="F1113" s="23">
        <f t="shared" si="59"/>
        <v>-2.1100208721060767</v>
      </c>
    </row>
    <row r="1114" spans="1:6" x14ac:dyDescent="0.3">
      <c r="A1114" s="2">
        <v>42549</v>
      </c>
      <c r="B1114" s="1">
        <v>23.397500000000001</v>
      </c>
      <c r="C1114" s="1">
        <v>707.95</v>
      </c>
      <c r="D1114" s="22">
        <f t="shared" si="57"/>
        <v>198.72890633256597</v>
      </c>
      <c r="E1114" s="23">
        <f t="shared" si="58"/>
        <v>4.5373491028267381</v>
      </c>
      <c r="F1114" s="23">
        <f t="shared" si="59"/>
        <v>-4.5373491028267381</v>
      </c>
    </row>
    <row r="1115" spans="1:6" x14ac:dyDescent="0.3">
      <c r="A1115" s="2">
        <v>42548</v>
      </c>
      <c r="B1115" s="1">
        <v>23.01</v>
      </c>
      <c r="C1115" s="1">
        <v>691.36009999999999</v>
      </c>
      <c r="D1115" s="22">
        <f t="shared" si="57"/>
        <v>194.19155722973923</v>
      </c>
      <c r="E1115" s="23">
        <f t="shared" si="58"/>
        <v>-2.1994461006771928</v>
      </c>
      <c r="F1115" s="23">
        <f t="shared" si="59"/>
        <v>2.1994461006771928</v>
      </c>
    </row>
    <row r="1116" spans="1:6" x14ac:dyDescent="0.3">
      <c r="A1116" s="2">
        <v>42545</v>
      </c>
      <c r="B1116" s="1">
        <v>23.35</v>
      </c>
      <c r="C1116" s="1">
        <v>698.96</v>
      </c>
      <c r="D1116" s="22">
        <f t="shared" si="57"/>
        <v>196.39100333041642</v>
      </c>
      <c r="E1116" s="23">
        <f t="shared" si="58"/>
        <v>-6.4237642631866265</v>
      </c>
      <c r="F1116" s="23">
        <f t="shared" si="59"/>
        <v>6.4237642631866265</v>
      </c>
    </row>
    <row r="1117" spans="1:6" x14ac:dyDescent="0.3">
      <c r="A1117" s="2">
        <v>42544</v>
      </c>
      <c r="B1117" s="1">
        <v>24.024999999999999</v>
      </c>
      <c r="C1117" s="1">
        <v>722.08010000000002</v>
      </c>
      <c r="D1117" s="22">
        <f t="shared" si="57"/>
        <v>202.81476759360305</v>
      </c>
      <c r="E1117" s="23">
        <f t="shared" si="58"/>
        <v>3.0426043949545658</v>
      </c>
      <c r="F1117" s="23">
        <f t="shared" si="59"/>
        <v>-3.0426043949545658</v>
      </c>
    </row>
    <row r="1118" spans="1:6" x14ac:dyDescent="0.3">
      <c r="A1118" s="2">
        <v>42543</v>
      </c>
      <c r="B1118" s="1">
        <v>23.887499999999999</v>
      </c>
      <c r="C1118" s="1">
        <v>710.6001</v>
      </c>
      <c r="D1118" s="22">
        <f t="shared" si="57"/>
        <v>199.77216319864849</v>
      </c>
      <c r="E1118" s="23">
        <f t="shared" si="58"/>
        <v>-1.4039242271207399</v>
      </c>
      <c r="F1118" s="23">
        <f t="shared" si="59"/>
        <v>1.4039242271207399</v>
      </c>
    </row>
    <row r="1119" spans="1:6" x14ac:dyDescent="0.3">
      <c r="A1119" s="2">
        <v>42542</v>
      </c>
      <c r="B1119" s="1">
        <v>23.977499999999999</v>
      </c>
      <c r="C1119" s="1">
        <v>715.82010000000002</v>
      </c>
      <c r="D1119" s="22">
        <f t="shared" si="57"/>
        <v>201.17608742576923</v>
      </c>
      <c r="E1119" s="23">
        <f t="shared" si="58"/>
        <v>0.61424748294726328</v>
      </c>
      <c r="F1119" s="23">
        <f t="shared" si="59"/>
        <v>-0.61424748294726328</v>
      </c>
    </row>
    <row r="1120" spans="1:6" x14ac:dyDescent="0.3">
      <c r="A1120" s="2">
        <v>42541</v>
      </c>
      <c r="B1120" s="1">
        <v>23.774999999999999</v>
      </c>
      <c r="C1120" s="1">
        <v>714.01</v>
      </c>
      <c r="D1120" s="22">
        <f t="shared" si="57"/>
        <v>200.56183994282196</v>
      </c>
      <c r="E1120" s="23">
        <f t="shared" si="58"/>
        <v>1.9089297555832161</v>
      </c>
      <c r="F1120" s="23">
        <f t="shared" si="59"/>
        <v>-1.9089297555832161</v>
      </c>
    </row>
    <row r="1121" spans="1:6" x14ac:dyDescent="0.3">
      <c r="A1121" s="2">
        <v>42538</v>
      </c>
      <c r="B1121" s="1">
        <v>23.8325</v>
      </c>
      <c r="C1121" s="1">
        <v>706.38990000000001</v>
      </c>
      <c r="D1121" s="22">
        <f t="shared" si="57"/>
        <v>198.65291018723875</v>
      </c>
      <c r="E1121" s="23">
        <f t="shared" si="58"/>
        <v>-3.2609923688017659</v>
      </c>
      <c r="F1121" s="23">
        <f t="shared" si="59"/>
        <v>3.2609923688017659</v>
      </c>
    </row>
    <row r="1122" spans="1:6" x14ac:dyDescent="0.3">
      <c r="A1122" s="2">
        <v>42537</v>
      </c>
      <c r="B1122" s="1">
        <v>24.387499999999999</v>
      </c>
      <c r="C1122" s="1">
        <v>717.51</v>
      </c>
      <c r="D1122" s="22">
        <f t="shared" si="57"/>
        <v>201.91390255604051</v>
      </c>
      <c r="E1122" s="23">
        <f t="shared" si="58"/>
        <v>0.90865526410573239</v>
      </c>
      <c r="F1122" s="23">
        <f t="shared" si="59"/>
        <v>-0.90865526410573239</v>
      </c>
    </row>
    <row r="1123" spans="1:6" x14ac:dyDescent="0.3">
      <c r="A1123" s="2">
        <v>42536</v>
      </c>
      <c r="B1123" s="1">
        <v>24.285</v>
      </c>
      <c r="C1123" s="1">
        <v>714.26</v>
      </c>
      <c r="D1123" s="22">
        <f t="shared" si="57"/>
        <v>201.00524729193478</v>
      </c>
      <c r="E1123" s="23">
        <f t="shared" si="58"/>
        <v>-1.3503828784636767</v>
      </c>
      <c r="F1123" s="23">
        <f t="shared" si="59"/>
        <v>1.3503828784636767</v>
      </c>
    </row>
    <row r="1124" spans="1:6" x14ac:dyDescent="0.3">
      <c r="A1124" s="2">
        <v>42535</v>
      </c>
      <c r="B1124" s="1">
        <v>24.364999999999998</v>
      </c>
      <c r="C1124" s="1">
        <v>719.3</v>
      </c>
      <c r="D1124" s="22">
        <f t="shared" si="57"/>
        <v>202.35563017039846</v>
      </c>
      <c r="E1124" s="23">
        <f t="shared" si="58"/>
        <v>1.06218608875173</v>
      </c>
      <c r="F1124" s="23">
        <f t="shared" si="59"/>
        <v>-1.06218608875173</v>
      </c>
    </row>
    <row r="1125" spans="1:6" x14ac:dyDescent="0.3">
      <c r="A1125" s="2">
        <v>42534</v>
      </c>
      <c r="B1125" s="1">
        <v>24.335000000000001</v>
      </c>
      <c r="C1125" s="1">
        <v>715.24</v>
      </c>
      <c r="D1125" s="22">
        <f t="shared" si="57"/>
        <v>201.29344408164673</v>
      </c>
      <c r="E1125" s="23">
        <f t="shared" si="58"/>
        <v>-0.96092290826260296</v>
      </c>
      <c r="F1125" s="23">
        <f t="shared" si="59"/>
        <v>0.96092290826260296</v>
      </c>
    </row>
    <row r="1126" spans="1:6" x14ac:dyDescent="0.3">
      <c r="A1126" s="2">
        <v>42531</v>
      </c>
      <c r="B1126" s="1">
        <v>24.7075</v>
      </c>
      <c r="C1126" s="1">
        <v>717.90989999999999</v>
      </c>
      <c r="D1126" s="22">
        <f t="shared" si="57"/>
        <v>202.25436698990933</v>
      </c>
      <c r="E1126" s="23">
        <f t="shared" si="58"/>
        <v>-2.6471574084982876</v>
      </c>
      <c r="F1126" s="23">
        <f t="shared" si="59"/>
        <v>2.6471574084982876</v>
      </c>
    </row>
    <row r="1127" spans="1:6" x14ac:dyDescent="0.3">
      <c r="A1127" s="2">
        <v>42530</v>
      </c>
      <c r="B1127" s="1">
        <v>24.912500000000001</v>
      </c>
      <c r="C1127" s="1">
        <v>727.6499</v>
      </c>
      <c r="D1127" s="22">
        <f t="shared" si="57"/>
        <v>204.90152439840762</v>
      </c>
      <c r="E1127" s="23">
        <f t="shared" si="58"/>
        <v>0.3907245456292685</v>
      </c>
      <c r="F1127" s="23">
        <f t="shared" si="59"/>
        <v>-0.3907245456292685</v>
      </c>
    </row>
    <row r="1128" spans="1:6" x14ac:dyDescent="0.3">
      <c r="A1128" s="2">
        <v>42529</v>
      </c>
      <c r="B1128" s="1">
        <v>24.734999999999999</v>
      </c>
      <c r="C1128" s="1">
        <v>726.63990000000001</v>
      </c>
      <c r="D1128" s="22">
        <f t="shared" si="57"/>
        <v>204.51079985277835</v>
      </c>
      <c r="E1128" s="23">
        <f t="shared" si="58"/>
        <v>0.72600139597224711</v>
      </c>
      <c r="F1128" s="23">
        <f t="shared" si="59"/>
        <v>-0.72600139597224711</v>
      </c>
    </row>
    <row r="1129" spans="1:6" x14ac:dyDescent="0.3">
      <c r="A1129" s="2">
        <v>42528</v>
      </c>
      <c r="B1129" s="1">
        <v>24.7575</v>
      </c>
      <c r="C1129" s="1">
        <v>723.74</v>
      </c>
      <c r="D1129" s="22">
        <f t="shared" si="57"/>
        <v>203.7847984568061</v>
      </c>
      <c r="E1129" s="23">
        <f t="shared" si="58"/>
        <v>-0.69142804323649898</v>
      </c>
      <c r="F1129" s="23">
        <f t="shared" si="59"/>
        <v>0.69142804323649898</v>
      </c>
    </row>
    <row r="1130" spans="1:6" x14ac:dyDescent="0.3">
      <c r="A1130" s="2">
        <v>42527</v>
      </c>
      <c r="B1130" s="1">
        <v>24.657499999999999</v>
      </c>
      <c r="C1130" s="1">
        <v>726.73</v>
      </c>
      <c r="D1130" s="22">
        <f t="shared" si="57"/>
        <v>204.4762265000426</v>
      </c>
      <c r="E1130" s="23">
        <f t="shared" si="58"/>
        <v>0.43682715008966966</v>
      </c>
      <c r="F1130" s="23">
        <f t="shared" si="59"/>
        <v>-0.43682715008966966</v>
      </c>
    </row>
    <row r="1131" spans="1:6" x14ac:dyDescent="0.3">
      <c r="A1131" s="2">
        <v>42524</v>
      </c>
      <c r="B1131" s="1">
        <v>24.48</v>
      </c>
      <c r="C1131" s="1">
        <v>725.54</v>
      </c>
      <c r="D1131" s="22">
        <f t="shared" si="57"/>
        <v>204.03939934995293</v>
      </c>
      <c r="E1131" s="23">
        <f t="shared" si="58"/>
        <v>-0.65434534592245086</v>
      </c>
      <c r="F1131" s="23">
        <f t="shared" si="59"/>
        <v>0.65434534592245086</v>
      </c>
    </row>
    <row r="1132" spans="1:6" x14ac:dyDescent="0.3">
      <c r="A1132" s="2">
        <v>42523</v>
      </c>
      <c r="B1132" s="1">
        <v>24.43</v>
      </c>
      <c r="C1132" s="1">
        <v>728.24</v>
      </c>
      <c r="D1132" s="22">
        <f t="shared" si="57"/>
        <v>204.69374469587538</v>
      </c>
      <c r="E1132" s="23">
        <f t="shared" si="58"/>
        <v>2.116313951871831</v>
      </c>
      <c r="F1132" s="23">
        <f t="shared" si="59"/>
        <v>-2.116313951871831</v>
      </c>
    </row>
    <row r="1133" spans="1:6" x14ac:dyDescent="0.3">
      <c r="A1133" s="2">
        <v>42522</v>
      </c>
      <c r="B1133" s="1">
        <v>24.614999999999998</v>
      </c>
      <c r="C1133" s="1">
        <v>719.43989999999997</v>
      </c>
      <c r="D1133" s="22">
        <f t="shared" si="57"/>
        <v>202.57743074400355</v>
      </c>
      <c r="E1133" s="23">
        <f t="shared" si="58"/>
        <v>-1.1184023535643064</v>
      </c>
      <c r="F1133" s="23">
        <f t="shared" si="59"/>
        <v>1.1184023535643064</v>
      </c>
    </row>
    <row r="1134" spans="1:6" x14ac:dyDescent="0.3">
      <c r="A1134" s="2">
        <v>42521</v>
      </c>
      <c r="B1134" s="1">
        <v>24.965</v>
      </c>
      <c r="C1134" s="1">
        <v>722.79</v>
      </c>
      <c r="D1134" s="22">
        <f t="shared" si="57"/>
        <v>203.69583309756786</v>
      </c>
      <c r="E1134" s="23">
        <f t="shared" si="58"/>
        <v>2.6110002561298131</v>
      </c>
      <c r="F1134" s="23">
        <f t="shared" si="59"/>
        <v>-2.6110002561298131</v>
      </c>
    </row>
    <row r="1135" spans="1:6" x14ac:dyDescent="0.3">
      <c r="A1135" s="2">
        <v>42520</v>
      </c>
      <c r="B1135" s="1">
        <v>25.087499999999999</v>
      </c>
      <c r="C1135" s="1">
        <v>712.24</v>
      </c>
      <c r="D1135" s="22">
        <f t="shared" si="57"/>
        <v>201.08483284143804</v>
      </c>
      <c r="E1135" s="23">
        <f t="shared" si="58"/>
        <v>0</v>
      </c>
      <c r="F1135" s="23">
        <f t="shared" si="59"/>
        <v>0</v>
      </c>
    </row>
    <row r="1136" spans="1:6" x14ac:dyDescent="0.3">
      <c r="A1136" s="2">
        <v>42517</v>
      </c>
      <c r="B1136" s="1">
        <v>25.087499999999999</v>
      </c>
      <c r="C1136" s="1">
        <v>712.24</v>
      </c>
      <c r="D1136" s="22">
        <f t="shared" si="57"/>
        <v>201.08483284143804</v>
      </c>
      <c r="E1136" s="23">
        <f t="shared" si="58"/>
        <v>-0.69498780323252163</v>
      </c>
      <c r="F1136" s="23">
        <f t="shared" si="59"/>
        <v>0.69498780323252163</v>
      </c>
    </row>
    <row r="1137" spans="1:6" x14ac:dyDescent="0.3">
      <c r="A1137" s="2">
        <v>42516</v>
      </c>
      <c r="B1137" s="1">
        <v>25.102499999999999</v>
      </c>
      <c r="C1137" s="1">
        <v>714.90989999999999</v>
      </c>
      <c r="D1137" s="22">
        <f t="shared" si="57"/>
        <v>201.77982064467056</v>
      </c>
      <c r="E1137" s="23">
        <f t="shared" si="58"/>
        <v>1.8270477797680655</v>
      </c>
      <c r="F1137" s="23">
        <f t="shared" si="59"/>
        <v>-1.8270477797680655</v>
      </c>
    </row>
    <row r="1138" spans="1:6" x14ac:dyDescent="0.3">
      <c r="A1138" s="2">
        <v>42515</v>
      </c>
      <c r="B1138" s="1">
        <v>24.905000000000001</v>
      </c>
      <c r="C1138" s="1">
        <v>708.3501</v>
      </c>
      <c r="D1138" s="22">
        <f t="shared" si="57"/>
        <v>199.9527728649025</v>
      </c>
      <c r="E1138" s="23">
        <f t="shared" si="58"/>
        <v>1.3828127714058098</v>
      </c>
      <c r="F1138" s="23">
        <f t="shared" si="59"/>
        <v>-1.3828127714058098</v>
      </c>
    </row>
    <row r="1139" spans="1:6" x14ac:dyDescent="0.3">
      <c r="A1139" s="2">
        <v>42514</v>
      </c>
      <c r="B1139" s="1">
        <v>24.475000000000001</v>
      </c>
      <c r="C1139" s="1">
        <v>704.2</v>
      </c>
      <c r="D1139" s="22">
        <f t="shared" si="57"/>
        <v>198.56996009349669</v>
      </c>
      <c r="E1139" s="23">
        <f t="shared" si="58"/>
        <v>2.1815094227256679</v>
      </c>
      <c r="F1139" s="23">
        <f t="shared" si="59"/>
        <v>-2.1815094227256679</v>
      </c>
    </row>
    <row r="1140" spans="1:6" x14ac:dyDescent="0.3">
      <c r="A1140" s="2">
        <v>42513</v>
      </c>
      <c r="B1140" s="1">
        <v>24.107500000000002</v>
      </c>
      <c r="C1140" s="1">
        <v>696.75</v>
      </c>
      <c r="D1140" s="22">
        <f t="shared" si="57"/>
        <v>196.38845067077102</v>
      </c>
      <c r="E1140" s="23">
        <f t="shared" si="58"/>
        <v>-1.3245377490807755</v>
      </c>
      <c r="F1140" s="23">
        <f t="shared" si="59"/>
        <v>1.3245377490807755</v>
      </c>
    </row>
    <row r="1141" spans="1:6" x14ac:dyDescent="0.3">
      <c r="A1141" s="2">
        <v>42510</v>
      </c>
      <c r="B1141" s="1">
        <v>23.805</v>
      </c>
      <c r="C1141" s="1">
        <v>702.8</v>
      </c>
      <c r="D1141" s="22">
        <f t="shared" si="57"/>
        <v>197.7129884198518</v>
      </c>
      <c r="E1141" s="23">
        <f t="shared" si="58"/>
        <v>1.2859054608500742</v>
      </c>
      <c r="F1141" s="23">
        <f t="shared" si="59"/>
        <v>-1.2859054608500742</v>
      </c>
    </row>
    <row r="1142" spans="1:6" x14ac:dyDescent="0.3">
      <c r="A1142" s="2">
        <v>42509</v>
      </c>
      <c r="B1142" s="1">
        <v>23.55</v>
      </c>
      <c r="C1142" s="1">
        <v>698.52</v>
      </c>
      <c r="D1142" s="22">
        <f t="shared" si="57"/>
        <v>196.42708295900172</v>
      </c>
      <c r="E1142" s="23">
        <f t="shared" si="58"/>
        <v>0.20710567318906214</v>
      </c>
      <c r="F1142" s="23">
        <f t="shared" si="59"/>
        <v>-0.20710567318906214</v>
      </c>
    </row>
    <row r="1143" spans="1:6" x14ac:dyDescent="0.3">
      <c r="A1143" s="2">
        <v>42508</v>
      </c>
      <c r="B1143" s="1">
        <v>23.64</v>
      </c>
      <c r="C1143" s="1">
        <v>697.45</v>
      </c>
      <c r="D1143" s="22">
        <f t="shared" si="57"/>
        <v>196.21997728581266</v>
      </c>
      <c r="E1143" s="23">
        <f t="shared" si="58"/>
        <v>0.75734017239153673</v>
      </c>
      <c r="F1143" s="23">
        <f t="shared" si="59"/>
        <v>-0.75734017239153673</v>
      </c>
    </row>
    <row r="1144" spans="1:6" x14ac:dyDescent="0.3">
      <c r="A1144" s="2">
        <v>42507</v>
      </c>
      <c r="B1144" s="1">
        <v>23.372499999999999</v>
      </c>
      <c r="C1144" s="1">
        <v>695.27</v>
      </c>
      <c r="D1144" s="22">
        <f t="shared" si="57"/>
        <v>195.46263711342112</v>
      </c>
      <c r="E1144" s="23">
        <f t="shared" si="58"/>
        <v>-4.0142748247214683</v>
      </c>
      <c r="F1144" s="23">
        <f t="shared" si="59"/>
        <v>4.0142748247214683</v>
      </c>
    </row>
    <row r="1145" spans="1:6" x14ac:dyDescent="0.3">
      <c r="A1145" s="2">
        <v>42506</v>
      </c>
      <c r="B1145" s="1">
        <v>23.47</v>
      </c>
      <c r="C1145" s="1">
        <v>710.65989999999999</v>
      </c>
      <c r="D1145" s="22">
        <f t="shared" si="57"/>
        <v>199.47691193814259</v>
      </c>
      <c r="E1145" s="23">
        <f t="shared" si="58"/>
        <v>0.81438744196645985</v>
      </c>
      <c r="F1145" s="23">
        <f t="shared" si="59"/>
        <v>-0.81438744196645985</v>
      </c>
    </row>
    <row r="1146" spans="1:6" x14ac:dyDescent="0.3">
      <c r="A1146" s="2">
        <v>42503</v>
      </c>
      <c r="B1146" s="1">
        <v>22.63</v>
      </c>
      <c r="C1146" s="1">
        <v>709.91989999999998</v>
      </c>
      <c r="D1146" s="22">
        <f t="shared" si="57"/>
        <v>198.66252449617613</v>
      </c>
      <c r="E1146" s="23">
        <f t="shared" si="58"/>
        <v>-2.0180915496018201</v>
      </c>
      <c r="F1146" s="23">
        <f t="shared" si="59"/>
        <v>2.0180915496018201</v>
      </c>
    </row>
    <row r="1147" spans="1:6" x14ac:dyDescent="0.3">
      <c r="A1147" s="2">
        <v>42502</v>
      </c>
      <c r="B1147" s="1">
        <v>22.585000000000001</v>
      </c>
      <c r="C1147" s="1">
        <v>717.92989999999998</v>
      </c>
      <c r="D1147" s="22">
        <f t="shared" si="57"/>
        <v>200.68061604577795</v>
      </c>
      <c r="E1147" s="23">
        <f t="shared" si="58"/>
        <v>0.80021274235039641</v>
      </c>
      <c r="F1147" s="23">
        <f t="shared" si="59"/>
        <v>-0.80021274235039641</v>
      </c>
    </row>
    <row r="1148" spans="1:6" x14ac:dyDescent="0.3">
      <c r="A1148" s="2">
        <v>42501</v>
      </c>
      <c r="B1148" s="1">
        <v>23.127500000000001</v>
      </c>
      <c r="C1148" s="1">
        <v>713.23</v>
      </c>
      <c r="D1148" s="22">
        <f t="shared" si="57"/>
        <v>199.88040330342756</v>
      </c>
      <c r="E1148" s="23">
        <f t="shared" si="58"/>
        <v>2.4329788531761949</v>
      </c>
      <c r="F1148" s="23">
        <f t="shared" si="59"/>
        <v>-2.4329788531761949</v>
      </c>
    </row>
    <row r="1149" spans="1:6" x14ac:dyDescent="0.3">
      <c r="A1149" s="2">
        <v>42500</v>
      </c>
      <c r="B1149" s="1">
        <v>23.355</v>
      </c>
      <c r="C1149" s="1">
        <v>703.07010000000002</v>
      </c>
      <c r="D1149" s="22">
        <f t="shared" si="57"/>
        <v>197.44742445025136</v>
      </c>
      <c r="E1149" s="23">
        <f t="shared" si="58"/>
        <v>6.0900343670773225</v>
      </c>
      <c r="F1149" s="23">
        <f t="shared" si="59"/>
        <v>-6.0900343670773225</v>
      </c>
    </row>
    <row r="1150" spans="1:6" x14ac:dyDescent="0.3">
      <c r="A1150" s="2">
        <v>42499</v>
      </c>
      <c r="B1150" s="1">
        <v>23.197500000000002</v>
      </c>
      <c r="C1150" s="1">
        <v>679.75</v>
      </c>
      <c r="D1150" s="22">
        <f t="shared" si="57"/>
        <v>191.35739008317404</v>
      </c>
      <c r="E1150" s="23">
        <f t="shared" si="58"/>
        <v>1.4985461682895789</v>
      </c>
      <c r="F1150" s="23">
        <f t="shared" si="59"/>
        <v>-1.4985461682895789</v>
      </c>
    </row>
    <row r="1151" spans="1:6" x14ac:dyDescent="0.3">
      <c r="A1151" s="2">
        <v>42496</v>
      </c>
      <c r="B1151" s="1">
        <v>23.18</v>
      </c>
      <c r="C1151" s="1">
        <v>673.95</v>
      </c>
      <c r="D1151" s="22">
        <f t="shared" si="57"/>
        <v>189.85884391488446</v>
      </c>
      <c r="E1151" s="23">
        <f t="shared" si="58"/>
        <v>3.7092968366700063</v>
      </c>
      <c r="F1151" s="23">
        <f t="shared" si="59"/>
        <v>-3.7092968366700063</v>
      </c>
    </row>
    <row r="1152" spans="1:6" x14ac:dyDescent="0.3">
      <c r="A1152" s="2">
        <v>42495</v>
      </c>
      <c r="B1152" s="1">
        <v>23.31</v>
      </c>
      <c r="C1152" s="1">
        <v>659.09010000000001</v>
      </c>
      <c r="D1152" s="22">
        <f t="shared" si="57"/>
        <v>186.14954707821445</v>
      </c>
      <c r="E1152" s="23">
        <f t="shared" si="58"/>
        <v>-3.2014620533156517</v>
      </c>
      <c r="F1152" s="23">
        <f t="shared" si="59"/>
        <v>3.2014620533156517</v>
      </c>
    </row>
    <row r="1153" spans="1:6" x14ac:dyDescent="0.3">
      <c r="A1153" s="2">
        <v>42494</v>
      </c>
      <c r="B1153" s="1">
        <v>23.547499999999999</v>
      </c>
      <c r="C1153" s="1">
        <v>670.8999</v>
      </c>
      <c r="D1153" s="22">
        <f t="shared" si="57"/>
        <v>189.35100913153011</v>
      </c>
      <c r="E1153" s="23">
        <f t="shared" si="58"/>
        <v>-0.29173288772395267</v>
      </c>
      <c r="F1153" s="23">
        <f t="shared" si="59"/>
        <v>0.29173288772395267</v>
      </c>
    </row>
    <row r="1154" spans="1:6" x14ac:dyDescent="0.3">
      <c r="A1154" s="2">
        <v>42493</v>
      </c>
      <c r="B1154" s="1">
        <v>23.795000000000002</v>
      </c>
      <c r="C1154" s="1">
        <v>671.32010000000002</v>
      </c>
      <c r="D1154" s="22">
        <f t="shared" si="57"/>
        <v>189.64274201925406</v>
      </c>
      <c r="E1154" s="23">
        <f t="shared" si="58"/>
        <v>-2.9228618700319657</v>
      </c>
      <c r="F1154" s="23">
        <f t="shared" si="59"/>
        <v>2.9228618700319657</v>
      </c>
    </row>
    <row r="1155" spans="1:6" x14ac:dyDescent="0.3">
      <c r="A1155" s="2">
        <v>42492</v>
      </c>
      <c r="B1155" s="1">
        <v>23.41</v>
      </c>
      <c r="C1155" s="1">
        <v>683.8501</v>
      </c>
      <c r="D1155" s="22">
        <f t="shared" si="57"/>
        <v>192.56560388928602</v>
      </c>
      <c r="E1155" s="23">
        <f t="shared" si="58"/>
        <v>6.1950097184457888</v>
      </c>
      <c r="F1155" s="23">
        <f t="shared" si="59"/>
        <v>-6.1950097184457888</v>
      </c>
    </row>
    <row r="1156" spans="1:6" x14ac:dyDescent="0.3">
      <c r="A1156" s="2">
        <v>42489</v>
      </c>
      <c r="B1156" s="1">
        <v>23.434999999999999</v>
      </c>
      <c r="C1156" s="1">
        <v>659.59010000000001</v>
      </c>
      <c r="D1156" s="22">
        <f t="shared" si="57"/>
        <v>186.37059417084023</v>
      </c>
      <c r="E1156" s="23">
        <f t="shared" si="58"/>
        <v>14.547592004716535</v>
      </c>
      <c r="F1156" s="23">
        <f t="shared" si="59"/>
        <v>-14.547592004716535</v>
      </c>
    </row>
    <row r="1157" spans="1:6" x14ac:dyDescent="0.3">
      <c r="A1157" s="2">
        <v>42488</v>
      </c>
      <c r="B1157" s="1">
        <v>23.7075</v>
      </c>
      <c r="C1157" s="1">
        <v>602</v>
      </c>
      <c r="D1157" s="22">
        <f t="shared" si="57"/>
        <v>171.8230021661237</v>
      </c>
      <c r="E1157" s="23">
        <f t="shared" si="58"/>
        <v>-1.7265656433901881</v>
      </c>
      <c r="F1157" s="23">
        <f t="shared" si="59"/>
        <v>1.7265656433901881</v>
      </c>
    </row>
    <row r="1158" spans="1:6" x14ac:dyDescent="0.3">
      <c r="A1158" s="2">
        <v>42487</v>
      </c>
      <c r="B1158" s="1">
        <v>24.454999999999998</v>
      </c>
      <c r="C1158" s="1">
        <v>606.57010000000002</v>
      </c>
      <c r="D1158" s="22">
        <f t="shared" ref="D1158:D1221" si="60">$M$16*B1158+(1-$M$16)*C1158</f>
        <v>173.54956780951389</v>
      </c>
      <c r="E1158" s="23">
        <f t="shared" ref="E1158:E1221" si="61">D1158-D1159</f>
        <v>-3.8549784982446056</v>
      </c>
      <c r="F1158" s="23">
        <f t="shared" ref="F1158:F1221" si="62">-E1158</f>
        <v>3.8549784982446056</v>
      </c>
    </row>
    <row r="1159" spans="1:6" x14ac:dyDescent="0.3">
      <c r="A1159" s="2">
        <v>42486</v>
      </c>
      <c r="B1159" s="1">
        <v>26.087499999999999</v>
      </c>
      <c r="C1159" s="1">
        <v>616.87990000000002</v>
      </c>
      <c r="D1159" s="22">
        <f t="shared" si="60"/>
        <v>177.40454630775849</v>
      </c>
      <c r="E1159" s="23">
        <f t="shared" si="61"/>
        <v>-2.5228731028729499</v>
      </c>
      <c r="F1159" s="23">
        <f t="shared" si="62"/>
        <v>2.5228731028729499</v>
      </c>
    </row>
    <row r="1160" spans="1:6" x14ac:dyDescent="0.3">
      <c r="A1160" s="2">
        <v>42485</v>
      </c>
      <c r="B1160" s="1">
        <v>26.27</v>
      </c>
      <c r="C1160" s="1">
        <v>626.20000000000005</v>
      </c>
      <c r="D1160" s="22">
        <f t="shared" si="60"/>
        <v>179.92741941063144</v>
      </c>
      <c r="E1160" s="23">
        <f t="shared" si="61"/>
        <v>1.3483346449622218</v>
      </c>
      <c r="F1160" s="23">
        <f t="shared" si="62"/>
        <v>-1.3483346449622218</v>
      </c>
    </row>
    <row r="1161" spans="1:6" x14ac:dyDescent="0.3">
      <c r="A1161" s="2">
        <v>42482</v>
      </c>
      <c r="B1161" s="1">
        <v>26.42</v>
      </c>
      <c r="C1161" s="1">
        <v>620.5</v>
      </c>
      <c r="D1161" s="22">
        <f t="shared" si="60"/>
        <v>178.57908476566922</v>
      </c>
      <c r="E1161" s="23">
        <f t="shared" si="61"/>
        <v>-2.7432494889476402</v>
      </c>
      <c r="F1161" s="23">
        <f t="shared" si="62"/>
        <v>2.7432494889476402</v>
      </c>
    </row>
    <row r="1162" spans="1:6" x14ac:dyDescent="0.3">
      <c r="A1162" s="2">
        <v>42481</v>
      </c>
      <c r="B1162" s="1">
        <v>26.4925</v>
      </c>
      <c r="C1162" s="1">
        <v>631</v>
      </c>
      <c r="D1162" s="22">
        <f t="shared" si="60"/>
        <v>181.32233425461686</v>
      </c>
      <c r="E1162" s="23">
        <f t="shared" si="61"/>
        <v>-0.72541348657020421</v>
      </c>
      <c r="F1162" s="23">
        <f t="shared" si="62"/>
        <v>0.72541348657020421</v>
      </c>
    </row>
    <row r="1163" spans="1:6" x14ac:dyDescent="0.3">
      <c r="A1163" s="2">
        <v>42480</v>
      </c>
      <c r="B1163" s="1">
        <v>26.782499999999999</v>
      </c>
      <c r="C1163" s="1">
        <v>632.99</v>
      </c>
      <c r="D1163" s="22">
        <f t="shared" si="60"/>
        <v>182.04774774118707</v>
      </c>
      <c r="E1163" s="23">
        <f t="shared" si="61"/>
        <v>1.3446179095468835</v>
      </c>
      <c r="F1163" s="23">
        <f t="shared" si="62"/>
        <v>-1.3446179095468835</v>
      </c>
    </row>
    <row r="1164" spans="1:6" x14ac:dyDescent="0.3">
      <c r="A1164" s="2">
        <v>42479</v>
      </c>
      <c r="B1164" s="1">
        <v>26.727499999999999</v>
      </c>
      <c r="C1164" s="1">
        <v>627.8999</v>
      </c>
      <c r="D1164" s="22">
        <f t="shared" si="60"/>
        <v>180.70312983164018</v>
      </c>
      <c r="E1164" s="23">
        <f t="shared" si="61"/>
        <v>-2.0141889034171925</v>
      </c>
      <c r="F1164" s="23">
        <f t="shared" si="62"/>
        <v>2.0141889034171925</v>
      </c>
    </row>
    <row r="1165" spans="1:6" x14ac:dyDescent="0.3">
      <c r="A1165" s="2">
        <v>42478</v>
      </c>
      <c r="B1165" s="1">
        <v>26.87</v>
      </c>
      <c r="C1165" s="1">
        <v>635.3501</v>
      </c>
      <c r="D1165" s="22">
        <f t="shared" si="60"/>
        <v>182.71731873505738</v>
      </c>
      <c r="E1165" s="23">
        <f t="shared" si="61"/>
        <v>1.982253621437934</v>
      </c>
      <c r="F1165" s="23">
        <f t="shared" si="62"/>
        <v>-1.982253621437934</v>
      </c>
    </row>
    <row r="1166" spans="1:6" x14ac:dyDescent="0.3">
      <c r="A1166" s="2">
        <v>42475</v>
      </c>
      <c r="B1166" s="1">
        <v>27.462499999999999</v>
      </c>
      <c r="C1166" s="1">
        <v>625.88990000000001</v>
      </c>
      <c r="D1166" s="22">
        <f t="shared" si="60"/>
        <v>180.73506511361944</v>
      </c>
      <c r="E1166" s="23">
        <f t="shared" si="61"/>
        <v>0.89803050930473205</v>
      </c>
      <c r="F1166" s="23">
        <f t="shared" si="62"/>
        <v>-0.89803050930473205</v>
      </c>
    </row>
    <row r="1167" spans="1:6" x14ac:dyDescent="0.3">
      <c r="A1167" s="2">
        <v>42474</v>
      </c>
      <c r="B1167" s="1">
        <v>28.024999999999999</v>
      </c>
      <c r="C1167" s="1">
        <v>620.75</v>
      </c>
      <c r="D1167" s="22">
        <f t="shared" si="60"/>
        <v>179.83703460431471</v>
      </c>
      <c r="E1167" s="23">
        <f t="shared" si="61"/>
        <v>1.529957195126002</v>
      </c>
      <c r="F1167" s="23">
        <f t="shared" si="62"/>
        <v>-1.529957195126002</v>
      </c>
    </row>
    <row r="1168" spans="1:6" x14ac:dyDescent="0.3">
      <c r="A1168" s="2">
        <v>42473</v>
      </c>
      <c r="B1168" s="1">
        <v>28.01</v>
      </c>
      <c r="C1168" s="1">
        <v>614.82010000000002</v>
      </c>
      <c r="D1168" s="22">
        <f t="shared" si="60"/>
        <v>178.30707740918871</v>
      </c>
      <c r="E1168" s="23">
        <f t="shared" si="61"/>
        <v>3.2814640038895959</v>
      </c>
      <c r="F1168" s="23">
        <f t="shared" si="62"/>
        <v>-3.2814640038895959</v>
      </c>
    </row>
    <row r="1169" spans="1:6" x14ac:dyDescent="0.3">
      <c r="A1169" s="2">
        <v>42472</v>
      </c>
      <c r="B1169" s="1">
        <v>27.61</v>
      </c>
      <c r="C1169" s="1">
        <v>603.16989999999998</v>
      </c>
      <c r="D1169" s="22">
        <f t="shared" si="60"/>
        <v>175.02561340529911</v>
      </c>
      <c r="E1169" s="23">
        <f t="shared" si="61"/>
        <v>2.1184246206094031</v>
      </c>
      <c r="F1169" s="23">
        <f t="shared" si="62"/>
        <v>-2.1184246206094031</v>
      </c>
    </row>
    <row r="1170" spans="1:6" x14ac:dyDescent="0.3">
      <c r="A1170" s="2">
        <v>42471</v>
      </c>
      <c r="B1170" s="1">
        <v>27.254999999999999</v>
      </c>
      <c r="C1170" s="1">
        <v>595.92989999999998</v>
      </c>
      <c r="D1170" s="22">
        <f t="shared" si="60"/>
        <v>172.90718878468971</v>
      </c>
      <c r="E1170" s="23">
        <f t="shared" si="61"/>
        <v>0.40754449449985941</v>
      </c>
      <c r="F1170" s="23">
        <f t="shared" si="62"/>
        <v>-0.40754449449985941</v>
      </c>
    </row>
    <row r="1171" spans="1:6" x14ac:dyDescent="0.3">
      <c r="A1171" s="2">
        <v>42468</v>
      </c>
      <c r="B1171" s="1">
        <v>27.164999999999999</v>
      </c>
      <c r="C1171" s="1">
        <v>594.6001</v>
      </c>
      <c r="D1171" s="22">
        <f t="shared" si="60"/>
        <v>172.49964429018985</v>
      </c>
      <c r="E1171" s="23">
        <f t="shared" si="61"/>
        <v>0.83428554736931915</v>
      </c>
      <c r="F1171" s="23">
        <f t="shared" si="62"/>
        <v>-0.83428554736931915</v>
      </c>
    </row>
    <row r="1172" spans="1:6" x14ac:dyDescent="0.3">
      <c r="A1172" s="2">
        <v>42467</v>
      </c>
      <c r="B1172" s="1">
        <v>27.135000000000002</v>
      </c>
      <c r="C1172" s="1">
        <v>591.42989999999998</v>
      </c>
      <c r="D1172" s="22">
        <f t="shared" si="60"/>
        <v>171.66535874282053</v>
      </c>
      <c r="E1172" s="23">
        <f t="shared" si="61"/>
        <v>-3.177832679585407</v>
      </c>
      <c r="F1172" s="23">
        <f t="shared" si="62"/>
        <v>3.177832679585407</v>
      </c>
    </row>
    <row r="1173" spans="1:6" x14ac:dyDescent="0.3">
      <c r="A1173" s="2">
        <v>42466</v>
      </c>
      <c r="B1173" s="1">
        <v>27.74</v>
      </c>
      <c r="C1173" s="1">
        <v>602.08010000000002</v>
      </c>
      <c r="D1173" s="22">
        <f t="shared" si="60"/>
        <v>174.84319142240594</v>
      </c>
      <c r="E1173" s="23">
        <f t="shared" si="61"/>
        <v>4.2965568713162838</v>
      </c>
      <c r="F1173" s="23">
        <f t="shared" si="62"/>
        <v>-4.2965568713162838</v>
      </c>
    </row>
    <row r="1174" spans="1:6" x14ac:dyDescent="0.3">
      <c r="A1174" s="2">
        <v>42465</v>
      </c>
      <c r="B1174" s="1">
        <v>27.452500000000001</v>
      </c>
      <c r="C1174" s="1">
        <v>586.13990000000001</v>
      </c>
      <c r="D1174" s="22">
        <f t="shared" si="60"/>
        <v>170.54663455108965</v>
      </c>
      <c r="E1174" s="23">
        <f t="shared" si="61"/>
        <v>-2.0493042138048736</v>
      </c>
      <c r="F1174" s="23">
        <f t="shared" si="62"/>
        <v>2.0493042138048736</v>
      </c>
    </row>
    <row r="1175" spans="1:6" x14ac:dyDescent="0.3">
      <c r="A1175" s="2">
        <v>42464</v>
      </c>
      <c r="B1175" s="1">
        <v>27.78</v>
      </c>
      <c r="C1175" s="1">
        <v>593.18989999999997</v>
      </c>
      <c r="D1175" s="22">
        <f t="shared" si="60"/>
        <v>172.59593876489453</v>
      </c>
      <c r="E1175" s="23">
        <f t="shared" si="61"/>
        <v>-1.1499079205838996</v>
      </c>
      <c r="F1175" s="23">
        <f t="shared" si="62"/>
        <v>1.1499079205838996</v>
      </c>
    </row>
    <row r="1176" spans="1:6" x14ac:dyDescent="0.3">
      <c r="A1176" s="2">
        <v>42461</v>
      </c>
      <c r="B1176" s="1">
        <v>27.497499999999999</v>
      </c>
      <c r="C1176" s="1">
        <v>598.5</v>
      </c>
      <c r="D1176" s="22">
        <f t="shared" si="60"/>
        <v>173.74584668547843</v>
      </c>
      <c r="E1176" s="23">
        <f t="shared" si="61"/>
        <v>1.4307645379043095</v>
      </c>
      <c r="F1176" s="23">
        <f t="shared" si="62"/>
        <v>-1.4307645379043095</v>
      </c>
    </row>
    <row r="1177" spans="1:6" x14ac:dyDescent="0.3">
      <c r="A1177" s="2">
        <v>42460</v>
      </c>
      <c r="B1177" s="1">
        <v>27.247499999999999</v>
      </c>
      <c r="C1177" s="1">
        <v>593.63990000000001</v>
      </c>
      <c r="D1177" s="22">
        <f t="shared" si="60"/>
        <v>172.31508214757412</v>
      </c>
      <c r="E1177" s="23">
        <f t="shared" si="61"/>
        <v>-1.3994362854960798</v>
      </c>
      <c r="F1177" s="23">
        <f t="shared" si="62"/>
        <v>1.3994362854960798</v>
      </c>
    </row>
    <row r="1178" spans="1:6" x14ac:dyDescent="0.3">
      <c r="A1178" s="2">
        <v>42459</v>
      </c>
      <c r="B1178" s="1">
        <v>27.39</v>
      </c>
      <c r="C1178" s="1">
        <v>598.68989999999997</v>
      </c>
      <c r="D1178" s="22">
        <f t="shared" si="60"/>
        <v>173.7145184330702</v>
      </c>
      <c r="E1178" s="23">
        <f t="shared" si="61"/>
        <v>1.5866563051463913</v>
      </c>
      <c r="F1178" s="23">
        <f t="shared" si="62"/>
        <v>-1.5866563051463913</v>
      </c>
    </row>
    <row r="1179" spans="1:6" x14ac:dyDescent="0.3">
      <c r="A1179" s="2">
        <v>42458</v>
      </c>
      <c r="B1179" s="1">
        <v>26.92</v>
      </c>
      <c r="C1179" s="1">
        <v>593.86009999999999</v>
      </c>
      <c r="D1179" s="22">
        <f t="shared" si="60"/>
        <v>172.12786212792381</v>
      </c>
      <c r="E1179" s="23">
        <f t="shared" si="61"/>
        <v>4.0462586951337869</v>
      </c>
      <c r="F1179" s="23">
        <f t="shared" si="62"/>
        <v>-4.0462586951337869</v>
      </c>
    </row>
    <row r="1180" spans="1:6" x14ac:dyDescent="0.3">
      <c r="A1180" s="2">
        <v>42457</v>
      </c>
      <c r="B1180" s="1">
        <v>26.297499999999999</v>
      </c>
      <c r="C1180" s="1">
        <v>579.87009999999998</v>
      </c>
      <c r="D1180" s="22">
        <f t="shared" si="60"/>
        <v>168.08160343279002</v>
      </c>
      <c r="E1180" s="23">
        <f t="shared" si="61"/>
        <v>-0.87810610523484911</v>
      </c>
      <c r="F1180" s="23">
        <f t="shared" si="62"/>
        <v>0.87810610523484911</v>
      </c>
    </row>
    <row r="1181" spans="1:6" x14ac:dyDescent="0.3">
      <c r="A1181" s="2">
        <v>42454</v>
      </c>
      <c r="B1181" s="1">
        <v>26.4175</v>
      </c>
      <c r="C1181" s="1">
        <v>582.95000000000005</v>
      </c>
      <c r="D1181" s="22">
        <f t="shared" si="60"/>
        <v>168.95970953802487</v>
      </c>
      <c r="E1181" s="23">
        <f t="shared" si="61"/>
        <v>0</v>
      </c>
      <c r="F1181" s="23">
        <f t="shared" si="62"/>
        <v>0</v>
      </c>
    </row>
    <row r="1182" spans="1:6" x14ac:dyDescent="0.3">
      <c r="A1182" s="2">
        <v>42453</v>
      </c>
      <c r="B1182" s="1">
        <v>26.4175</v>
      </c>
      <c r="C1182" s="1">
        <v>582.95000000000005</v>
      </c>
      <c r="D1182" s="22">
        <f t="shared" si="60"/>
        <v>168.95970953802487</v>
      </c>
      <c r="E1182" s="23">
        <f t="shared" si="61"/>
        <v>3.3260727843644986</v>
      </c>
      <c r="F1182" s="23">
        <f t="shared" si="62"/>
        <v>-3.3260727843644986</v>
      </c>
    </row>
    <row r="1183" spans="1:6" x14ac:dyDescent="0.3">
      <c r="A1183" s="2">
        <v>42452</v>
      </c>
      <c r="B1183" s="1">
        <v>26.532499999999999</v>
      </c>
      <c r="C1183" s="1">
        <v>569.62990000000002</v>
      </c>
      <c r="D1183" s="22">
        <f t="shared" si="60"/>
        <v>165.63363675366037</v>
      </c>
      <c r="E1183" s="23">
        <f t="shared" si="61"/>
        <v>2.233801970610557</v>
      </c>
      <c r="F1183" s="23">
        <f t="shared" si="62"/>
        <v>-2.233801970610557</v>
      </c>
    </row>
    <row r="1184" spans="1:6" x14ac:dyDescent="0.3">
      <c r="A1184" s="2">
        <v>42451</v>
      </c>
      <c r="B1184" s="1">
        <v>26.68</v>
      </c>
      <c r="C1184" s="1">
        <v>560.48</v>
      </c>
      <c r="D1184" s="22">
        <f t="shared" si="60"/>
        <v>163.39983478304981</v>
      </c>
      <c r="E1184" s="23">
        <f t="shared" si="61"/>
        <v>1.8154508421623632</v>
      </c>
      <c r="F1184" s="23">
        <f t="shared" si="62"/>
        <v>-1.8154508421623632</v>
      </c>
    </row>
    <row r="1185" spans="1:6" x14ac:dyDescent="0.3">
      <c r="A1185" s="2">
        <v>42450</v>
      </c>
      <c r="B1185" s="1">
        <v>26.477499999999999</v>
      </c>
      <c r="C1185" s="1">
        <v>553.98</v>
      </c>
      <c r="D1185" s="22">
        <f t="shared" si="60"/>
        <v>161.58438394088745</v>
      </c>
      <c r="E1185" s="23">
        <f t="shared" si="61"/>
        <v>0.4847533040301073</v>
      </c>
      <c r="F1185" s="23">
        <f t="shared" si="62"/>
        <v>-0.4847533040301073</v>
      </c>
    </row>
    <row r="1186" spans="1:6" x14ac:dyDescent="0.3">
      <c r="A1186" s="2">
        <v>42447</v>
      </c>
      <c r="B1186" s="1">
        <v>26.48</v>
      </c>
      <c r="C1186" s="1">
        <v>552.08010000000002</v>
      </c>
      <c r="D1186" s="22">
        <f t="shared" si="60"/>
        <v>161.09963063685734</v>
      </c>
      <c r="E1186" s="23">
        <f t="shared" si="61"/>
        <v>-1.862716813562713</v>
      </c>
      <c r="F1186" s="23">
        <f t="shared" si="62"/>
        <v>1.862716813562713</v>
      </c>
    </row>
    <row r="1187" spans="1:6" x14ac:dyDescent="0.3">
      <c r="A1187" s="2">
        <v>42446</v>
      </c>
      <c r="B1187" s="1">
        <v>26.45</v>
      </c>
      <c r="C1187" s="1">
        <v>559.43989999999997</v>
      </c>
      <c r="D1187" s="22">
        <f t="shared" si="60"/>
        <v>162.96234745042005</v>
      </c>
      <c r="E1187" s="23">
        <f t="shared" si="61"/>
        <v>-3.8299826317681607</v>
      </c>
      <c r="F1187" s="23">
        <f t="shared" si="62"/>
        <v>3.8299826317681607</v>
      </c>
    </row>
    <row r="1188" spans="1:6" x14ac:dyDescent="0.3">
      <c r="A1188" s="2">
        <v>42445</v>
      </c>
      <c r="B1188" s="1">
        <v>26.4925</v>
      </c>
      <c r="C1188" s="1">
        <v>574.27</v>
      </c>
      <c r="D1188" s="22">
        <f t="shared" si="60"/>
        <v>166.79233008218822</v>
      </c>
      <c r="E1188" s="23">
        <f t="shared" si="61"/>
        <v>-0.44584898508895776</v>
      </c>
      <c r="F1188" s="23">
        <f t="shared" si="62"/>
        <v>0.44584898508895776</v>
      </c>
    </row>
    <row r="1189" spans="1:6" x14ac:dyDescent="0.3">
      <c r="A1189" s="2">
        <v>42444</v>
      </c>
      <c r="B1189" s="1">
        <v>26.145</v>
      </c>
      <c r="C1189" s="1">
        <v>577.02</v>
      </c>
      <c r="D1189" s="22">
        <f t="shared" si="60"/>
        <v>167.23817906727717</v>
      </c>
      <c r="E1189" s="23">
        <f t="shared" si="61"/>
        <v>1.3179280817935251</v>
      </c>
      <c r="F1189" s="23">
        <f t="shared" si="62"/>
        <v>-1.3179280817935251</v>
      </c>
    </row>
    <row r="1190" spans="1:6" x14ac:dyDescent="0.3">
      <c r="A1190" s="2">
        <v>42443</v>
      </c>
      <c r="B1190" s="1">
        <v>25.63</v>
      </c>
      <c r="C1190" s="1">
        <v>573.37009999999998</v>
      </c>
      <c r="D1190" s="22">
        <f t="shared" si="60"/>
        <v>165.92025098548365</v>
      </c>
      <c r="E1190" s="23">
        <f t="shared" si="61"/>
        <v>1.0113840193393742</v>
      </c>
      <c r="F1190" s="23">
        <f t="shared" si="62"/>
        <v>-1.0113840193393742</v>
      </c>
    </row>
    <row r="1191" spans="1:6" x14ac:dyDescent="0.3">
      <c r="A1191" s="2">
        <v>42440</v>
      </c>
      <c r="B1191" s="1">
        <v>25.565000000000001</v>
      </c>
      <c r="C1191" s="1">
        <v>569.61009999999999</v>
      </c>
      <c r="D1191" s="22">
        <f t="shared" si="60"/>
        <v>164.90886696614427</v>
      </c>
      <c r="E1191" s="23">
        <f t="shared" si="61"/>
        <v>2.93817820245701</v>
      </c>
      <c r="F1191" s="23">
        <f t="shared" si="62"/>
        <v>-2.93817820245701</v>
      </c>
    </row>
    <row r="1192" spans="1:6" x14ac:dyDescent="0.3">
      <c r="A1192" s="2">
        <v>42439</v>
      </c>
      <c r="B1192" s="1">
        <v>25.2925</v>
      </c>
      <c r="C1192" s="1">
        <v>558.92989999999998</v>
      </c>
      <c r="D1192" s="22">
        <f t="shared" si="60"/>
        <v>161.97068876368726</v>
      </c>
      <c r="E1192" s="23">
        <f t="shared" si="61"/>
        <v>-0.12903499569335963</v>
      </c>
      <c r="F1192" s="23">
        <f t="shared" si="62"/>
        <v>0.12903499569335963</v>
      </c>
    </row>
    <row r="1193" spans="1:6" x14ac:dyDescent="0.3">
      <c r="A1193" s="2">
        <v>42438</v>
      </c>
      <c r="B1193" s="1">
        <v>25.28</v>
      </c>
      <c r="C1193" s="1">
        <v>559.47</v>
      </c>
      <c r="D1193" s="22">
        <f t="shared" si="60"/>
        <v>162.09972375938062</v>
      </c>
      <c r="E1193" s="23">
        <f t="shared" si="61"/>
        <v>-0.18560203402250863</v>
      </c>
      <c r="F1193" s="23">
        <f t="shared" si="62"/>
        <v>0.18560203402250863</v>
      </c>
    </row>
    <row r="1194" spans="1:6" x14ac:dyDescent="0.3">
      <c r="A1194" s="2">
        <v>42437</v>
      </c>
      <c r="B1194" s="1">
        <v>25.2575</v>
      </c>
      <c r="C1194" s="1">
        <v>560.26</v>
      </c>
      <c r="D1194" s="22">
        <f t="shared" si="60"/>
        <v>162.28532579340313</v>
      </c>
      <c r="E1194" s="23">
        <f t="shared" si="61"/>
        <v>-0.80677260218152469</v>
      </c>
      <c r="F1194" s="23">
        <f t="shared" si="62"/>
        <v>0.80677260218152469</v>
      </c>
    </row>
    <row r="1195" spans="1:6" x14ac:dyDescent="0.3">
      <c r="A1195" s="2">
        <v>42436</v>
      </c>
      <c r="B1195" s="1">
        <v>25.467500000000001</v>
      </c>
      <c r="C1195" s="1">
        <v>562.79999999999995</v>
      </c>
      <c r="D1195" s="22">
        <f t="shared" si="60"/>
        <v>163.09209839558466</v>
      </c>
      <c r="E1195" s="23">
        <f t="shared" si="61"/>
        <v>-3.3725682583855416</v>
      </c>
      <c r="F1195" s="23">
        <f t="shared" si="62"/>
        <v>3.3725682583855416</v>
      </c>
    </row>
    <row r="1196" spans="1:6" x14ac:dyDescent="0.3">
      <c r="A1196" s="2">
        <v>42433</v>
      </c>
      <c r="B1196" s="1">
        <v>25.752500000000001</v>
      </c>
      <c r="C1196" s="1">
        <v>575.13990000000001</v>
      </c>
      <c r="D1196" s="22">
        <f t="shared" si="60"/>
        <v>166.4646666539702</v>
      </c>
      <c r="E1196" s="23">
        <f t="shared" si="61"/>
        <v>-0.32110813292288753</v>
      </c>
      <c r="F1196" s="23">
        <f t="shared" si="62"/>
        <v>0.32110813292288753</v>
      </c>
    </row>
    <row r="1197" spans="1:6" x14ac:dyDescent="0.3">
      <c r="A1197" s="2">
        <v>42432</v>
      </c>
      <c r="B1197" s="1">
        <v>25.375</v>
      </c>
      <c r="C1197" s="1">
        <v>577.49</v>
      </c>
      <c r="D1197" s="22">
        <f t="shared" si="60"/>
        <v>166.78577478689309</v>
      </c>
      <c r="E1197" s="23">
        <f t="shared" si="61"/>
        <v>-0.55718512482525284</v>
      </c>
      <c r="F1197" s="23">
        <f t="shared" si="62"/>
        <v>0.55718512482525284</v>
      </c>
    </row>
    <row r="1198" spans="1:6" x14ac:dyDescent="0.3">
      <c r="A1198" s="2">
        <v>42431</v>
      </c>
      <c r="B1198" s="1">
        <v>25.1875</v>
      </c>
      <c r="C1198" s="1">
        <v>580.21</v>
      </c>
      <c r="D1198" s="22">
        <f t="shared" si="60"/>
        <v>167.34295991171834</v>
      </c>
      <c r="E1198" s="23">
        <f t="shared" si="61"/>
        <v>0.3405800220739934</v>
      </c>
      <c r="F1198" s="23">
        <f t="shared" si="62"/>
        <v>-0.3405800220739934</v>
      </c>
    </row>
    <row r="1199" spans="1:6" x14ac:dyDescent="0.3">
      <c r="A1199" s="2">
        <v>42430</v>
      </c>
      <c r="B1199" s="1">
        <v>25.1325</v>
      </c>
      <c r="C1199" s="1">
        <v>579.04</v>
      </c>
      <c r="D1199" s="22">
        <f t="shared" si="60"/>
        <v>167.00237988964435</v>
      </c>
      <c r="E1199" s="23">
        <f t="shared" si="61"/>
        <v>7.5065698333734758</v>
      </c>
      <c r="F1199" s="23">
        <f t="shared" si="62"/>
        <v>-7.5065698333734758</v>
      </c>
    </row>
    <row r="1200" spans="1:6" x14ac:dyDescent="0.3">
      <c r="A1200" s="2">
        <v>42429</v>
      </c>
      <c r="B1200" s="1">
        <v>24.172499999999999</v>
      </c>
      <c r="C1200" s="1">
        <v>552.52</v>
      </c>
      <c r="D1200" s="22">
        <f t="shared" si="60"/>
        <v>159.49581005627087</v>
      </c>
      <c r="E1200" s="23">
        <f t="shared" si="61"/>
        <v>-0.73501341579057566</v>
      </c>
      <c r="F1200" s="23">
        <f t="shared" si="62"/>
        <v>0.73501341579057566</v>
      </c>
    </row>
    <row r="1201" spans="1:6" x14ac:dyDescent="0.3">
      <c r="A1201" s="2">
        <v>42426</v>
      </c>
      <c r="B1201" s="1">
        <v>24.227499999999999</v>
      </c>
      <c r="C1201" s="1">
        <v>555.23</v>
      </c>
      <c r="D1201" s="22">
        <f t="shared" si="60"/>
        <v>160.23082347206145</v>
      </c>
      <c r="E1201" s="23">
        <f t="shared" si="61"/>
        <v>4.8410949722295982E-2</v>
      </c>
      <c r="F1201" s="23">
        <f t="shared" si="62"/>
        <v>-4.8410949722295982E-2</v>
      </c>
    </row>
    <row r="1202" spans="1:6" x14ac:dyDescent="0.3">
      <c r="A1202" s="2">
        <v>42425</v>
      </c>
      <c r="B1202" s="1">
        <v>24.19</v>
      </c>
      <c r="C1202" s="1">
        <v>555.1499</v>
      </c>
      <c r="D1202" s="22">
        <f t="shared" si="60"/>
        <v>160.18241252233915</v>
      </c>
      <c r="E1202" s="23">
        <f t="shared" si="61"/>
        <v>0.40701306085895794</v>
      </c>
      <c r="F1202" s="23">
        <f t="shared" si="62"/>
        <v>-0.40701306085895794</v>
      </c>
    </row>
    <row r="1203" spans="1:6" x14ac:dyDescent="0.3">
      <c r="A1203" s="2">
        <v>42424</v>
      </c>
      <c r="B1203" s="1">
        <v>24.024999999999999</v>
      </c>
      <c r="C1203" s="1">
        <v>554.04</v>
      </c>
      <c r="D1203" s="22">
        <f t="shared" si="60"/>
        <v>159.77539946148019</v>
      </c>
      <c r="E1203" s="23">
        <f t="shared" si="61"/>
        <v>0.54397948385874884</v>
      </c>
      <c r="F1203" s="23">
        <f t="shared" si="62"/>
        <v>-0.54397948385874884</v>
      </c>
    </row>
    <row r="1204" spans="1:6" x14ac:dyDescent="0.3">
      <c r="A1204" s="2">
        <v>42423</v>
      </c>
      <c r="B1204" s="1">
        <v>23.672499999999999</v>
      </c>
      <c r="C1204" s="1">
        <v>552.93989999999997</v>
      </c>
      <c r="D1204" s="22">
        <f t="shared" si="60"/>
        <v>159.23141997762144</v>
      </c>
      <c r="E1204" s="23">
        <f t="shared" si="61"/>
        <v>-2.0874806643247723</v>
      </c>
      <c r="F1204" s="23">
        <f t="shared" si="62"/>
        <v>2.0874806643247723</v>
      </c>
    </row>
    <row r="1205" spans="1:6" x14ac:dyDescent="0.3">
      <c r="A1205" s="2">
        <v>42422</v>
      </c>
      <c r="B1205" s="1">
        <v>24.22</v>
      </c>
      <c r="C1205" s="1">
        <v>559.5</v>
      </c>
      <c r="D1205" s="22">
        <f t="shared" si="60"/>
        <v>161.31890064194621</v>
      </c>
      <c r="E1205" s="23">
        <f t="shared" si="61"/>
        <v>6.4569285169390298</v>
      </c>
      <c r="F1205" s="23">
        <f t="shared" si="62"/>
        <v>-6.4569285169390298</v>
      </c>
    </row>
    <row r="1206" spans="1:6" x14ac:dyDescent="0.3">
      <c r="A1206" s="2">
        <v>42419</v>
      </c>
      <c r="B1206" s="1">
        <v>24.01</v>
      </c>
      <c r="C1206" s="1">
        <v>534.8999</v>
      </c>
      <c r="D1206" s="22">
        <f t="shared" si="60"/>
        <v>154.86197212500718</v>
      </c>
      <c r="E1206" s="23">
        <f t="shared" si="61"/>
        <v>2.4947045396811234</v>
      </c>
      <c r="F1206" s="23">
        <f t="shared" si="62"/>
        <v>-2.4947045396811234</v>
      </c>
    </row>
    <row r="1207" spans="1:6" x14ac:dyDescent="0.3">
      <c r="A1207" s="2">
        <v>42418</v>
      </c>
      <c r="B1207" s="1">
        <v>24.065000000000001</v>
      </c>
      <c r="C1207" s="1">
        <v>525</v>
      </c>
      <c r="D1207" s="22">
        <f t="shared" si="60"/>
        <v>152.36726758532606</v>
      </c>
      <c r="E1207" s="23">
        <f t="shared" si="61"/>
        <v>-2.6766699987544484</v>
      </c>
      <c r="F1207" s="23">
        <f t="shared" si="62"/>
        <v>2.6766699987544484</v>
      </c>
    </row>
    <row r="1208" spans="1:6" x14ac:dyDescent="0.3">
      <c r="A1208" s="2">
        <v>42417</v>
      </c>
      <c r="B1208" s="1">
        <v>24.53</v>
      </c>
      <c r="C1208" s="1">
        <v>534.1001</v>
      </c>
      <c r="D1208" s="22">
        <f t="shared" si="60"/>
        <v>155.04393758408051</v>
      </c>
      <c r="E1208" s="23">
        <f t="shared" si="61"/>
        <v>3.6048660796364231</v>
      </c>
      <c r="F1208" s="23">
        <f t="shared" si="62"/>
        <v>-3.6048660796364231</v>
      </c>
    </row>
    <row r="1209" spans="1:6" x14ac:dyDescent="0.3">
      <c r="A1209" s="2">
        <v>42416</v>
      </c>
      <c r="B1209" s="1">
        <v>24.16</v>
      </c>
      <c r="C1209" s="1">
        <v>521.1001</v>
      </c>
      <c r="D1209" s="22">
        <f t="shared" si="60"/>
        <v>151.43907150444409</v>
      </c>
      <c r="E1209" s="23">
        <f t="shared" si="61"/>
        <v>4.0836974393304502</v>
      </c>
      <c r="F1209" s="23">
        <f t="shared" si="62"/>
        <v>-4.0836974393304502</v>
      </c>
    </row>
    <row r="1210" spans="1:6" x14ac:dyDescent="0.3">
      <c r="A1210" s="2">
        <v>42415</v>
      </c>
      <c r="B1210" s="1">
        <v>23.497499999999999</v>
      </c>
      <c r="C1210" s="1">
        <v>507.08010000000002</v>
      </c>
      <c r="D1210" s="22">
        <f t="shared" si="60"/>
        <v>147.35537406511364</v>
      </c>
      <c r="E1210" s="23">
        <f t="shared" si="61"/>
        <v>0</v>
      </c>
      <c r="F1210" s="23">
        <f t="shared" si="62"/>
        <v>0</v>
      </c>
    </row>
    <row r="1211" spans="1:6" x14ac:dyDescent="0.3">
      <c r="A1211" s="2">
        <v>42412</v>
      </c>
      <c r="B1211" s="1">
        <v>23.497499999999999</v>
      </c>
      <c r="C1211" s="1">
        <v>507.08010000000002</v>
      </c>
      <c r="D1211" s="22">
        <f t="shared" si="60"/>
        <v>147.35537406511364</v>
      </c>
      <c r="E1211" s="23">
        <f t="shared" si="61"/>
        <v>0.88890028731916004</v>
      </c>
      <c r="F1211" s="23">
        <f t="shared" si="62"/>
        <v>-0.88890028731916004</v>
      </c>
    </row>
    <row r="1212" spans="1:6" x14ac:dyDescent="0.3">
      <c r="A1212" s="2">
        <v>42411</v>
      </c>
      <c r="B1212" s="1">
        <v>23.425000000000001</v>
      </c>
      <c r="C1212" s="1">
        <v>503.82010000000002</v>
      </c>
      <c r="D1212" s="22">
        <f t="shared" si="60"/>
        <v>146.46647377779448</v>
      </c>
      <c r="E1212" s="23">
        <f t="shared" si="61"/>
        <v>3.3107387494304135</v>
      </c>
      <c r="F1212" s="23">
        <f t="shared" si="62"/>
        <v>-3.3107387494304135</v>
      </c>
    </row>
    <row r="1213" spans="1:6" x14ac:dyDescent="0.3">
      <c r="A1213" s="2">
        <v>42410</v>
      </c>
      <c r="B1213" s="1">
        <v>23.567499999999999</v>
      </c>
      <c r="C1213" s="1">
        <v>490.48</v>
      </c>
      <c r="D1213" s="22">
        <f t="shared" si="60"/>
        <v>143.15573502836406</v>
      </c>
      <c r="E1213" s="23">
        <f t="shared" si="61"/>
        <v>2.0200931225232637</v>
      </c>
      <c r="F1213" s="23">
        <f t="shared" si="62"/>
        <v>-2.0200931225232637</v>
      </c>
    </row>
    <row r="1214" spans="1:6" x14ac:dyDescent="0.3">
      <c r="A1214" s="2">
        <v>42409</v>
      </c>
      <c r="B1214" s="1">
        <v>23.747499999999999</v>
      </c>
      <c r="C1214" s="1">
        <v>482.07010000000002</v>
      </c>
      <c r="D1214" s="22">
        <f t="shared" si="60"/>
        <v>141.1356419058408</v>
      </c>
      <c r="E1214" s="23">
        <f t="shared" si="61"/>
        <v>-1.5481566215209455</v>
      </c>
      <c r="F1214" s="23">
        <f t="shared" si="62"/>
        <v>1.5481566215209455</v>
      </c>
    </row>
    <row r="1215" spans="1:6" x14ac:dyDescent="0.3">
      <c r="A1215" s="2">
        <v>42408</v>
      </c>
      <c r="B1215" s="1">
        <v>23.752500000000001</v>
      </c>
      <c r="C1215" s="1">
        <v>488.1001</v>
      </c>
      <c r="D1215" s="22">
        <f t="shared" si="60"/>
        <v>142.68379852736174</v>
      </c>
      <c r="E1215" s="23">
        <f t="shared" si="61"/>
        <v>-3.4092817481229645</v>
      </c>
      <c r="F1215" s="23">
        <f t="shared" si="62"/>
        <v>3.4092817481229645</v>
      </c>
    </row>
    <row r="1216" spans="1:6" x14ac:dyDescent="0.3">
      <c r="A1216" s="2">
        <v>42405</v>
      </c>
      <c r="B1216" s="1">
        <v>23.504999999999999</v>
      </c>
      <c r="C1216" s="1">
        <v>502.12990000000002</v>
      </c>
      <c r="D1216" s="22">
        <f t="shared" si="60"/>
        <v>146.09308027548471</v>
      </c>
      <c r="E1216" s="23">
        <f t="shared" si="61"/>
        <v>-9.2213906700897041</v>
      </c>
      <c r="F1216" s="23">
        <f t="shared" si="62"/>
        <v>9.2213906700897041</v>
      </c>
    </row>
    <row r="1217" spans="1:6" x14ac:dyDescent="0.3">
      <c r="A1217" s="2">
        <v>42404</v>
      </c>
      <c r="B1217" s="1">
        <v>24.15</v>
      </c>
      <c r="C1217" s="1">
        <v>536.26</v>
      </c>
      <c r="D1217" s="22">
        <f t="shared" si="60"/>
        <v>155.31447094557441</v>
      </c>
      <c r="E1217" s="23">
        <f t="shared" si="61"/>
        <v>1.3757583006118352</v>
      </c>
      <c r="F1217" s="23">
        <f t="shared" si="62"/>
        <v>-1.3757583006118352</v>
      </c>
    </row>
    <row r="1218" spans="1:6" x14ac:dyDescent="0.3">
      <c r="A1218" s="2">
        <v>42403</v>
      </c>
      <c r="B1218" s="1">
        <v>24.087499999999999</v>
      </c>
      <c r="C1218" s="1">
        <v>531.07010000000002</v>
      </c>
      <c r="D1218" s="22">
        <f t="shared" si="60"/>
        <v>153.93871264496258</v>
      </c>
      <c r="E1218" s="23">
        <f t="shared" si="61"/>
        <v>-5.0385596632607985</v>
      </c>
      <c r="F1218" s="23">
        <f t="shared" si="62"/>
        <v>5.0385596632607985</v>
      </c>
    </row>
    <row r="1219" spans="1:6" x14ac:dyDescent="0.3">
      <c r="A1219" s="2">
        <v>42402</v>
      </c>
      <c r="B1219" s="1">
        <v>23.62</v>
      </c>
      <c r="C1219" s="1">
        <v>552.1001</v>
      </c>
      <c r="D1219" s="22">
        <f t="shared" si="60"/>
        <v>158.97727230822338</v>
      </c>
      <c r="E1219" s="23">
        <f t="shared" si="61"/>
        <v>-6.1792507090039805</v>
      </c>
      <c r="F1219" s="23">
        <f t="shared" si="62"/>
        <v>6.1792507090039805</v>
      </c>
    </row>
    <row r="1220" spans="1:6" x14ac:dyDescent="0.3">
      <c r="A1220" s="2">
        <v>42401</v>
      </c>
      <c r="B1220" s="1">
        <v>24.107500000000002</v>
      </c>
      <c r="C1220" s="1">
        <v>574.81010000000003</v>
      </c>
      <c r="D1220" s="22">
        <f t="shared" si="60"/>
        <v>165.15652301722736</v>
      </c>
      <c r="E1220" s="23">
        <f t="shared" si="61"/>
        <v>-3.291376642204483</v>
      </c>
      <c r="F1220" s="23">
        <f t="shared" si="62"/>
        <v>3.291376642204483</v>
      </c>
    </row>
    <row r="1221" spans="1:6" x14ac:dyDescent="0.3">
      <c r="A1221" s="2">
        <v>42398</v>
      </c>
      <c r="B1221" s="1">
        <v>24.335000000000001</v>
      </c>
      <c r="C1221" s="1">
        <v>587</v>
      </c>
      <c r="D1221" s="22">
        <f t="shared" si="60"/>
        <v>168.44789965943184</v>
      </c>
      <c r="E1221" s="23">
        <f t="shared" si="61"/>
        <v>-11.779299455798366</v>
      </c>
      <c r="F1221" s="23">
        <f t="shared" si="62"/>
        <v>11.779299455798366</v>
      </c>
    </row>
    <row r="1222" spans="1:6" x14ac:dyDescent="0.3">
      <c r="A1222" s="2">
        <v>42397</v>
      </c>
      <c r="B1222" s="1">
        <v>23.522500000000001</v>
      </c>
      <c r="C1222" s="1">
        <v>635.3501</v>
      </c>
      <c r="D1222" s="22">
        <f t="shared" ref="D1222:D1285" si="63">$M$16*B1222+(1-$M$16)*C1222</f>
        <v>180.22719911523021</v>
      </c>
      <c r="E1222" s="23">
        <f t="shared" ref="E1222:E1285" si="64">D1222-D1223</f>
        <v>13.443129142735927</v>
      </c>
      <c r="F1222" s="23">
        <f t="shared" ref="F1222:F1285" si="65">-E1222</f>
        <v>-13.443129142735927</v>
      </c>
    </row>
    <row r="1223" spans="1:6" x14ac:dyDescent="0.3">
      <c r="A1223" s="2">
        <v>42396</v>
      </c>
      <c r="B1223" s="1">
        <v>23.355</v>
      </c>
      <c r="C1223" s="1">
        <v>583.3501</v>
      </c>
      <c r="D1223" s="22">
        <f t="shared" si="63"/>
        <v>166.78406997249428</v>
      </c>
      <c r="E1223" s="23">
        <f t="shared" si="64"/>
        <v>-5.8064360097451413</v>
      </c>
      <c r="F1223" s="23">
        <f t="shared" si="65"/>
        <v>5.8064360097451413</v>
      </c>
    </row>
    <row r="1224" spans="1:6" x14ac:dyDescent="0.3">
      <c r="A1224" s="2">
        <v>42395</v>
      </c>
      <c r="B1224" s="1">
        <v>24.997499999999999</v>
      </c>
      <c r="C1224" s="1">
        <v>601.25</v>
      </c>
      <c r="D1224" s="22">
        <f t="shared" si="63"/>
        <v>172.59050598223942</v>
      </c>
      <c r="E1224" s="23">
        <f t="shared" si="64"/>
        <v>1.3111954718870891</v>
      </c>
      <c r="F1224" s="23">
        <f t="shared" si="65"/>
        <v>-1.3111954718870891</v>
      </c>
    </row>
    <row r="1225" spans="1:6" x14ac:dyDescent="0.3">
      <c r="A1225" s="2">
        <v>42394</v>
      </c>
      <c r="B1225" s="1">
        <v>24.86</v>
      </c>
      <c r="C1225" s="1">
        <v>596.53</v>
      </c>
      <c r="D1225" s="22">
        <f t="shared" si="63"/>
        <v>171.27931051035233</v>
      </c>
      <c r="E1225" s="23">
        <f t="shared" si="64"/>
        <v>-0.3297733881256022</v>
      </c>
      <c r="F1225" s="23">
        <f t="shared" si="65"/>
        <v>0.3297733881256022</v>
      </c>
    </row>
    <row r="1226" spans="1:6" x14ac:dyDescent="0.3">
      <c r="A1226" s="2">
        <v>42391</v>
      </c>
      <c r="B1226" s="1">
        <v>25.355</v>
      </c>
      <c r="C1226" s="1">
        <v>596.37990000000002</v>
      </c>
      <c r="D1226" s="22">
        <f t="shared" si="63"/>
        <v>171.60908389847793</v>
      </c>
      <c r="E1226" s="23">
        <f t="shared" si="64"/>
        <v>6.4229760405772822</v>
      </c>
      <c r="F1226" s="23">
        <f t="shared" si="65"/>
        <v>-6.4229760405772822</v>
      </c>
    </row>
    <row r="1227" spans="1:6" x14ac:dyDescent="0.3">
      <c r="A1227" s="2">
        <v>42390</v>
      </c>
      <c r="B1227" s="1">
        <v>24.074999999999999</v>
      </c>
      <c r="C1227" s="1">
        <v>575.02</v>
      </c>
      <c r="D1227" s="22">
        <f t="shared" si="63"/>
        <v>165.18610785790065</v>
      </c>
      <c r="E1227" s="23">
        <f t="shared" si="64"/>
        <v>0.74128351968124662</v>
      </c>
      <c r="F1227" s="23">
        <f t="shared" si="65"/>
        <v>-0.74128351968124662</v>
      </c>
    </row>
    <row r="1228" spans="1:6" x14ac:dyDescent="0.3">
      <c r="A1228" s="2">
        <v>42389</v>
      </c>
      <c r="B1228" s="1">
        <v>24.197500000000002</v>
      </c>
      <c r="C1228" s="1">
        <v>571.77</v>
      </c>
      <c r="D1228" s="22">
        <f t="shared" si="63"/>
        <v>164.44482433821941</v>
      </c>
      <c r="E1228" s="23">
        <f t="shared" si="64"/>
        <v>-0.66992440406994547</v>
      </c>
      <c r="F1228" s="23">
        <f t="shared" si="65"/>
        <v>0.66992440406994547</v>
      </c>
    </row>
    <row r="1229" spans="1:6" x14ac:dyDescent="0.3">
      <c r="A1229" s="2">
        <v>42388</v>
      </c>
      <c r="B1229" s="1">
        <v>24.164999999999999</v>
      </c>
      <c r="C1229" s="1">
        <v>574.48</v>
      </c>
      <c r="D1229" s="22">
        <f t="shared" si="63"/>
        <v>165.11474874228935</v>
      </c>
      <c r="E1229" s="23">
        <f t="shared" si="64"/>
        <v>1.0139603636897903</v>
      </c>
      <c r="F1229" s="23">
        <f t="shared" si="65"/>
        <v>-1.0139603636897903</v>
      </c>
    </row>
    <row r="1230" spans="1:6" x14ac:dyDescent="0.3">
      <c r="A1230" s="2">
        <v>42387</v>
      </c>
      <c r="B1230" s="1">
        <v>24.282499999999999</v>
      </c>
      <c r="C1230" s="1">
        <v>570.17989999999998</v>
      </c>
      <c r="D1230" s="22">
        <f t="shared" si="63"/>
        <v>164.10078837859956</v>
      </c>
      <c r="E1230" s="23">
        <f t="shared" si="64"/>
        <v>0</v>
      </c>
      <c r="F1230" s="23">
        <f t="shared" si="65"/>
        <v>0</v>
      </c>
    </row>
    <row r="1231" spans="1:6" x14ac:dyDescent="0.3">
      <c r="A1231" s="2">
        <v>42384</v>
      </c>
      <c r="B1231" s="1">
        <v>24.282499999999999</v>
      </c>
      <c r="C1231" s="1">
        <v>570.17989999999998</v>
      </c>
      <c r="D1231" s="22">
        <f t="shared" si="63"/>
        <v>164.10078837859956</v>
      </c>
      <c r="E1231" s="23">
        <f t="shared" si="64"/>
        <v>-6.2892763215619993</v>
      </c>
      <c r="F1231" s="23">
        <f t="shared" si="65"/>
        <v>6.2892763215619993</v>
      </c>
    </row>
    <row r="1232" spans="1:6" x14ac:dyDescent="0.3">
      <c r="A1232" s="2">
        <v>42383</v>
      </c>
      <c r="B1232" s="1">
        <v>24.88</v>
      </c>
      <c r="C1232" s="1">
        <v>593</v>
      </c>
      <c r="D1232" s="22">
        <f t="shared" si="63"/>
        <v>170.39006470016156</v>
      </c>
      <c r="E1232" s="23">
        <f t="shared" si="64"/>
        <v>3.2621327598667165</v>
      </c>
      <c r="F1232" s="23">
        <f t="shared" si="65"/>
        <v>-3.2621327598667165</v>
      </c>
    </row>
    <row r="1233" spans="1:6" x14ac:dyDescent="0.3">
      <c r="A1233" s="2">
        <v>42382</v>
      </c>
      <c r="B1233" s="1">
        <v>24.3475</v>
      </c>
      <c r="C1233" s="1">
        <v>581.81010000000003</v>
      </c>
      <c r="D1233" s="22">
        <f t="shared" si="63"/>
        <v>167.12793194029484</v>
      </c>
      <c r="E1233" s="23">
        <f t="shared" si="64"/>
        <v>-9.7188990280205303</v>
      </c>
      <c r="F1233" s="23">
        <f t="shared" si="65"/>
        <v>9.7188990280205303</v>
      </c>
    </row>
    <row r="1234" spans="1:6" x14ac:dyDescent="0.3">
      <c r="A1234" s="2">
        <v>42381</v>
      </c>
      <c r="B1234" s="1">
        <v>24.99</v>
      </c>
      <c r="C1234" s="1">
        <v>617.88990000000001</v>
      </c>
      <c r="D1234" s="22">
        <f t="shared" si="63"/>
        <v>176.84683096831537</v>
      </c>
      <c r="E1234" s="23">
        <f t="shared" si="64"/>
        <v>0.30432832952234889</v>
      </c>
      <c r="F1234" s="23">
        <f t="shared" si="65"/>
        <v>-0.30432832952234889</v>
      </c>
    </row>
    <row r="1235" spans="1:6" x14ac:dyDescent="0.3">
      <c r="A1235" s="2">
        <v>42380</v>
      </c>
      <c r="B1235" s="1">
        <v>24.6325</v>
      </c>
      <c r="C1235" s="1">
        <v>617.74</v>
      </c>
      <c r="D1235" s="22">
        <f t="shared" si="63"/>
        <v>176.54250263879302</v>
      </c>
      <c r="E1235" s="23">
        <f t="shared" si="64"/>
        <v>3.0299531635040751</v>
      </c>
      <c r="F1235" s="23">
        <f t="shared" si="65"/>
        <v>-3.0299531635040751</v>
      </c>
    </row>
    <row r="1236" spans="1:6" x14ac:dyDescent="0.3">
      <c r="A1236" s="2">
        <v>42377</v>
      </c>
      <c r="B1236" s="1">
        <v>24.24</v>
      </c>
      <c r="C1236" s="1">
        <v>607.04999999999995</v>
      </c>
      <c r="D1236" s="22">
        <f t="shared" si="63"/>
        <v>173.51254947528895</v>
      </c>
      <c r="E1236" s="23">
        <f t="shared" si="64"/>
        <v>-0.13308216543327944</v>
      </c>
      <c r="F1236" s="23">
        <f t="shared" si="65"/>
        <v>0.13308216543327944</v>
      </c>
    </row>
    <row r="1237" spans="1:6" x14ac:dyDescent="0.3">
      <c r="A1237" s="2">
        <v>42376</v>
      </c>
      <c r="B1237" s="1">
        <v>24.112500000000001</v>
      </c>
      <c r="C1237" s="1">
        <v>607.93989999999997</v>
      </c>
      <c r="D1237" s="22">
        <f t="shared" si="63"/>
        <v>173.64563164072223</v>
      </c>
      <c r="E1237" s="23">
        <f t="shared" si="64"/>
        <v>-7.1192296609819721</v>
      </c>
      <c r="F1237" s="23">
        <f t="shared" si="65"/>
        <v>7.1192296609819721</v>
      </c>
    </row>
    <row r="1238" spans="1:6" x14ac:dyDescent="0.3">
      <c r="A1238" s="2">
        <v>42375</v>
      </c>
      <c r="B1238" s="1">
        <v>25.175000000000001</v>
      </c>
      <c r="C1238" s="1">
        <v>632.6499</v>
      </c>
      <c r="D1238" s="22">
        <f t="shared" si="63"/>
        <v>180.7648613017042</v>
      </c>
      <c r="E1238" s="23">
        <f t="shared" si="64"/>
        <v>-0.66580567002185376</v>
      </c>
      <c r="F1238" s="23">
        <f t="shared" si="65"/>
        <v>0.66580567002185376</v>
      </c>
    </row>
    <row r="1239" spans="1:6" x14ac:dyDescent="0.3">
      <c r="A1239" s="2">
        <v>42374</v>
      </c>
      <c r="B1239" s="1">
        <v>25.677499999999998</v>
      </c>
      <c r="C1239" s="1">
        <v>633.79</v>
      </c>
      <c r="D1239" s="22">
        <f t="shared" si="63"/>
        <v>181.43066697172605</v>
      </c>
      <c r="E1239" s="23">
        <f t="shared" si="64"/>
        <v>-1.3105589740519861</v>
      </c>
      <c r="F1239" s="23">
        <f t="shared" si="65"/>
        <v>1.3105589740519861</v>
      </c>
    </row>
    <row r="1240" spans="1:6" x14ac:dyDescent="0.3">
      <c r="A1240" s="2">
        <v>42373</v>
      </c>
      <c r="B1240" s="1">
        <v>26.337499999999999</v>
      </c>
      <c r="C1240" s="1">
        <v>636.99</v>
      </c>
      <c r="D1240" s="22">
        <f t="shared" si="63"/>
        <v>182.74122594577804</v>
      </c>
      <c r="E1240" s="23">
        <f t="shared" si="64"/>
        <v>-9.9465222880475324</v>
      </c>
      <c r="F1240" s="23">
        <f t="shared" si="65"/>
        <v>9.9465222880475324</v>
      </c>
    </row>
    <row r="1241" spans="1:6" x14ac:dyDescent="0.3">
      <c r="A1241" s="2">
        <v>42370</v>
      </c>
      <c r="B1241" s="1">
        <v>26.315000000000001</v>
      </c>
      <c r="C1241" s="1">
        <v>675.88990000000001</v>
      </c>
      <c r="D1241" s="22">
        <f t="shared" si="63"/>
        <v>192.68774823382557</v>
      </c>
      <c r="E1241" s="23">
        <f t="shared" si="64"/>
        <v>0</v>
      </c>
      <c r="F1241" s="23">
        <f t="shared" si="65"/>
        <v>0</v>
      </c>
    </row>
    <row r="1242" spans="1:6" x14ac:dyDescent="0.3">
      <c r="A1242" s="2">
        <v>42369</v>
      </c>
      <c r="B1242" s="1">
        <v>26.315000000000001</v>
      </c>
      <c r="C1242" s="1">
        <v>675.88990000000001</v>
      </c>
      <c r="D1242" s="22">
        <f t="shared" si="63"/>
        <v>192.68774823382557</v>
      </c>
      <c r="E1242" s="23">
        <f t="shared" si="64"/>
        <v>-3.7588817000642223</v>
      </c>
      <c r="F1242" s="23">
        <f t="shared" si="65"/>
        <v>3.7588817000642223</v>
      </c>
    </row>
    <row r="1243" spans="1:6" x14ac:dyDescent="0.3">
      <c r="A1243" s="2">
        <v>42368</v>
      </c>
      <c r="B1243" s="1">
        <v>26.83</v>
      </c>
      <c r="C1243" s="1">
        <v>689.07010000000002</v>
      </c>
      <c r="D1243" s="22">
        <f t="shared" si="63"/>
        <v>196.4466299338898</v>
      </c>
      <c r="E1243" s="23">
        <f t="shared" si="64"/>
        <v>-1.5190651500664956</v>
      </c>
      <c r="F1243" s="23">
        <f t="shared" si="65"/>
        <v>1.5190651500664956</v>
      </c>
    </row>
    <row r="1244" spans="1:6" x14ac:dyDescent="0.3">
      <c r="A1244" s="2">
        <v>42367</v>
      </c>
      <c r="B1244" s="1">
        <v>27.184999999999999</v>
      </c>
      <c r="C1244" s="1">
        <v>693.97</v>
      </c>
      <c r="D1244" s="22">
        <f t="shared" si="63"/>
        <v>197.96569508395629</v>
      </c>
      <c r="E1244" s="23">
        <f t="shared" si="64"/>
        <v>5.1645368643349059</v>
      </c>
      <c r="F1244" s="23">
        <f t="shared" si="65"/>
        <v>-5.1645368643349059</v>
      </c>
    </row>
    <row r="1245" spans="1:6" x14ac:dyDescent="0.3">
      <c r="A1245" s="2">
        <v>42366</v>
      </c>
      <c r="B1245" s="1">
        <v>26.704999999999998</v>
      </c>
      <c r="C1245" s="1">
        <v>675.2</v>
      </c>
      <c r="D1245" s="22">
        <f t="shared" si="63"/>
        <v>192.80115821962139</v>
      </c>
      <c r="E1245" s="23">
        <f t="shared" si="64"/>
        <v>2.9534964400141064</v>
      </c>
      <c r="F1245" s="23">
        <f t="shared" si="65"/>
        <v>-2.9534964400141064</v>
      </c>
    </row>
    <row r="1246" spans="1:6" x14ac:dyDescent="0.3">
      <c r="A1246" s="2">
        <v>42363</v>
      </c>
      <c r="B1246" s="1">
        <v>27.0075</v>
      </c>
      <c r="C1246" s="1">
        <v>662.79</v>
      </c>
      <c r="D1246" s="22">
        <f t="shared" si="63"/>
        <v>189.84766177960728</v>
      </c>
      <c r="E1246" s="23">
        <f t="shared" si="64"/>
        <v>0</v>
      </c>
      <c r="F1246" s="23">
        <f t="shared" si="65"/>
        <v>0</v>
      </c>
    </row>
    <row r="1247" spans="1:6" x14ac:dyDescent="0.3">
      <c r="A1247" s="2">
        <v>42362</v>
      </c>
      <c r="B1247" s="1">
        <v>27.0075</v>
      </c>
      <c r="C1247" s="1">
        <v>662.79</v>
      </c>
      <c r="D1247" s="22">
        <f t="shared" si="63"/>
        <v>189.84766177960728</v>
      </c>
      <c r="E1247" s="23">
        <f t="shared" si="64"/>
        <v>-0.34093606895660855</v>
      </c>
      <c r="F1247" s="23">
        <f t="shared" si="65"/>
        <v>0.34093606895660855</v>
      </c>
    </row>
    <row r="1248" spans="1:6" x14ac:dyDescent="0.3">
      <c r="A1248" s="2">
        <v>42361</v>
      </c>
      <c r="B1248" s="1">
        <v>27.1525</v>
      </c>
      <c r="C1248" s="1">
        <v>663.7</v>
      </c>
      <c r="D1248" s="22">
        <f t="shared" si="63"/>
        <v>190.18859784856389</v>
      </c>
      <c r="E1248" s="23">
        <f t="shared" si="64"/>
        <v>0.39753135652682658</v>
      </c>
      <c r="F1248" s="23">
        <f t="shared" si="65"/>
        <v>-0.39753135652682658</v>
      </c>
    </row>
    <row r="1249" spans="1:6" x14ac:dyDescent="0.3">
      <c r="A1249" s="2">
        <v>42360</v>
      </c>
      <c r="B1249" s="1">
        <v>26.807500000000001</v>
      </c>
      <c r="C1249" s="1">
        <v>663.1499</v>
      </c>
      <c r="D1249" s="22">
        <f t="shared" si="63"/>
        <v>189.79106649203706</v>
      </c>
      <c r="E1249" s="23">
        <f t="shared" si="64"/>
        <v>-0.36695326230582737</v>
      </c>
      <c r="F1249" s="23">
        <f t="shared" si="65"/>
        <v>0.36695326230582737</v>
      </c>
    </row>
    <row r="1250" spans="1:6" x14ac:dyDescent="0.3">
      <c r="A1250" s="2">
        <v>42359</v>
      </c>
      <c r="B1250" s="1">
        <v>26.8325</v>
      </c>
      <c r="C1250" s="1">
        <v>664.51</v>
      </c>
      <c r="D1250" s="22">
        <f t="shared" si="63"/>
        <v>190.15801975434289</v>
      </c>
      <c r="E1250" s="23">
        <f t="shared" si="64"/>
        <v>0.3365512636731296</v>
      </c>
      <c r="F1250" s="23">
        <f t="shared" si="65"/>
        <v>-0.3365512636731296</v>
      </c>
    </row>
    <row r="1251" spans="1:6" x14ac:dyDescent="0.3">
      <c r="A1251" s="2">
        <v>42356</v>
      </c>
      <c r="B1251" s="1">
        <v>26.5075</v>
      </c>
      <c r="C1251" s="1">
        <v>664.13990000000001</v>
      </c>
      <c r="D1251" s="22">
        <f t="shared" si="63"/>
        <v>189.82146849066976</v>
      </c>
      <c r="E1251" s="23">
        <f t="shared" si="64"/>
        <v>-2.215984912486249</v>
      </c>
      <c r="F1251" s="23">
        <f t="shared" si="65"/>
        <v>2.215984912486249</v>
      </c>
    </row>
    <row r="1252" spans="1:6" x14ac:dyDescent="0.3">
      <c r="A1252" s="2">
        <v>42355</v>
      </c>
      <c r="B1252" s="1">
        <v>27.245000000000001</v>
      </c>
      <c r="C1252" s="1">
        <v>670.6499</v>
      </c>
      <c r="D1252" s="22">
        <f t="shared" si="63"/>
        <v>192.03745340315601</v>
      </c>
      <c r="E1252" s="23">
        <f t="shared" si="64"/>
        <v>-1.7502744914775121</v>
      </c>
      <c r="F1252" s="23">
        <f t="shared" si="65"/>
        <v>1.7502744914775121</v>
      </c>
    </row>
    <row r="1253" spans="1:6" x14ac:dyDescent="0.3">
      <c r="A1253" s="2">
        <v>42354</v>
      </c>
      <c r="B1253" s="1">
        <v>27.835000000000001</v>
      </c>
      <c r="C1253" s="1">
        <v>675.77</v>
      </c>
      <c r="D1253" s="22">
        <f t="shared" si="63"/>
        <v>193.78772789463352</v>
      </c>
      <c r="E1253" s="23">
        <f t="shared" si="64"/>
        <v>4.5455301178825778</v>
      </c>
      <c r="F1253" s="23">
        <f t="shared" si="65"/>
        <v>-4.5455301178825778</v>
      </c>
    </row>
    <row r="1254" spans="1:6" x14ac:dyDescent="0.3">
      <c r="A1254" s="2">
        <v>42353</v>
      </c>
      <c r="B1254" s="1">
        <v>27.622499999999999</v>
      </c>
      <c r="C1254" s="1">
        <v>658.63990000000001</v>
      </c>
      <c r="D1254" s="22">
        <f t="shared" si="63"/>
        <v>189.24219777675094</v>
      </c>
      <c r="E1254" s="23">
        <f t="shared" si="64"/>
        <v>-0.18310585013827563</v>
      </c>
      <c r="F1254" s="23">
        <f t="shared" si="65"/>
        <v>0.18310585013827563</v>
      </c>
    </row>
    <row r="1255" spans="1:6" x14ac:dyDescent="0.3">
      <c r="A1255" s="2">
        <v>42352</v>
      </c>
      <c r="B1255" s="1">
        <v>28.12</v>
      </c>
      <c r="C1255" s="1">
        <v>657.90989999999999</v>
      </c>
      <c r="D1255" s="22">
        <f t="shared" si="63"/>
        <v>189.42530362688922</v>
      </c>
      <c r="E1255" s="23">
        <f t="shared" si="64"/>
        <v>4.4186122833158663</v>
      </c>
      <c r="F1255" s="23">
        <f t="shared" si="65"/>
        <v>-4.4186122833158663</v>
      </c>
    </row>
    <row r="1256" spans="1:6" x14ac:dyDescent="0.3">
      <c r="A1256" s="2">
        <v>42349</v>
      </c>
      <c r="B1256" s="1">
        <v>28.295000000000002</v>
      </c>
      <c r="C1256" s="1">
        <v>640.1499</v>
      </c>
      <c r="D1256" s="22">
        <f t="shared" si="63"/>
        <v>185.00669134357335</v>
      </c>
      <c r="E1256" s="23">
        <f t="shared" si="64"/>
        <v>-6.2344014698517185</v>
      </c>
      <c r="F1256" s="23">
        <f t="shared" si="65"/>
        <v>6.2344014698517185</v>
      </c>
    </row>
    <row r="1257" spans="1:6" x14ac:dyDescent="0.3">
      <c r="A1257" s="2">
        <v>42348</v>
      </c>
      <c r="B1257" s="1">
        <v>29.0425</v>
      </c>
      <c r="C1257" s="1">
        <v>662.32010000000002</v>
      </c>
      <c r="D1257" s="22">
        <f t="shared" si="63"/>
        <v>191.24109281342507</v>
      </c>
      <c r="E1257" s="23">
        <f t="shared" si="64"/>
        <v>-0.53032183816657152</v>
      </c>
      <c r="F1257" s="23">
        <f t="shared" si="65"/>
        <v>0.53032183816657152</v>
      </c>
    </row>
    <row r="1258" spans="1:6" x14ac:dyDescent="0.3">
      <c r="A1258" s="2">
        <v>42347</v>
      </c>
      <c r="B1258" s="1">
        <v>28.905000000000001</v>
      </c>
      <c r="C1258" s="1">
        <v>664.79</v>
      </c>
      <c r="D1258" s="22">
        <f t="shared" si="63"/>
        <v>191.77141465159164</v>
      </c>
      <c r="E1258" s="23">
        <f t="shared" si="64"/>
        <v>-3.6972184487954109</v>
      </c>
      <c r="F1258" s="23">
        <f t="shared" si="65"/>
        <v>3.6972184487954109</v>
      </c>
    </row>
    <row r="1259" spans="1:6" x14ac:dyDescent="0.3">
      <c r="A1259" s="2">
        <v>42346</v>
      </c>
      <c r="B1259" s="1">
        <v>29.557500000000001</v>
      </c>
      <c r="C1259" s="1">
        <v>677.33010000000002</v>
      </c>
      <c r="D1259" s="22">
        <f t="shared" si="63"/>
        <v>195.46863310038705</v>
      </c>
      <c r="E1259" s="23">
        <f t="shared" si="64"/>
        <v>1.9116434222698899</v>
      </c>
      <c r="F1259" s="23">
        <f t="shared" si="65"/>
        <v>-1.9116434222698899</v>
      </c>
    </row>
    <row r="1260" spans="1:6" x14ac:dyDescent="0.3">
      <c r="A1260" s="2">
        <v>42345</v>
      </c>
      <c r="B1260" s="1">
        <v>29.57</v>
      </c>
      <c r="C1260" s="1">
        <v>669.83010000000002</v>
      </c>
      <c r="D1260" s="22">
        <f t="shared" si="63"/>
        <v>193.55698967811716</v>
      </c>
      <c r="E1260" s="23">
        <f t="shared" si="64"/>
        <v>-0.8591381093135908</v>
      </c>
      <c r="F1260" s="23">
        <f t="shared" si="65"/>
        <v>0.8591381093135908</v>
      </c>
    </row>
    <row r="1261" spans="1:6" x14ac:dyDescent="0.3">
      <c r="A1261" s="2">
        <v>42342</v>
      </c>
      <c r="B1261" s="1">
        <v>29.7575</v>
      </c>
      <c r="C1261" s="1">
        <v>672.63990000000001</v>
      </c>
      <c r="D1261" s="22">
        <f t="shared" si="63"/>
        <v>194.41612778743075</v>
      </c>
      <c r="E1261" s="23">
        <f t="shared" si="64"/>
        <v>2.3488766026141548</v>
      </c>
      <c r="F1261" s="23">
        <f t="shared" si="65"/>
        <v>-2.3488766026141548</v>
      </c>
    </row>
    <row r="1262" spans="1:6" x14ac:dyDescent="0.3">
      <c r="A1262" s="2">
        <v>42341</v>
      </c>
      <c r="B1262" s="1">
        <v>28.8</v>
      </c>
      <c r="C1262" s="1">
        <v>666.25</v>
      </c>
      <c r="D1262" s="22">
        <f t="shared" si="63"/>
        <v>192.0672511848166</v>
      </c>
      <c r="E1262" s="23">
        <f t="shared" si="64"/>
        <v>-2.700631757383178</v>
      </c>
      <c r="F1262" s="23">
        <f t="shared" si="65"/>
        <v>2.700631757383178</v>
      </c>
    </row>
    <row r="1263" spans="1:6" x14ac:dyDescent="0.3">
      <c r="A1263" s="2">
        <v>42340</v>
      </c>
      <c r="B1263" s="1">
        <v>29.07</v>
      </c>
      <c r="C1263" s="1">
        <v>676.01</v>
      </c>
      <c r="D1263" s="22">
        <f t="shared" si="63"/>
        <v>194.76788294219978</v>
      </c>
      <c r="E1263" s="23">
        <f t="shared" si="64"/>
        <v>-0.97833535379217551</v>
      </c>
      <c r="F1263" s="23">
        <f t="shared" si="65"/>
        <v>0.97833535379217551</v>
      </c>
    </row>
    <row r="1264" spans="1:6" x14ac:dyDescent="0.3">
      <c r="A1264" s="2">
        <v>42339</v>
      </c>
      <c r="B1264" s="1">
        <v>29.335000000000001</v>
      </c>
      <c r="C1264" s="1">
        <v>679.06010000000003</v>
      </c>
      <c r="D1264" s="22">
        <f t="shared" si="63"/>
        <v>195.74621829599195</v>
      </c>
      <c r="E1264" s="23">
        <f t="shared" si="64"/>
        <v>3.4738465274216992</v>
      </c>
      <c r="F1264" s="23">
        <f t="shared" si="65"/>
        <v>-3.4738465274216992</v>
      </c>
    </row>
    <row r="1265" spans="1:6" x14ac:dyDescent="0.3">
      <c r="A1265" s="2">
        <v>42338</v>
      </c>
      <c r="B1265" s="1">
        <v>29.574999999999999</v>
      </c>
      <c r="C1265" s="1">
        <v>664.8</v>
      </c>
      <c r="D1265" s="22">
        <f t="shared" si="63"/>
        <v>192.27237176857025</v>
      </c>
      <c r="E1265" s="23">
        <f t="shared" si="64"/>
        <v>-2.0756977932287839</v>
      </c>
      <c r="F1265" s="23">
        <f t="shared" si="65"/>
        <v>2.0756977932287839</v>
      </c>
    </row>
    <row r="1266" spans="1:6" x14ac:dyDescent="0.3">
      <c r="A1266" s="2">
        <v>42335</v>
      </c>
      <c r="B1266" s="1">
        <v>29.452500000000001</v>
      </c>
      <c r="C1266" s="1">
        <v>673.26</v>
      </c>
      <c r="D1266" s="22">
        <f t="shared" si="63"/>
        <v>194.34806956179904</v>
      </c>
      <c r="E1266" s="23">
        <f t="shared" si="64"/>
        <v>-0.57367991273730468</v>
      </c>
      <c r="F1266" s="23">
        <f t="shared" si="65"/>
        <v>0.57367991273730468</v>
      </c>
    </row>
    <row r="1267" spans="1:6" x14ac:dyDescent="0.3">
      <c r="A1267" s="2">
        <v>42334</v>
      </c>
      <c r="B1267" s="1">
        <v>29.5075</v>
      </c>
      <c r="C1267" s="1">
        <v>675.34010000000001</v>
      </c>
      <c r="D1267" s="22">
        <f t="shared" si="63"/>
        <v>194.92174947453634</v>
      </c>
      <c r="E1267" s="23">
        <f t="shared" si="64"/>
        <v>0</v>
      </c>
      <c r="F1267" s="23">
        <f t="shared" si="65"/>
        <v>0</v>
      </c>
    </row>
    <row r="1268" spans="1:6" x14ac:dyDescent="0.3">
      <c r="A1268" s="2">
        <v>42333</v>
      </c>
      <c r="B1268" s="1">
        <v>29.5075</v>
      </c>
      <c r="C1268" s="1">
        <v>675.34010000000001</v>
      </c>
      <c r="D1268" s="22">
        <f t="shared" si="63"/>
        <v>194.92174947453634</v>
      </c>
      <c r="E1268" s="23">
        <f t="shared" si="64"/>
        <v>0.91514409254278917</v>
      </c>
      <c r="F1268" s="23">
        <f t="shared" si="65"/>
        <v>-0.91514409254278917</v>
      </c>
    </row>
    <row r="1269" spans="1:6" x14ac:dyDescent="0.3">
      <c r="A1269" s="2">
        <v>42332</v>
      </c>
      <c r="B1269" s="1">
        <v>29.72</v>
      </c>
      <c r="C1269" s="1">
        <v>671.1499</v>
      </c>
      <c r="D1269" s="22">
        <f t="shared" si="63"/>
        <v>194.00660538199355</v>
      </c>
      <c r="E1269" s="23">
        <f t="shared" si="64"/>
        <v>-1.7979056388325034</v>
      </c>
      <c r="F1269" s="23">
        <f t="shared" si="65"/>
        <v>1.7979056388325034</v>
      </c>
    </row>
    <row r="1270" spans="1:6" x14ac:dyDescent="0.3">
      <c r="A1270" s="2">
        <v>42331</v>
      </c>
      <c r="B1270" s="1">
        <v>29.4375</v>
      </c>
      <c r="C1270" s="1">
        <v>678.99</v>
      </c>
      <c r="D1270" s="22">
        <f t="shared" si="63"/>
        <v>195.80451102082606</v>
      </c>
      <c r="E1270" s="23">
        <f t="shared" si="64"/>
        <v>2.4113122791153216</v>
      </c>
      <c r="F1270" s="23">
        <f t="shared" si="65"/>
        <v>-2.4113122791153216</v>
      </c>
    </row>
    <row r="1271" spans="1:6" x14ac:dyDescent="0.3">
      <c r="A1271" s="2">
        <v>42328</v>
      </c>
      <c r="B1271" s="1">
        <v>29.824999999999999</v>
      </c>
      <c r="C1271" s="1">
        <v>668.45</v>
      </c>
      <c r="D1271" s="22">
        <f t="shared" si="63"/>
        <v>193.39319874171073</v>
      </c>
      <c r="E1271" s="23">
        <f t="shared" si="64"/>
        <v>1.9356853413647457</v>
      </c>
      <c r="F1271" s="23">
        <f t="shared" si="65"/>
        <v>-1.9356853413647457</v>
      </c>
    </row>
    <row r="1272" spans="1:6" x14ac:dyDescent="0.3">
      <c r="A1272" s="2">
        <v>42327</v>
      </c>
      <c r="B1272" s="1">
        <v>29.695</v>
      </c>
      <c r="C1272" s="1">
        <v>661.27</v>
      </c>
      <c r="D1272" s="22">
        <f t="shared" si="63"/>
        <v>191.45751340034599</v>
      </c>
      <c r="E1272" s="23">
        <f t="shared" si="64"/>
        <v>-0.30431184603634165</v>
      </c>
      <c r="F1272" s="23">
        <f t="shared" si="65"/>
        <v>0.30431184603634165</v>
      </c>
    </row>
    <row r="1273" spans="1:6" x14ac:dyDescent="0.3">
      <c r="A1273" s="2">
        <v>42326</v>
      </c>
      <c r="B1273" s="1">
        <v>29.322500000000002</v>
      </c>
      <c r="C1273" s="1">
        <v>663.54</v>
      </c>
      <c r="D1273" s="22">
        <f t="shared" si="63"/>
        <v>191.76182524638233</v>
      </c>
      <c r="E1273" s="23">
        <f t="shared" si="64"/>
        <v>5.853468723687115</v>
      </c>
      <c r="F1273" s="23">
        <f t="shared" si="65"/>
        <v>-5.853468723687115</v>
      </c>
    </row>
    <row r="1274" spans="1:6" x14ac:dyDescent="0.3">
      <c r="A1274" s="2">
        <v>42325</v>
      </c>
      <c r="B1274" s="1">
        <v>28.422499999999999</v>
      </c>
      <c r="C1274" s="1">
        <v>643.29999999999995</v>
      </c>
      <c r="D1274" s="22">
        <f t="shared" si="63"/>
        <v>185.90835652269521</v>
      </c>
      <c r="E1274" s="23">
        <f t="shared" si="64"/>
        <v>-1.2453095595341495</v>
      </c>
      <c r="F1274" s="23">
        <f t="shared" si="65"/>
        <v>1.2453095595341495</v>
      </c>
    </row>
    <row r="1275" spans="1:6" x14ac:dyDescent="0.3">
      <c r="A1275" s="2">
        <v>42324</v>
      </c>
      <c r="B1275" s="1">
        <v>28.543700000000001</v>
      </c>
      <c r="C1275" s="1">
        <v>647.81010000000003</v>
      </c>
      <c r="D1275" s="22">
        <f t="shared" si="63"/>
        <v>187.15366608222936</v>
      </c>
      <c r="E1275" s="23">
        <f t="shared" si="64"/>
        <v>1.7396608649315795</v>
      </c>
      <c r="F1275" s="23">
        <f t="shared" si="65"/>
        <v>-1.7396608649315795</v>
      </c>
    </row>
    <row r="1276" spans="1:6" x14ac:dyDescent="0.3">
      <c r="A1276" s="2">
        <v>42321</v>
      </c>
      <c r="B1276" s="1">
        <v>28.085000000000001</v>
      </c>
      <c r="C1276" s="1">
        <v>642.3501</v>
      </c>
      <c r="D1276" s="22">
        <f t="shared" si="63"/>
        <v>185.41400521729778</v>
      </c>
      <c r="E1276" s="23">
        <f t="shared" si="64"/>
        <v>-6.5834936274152085</v>
      </c>
      <c r="F1276" s="23">
        <f t="shared" si="65"/>
        <v>6.5834936274152085</v>
      </c>
    </row>
    <row r="1277" spans="1:6" x14ac:dyDescent="0.3">
      <c r="A1277" s="2">
        <v>42320</v>
      </c>
      <c r="B1277" s="1">
        <v>28.93</v>
      </c>
      <c r="C1277" s="1">
        <v>665.6001</v>
      </c>
      <c r="D1277" s="22">
        <f t="shared" si="63"/>
        <v>191.99749884471299</v>
      </c>
      <c r="E1277" s="23">
        <f t="shared" si="64"/>
        <v>-2.0318628329252419</v>
      </c>
      <c r="F1277" s="23">
        <f t="shared" si="65"/>
        <v>2.0318628329252419</v>
      </c>
    </row>
    <row r="1278" spans="1:6" x14ac:dyDescent="0.3">
      <c r="A1278" s="2">
        <v>42319</v>
      </c>
      <c r="B1278" s="1">
        <v>29.0275</v>
      </c>
      <c r="C1278" s="1">
        <v>673.25</v>
      </c>
      <c r="D1278" s="22">
        <f t="shared" si="63"/>
        <v>194.02936167763824</v>
      </c>
      <c r="E1278" s="23">
        <f t="shared" si="64"/>
        <v>3.3529104584650895</v>
      </c>
      <c r="F1278" s="23">
        <f t="shared" si="65"/>
        <v>-3.3529104584650895</v>
      </c>
    </row>
    <row r="1279" spans="1:6" x14ac:dyDescent="0.3">
      <c r="A1279" s="2">
        <v>42318</v>
      </c>
      <c r="B1279" s="1">
        <v>29.192499999999999</v>
      </c>
      <c r="C1279" s="1">
        <v>659.67989999999998</v>
      </c>
      <c r="D1279" s="22">
        <f t="shared" si="63"/>
        <v>190.67645121917315</v>
      </c>
      <c r="E1279" s="23">
        <f t="shared" si="64"/>
        <v>0.36645987036604311</v>
      </c>
      <c r="F1279" s="23">
        <f t="shared" si="65"/>
        <v>-0.36645987036604311</v>
      </c>
    </row>
    <row r="1280" spans="1:6" x14ac:dyDescent="0.3">
      <c r="A1280" s="2">
        <v>42317</v>
      </c>
      <c r="B1280" s="1">
        <v>30.142499999999998</v>
      </c>
      <c r="C1280" s="1">
        <v>655.49</v>
      </c>
      <c r="D1280" s="22">
        <f t="shared" si="63"/>
        <v>190.3099913488071</v>
      </c>
      <c r="E1280" s="23">
        <f t="shared" si="64"/>
        <v>-1.0849174806683948</v>
      </c>
      <c r="F1280" s="23">
        <f t="shared" si="65"/>
        <v>1.0849174806683948</v>
      </c>
    </row>
    <row r="1281" spans="1:6" x14ac:dyDescent="0.3">
      <c r="A1281" s="2">
        <v>42314</v>
      </c>
      <c r="B1281" s="1">
        <v>30.265000000000001</v>
      </c>
      <c r="C1281" s="1">
        <v>659.37009999999998</v>
      </c>
      <c r="D1281" s="22">
        <f t="shared" si="63"/>
        <v>191.3949088294755</v>
      </c>
      <c r="E1281" s="23">
        <f t="shared" si="64"/>
        <v>0.97887398865211139</v>
      </c>
      <c r="F1281" s="23">
        <f t="shared" si="65"/>
        <v>-0.97887398865211139</v>
      </c>
    </row>
    <row r="1282" spans="1:6" x14ac:dyDescent="0.3">
      <c r="A1282" s="2">
        <v>42313</v>
      </c>
      <c r="B1282" s="1">
        <v>30.23</v>
      </c>
      <c r="C1282" s="1">
        <v>655.6499</v>
      </c>
      <c r="D1282" s="22">
        <f t="shared" si="63"/>
        <v>190.41603484082339</v>
      </c>
      <c r="E1282" s="23">
        <f t="shared" si="64"/>
        <v>3.5641743250632771</v>
      </c>
      <c r="F1282" s="23">
        <f t="shared" si="65"/>
        <v>-3.5641743250632771</v>
      </c>
    </row>
    <row r="1283" spans="1:6" x14ac:dyDescent="0.3">
      <c r="A1283" s="2">
        <v>42312</v>
      </c>
      <c r="B1283" s="1">
        <v>30.5</v>
      </c>
      <c r="C1283" s="1">
        <v>640.95000000000005</v>
      </c>
      <c r="D1283" s="22">
        <f t="shared" si="63"/>
        <v>186.85186051576011</v>
      </c>
      <c r="E1283" s="23">
        <f t="shared" si="64"/>
        <v>3.8997763590858199</v>
      </c>
      <c r="F1283" s="23">
        <f t="shared" si="65"/>
        <v>-3.8997763590858199</v>
      </c>
    </row>
    <row r="1284" spans="1:6" x14ac:dyDescent="0.3">
      <c r="A1284" s="2">
        <v>42311</v>
      </c>
      <c r="B1284" s="1">
        <v>30.642499999999998</v>
      </c>
      <c r="C1284" s="1">
        <v>625.31010000000003</v>
      </c>
      <c r="D1284" s="22">
        <f t="shared" si="63"/>
        <v>182.95208415667429</v>
      </c>
      <c r="E1284" s="23">
        <f t="shared" si="64"/>
        <v>-0.52012540338625968</v>
      </c>
      <c r="F1284" s="23">
        <f t="shared" si="65"/>
        <v>0.52012540338625968</v>
      </c>
    </row>
    <row r="1285" spans="1:6" x14ac:dyDescent="0.3">
      <c r="A1285" s="2">
        <v>42310</v>
      </c>
      <c r="B1285" s="1">
        <v>30.295000000000002</v>
      </c>
      <c r="C1285" s="1">
        <v>628.3501</v>
      </c>
      <c r="D1285" s="22">
        <f t="shared" si="63"/>
        <v>183.47220956006055</v>
      </c>
      <c r="E1285" s="23">
        <f t="shared" si="64"/>
        <v>0.9399861531969691</v>
      </c>
      <c r="F1285" s="23">
        <f t="shared" si="65"/>
        <v>-0.9399861531969691</v>
      </c>
    </row>
    <row r="1286" spans="1:6" x14ac:dyDescent="0.3">
      <c r="A1286" s="2">
        <v>42307</v>
      </c>
      <c r="B1286" s="1">
        <v>29.875</v>
      </c>
      <c r="C1286" s="1">
        <v>625.8999</v>
      </c>
      <c r="D1286" s="22">
        <f t="shared" ref="D1286:D1304" si="66">$M$16*B1286+(1-$M$16)*C1286</f>
        <v>182.53222340686358</v>
      </c>
      <c r="E1286" s="23">
        <f t="shared" ref="E1286:E1303" si="67">D1286-D1287</f>
        <v>-0.35805490283968311</v>
      </c>
      <c r="F1286" s="23">
        <f t="shared" ref="F1286:F1303" si="68">-E1286</f>
        <v>0.35805490283968311</v>
      </c>
    </row>
    <row r="1287" spans="1:6" x14ac:dyDescent="0.3">
      <c r="A1287" s="2">
        <v>42306</v>
      </c>
      <c r="B1287" s="1">
        <v>30.1325</v>
      </c>
      <c r="C1287" s="1">
        <v>626.54999999999995</v>
      </c>
      <c r="D1287" s="22">
        <f t="shared" si="66"/>
        <v>182.89027830970326</v>
      </c>
      <c r="E1287" s="23">
        <f t="shared" si="67"/>
        <v>2.654681563806065</v>
      </c>
      <c r="F1287" s="23">
        <f t="shared" si="68"/>
        <v>-2.654681563806065</v>
      </c>
    </row>
    <row r="1288" spans="1:6" x14ac:dyDescent="0.3">
      <c r="A1288" s="2">
        <v>42305</v>
      </c>
      <c r="B1288" s="1">
        <v>29.817499999999999</v>
      </c>
      <c r="C1288" s="1">
        <v>617.1001</v>
      </c>
      <c r="D1288" s="22">
        <f t="shared" si="66"/>
        <v>180.2355967458972</v>
      </c>
      <c r="E1288" s="23">
        <f t="shared" si="67"/>
        <v>2.4376022120049754</v>
      </c>
      <c r="F1288" s="23">
        <f t="shared" si="68"/>
        <v>-2.4376022120049754</v>
      </c>
    </row>
    <row r="1289" spans="1:6" x14ac:dyDescent="0.3">
      <c r="A1289" s="2">
        <v>42304</v>
      </c>
      <c r="B1289" s="1">
        <v>28.637499999999999</v>
      </c>
      <c r="C1289" s="1">
        <v>611.01</v>
      </c>
      <c r="D1289" s="22">
        <f t="shared" si="66"/>
        <v>177.79799453389222</v>
      </c>
      <c r="E1289" s="23">
        <f t="shared" si="67"/>
        <v>0.47891869865821945</v>
      </c>
      <c r="F1289" s="23">
        <f t="shared" si="68"/>
        <v>-0.47891869865821945</v>
      </c>
    </row>
    <row r="1290" spans="1:6" x14ac:dyDescent="0.3">
      <c r="A1290" s="2">
        <v>42303</v>
      </c>
      <c r="B1290" s="1">
        <v>28.82</v>
      </c>
      <c r="C1290" s="1">
        <v>608.61009999999999</v>
      </c>
      <c r="D1290" s="22">
        <f t="shared" si="66"/>
        <v>177.319075835234</v>
      </c>
      <c r="E1290" s="23">
        <f t="shared" si="67"/>
        <v>1.7470279734900487</v>
      </c>
      <c r="F1290" s="23">
        <f t="shared" si="68"/>
        <v>-1.7470279734900487</v>
      </c>
    </row>
    <row r="1291" spans="1:6" x14ac:dyDescent="0.3">
      <c r="A1291" s="2">
        <v>42300</v>
      </c>
      <c r="B1291" s="1">
        <v>29.77</v>
      </c>
      <c r="C1291" s="1">
        <v>599.03</v>
      </c>
      <c r="D1291" s="22">
        <f t="shared" si="66"/>
        <v>175.57204786174395</v>
      </c>
      <c r="E1291" s="23">
        <f t="shared" si="67"/>
        <v>9.6609235995379379</v>
      </c>
      <c r="F1291" s="23">
        <f t="shared" si="68"/>
        <v>-9.6609235995379379</v>
      </c>
    </row>
    <row r="1292" spans="1:6" x14ac:dyDescent="0.3">
      <c r="A1292" s="2">
        <v>42299</v>
      </c>
      <c r="B1292" s="1">
        <v>28.875</v>
      </c>
      <c r="C1292" s="1">
        <v>563.90989999999999</v>
      </c>
      <c r="D1292" s="22">
        <f t="shared" si="66"/>
        <v>165.91112426220602</v>
      </c>
      <c r="E1292" s="23">
        <f t="shared" si="67"/>
        <v>2.4084219839264165</v>
      </c>
      <c r="F1292" s="23">
        <f t="shared" si="68"/>
        <v>-2.4084219839264165</v>
      </c>
    </row>
    <row r="1293" spans="1:6" x14ac:dyDescent="0.3">
      <c r="A1293" s="2">
        <v>42298</v>
      </c>
      <c r="B1293" s="1">
        <v>28.44</v>
      </c>
      <c r="C1293" s="1">
        <v>555.77</v>
      </c>
      <c r="D1293" s="22">
        <f t="shared" si="66"/>
        <v>163.5027022782796</v>
      </c>
      <c r="E1293" s="23">
        <f t="shared" si="67"/>
        <v>-1.310635789005147</v>
      </c>
      <c r="F1293" s="23">
        <f t="shared" si="68"/>
        <v>1.310635789005147</v>
      </c>
    </row>
    <row r="1294" spans="1:6" x14ac:dyDescent="0.3">
      <c r="A1294" s="2">
        <v>42297</v>
      </c>
      <c r="B1294" s="1">
        <v>28.442499999999999</v>
      </c>
      <c r="C1294" s="1">
        <v>560.87990000000002</v>
      </c>
      <c r="D1294" s="22">
        <f t="shared" si="66"/>
        <v>164.81333806728475</v>
      </c>
      <c r="E1294" s="23">
        <f t="shared" si="67"/>
        <v>-2.7632849166867288</v>
      </c>
      <c r="F1294" s="23">
        <f t="shared" si="68"/>
        <v>2.7632849166867288</v>
      </c>
    </row>
    <row r="1295" spans="1:6" x14ac:dyDescent="0.3">
      <c r="A1295" s="2">
        <v>42296</v>
      </c>
      <c r="B1295" s="1">
        <v>27.932500000000001</v>
      </c>
      <c r="C1295" s="1">
        <v>573.1499</v>
      </c>
      <c r="D1295" s="22">
        <f t="shared" si="66"/>
        <v>167.57662298397148</v>
      </c>
      <c r="E1295" s="23">
        <f t="shared" si="67"/>
        <v>0.74043286183578516</v>
      </c>
      <c r="F1295" s="23">
        <f t="shared" si="68"/>
        <v>-0.74043286183578516</v>
      </c>
    </row>
    <row r="1296" spans="1:6" x14ac:dyDescent="0.3">
      <c r="A1296" s="2">
        <v>42293</v>
      </c>
      <c r="B1296" s="1">
        <v>27.76</v>
      </c>
      <c r="C1296" s="1">
        <v>570.76</v>
      </c>
      <c r="D1296" s="22">
        <f t="shared" si="66"/>
        <v>166.83619012213569</v>
      </c>
      <c r="E1296" s="23">
        <f t="shared" si="67"/>
        <v>1.9784961849175318</v>
      </c>
      <c r="F1296" s="23">
        <f t="shared" si="68"/>
        <v>-1.9784961849175318</v>
      </c>
    </row>
    <row r="1297" spans="1:6" x14ac:dyDescent="0.3">
      <c r="A1297" s="2">
        <v>42292</v>
      </c>
      <c r="B1297" s="1">
        <v>27.965</v>
      </c>
      <c r="C1297" s="1">
        <v>562.43989999999997</v>
      </c>
      <c r="D1297" s="22">
        <f t="shared" si="66"/>
        <v>164.85769393721816</v>
      </c>
      <c r="E1297" s="23">
        <f t="shared" si="67"/>
        <v>4.817168442702382</v>
      </c>
      <c r="F1297" s="23">
        <f t="shared" si="68"/>
        <v>-4.817168442702382</v>
      </c>
    </row>
    <row r="1298" spans="1:6" x14ac:dyDescent="0.3">
      <c r="A1298" s="2">
        <v>42291</v>
      </c>
      <c r="B1298" s="1">
        <v>27.552499999999998</v>
      </c>
      <c r="C1298" s="1">
        <v>544.83010000000002</v>
      </c>
      <c r="D1298" s="22">
        <f t="shared" si="66"/>
        <v>160.04052549451578</v>
      </c>
      <c r="E1298" s="23">
        <f t="shared" si="67"/>
        <v>-1.3362102826166051</v>
      </c>
      <c r="F1298" s="23">
        <f t="shared" si="68"/>
        <v>1.3362102826166051</v>
      </c>
    </row>
    <row r="1299" spans="1:6" x14ac:dyDescent="0.3">
      <c r="A1299" s="2">
        <v>42290</v>
      </c>
      <c r="B1299" s="1">
        <v>27.947500000000002</v>
      </c>
      <c r="C1299" s="1">
        <v>548.8999</v>
      </c>
      <c r="D1299" s="22">
        <f t="shared" si="66"/>
        <v>161.37673577713238</v>
      </c>
      <c r="E1299" s="23">
        <f t="shared" si="67"/>
        <v>-0.29506796369861377</v>
      </c>
      <c r="F1299" s="23">
        <f t="shared" si="68"/>
        <v>0.29506796369861377</v>
      </c>
    </row>
    <row r="1300" spans="1:6" x14ac:dyDescent="0.3">
      <c r="A1300" s="2">
        <v>42289</v>
      </c>
      <c r="B1300" s="1">
        <v>27.9</v>
      </c>
      <c r="C1300" s="1">
        <v>550.18989999999997</v>
      </c>
      <c r="D1300" s="22">
        <f t="shared" si="66"/>
        <v>161.671803740831</v>
      </c>
      <c r="E1300" s="23">
        <f t="shared" si="67"/>
        <v>2.5644154925706175</v>
      </c>
      <c r="F1300" s="23">
        <f t="shared" si="68"/>
        <v>-2.5644154925706175</v>
      </c>
    </row>
    <row r="1301" spans="1:6" x14ac:dyDescent="0.3">
      <c r="A1301" s="2">
        <v>42286</v>
      </c>
      <c r="B1301" s="1">
        <v>28.03</v>
      </c>
      <c r="C1301" s="1">
        <v>539.79999999999995</v>
      </c>
      <c r="D1301" s="22">
        <f t="shared" si="66"/>
        <v>159.10738824826038</v>
      </c>
      <c r="E1301" s="23">
        <f t="shared" si="67"/>
        <v>2.1879372108655559</v>
      </c>
      <c r="F1301" s="23">
        <f t="shared" si="68"/>
        <v>-2.1879372108655559</v>
      </c>
    </row>
    <row r="1302" spans="1:6" x14ac:dyDescent="0.3">
      <c r="A1302" s="2">
        <v>42285</v>
      </c>
      <c r="B1302" s="1">
        <v>27.375</v>
      </c>
      <c r="C1302" s="1">
        <v>533.15989999999999</v>
      </c>
      <c r="D1302" s="22">
        <f t="shared" si="66"/>
        <v>156.91945103739482</v>
      </c>
      <c r="E1302" s="23">
        <f t="shared" si="67"/>
        <v>-2.4868224096377105</v>
      </c>
      <c r="F1302" s="23">
        <f t="shared" si="68"/>
        <v>2.4868224096377105</v>
      </c>
    </row>
    <row r="1303" spans="1:6" x14ac:dyDescent="0.3">
      <c r="A1303" s="2">
        <v>42284</v>
      </c>
      <c r="B1303" s="1">
        <v>27.695</v>
      </c>
      <c r="C1303" s="1">
        <v>541.93989999999997</v>
      </c>
      <c r="D1303" s="22">
        <f t="shared" si="66"/>
        <v>159.40627344703253</v>
      </c>
      <c r="E1303" s="23">
        <f t="shared" si="67"/>
        <v>1.0437311151324025</v>
      </c>
      <c r="F1303" s="23">
        <f t="shared" si="68"/>
        <v>-1.0437311151324025</v>
      </c>
    </row>
    <row r="1304" spans="1:6" x14ac:dyDescent="0.3">
      <c r="A1304" s="2"/>
      <c r="B1304" s="1">
        <v>27.827500000000001</v>
      </c>
      <c r="C1304" s="1">
        <v>537.48</v>
      </c>
      <c r="D1304" s="22">
        <f t="shared" si="66"/>
        <v>158.36254233190013</v>
      </c>
    </row>
  </sheetData>
  <mergeCells count="2">
    <mergeCell ref="H3:R3"/>
    <mergeCell ref="H6:I6"/>
  </mergeCells>
  <dataValidations count="1">
    <dataValidation allowBlank="1" showErrorMessage="1" promptTitle="TRAFO" prompt="$A$1:$D$1310" sqref="A1" xr:uid="{4674BDF2-8D8D-464D-9274-E180D92F4578}"/>
  </dataValidation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E1FD-EA24-4860-B9D8-1CE0358D1F38}">
  <dimension ref="A1:AB1304"/>
  <sheetViews>
    <sheetView topLeftCell="A4" zoomScale="70" zoomScaleNormal="70" workbookViewId="0">
      <selection activeCell="M11" sqref="M11"/>
    </sheetView>
  </sheetViews>
  <sheetFormatPr defaultColWidth="8.77734375" defaultRowHeight="14.4" x14ac:dyDescent="0.3"/>
  <cols>
    <col min="1" max="3" width="18.6640625" style="1" customWidth="1"/>
    <col min="4" max="4" width="28.6640625" style="6" customWidth="1"/>
    <col min="5" max="5" width="18.33203125" style="4" customWidth="1"/>
    <col min="6" max="6" width="10.44140625" style="4" customWidth="1"/>
    <col min="8" max="9" width="13.6640625" customWidth="1"/>
    <col min="10" max="10" width="24.33203125" bestFit="1" customWidth="1"/>
    <col min="12" max="12" width="19.33203125" bestFit="1" customWidth="1"/>
    <col min="13" max="13" width="9.88671875" bestFit="1" customWidth="1"/>
  </cols>
  <sheetData>
    <row r="1" spans="1:28" x14ac:dyDescent="0.3">
      <c r="A1" s="1" t="e">
        <f ca="1">_xll.Thomson.Reuters.AFOSpreadsheetFormulas.DSGRID("@AAPL,@AMZN,@FB"," ","-5Y","","D","RowHeader=true;ColHeader=true;Heading=true;LatestFirstValue=true;DispSeriesDescription=false;YearlyTSFormat=false;QuarterlyTSFormat=false","")</f>
        <v>#NAME?</v>
      </c>
      <c r="B1" s="2">
        <v>42283</v>
      </c>
    </row>
    <row r="2" spans="1:28" x14ac:dyDescent="0.3">
      <c r="A2" s="1" t="s">
        <v>0</v>
      </c>
      <c r="B2" s="2">
        <v>44110</v>
      </c>
    </row>
    <row r="3" spans="1:28" x14ac:dyDescent="0.3">
      <c r="A3" s="1" t="s">
        <v>1</v>
      </c>
      <c r="B3" s="1" t="s">
        <v>2</v>
      </c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1:28" x14ac:dyDescent="0.3">
      <c r="A4" s="10" t="s">
        <v>3</v>
      </c>
      <c r="B4" s="10" t="s">
        <v>4</v>
      </c>
      <c r="C4" s="10" t="str">
        <f>'Historical Simulation'!D4</f>
        <v>FACEBOOK CLASS A</v>
      </c>
      <c r="D4" s="11" t="s">
        <v>15</v>
      </c>
      <c r="E4" s="12" t="s">
        <v>7</v>
      </c>
      <c r="F4" s="12" t="s">
        <v>8</v>
      </c>
    </row>
    <row r="5" spans="1:28" x14ac:dyDescent="0.3">
      <c r="A5" s="2">
        <v>44110</v>
      </c>
      <c r="B5" s="1">
        <v>113.16</v>
      </c>
      <c r="C5" s="1">
        <f>'Historical Simulation'!D5</f>
        <v>258.65989999999999</v>
      </c>
      <c r="D5" s="22">
        <f>$M$16*B5+(1-$M$16)*C5</f>
        <v>1081.0307803553974</v>
      </c>
      <c r="E5" s="23">
        <f>D5-D6</f>
        <v>-20.967899180286622</v>
      </c>
      <c r="F5" s="23">
        <f>-E5</f>
        <v>20.967899180286622</v>
      </c>
      <c r="G5" s="13"/>
      <c r="H5" s="14"/>
      <c r="I5" s="14"/>
      <c r="J5" s="1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3">
      <c r="A6" s="2">
        <v>44109</v>
      </c>
      <c r="B6" s="1">
        <v>116.5</v>
      </c>
      <c r="C6" s="1">
        <f>'Historical Simulation'!D6</f>
        <v>264.6499</v>
      </c>
      <c r="D6" s="22">
        <f t="shared" ref="D6:D69" si="0">$M$16*B6+(1-$M$16)*C6</f>
        <v>1101.998679535684</v>
      </c>
      <c r="E6" s="23">
        <f t="shared" ref="E6:E69" si="1">D6-D7</f>
        <v>11.662006034623573</v>
      </c>
      <c r="F6" s="23">
        <f t="shared" ref="F6:F69" si="2">-E6</f>
        <v>-11.662006034623573</v>
      </c>
      <c r="G6" s="13"/>
      <c r="H6" s="56" t="s">
        <v>10</v>
      </c>
      <c r="I6" s="56"/>
      <c r="J6" s="13"/>
    </row>
    <row r="7" spans="1:28" x14ac:dyDescent="0.3">
      <c r="A7" s="2">
        <v>44106</v>
      </c>
      <c r="B7" s="1">
        <v>113.02</v>
      </c>
      <c r="C7" s="1">
        <f>'Historical Simulation'!D7</f>
        <v>259.93990000000002</v>
      </c>
      <c r="D7" s="22">
        <f t="shared" si="0"/>
        <v>1090.3366735010604</v>
      </c>
      <c r="E7" s="23">
        <f t="shared" si="1"/>
        <v>-23.19394928544807</v>
      </c>
      <c r="F7" s="23">
        <f t="shared" si="2"/>
        <v>23.19394928544807</v>
      </c>
      <c r="G7" s="13"/>
      <c r="H7" s="13">
        <v>1</v>
      </c>
      <c r="I7" s="14">
        <f>COUNTIF($F:$F,"&gt;"&amp;H7)/COUNT(F:F)</f>
        <v>0.43110084680523481</v>
      </c>
      <c r="J7" s="13"/>
    </row>
    <row r="8" spans="1:28" x14ac:dyDescent="0.3">
      <c r="A8" s="2">
        <v>44105</v>
      </c>
      <c r="B8" s="1">
        <v>116.79</v>
      </c>
      <c r="C8" s="1">
        <f>'Historical Simulation'!D8</f>
        <v>266.62990000000002</v>
      </c>
      <c r="D8" s="22">
        <f t="shared" si="0"/>
        <v>1113.5306227865085</v>
      </c>
      <c r="E8" s="23">
        <f t="shared" si="1"/>
        <v>25.925140349462708</v>
      </c>
      <c r="F8" s="23">
        <f t="shared" si="2"/>
        <v>-25.925140349462708</v>
      </c>
      <c r="G8" s="13"/>
      <c r="H8" s="13">
        <v>2</v>
      </c>
      <c r="I8" s="14">
        <f t="shared" ref="I8:I52" si="3">COUNTIF($F:$F,"&gt;"&amp;H8)/COUNT(F:F)</f>
        <v>0.38953040800615857</v>
      </c>
      <c r="J8" s="13"/>
    </row>
    <row r="9" spans="1:28" x14ac:dyDescent="0.3">
      <c r="A9" s="2">
        <v>44104</v>
      </c>
      <c r="B9" s="1">
        <v>115.81</v>
      </c>
      <c r="C9" s="1">
        <f>'Historical Simulation'!D9</f>
        <v>261.8999</v>
      </c>
      <c r="D9" s="22">
        <f t="shared" si="0"/>
        <v>1087.6054824370458</v>
      </c>
      <c r="E9" s="23">
        <f t="shared" si="1"/>
        <v>-8.990445460445244</v>
      </c>
      <c r="F9" s="23">
        <f t="shared" si="2"/>
        <v>8.990445460445244</v>
      </c>
      <c r="G9" s="13"/>
      <c r="H9" s="13">
        <v>3</v>
      </c>
      <c r="I9" s="14">
        <f t="shared" si="3"/>
        <v>0.35334872979214782</v>
      </c>
      <c r="J9" s="13"/>
    </row>
    <row r="10" spans="1:28" x14ac:dyDescent="0.3">
      <c r="A10" s="2">
        <v>44103</v>
      </c>
      <c r="B10" s="1">
        <v>114.09</v>
      </c>
      <c r="C10" s="1">
        <f>'Historical Simulation'!D10</f>
        <v>261.79000000000002</v>
      </c>
      <c r="D10" s="22">
        <f t="shared" si="0"/>
        <v>1096.595927897491</v>
      </c>
      <c r="E10" s="23">
        <f t="shared" si="1"/>
        <v>37.977233367153076</v>
      </c>
      <c r="F10" s="23">
        <f t="shared" si="2"/>
        <v>-37.977233367153076</v>
      </c>
      <c r="G10" s="13"/>
      <c r="H10" s="13">
        <v>4</v>
      </c>
      <c r="I10" s="14">
        <f t="shared" si="3"/>
        <v>0.32101616628175522</v>
      </c>
      <c r="J10" s="13"/>
      <c r="L10" t="s">
        <v>42</v>
      </c>
      <c r="M10">
        <f>'Punto 3'!M16*'Historical Simulation'!AC5+'Punto 3'!N16*'Historical Simulation'!AE5</f>
        <v>-8.5432399665981602E-4</v>
      </c>
    </row>
    <row r="11" spans="1:28" x14ac:dyDescent="0.3">
      <c r="A11" s="2">
        <v>44102</v>
      </c>
      <c r="B11" s="1">
        <v>114.96</v>
      </c>
      <c r="C11" s="1">
        <f>'Historical Simulation'!D11</f>
        <v>256.82010000000002</v>
      </c>
      <c r="D11" s="22">
        <f t="shared" si="0"/>
        <v>1058.618694530338</v>
      </c>
      <c r="E11" s="23">
        <f t="shared" si="1"/>
        <v>-1.8427202462930836</v>
      </c>
      <c r="F11" s="23">
        <f t="shared" si="2"/>
        <v>1.8427202462930836</v>
      </c>
      <c r="G11" s="13"/>
      <c r="H11" s="13">
        <v>5</v>
      </c>
      <c r="I11" s="14">
        <f t="shared" si="3"/>
        <v>0.30331023864511164</v>
      </c>
      <c r="J11" s="13"/>
    </row>
    <row r="12" spans="1:28" x14ac:dyDescent="0.3">
      <c r="A12" s="2">
        <v>44099</v>
      </c>
      <c r="B12" s="1">
        <v>112.28</v>
      </c>
      <c r="C12" s="1">
        <f>'Historical Simulation'!D12</f>
        <v>254.82</v>
      </c>
      <c r="D12" s="22">
        <f t="shared" si="0"/>
        <v>1060.461414776631</v>
      </c>
      <c r="E12" s="23">
        <f t="shared" si="1"/>
        <v>12.2420060346235</v>
      </c>
      <c r="F12" s="23">
        <f t="shared" si="2"/>
        <v>-12.2420060346235</v>
      </c>
      <c r="G12" s="13"/>
      <c r="H12" s="13">
        <v>6</v>
      </c>
      <c r="I12" s="14">
        <f t="shared" si="3"/>
        <v>0.27251732101616627</v>
      </c>
      <c r="J12" s="13"/>
    </row>
    <row r="13" spans="1:28" x14ac:dyDescent="0.3">
      <c r="A13" s="2">
        <v>44098</v>
      </c>
      <c r="B13" s="1">
        <v>108.22</v>
      </c>
      <c r="C13" s="1">
        <f>'Historical Simulation'!D13</f>
        <v>249.53</v>
      </c>
      <c r="D13" s="22">
        <f t="shared" si="0"/>
        <v>1048.2194087420075</v>
      </c>
      <c r="E13" s="23">
        <f t="shared" si="1"/>
        <v>-2.824702081648411</v>
      </c>
      <c r="F13" s="23">
        <f t="shared" si="2"/>
        <v>2.824702081648411</v>
      </c>
      <c r="G13" s="13"/>
      <c r="H13" s="13">
        <v>7</v>
      </c>
      <c r="I13" s="14">
        <f t="shared" si="3"/>
        <v>0.25096227867590454</v>
      </c>
      <c r="J13" s="13"/>
    </row>
    <row r="14" spans="1:28" x14ac:dyDescent="0.3">
      <c r="A14" s="2">
        <v>44097</v>
      </c>
      <c r="B14" s="1">
        <v>107.12</v>
      </c>
      <c r="C14" s="1">
        <f>'Historical Simulation'!D14</f>
        <v>249.02</v>
      </c>
      <c r="D14" s="22">
        <f t="shared" si="0"/>
        <v>1051.044110823656</v>
      </c>
      <c r="E14" s="23">
        <f t="shared" si="1"/>
        <v>-11.608118923584243</v>
      </c>
      <c r="F14" s="23">
        <f t="shared" si="2"/>
        <v>11.608118923584243</v>
      </c>
      <c r="G14" s="13"/>
      <c r="H14" s="13">
        <v>8</v>
      </c>
      <c r="I14" s="14">
        <f t="shared" si="3"/>
        <v>0.22632794457274827</v>
      </c>
      <c r="J14" s="13"/>
    </row>
    <row r="15" spans="1:28" x14ac:dyDescent="0.3">
      <c r="A15" s="2">
        <v>44096</v>
      </c>
      <c r="B15" s="1">
        <v>111.81</v>
      </c>
      <c r="C15" s="1">
        <f>'Historical Simulation'!D15</f>
        <v>254.75</v>
      </c>
      <c r="D15" s="22">
        <f t="shared" si="0"/>
        <v>1062.6522297472402</v>
      </c>
      <c r="E15" s="23">
        <f t="shared" si="1"/>
        <v>34.125422267168233</v>
      </c>
      <c r="F15" s="23">
        <f t="shared" si="2"/>
        <v>-34.125422267168233</v>
      </c>
      <c r="G15" s="13"/>
      <c r="H15" s="13">
        <v>9</v>
      </c>
      <c r="I15" s="14">
        <f t="shared" si="3"/>
        <v>0.20785219399538107</v>
      </c>
      <c r="J15" s="13"/>
    </row>
    <row r="16" spans="1:28" x14ac:dyDescent="0.3">
      <c r="A16" s="2">
        <v>44095</v>
      </c>
      <c r="B16" s="1">
        <v>110.08</v>
      </c>
      <c r="C16" s="1">
        <f>'Historical Simulation'!D16</f>
        <v>248.15</v>
      </c>
      <c r="D16" s="22">
        <f t="shared" si="0"/>
        <v>1028.526807480072</v>
      </c>
      <c r="E16" s="23">
        <f t="shared" si="1"/>
        <v>-47.448525190107375</v>
      </c>
      <c r="F16" s="23">
        <f t="shared" si="2"/>
        <v>47.448525190107375</v>
      </c>
      <c r="G16" s="13"/>
      <c r="H16" s="13">
        <v>10</v>
      </c>
      <c r="I16" s="14">
        <f t="shared" si="3"/>
        <v>0.18937644341801385</v>
      </c>
      <c r="J16" s="13"/>
      <c r="L16" s="5" t="s">
        <v>16</v>
      </c>
      <c r="M16" s="8">
        <v>-5.6520374265232984</v>
      </c>
      <c r="N16">
        <f>1-M16</f>
        <v>6.6520374265232984</v>
      </c>
    </row>
    <row r="17" spans="1:13" x14ac:dyDescent="0.3">
      <c r="A17" s="2">
        <v>44092</v>
      </c>
      <c r="B17" s="1">
        <v>106.84</v>
      </c>
      <c r="C17" s="1">
        <f>'Historical Simulation'!D17</f>
        <v>252.53</v>
      </c>
      <c r="D17" s="22">
        <f t="shared" si="0"/>
        <v>1075.9753326701793</v>
      </c>
      <c r="E17" s="23">
        <f t="shared" si="1"/>
        <v>4.5489652860933347</v>
      </c>
      <c r="F17" s="23">
        <f t="shared" si="2"/>
        <v>-4.5489652860933347</v>
      </c>
      <c r="G17" s="13"/>
      <c r="H17" s="13">
        <v>11</v>
      </c>
      <c r="I17" s="14">
        <f t="shared" si="3"/>
        <v>0.17782909930715934</v>
      </c>
      <c r="J17" s="13"/>
      <c r="L17" s="9" t="s">
        <v>11</v>
      </c>
      <c r="M17" s="21">
        <v>28</v>
      </c>
    </row>
    <row r="18" spans="1:13" x14ac:dyDescent="0.3">
      <c r="A18" s="2">
        <v>44091</v>
      </c>
      <c r="B18" s="1">
        <v>110.34</v>
      </c>
      <c r="C18" s="1">
        <f>'Historical Simulation'!D18</f>
        <v>254.82</v>
      </c>
      <c r="D18" s="22">
        <f t="shared" si="0"/>
        <v>1071.426367384086</v>
      </c>
      <c r="E18" s="23">
        <f t="shared" si="1"/>
        <v>-47.755578617276115</v>
      </c>
      <c r="F18" s="23">
        <f t="shared" si="2"/>
        <v>47.755578617276115</v>
      </c>
      <c r="G18" s="13"/>
      <c r="H18" s="13">
        <v>12</v>
      </c>
      <c r="I18" s="14">
        <f t="shared" si="3"/>
        <v>0.1608929946112394</v>
      </c>
      <c r="J18" s="13"/>
    </row>
    <row r="19" spans="1:13" x14ac:dyDescent="0.3">
      <c r="A19" s="2">
        <v>44090</v>
      </c>
      <c r="B19" s="1">
        <v>112.13</v>
      </c>
      <c r="C19" s="1">
        <f>'Historical Simulation'!D19</f>
        <v>263.52</v>
      </c>
      <c r="D19" s="22">
        <f t="shared" si="0"/>
        <v>1119.1819460013621</v>
      </c>
      <c r="E19" s="23">
        <f t="shared" si="1"/>
        <v>-39.929020267870101</v>
      </c>
      <c r="F19" s="23">
        <f t="shared" si="2"/>
        <v>39.929020267870101</v>
      </c>
      <c r="G19" s="13"/>
      <c r="H19" s="13">
        <v>13</v>
      </c>
      <c r="I19" s="14">
        <f t="shared" si="3"/>
        <v>0.14934565050038492</v>
      </c>
      <c r="J19" s="13"/>
    </row>
    <row r="20" spans="1:13" x14ac:dyDescent="0.3">
      <c r="A20" s="2">
        <v>44089</v>
      </c>
      <c r="B20" s="1">
        <v>115.54</v>
      </c>
      <c r="C20" s="1">
        <f>'Historical Simulation'!D20</f>
        <v>272.41989999999998</v>
      </c>
      <c r="D20" s="22">
        <f t="shared" si="0"/>
        <v>1159.1109662692322</v>
      </c>
      <c r="E20" s="23">
        <f t="shared" si="1"/>
        <v>40.66264774039405</v>
      </c>
      <c r="F20" s="23">
        <f t="shared" si="2"/>
        <v>-40.66264774039405</v>
      </c>
      <c r="G20" s="13"/>
      <c r="H20" s="13">
        <v>14</v>
      </c>
      <c r="I20" s="14">
        <f t="shared" si="3"/>
        <v>0.1447267128560431</v>
      </c>
      <c r="J20" s="20"/>
    </row>
    <row r="21" spans="1:13" x14ac:dyDescent="0.3">
      <c r="A21" s="2">
        <v>44088</v>
      </c>
      <c r="B21" s="1">
        <v>115.355</v>
      </c>
      <c r="C21" s="1">
        <f>'Historical Simulation'!D21</f>
        <v>266.1499</v>
      </c>
      <c r="D21" s="22">
        <f t="shared" si="0"/>
        <v>1118.4483185288382</v>
      </c>
      <c r="E21" s="23">
        <f t="shared" si="1"/>
        <v>-22.023853189671627</v>
      </c>
      <c r="F21" s="23">
        <f t="shared" si="2"/>
        <v>22.023853189671627</v>
      </c>
      <c r="G21" s="13"/>
      <c r="H21" s="13">
        <v>15</v>
      </c>
      <c r="I21" s="14">
        <f t="shared" si="3"/>
        <v>0.13471901462663588</v>
      </c>
      <c r="J21" s="20"/>
    </row>
    <row r="22" spans="1:13" x14ac:dyDescent="0.3">
      <c r="A22" s="2">
        <v>44085</v>
      </c>
      <c r="B22" s="1">
        <v>112</v>
      </c>
      <c r="C22" s="1">
        <f>'Historical Simulation'!D22</f>
        <v>266.61009999999999</v>
      </c>
      <c r="D22" s="22">
        <f t="shared" si="0"/>
        <v>1140.4721717185098</v>
      </c>
      <c r="E22" s="23">
        <f t="shared" si="1"/>
        <v>-1.4234796257348989</v>
      </c>
      <c r="F22" s="23">
        <f t="shared" si="2"/>
        <v>1.4234796257348989</v>
      </c>
      <c r="G22" s="13"/>
      <c r="H22" s="13">
        <v>16</v>
      </c>
      <c r="I22" s="14">
        <f t="shared" si="3"/>
        <v>0.12548113933795227</v>
      </c>
      <c r="J22" s="13"/>
    </row>
    <row r="23" spans="1:13" x14ac:dyDescent="0.3">
      <c r="A23" s="2">
        <v>44084</v>
      </c>
      <c r="B23" s="1">
        <v>113.49</v>
      </c>
      <c r="C23" s="1">
        <f>'Historical Simulation'!D23</f>
        <v>268.09010000000001</v>
      </c>
      <c r="D23" s="22">
        <f t="shared" si="0"/>
        <v>1141.8956513442447</v>
      </c>
      <c r="E23" s="23">
        <f t="shared" si="1"/>
        <v>-15.803002163999508</v>
      </c>
      <c r="F23" s="23">
        <f t="shared" si="2"/>
        <v>15.803002163999508</v>
      </c>
      <c r="G23" s="13"/>
      <c r="H23" s="13">
        <v>17</v>
      </c>
      <c r="I23" s="14">
        <f t="shared" si="3"/>
        <v>0.11316397228637413</v>
      </c>
      <c r="J23" s="13"/>
    </row>
    <row r="24" spans="1:13" x14ac:dyDescent="0.3">
      <c r="A24" s="2">
        <v>44083</v>
      </c>
      <c r="B24" s="1">
        <v>117.32</v>
      </c>
      <c r="C24" s="1">
        <f>'Historical Simulation'!D24</f>
        <v>273.72000000000003</v>
      </c>
      <c r="D24" s="22">
        <f t="shared" si="0"/>
        <v>1157.6986535082442</v>
      </c>
      <c r="E24" s="23">
        <f t="shared" si="1"/>
        <v>-8.4042874037122601</v>
      </c>
      <c r="F24" s="23">
        <f t="shared" si="2"/>
        <v>8.4042874037122601</v>
      </c>
      <c r="G24" s="13"/>
      <c r="H24" s="13">
        <v>18</v>
      </c>
      <c r="I24" s="14">
        <f t="shared" si="3"/>
        <v>0.10700538876058506</v>
      </c>
      <c r="J24" s="13"/>
    </row>
    <row r="25" spans="1:13" x14ac:dyDescent="0.3">
      <c r="A25" s="2">
        <v>44082</v>
      </c>
      <c r="B25" s="1">
        <v>112.82</v>
      </c>
      <c r="C25" s="1">
        <f>'Historical Simulation'!D25</f>
        <v>271.15989999999999</v>
      </c>
      <c r="D25" s="22">
        <f t="shared" si="0"/>
        <v>1166.1029409119565</v>
      </c>
      <c r="E25" s="23">
        <f t="shared" si="1"/>
        <v>-30.957153576717701</v>
      </c>
      <c r="F25" s="23">
        <f t="shared" si="2"/>
        <v>30.957153576717701</v>
      </c>
      <c r="G25" s="13"/>
      <c r="H25" s="13">
        <v>19</v>
      </c>
      <c r="I25" s="14">
        <f t="shared" si="3"/>
        <v>0.100846805234796</v>
      </c>
      <c r="J25" s="13"/>
    </row>
    <row r="26" spans="1:13" x14ac:dyDescent="0.3">
      <c r="A26" s="2">
        <v>44078</v>
      </c>
      <c r="B26" s="1">
        <v>120.96</v>
      </c>
      <c r="C26" s="1">
        <f>'Historical Simulation'!D26</f>
        <v>282.73</v>
      </c>
      <c r="D26" s="22">
        <f t="shared" si="0"/>
        <v>1197.0600944886742</v>
      </c>
      <c r="E26" s="23">
        <f t="shared" si="1"/>
        <v>-56.263422206394807</v>
      </c>
      <c r="F26" s="23">
        <f t="shared" si="2"/>
        <v>56.263422206394807</v>
      </c>
      <c r="G26" s="13"/>
      <c r="H26" s="13">
        <v>20</v>
      </c>
      <c r="I26" s="14">
        <f t="shared" si="3"/>
        <v>9.5458044649730567E-2</v>
      </c>
      <c r="J26" s="13"/>
    </row>
    <row r="27" spans="1:13" x14ac:dyDescent="0.3">
      <c r="A27" s="2">
        <v>44077</v>
      </c>
      <c r="B27" s="1">
        <v>120.88</v>
      </c>
      <c r="C27" s="1">
        <f>'Historical Simulation'!D27</f>
        <v>291.12009999999998</v>
      </c>
      <c r="D27" s="22">
        <f t="shared" si="0"/>
        <v>1253.323516695069</v>
      </c>
      <c r="E27" s="23">
        <f t="shared" si="1"/>
        <v>-16.240086983067386</v>
      </c>
      <c r="F27" s="23">
        <f t="shared" si="2"/>
        <v>16.240086983067386</v>
      </c>
      <c r="G27" s="13"/>
      <c r="H27" s="13">
        <v>21</v>
      </c>
      <c r="I27" s="14">
        <f t="shared" si="3"/>
        <v>8.8529638183217865E-2</v>
      </c>
      <c r="J27" s="13"/>
    </row>
    <row r="28" spans="1:13" x14ac:dyDescent="0.3">
      <c r="A28" s="2">
        <v>44076</v>
      </c>
      <c r="B28" s="1">
        <v>131.4</v>
      </c>
      <c r="C28" s="1">
        <f>'Historical Simulation'!D28</f>
        <v>302.5</v>
      </c>
      <c r="D28" s="22">
        <f t="shared" si="0"/>
        <v>1269.5636036781364</v>
      </c>
      <c r="E28" s="23">
        <f t="shared" si="1"/>
        <v>62.676713480731678</v>
      </c>
      <c r="F28" s="23">
        <f t="shared" si="2"/>
        <v>-62.676713480731678</v>
      </c>
      <c r="G28" s="13"/>
      <c r="H28" s="13">
        <v>22</v>
      </c>
      <c r="I28" s="14">
        <f t="shared" si="3"/>
        <v>8.5450346420323328E-2</v>
      </c>
      <c r="J28" s="13"/>
    </row>
    <row r="29" spans="1:13" x14ac:dyDescent="0.3">
      <c r="A29" s="2">
        <v>44075</v>
      </c>
      <c r="B29" s="1">
        <v>134.18</v>
      </c>
      <c r="C29" s="1">
        <f>'Historical Simulation'!D29</f>
        <v>295.43990000000002</v>
      </c>
      <c r="D29" s="22">
        <f t="shared" si="0"/>
        <v>1206.8868901974047</v>
      </c>
      <c r="E29" s="23">
        <f t="shared" si="1"/>
        <v>-14.151573740659842</v>
      </c>
      <c r="F29" s="23">
        <f t="shared" si="2"/>
        <v>14.151573740659842</v>
      </c>
      <c r="G29" s="13"/>
      <c r="H29" s="13">
        <v>23</v>
      </c>
      <c r="I29" s="14">
        <f t="shared" si="3"/>
        <v>7.2363356428021552E-2</v>
      </c>
      <c r="J29" s="13"/>
    </row>
    <row r="30" spans="1:13" x14ac:dyDescent="0.3">
      <c r="A30" s="2">
        <v>44074</v>
      </c>
      <c r="B30" s="1">
        <v>129.04</v>
      </c>
      <c r="C30" s="1">
        <f>'Historical Simulation'!D30</f>
        <v>293.2</v>
      </c>
      <c r="D30" s="22">
        <f t="shared" si="0"/>
        <v>1221.0384639380645</v>
      </c>
      <c r="E30" s="23">
        <f t="shared" si="1"/>
        <v>-26.981520420218203</v>
      </c>
      <c r="F30" s="23">
        <f t="shared" si="2"/>
        <v>26.981520420218203</v>
      </c>
      <c r="G30" s="13"/>
      <c r="H30" s="13">
        <v>24</v>
      </c>
      <c r="I30" s="14">
        <f t="shared" si="3"/>
        <v>6.6974595842956119E-2</v>
      </c>
      <c r="J30" s="13"/>
    </row>
    <row r="31" spans="1:13" x14ac:dyDescent="0.3">
      <c r="A31" s="2">
        <v>44071</v>
      </c>
      <c r="B31" s="1">
        <v>124.8075</v>
      </c>
      <c r="C31" s="1">
        <f>'Historical Simulation'!D31</f>
        <v>293.65989999999999</v>
      </c>
      <c r="D31" s="22">
        <f t="shared" si="0"/>
        <v>1248.0199843582827</v>
      </c>
      <c r="E31" s="23">
        <f t="shared" si="1"/>
        <v>4.0707688427983157</v>
      </c>
      <c r="F31" s="23">
        <f t="shared" si="2"/>
        <v>-4.0707688427983157</v>
      </c>
      <c r="G31" s="13"/>
      <c r="H31" s="13">
        <v>25</v>
      </c>
      <c r="I31" s="14">
        <f t="shared" si="3"/>
        <v>6.1585835257890686E-2</v>
      </c>
      <c r="J31" s="13"/>
    </row>
    <row r="32" spans="1:13" x14ac:dyDescent="0.3">
      <c r="A32" s="2">
        <v>44070</v>
      </c>
      <c r="B32" s="1">
        <v>125.01</v>
      </c>
      <c r="C32" s="1">
        <f>'Historical Simulation'!D32</f>
        <v>293.22000000000003</v>
      </c>
      <c r="D32" s="22">
        <f t="shared" si="0"/>
        <v>1243.9492155154844</v>
      </c>
      <c r="E32" s="23">
        <f t="shared" si="1"/>
        <v>-62.560908278174793</v>
      </c>
      <c r="F32" s="23">
        <f t="shared" si="2"/>
        <v>62.560908278174793</v>
      </c>
      <c r="G32" s="13"/>
      <c r="H32" s="13">
        <v>26</v>
      </c>
      <c r="I32" s="14">
        <f t="shared" si="3"/>
        <v>5.7736720554272515E-2</v>
      </c>
      <c r="J32" s="13"/>
    </row>
    <row r="33" spans="1:13" x14ac:dyDescent="0.3">
      <c r="A33" s="2">
        <v>44069</v>
      </c>
      <c r="B33" s="1">
        <v>126.52249999999999</v>
      </c>
      <c r="C33" s="1">
        <f>'Historical Simulation'!D33</f>
        <v>303.90989999999999</v>
      </c>
      <c r="D33" s="22">
        <f t="shared" si="0"/>
        <v>1306.5101237936592</v>
      </c>
      <c r="E33" s="23">
        <f t="shared" si="1"/>
        <v>143.99988023941432</v>
      </c>
      <c r="F33" s="23">
        <f t="shared" si="2"/>
        <v>-143.99988023941432</v>
      </c>
      <c r="G33" s="13"/>
      <c r="H33" s="13">
        <v>27</v>
      </c>
      <c r="I33" s="14">
        <f t="shared" si="3"/>
        <v>5.2347959969207082E-2</v>
      </c>
      <c r="J33" s="13" t="s">
        <v>34</v>
      </c>
    </row>
    <row r="34" spans="1:13" x14ac:dyDescent="0.3">
      <c r="A34" s="2">
        <v>44068</v>
      </c>
      <c r="B34" s="1">
        <v>124.825</v>
      </c>
      <c r="C34" s="1">
        <f>'Historical Simulation'!D34</f>
        <v>280.82010000000002</v>
      </c>
      <c r="D34" s="22">
        <f t="shared" si="0"/>
        <v>1162.5102435542449</v>
      </c>
      <c r="E34" s="23">
        <f t="shared" si="1"/>
        <v>68.565771982485558</v>
      </c>
      <c r="F34" s="23">
        <f t="shared" si="2"/>
        <v>-68.565771982485558</v>
      </c>
      <c r="G34" s="13"/>
      <c r="H34" s="25">
        <v>28</v>
      </c>
      <c r="I34" s="24">
        <f>COUNTIF($F:$F,"&gt;"&amp;H34)/COUNT(F:F)</f>
        <v>4.9268668206312545E-2</v>
      </c>
      <c r="J34" s="13">
        <f>COUNTIF($F:$F,"&gt;"&amp;H34)</f>
        <v>64</v>
      </c>
      <c r="K34">
        <f>J34-J35</f>
        <v>4</v>
      </c>
      <c r="L34">
        <f>K34/COUNT(F:F)</f>
        <v>3.0792917628945341E-3</v>
      </c>
      <c r="M34">
        <f>L34*H34</f>
        <v>8.6220169361046956E-2</v>
      </c>
    </row>
    <row r="35" spans="1:13" x14ac:dyDescent="0.3">
      <c r="A35" s="2">
        <v>44067</v>
      </c>
      <c r="B35" s="1">
        <v>125.8575</v>
      </c>
      <c r="C35" s="1">
        <f>'Historical Simulation'!D35</f>
        <v>271.38990000000001</v>
      </c>
      <c r="D35" s="22">
        <f t="shared" si="0"/>
        <v>1093.9444715717593</v>
      </c>
      <c r="E35" s="23">
        <f t="shared" si="1"/>
        <v>20.727853052476121</v>
      </c>
      <c r="F35" s="23">
        <f t="shared" si="2"/>
        <v>-20.727853052476121</v>
      </c>
      <c r="G35" s="13"/>
      <c r="H35" s="13">
        <v>29</v>
      </c>
      <c r="I35" s="14">
        <f t="shared" si="3"/>
        <v>4.6189376443418015E-2</v>
      </c>
      <c r="J35" s="13">
        <f t="shared" ref="J35:J98" si="4">COUNTIF($F:$F,"&gt;"&amp;H35)</f>
        <v>60</v>
      </c>
      <c r="K35">
        <f t="shared" ref="K35:K98" si="5">J35-J36</f>
        <v>5</v>
      </c>
      <c r="L35">
        <f t="shared" ref="L35:L98" si="6">K35/COUNT(F:F)</f>
        <v>3.8491147036181679E-3</v>
      </c>
      <c r="M35" s="52">
        <f>L35*H35</f>
        <v>0.11162432640492687</v>
      </c>
    </row>
    <row r="36" spans="1:13" x14ac:dyDescent="0.3">
      <c r="A36" s="2">
        <v>44064</v>
      </c>
      <c r="B36" s="1">
        <v>124.37</v>
      </c>
      <c r="C36" s="1">
        <f>'Historical Simulation'!D36</f>
        <v>267.01</v>
      </c>
      <c r="D36" s="22">
        <f t="shared" si="0"/>
        <v>1073.2166185192832</v>
      </c>
      <c r="E36" s="23">
        <f t="shared" si="1"/>
        <v>-47.753242967706228</v>
      </c>
      <c r="F36" s="23">
        <f t="shared" si="2"/>
        <v>47.753242967706228</v>
      </c>
      <c r="G36" s="13"/>
      <c r="H36" s="13">
        <v>30</v>
      </c>
      <c r="I36" s="14">
        <f t="shared" si="3"/>
        <v>4.2340261739799843E-2</v>
      </c>
      <c r="J36" s="13">
        <f t="shared" si="4"/>
        <v>55</v>
      </c>
      <c r="K36">
        <f t="shared" si="5"/>
        <v>4</v>
      </c>
      <c r="L36">
        <f t="shared" si="6"/>
        <v>3.0792917628945341E-3</v>
      </c>
      <c r="M36">
        <f t="shared" ref="M36:M98" si="7">L36*H36</f>
        <v>9.2378752886836016E-2</v>
      </c>
    </row>
    <row r="37" spans="1:13" x14ac:dyDescent="0.3">
      <c r="A37" s="2">
        <v>44063</v>
      </c>
      <c r="B37" s="1">
        <v>118.27500000000001</v>
      </c>
      <c r="C37" s="1">
        <f>'Historical Simulation'!D37</f>
        <v>269.01</v>
      </c>
      <c r="D37" s="22">
        <f t="shared" si="0"/>
        <v>1120.9698614869894</v>
      </c>
      <c r="E37" s="23">
        <f t="shared" si="1"/>
        <v>28.193808981938218</v>
      </c>
      <c r="F37" s="23">
        <f t="shared" si="2"/>
        <v>-28.193808981938218</v>
      </c>
      <c r="G37" s="13"/>
      <c r="H37" s="13">
        <v>31</v>
      </c>
      <c r="I37" s="14">
        <f t="shared" si="3"/>
        <v>3.9260969976905313E-2</v>
      </c>
      <c r="J37" s="13">
        <f t="shared" si="4"/>
        <v>51</v>
      </c>
      <c r="K37">
        <f t="shared" si="5"/>
        <v>6</v>
      </c>
      <c r="L37">
        <f t="shared" si="6"/>
        <v>4.6189376443418013E-3</v>
      </c>
      <c r="M37">
        <f t="shared" si="7"/>
        <v>0.14318706697459585</v>
      </c>
    </row>
    <row r="38" spans="1:13" x14ac:dyDescent="0.3">
      <c r="A38" s="2">
        <v>44062</v>
      </c>
      <c r="B38" s="1">
        <v>115.7075</v>
      </c>
      <c r="C38" s="1">
        <f>'Historical Simulation'!D38</f>
        <v>262.59010000000001</v>
      </c>
      <c r="D38" s="22">
        <f t="shared" si="0"/>
        <v>1092.7760525050512</v>
      </c>
      <c r="E38" s="23">
        <f t="shared" si="1"/>
        <v>0.84346392978522999</v>
      </c>
      <c r="F38" s="23">
        <f t="shared" si="2"/>
        <v>-0.84346392978522999</v>
      </c>
      <c r="G38" s="13"/>
      <c r="H38" s="13">
        <v>32</v>
      </c>
      <c r="I38" s="14">
        <f t="shared" si="3"/>
        <v>3.4642032332563508E-2</v>
      </c>
      <c r="J38" s="13">
        <f t="shared" si="4"/>
        <v>45</v>
      </c>
      <c r="K38">
        <f t="shared" si="5"/>
        <v>2</v>
      </c>
      <c r="L38">
        <f t="shared" si="6"/>
        <v>1.539645881447267E-3</v>
      </c>
      <c r="M38">
        <f t="shared" si="7"/>
        <v>4.9268668206312545E-2</v>
      </c>
    </row>
    <row r="39" spans="1:13" x14ac:dyDescent="0.3">
      <c r="A39" s="2">
        <v>44061</v>
      </c>
      <c r="B39" s="1">
        <v>115.5625</v>
      </c>
      <c r="C39" s="1">
        <f>'Historical Simulation'!D39</f>
        <v>262.34010000000001</v>
      </c>
      <c r="D39" s="22">
        <f t="shared" si="0"/>
        <v>1091.932588575266</v>
      </c>
      <c r="E39" s="23">
        <f t="shared" si="1"/>
        <v>2.4530388284529181</v>
      </c>
      <c r="F39" s="23">
        <f t="shared" si="2"/>
        <v>-2.4530388284529181</v>
      </c>
      <c r="G39" s="13"/>
      <c r="H39" s="13">
        <v>33</v>
      </c>
      <c r="I39" s="14">
        <f t="shared" si="3"/>
        <v>3.3102386451116246E-2</v>
      </c>
      <c r="J39" s="13">
        <f t="shared" si="4"/>
        <v>43</v>
      </c>
      <c r="K39">
        <f t="shared" si="5"/>
        <v>1</v>
      </c>
      <c r="L39">
        <f t="shared" si="6"/>
        <v>7.6982294072363352E-4</v>
      </c>
      <c r="M39">
        <f t="shared" si="7"/>
        <v>2.5404157043879907E-2</v>
      </c>
    </row>
    <row r="40" spans="1:13" x14ac:dyDescent="0.3">
      <c r="A40" s="2">
        <v>44060</v>
      </c>
      <c r="B40" s="1">
        <v>114.6075</v>
      </c>
      <c r="C40" s="1">
        <f>'Historical Simulation'!D40</f>
        <v>261.15989999999999</v>
      </c>
      <c r="D40" s="22">
        <f t="shared" si="0"/>
        <v>1089.4795497468131</v>
      </c>
      <c r="E40" s="23">
        <f t="shared" si="1"/>
        <v>1.1627830300926689</v>
      </c>
      <c r="F40" s="23">
        <f t="shared" si="2"/>
        <v>-1.1627830300926689</v>
      </c>
      <c r="G40" s="13"/>
      <c r="H40" s="13">
        <v>34</v>
      </c>
      <c r="I40" s="14">
        <f t="shared" si="3"/>
        <v>3.2332563510392612E-2</v>
      </c>
      <c r="J40" s="13">
        <f t="shared" si="4"/>
        <v>42</v>
      </c>
      <c r="K40">
        <f t="shared" si="5"/>
        <v>0</v>
      </c>
      <c r="L40">
        <f t="shared" si="6"/>
        <v>0</v>
      </c>
      <c r="M40">
        <f t="shared" si="7"/>
        <v>0</v>
      </c>
    </row>
    <row r="41" spans="1:13" x14ac:dyDescent="0.3">
      <c r="A41" s="2">
        <v>44057</v>
      </c>
      <c r="B41" s="1">
        <v>114.9075</v>
      </c>
      <c r="C41" s="1">
        <f>'Historical Simulation'!D41</f>
        <v>261.24</v>
      </c>
      <c r="D41" s="22">
        <f t="shared" si="0"/>
        <v>1088.3167667167204</v>
      </c>
      <c r="E41" s="23">
        <f t="shared" si="1"/>
        <v>0.18021159062709557</v>
      </c>
      <c r="F41" s="23">
        <f t="shared" si="2"/>
        <v>-0.18021159062709557</v>
      </c>
      <c r="G41" s="13"/>
      <c r="H41" s="13">
        <v>35</v>
      </c>
      <c r="I41" s="14">
        <f t="shared" si="3"/>
        <v>3.2332563510392612E-2</v>
      </c>
      <c r="J41" s="13">
        <f t="shared" si="4"/>
        <v>42</v>
      </c>
      <c r="K41">
        <f t="shared" si="5"/>
        <v>1</v>
      </c>
      <c r="L41">
        <f t="shared" si="6"/>
        <v>7.6982294072363352E-4</v>
      </c>
      <c r="M41">
        <f t="shared" si="7"/>
        <v>2.6943802925327172E-2</v>
      </c>
    </row>
    <row r="42" spans="1:13" x14ac:dyDescent="0.3">
      <c r="A42" s="2">
        <v>44056</v>
      </c>
      <c r="B42" s="1">
        <v>115.01</v>
      </c>
      <c r="C42" s="1">
        <f>'Historical Simulation'!D42</f>
        <v>261.3</v>
      </c>
      <c r="D42" s="22">
        <f t="shared" si="0"/>
        <v>1088.1365551260933</v>
      </c>
      <c r="E42" s="23">
        <f t="shared" si="1"/>
        <v>-1.9240368779060191</v>
      </c>
      <c r="F42" s="23">
        <f t="shared" si="2"/>
        <v>1.9240368779060191</v>
      </c>
      <c r="G42" s="13"/>
      <c r="H42" s="13">
        <v>36</v>
      </c>
      <c r="I42" s="14">
        <f t="shared" si="3"/>
        <v>3.1562740569668978E-2</v>
      </c>
      <c r="J42" s="13">
        <f t="shared" si="4"/>
        <v>41</v>
      </c>
      <c r="K42">
        <f t="shared" si="5"/>
        <v>2</v>
      </c>
      <c r="L42">
        <f t="shared" si="6"/>
        <v>1.539645881447267E-3</v>
      </c>
      <c r="M42">
        <f t="shared" si="7"/>
        <v>5.5427251732101612E-2</v>
      </c>
    </row>
    <row r="43" spans="1:13" x14ac:dyDescent="0.3">
      <c r="A43" s="2">
        <v>44055</v>
      </c>
      <c r="B43" s="1">
        <v>113.01</v>
      </c>
      <c r="C43" s="1">
        <f>'Historical Simulation'!D43</f>
        <v>259.88990000000001</v>
      </c>
      <c r="D43" s="22">
        <f t="shared" si="0"/>
        <v>1090.0605920039993</v>
      </c>
      <c r="E43" s="23">
        <f t="shared" si="1"/>
        <v>4.466504678315232</v>
      </c>
      <c r="F43" s="23">
        <f t="shared" si="2"/>
        <v>-4.466504678315232</v>
      </c>
      <c r="G43" s="13"/>
      <c r="H43" s="13">
        <v>37</v>
      </c>
      <c r="I43" s="14">
        <f t="shared" si="3"/>
        <v>3.0023094688221709E-2</v>
      </c>
      <c r="J43" s="13">
        <f t="shared" si="4"/>
        <v>39</v>
      </c>
      <c r="K43">
        <f t="shared" si="5"/>
        <v>4</v>
      </c>
      <c r="L43">
        <f t="shared" si="6"/>
        <v>3.0792917628945341E-3</v>
      </c>
      <c r="M43">
        <f t="shared" si="7"/>
        <v>0.11393379522709776</v>
      </c>
    </row>
    <row r="44" spans="1:13" x14ac:dyDescent="0.3">
      <c r="A44" s="2">
        <v>44054</v>
      </c>
      <c r="B44" s="1">
        <v>109.375</v>
      </c>
      <c r="C44" s="1">
        <f>'Historical Simulation'!D44</f>
        <v>256.12990000000002</v>
      </c>
      <c r="D44" s="22">
        <f t="shared" si="0"/>
        <v>1085.5940873256841</v>
      </c>
      <c r="E44" s="23">
        <f t="shared" si="1"/>
        <v>-26.752272055280855</v>
      </c>
      <c r="F44" s="23">
        <f t="shared" si="2"/>
        <v>26.752272055280855</v>
      </c>
      <c r="G44" s="13"/>
      <c r="H44" s="13">
        <v>38</v>
      </c>
      <c r="I44" s="14">
        <f t="shared" si="3"/>
        <v>2.6943802925327175E-2</v>
      </c>
      <c r="J44" s="13">
        <f t="shared" si="4"/>
        <v>35</v>
      </c>
      <c r="K44">
        <f t="shared" si="5"/>
        <v>1</v>
      </c>
      <c r="L44">
        <f t="shared" si="6"/>
        <v>7.6982294072363352E-4</v>
      </c>
      <c r="M44">
        <f t="shared" si="7"/>
        <v>2.9253271747498075E-2</v>
      </c>
    </row>
    <row r="45" spans="1:13" x14ac:dyDescent="0.3">
      <c r="A45" s="2">
        <v>44053</v>
      </c>
      <c r="B45" s="1">
        <v>112.7274</v>
      </c>
      <c r="C45" s="1">
        <f>'Historical Simulation'!D45</f>
        <v>263</v>
      </c>
      <c r="D45" s="22">
        <f t="shared" si="0"/>
        <v>1112.3463593809649</v>
      </c>
      <c r="E45" s="23">
        <f t="shared" si="1"/>
        <v>-45.313893636636749</v>
      </c>
      <c r="F45" s="23">
        <f t="shared" si="2"/>
        <v>45.313893636636749</v>
      </c>
      <c r="G45" s="13"/>
      <c r="H45" s="13">
        <v>39</v>
      </c>
      <c r="I45" s="14">
        <f t="shared" si="3"/>
        <v>2.6173979984603541E-2</v>
      </c>
      <c r="J45" s="13">
        <f t="shared" si="4"/>
        <v>34</v>
      </c>
      <c r="K45">
        <f t="shared" si="5"/>
        <v>3</v>
      </c>
      <c r="L45">
        <f t="shared" si="6"/>
        <v>2.3094688221709007E-3</v>
      </c>
      <c r="M45">
        <f t="shared" si="7"/>
        <v>9.006928406466512E-2</v>
      </c>
    </row>
    <row r="46" spans="1:13" x14ac:dyDescent="0.3">
      <c r="A46" s="2">
        <v>44050</v>
      </c>
      <c r="B46" s="1">
        <v>111.1125</v>
      </c>
      <c r="C46" s="1">
        <f>'Historical Simulation'!D46</f>
        <v>268.43990000000002</v>
      </c>
      <c r="D46" s="22">
        <f t="shared" si="0"/>
        <v>1157.6602530176017</v>
      </c>
      <c r="E46" s="23">
        <f t="shared" si="1"/>
        <v>36.788957484071261</v>
      </c>
      <c r="F46" s="23">
        <f t="shared" si="2"/>
        <v>-36.788957484071261</v>
      </c>
      <c r="G46" s="13"/>
      <c r="H46" s="13">
        <v>40</v>
      </c>
      <c r="I46" s="14">
        <f t="shared" si="3"/>
        <v>2.3864511162432642E-2</v>
      </c>
      <c r="J46" s="13">
        <f t="shared" si="4"/>
        <v>31</v>
      </c>
      <c r="K46">
        <f t="shared" si="5"/>
        <v>0</v>
      </c>
      <c r="L46">
        <f t="shared" si="6"/>
        <v>0</v>
      </c>
      <c r="M46">
        <f t="shared" si="7"/>
        <v>0</v>
      </c>
    </row>
    <row r="47" spans="1:13" x14ac:dyDescent="0.3">
      <c r="A47" s="2">
        <v>44049</v>
      </c>
      <c r="B47" s="1">
        <v>113.9025</v>
      </c>
      <c r="C47" s="1">
        <f>'Historical Simulation'!D47</f>
        <v>265.27999999999997</v>
      </c>
      <c r="D47" s="22">
        <f t="shared" si="0"/>
        <v>1120.8712955335304</v>
      </c>
      <c r="E47" s="23">
        <f t="shared" si="1"/>
        <v>85.793101094766826</v>
      </c>
      <c r="F47" s="23">
        <f t="shared" si="2"/>
        <v>-85.793101094766826</v>
      </c>
      <c r="G47" s="13"/>
      <c r="H47" s="13">
        <v>41</v>
      </c>
      <c r="I47" s="14">
        <f t="shared" si="3"/>
        <v>2.3864511162432642E-2</v>
      </c>
      <c r="J47" s="13">
        <f t="shared" si="4"/>
        <v>31</v>
      </c>
      <c r="K47">
        <f t="shared" si="5"/>
        <v>1</v>
      </c>
      <c r="L47">
        <f t="shared" si="6"/>
        <v>7.6982294072363352E-4</v>
      </c>
      <c r="M47">
        <f t="shared" si="7"/>
        <v>3.1562740569668978E-2</v>
      </c>
    </row>
    <row r="48" spans="1:13" x14ac:dyDescent="0.3">
      <c r="A48" s="2">
        <v>44048</v>
      </c>
      <c r="B48" s="1">
        <v>110.0625</v>
      </c>
      <c r="C48" s="1">
        <f>'Historical Simulation'!D48</f>
        <v>249.12</v>
      </c>
      <c r="D48" s="22">
        <f t="shared" si="0"/>
        <v>1035.0781944387636</v>
      </c>
      <c r="E48" s="23">
        <f t="shared" si="1"/>
        <v>-6.9696314498746688</v>
      </c>
      <c r="F48" s="23">
        <f t="shared" si="2"/>
        <v>6.9696314498746688</v>
      </c>
      <c r="G48" s="13"/>
      <c r="H48" s="13">
        <v>42</v>
      </c>
      <c r="I48" s="14">
        <f t="shared" si="3"/>
        <v>2.3094688221709007E-2</v>
      </c>
      <c r="J48" s="13">
        <f t="shared" si="4"/>
        <v>30</v>
      </c>
      <c r="K48">
        <f t="shared" si="5"/>
        <v>1</v>
      </c>
      <c r="L48">
        <f t="shared" si="6"/>
        <v>7.6982294072363352E-4</v>
      </c>
      <c r="M48">
        <f t="shared" si="7"/>
        <v>3.2332563510392605E-2</v>
      </c>
    </row>
    <row r="49" spans="1:13" x14ac:dyDescent="0.3">
      <c r="A49" s="2">
        <v>44047</v>
      </c>
      <c r="B49" s="1">
        <v>109.66500000000001</v>
      </c>
      <c r="C49" s="1">
        <f>'Historical Simulation'!D49</f>
        <v>249.83</v>
      </c>
      <c r="D49" s="22">
        <f t="shared" si="0"/>
        <v>1042.0478258886383</v>
      </c>
      <c r="E49" s="23">
        <f t="shared" si="1"/>
        <v>-18.280696946290391</v>
      </c>
      <c r="F49" s="23">
        <f t="shared" si="2"/>
        <v>18.280696946290391</v>
      </c>
      <c r="G49" s="13"/>
      <c r="H49" s="13">
        <v>43</v>
      </c>
      <c r="I49" s="14">
        <f t="shared" si="3"/>
        <v>2.2324865280985373E-2</v>
      </c>
      <c r="J49" s="13">
        <f t="shared" si="4"/>
        <v>29</v>
      </c>
      <c r="K49">
        <f t="shared" si="5"/>
        <v>1</v>
      </c>
      <c r="L49">
        <f t="shared" si="6"/>
        <v>7.6982294072363352E-4</v>
      </c>
      <c r="M49">
        <f t="shared" si="7"/>
        <v>3.3102386451116239E-2</v>
      </c>
    </row>
    <row r="50" spans="1:13" x14ac:dyDescent="0.3">
      <c r="A50" s="2">
        <v>44046</v>
      </c>
      <c r="B50" s="1">
        <v>108.9375</v>
      </c>
      <c r="C50" s="1">
        <f>'Historical Simulation'!D50</f>
        <v>251.96</v>
      </c>
      <c r="D50" s="22">
        <f t="shared" si="0"/>
        <v>1060.3285228349287</v>
      </c>
      <c r="E50" s="23">
        <f t="shared" si="1"/>
        <v>-26.508314208870615</v>
      </c>
      <c r="F50" s="23">
        <f t="shared" si="2"/>
        <v>26.508314208870615</v>
      </c>
      <c r="G50" s="13"/>
      <c r="H50" s="13">
        <v>44</v>
      </c>
      <c r="I50" s="14">
        <f t="shared" si="3"/>
        <v>2.1555042340261739E-2</v>
      </c>
      <c r="J50" s="13">
        <f t="shared" si="4"/>
        <v>28</v>
      </c>
      <c r="K50">
        <f t="shared" si="5"/>
        <v>2</v>
      </c>
      <c r="L50">
        <f t="shared" si="6"/>
        <v>1.539645881447267E-3</v>
      </c>
      <c r="M50">
        <f t="shared" si="7"/>
        <v>6.7744418783679747E-2</v>
      </c>
    </row>
    <row r="51" spans="1:13" x14ac:dyDescent="0.3">
      <c r="A51" s="2">
        <v>44043</v>
      </c>
      <c r="B51" s="1">
        <v>106.26</v>
      </c>
      <c r="C51" s="1">
        <f>'Historical Simulation'!D51</f>
        <v>253.67</v>
      </c>
      <c r="D51" s="22">
        <f t="shared" si="0"/>
        <v>1086.8368370437993</v>
      </c>
      <c r="E51" s="23">
        <f t="shared" si="1"/>
        <v>70.603540581361926</v>
      </c>
      <c r="F51" s="23">
        <f t="shared" si="2"/>
        <v>-70.603540581361926</v>
      </c>
      <c r="G51" s="13"/>
      <c r="H51" s="13">
        <v>45</v>
      </c>
      <c r="I51" s="14">
        <f t="shared" si="3"/>
        <v>2.0015396458814474E-2</v>
      </c>
      <c r="J51" s="13">
        <f t="shared" si="4"/>
        <v>26</v>
      </c>
      <c r="K51">
        <f t="shared" si="5"/>
        <v>4</v>
      </c>
      <c r="L51">
        <f t="shared" si="6"/>
        <v>3.0792917628945341E-3</v>
      </c>
      <c r="M51">
        <f t="shared" si="7"/>
        <v>0.13856812933025403</v>
      </c>
    </row>
    <row r="52" spans="1:13" x14ac:dyDescent="0.3">
      <c r="A52" s="2">
        <v>44042</v>
      </c>
      <c r="B52" s="1">
        <v>96.19</v>
      </c>
      <c r="C52" s="1">
        <f>'Historical Simulation'!D52</f>
        <v>234.5</v>
      </c>
      <c r="D52" s="22">
        <f t="shared" si="0"/>
        <v>1016.2332964624374</v>
      </c>
      <c r="E52" s="23">
        <f t="shared" si="1"/>
        <v>1.549122245591434</v>
      </c>
      <c r="F52" s="23">
        <f t="shared" si="2"/>
        <v>-1.549122245591434</v>
      </c>
      <c r="G52" s="13"/>
      <c r="H52" s="13">
        <v>46</v>
      </c>
      <c r="I52" s="14">
        <f t="shared" si="3"/>
        <v>1.6936104695919937E-2</v>
      </c>
      <c r="J52" s="13">
        <f t="shared" si="4"/>
        <v>22</v>
      </c>
      <c r="K52">
        <f t="shared" si="5"/>
        <v>0</v>
      </c>
      <c r="L52">
        <f t="shared" si="6"/>
        <v>0</v>
      </c>
      <c r="M52">
        <f t="shared" si="7"/>
        <v>0</v>
      </c>
    </row>
    <row r="53" spans="1:13" x14ac:dyDescent="0.3">
      <c r="A53" s="2">
        <v>44041</v>
      </c>
      <c r="B53" s="1">
        <v>95.04</v>
      </c>
      <c r="C53" s="1">
        <f>'Historical Simulation'!D53</f>
        <v>233.29</v>
      </c>
      <c r="D53" s="22">
        <f t="shared" si="0"/>
        <v>1014.6841742168459</v>
      </c>
      <c r="E53" s="23">
        <f t="shared" si="1"/>
        <v>10.983941742168327</v>
      </c>
      <c r="F53" s="23">
        <f t="shared" si="2"/>
        <v>-10.983941742168327</v>
      </c>
      <c r="G53" s="13"/>
      <c r="H53" s="13">
        <v>47</v>
      </c>
      <c r="I53" s="14">
        <f t="shared" ref="I53:I72" si="8">COUNTIF($F:$F,"&gt;"&amp;H53)/COUNT(F:F)</f>
        <v>1.6936104695919937E-2</v>
      </c>
      <c r="J53" s="13">
        <f t="shared" si="4"/>
        <v>22</v>
      </c>
      <c r="K53">
        <f t="shared" si="5"/>
        <v>4</v>
      </c>
      <c r="L53">
        <f t="shared" si="6"/>
        <v>3.0792917628945341E-3</v>
      </c>
      <c r="M53">
        <f t="shared" si="7"/>
        <v>0.1447267128560431</v>
      </c>
    </row>
    <row r="54" spans="1:13" x14ac:dyDescent="0.3">
      <c r="A54" s="2">
        <v>44040</v>
      </c>
      <c r="B54" s="1">
        <v>93.252499999999998</v>
      </c>
      <c r="C54" s="1">
        <f>'Historical Simulation'!D54</f>
        <v>230.12</v>
      </c>
      <c r="D54" s="22">
        <f t="shared" si="0"/>
        <v>1003.7002324746776</v>
      </c>
      <c r="E54" s="23">
        <f t="shared" si="1"/>
        <v>-13.680838209838498</v>
      </c>
      <c r="F54" s="23">
        <f t="shared" si="2"/>
        <v>13.680838209838498</v>
      </c>
      <c r="H54" s="13">
        <v>48</v>
      </c>
      <c r="I54" s="14">
        <f t="shared" si="8"/>
        <v>1.3856812933025405E-2</v>
      </c>
      <c r="J54" s="13">
        <f t="shared" si="4"/>
        <v>18</v>
      </c>
      <c r="K54">
        <f t="shared" si="5"/>
        <v>1</v>
      </c>
      <c r="L54">
        <f t="shared" si="6"/>
        <v>7.6982294072363352E-4</v>
      </c>
      <c r="M54">
        <f t="shared" si="7"/>
        <v>3.695150115473441E-2</v>
      </c>
    </row>
    <row r="55" spans="1:13" x14ac:dyDescent="0.3">
      <c r="A55" s="2">
        <v>44039</v>
      </c>
      <c r="B55" s="1">
        <v>94.81</v>
      </c>
      <c r="C55" s="1">
        <f>'Historical Simulation'!D55</f>
        <v>233.5</v>
      </c>
      <c r="D55" s="22">
        <f t="shared" si="0"/>
        <v>1017.3810706845161</v>
      </c>
      <c r="E55" s="23">
        <f t="shared" si="1"/>
        <v>6.1529622687811525</v>
      </c>
      <c r="F55" s="23">
        <f t="shared" si="2"/>
        <v>-6.1529622687811525</v>
      </c>
      <c r="H55" s="13">
        <v>49</v>
      </c>
      <c r="I55" s="14">
        <f t="shared" si="8"/>
        <v>1.3086989992301771E-2</v>
      </c>
      <c r="J55" s="13">
        <f t="shared" si="4"/>
        <v>17</v>
      </c>
      <c r="K55">
        <f t="shared" si="5"/>
        <v>2</v>
      </c>
      <c r="L55">
        <f t="shared" si="6"/>
        <v>1.539645881447267E-3</v>
      </c>
      <c r="M55">
        <f t="shared" si="7"/>
        <v>7.544264819091609E-2</v>
      </c>
    </row>
    <row r="56" spans="1:13" x14ac:dyDescent="0.3">
      <c r="A56" s="2">
        <v>44036</v>
      </c>
      <c r="B56" s="1">
        <v>92.614999999999995</v>
      </c>
      <c r="C56" s="1">
        <f>'Historical Simulation'!D56</f>
        <v>230.71</v>
      </c>
      <c r="D56" s="22">
        <f t="shared" si="0"/>
        <v>1011.2281084157349</v>
      </c>
      <c r="E56" s="23">
        <f t="shared" si="1"/>
        <v>-11.272382128028653</v>
      </c>
      <c r="F56" s="23">
        <f t="shared" si="2"/>
        <v>11.272382128028653</v>
      </c>
      <c r="H56" s="13">
        <v>50</v>
      </c>
      <c r="I56" s="14">
        <f t="shared" si="8"/>
        <v>1.1547344110854504E-2</v>
      </c>
      <c r="J56" s="13">
        <f t="shared" si="4"/>
        <v>15</v>
      </c>
      <c r="K56">
        <f t="shared" si="5"/>
        <v>0</v>
      </c>
      <c r="L56">
        <f t="shared" si="6"/>
        <v>0</v>
      </c>
      <c r="M56">
        <f t="shared" si="7"/>
        <v>0</v>
      </c>
    </row>
    <row r="57" spans="1:13" x14ac:dyDescent="0.3">
      <c r="A57" s="2">
        <v>44035</v>
      </c>
      <c r="B57" s="1">
        <v>92.844999999999999</v>
      </c>
      <c r="C57" s="1">
        <f>'Historical Simulation'!D57</f>
        <v>232.6</v>
      </c>
      <c r="D57" s="22">
        <f t="shared" si="0"/>
        <v>1022.5004905437636</v>
      </c>
      <c r="E57" s="23">
        <f t="shared" si="1"/>
        <v>-23.335916384892698</v>
      </c>
      <c r="F57" s="23">
        <f t="shared" si="2"/>
        <v>23.335916384892698</v>
      </c>
      <c r="H57" s="13">
        <v>51</v>
      </c>
      <c r="I57" s="14">
        <f t="shared" si="8"/>
        <v>1.1547344110854504E-2</v>
      </c>
      <c r="J57" s="13">
        <f t="shared" si="4"/>
        <v>15</v>
      </c>
      <c r="K57">
        <f t="shared" si="5"/>
        <v>1</v>
      </c>
      <c r="L57">
        <f t="shared" si="6"/>
        <v>7.6982294072363352E-4</v>
      </c>
      <c r="M57">
        <f t="shared" si="7"/>
        <v>3.9260969976905306E-2</v>
      </c>
    </row>
    <row r="58" spans="1:13" x14ac:dyDescent="0.3">
      <c r="A58" s="2">
        <v>44034</v>
      </c>
      <c r="B58" s="1">
        <v>97.272499999999994</v>
      </c>
      <c r="C58" s="1">
        <f>'Historical Simulation'!D58</f>
        <v>239.87</v>
      </c>
      <c r="D58" s="22">
        <f t="shared" si="0"/>
        <v>1045.8364069286563</v>
      </c>
      <c r="E58" s="23">
        <f t="shared" si="1"/>
        <v>-14.046010560591185</v>
      </c>
      <c r="F58" s="23">
        <f t="shared" si="2"/>
        <v>14.046010560591185</v>
      </c>
      <c r="H58" s="13">
        <v>52</v>
      </c>
      <c r="I58" s="14">
        <f t="shared" si="8"/>
        <v>1.0777521170130869E-2</v>
      </c>
      <c r="J58" s="13">
        <f t="shared" si="4"/>
        <v>14</v>
      </c>
      <c r="K58">
        <f t="shared" si="5"/>
        <v>0</v>
      </c>
      <c r="L58">
        <f t="shared" si="6"/>
        <v>0</v>
      </c>
      <c r="M58">
        <f t="shared" si="7"/>
        <v>0</v>
      </c>
    </row>
    <row r="59" spans="1:13" x14ac:dyDescent="0.3">
      <c r="A59" s="2">
        <v>44033</v>
      </c>
      <c r="B59" s="1">
        <v>97</v>
      </c>
      <c r="C59" s="1">
        <f>'Historical Simulation'!D59</f>
        <v>241.75</v>
      </c>
      <c r="D59" s="22">
        <f t="shared" si="0"/>
        <v>1059.8824174892475</v>
      </c>
      <c r="E59" s="23">
        <f t="shared" si="1"/>
        <v>-16.740336548834875</v>
      </c>
      <c r="F59" s="23">
        <f t="shared" si="2"/>
        <v>16.740336548834875</v>
      </c>
      <c r="H59" s="13">
        <v>53</v>
      </c>
      <c r="I59" s="14">
        <f t="shared" si="8"/>
        <v>1.0777521170130869E-2</v>
      </c>
      <c r="J59" s="13">
        <f t="shared" si="4"/>
        <v>14</v>
      </c>
      <c r="K59">
        <f t="shared" si="5"/>
        <v>0</v>
      </c>
      <c r="L59">
        <f t="shared" si="6"/>
        <v>0</v>
      </c>
      <c r="M59">
        <f t="shared" si="7"/>
        <v>0</v>
      </c>
    </row>
    <row r="60" spans="1:13" x14ac:dyDescent="0.3">
      <c r="A60" s="2">
        <v>44032</v>
      </c>
      <c r="B60" s="1">
        <v>98.357500000000002</v>
      </c>
      <c r="C60" s="1">
        <f>'Historical Simulation'!D60</f>
        <v>245.42</v>
      </c>
      <c r="D60" s="22">
        <f t="shared" si="0"/>
        <v>1076.6227540380823</v>
      </c>
      <c r="E60" s="23">
        <f t="shared" si="1"/>
        <v>11.076770900071551</v>
      </c>
      <c r="F60" s="23">
        <f t="shared" si="2"/>
        <v>-11.076770900071551</v>
      </c>
      <c r="H60" s="13">
        <v>54</v>
      </c>
      <c r="I60" s="14">
        <f t="shared" si="8"/>
        <v>1.0777521170130869E-2</v>
      </c>
      <c r="J60" s="13">
        <f t="shared" si="4"/>
        <v>14</v>
      </c>
      <c r="K60">
        <f t="shared" si="5"/>
        <v>1</v>
      </c>
      <c r="L60">
        <f t="shared" si="6"/>
        <v>7.6982294072363352E-4</v>
      </c>
      <c r="M60">
        <f t="shared" si="7"/>
        <v>4.1570438799076209E-2</v>
      </c>
    </row>
    <row r="61" spans="1:13" x14ac:dyDescent="0.3">
      <c r="A61" s="2">
        <v>44029</v>
      </c>
      <c r="B61" s="1">
        <v>96.327500000000001</v>
      </c>
      <c r="C61" s="1">
        <f>'Historical Simulation'!D61</f>
        <v>242.03</v>
      </c>
      <c r="D61" s="22">
        <f t="shared" si="0"/>
        <v>1065.5459831380108</v>
      </c>
      <c r="E61" s="23">
        <f t="shared" si="1"/>
        <v>8.4193884673475168</v>
      </c>
      <c r="F61" s="23">
        <f t="shared" si="2"/>
        <v>-8.4193884673475168</v>
      </c>
      <c r="H61" s="13">
        <v>55</v>
      </c>
      <c r="I61" s="14">
        <f t="shared" si="8"/>
        <v>1.0007698229407237E-2</v>
      </c>
      <c r="J61" s="13">
        <f t="shared" si="4"/>
        <v>13</v>
      </c>
      <c r="K61">
        <f t="shared" si="5"/>
        <v>0</v>
      </c>
      <c r="L61">
        <f t="shared" si="6"/>
        <v>0</v>
      </c>
      <c r="M61">
        <f t="shared" si="7"/>
        <v>0</v>
      </c>
    </row>
    <row r="62" spans="1:13" x14ac:dyDescent="0.3">
      <c r="A62" s="2">
        <v>44028</v>
      </c>
      <c r="B62" s="1">
        <v>96.522499999999994</v>
      </c>
      <c r="C62" s="1">
        <f>'Historical Simulation'!D62</f>
        <v>240.93</v>
      </c>
      <c r="D62" s="22">
        <f t="shared" si="0"/>
        <v>1057.1265946706633</v>
      </c>
      <c r="E62" s="23">
        <f t="shared" si="1"/>
        <v>11.120399332634406</v>
      </c>
      <c r="F62" s="23">
        <f t="shared" si="2"/>
        <v>-11.120399332634406</v>
      </c>
      <c r="H62" s="13">
        <v>56</v>
      </c>
      <c r="I62" s="14">
        <f t="shared" si="8"/>
        <v>1.0007698229407237E-2</v>
      </c>
      <c r="J62" s="13">
        <f t="shared" si="4"/>
        <v>13</v>
      </c>
      <c r="K62">
        <f t="shared" si="5"/>
        <v>2</v>
      </c>
      <c r="L62">
        <f t="shared" si="6"/>
        <v>1.539645881447267E-3</v>
      </c>
      <c r="M62">
        <f t="shared" si="7"/>
        <v>8.6220169361046956E-2</v>
      </c>
    </row>
    <row r="63" spans="1:13" x14ac:dyDescent="0.3">
      <c r="A63" s="2">
        <v>44027</v>
      </c>
      <c r="B63" s="1">
        <v>97.724999999999994</v>
      </c>
      <c r="C63" s="1">
        <f>'Historical Simulation'!D63</f>
        <v>240.28</v>
      </c>
      <c r="D63" s="22">
        <f t="shared" si="0"/>
        <v>1046.0061953380289</v>
      </c>
      <c r="E63" s="23">
        <f t="shared" si="1"/>
        <v>-0.11411439761627662</v>
      </c>
      <c r="F63" s="23">
        <f t="shared" si="2"/>
        <v>0.11411439761627662</v>
      </c>
      <c r="H63" s="13">
        <v>57</v>
      </c>
      <c r="I63" s="14">
        <f t="shared" si="8"/>
        <v>8.4680523479599683E-3</v>
      </c>
      <c r="J63" s="13">
        <f t="shared" si="4"/>
        <v>11</v>
      </c>
      <c r="K63">
        <f t="shared" si="5"/>
        <v>1</v>
      </c>
      <c r="L63">
        <f t="shared" si="6"/>
        <v>7.6982294072363352E-4</v>
      </c>
      <c r="M63">
        <f t="shared" si="7"/>
        <v>4.3879907621247112E-2</v>
      </c>
    </row>
    <row r="64" spans="1:13" x14ac:dyDescent="0.3">
      <c r="A64" s="2">
        <v>44026</v>
      </c>
      <c r="B64" s="1">
        <v>97.057500000000005</v>
      </c>
      <c r="C64" s="1">
        <f>'Historical Simulation'!D64</f>
        <v>239.73</v>
      </c>
      <c r="D64" s="22">
        <f t="shared" si="0"/>
        <v>1046.1203097356452</v>
      </c>
      <c r="E64" s="23">
        <f t="shared" si="1"/>
        <v>-4.0742318125448946</v>
      </c>
      <c r="F64" s="23">
        <f t="shared" si="2"/>
        <v>4.0742318125448946</v>
      </c>
      <c r="H64" s="13">
        <v>58</v>
      </c>
      <c r="I64" s="14">
        <f t="shared" si="8"/>
        <v>7.6982294072363358E-3</v>
      </c>
      <c r="J64" s="13">
        <f t="shared" si="4"/>
        <v>10</v>
      </c>
      <c r="K64">
        <f t="shared" si="5"/>
        <v>1</v>
      </c>
      <c r="L64">
        <f t="shared" si="6"/>
        <v>7.6982294072363352E-4</v>
      </c>
      <c r="M64">
        <f t="shared" si="7"/>
        <v>4.4649730561970746E-2</v>
      </c>
    </row>
    <row r="65" spans="1:13" x14ac:dyDescent="0.3">
      <c r="A65" s="2">
        <v>44025</v>
      </c>
      <c r="B65" s="1">
        <v>95.477500000000006</v>
      </c>
      <c r="C65" s="1">
        <f>'Historical Simulation'!D65</f>
        <v>239</v>
      </c>
      <c r="D65" s="22">
        <f t="shared" si="0"/>
        <v>1050.19454154819</v>
      </c>
      <c r="E65" s="23">
        <f t="shared" si="1"/>
        <v>-37.876840617759626</v>
      </c>
      <c r="F65" s="23">
        <f t="shared" si="2"/>
        <v>37.876840617759626</v>
      </c>
      <c r="H65" s="13">
        <v>59</v>
      </c>
      <c r="I65" s="14">
        <f t="shared" si="8"/>
        <v>6.9284064665127024E-3</v>
      </c>
      <c r="J65" s="13">
        <f t="shared" si="4"/>
        <v>9</v>
      </c>
      <c r="K65">
        <f t="shared" si="5"/>
        <v>0</v>
      </c>
      <c r="L65">
        <f t="shared" si="6"/>
        <v>0</v>
      </c>
      <c r="M65">
        <f t="shared" si="7"/>
        <v>0</v>
      </c>
    </row>
    <row r="66" spans="1:13" x14ac:dyDescent="0.3">
      <c r="A66" s="2">
        <v>44022</v>
      </c>
      <c r="B66" s="1">
        <v>95.92</v>
      </c>
      <c r="C66" s="1">
        <f>'Historical Simulation'!D66</f>
        <v>245.07</v>
      </c>
      <c r="D66" s="22">
        <f t="shared" si="0"/>
        <v>1088.0713821659497</v>
      </c>
      <c r="E66" s="23">
        <f t="shared" si="1"/>
        <v>2.4493024443186187</v>
      </c>
      <c r="F66" s="23">
        <f t="shared" si="2"/>
        <v>-2.4493024443186187</v>
      </c>
      <c r="H66" s="13">
        <v>60</v>
      </c>
      <c r="I66" s="14">
        <f t="shared" si="8"/>
        <v>6.9284064665127024E-3</v>
      </c>
      <c r="J66" s="13">
        <f t="shared" si="4"/>
        <v>9</v>
      </c>
      <c r="K66">
        <f t="shared" si="5"/>
        <v>0</v>
      </c>
      <c r="L66">
        <f t="shared" si="6"/>
        <v>0</v>
      </c>
      <c r="M66">
        <f t="shared" si="7"/>
        <v>0</v>
      </c>
    </row>
    <row r="67" spans="1:13" x14ac:dyDescent="0.3">
      <c r="A67" s="2">
        <v>44021</v>
      </c>
      <c r="B67" s="1">
        <v>95.682500000000005</v>
      </c>
      <c r="C67" s="1">
        <f>'Historical Simulation'!D67</f>
        <v>244.5</v>
      </c>
      <c r="D67" s="22">
        <f t="shared" si="0"/>
        <v>1085.6220797216311</v>
      </c>
      <c r="E67" s="23">
        <f t="shared" si="1"/>
        <v>4.1981817073835828</v>
      </c>
      <c r="F67" s="23">
        <f t="shared" si="2"/>
        <v>-4.1981817073835828</v>
      </c>
      <c r="H67" s="13">
        <v>61</v>
      </c>
      <c r="I67" s="14">
        <f t="shared" si="8"/>
        <v>6.9284064665127024E-3</v>
      </c>
      <c r="J67" s="13">
        <f t="shared" si="4"/>
        <v>9</v>
      </c>
      <c r="K67">
        <f t="shared" si="5"/>
        <v>1</v>
      </c>
      <c r="L67">
        <f t="shared" si="6"/>
        <v>7.6982294072363352E-4</v>
      </c>
      <c r="M67">
        <f t="shared" si="7"/>
        <v>4.6959199384141642E-2</v>
      </c>
    </row>
    <row r="68" spans="1:13" x14ac:dyDescent="0.3">
      <c r="A68" s="2">
        <v>44020</v>
      </c>
      <c r="B68" s="1">
        <v>95.342500000000001</v>
      </c>
      <c r="C68" s="1">
        <f>'Historical Simulation'!D68</f>
        <v>243.58</v>
      </c>
      <c r="D68" s="22">
        <f t="shared" si="0"/>
        <v>1081.4238980142475</v>
      </c>
      <c r="E68" s="23">
        <f t="shared" si="1"/>
        <v>5.8286205845877248</v>
      </c>
      <c r="F68" s="23">
        <f t="shared" si="2"/>
        <v>-5.8286205845877248</v>
      </c>
      <c r="H68" s="13">
        <v>62</v>
      </c>
      <c r="I68" s="14">
        <f t="shared" si="8"/>
        <v>6.1585835257890681E-3</v>
      </c>
      <c r="J68" s="13">
        <f t="shared" si="4"/>
        <v>8</v>
      </c>
      <c r="K68">
        <f t="shared" si="5"/>
        <v>1</v>
      </c>
      <c r="L68">
        <f t="shared" si="6"/>
        <v>7.6982294072363352E-4</v>
      </c>
      <c r="M68">
        <f t="shared" si="7"/>
        <v>4.7729022324865276E-2</v>
      </c>
    </row>
    <row r="69" spans="1:13" x14ac:dyDescent="0.3">
      <c r="A69" s="2">
        <v>44019</v>
      </c>
      <c r="B69" s="1">
        <v>93.172499999999999</v>
      </c>
      <c r="C69" s="1">
        <f>'Historical Simulation'!D69</f>
        <v>240.86</v>
      </c>
      <c r="D69" s="22">
        <f t="shared" si="0"/>
        <v>1075.5952774296597</v>
      </c>
      <c r="E69" s="23">
        <f t="shared" si="1"/>
        <v>5.4972725610753059</v>
      </c>
      <c r="F69" s="23">
        <f t="shared" si="2"/>
        <v>-5.4972725610753059</v>
      </c>
      <c r="H69" s="13">
        <v>63</v>
      </c>
      <c r="I69" s="14">
        <f t="shared" si="8"/>
        <v>5.3887605850654347E-3</v>
      </c>
      <c r="J69" s="13">
        <f t="shared" si="4"/>
        <v>7</v>
      </c>
      <c r="K69">
        <f t="shared" si="5"/>
        <v>0</v>
      </c>
      <c r="L69">
        <f t="shared" si="6"/>
        <v>0</v>
      </c>
      <c r="M69">
        <f t="shared" si="7"/>
        <v>0</v>
      </c>
    </row>
    <row r="70" spans="1:13" x14ac:dyDescent="0.3">
      <c r="A70" s="2">
        <v>44018</v>
      </c>
      <c r="B70" s="1">
        <v>93.462500000000006</v>
      </c>
      <c r="C70" s="1">
        <f>'Historical Simulation'!D70</f>
        <v>240.28</v>
      </c>
      <c r="D70" s="22">
        <f t="shared" ref="D70:D133" si="9">$M$16*B70+(1-$M$16)*C70</f>
        <v>1070.0980048685844</v>
      </c>
      <c r="E70" s="23">
        <f t="shared" ref="E70:E133" si="10">D70-D71</f>
        <v>31.870265612365756</v>
      </c>
      <c r="F70" s="23">
        <f t="shared" ref="F70:F133" si="11">-E70</f>
        <v>-31.870265612365756</v>
      </c>
      <c r="H70" s="13">
        <v>64</v>
      </c>
      <c r="I70" s="14">
        <f t="shared" si="8"/>
        <v>5.3887605850654347E-3</v>
      </c>
      <c r="J70" s="13">
        <f t="shared" si="4"/>
        <v>7</v>
      </c>
      <c r="K70">
        <f t="shared" si="5"/>
        <v>0</v>
      </c>
      <c r="L70">
        <f t="shared" si="6"/>
        <v>0</v>
      </c>
      <c r="M70">
        <f t="shared" si="7"/>
        <v>0</v>
      </c>
    </row>
    <row r="71" spans="1:13" x14ac:dyDescent="0.3">
      <c r="A71" s="2">
        <v>44014</v>
      </c>
      <c r="B71" s="1">
        <v>91.027500000000003</v>
      </c>
      <c r="C71" s="1">
        <f>'Historical Simulation'!D71</f>
        <v>233.42</v>
      </c>
      <c r="D71" s="22">
        <f t="shared" si="9"/>
        <v>1038.2277392562187</v>
      </c>
      <c r="E71" s="23">
        <f t="shared" si="10"/>
        <v>-27.472914571541423</v>
      </c>
      <c r="F71" s="23">
        <f t="shared" si="11"/>
        <v>27.472914571541423</v>
      </c>
      <c r="H71" s="13">
        <v>65</v>
      </c>
      <c r="I71" s="14">
        <f t="shared" si="8"/>
        <v>5.3887605850654347E-3</v>
      </c>
      <c r="J71" s="13">
        <f t="shared" si="4"/>
        <v>7</v>
      </c>
      <c r="K71">
        <f t="shared" si="5"/>
        <v>0</v>
      </c>
      <c r="L71">
        <f t="shared" si="6"/>
        <v>0</v>
      </c>
      <c r="M71">
        <f t="shared" si="7"/>
        <v>0</v>
      </c>
    </row>
    <row r="72" spans="1:13" x14ac:dyDescent="0.3">
      <c r="A72" s="2">
        <v>44013</v>
      </c>
      <c r="B72" s="1">
        <v>91.027500000000003</v>
      </c>
      <c r="C72" s="1">
        <f>'Historical Simulation'!D72</f>
        <v>237.55</v>
      </c>
      <c r="D72" s="22">
        <f t="shared" si="9"/>
        <v>1065.7006538277601</v>
      </c>
      <c r="E72" s="23">
        <f t="shared" si="10"/>
        <v>70.68832868603954</v>
      </c>
      <c r="F72" s="23">
        <f t="shared" si="11"/>
        <v>-70.68832868603954</v>
      </c>
      <c r="H72" s="13">
        <v>66</v>
      </c>
      <c r="I72" s="14">
        <f t="shared" si="8"/>
        <v>5.3887605850654347E-3</v>
      </c>
      <c r="J72" s="13">
        <f t="shared" si="4"/>
        <v>7</v>
      </c>
      <c r="K72">
        <f t="shared" si="5"/>
        <v>1</v>
      </c>
      <c r="L72">
        <f t="shared" si="6"/>
        <v>7.6982294072363352E-4</v>
      </c>
      <c r="M72">
        <f t="shared" si="7"/>
        <v>5.0808314087759814E-2</v>
      </c>
    </row>
    <row r="73" spans="1:13" x14ac:dyDescent="0.3">
      <c r="A73" s="2">
        <v>44012</v>
      </c>
      <c r="B73" s="1">
        <v>91.2</v>
      </c>
      <c r="C73" s="1">
        <f>'Historical Simulation'!D73</f>
        <v>227.07</v>
      </c>
      <c r="D73" s="22">
        <f t="shared" si="9"/>
        <v>995.01232514172057</v>
      </c>
      <c r="E73" s="23">
        <f t="shared" si="10"/>
        <v>38.505312395519923</v>
      </c>
      <c r="F73" s="23">
        <f t="shared" si="11"/>
        <v>-38.505312395519923</v>
      </c>
      <c r="H73" s="13">
        <v>67</v>
      </c>
      <c r="I73" s="14">
        <f t="shared" ref="I73:I136" si="12">COUNTIF($F:$F,"&gt;"&amp;H73)/COUNT(F:F)</f>
        <v>4.6189376443418013E-3</v>
      </c>
      <c r="J73" s="13">
        <f t="shared" si="4"/>
        <v>6</v>
      </c>
      <c r="K73">
        <f t="shared" si="5"/>
        <v>0</v>
      </c>
      <c r="L73">
        <f t="shared" si="6"/>
        <v>0</v>
      </c>
      <c r="M73">
        <f t="shared" si="7"/>
        <v>0</v>
      </c>
    </row>
    <row r="74" spans="1:13" x14ac:dyDescent="0.3">
      <c r="A74" s="2">
        <v>44011</v>
      </c>
      <c r="B74" s="1">
        <v>90.444999999999993</v>
      </c>
      <c r="C74" s="1">
        <f>'Historical Simulation'!D74</f>
        <v>220.64</v>
      </c>
      <c r="D74" s="22">
        <f t="shared" si="9"/>
        <v>956.50701274620064</v>
      </c>
      <c r="E74" s="23">
        <f t="shared" si="10"/>
        <v>18.817264408404753</v>
      </c>
      <c r="F74" s="23">
        <f t="shared" si="11"/>
        <v>-18.817264408404753</v>
      </c>
      <c r="H74" s="13">
        <v>68</v>
      </c>
      <c r="I74" s="14">
        <f t="shared" si="12"/>
        <v>4.6189376443418013E-3</v>
      </c>
      <c r="J74" s="13">
        <f t="shared" si="4"/>
        <v>6</v>
      </c>
      <c r="K74">
        <f t="shared" si="5"/>
        <v>0</v>
      </c>
      <c r="L74">
        <f t="shared" si="6"/>
        <v>0</v>
      </c>
      <c r="M74">
        <f t="shared" si="7"/>
        <v>0</v>
      </c>
    </row>
    <row r="75" spans="1:13" x14ac:dyDescent="0.3">
      <c r="A75" s="2">
        <v>44008</v>
      </c>
      <c r="B75" s="1">
        <v>88.407499999999999</v>
      </c>
      <c r="C75" s="1">
        <f>'Historical Simulation'!D75</f>
        <v>216.08</v>
      </c>
      <c r="D75" s="22">
        <f t="shared" si="9"/>
        <v>937.68974833779589</v>
      </c>
      <c r="E75" s="23">
        <f t="shared" si="10"/>
        <v>-114.5400986720249</v>
      </c>
      <c r="F75" s="23">
        <f t="shared" si="11"/>
        <v>114.5400986720249</v>
      </c>
      <c r="H75" s="13">
        <v>69</v>
      </c>
      <c r="I75" s="14">
        <f t="shared" si="12"/>
        <v>4.6189376443418013E-3</v>
      </c>
      <c r="J75" s="13">
        <f t="shared" si="4"/>
        <v>6</v>
      </c>
      <c r="K75">
        <f t="shared" si="5"/>
        <v>0</v>
      </c>
      <c r="L75">
        <f t="shared" si="6"/>
        <v>0</v>
      </c>
      <c r="M75">
        <f t="shared" si="7"/>
        <v>0</v>
      </c>
    </row>
    <row r="76" spans="1:13" x14ac:dyDescent="0.3">
      <c r="A76" s="2">
        <v>44007</v>
      </c>
      <c r="B76" s="1">
        <v>91.21</v>
      </c>
      <c r="C76" s="1">
        <f>'Historical Simulation'!D76</f>
        <v>235.68</v>
      </c>
      <c r="D76" s="22">
        <f t="shared" si="9"/>
        <v>1052.2298470098208</v>
      </c>
      <c r="E76" s="23">
        <f t="shared" si="10"/>
        <v>4.2881974033330152</v>
      </c>
      <c r="F76" s="23">
        <f t="shared" si="11"/>
        <v>-4.2881974033330152</v>
      </c>
      <c r="H76" s="13">
        <v>70</v>
      </c>
      <c r="I76" s="14">
        <f t="shared" si="12"/>
        <v>4.6189376443418013E-3</v>
      </c>
      <c r="J76" s="13">
        <f t="shared" si="4"/>
        <v>6</v>
      </c>
      <c r="K76">
        <f t="shared" si="5"/>
        <v>0</v>
      </c>
      <c r="L76">
        <f t="shared" si="6"/>
        <v>0</v>
      </c>
      <c r="M76">
        <f t="shared" si="7"/>
        <v>0</v>
      </c>
    </row>
    <row r="77" spans="1:13" x14ac:dyDescent="0.3">
      <c r="A77" s="2">
        <v>44006</v>
      </c>
      <c r="B77" s="1">
        <v>90.015000000000001</v>
      </c>
      <c r="C77" s="1">
        <f>'Historical Simulation'!D77</f>
        <v>234.02</v>
      </c>
      <c r="D77" s="22">
        <f t="shared" si="9"/>
        <v>1047.9416496064878</v>
      </c>
      <c r="E77" s="23">
        <f t="shared" si="10"/>
        <v>-45.537577108620098</v>
      </c>
      <c r="F77" s="23">
        <f t="shared" si="11"/>
        <v>45.537577108620098</v>
      </c>
      <c r="H77" s="13">
        <v>71</v>
      </c>
      <c r="I77" s="14">
        <f t="shared" si="12"/>
        <v>4.6189376443418013E-3</v>
      </c>
      <c r="J77" s="13">
        <f t="shared" si="4"/>
        <v>6</v>
      </c>
      <c r="K77">
        <f t="shared" si="5"/>
        <v>0</v>
      </c>
      <c r="L77">
        <f t="shared" si="6"/>
        <v>0</v>
      </c>
      <c r="M77">
        <f t="shared" si="7"/>
        <v>0</v>
      </c>
    </row>
    <row r="78" spans="1:13" x14ac:dyDescent="0.3">
      <c r="A78" s="2">
        <v>44005</v>
      </c>
      <c r="B78" s="1">
        <v>91.632499999999993</v>
      </c>
      <c r="C78" s="1">
        <f>'Historical Simulation'!D78</f>
        <v>242.24</v>
      </c>
      <c r="D78" s="22">
        <f t="shared" si="9"/>
        <v>1093.4792267151079</v>
      </c>
      <c r="E78" s="23">
        <f t="shared" si="10"/>
        <v>9.2655013563085049</v>
      </c>
      <c r="F78" s="23">
        <f t="shared" si="11"/>
        <v>-9.2655013563085049</v>
      </c>
      <c r="H78" s="13">
        <v>72</v>
      </c>
      <c r="I78" s="14">
        <f t="shared" si="12"/>
        <v>4.6189376443418013E-3</v>
      </c>
      <c r="J78" s="13">
        <f t="shared" si="4"/>
        <v>6</v>
      </c>
      <c r="K78">
        <f t="shared" si="5"/>
        <v>0</v>
      </c>
      <c r="L78">
        <f t="shared" si="6"/>
        <v>0</v>
      </c>
      <c r="M78">
        <f t="shared" si="7"/>
        <v>0</v>
      </c>
    </row>
    <row r="79" spans="1:13" x14ac:dyDescent="0.3">
      <c r="A79" s="2">
        <v>44004</v>
      </c>
      <c r="B79" s="1">
        <v>89.717500000000001</v>
      </c>
      <c r="C79" s="1">
        <f>'Historical Simulation'!D79</f>
        <v>239.22</v>
      </c>
      <c r="D79" s="22">
        <f t="shared" si="9"/>
        <v>1084.2137253587994</v>
      </c>
      <c r="E79" s="23">
        <f t="shared" si="10"/>
        <v>-10.068659519766925</v>
      </c>
      <c r="F79" s="23">
        <f t="shared" si="11"/>
        <v>10.068659519766925</v>
      </c>
      <c r="H79" s="13">
        <v>73</v>
      </c>
      <c r="I79" s="14">
        <f t="shared" si="12"/>
        <v>4.6189376443418013E-3</v>
      </c>
      <c r="J79" s="13">
        <f t="shared" si="4"/>
        <v>6</v>
      </c>
      <c r="K79">
        <f t="shared" si="5"/>
        <v>0</v>
      </c>
      <c r="L79">
        <f t="shared" si="6"/>
        <v>0</v>
      </c>
      <c r="M79">
        <f t="shared" si="7"/>
        <v>0</v>
      </c>
    </row>
    <row r="80" spans="1:13" x14ac:dyDescent="0.3">
      <c r="A80" s="2">
        <v>44001</v>
      </c>
      <c r="B80" s="1">
        <v>87.43</v>
      </c>
      <c r="C80" s="1">
        <f>'Historical Simulation'!D80</f>
        <v>238.79</v>
      </c>
      <c r="D80" s="22">
        <f t="shared" si="9"/>
        <v>1094.2823848785663</v>
      </c>
      <c r="E80" s="23">
        <f t="shared" si="10"/>
        <v>21.798455472419164</v>
      </c>
      <c r="F80" s="23">
        <f t="shared" si="11"/>
        <v>-21.798455472419164</v>
      </c>
      <c r="H80" s="13">
        <v>74</v>
      </c>
      <c r="I80" s="14">
        <f t="shared" si="12"/>
        <v>4.6189376443418013E-3</v>
      </c>
      <c r="J80" s="13">
        <f t="shared" si="4"/>
        <v>6</v>
      </c>
      <c r="K80">
        <f t="shared" si="5"/>
        <v>0</v>
      </c>
      <c r="L80">
        <f t="shared" si="6"/>
        <v>0</v>
      </c>
      <c r="M80">
        <f t="shared" si="7"/>
        <v>0</v>
      </c>
    </row>
    <row r="81" spans="1:13" x14ac:dyDescent="0.3">
      <c r="A81" s="2">
        <v>44000</v>
      </c>
      <c r="B81" s="1">
        <v>87.932500000000005</v>
      </c>
      <c r="C81" s="1">
        <f>'Historical Simulation'!D81</f>
        <v>235.94</v>
      </c>
      <c r="D81" s="22">
        <f t="shared" si="9"/>
        <v>1072.4839294061471</v>
      </c>
      <c r="E81" s="23">
        <f t="shared" si="10"/>
        <v>2.5295140349462599</v>
      </c>
      <c r="F81" s="23">
        <f t="shared" si="11"/>
        <v>-2.5295140349462599</v>
      </c>
      <c r="H81" s="13">
        <v>75</v>
      </c>
      <c r="I81" s="14">
        <f t="shared" si="12"/>
        <v>4.6189376443418013E-3</v>
      </c>
      <c r="J81" s="13">
        <f t="shared" si="4"/>
        <v>6</v>
      </c>
      <c r="K81">
        <f t="shared" si="5"/>
        <v>0</v>
      </c>
      <c r="L81">
        <f t="shared" si="6"/>
        <v>0</v>
      </c>
      <c r="M81">
        <f t="shared" si="7"/>
        <v>0</v>
      </c>
    </row>
    <row r="82" spans="1:13" x14ac:dyDescent="0.3">
      <c r="A82" s="2">
        <v>43999</v>
      </c>
      <c r="B82" s="1">
        <v>87.897499999999994</v>
      </c>
      <c r="C82" s="1">
        <f>'Historical Simulation'!D82</f>
        <v>235.53</v>
      </c>
      <c r="D82" s="22">
        <f t="shared" si="9"/>
        <v>1069.9544153712009</v>
      </c>
      <c r="E82" s="23">
        <f t="shared" si="10"/>
        <v>-0.10586990643378158</v>
      </c>
      <c r="F82" s="23">
        <f t="shared" si="11"/>
        <v>0.10586990643378158</v>
      </c>
      <c r="H82" s="13">
        <v>76</v>
      </c>
      <c r="I82" s="14">
        <f t="shared" si="12"/>
        <v>4.6189376443418013E-3</v>
      </c>
      <c r="J82" s="13">
        <f t="shared" si="4"/>
        <v>6</v>
      </c>
      <c r="K82">
        <f t="shared" si="5"/>
        <v>0</v>
      </c>
      <c r="L82">
        <f t="shared" si="6"/>
        <v>0</v>
      </c>
      <c r="M82">
        <f t="shared" si="7"/>
        <v>0</v>
      </c>
    </row>
    <row r="83" spans="1:13" x14ac:dyDescent="0.3">
      <c r="A83" s="2">
        <v>43998</v>
      </c>
      <c r="B83" s="1">
        <v>88.02</v>
      </c>
      <c r="C83" s="1">
        <f>'Historical Simulation'!D83</f>
        <v>235.65</v>
      </c>
      <c r="D83" s="22">
        <f t="shared" si="9"/>
        <v>1070.0602852776346</v>
      </c>
      <c r="E83" s="23">
        <f t="shared" si="10"/>
        <v>8.1096628417744796</v>
      </c>
      <c r="F83" s="23">
        <f t="shared" si="11"/>
        <v>-8.1096628417744796</v>
      </c>
      <c r="H83" s="13">
        <v>77</v>
      </c>
      <c r="I83" s="14">
        <f t="shared" si="12"/>
        <v>4.6189376443418013E-3</v>
      </c>
      <c r="J83" s="13">
        <f t="shared" si="4"/>
        <v>6</v>
      </c>
      <c r="K83">
        <f t="shared" si="5"/>
        <v>0</v>
      </c>
      <c r="L83">
        <f t="shared" si="6"/>
        <v>0</v>
      </c>
      <c r="M83">
        <f t="shared" si="7"/>
        <v>0</v>
      </c>
    </row>
    <row r="84" spans="1:13" x14ac:dyDescent="0.3">
      <c r="A84" s="2">
        <v>43997</v>
      </c>
      <c r="B84" s="1">
        <v>85.747500000000002</v>
      </c>
      <c r="C84" s="1">
        <f>'Historical Simulation'!D84</f>
        <v>232.5</v>
      </c>
      <c r="D84" s="22">
        <f t="shared" si="9"/>
        <v>1061.9506224358602</v>
      </c>
      <c r="E84" s="23">
        <f t="shared" si="10"/>
        <v>20.15547750768792</v>
      </c>
      <c r="F84" s="23">
        <f t="shared" si="11"/>
        <v>-20.15547750768792</v>
      </c>
      <c r="H84" s="13">
        <v>78</v>
      </c>
      <c r="I84" s="14">
        <f t="shared" si="12"/>
        <v>4.6189376443418013E-3</v>
      </c>
      <c r="J84" s="13">
        <f t="shared" si="4"/>
        <v>6</v>
      </c>
      <c r="K84">
        <f t="shared" si="5"/>
        <v>0</v>
      </c>
      <c r="L84">
        <f t="shared" si="6"/>
        <v>0</v>
      </c>
      <c r="M84">
        <f t="shared" si="7"/>
        <v>0</v>
      </c>
    </row>
    <row r="85" spans="1:13" x14ac:dyDescent="0.3">
      <c r="A85" s="2">
        <v>43994</v>
      </c>
      <c r="B85" s="1">
        <v>84.7</v>
      </c>
      <c r="C85" s="1">
        <f>'Historical Simulation'!D85</f>
        <v>228.58</v>
      </c>
      <c r="D85" s="22">
        <f t="shared" si="9"/>
        <v>1041.7951449281722</v>
      </c>
      <c r="E85" s="23">
        <f t="shared" si="10"/>
        <v>23.508228185842199</v>
      </c>
      <c r="F85" s="23">
        <f t="shared" si="11"/>
        <v>-23.508228185842199</v>
      </c>
      <c r="H85" s="13">
        <v>79</v>
      </c>
      <c r="I85" s="14">
        <f t="shared" si="12"/>
        <v>4.6189376443418013E-3</v>
      </c>
      <c r="J85" s="13">
        <f t="shared" si="4"/>
        <v>6</v>
      </c>
      <c r="K85">
        <f t="shared" si="5"/>
        <v>1</v>
      </c>
      <c r="L85">
        <f t="shared" si="6"/>
        <v>7.6982294072363352E-4</v>
      </c>
      <c r="M85">
        <f t="shared" si="7"/>
        <v>6.0816012317167045E-2</v>
      </c>
    </row>
    <row r="86" spans="1:13" x14ac:dyDescent="0.3">
      <c r="A86" s="2">
        <v>43993</v>
      </c>
      <c r="B86" s="1">
        <v>83.974999999999994</v>
      </c>
      <c r="C86" s="1">
        <f>'Historical Simulation'!D86</f>
        <v>224.43</v>
      </c>
      <c r="D86" s="22">
        <f t="shared" si="9"/>
        <v>1018.28691674233</v>
      </c>
      <c r="E86" s="23">
        <f t="shared" si="10"/>
        <v>-57.88368184491037</v>
      </c>
      <c r="F86" s="23">
        <f t="shared" si="11"/>
        <v>57.88368184491037</v>
      </c>
      <c r="H86" s="13">
        <v>80</v>
      </c>
      <c r="I86" s="14">
        <f t="shared" si="12"/>
        <v>3.8491147036181679E-3</v>
      </c>
      <c r="J86" s="13">
        <f t="shared" si="4"/>
        <v>5</v>
      </c>
      <c r="K86">
        <f t="shared" si="5"/>
        <v>0</v>
      </c>
      <c r="L86">
        <f t="shared" si="6"/>
        <v>0</v>
      </c>
      <c r="M86">
        <f t="shared" si="7"/>
        <v>0</v>
      </c>
    </row>
    <row r="87" spans="1:13" x14ac:dyDescent="0.3">
      <c r="A87" s="2">
        <v>43992</v>
      </c>
      <c r="B87" s="1">
        <v>88.21</v>
      </c>
      <c r="C87" s="1">
        <f>'Historical Simulation'!D87</f>
        <v>236.73</v>
      </c>
      <c r="D87" s="22">
        <f t="shared" si="9"/>
        <v>1076.1705985872404</v>
      </c>
      <c r="E87" s="23">
        <f t="shared" si="10"/>
        <v>-25.410085413637717</v>
      </c>
      <c r="F87" s="23">
        <f t="shared" si="11"/>
        <v>25.410085413637717</v>
      </c>
      <c r="H87" s="13">
        <v>81</v>
      </c>
      <c r="I87" s="14">
        <f t="shared" si="12"/>
        <v>3.8491147036181679E-3</v>
      </c>
      <c r="J87" s="13">
        <f t="shared" si="4"/>
        <v>5</v>
      </c>
      <c r="K87">
        <f t="shared" si="5"/>
        <v>0</v>
      </c>
      <c r="L87">
        <f t="shared" si="6"/>
        <v>0</v>
      </c>
      <c r="M87">
        <f t="shared" si="7"/>
        <v>0</v>
      </c>
    </row>
    <row r="88" spans="1:13" x14ac:dyDescent="0.3">
      <c r="A88" s="2">
        <v>43991</v>
      </c>
      <c r="B88" s="1">
        <v>85.997500000000002</v>
      </c>
      <c r="C88" s="1">
        <f>'Historical Simulation'!D88</f>
        <v>238.67</v>
      </c>
      <c r="D88" s="22">
        <f t="shared" si="9"/>
        <v>1101.5806840008781</v>
      </c>
      <c r="E88" s="23">
        <f t="shared" si="10"/>
        <v>33.481323565501498</v>
      </c>
      <c r="F88" s="23">
        <f t="shared" si="11"/>
        <v>-33.481323565501498</v>
      </c>
      <c r="H88" s="13">
        <v>82</v>
      </c>
      <c r="I88" s="14">
        <f t="shared" si="12"/>
        <v>3.8491147036181679E-3</v>
      </c>
      <c r="J88" s="13">
        <f t="shared" si="4"/>
        <v>5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1:13" x14ac:dyDescent="0.3">
      <c r="A89" s="2">
        <v>43990</v>
      </c>
      <c r="B89" s="1">
        <v>83.364999999999995</v>
      </c>
      <c r="C89" s="1">
        <f>'Historical Simulation'!D89</f>
        <v>231.4</v>
      </c>
      <c r="D89" s="22">
        <f t="shared" si="9"/>
        <v>1068.0993604353766</v>
      </c>
      <c r="E89" s="23">
        <f t="shared" si="10"/>
        <v>1.4212852397133702</v>
      </c>
      <c r="F89" s="23">
        <f t="shared" si="11"/>
        <v>-1.4212852397133702</v>
      </c>
      <c r="H89" s="13">
        <v>83</v>
      </c>
      <c r="I89" s="14">
        <f t="shared" si="12"/>
        <v>3.8491147036181679E-3</v>
      </c>
      <c r="J89" s="13">
        <f t="shared" si="4"/>
        <v>5</v>
      </c>
      <c r="K89">
        <f t="shared" si="5"/>
        <v>0</v>
      </c>
      <c r="L89">
        <f t="shared" si="6"/>
        <v>0</v>
      </c>
      <c r="M89">
        <f t="shared" si="7"/>
        <v>0</v>
      </c>
    </row>
    <row r="90" spans="1:13" x14ac:dyDescent="0.3">
      <c r="A90" s="2">
        <v>43987</v>
      </c>
      <c r="B90" s="1">
        <v>82.875</v>
      </c>
      <c r="C90" s="1">
        <f>'Historical Simulation'!D90</f>
        <v>230.77</v>
      </c>
      <c r="D90" s="22">
        <f t="shared" si="9"/>
        <v>1066.6780751956633</v>
      </c>
      <c r="E90" s="23">
        <f t="shared" si="10"/>
        <v>16.82970177695347</v>
      </c>
      <c r="F90" s="23">
        <f t="shared" si="11"/>
        <v>-16.82970177695347</v>
      </c>
      <c r="H90" s="13">
        <v>84</v>
      </c>
      <c r="I90" s="14">
        <f t="shared" si="12"/>
        <v>3.8491147036181679E-3</v>
      </c>
      <c r="J90" s="13">
        <f t="shared" si="4"/>
        <v>5</v>
      </c>
      <c r="K90">
        <f t="shared" si="5"/>
        <v>0</v>
      </c>
      <c r="L90">
        <f t="shared" si="6"/>
        <v>0</v>
      </c>
      <c r="M90">
        <f t="shared" si="7"/>
        <v>0</v>
      </c>
    </row>
    <row r="91" spans="1:13" x14ac:dyDescent="0.3">
      <c r="A91" s="2">
        <v>43986</v>
      </c>
      <c r="B91" s="1">
        <v>80.58</v>
      </c>
      <c r="C91" s="1">
        <f>'Historical Simulation'!D91</f>
        <v>226.29</v>
      </c>
      <c r="D91" s="22">
        <f t="shared" si="9"/>
        <v>1049.8483734187098</v>
      </c>
      <c r="E91" s="23">
        <f t="shared" si="10"/>
        <v>-21.786958642078844</v>
      </c>
      <c r="F91" s="23">
        <f t="shared" si="11"/>
        <v>21.786958642078844</v>
      </c>
      <c r="H91" s="13">
        <v>85</v>
      </c>
      <c r="I91" s="14">
        <f t="shared" si="12"/>
        <v>3.8491147036181679E-3</v>
      </c>
      <c r="J91" s="13">
        <f t="shared" si="4"/>
        <v>5</v>
      </c>
      <c r="K91">
        <f t="shared" si="5"/>
        <v>0</v>
      </c>
      <c r="L91">
        <f t="shared" si="6"/>
        <v>0</v>
      </c>
      <c r="M91">
        <f t="shared" si="7"/>
        <v>0</v>
      </c>
    </row>
    <row r="92" spans="1:13" x14ac:dyDescent="0.3">
      <c r="A92" s="2">
        <v>43985</v>
      </c>
      <c r="B92" s="1">
        <v>81.28</v>
      </c>
      <c r="C92" s="1">
        <f>'Historical Simulation'!D92</f>
        <v>230.16</v>
      </c>
      <c r="D92" s="22">
        <f t="shared" si="9"/>
        <v>1071.6353320607886</v>
      </c>
      <c r="E92" s="23">
        <f t="shared" si="10"/>
        <v>-19.544372466702498</v>
      </c>
      <c r="F92" s="23">
        <f t="shared" si="11"/>
        <v>19.544372466702498</v>
      </c>
      <c r="H92" s="13">
        <v>86</v>
      </c>
      <c r="I92" s="14">
        <f t="shared" si="12"/>
        <v>3.8491147036181679E-3</v>
      </c>
      <c r="J92" s="13">
        <f t="shared" si="4"/>
        <v>5</v>
      </c>
      <c r="K92">
        <f t="shared" si="5"/>
        <v>1</v>
      </c>
      <c r="L92">
        <f t="shared" si="6"/>
        <v>7.6982294072363352E-4</v>
      </c>
      <c r="M92">
        <f t="shared" si="7"/>
        <v>6.6204772902232478E-2</v>
      </c>
    </row>
    <row r="93" spans="1:13" x14ac:dyDescent="0.3">
      <c r="A93" s="2">
        <v>43984</v>
      </c>
      <c r="B93" s="1">
        <v>80.834999999999994</v>
      </c>
      <c r="C93" s="1">
        <f>'Historical Simulation'!D93</f>
        <v>232.72</v>
      </c>
      <c r="D93" s="22">
        <f t="shared" si="9"/>
        <v>1091.1797045274911</v>
      </c>
      <c r="E93" s="23">
        <f t="shared" si="10"/>
        <v>3.2827663741040851</v>
      </c>
      <c r="F93" s="23">
        <f t="shared" si="11"/>
        <v>-3.2827663741040851</v>
      </c>
      <c r="H93" s="13">
        <v>87</v>
      </c>
      <c r="I93" s="14">
        <f t="shared" si="12"/>
        <v>3.0792917628945341E-3</v>
      </c>
      <c r="J93" s="13">
        <f t="shared" si="4"/>
        <v>4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x14ac:dyDescent="0.3">
      <c r="A94" s="2">
        <v>43983</v>
      </c>
      <c r="B94" s="1">
        <v>80.462500000000006</v>
      </c>
      <c r="C94" s="1">
        <f>'Historical Simulation'!D94</f>
        <v>231.91</v>
      </c>
      <c r="D94" s="22">
        <f t="shared" si="9"/>
        <v>1087.8969381533871</v>
      </c>
      <c r="E94" s="23">
        <f t="shared" si="10"/>
        <v>39.842028664462305</v>
      </c>
      <c r="F94" s="23">
        <f t="shared" si="11"/>
        <v>-39.842028664462305</v>
      </c>
      <c r="H94" s="13">
        <v>88</v>
      </c>
      <c r="I94" s="14">
        <f t="shared" si="12"/>
        <v>3.0792917628945341E-3</v>
      </c>
      <c r="J94" s="13">
        <f t="shared" si="4"/>
        <v>4</v>
      </c>
      <c r="K94">
        <f t="shared" si="5"/>
        <v>0</v>
      </c>
      <c r="L94">
        <f t="shared" si="6"/>
        <v>0</v>
      </c>
      <c r="M94">
        <f t="shared" si="7"/>
        <v>0</v>
      </c>
    </row>
    <row r="95" spans="1:13" x14ac:dyDescent="0.3">
      <c r="A95" s="2">
        <v>43980</v>
      </c>
      <c r="B95" s="1">
        <v>79.484999999999999</v>
      </c>
      <c r="C95" s="1">
        <f>'Historical Simulation'!D95</f>
        <v>225.09</v>
      </c>
      <c r="D95" s="22">
        <f t="shared" si="9"/>
        <v>1048.0549094889247</v>
      </c>
      <c r="E95" s="23">
        <f t="shared" si="10"/>
        <v>-2.0232209472580962</v>
      </c>
      <c r="F95" s="23">
        <f t="shared" si="11"/>
        <v>2.0232209472580962</v>
      </c>
      <c r="H95" s="13">
        <v>89</v>
      </c>
      <c r="I95" s="14">
        <f t="shared" si="12"/>
        <v>3.0792917628945341E-3</v>
      </c>
      <c r="J95" s="13">
        <f t="shared" si="4"/>
        <v>4</v>
      </c>
      <c r="K95">
        <f t="shared" si="5"/>
        <v>0</v>
      </c>
      <c r="L95">
        <f t="shared" si="6"/>
        <v>0</v>
      </c>
      <c r="M95">
        <f t="shared" si="7"/>
        <v>0</v>
      </c>
    </row>
    <row r="96" spans="1:13" x14ac:dyDescent="0.3">
      <c r="A96" s="2">
        <v>43979</v>
      </c>
      <c r="B96" s="1">
        <v>79.5625</v>
      </c>
      <c r="C96" s="1">
        <f>'Historical Simulation'!D96</f>
        <v>225.46</v>
      </c>
      <c r="D96" s="22">
        <f t="shared" si="9"/>
        <v>1050.0781304361828</v>
      </c>
      <c r="E96" s="23">
        <f t="shared" si="10"/>
        <v>-24.677319039534041</v>
      </c>
      <c r="F96" s="23">
        <f t="shared" si="11"/>
        <v>24.677319039534041</v>
      </c>
      <c r="H96" s="13">
        <v>90</v>
      </c>
      <c r="I96" s="14">
        <f t="shared" si="12"/>
        <v>3.0792917628945341E-3</v>
      </c>
      <c r="J96" s="13">
        <f t="shared" si="4"/>
        <v>4</v>
      </c>
      <c r="K96">
        <f t="shared" si="5"/>
        <v>1</v>
      </c>
      <c r="L96">
        <f t="shared" si="6"/>
        <v>7.6982294072363352E-4</v>
      </c>
      <c r="M96">
        <f t="shared" si="7"/>
        <v>6.9284064665127015E-2</v>
      </c>
    </row>
    <row r="97" spans="1:13" x14ac:dyDescent="0.3">
      <c r="A97" s="2">
        <v>43978</v>
      </c>
      <c r="B97" s="1">
        <v>79.527500000000003</v>
      </c>
      <c r="C97" s="1">
        <f>'Historical Simulation'!D97</f>
        <v>229.14</v>
      </c>
      <c r="D97" s="22">
        <f t="shared" si="9"/>
        <v>1074.7554494757169</v>
      </c>
      <c r="E97" s="23">
        <f t="shared" si="10"/>
        <v>-22.305187437311815</v>
      </c>
      <c r="F97" s="23">
        <f t="shared" si="11"/>
        <v>22.305187437311815</v>
      </c>
      <c r="H97" s="13">
        <v>91</v>
      </c>
      <c r="I97" s="14">
        <f t="shared" si="12"/>
        <v>2.3094688221709007E-3</v>
      </c>
      <c r="J97" s="13">
        <f t="shared" si="4"/>
        <v>3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x14ac:dyDescent="0.3">
      <c r="A98" s="2">
        <v>43977</v>
      </c>
      <c r="B98" s="1">
        <v>79.182500000000005</v>
      </c>
      <c r="C98" s="1">
        <f>'Historical Simulation'!D98</f>
        <v>232.2</v>
      </c>
      <c r="D98" s="22">
        <f t="shared" si="9"/>
        <v>1097.0606369130287</v>
      </c>
      <c r="E98" s="23">
        <f t="shared" si="10"/>
        <v>-14.974921215555696</v>
      </c>
      <c r="F98" s="23">
        <f t="shared" si="11"/>
        <v>14.974921215555696</v>
      </c>
      <c r="H98" s="13">
        <v>92</v>
      </c>
      <c r="I98" s="14">
        <f t="shared" si="12"/>
        <v>2.3094688221709007E-3</v>
      </c>
      <c r="J98" s="13">
        <f t="shared" si="4"/>
        <v>3</v>
      </c>
      <c r="K98">
        <f t="shared" si="5"/>
        <v>0</v>
      </c>
      <c r="L98">
        <f t="shared" si="6"/>
        <v>0</v>
      </c>
      <c r="M98">
        <f t="shared" si="7"/>
        <v>0</v>
      </c>
    </row>
    <row r="99" spans="1:13" x14ac:dyDescent="0.3">
      <c r="A99" s="2">
        <v>43973</v>
      </c>
      <c r="B99" s="1">
        <v>79.722499999999997</v>
      </c>
      <c r="C99" s="1">
        <f>'Historical Simulation'!D99</f>
        <v>234.91</v>
      </c>
      <c r="D99" s="22">
        <f t="shared" si="9"/>
        <v>1112.0355581285844</v>
      </c>
      <c r="E99" s="23">
        <f t="shared" si="10"/>
        <v>20.532632653835208</v>
      </c>
      <c r="F99" s="23">
        <f t="shared" si="11"/>
        <v>-20.532632653835208</v>
      </c>
      <c r="H99" s="13">
        <v>93</v>
      </c>
      <c r="I99" s="14">
        <f t="shared" si="12"/>
        <v>2.3094688221709007E-3</v>
      </c>
      <c r="J99" s="13">
        <f t="shared" ref="J99:J162" si="13">COUNTIF($F:$F,"&gt;"&amp;H99)</f>
        <v>3</v>
      </c>
      <c r="K99">
        <f t="shared" ref="K99:K162" si="14">J99-J100</f>
        <v>0</v>
      </c>
      <c r="L99">
        <f t="shared" ref="L99:L162" si="15">K99/COUNT(F:F)</f>
        <v>0</v>
      </c>
      <c r="M99">
        <f t="shared" ref="M99:M162" si="16">L99*H99</f>
        <v>0</v>
      </c>
    </row>
    <row r="100" spans="1:13" x14ac:dyDescent="0.3">
      <c r="A100" s="2">
        <v>43972</v>
      </c>
      <c r="B100" s="1">
        <v>79.212500000000006</v>
      </c>
      <c r="C100" s="1">
        <f>'Historical Simulation'!D100</f>
        <v>231.39</v>
      </c>
      <c r="D100" s="22">
        <f t="shared" si="9"/>
        <v>1091.5029254747492</v>
      </c>
      <c r="E100" s="23">
        <f t="shared" si="10"/>
        <v>12.808855414444224</v>
      </c>
      <c r="F100" s="23">
        <f t="shared" si="11"/>
        <v>-12.808855414444224</v>
      </c>
      <c r="H100" s="13">
        <v>94</v>
      </c>
      <c r="I100" s="14">
        <f t="shared" si="12"/>
        <v>2.3094688221709007E-3</v>
      </c>
      <c r="J100" s="13">
        <f t="shared" si="13"/>
        <v>3</v>
      </c>
      <c r="K100">
        <f t="shared" si="14"/>
        <v>0</v>
      </c>
      <c r="L100">
        <f t="shared" si="15"/>
        <v>0</v>
      </c>
      <c r="M100">
        <f t="shared" si="16"/>
        <v>0</v>
      </c>
    </row>
    <row r="101" spans="1:13" x14ac:dyDescent="0.3">
      <c r="A101" s="2">
        <v>43971</v>
      </c>
      <c r="B101" s="1">
        <v>79.807500000000005</v>
      </c>
      <c r="C101" s="1">
        <f>'Historical Simulation'!D101</f>
        <v>229.97</v>
      </c>
      <c r="D101" s="22">
        <f t="shared" si="9"/>
        <v>1078.694070060305</v>
      </c>
      <c r="E101" s="23">
        <f t="shared" si="10"/>
        <v>78.469942931308537</v>
      </c>
      <c r="F101" s="23">
        <f t="shared" si="11"/>
        <v>-78.469942931308537</v>
      </c>
      <c r="H101" s="13">
        <v>95</v>
      </c>
      <c r="I101" s="14">
        <f t="shared" si="12"/>
        <v>2.3094688221709007E-3</v>
      </c>
      <c r="J101" s="13">
        <f t="shared" si="13"/>
        <v>3</v>
      </c>
      <c r="K101">
        <f t="shared" si="14"/>
        <v>0</v>
      </c>
      <c r="L101">
        <f t="shared" si="15"/>
        <v>0</v>
      </c>
      <c r="M101">
        <f t="shared" si="16"/>
        <v>0</v>
      </c>
    </row>
    <row r="102" spans="1:13" x14ac:dyDescent="0.3">
      <c r="A102" s="2">
        <v>43970</v>
      </c>
      <c r="B102" s="1">
        <v>78.284999999999997</v>
      </c>
      <c r="C102" s="1">
        <f>'Historical Simulation'!D102</f>
        <v>216.88</v>
      </c>
      <c r="D102" s="22">
        <f t="shared" si="9"/>
        <v>1000.2241271289964</v>
      </c>
      <c r="E102" s="23">
        <f t="shared" si="10"/>
        <v>27.117695132939048</v>
      </c>
      <c r="F102" s="23">
        <f t="shared" si="11"/>
        <v>-27.117695132939048</v>
      </c>
      <c r="H102" s="13">
        <v>96</v>
      </c>
      <c r="I102" s="14">
        <f t="shared" si="12"/>
        <v>2.3094688221709007E-3</v>
      </c>
      <c r="J102" s="13">
        <f t="shared" si="13"/>
        <v>3</v>
      </c>
      <c r="K102">
        <f t="shared" si="14"/>
        <v>0</v>
      </c>
      <c r="L102">
        <f t="shared" si="15"/>
        <v>0</v>
      </c>
      <c r="M102">
        <f t="shared" si="16"/>
        <v>0</v>
      </c>
    </row>
    <row r="103" spans="1:13" x14ac:dyDescent="0.3">
      <c r="A103" s="2">
        <v>43969</v>
      </c>
      <c r="B103" s="1">
        <v>78.739999999999995</v>
      </c>
      <c r="C103" s="1">
        <f>'Historical Simulation'!D103</f>
        <v>213.19</v>
      </c>
      <c r="D103" s="22">
        <f t="shared" si="9"/>
        <v>973.10643199605738</v>
      </c>
      <c r="E103" s="23">
        <f t="shared" si="10"/>
        <v>5.1218886196952553</v>
      </c>
      <c r="F103" s="23">
        <f t="shared" si="11"/>
        <v>-5.1218886196952553</v>
      </c>
      <c r="H103" s="13">
        <v>97</v>
      </c>
      <c r="I103" s="14">
        <f t="shared" si="12"/>
        <v>2.3094688221709007E-3</v>
      </c>
      <c r="J103" s="13">
        <f t="shared" si="13"/>
        <v>3</v>
      </c>
      <c r="K103">
        <f t="shared" si="14"/>
        <v>0</v>
      </c>
      <c r="L103">
        <f t="shared" si="15"/>
        <v>0</v>
      </c>
      <c r="M103">
        <f t="shared" si="16"/>
        <v>0</v>
      </c>
    </row>
    <row r="104" spans="1:13" x14ac:dyDescent="0.3">
      <c r="A104" s="2">
        <v>43966</v>
      </c>
      <c r="B104" s="1">
        <v>76.927499999999995</v>
      </c>
      <c r="C104" s="1">
        <f>'Historical Simulation'!D104</f>
        <v>210.88</v>
      </c>
      <c r="D104" s="22">
        <f t="shared" si="9"/>
        <v>967.98454337636213</v>
      </c>
      <c r="E104" s="23">
        <f t="shared" si="10"/>
        <v>29.659599448584231</v>
      </c>
      <c r="F104" s="23">
        <f t="shared" si="11"/>
        <v>-29.659599448584231</v>
      </c>
      <c r="H104" s="13">
        <v>98</v>
      </c>
      <c r="I104" s="14">
        <f t="shared" si="12"/>
        <v>2.3094688221709007E-3</v>
      </c>
      <c r="J104" s="13">
        <f t="shared" si="13"/>
        <v>3</v>
      </c>
      <c r="K104">
        <f t="shared" si="14"/>
        <v>0</v>
      </c>
      <c r="L104">
        <f t="shared" si="15"/>
        <v>0</v>
      </c>
      <c r="M104">
        <f t="shared" si="16"/>
        <v>0</v>
      </c>
    </row>
    <row r="105" spans="1:13" x14ac:dyDescent="0.3">
      <c r="A105" s="2">
        <v>43965</v>
      </c>
      <c r="B105" s="1">
        <v>77.385000000000005</v>
      </c>
      <c r="C105" s="1">
        <f>'Historical Simulation'!D105</f>
        <v>206.81</v>
      </c>
      <c r="D105" s="22">
        <f t="shared" si="9"/>
        <v>938.32494392777789</v>
      </c>
      <c r="E105" s="23">
        <f t="shared" si="10"/>
        <v>8.7043963153225832</v>
      </c>
      <c r="F105" s="23">
        <f t="shared" si="11"/>
        <v>-8.7043963153225832</v>
      </c>
      <c r="H105" s="13">
        <v>99</v>
      </c>
      <c r="I105" s="14">
        <f t="shared" si="12"/>
        <v>2.3094688221709007E-3</v>
      </c>
      <c r="J105" s="13">
        <f t="shared" si="13"/>
        <v>3</v>
      </c>
      <c r="K105">
        <f t="shared" si="14"/>
        <v>0</v>
      </c>
      <c r="L105">
        <f t="shared" si="15"/>
        <v>0</v>
      </c>
      <c r="M105">
        <f t="shared" si="16"/>
        <v>0</v>
      </c>
    </row>
    <row r="106" spans="1:13" x14ac:dyDescent="0.3">
      <c r="A106" s="2">
        <v>43964</v>
      </c>
      <c r="B106" s="1">
        <v>76.912499999999994</v>
      </c>
      <c r="C106" s="1">
        <f>'Historical Simulation'!D106</f>
        <v>205.1</v>
      </c>
      <c r="D106" s="22">
        <f t="shared" si="9"/>
        <v>929.62054761245531</v>
      </c>
      <c r="E106" s="23">
        <f t="shared" si="10"/>
        <v>-27.94727195168457</v>
      </c>
      <c r="F106" s="23">
        <f t="shared" si="11"/>
        <v>27.94727195168457</v>
      </c>
      <c r="H106" s="13">
        <v>100</v>
      </c>
      <c r="I106" s="14">
        <f t="shared" si="12"/>
        <v>2.3094688221709007E-3</v>
      </c>
      <c r="J106" s="13">
        <f t="shared" si="13"/>
        <v>3</v>
      </c>
      <c r="K106">
        <f t="shared" si="14"/>
        <v>0</v>
      </c>
      <c r="L106">
        <f t="shared" si="15"/>
        <v>0</v>
      </c>
      <c r="M106">
        <f t="shared" si="16"/>
        <v>0</v>
      </c>
    </row>
    <row r="107" spans="1:13" x14ac:dyDescent="0.3">
      <c r="A107" s="2">
        <v>43963</v>
      </c>
      <c r="B107" s="1">
        <v>77.852500000000006</v>
      </c>
      <c r="C107" s="1">
        <f>'Historical Simulation'!D107</f>
        <v>210.1</v>
      </c>
      <c r="D107" s="22">
        <f t="shared" si="9"/>
        <v>957.56781956413988</v>
      </c>
      <c r="E107" s="23">
        <f t="shared" si="10"/>
        <v>-15.401441589820934</v>
      </c>
      <c r="F107" s="23">
        <f t="shared" si="11"/>
        <v>15.401441589820934</v>
      </c>
      <c r="H107" s="13">
        <v>101</v>
      </c>
      <c r="I107" s="14">
        <f t="shared" si="12"/>
        <v>2.3094688221709007E-3</v>
      </c>
      <c r="J107" s="13">
        <f t="shared" si="13"/>
        <v>3</v>
      </c>
      <c r="K107">
        <f t="shared" si="14"/>
        <v>0</v>
      </c>
      <c r="L107">
        <f t="shared" si="15"/>
        <v>0</v>
      </c>
      <c r="M107">
        <f t="shared" si="16"/>
        <v>0</v>
      </c>
    </row>
    <row r="108" spans="1:13" x14ac:dyDescent="0.3">
      <c r="A108" s="2">
        <v>43962</v>
      </c>
      <c r="B108" s="1">
        <v>78.752499999999998</v>
      </c>
      <c r="C108" s="1">
        <f>'Historical Simulation'!D108</f>
        <v>213.18</v>
      </c>
      <c r="D108" s="22">
        <f t="shared" si="9"/>
        <v>972.96926115396082</v>
      </c>
      <c r="E108" s="23">
        <f t="shared" si="10"/>
        <v>-1.3748598000865968</v>
      </c>
      <c r="F108" s="23">
        <f t="shared" si="11"/>
        <v>1.3748598000865968</v>
      </c>
      <c r="H108" s="13">
        <v>102</v>
      </c>
      <c r="I108" s="14">
        <f t="shared" si="12"/>
        <v>2.3094688221709007E-3</v>
      </c>
      <c r="J108" s="13">
        <f t="shared" si="13"/>
        <v>3</v>
      </c>
      <c r="K108">
        <f t="shared" si="14"/>
        <v>0</v>
      </c>
      <c r="L108">
        <f t="shared" si="15"/>
        <v>0</v>
      </c>
      <c r="M108">
        <f t="shared" si="16"/>
        <v>0</v>
      </c>
    </row>
    <row r="109" spans="1:13" x14ac:dyDescent="0.3">
      <c r="A109" s="2">
        <v>43959</v>
      </c>
      <c r="B109" s="1">
        <v>77.532399999999996</v>
      </c>
      <c r="C109" s="1">
        <f>'Historical Simulation'!D109</f>
        <v>212.35</v>
      </c>
      <c r="D109" s="22">
        <f t="shared" si="9"/>
        <v>974.34412095404741</v>
      </c>
      <c r="E109" s="23">
        <f t="shared" si="10"/>
        <v>-1.7778437902179576</v>
      </c>
      <c r="F109" s="23">
        <f t="shared" si="11"/>
        <v>1.7778437902179576</v>
      </c>
      <c r="H109" s="13">
        <v>103</v>
      </c>
      <c r="I109" s="14">
        <f t="shared" si="12"/>
        <v>2.3094688221709007E-3</v>
      </c>
      <c r="J109" s="13">
        <f t="shared" si="13"/>
        <v>3</v>
      </c>
      <c r="K109">
        <f t="shared" si="14"/>
        <v>0</v>
      </c>
      <c r="L109">
        <f t="shared" si="15"/>
        <v>0</v>
      </c>
      <c r="M109">
        <f t="shared" si="16"/>
        <v>0</v>
      </c>
    </row>
    <row r="110" spans="1:13" x14ac:dyDescent="0.3">
      <c r="A110" s="2">
        <v>43958</v>
      </c>
      <c r="B110" s="1">
        <v>75.935000000000002</v>
      </c>
      <c r="C110" s="1">
        <f>'Historical Simulation'!D110</f>
        <v>211.26</v>
      </c>
      <c r="D110" s="22">
        <f t="shared" si="9"/>
        <v>976.12196474426537</v>
      </c>
      <c r="E110" s="23">
        <f t="shared" si="10"/>
        <v>14.164725320878233</v>
      </c>
      <c r="F110" s="23">
        <f t="shared" si="11"/>
        <v>-14.164725320878233</v>
      </c>
      <c r="H110" s="13">
        <v>104</v>
      </c>
      <c r="I110" s="14">
        <f t="shared" si="12"/>
        <v>2.3094688221709007E-3</v>
      </c>
      <c r="J110" s="13">
        <f t="shared" si="13"/>
        <v>3</v>
      </c>
      <c r="K110">
        <f t="shared" si="14"/>
        <v>0</v>
      </c>
      <c r="L110">
        <f t="shared" si="15"/>
        <v>0</v>
      </c>
      <c r="M110">
        <f t="shared" si="16"/>
        <v>0</v>
      </c>
    </row>
    <row r="111" spans="1:13" x14ac:dyDescent="0.3">
      <c r="A111" s="2">
        <v>43957</v>
      </c>
      <c r="B111" s="1">
        <v>75.157499999999999</v>
      </c>
      <c r="C111" s="1">
        <f>'Historical Simulation'!D111</f>
        <v>208.47</v>
      </c>
      <c r="D111" s="22">
        <f t="shared" si="9"/>
        <v>961.95723942338714</v>
      </c>
      <c r="E111" s="23">
        <f t="shared" si="10"/>
        <v>4.9749136722759886</v>
      </c>
      <c r="F111" s="23">
        <f t="shared" si="11"/>
        <v>-4.9749136722759886</v>
      </c>
      <c r="H111" s="13">
        <v>105</v>
      </c>
      <c r="I111" s="14">
        <f t="shared" si="12"/>
        <v>2.3094688221709007E-3</v>
      </c>
      <c r="J111" s="13">
        <f t="shared" si="13"/>
        <v>3</v>
      </c>
      <c r="K111">
        <f t="shared" si="14"/>
        <v>0</v>
      </c>
      <c r="L111">
        <f t="shared" si="15"/>
        <v>0</v>
      </c>
      <c r="M111">
        <f t="shared" si="16"/>
        <v>0</v>
      </c>
    </row>
    <row r="112" spans="1:13" x14ac:dyDescent="0.3">
      <c r="A112" s="2">
        <v>43956</v>
      </c>
      <c r="B112" s="1">
        <v>74.39</v>
      </c>
      <c r="C112" s="1">
        <f>'Historical Simulation'!D112</f>
        <v>207.07</v>
      </c>
      <c r="D112" s="22">
        <f t="shared" si="9"/>
        <v>956.98232575111115</v>
      </c>
      <c r="E112" s="23">
        <f t="shared" si="10"/>
        <v>5.8229465728313698</v>
      </c>
      <c r="F112" s="23">
        <f t="shared" si="11"/>
        <v>-5.8229465728313698</v>
      </c>
      <c r="H112" s="13">
        <v>106</v>
      </c>
      <c r="I112" s="14">
        <f t="shared" si="12"/>
        <v>2.3094688221709007E-3</v>
      </c>
      <c r="J112" s="13">
        <f t="shared" si="13"/>
        <v>3</v>
      </c>
      <c r="K112">
        <f t="shared" si="14"/>
        <v>0</v>
      </c>
      <c r="L112">
        <f t="shared" si="15"/>
        <v>0</v>
      </c>
      <c r="M112">
        <f t="shared" si="16"/>
        <v>0</v>
      </c>
    </row>
    <row r="113" spans="1:13" x14ac:dyDescent="0.3">
      <c r="A113" s="2">
        <v>43955</v>
      </c>
      <c r="B113" s="1">
        <v>73.290000000000006</v>
      </c>
      <c r="C113" s="1">
        <f>'Historical Simulation'!D113</f>
        <v>205.26</v>
      </c>
      <c r="D113" s="22">
        <f t="shared" si="9"/>
        <v>951.15937917827978</v>
      </c>
      <c r="E113" s="23">
        <f t="shared" si="10"/>
        <v>14.110383636684446</v>
      </c>
      <c r="F113" s="23">
        <f t="shared" si="11"/>
        <v>-14.110383636684446</v>
      </c>
      <c r="H113" s="13">
        <v>107</v>
      </c>
      <c r="I113" s="14">
        <f t="shared" si="12"/>
        <v>2.3094688221709007E-3</v>
      </c>
      <c r="J113" s="13">
        <f t="shared" si="13"/>
        <v>3</v>
      </c>
      <c r="K113">
        <f t="shared" si="14"/>
        <v>0</v>
      </c>
      <c r="L113">
        <f t="shared" si="15"/>
        <v>0</v>
      </c>
      <c r="M113">
        <f t="shared" si="16"/>
        <v>0</v>
      </c>
    </row>
    <row r="114" spans="1:13" x14ac:dyDescent="0.3">
      <c r="A114" s="2">
        <v>43952</v>
      </c>
      <c r="B114" s="1">
        <v>72.267499999999998</v>
      </c>
      <c r="C114" s="1">
        <f>'Historical Simulation'!D114</f>
        <v>202.27</v>
      </c>
      <c r="D114" s="22">
        <f t="shared" si="9"/>
        <v>937.04899554159533</v>
      </c>
      <c r="E114" s="23">
        <f t="shared" si="10"/>
        <v>-9.5474370638528399</v>
      </c>
      <c r="F114" s="23">
        <f t="shared" si="11"/>
        <v>9.5474370638528399</v>
      </c>
      <c r="H114" s="13">
        <v>108</v>
      </c>
      <c r="I114" s="14">
        <f t="shared" si="12"/>
        <v>2.3094688221709007E-3</v>
      </c>
      <c r="J114" s="13">
        <f t="shared" si="13"/>
        <v>3</v>
      </c>
      <c r="K114">
        <f t="shared" si="14"/>
        <v>0</v>
      </c>
      <c r="L114">
        <f t="shared" si="15"/>
        <v>0</v>
      </c>
      <c r="M114">
        <f t="shared" si="16"/>
        <v>0</v>
      </c>
    </row>
    <row r="115" spans="1:13" x14ac:dyDescent="0.3">
      <c r="A115" s="2">
        <v>43951</v>
      </c>
      <c r="B115" s="1">
        <v>73.45</v>
      </c>
      <c r="C115" s="1">
        <f>'Historical Simulation'!D115</f>
        <v>204.71</v>
      </c>
      <c r="D115" s="22">
        <f t="shared" si="9"/>
        <v>946.59643260544817</v>
      </c>
      <c r="E115" s="23">
        <f t="shared" si="10"/>
        <v>61.402466932275956</v>
      </c>
      <c r="F115" s="23">
        <f t="shared" si="11"/>
        <v>-61.402466932275956</v>
      </c>
      <c r="H115" s="13">
        <v>109</v>
      </c>
      <c r="I115" s="14">
        <f t="shared" si="12"/>
        <v>2.3094688221709007E-3</v>
      </c>
      <c r="J115" s="13">
        <f t="shared" si="13"/>
        <v>3</v>
      </c>
      <c r="K115">
        <f t="shared" si="14"/>
        <v>0</v>
      </c>
      <c r="L115">
        <f t="shared" si="15"/>
        <v>0</v>
      </c>
      <c r="M115">
        <f t="shared" si="16"/>
        <v>0</v>
      </c>
    </row>
    <row r="116" spans="1:13" x14ac:dyDescent="0.3">
      <c r="A116" s="2">
        <v>43950</v>
      </c>
      <c r="B116" s="1">
        <v>71.932500000000005</v>
      </c>
      <c r="C116" s="1">
        <f>'Historical Simulation'!D116</f>
        <v>194.19</v>
      </c>
      <c r="D116" s="22">
        <f t="shared" si="9"/>
        <v>885.19396567317222</v>
      </c>
      <c r="E116" s="23">
        <f t="shared" si="10"/>
        <v>62.105946558010828</v>
      </c>
      <c r="F116" s="23">
        <f t="shared" si="11"/>
        <v>-62.105946558010828</v>
      </c>
      <c r="H116" s="13">
        <v>110</v>
      </c>
      <c r="I116" s="14">
        <f t="shared" si="12"/>
        <v>2.3094688221709007E-3</v>
      </c>
      <c r="J116" s="13">
        <f t="shared" si="13"/>
        <v>3</v>
      </c>
      <c r="K116">
        <f t="shared" si="14"/>
        <v>1</v>
      </c>
      <c r="L116">
        <f t="shared" si="15"/>
        <v>7.6982294072363352E-4</v>
      </c>
      <c r="M116">
        <f t="shared" si="16"/>
        <v>8.4680523479599687E-2</v>
      </c>
    </row>
    <row r="117" spans="1:13" x14ac:dyDescent="0.3">
      <c r="A117" s="2">
        <v>43949</v>
      </c>
      <c r="B117" s="1">
        <v>69.644999999999996</v>
      </c>
      <c r="C117" s="1">
        <f>'Historical Simulation'!D117</f>
        <v>182.91</v>
      </c>
      <c r="D117" s="22">
        <f t="shared" si="9"/>
        <v>823.08801911516139</v>
      </c>
      <c r="E117" s="23">
        <f t="shared" si="10"/>
        <v>-24.047138840806383</v>
      </c>
      <c r="F117" s="23">
        <f t="shared" si="11"/>
        <v>24.047138840806383</v>
      </c>
      <c r="H117" s="13">
        <v>111</v>
      </c>
      <c r="I117" s="14">
        <f t="shared" si="12"/>
        <v>1.539645881447267E-3</v>
      </c>
      <c r="J117" s="13">
        <f t="shared" si="13"/>
        <v>2</v>
      </c>
      <c r="K117">
        <f t="shared" si="14"/>
        <v>0</v>
      </c>
      <c r="L117">
        <f t="shared" si="15"/>
        <v>0</v>
      </c>
      <c r="M117">
        <f t="shared" si="16"/>
        <v>0</v>
      </c>
    </row>
    <row r="118" spans="1:13" x14ac:dyDescent="0.3">
      <c r="A118" s="2">
        <v>43948</v>
      </c>
      <c r="B118" s="1">
        <v>70.792500000000004</v>
      </c>
      <c r="C118" s="1">
        <f>'Historical Simulation'!D118</f>
        <v>187.5</v>
      </c>
      <c r="D118" s="22">
        <f t="shared" si="9"/>
        <v>847.13515795596777</v>
      </c>
      <c r="E118" s="23">
        <f t="shared" si="10"/>
        <v>-17.378338057490964</v>
      </c>
      <c r="F118" s="23">
        <f t="shared" si="11"/>
        <v>17.378338057490964</v>
      </c>
      <c r="H118" s="13">
        <v>112</v>
      </c>
      <c r="I118" s="14">
        <f t="shared" si="12"/>
        <v>1.539645881447267E-3</v>
      </c>
      <c r="J118" s="13">
        <f t="shared" si="13"/>
        <v>2</v>
      </c>
      <c r="K118">
        <f t="shared" si="14"/>
        <v>0</v>
      </c>
      <c r="L118">
        <f t="shared" si="15"/>
        <v>0</v>
      </c>
      <c r="M118">
        <f t="shared" si="16"/>
        <v>0</v>
      </c>
    </row>
    <row r="119" spans="1:13" x14ac:dyDescent="0.3">
      <c r="A119" s="2">
        <v>43945</v>
      </c>
      <c r="B119" s="1">
        <v>70.742500000000007</v>
      </c>
      <c r="C119" s="1">
        <f>'Historical Simulation'!D119</f>
        <v>190.07</v>
      </c>
      <c r="D119" s="22">
        <f t="shared" si="9"/>
        <v>864.51349601345873</v>
      </c>
      <c r="E119" s="23">
        <f t="shared" si="10"/>
        <v>21.641770595376215</v>
      </c>
      <c r="F119" s="23">
        <f t="shared" si="11"/>
        <v>-21.641770595376215</v>
      </c>
      <c r="H119" s="13">
        <v>113</v>
      </c>
      <c r="I119" s="14">
        <f t="shared" si="12"/>
        <v>1.539645881447267E-3</v>
      </c>
      <c r="J119" s="13">
        <f t="shared" si="13"/>
        <v>2</v>
      </c>
      <c r="K119">
        <f t="shared" si="14"/>
        <v>0</v>
      </c>
      <c r="L119">
        <f t="shared" si="15"/>
        <v>0</v>
      </c>
      <c r="M119">
        <f t="shared" si="16"/>
        <v>0</v>
      </c>
    </row>
    <row r="120" spans="1:13" x14ac:dyDescent="0.3">
      <c r="A120" s="2">
        <v>43944</v>
      </c>
      <c r="B120" s="1">
        <v>68.757499999999993</v>
      </c>
      <c r="C120" s="1">
        <f>'Historical Simulation'!D120</f>
        <v>185.13</v>
      </c>
      <c r="D120" s="22">
        <f t="shared" si="9"/>
        <v>842.87172541808252</v>
      </c>
      <c r="E120" s="23">
        <f t="shared" si="10"/>
        <v>20.470226677186474</v>
      </c>
      <c r="F120" s="23">
        <f t="shared" si="11"/>
        <v>-20.470226677186474</v>
      </c>
      <c r="H120" s="13">
        <v>114</v>
      </c>
      <c r="I120" s="14">
        <f t="shared" si="12"/>
        <v>1.539645881447267E-3</v>
      </c>
      <c r="J120" s="13">
        <f t="shared" si="13"/>
        <v>2</v>
      </c>
      <c r="K120">
        <f t="shared" si="14"/>
        <v>1</v>
      </c>
      <c r="L120">
        <f t="shared" si="15"/>
        <v>7.6982294072363352E-4</v>
      </c>
      <c r="M120">
        <f t="shared" si="16"/>
        <v>8.7759815242494224E-2</v>
      </c>
    </row>
    <row r="121" spans="1:13" x14ac:dyDescent="0.3">
      <c r="A121" s="2">
        <v>43943</v>
      </c>
      <c r="B121" s="1">
        <v>69.025000000000006</v>
      </c>
      <c r="C121" s="1">
        <f>'Historical Simulation'!D121</f>
        <v>182.28</v>
      </c>
      <c r="D121" s="22">
        <f t="shared" si="9"/>
        <v>822.40149874089605</v>
      </c>
      <c r="E121" s="23">
        <f t="shared" si="10"/>
        <v>65.442827329730903</v>
      </c>
      <c r="F121" s="23">
        <f t="shared" si="11"/>
        <v>-65.442827329730903</v>
      </c>
      <c r="H121" s="13">
        <v>115</v>
      </c>
      <c r="I121" s="14">
        <f t="shared" si="12"/>
        <v>7.6982294072363352E-4</v>
      </c>
      <c r="J121" s="13">
        <f t="shared" si="13"/>
        <v>1</v>
      </c>
      <c r="K121">
        <f t="shared" si="14"/>
        <v>0</v>
      </c>
      <c r="L121">
        <f t="shared" si="15"/>
        <v>0</v>
      </c>
      <c r="M121">
        <f t="shared" si="16"/>
        <v>0</v>
      </c>
    </row>
    <row r="122" spans="1:13" x14ac:dyDescent="0.3">
      <c r="A122" s="2">
        <v>43942</v>
      </c>
      <c r="B122" s="1">
        <v>67.092500000000001</v>
      </c>
      <c r="C122" s="1">
        <f>'Historical Simulation'!D122</f>
        <v>170.8</v>
      </c>
      <c r="D122" s="22">
        <f t="shared" si="9"/>
        <v>756.95867141116514</v>
      </c>
      <c r="E122" s="23">
        <f t="shared" si="10"/>
        <v>-37.395798360573281</v>
      </c>
      <c r="F122" s="23">
        <f t="shared" si="11"/>
        <v>37.395798360573281</v>
      </c>
      <c r="H122" s="13">
        <v>116</v>
      </c>
      <c r="I122" s="14">
        <f t="shared" si="12"/>
        <v>7.6982294072363352E-4</v>
      </c>
      <c r="J122" s="13">
        <f t="shared" si="13"/>
        <v>1</v>
      </c>
      <c r="K122">
        <f t="shared" si="14"/>
        <v>0</v>
      </c>
      <c r="L122">
        <f t="shared" si="15"/>
        <v>0</v>
      </c>
      <c r="M122">
        <f t="shared" si="16"/>
        <v>0</v>
      </c>
    </row>
    <row r="123" spans="1:13" x14ac:dyDescent="0.3">
      <c r="A123" s="2">
        <v>43941</v>
      </c>
      <c r="B123" s="1">
        <v>69.232500000000002</v>
      </c>
      <c r="C123" s="1">
        <f>'Historical Simulation'!D123</f>
        <v>178.24</v>
      </c>
      <c r="D123" s="22">
        <f t="shared" si="9"/>
        <v>794.35446977173842</v>
      </c>
      <c r="E123" s="23">
        <f t="shared" si="10"/>
        <v>1.6423274968997248</v>
      </c>
      <c r="F123" s="23">
        <f t="shared" si="11"/>
        <v>-1.6423274968997248</v>
      </c>
      <c r="H123" s="13">
        <v>117</v>
      </c>
      <c r="I123" s="14">
        <f t="shared" si="12"/>
        <v>7.6982294072363352E-4</v>
      </c>
      <c r="J123" s="13">
        <f t="shared" si="13"/>
        <v>1</v>
      </c>
      <c r="K123">
        <f t="shared" si="14"/>
        <v>0</v>
      </c>
      <c r="L123">
        <f t="shared" si="15"/>
        <v>0</v>
      </c>
      <c r="M123">
        <f t="shared" si="16"/>
        <v>0</v>
      </c>
    </row>
    <row r="124" spans="1:13" x14ac:dyDescent="0.3">
      <c r="A124" s="2">
        <v>43938</v>
      </c>
      <c r="B124" s="1">
        <v>70.7</v>
      </c>
      <c r="C124" s="1">
        <f>'Historical Simulation'!D124</f>
        <v>179.24</v>
      </c>
      <c r="D124" s="22">
        <f t="shared" si="9"/>
        <v>792.7121422748387</v>
      </c>
      <c r="E124" s="23">
        <f t="shared" si="10"/>
        <v>25.386198302598359</v>
      </c>
      <c r="F124" s="23">
        <f t="shared" si="11"/>
        <v>-25.386198302598359</v>
      </c>
      <c r="H124" s="13">
        <v>118</v>
      </c>
      <c r="I124" s="14">
        <f t="shared" si="12"/>
        <v>7.6982294072363352E-4</v>
      </c>
      <c r="J124" s="13">
        <f t="shared" si="13"/>
        <v>1</v>
      </c>
      <c r="K124">
        <f t="shared" si="14"/>
        <v>0</v>
      </c>
      <c r="L124">
        <f t="shared" si="15"/>
        <v>0</v>
      </c>
      <c r="M124">
        <f t="shared" si="16"/>
        <v>0</v>
      </c>
    </row>
    <row r="125" spans="1:13" x14ac:dyDescent="0.3">
      <c r="A125" s="2">
        <v>43937</v>
      </c>
      <c r="B125" s="1">
        <v>71.672499999999999</v>
      </c>
      <c r="C125" s="1">
        <f>'Historical Simulation'!D125</f>
        <v>176.25</v>
      </c>
      <c r="D125" s="22">
        <f t="shared" si="9"/>
        <v>767.32594397224034</v>
      </c>
      <c r="E125" s="23">
        <f t="shared" si="10"/>
        <v>-7.9828680930822884</v>
      </c>
      <c r="F125" s="23">
        <f t="shared" si="11"/>
        <v>7.9828680930822884</v>
      </c>
      <c r="H125" s="13">
        <v>119</v>
      </c>
      <c r="I125" s="14">
        <f t="shared" si="12"/>
        <v>7.6982294072363352E-4</v>
      </c>
      <c r="J125" s="13">
        <f t="shared" si="13"/>
        <v>1</v>
      </c>
      <c r="K125">
        <f t="shared" si="14"/>
        <v>0</v>
      </c>
      <c r="L125">
        <f t="shared" si="15"/>
        <v>0</v>
      </c>
      <c r="M125">
        <f t="shared" si="16"/>
        <v>0</v>
      </c>
    </row>
    <row r="126" spans="1:13" x14ac:dyDescent="0.3">
      <c r="A126" s="2">
        <v>43936</v>
      </c>
      <c r="B126" s="1">
        <v>71.107500000000002</v>
      </c>
      <c r="C126" s="1">
        <f>'Historical Simulation'!D126</f>
        <v>176.97</v>
      </c>
      <c r="D126" s="22">
        <f t="shared" si="9"/>
        <v>775.30881206532263</v>
      </c>
      <c r="E126" s="23">
        <f t="shared" si="10"/>
        <v>-4.2803603974550697</v>
      </c>
      <c r="F126" s="23">
        <f t="shared" si="11"/>
        <v>4.2803603974550697</v>
      </c>
      <c r="H126" s="13">
        <v>120</v>
      </c>
      <c r="I126" s="14">
        <f t="shared" si="12"/>
        <v>7.6982294072363352E-4</v>
      </c>
      <c r="J126" s="13">
        <f t="shared" si="13"/>
        <v>1</v>
      </c>
      <c r="K126">
        <f t="shared" si="14"/>
        <v>0</v>
      </c>
      <c r="L126">
        <f t="shared" si="15"/>
        <v>0</v>
      </c>
      <c r="M126">
        <f t="shared" si="16"/>
        <v>0</v>
      </c>
    </row>
    <row r="127" spans="1:13" x14ac:dyDescent="0.3">
      <c r="A127" s="2">
        <v>43935</v>
      </c>
      <c r="B127" s="1">
        <v>71.762500000000003</v>
      </c>
      <c r="C127" s="1">
        <f>'Historical Simulation'!D127</f>
        <v>178.17</v>
      </c>
      <c r="D127" s="22">
        <f t="shared" si="9"/>
        <v>779.5891724627777</v>
      </c>
      <c r="E127" s="23">
        <f t="shared" si="10"/>
        <v>2.9843573801431376</v>
      </c>
      <c r="F127" s="23">
        <f t="shared" si="11"/>
        <v>-2.9843573801431376</v>
      </c>
      <c r="H127" s="13">
        <v>121</v>
      </c>
      <c r="I127" s="14">
        <f t="shared" si="12"/>
        <v>7.6982294072363352E-4</v>
      </c>
      <c r="J127" s="13">
        <f t="shared" si="13"/>
        <v>1</v>
      </c>
      <c r="K127">
        <f t="shared" si="14"/>
        <v>0</v>
      </c>
      <c r="L127">
        <f t="shared" si="15"/>
        <v>0</v>
      </c>
      <c r="M127">
        <f t="shared" si="16"/>
        <v>0</v>
      </c>
    </row>
    <row r="128" spans="1:13" x14ac:dyDescent="0.3">
      <c r="A128" s="2">
        <v>43934</v>
      </c>
      <c r="B128" s="1">
        <v>68.3125</v>
      </c>
      <c r="C128" s="1">
        <f>'Historical Simulation'!D128</f>
        <v>174.79</v>
      </c>
      <c r="D128" s="22">
        <f t="shared" si="9"/>
        <v>776.60481508263456</v>
      </c>
      <c r="E128" s="23">
        <f t="shared" si="10"/>
        <v>-10.093244186487254</v>
      </c>
      <c r="F128" s="23">
        <f t="shared" si="11"/>
        <v>10.093244186487254</v>
      </c>
      <c r="H128" s="13">
        <v>122</v>
      </c>
      <c r="I128" s="14">
        <f t="shared" si="12"/>
        <v>7.6982294072363352E-4</v>
      </c>
      <c r="J128" s="13">
        <f t="shared" si="13"/>
        <v>1</v>
      </c>
      <c r="K128">
        <f t="shared" si="14"/>
        <v>0</v>
      </c>
      <c r="L128">
        <f t="shared" si="15"/>
        <v>0</v>
      </c>
      <c r="M128">
        <f t="shared" si="16"/>
        <v>0</v>
      </c>
    </row>
    <row r="129" spans="1:13" x14ac:dyDescent="0.3">
      <c r="A129" s="2">
        <v>43930</v>
      </c>
      <c r="B129" s="1">
        <v>66.997500000000002</v>
      </c>
      <c r="C129" s="1">
        <f>'Historical Simulation'!D129</f>
        <v>175.19</v>
      </c>
      <c r="D129" s="22">
        <f t="shared" si="9"/>
        <v>786.69805926912181</v>
      </c>
      <c r="E129" s="23">
        <f t="shared" si="10"/>
        <v>3.3403760934049842</v>
      </c>
      <c r="F129" s="23">
        <f t="shared" si="11"/>
        <v>-3.3403760934049842</v>
      </c>
      <c r="H129" s="13">
        <v>123</v>
      </c>
      <c r="I129" s="14">
        <f t="shared" si="12"/>
        <v>7.6982294072363352E-4</v>
      </c>
      <c r="J129" s="13">
        <f t="shared" si="13"/>
        <v>1</v>
      </c>
      <c r="K129">
        <f t="shared" si="14"/>
        <v>0</v>
      </c>
      <c r="L129">
        <f t="shared" si="15"/>
        <v>0</v>
      </c>
      <c r="M129">
        <f t="shared" si="16"/>
        <v>0</v>
      </c>
    </row>
    <row r="130" spans="1:13" x14ac:dyDescent="0.3">
      <c r="A130" s="2">
        <v>43929</v>
      </c>
      <c r="B130" s="1">
        <v>66.517499999999998</v>
      </c>
      <c r="C130" s="1">
        <f>'Historical Simulation'!D130</f>
        <v>174.28</v>
      </c>
      <c r="D130" s="22">
        <f t="shared" si="9"/>
        <v>783.35768317571683</v>
      </c>
      <c r="E130" s="23">
        <f t="shared" si="10"/>
        <v>26.871221846523213</v>
      </c>
      <c r="F130" s="23">
        <f t="shared" si="11"/>
        <v>-26.871221846523213</v>
      </c>
      <c r="H130" s="13">
        <v>124</v>
      </c>
      <c r="I130" s="14">
        <f t="shared" si="12"/>
        <v>7.6982294072363352E-4</v>
      </c>
      <c r="J130" s="13">
        <f t="shared" si="13"/>
        <v>1</v>
      </c>
      <c r="K130">
        <f t="shared" si="14"/>
        <v>0</v>
      </c>
      <c r="L130">
        <f t="shared" si="15"/>
        <v>0</v>
      </c>
      <c r="M130">
        <f t="shared" si="16"/>
        <v>0</v>
      </c>
    </row>
    <row r="131" spans="1:13" x14ac:dyDescent="0.3">
      <c r="A131" s="2">
        <v>43928</v>
      </c>
      <c r="B131" s="1">
        <v>64.857500000000002</v>
      </c>
      <c r="C131" s="1">
        <f>'Historical Simulation'!D131</f>
        <v>168.83</v>
      </c>
      <c r="D131" s="22">
        <f t="shared" si="9"/>
        <v>756.48646132919362</v>
      </c>
      <c r="E131" s="23">
        <f t="shared" si="10"/>
        <v>26.114231203154077</v>
      </c>
      <c r="F131" s="23">
        <f t="shared" si="11"/>
        <v>-26.114231203154077</v>
      </c>
      <c r="H131" s="13">
        <v>125</v>
      </c>
      <c r="I131" s="14">
        <f t="shared" si="12"/>
        <v>7.6982294072363352E-4</v>
      </c>
      <c r="J131" s="13">
        <f t="shared" si="13"/>
        <v>1</v>
      </c>
      <c r="K131">
        <f t="shared" si="14"/>
        <v>0</v>
      </c>
      <c r="L131">
        <f t="shared" si="15"/>
        <v>0</v>
      </c>
      <c r="M131">
        <f t="shared" si="16"/>
        <v>0</v>
      </c>
    </row>
    <row r="132" spans="1:13" x14ac:dyDescent="0.3">
      <c r="A132" s="2">
        <v>43927</v>
      </c>
      <c r="B132" s="1">
        <v>65.617500000000007</v>
      </c>
      <c r="C132" s="1">
        <f>'Historical Simulation'!D132</f>
        <v>165.55</v>
      </c>
      <c r="D132" s="22">
        <f t="shared" si="9"/>
        <v>730.37223012603954</v>
      </c>
      <c r="E132" s="23">
        <f t="shared" si="10"/>
        <v>45.875688488924652</v>
      </c>
      <c r="F132" s="23">
        <f t="shared" si="11"/>
        <v>-45.875688488924652</v>
      </c>
      <c r="H132" s="13">
        <v>126</v>
      </c>
      <c r="I132" s="14">
        <f t="shared" si="12"/>
        <v>7.6982294072363352E-4</v>
      </c>
      <c r="J132" s="13">
        <f t="shared" si="13"/>
        <v>1</v>
      </c>
      <c r="K132">
        <f t="shared" si="14"/>
        <v>0</v>
      </c>
      <c r="L132">
        <f t="shared" si="15"/>
        <v>0</v>
      </c>
      <c r="M132">
        <f t="shared" si="16"/>
        <v>0</v>
      </c>
    </row>
    <row r="133" spans="1:13" x14ac:dyDescent="0.3">
      <c r="A133" s="2">
        <v>43924</v>
      </c>
      <c r="B133" s="1">
        <v>60.352499999999999</v>
      </c>
      <c r="C133" s="1">
        <f>'Historical Simulation'!D133</f>
        <v>154.18</v>
      </c>
      <c r="D133" s="22">
        <f t="shared" si="9"/>
        <v>684.49654163711489</v>
      </c>
      <c r="E133" s="23">
        <f t="shared" si="10"/>
        <v>-21.700877145017785</v>
      </c>
      <c r="F133" s="23">
        <f t="shared" si="11"/>
        <v>21.700877145017785</v>
      </c>
      <c r="H133" s="13">
        <v>127</v>
      </c>
      <c r="I133" s="14">
        <f t="shared" si="12"/>
        <v>7.6982294072363352E-4</v>
      </c>
      <c r="J133" s="13">
        <f t="shared" si="13"/>
        <v>1</v>
      </c>
      <c r="K133">
        <f t="shared" si="14"/>
        <v>0</v>
      </c>
      <c r="L133">
        <f t="shared" si="15"/>
        <v>0</v>
      </c>
      <c r="M133">
        <f t="shared" si="16"/>
        <v>0</v>
      </c>
    </row>
    <row r="134" spans="1:13" x14ac:dyDescent="0.3">
      <c r="A134" s="2">
        <v>43923</v>
      </c>
      <c r="B134" s="1">
        <v>61.232500000000002</v>
      </c>
      <c r="C134" s="1">
        <f>'Historical Simulation'!D134</f>
        <v>158.19</v>
      </c>
      <c r="D134" s="22">
        <f t="shared" ref="D134:D197" si="17">$M$16*B134+(1-$M$16)*C134</f>
        <v>706.19741878213267</v>
      </c>
      <c r="E134" s="23">
        <f t="shared" ref="E134:E197" si="18">D134-D135</f>
        <v>-15.059670385053778</v>
      </c>
      <c r="F134" s="23">
        <f t="shared" ref="F134:F197" si="19">-E134</f>
        <v>15.059670385053778</v>
      </c>
      <c r="H134" s="13">
        <v>128</v>
      </c>
      <c r="I134" s="14">
        <f t="shared" si="12"/>
        <v>7.6982294072363352E-4</v>
      </c>
      <c r="J134" s="13">
        <f t="shared" si="13"/>
        <v>1</v>
      </c>
      <c r="K134">
        <f t="shared" si="14"/>
        <v>0</v>
      </c>
      <c r="L134">
        <f t="shared" si="15"/>
        <v>0</v>
      </c>
      <c r="M134">
        <f t="shared" si="16"/>
        <v>0</v>
      </c>
    </row>
    <row r="135" spans="1:13" x14ac:dyDescent="0.3">
      <c r="A135" s="2">
        <v>43922</v>
      </c>
      <c r="B135" s="1">
        <v>60.227499999999999</v>
      </c>
      <c r="C135" s="1">
        <f>'Historical Simulation'!D135</f>
        <v>159.6</v>
      </c>
      <c r="D135" s="22">
        <f t="shared" si="17"/>
        <v>721.25708916718645</v>
      </c>
      <c r="E135" s="23">
        <f t="shared" si="18"/>
        <v>-28.988604279247284</v>
      </c>
      <c r="F135" s="23">
        <f t="shared" si="19"/>
        <v>28.988604279247284</v>
      </c>
      <c r="H135" s="13">
        <v>129</v>
      </c>
      <c r="I135" s="14">
        <f t="shared" si="12"/>
        <v>7.6982294072363352E-4</v>
      </c>
      <c r="J135" s="13">
        <f t="shared" si="13"/>
        <v>1</v>
      </c>
      <c r="K135">
        <f t="shared" si="14"/>
        <v>0</v>
      </c>
      <c r="L135">
        <f t="shared" si="15"/>
        <v>0</v>
      </c>
      <c r="M135">
        <f t="shared" si="16"/>
        <v>0</v>
      </c>
    </row>
    <row r="136" spans="1:13" x14ac:dyDescent="0.3">
      <c r="A136" s="2">
        <v>43921</v>
      </c>
      <c r="B136" s="1">
        <v>63.572499999999998</v>
      </c>
      <c r="C136" s="1">
        <f>'Historical Simulation'!D136</f>
        <v>166.8</v>
      </c>
      <c r="D136" s="22">
        <f t="shared" si="17"/>
        <v>750.24569344643373</v>
      </c>
      <c r="E136" s="23">
        <f t="shared" si="18"/>
        <v>6.38899667799285</v>
      </c>
      <c r="F136" s="23">
        <f t="shared" si="19"/>
        <v>-6.38899667799285</v>
      </c>
      <c r="H136" s="13">
        <v>130</v>
      </c>
      <c r="I136" s="14">
        <f t="shared" si="12"/>
        <v>7.6982294072363352E-4</v>
      </c>
      <c r="J136" s="13">
        <f t="shared" si="13"/>
        <v>1</v>
      </c>
      <c r="K136">
        <f t="shared" si="14"/>
        <v>0</v>
      </c>
      <c r="L136">
        <f t="shared" si="15"/>
        <v>0</v>
      </c>
      <c r="M136">
        <f t="shared" si="16"/>
        <v>0</v>
      </c>
    </row>
    <row r="137" spans="1:13" x14ac:dyDescent="0.3">
      <c r="A137" s="2">
        <v>43920</v>
      </c>
      <c r="B137" s="1">
        <v>63.702500000000001</v>
      </c>
      <c r="C137" s="1">
        <f>'Historical Simulation'!D137</f>
        <v>165.95</v>
      </c>
      <c r="D137" s="22">
        <f t="shared" si="17"/>
        <v>743.85669676844088</v>
      </c>
      <c r="E137" s="23">
        <f t="shared" si="18"/>
        <v>50.942686675573555</v>
      </c>
      <c r="F137" s="23">
        <f t="shared" si="19"/>
        <v>-50.942686675573555</v>
      </c>
      <c r="H137" s="13">
        <v>131</v>
      </c>
      <c r="I137" s="14">
        <f t="shared" ref="I137:I200" si="20">COUNTIF($F:$F,"&gt;"&amp;H137)/COUNT(F:F)</f>
        <v>7.6982294072363352E-4</v>
      </c>
      <c r="J137" s="13">
        <f t="shared" si="13"/>
        <v>1</v>
      </c>
      <c r="K137">
        <f t="shared" si="14"/>
        <v>0</v>
      </c>
      <c r="L137">
        <f t="shared" si="15"/>
        <v>0</v>
      </c>
      <c r="M137">
        <f t="shared" si="16"/>
        <v>0</v>
      </c>
    </row>
    <row r="138" spans="1:13" x14ac:dyDescent="0.3">
      <c r="A138" s="2">
        <v>43917</v>
      </c>
      <c r="B138" s="1">
        <v>61.935000000000002</v>
      </c>
      <c r="C138" s="1">
        <f>'Historical Simulation'!D138</f>
        <v>156.79</v>
      </c>
      <c r="D138" s="22">
        <f t="shared" si="17"/>
        <v>692.91401009286733</v>
      </c>
      <c r="E138" s="23">
        <f t="shared" si="18"/>
        <v>-28.451645027777886</v>
      </c>
      <c r="F138" s="23">
        <f t="shared" si="19"/>
        <v>28.451645027777886</v>
      </c>
      <c r="H138" s="13">
        <v>132</v>
      </c>
      <c r="I138" s="14">
        <f t="shared" si="20"/>
        <v>7.6982294072363352E-4</v>
      </c>
      <c r="J138" s="13">
        <f t="shared" si="13"/>
        <v>1</v>
      </c>
      <c r="K138">
        <f t="shared" si="14"/>
        <v>0</v>
      </c>
      <c r="L138">
        <f t="shared" si="15"/>
        <v>0</v>
      </c>
      <c r="M138">
        <f t="shared" si="16"/>
        <v>0</v>
      </c>
    </row>
    <row r="139" spans="1:13" x14ac:dyDescent="0.3">
      <c r="A139" s="2">
        <v>43916</v>
      </c>
      <c r="B139" s="1">
        <v>64.61</v>
      </c>
      <c r="C139" s="1">
        <f>'Historical Simulation'!D139</f>
        <v>163.34</v>
      </c>
      <c r="D139" s="22">
        <f t="shared" si="17"/>
        <v>721.36565512064521</v>
      </c>
      <c r="E139" s="23">
        <f t="shared" si="18"/>
        <v>29.172945963440839</v>
      </c>
      <c r="F139" s="23">
        <f t="shared" si="19"/>
        <v>-29.172945963440839</v>
      </c>
      <c r="H139" s="13">
        <v>133</v>
      </c>
      <c r="I139" s="14">
        <f t="shared" si="20"/>
        <v>7.6982294072363352E-4</v>
      </c>
      <c r="J139" s="13">
        <f t="shared" si="13"/>
        <v>1</v>
      </c>
      <c r="K139">
        <f t="shared" si="14"/>
        <v>0</v>
      </c>
      <c r="L139">
        <f t="shared" si="15"/>
        <v>0</v>
      </c>
      <c r="M139">
        <f t="shared" si="16"/>
        <v>0</v>
      </c>
    </row>
    <row r="140" spans="1:13" x14ac:dyDescent="0.3">
      <c r="A140" s="2">
        <v>43915</v>
      </c>
      <c r="B140" s="1">
        <v>61.38</v>
      </c>
      <c r="C140" s="1">
        <f>'Historical Simulation'!D140</f>
        <v>156.21</v>
      </c>
      <c r="D140" s="22">
        <f t="shared" si="17"/>
        <v>692.19270915720438</v>
      </c>
      <c r="E140" s="23">
        <f t="shared" si="18"/>
        <v>-29.808525799498057</v>
      </c>
      <c r="F140" s="23">
        <f t="shared" si="19"/>
        <v>29.808525799498057</v>
      </c>
      <c r="H140" s="13">
        <v>134</v>
      </c>
      <c r="I140" s="14">
        <f t="shared" si="20"/>
        <v>7.6982294072363352E-4</v>
      </c>
      <c r="J140" s="13">
        <f t="shared" si="13"/>
        <v>1</v>
      </c>
      <c r="K140">
        <f t="shared" si="14"/>
        <v>0</v>
      </c>
      <c r="L140">
        <f t="shared" si="15"/>
        <v>0</v>
      </c>
      <c r="M140">
        <f t="shared" si="16"/>
        <v>0</v>
      </c>
    </row>
    <row r="141" spans="1:13" x14ac:dyDescent="0.3">
      <c r="A141" s="2">
        <v>43914</v>
      </c>
      <c r="B141" s="1">
        <v>61.72</v>
      </c>
      <c r="C141" s="1">
        <f>'Historical Simulation'!D141</f>
        <v>160.97999999999999</v>
      </c>
      <c r="D141" s="22">
        <f t="shared" si="17"/>
        <v>722.00123495670243</v>
      </c>
      <c r="E141" s="23">
        <f t="shared" si="18"/>
        <v>53.871401435860093</v>
      </c>
      <c r="F141" s="23">
        <f t="shared" si="19"/>
        <v>-53.871401435860093</v>
      </c>
      <c r="H141" s="13">
        <v>135</v>
      </c>
      <c r="I141" s="14">
        <f t="shared" si="20"/>
        <v>7.6982294072363352E-4</v>
      </c>
      <c r="J141" s="13">
        <f t="shared" si="13"/>
        <v>1</v>
      </c>
      <c r="K141">
        <f t="shared" si="14"/>
        <v>0</v>
      </c>
      <c r="L141">
        <f t="shared" si="15"/>
        <v>0</v>
      </c>
      <c r="M141">
        <f t="shared" si="16"/>
        <v>0</v>
      </c>
    </row>
    <row r="142" spans="1:13" x14ac:dyDescent="0.3">
      <c r="A142" s="2">
        <v>43913</v>
      </c>
      <c r="B142" s="1">
        <v>56.092500000000001</v>
      </c>
      <c r="C142" s="1">
        <f>'Historical Simulation'!D142</f>
        <v>148.1</v>
      </c>
      <c r="D142" s="22">
        <f t="shared" si="17"/>
        <v>668.12983352084234</v>
      </c>
      <c r="E142" s="23">
        <f t="shared" si="18"/>
        <v>-3.9614654384407686</v>
      </c>
      <c r="F142" s="23">
        <f t="shared" si="19"/>
        <v>3.9614654384407686</v>
      </c>
      <c r="H142" s="13">
        <v>136</v>
      </c>
      <c r="I142" s="14">
        <f t="shared" si="20"/>
        <v>7.6982294072363352E-4</v>
      </c>
      <c r="J142" s="13">
        <f t="shared" si="13"/>
        <v>1</v>
      </c>
      <c r="K142">
        <f t="shared" si="14"/>
        <v>0</v>
      </c>
      <c r="L142">
        <f t="shared" si="15"/>
        <v>0</v>
      </c>
      <c r="M142">
        <f t="shared" si="16"/>
        <v>0</v>
      </c>
    </row>
    <row r="143" spans="1:13" x14ac:dyDescent="0.3">
      <c r="A143" s="2">
        <v>43910</v>
      </c>
      <c r="B143" s="1">
        <v>57.31</v>
      </c>
      <c r="C143" s="1">
        <f>'Historical Simulation'!D143</f>
        <v>149.72999999999999</v>
      </c>
      <c r="D143" s="22">
        <f t="shared" si="17"/>
        <v>672.09129895928311</v>
      </c>
      <c r="E143" s="23">
        <f t="shared" si="18"/>
        <v>-0.65876184813635064</v>
      </c>
      <c r="F143" s="23">
        <f t="shared" si="19"/>
        <v>0.65876184813635064</v>
      </c>
      <c r="H143" s="13">
        <v>137</v>
      </c>
      <c r="I143" s="14">
        <f t="shared" si="20"/>
        <v>7.6982294072363352E-4</v>
      </c>
      <c r="J143" s="13">
        <f t="shared" si="13"/>
        <v>1</v>
      </c>
      <c r="K143">
        <f t="shared" si="14"/>
        <v>0</v>
      </c>
      <c r="L143">
        <f t="shared" si="15"/>
        <v>0</v>
      </c>
      <c r="M143">
        <f t="shared" si="16"/>
        <v>0</v>
      </c>
    </row>
    <row r="144" spans="1:13" x14ac:dyDescent="0.3">
      <c r="A144" s="2">
        <v>43909</v>
      </c>
      <c r="B144" s="1">
        <v>61.195</v>
      </c>
      <c r="C144" s="1">
        <f>'Historical Simulation'!D144</f>
        <v>153.13</v>
      </c>
      <c r="D144" s="22">
        <f t="shared" si="17"/>
        <v>672.75006080741946</v>
      </c>
      <c r="E144" s="23">
        <f t="shared" si="18"/>
        <v>43.713658605680962</v>
      </c>
      <c r="F144" s="23">
        <f t="shared" si="19"/>
        <v>-43.713658605680962</v>
      </c>
      <c r="H144" s="13">
        <v>138</v>
      </c>
      <c r="I144" s="14">
        <f t="shared" si="20"/>
        <v>7.6982294072363352E-4</v>
      </c>
      <c r="J144" s="13">
        <f t="shared" si="13"/>
        <v>1</v>
      </c>
      <c r="K144">
        <f t="shared" si="14"/>
        <v>0</v>
      </c>
      <c r="L144">
        <f t="shared" si="15"/>
        <v>0</v>
      </c>
      <c r="M144">
        <f t="shared" si="16"/>
        <v>0</v>
      </c>
    </row>
    <row r="145" spans="1:13" x14ac:dyDescent="0.3">
      <c r="A145" s="2">
        <v>43908</v>
      </c>
      <c r="B145" s="1">
        <v>61.667499999999997</v>
      </c>
      <c r="C145" s="1">
        <f>'Historical Simulation'!D145</f>
        <v>146.96</v>
      </c>
      <c r="D145" s="22">
        <f t="shared" si="17"/>
        <v>629.0364022017385</v>
      </c>
      <c r="E145" s="23">
        <f t="shared" si="18"/>
        <v>-7.6174841517023424</v>
      </c>
      <c r="F145" s="23">
        <f t="shared" si="19"/>
        <v>7.6174841517023424</v>
      </c>
      <c r="H145" s="13">
        <v>139</v>
      </c>
      <c r="I145" s="14">
        <f t="shared" si="20"/>
        <v>7.6982294072363352E-4</v>
      </c>
      <c r="J145" s="13">
        <f t="shared" si="13"/>
        <v>1</v>
      </c>
      <c r="K145">
        <f t="shared" si="14"/>
        <v>0</v>
      </c>
      <c r="L145">
        <f t="shared" si="15"/>
        <v>0</v>
      </c>
      <c r="M145">
        <f t="shared" si="16"/>
        <v>0</v>
      </c>
    </row>
    <row r="146" spans="1:13" x14ac:dyDescent="0.3">
      <c r="A146" s="2">
        <v>43907</v>
      </c>
      <c r="B146" s="1">
        <v>63.215000000000003</v>
      </c>
      <c r="C146" s="1">
        <f>'Historical Simulation'!D146</f>
        <v>149.41999999999999</v>
      </c>
      <c r="D146" s="22">
        <f t="shared" si="17"/>
        <v>636.65388635344084</v>
      </c>
      <c r="E146" s="23">
        <f t="shared" si="18"/>
        <v>7.6348979763261013</v>
      </c>
      <c r="F146" s="23">
        <f t="shared" si="19"/>
        <v>-7.6348979763261013</v>
      </c>
      <c r="H146" s="13">
        <v>140</v>
      </c>
      <c r="I146" s="14">
        <f t="shared" si="20"/>
        <v>7.6982294072363352E-4</v>
      </c>
      <c r="J146" s="13">
        <f t="shared" si="13"/>
        <v>1</v>
      </c>
      <c r="K146">
        <f t="shared" si="14"/>
        <v>0</v>
      </c>
      <c r="L146">
        <f t="shared" si="15"/>
        <v>0</v>
      </c>
      <c r="M146">
        <f t="shared" si="16"/>
        <v>0</v>
      </c>
    </row>
    <row r="147" spans="1:13" x14ac:dyDescent="0.3">
      <c r="A147" s="2">
        <v>43906</v>
      </c>
      <c r="B147" s="1">
        <v>60.552500000000002</v>
      </c>
      <c r="C147" s="1">
        <f>'Historical Simulation'!D147</f>
        <v>146.01</v>
      </c>
      <c r="D147" s="22">
        <f t="shared" si="17"/>
        <v>629.01898837711474</v>
      </c>
      <c r="E147" s="23">
        <f t="shared" si="18"/>
        <v>-110.91573374860218</v>
      </c>
      <c r="F147" s="23">
        <f t="shared" si="19"/>
        <v>110.91573374860218</v>
      </c>
      <c r="H147" s="13">
        <v>141</v>
      </c>
      <c r="I147" s="14">
        <f t="shared" si="20"/>
        <v>7.6982294072363352E-4</v>
      </c>
      <c r="J147" s="13">
        <f t="shared" si="13"/>
        <v>1</v>
      </c>
      <c r="K147">
        <f t="shared" si="14"/>
        <v>0</v>
      </c>
      <c r="L147">
        <f t="shared" si="15"/>
        <v>0</v>
      </c>
      <c r="M147">
        <f t="shared" si="16"/>
        <v>0</v>
      </c>
    </row>
    <row r="148" spans="1:13" x14ac:dyDescent="0.3">
      <c r="A148" s="2">
        <v>43903</v>
      </c>
      <c r="B148" s="1">
        <v>69.492500000000007</v>
      </c>
      <c r="C148" s="1">
        <f>'Historical Simulation'!D148</f>
        <v>170.28</v>
      </c>
      <c r="D148" s="22">
        <f t="shared" si="17"/>
        <v>739.93472212571692</v>
      </c>
      <c r="E148" s="23">
        <f t="shared" si="18"/>
        <v>63.145813447132582</v>
      </c>
      <c r="F148" s="23">
        <f t="shared" si="19"/>
        <v>-63.145813447132582</v>
      </c>
      <c r="H148" s="13">
        <v>142</v>
      </c>
      <c r="I148" s="14">
        <f t="shared" si="20"/>
        <v>7.6982294072363352E-4</v>
      </c>
      <c r="J148" s="13">
        <f t="shared" si="13"/>
        <v>1</v>
      </c>
      <c r="K148">
        <f t="shared" si="14"/>
        <v>0</v>
      </c>
      <c r="L148">
        <f t="shared" si="15"/>
        <v>0</v>
      </c>
      <c r="M148">
        <f t="shared" si="16"/>
        <v>0</v>
      </c>
    </row>
    <row r="149" spans="1:13" x14ac:dyDescent="0.3">
      <c r="A149" s="2">
        <v>43902</v>
      </c>
      <c r="B149" s="1">
        <v>62.057499999999997</v>
      </c>
      <c r="C149" s="1">
        <f>'Historical Simulation'!D149</f>
        <v>154.47</v>
      </c>
      <c r="D149" s="22">
        <f t="shared" si="17"/>
        <v>676.78890867858433</v>
      </c>
      <c r="E149" s="23">
        <f t="shared" si="18"/>
        <v>-66.468775715913921</v>
      </c>
      <c r="F149" s="23">
        <f t="shared" si="19"/>
        <v>66.468775715913921</v>
      </c>
      <c r="H149" s="13">
        <v>143</v>
      </c>
      <c r="I149" s="14">
        <f t="shared" si="20"/>
        <v>7.6982294072363352E-4</v>
      </c>
      <c r="J149" s="13">
        <f t="shared" si="13"/>
        <v>1</v>
      </c>
      <c r="K149">
        <f t="shared" si="14"/>
        <v>0</v>
      </c>
      <c r="L149">
        <f t="shared" si="15"/>
        <v>0</v>
      </c>
      <c r="M149">
        <f t="shared" si="16"/>
        <v>0</v>
      </c>
    </row>
    <row r="150" spans="1:13" x14ac:dyDescent="0.3">
      <c r="A150" s="2">
        <v>43901</v>
      </c>
      <c r="B150" s="1">
        <v>68.857500000000002</v>
      </c>
      <c r="C150" s="1">
        <f>'Historical Simulation'!D150</f>
        <v>170.24</v>
      </c>
      <c r="D150" s="22">
        <f t="shared" si="17"/>
        <v>743.25768439449826</v>
      </c>
      <c r="E150" s="23">
        <f t="shared" si="18"/>
        <v>-38.880774816648682</v>
      </c>
      <c r="F150" s="23">
        <f t="shared" si="19"/>
        <v>38.880774816648682</v>
      </c>
      <c r="H150" s="13">
        <v>144</v>
      </c>
      <c r="I150" s="14">
        <f t="shared" si="20"/>
        <v>7.6982294072363352E-4</v>
      </c>
      <c r="J150" s="13">
        <f t="shared" si="13"/>
        <v>1</v>
      </c>
      <c r="K150">
        <f t="shared" si="14"/>
        <v>0</v>
      </c>
      <c r="L150">
        <f t="shared" si="15"/>
        <v>0</v>
      </c>
      <c r="M150">
        <f t="shared" si="16"/>
        <v>0</v>
      </c>
    </row>
    <row r="151" spans="1:13" x14ac:dyDescent="0.3">
      <c r="A151" s="2">
        <v>43900</v>
      </c>
      <c r="B151" s="1">
        <v>71.334999999999994</v>
      </c>
      <c r="C151" s="1">
        <f>'Historical Simulation'!D151</f>
        <v>178.19</v>
      </c>
      <c r="D151" s="22">
        <f t="shared" si="17"/>
        <v>782.13845921114694</v>
      </c>
      <c r="E151" s="23">
        <f t="shared" si="18"/>
        <v>30.71825066613178</v>
      </c>
      <c r="F151" s="23">
        <f t="shared" si="19"/>
        <v>-30.71825066613178</v>
      </c>
      <c r="H151" s="13">
        <v>145</v>
      </c>
      <c r="I151" s="14">
        <f t="shared" si="20"/>
        <v>7.6982294072363352E-4</v>
      </c>
      <c r="J151" s="13">
        <f t="shared" si="13"/>
        <v>1</v>
      </c>
      <c r="K151">
        <f t="shared" si="14"/>
        <v>0</v>
      </c>
      <c r="L151">
        <f t="shared" si="15"/>
        <v>0</v>
      </c>
      <c r="M151">
        <f t="shared" si="16"/>
        <v>0</v>
      </c>
    </row>
    <row r="152" spans="1:13" x14ac:dyDescent="0.3">
      <c r="A152" s="2">
        <v>43899</v>
      </c>
      <c r="B152" s="1">
        <v>66.542400000000001</v>
      </c>
      <c r="C152" s="1">
        <f>'Historical Simulation'!D152</f>
        <v>169.5</v>
      </c>
      <c r="D152" s="22">
        <f t="shared" si="17"/>
        <v>751.42020854501516</v>
      </c>
      <c r="E152" s="23">
        <f t="shared" si="18"/>
        <v>-44.795154677081655</v>
      </c>
      <c r="F152" s="23">
        <f t="shared" si="19"/>
        <v>44.795154677081655</v>
      </c>
      <c r="H152" s="13">
        <v>146</v>
      </c>
      <c r="I152" s="14">
        <f t="shared" si="20"/>
        <v>7.6982294072363352E-4</v>
      </c>
      <c r="J152" s="13">
        <f t="shared" si="13"/>
        <v>1</v>
      </c>
      <c r="K152">
        <f t="shared" si="14"/>
        <v>0</v>
      </c>
      <c r="L152">
        <f t="shared" si="15"/>
        <v>0</v>
      </c>
      <c r="M152">
        <f t="shared" si="16"/>
        <v>0</v>
      </c>
    </row>
    <row r="153" spans="1:13" x14ac:dyDescent="0.3">
      <c r="A153" s="2">
        <v>43896</v>
      </c>
      <c r="B153" s="1">
        <v>72.257499999999993</v>
      </c>
      <c r="C153" s="1">
        <f>'Historical Simulation'!D153</f>
        <v>181.09</v>
      </c>
      <c r="D153" s="22">
        <f t="shared" si="17"/>
        <v>796.21536322209681</v>
      </c>
      <c r="E153" s="23">
        <f t="shared" si="18"/>
        <v>-21.643706302921146</v>
      </c>
      <c r="F153" s="23">
        <f t="shared" si="19"/>
        <v>21.643706302921146</v>
      </c>
      <c r="H153" s="13">
        <v>147</v>
      </c>
      <c r="I153" s="14">
        <f t="shared" si="20"/>
        <v>7.6982294072363352E-4</v>
      </c>
      <c r="J153" s="13">
        <f t="shared" si="13"/>
        <v>1</v>
      </c>
      <c r="K153">
        <f t="shared" si="14"/>
        <v>0</v>
      </c>
      <c r="L153">
        <f t="shared" si="15"/>
        <v>0</v>
      </c>
      <c r="M153">
        <f t="shared" si="16"/>
        <v>0</v>
      </c>
    </row>
    <row r="154" spans="1:13" x14ac:dyDescent="0.3">
      <c r="A154" s="2">
        <v>43895</v>
      </c>
      <c r="B154" s="1">
        <v>73.23</v>
      </c>
      <c r="C154" s="1">
        <f>'Historical Simulation'!D154</f>
        <v>185.17</v>
      </c>
      <c r="D154" s="22">
        <f t="shared" si="17"/>
        <v>817.85906952501796</v>
      </c>
      <c r="E154" s="23">
        <f t="shared" si="18"/>
        <v>-29.961174758673792</v>
      </c>
      <c r="F154" s="23">
        <f t="shared" si="19"/>
        <v>29.961174758673792</v>
      </c>
      <c r="H154" s="13">
        <v>148</v>
      </c>
      <c r="I154" s="14">
        <f t="shared" si="20"/>
        <v>7.6982294072363352E-4</v>
      </c>
      <c r="J154" s="13">
        <f t="shared" si="13"/>
        <v>1</v>
      </c>
      <c r="K154">
        <f t="shared" si="14"/>
        <v>0</v>
      </c>
      <c r="L154">
        <f t="shared" si="15"/>
        <v>0</v>
      </c>
      <c r="M154">
        <f t="shared" si="16"/>
        <v>0</v>
      </c>
    </row>
    <row r="155" spans="1:13" x14ac:dyDescent="0.3">
      <c r="A155" s="2">
        <v>43894</v>
      </c>
      <c r="B155" s="1">
        <v>75.685000000000002</v>
      </c>
      <c r="C155" s="1">
        <f>'Historical Simulation'!D155</f>
        <v>191.76</v>
      </c>
      <c r="D155" s="22">
        <f t="shared" si="17"/>
        <v>847.82024428369175</v>
      </c>
      <c r="E155" s="23">
        <f t="shared" si="18"/>
        <v>20.08487412770603</v>
      </c>
      <c r="F155" s="23">
        <f t="shared" si="19"/>
        <v>-20.08487412770603</v>
      </c>
      <c r="H155" s="13">
        <v>149</v>
      </c>
      <c r="I155" s="14">
        <f t="shared" si="20"/>
        <v>7.6982294072363352E-4</v>
      </c>
      <c r="J155" s="13">
        <f t="shared" si="13"/>
        <v>1</v>
      </c>
      <c r="K155">
        <f t="shared" si="14"/>
        <v>0</v>
      </c>
      <c r="L155">
        <f t="shared" si="15"/>
        <v>0</v>
      </c>
      <c r="M155">
        <f t="shared" si="16"/>
        <v>0</v>
      </c>
    </row>
    <row r="156" spans="1:13" x14ac:dyDescent="0.3">
      <c r="A156" s="2">
        <v>43893</v>
      </c>
      <c r="B156" s="1">
        <v>72.33</v>
      </c>
      <c r="C156" s="1">
        <f>'Historical Simulation'!D156</f>
        <v>185.89</v>
      </c>
      <c r="D156" s="22">
        <f t="shared" si="17"/>
        <v>827.73537015598572</v>
      </c>
      <c r="E156" s="23">
        <f t="shared" si="18"/>
        <v>-56.769536055394155</v>
      </c>
      <c r="F156" s="23">
        <f t="shared" si="19"/>
        <v>56.769536055394155</v>
      </c>
      <c r="H156" s="13">
        <v>150</v>
      </c>
      <c r="I156" s="14">
        <f t="shared" si="20"/>
        <v>7.6982294072363352E-4</v>
      </c>
      <c r="J156" s="13">
        <f t="shared" si="13"/>
        <v>1</v>
      </c>
      <c r="K156">
        <f t="shared" si="14"/>
        <v>0</v>
      </c>
      <c r="L156">
        <f t="shared" si="15"/>
        <v>0</v>
      </c>
      <c r="M156">
        <f t="shared" si="16"/>
        <v>0</v>
      </c>
    </row>
    <row r="157" spans="1:13" x14ac:dyDescent="0.3">
      <c r="A157" s="2">
        <v>43892</v>
      </c>
      <c r="B157" s="1">
        <v>74.702500000000001</v>
      </c>
      <c r="C157" s="1">
        <f>'Historical Simulation'!D157</f>
        <v>196.44</v>
      </c>
      <c r="D157" s="22">
        <f t="shared" si="17"/>
        <v>884.50490621137988</v>
      </c>
      <c r="E157" s="23">
        <f t="shared" si="18"/>
        <v>-9.5524995429570936</v>
      </c>
      <c r="F157" s="23">
        <f t="shared" si="19"/>
        <v>9.5524995429570936</v>
      </c>
      <c r="H157" s="13">
        <v>151</v>
      </c>
      <c r="I157" s="14">
        <f t="shared" si="20"/>
        <v>7.6982294072363352E-4</v>
      </c>
      <c r="J157" s="13">
        <f t="shared" si="13"/>
        <v>1</v>
      </c>
      <c r="K157">
        <f t="shared" si="14"/>
        <v>0</v>
      </c>
      <c r="L157">
        <f t="shared" si="15"/>
        <v>0</v>
      </c>
      <c r="M157">
        <f t="shared" si="16"/>
        <v>0</v>
      </c>
    </row>
    <row r="158" spans="1:13" x14ac:dyDescent="0.3">
      <c r="A158" s="2">
        <v>43889</v>
      </c>
      <c r="B158" s="1">
        <v>68.34</v>
      </c>
      <c r="C158" s="1">
        <f>'Historical Simulation'!D158</f>
        <v>192.47</v>
      </c>
      <c r="D158" s="22">
        <f t="shared" si="17"/>
        <v>894.05740575433697</v>
      </c>
      <c r="E158" s="23">
        <f t="shared" si="18"/>
        <v>18.319623297204203</v>
      </c>
      <c r="F158" s="23">
        <f t="shared" si="19"/>
        <v>-18.319623297204203</v>
      </c>
      <c r="H158" s="13">
        <v>152</v>
      </c>
      <c r="I158" s="14">
        <f t="shared" si="20"/>
        <v>7.6982294072363352E-4</v>
      </c>
      <c r="J158" s="13">
        <f t="shared" si="13"/>
        <v>1</v>
      </c>
      <c r="K158">
        <f t="shared" si="14"/>
        <v>0</v>
      </c>
      <c r="L158">
        <f t="shared" si="15"/>
        <v>0</v>
      </c>
      <c r="M158">
        <f t="shared" si="16"/>
        <v>0</v>
      </c>
    </row>
    <row r="159" spans="1:13" x14ac:dyDescent="0.3">
      <c r="A159" s="2">
        <v>43888</v>
      </c>
      <c r="B159" s="1">
        <v>68.38</v>
      </c>
      <c r="C159" s="1">
        <f>'Historical Simulation'!D159</f>
        <v>189.75</v>
      </c>
      <c r="D159" s="22">
        <f t="shared" si="17"/>
        <v>875.73778245713277</v>
      </c>
      <c r="E159" s="23">
        <f t="shared" si="18"/>
        <v>-22.527375038993455</v>
      </c>
      <c r="F159" s="23">
        <f t="shared" si="19"/>
        <v>22.527375038993455</v>
      </c>
      <c r="H159" s="13">
        <v>153</v>
      </c>
      <c r="I159" s="14">
        <f t="shared" si="20"/>
        <v>7.6982294072363352E-4</v>
      </c>
      <c r="J159" s="13">
        <f t="shared" si="13"/>
        <v>1</v>
      </c>
      <c r="K159">
        <f t="shared" si="14"/>
        <v>0</v>
      </c>
      <c r="L159">
        <f t="shared" si="15"/>
        <v>0</v>
      </c>
      <c r="M159">
        <f t="shared" si="16"/>
        <v>0</v>
      </c>
    </row>
    <row r="160" spans="1:13" x14ac:dyDescent="0.3">
      <c r="A160" s="2">
        <v>43887</v>
      </c>
      <c r="B160" s="1">
        <v>73.162400000000005</v>
      </c>
      <c r="C160" s="1">
        <f>'Historical Simulation'!D160</f>
        <v>197.2</v>
      </c>
      <c r="D160" s="22">
        <f t="shared" si="17"/>
        <v>898.26515749612622</v>
      </c>
      <c r="E160" s="23">
        <f t="shared" si="18"/>
        <v>-3.5965114626552577</v>
      </c>
      <c r="F160" s="23">
        <f t="shared" si="19"/>
        <v>3.5965114626552577</v>
      </c>
      <c r="H160" s="13">
        <v>154</v>
      </c>
      <c r="I160" s="14">
        <f t="shared" si="20"/>
        <v>7.6982294072363352E-4</v>
      </c>
      <c r="J160" s="13">
        <f t="shared" si="13"/>
        <v>1</v>
      </c>
      <c r="K160">
        <f t="shared" si="14"/>
        <v>0</v>
      </c>
      <c r="L160">
        <f t="shared" si="15"/>
        <v>0</v>
      </c>
      <c r="M160">
        <f t="shared" si="16"/>
        <v>0</v>
      </c>
    </row>
    <row r="161" spans="1:13" x14ac:dyDescent="0.3">
      <c r="A161" s="2">
        <v>43886</v>
      </c>
      <c r="B161" s="1">
        <v>72.02</v>
      </c>
      <c r="C161" s="1">
        <f>'Historical Simulation'!D161</f>
        <v>196.77</v>
      </c>
      <c r="D161" s="22">
        <f t="shared" si="17"/>
        <v>901.86166895878148</v>
      </c>
      <c r="E161" s="23">
        <f t="shared" si="18"/>
        <v>-12.004153332795795</v>
      </c>
      <c r="F161" s="23">
        <f t="shared" si="19"/>
        <v>12.004153332795795</v>
      </c>
      <c r="H161" s="13">
        <v>155</v>
      </c>
      <c r="I161" s="14">
        <f t="shared" si="20"/>
        <v>7.6982294072363352E-4</v>
      </c>
      <c r="J161" s="13">
        <f t="shared" si="13"/>
        <v>1</v>
      </c>
      <c r="K161">
        <f t="shared" si="14"/>
        <v>0</v>
      </c>
      <c r="L161">
        <f t="shared" si="15"/>
        <v>0</v>
      </c>
      <c r="M161">
        <f t="shared" si="16"/>
        <v>0</v>
      </c>
    </row>
    <row r="162" spans="1:13" x14ac:dyDescent="0.3">
      <c r="A162" s="2">
        <v>43885</v>
      </c>
      <c r="B162" s="1">
        <v>74.545000000000002</v>
      </c>
      <c r="C162" s="1">
        <f>'Historical Simulation'!D162</f>
        <v>200.72</v>
      </c>
      <c r="D162" s="22">
        <f t="shared" si="17"/>
        <v>913.86582229157727</v>
      </c>
      <c r="E162" s="23">
        <f t="shared" si="18"/>
        <v>-41.916824921809962</v>
      </c>
      <c r="F162" s="23">
        <f t="shared" si="19"/>
        <v>41.916824921809962</v>
      </c>
      <c r="H162" s="13">
        <v>156</v>
      </c>
      <c r="I162" s="14">
        <f t="shared" si="20"/>
        <v>7.6982294072363352E-4</v>
      </c>
      <c r="J162" s="13">
        <f t="shared" si="13"/>
        <v>1</v>
      </c>
      <c r="K162">
        <f t="shared" si="14"/>
        <v>0</v>
      </c>
      <c r="L162">
        <f t="shared" si="15"/>
        <v>0</v>
      </c>
      <c r="M162">
        <f t="shared" si="16"/>
        <v>0</v>
      </c>
    </row>
    <row r="163" spans="1:13" x14ac:dyDescent="0.3">
      <c r="A163" s="2">
        <v>43882</v>
      </c>
      <c r="B163" s="1">
        <v>78.262500000000003</v>
      </c>
      <c r="C163" s="1">
        <f>'Historical Simulation'!D163</f>
        <v>210.18</v>
      </c>
      <c r="D163" s="22">
        <f t="shared" si="17"/>
        <v>955.78264721338724</v>
      </c>
      <c r="E163" s="23">
        <f t="shared" si="18"/>
        <v>-19.024646841129197</v>
      </c>
      <c r="F163" s="23">
        <f t="shared" si="19"/>
        <v>19.024646841129197</v>
      </c>
      <c r="H163" s="13">
        <v>157</v>
      </c>
      <c r="I163" s="14">
        <f t="shared" si="20"/>
        <v>7.6982294072363352E-4</v>
      </c>
      <c r="J163" s="13">
        <f t="shared" ref="J163:J226" si="21">COUNTIF($F:$F,"&gt;"&amp;H163)</f>
        <v>1</v>
      </c>
      <c r="K163">
        <f t="shared" ref="K163:K226" si="22">J163-J164</f>
        <v>0</v>
      </c>
      <c r="L163">
        <f t="shared" ref="L163:L226" si="23">K163/COUNT(F:F)</f>
        <v>0</v>
      </c>
      <c r="M163">
        <f t="shared" ref="M163:M226" si="24">L163*H163</f>
        <v>0</v>
      </c>
    </row>
    <row r="164" spans="1:13" x14ac:dyDescent="0.3">
      <c r="A164" s="2">
        <v>43881</v>
      </c>
      <c r="B164" s="1">
        <v>80.075000000000003</v>
      </c>
      <c r="C164" s="1">
        <f>'Historical Simulation'!D164</f>
        <v>214.58</v>
      </c>
      <c r="D164" s="22">
        <f t="shared" si="17"/>
        <v>974.80729405451643</v>
      </c>
      <c r="E164" s="23">
        <f t="shared" si="18"/>
        <v>-14.666237847168304</v>
      </c>
      <c r="F164" s="23">
        <f t="shared" si="19"/>
        <v>14.666237847168304</v>
      </c>
      <c r="H164" s="13">
        <v>158</v>
      </c>
      <c r="I164" s="14">
        <f t="shared" si="20"/>
        <v>7.6982294072363352E-4</v>
      </c>
      <c r="J164" s="13">
        <f t="shared" si="21"/>
        <v>1</v>
      </c>
      <c r="K164">
        <f t="shared" si="22"/>
        <v>0</v>
      </c>
      <c r="L164">
        <f t="shared" si="23"/>
        <v>0</v>
      </c>
      <c r="M164">
        <f t="shared" si="24"/>
        <v>0</v>
      </c>
    </row>
    <row r="165" spans="1:13" x14ac:dyDescent="0.3">
      <c r="A165" s="2">
        <v>43880</v>
      </c>
      <c r="B165" s="1">
        <v>80.905000000000001</v>
      </c>
      <c r="C165" s="1">
        <f>'Historical Simulation'!D165</f>
        <v>217.49</v>
      </c>
      <c r="D165" s="22">
        <f t="shared" si="17"/>
        <v>989.47353190168474</v>
      </c>
      <c r="E165" s="23">
        <f t="shared" si="18"/>
        <v>-8.590234829856854</v>
      </c>
      <c r="F165" s="23">
        <f t="shared" si="19"/>
        <v>8.590234829856854</v>
      </c>
      <c r="H165" s="13">
        <v>159</v>
      </c>
      <c r="I165" s="14">
        <f t="shared" si="20"/>
        <v>7.6982294072363352E-4</v>
      </c>
      <c r="J165" s="13">
        <f t="shared" si="21"/>
        <v>1</v>
      </c>
      <c r="K165">
        <f t="shared" si="22"/>
        <v>0</v>
      </c>
      <c r="L165">
        <f t="shared" si="23"/>
        <v>0</v>
      </c>
      <c r="M165">
        <f t="shared" si="24"/>
        <v>0</v>
      </c>
    </row>
    <row r="166" spans="1:13" x14ac:dyDescent="0.3">
      <c r="A166" s="2">
        <v>43879</v>
      </c>
      <c r="B166" s="1">
        <v>79.75</v>
      </c>
      <c r="C166" s="1">
        <f>'Historical Simulation'!D166</f>
        <v>217.8</v>
      </c>
      <c r="D166" s="22">
        <f t="shared" si="17"/>
        <v>998.06376673154159</v>
      </c>
      <c r="E166" s="23">
        <f t="shared" si="18"/>
        <v>32.487781155967923</v>
      </c>
      <c r="F166" s="23">
        <f t="shared" si="19"/>
        <v>-32.487781155967923</v>
      </c>
      <c r="H166" s="13">
        <v>160</v>
      </c>
      <c r="I166" s="14">
        <f t="shared" si="20"/>
        <v>7.6982294072363352E-4</v>
      </c>
      <c r="J166" s="13">
        <f t="shared" si="21"/>
        <v>1</v>
      </c>
      <c r="K166">
        <f t="shared" si="22"/>
        <v>0</v>
      </c>
      <c r="L166">
        <f t="shared" si="23"/>
        <v>0</v>
      </c>
      <c r="M166">
        <f t="shared" si="24"/>
        <v>0</v>
      </c>
    </row>
    <row r="167" spans="1:13" x14ac:dyDescent="0.3">
      <c r="A167" s="2">
        <v>43875</v>
      </c>
      <c r="B167" s="1">
        <v>81.237499999999997</v>
      </c>
      <c r="C167" s="1">
        <f>'Historical Simulation'!D167</f>
        <v>214.18</v>
      </c>
      <c r="D167" s="22">
        <f t="shared" si="17"/>
        <v>965.57598557557367</v>
      </c>
      <c r="E167" s="23">
        <f t="shared" si="18"/>
        <v>6.80507817505395</v>
      </c>
      <c r="F167" s="23">
        <f t="shared" si="19"/>
        <v>-6.80507817505395</v>
      </c>
      <c r="H167" s="13">
        <v>161</v>
      </c>
      <c r="I167" s="14">
        <f t="shared" si="20"/>
        <v>7.6982294072363352E-4</v>
      </c>
      <c r="J167" s="13">
        <f t="shared" si="21"/>
        <v>1</v>
      </c>
      <c r="K167">
        <f t="shared" si="22"/>
        <v>0</v>
      </c>
      <c r="L167">
        <f t="shared" si="23"/>
        <v>0</v>
      </c>
      <c r="M167">
        <f t="shared" si="24"/>
        <v>0</v>
      </c>
    </row>
    <row r="168" spans="1:13" x14ac:dyDescent="0.3">
      <c r="A168" s="2">
        <v>43874</v>
      </c>
      <c r="B168" s="1">
        <v>81.217500000000001</v>
      </c>
      <c r="C168" s="1">
        <f>'Historical Simulation'!D168</f>
        <v>213.14</v>
      </c>
      <c r="D168" s="22">
        <f t="shared" si="17"/>
        <v>958.77090740051972</v>
      </c>
      <c r="E168" s="23">
        <f t="shared" si="18"/>
        <v>19.124160876075166</v>
      </c>
      <c r="F168" s="23">
        <f t="shared" si="19"/>
        <v>-19.124160876075166</v>
      </c>
      <c r="H168" s="13">
        <v>162</v>
      </c>
      <c r="I168" s="14">
        <f t="shared" si="20"/>
        <v>7.6982294072363352E-4</v>
      </c>
      <c r="J168" s="13">
        <f t="shared" si="21"/>
        <v>1</v>
      </c>
      <c r="K168">
        <f t="shared" si="22"/>
        <v>0</v>
      </c>
      <c r="L168">
        <f t="shared" si="23"/>
        <v>0</v>
      </c>
      <c r="M168">
        <f t="shared" si="24"/>
        <v>0</v>
      </c>
    </row>
    <row r="169" spans="1:13" x14ac:dyDescent="0.3">
      <c r="A169" s="2">
        <v>43873</v>
      </c>
      <c r="B169" s="1">
        <v>81.8</v>
      </c>
      <c r="C169" s="1">
        <f>'Historical Simulation'!D169</f>
        <v>210.76</v>
      </c>
      <c r="D169" s="22">
        <f t="shared" si="17"/>
        <v>939.64674652444455</v>
      </c>
      <c r="E169" s="23">
        <f t="shared" si="18"/>
        <v>13.023032595860286</v>
      </c>
      <c r="F169" s="23">
        <f t="shared" si="19"/>
        <v>-13.023032595860286</v>
      </c>
      <c r="H169" s="13">
        <v>163</v>
      </c>
      <c r="I169" s="14">
        <f t="shared" si="20"/>
        <v>7.6982294072363352E-4</v>
      </c>
      <c r="J169" s="13">
        <f t="shared" si="21"/>
        <v>1</v>
      </c>
      <c r="K169">
        <f t="shared" si="22"/>
        <v>0</v>
      </c>
      <c r="L169">
        <f t="shared" si="23"/>
        <v>0</v>
      </c>
      <c r="M169">
        <f t="shared" si="24"/>
        <v>0</v>
      </c>
    </row>
    <row r="170" spans="1:13" x14ac:dyDescent="0.3">
      <c r="A170" s="2">
        <v>43872</v>
      </c>
      <c r="B170" s="1">
        <v>79.902500000000003</v>
      </c>
      <c r="C170" s="1">
        <f>'Historical Simulation'!D170</f>
        <v>207.19</v>
      </c>
      <c r="D170" s="22">
        <f t="shared" si="17"/>
        <v>926.62371392858427</v>
      </c>
      <c r="E170" s="23">
        <f t="shared" si="18"/>
        <v>-36.306221541827995</v>
      </c>
      <c r="F170" s="23">
        <f t="shared" si="19"/>
        <v>36.306221541827995</v>
      </c>
      <c r="H170" s="13">
        <v>164</v>
      </c>
      <c r="I170" s="14">
        <f t="shared" si="20"/>
        <v>7.6982294072363352E-4</v>
      </c>
      <c r="J170" s="13">
        <f t="shared" si="21"/>
        <v>1</v>
      </c>
      <c r="K170">
        <f t="shared" si="22"/>
        <v>0</v>
      </c>
      <c r="L170">
        <f t="shared" si="23"/>
        <v>0</v>
      </c>
      <c r="M170">
        <f t="shared" si="24"/>
        <v>0</v>
      </c>
    </row>
    <row r="171" spans="1:13" x14ac:dyDescent="0.3">
      <c r="A171" s="2">
        <v>43871</v>
      </c>
      <c r="B171" s="1">
        <v>80.387500000000003</v>
      </c>
      <c r="C171" s="1">
        <f>'Historical Simulation'!D171</f>
        <v>213.06</v>
      </c>
      <c r="D171" s="22">
        <f t="shared" si="17"/>
        <v>962.92993547041226</v>
      </c>
      <c r="E171" s="23">
        <f t="shared" si="18"/>
        <v>2.7082130992829434</v>
      </c>
      <c r="F171" s="23">
        <f t="shared" si="19"/>
        <v>-2.7082130992829434</v>
      </c>
      <c r="H171" s="13">
        <v>165</v>
      </c>
      <c r="I171" s="14">
        <f t="shared" si="20"/>
        <v>7.6982294072363352E-4</v>
      </c>
      <c r="J171" s="13">
        <f t="shared" si="21"/>
        <v>1</v>
      </c>
      <c r="K171">
        <f t="shared" si="22"/>
        <v>0</v>
      </c>
      <c r="L171">
        <f t="shared" si="23"/>
        <v>0</v>
      </c>
      <c r="M171">
        <f t="shared" si="24"/>
        <v>0</v>
      </c>
    </row>
    <row r="172" spans="1:13" x14ac:dyDescent="0.3">
      <c r="A172" s="2">
        <v>43868</v>
      </c>
      <c r="B172" s="1">
        <v>80.007499999999993</v>
      </c>
      <c r="C172" s="1">
        <f>'Historical Simulation'!D172</f>
        <v>212.33</v>
      </c>
      <c r="D172" s="22">
        <f t="shared" si="17"/>
        <v>960.22172237112932</v>
      </c>
      <c r="E172" s="23">
        <f t="shared" si="18"/>
        <v>17.164403858602327</v>
      </c>
      <c r="F172" s="23">
        <f t="shared" si="19"/>
        <v>-17.164403858602327</v>
      </c>
      <c r="H172" s="13">
        <v>166</v>
      </c>
      <c r="I172" s="14">
        <f t="shared" si="20"/>
        <v>7.6982294072363352E-4</v>
      </c>
      <c r="J172" s="13">
        <f t="shared" si="21"/>
        <v>1</v>
      </c>
      <c r="K172">
        <f t="shared" si="22"/>
        <v>0</v>
      </c>
      <c r="L172">
        <f t="shared" si="23"/>
        <v>0</v>
      </c>
      <c r="M172">
        <f t="shared" si="24"/>
        <v>0</v>
      </c>
    </row>
    <row r="173" spans="1:13" x14ac:dyDescent="0.3">
      <c r="A173" s="2">
        <v>43867</v>
      </c>
      <c r="B173" s="1">
        <v>81.302499999999995</v>
      </c>
      <c r="C173" s="1">
        <f>'Historical Simulation'!D173</f>
        <v>210.85</v>
      </c>
      <c r="D173" s="22">
        <f t="shared" si="17"/>
        <v>943.05731851252699</v>
      </c>
      <c r="E173" s="23">
        <f t="shared" si="18"/>
        <v>-0.39040748530464953</v>
      </c>
      <c r="F173" s="23">
        <f t="shared" si="19"/>
        <v>0.39040748530464953</v>
      </c>
      <c r="H173" s="13">
        <v>167</v>
      </c>
      <c r="I173" s="14">
        <f t="shared" si="20"/>
        <v>7.6982294072363352E-4</v>
      </c>
      <c r="J173" s="13">
        <f t="shared" si="21"/>
        <v>1</v>
      </c>
      <c r="K173">
        <f t="shared" si="22"/>
        <v>0</v>
      </c>
      <c r="L173">
        <f t="shared" si="23"/>
        <v>0</v>
      </c>
      <c r="M173">
        <f t="shared" si="24"/>
        <v>0</v>
      </c>
    </row>
    <row r="174" spans="1:13" x14ac:dyDescent="0.3">
      <c r="A174" s="2">
        <v>43866</v>
      </c>
      <c r="B174" s="1">
        <v>80.362499999999997</v>
      </c>
      <c r="C174" s="1">
        <f>'Historical Simulation'!D174</f>
        <v>210.11</v>
      </c>
      <c r="D174" s="22">
        <f t="shared" si="17"/>
        <v>943.44772599783164</v>
      </c>
      <c r="E174" s="23">
        <f t="shared" si="18"/>
        <v>-1.8112538478136457</v>
      </c>
      <c r="F174" s="23">
        <f t="shared" si="19"/>
        <v>1.8112538478136457</v>
      </c>
      <c r="H174" s="13">
        <v>168</v>
      </c>
      <c r="I174" s="14">
        <f t="shared" si="20"/>
        <v>7.6982294072363352E-4</v>
      </c>
      <c r="J174" s="13">
        <f t="shared" si="21"/>
        <v>1</v>
      </c>
      <c r="K174">
        <f t="shared" si="22"/>
        <v>0</v>
      </c>
      <c r="L174">
        <f t="shared" si="23"/>
        <v>0</v>
      </c>
      <c r="M174">
        <f t="shared" si="24"/>
        <v>0</v>
      </c>
    </row>
    <row r="175" spans="1:13" x14ac:dyDescent="0.3">
      <c r="A175" s="2">
        <v>43865</v>
      </c>
      <c r="B175" s="1">
        <v>79.712500000000006</v>
      </c>
      <c r="C175" s="1">
        <f>'Historical Simulation'!D175</f>
        <v>209.83</v>
      </c>
      <c r="D175" s="22">
        <f t="shared" si="17"/>
        <v>945.25897984564529</v>
      </c>
      <c r="E175" s="23">
        <f t="shared" si="18"/>
        <v>23.118925741523412</v>
      </c>
      <c r="F175" s="23">
        <f t="shared" si="19"/>
        <v>-23.118925741523412</v>
      </c>
      <c r="H175" s="13">
        <v>169</v>
      </c>
      <c r="I175" s="14">
        <f t="shared" si="20"/>
        <v>7.6982294072363352E-4</v>
      </c>
      <c r="J175" s="13">
        <f t="shared" si="21"/>
        <v>1</v>
      </c>
      <c r="K175">
        <f t="shared" si="22"/>
        <v>0</v>
      </c>
      <c r="L175">
        <f t="shared" si="23"/>
        <v>0</v>
      </c>
      <c r="M175">
        <f t="shared" si="24"/>
        <v>0</v>
      </c>
    </row>
    <row r="176" spans="1:13" x14ac:dyDescent="0.3">
      <c r="A176" s="2">
        <v>43864</v>
      </c>
      <c r="B176" s="1">
        <v>77.165000000000006</v>
      </c>
      <c r="C176" s="1">
        <f>'Historical Simulation'!D176</f>
        <v>204.19</v>
      </c>
      <c r="D176" s="22">
        <f t="shared" si="17"/>
        <v>922.14005410412187</v>
      </c>
      <c r="E176" s="23">
        <f t="shared" si="18"/>
        <v>16.367703285609196</v>
      </c>
      <c r="F176" s="23">
        <f t="shared" si="19"/>
        <v>-16.367703285609196</v>
      </c>
      <c r="H176" s="13">
        <v>170</v>
      </c>
      <c r="I176" s="14">
        <f t="shared" si="20"/>
        <v>7.6982294072363352E-4</v>
      </c>
      <c r="J176" s="13">
        <f t="shared" si="21"/>
        <v>1</v>
      </c>
      <c r="K176">
        <f t="shared" si="22"/>
        <v>0</v>
      </c>
      <c r="L176">
        <f t="shared" si="23"/>
        <v>0</v>
      </c>
      <c r="M176">
        <f t="shared" si="24"/>
        <v>0</v>
      </c>
    </row>
    <row r="177" spans="1:13" x14ac:dyDescent="0.3">
      <c r="A177" s="2">
        <v>43861</v>
      </c>
      <c r="B177" s="1">
        <v>77.377499999999998</v>
      </c>
      <c r="C177" s="1">
        <f>'Historical Simulation'!D177</f>
        <v>201.91</v>
      </c>
      <c r="D177" s="22">
        <f t="shared" si="17"/>
        <v>905.77235081851268</v>
      </c>
      <c r="E177" s="23">
        <f t="shared" si="18"/>
        <v>-30.397710828888989</v>
      </c>
      <c r="F177" s="23">
        <f t="shared" si="19"/>
        <v>30.397710828888989</v>
      </c>
      <c r="H177" s="13">
        <v>171</v>
      </c>
      <c r="I177" s="14">
        <f t="shared" si="20"/>
        <v>7.6982294072363352E-4</v>
      </c>
      <c r="J177" s="13">
        <f t="shared" si="21"/>
        <v>1</v>
      </c>
      <c r="K177">
        <f t="shared" si="22"/>
        <v>0</v>
      </c>
      <c r="L177">
        <f t="shared" si="23"/>
        <v>0</v>
      </c>
      <c r="M177">
        <f t="shared" si="24"/>
        <v>0</v>
      </c>
    </row>
    <row r="178" spans="1:13" x14ac:dyDescent="0.3">
      <c r="A178" s="2">
        <v>43860</v>
      </c>
      <c r="B178" s="1">
        <v>80.967500000000001</v>
      </c>
      <c r="C178" s="1">
        <f>'Historical Simulation'!D178</f>
        <v>209.53</v>
      </c>
      <c r="D178" s="22">
        <f t="shared" si="17"/>
        <v>936.17006164740167</v>
      </c>
      <c r="E178" s="23">
        <f t="shared" si="18"/>
        <v>-90.468798345752589</v>
      </c>
      <c r="F178" s="23">
        <f t="shared" si="19"/>
        <v>90.468798345752589</v>
      </c>
      <c r="H178" s="13">
        <v>172</v>
      </c>
      <c r="I178" s="14">
        <f t="shared" si="20"/>
        <v>7.6982294072363352E-4</v>
      </c>
      <c r="J178" s="13">
        <f t="shared" si="21"/>
        <v>1</v>
      </c>
      <c r="K178">
        <f t="shared" si="22"/>
        <v>0</v>
      </c>
      <c r="L178">
        <f t="shared" si="23"/>
        <v>0</v>
      </c>
      <c r="M178">
        <f t="shared" si="24"/>
        <v>0</v>
      </c>
    </row>
    <row r="179" spans="1:13" x14ac:dyDescent="0.3">
      <c r="A179" s="2">
        <v>43859</v>
      </c>
      <c r="B179" s="1">
        <v>81.084999999999994</v>
      </c>
      <c r="C179" s="1">
        <f>'Historical Simulation'!D179</f>
        <v>223.23</v>
      </c>
      <c r="D179" s="22">
        <f t="shared" si="17"/>
        <v>1026.6388599931543</v>
      </c>
      <c r="E179" s="23">
        <f t="shared" si="18"/>
        <v>26.790571378691766</v>
      </c>
      <c r="F179" s="23">
        <f t="shared" si="19"/>
        <v>-26.790571378691766</v>
      </c>
      <c r="H179" s="13">
        <v>173</v>
      </c>
      <c r="I179" s="14">
        <f t="shared" si="20"/>
        <v>7.6982294072363352E-4</v>
      </c>
      <c r="J179" s="13">
        <f t="shared" si="21"/>
        <v>1</v>
      </c>
      <c r="K179">
        <f t="shared" si="22"/>
        <v>0</v>
      </c>
      <c r="L179">
        <f t="shared" si="23"/>
        <v>0</v>
      </c>
      <c r="M179">
        <f t="shared" si="24"/>
        <v>0</v>
      </c>
    </row>
    <row r="180" spans="1:13" x14ac:dyDescent="0.3">
      <c r="A180" s="2">
        <v>43858</v>
      </c>
      <c r="B180" s="1">
        <v>79.422499999999999</v>
      </c>
      <c r="C180" s="1">
        <f>'Historical Simulation'!D180</f>
        <v>217.79</v>
      </c>
      <c r="D180" s="22">
        <f t="shared" si="17"/>
        <v>999.84828861446249</v>
      </c>
      <c r="E180" s="23">
        <f t="shared" si="18"/>
        <v>7.0742475084946363</v>
      </c>
      <c r="F180" s="23">
        <f t="shared" si="19"/>
        <v>-7.0742475084946363</v>
      </c>
      <c r="H180" s="13">
        <v>174</v>
      </c>
      <c r="I180" s="14">
        <f t="shared" si="20"/>
        <v>7.6982294072363352E-4</v>
      </c>
      <c r="J180" s="13">
        <f t="shared" si="21"/>
        <v>1</v>
      </c>
      <c r="K180">
        <f t="shared" si="22"/>
        <v>0</v>
      </c>
      <c r="L180">
        <f t="shared" si="23"/>
        <v>0</v>
      </c>
      <c r="M180">
        <f t="shared" si="24"/>
        <v>0</v>
      </c>
    </row>
    <row r="181" spans="1:13" x14ac:dyDescent="0.3">
      <c r="A181" s="2">
        <v>43857</v>
      </c>
      <c r="B181" s="1">
        <v>77.237499999999997</v>
      </c>
      <c r="C181" s="1">
        <f>'Historical Simulation'!D181</f>
        <v>214.87</v>
      </c>
      <c r="D181" s="22">
        <f t="shared" si="17"/>
        <v>992.77404110596785</v>
      </c>
      <c r="E181" s="23">
        <f t="shared" si="18"/>
        <v>-7.195987321362054</v>
      </c>
      <c r="F181" s="23">
        <f t="shared" si="19"/>
        <v>7.195987321362054</v>
      </c>
      <c r="H181" s="13">
        <v>175</v>
      </c>
      <c r="I181" s="14">
        <f t="shared" si="20"/>
        <v>7.6982294072363352E-4</v>
      </c>
      <c r="J181" s="13">
        <f t="shared" si="21"/>
        <v>1</v>
      </c>
      <c r="K181">
        <f t="shared" si="22"/>
        <v>0</v>
      </c>
      <c r="L181">
        <f t="shared" si="23"/>
        <v>0</v>
      </c>
      <c r="M181">
        <f t="shared" si="24"/>
        <v>0</v>
      </c>
    </row>
    <row r="182" spans="1:13" x14ac:dyDescent="0.3">
      <c r="A182" s="2">
        <v>43854</v>
      </c>
      <c r="B182" s="1">
        <v>79.577500000000001</v>
      </c>
      <c r="C182" s="1">
        <f>'Historical Simulation'!D182</f>
        <v>217.94</v>
      </c>
      <c r="D182" s="22">
        <f t="shared" si="17"/>
        <v>999.97002842732991</v>
      </c>
      <c r="E182" s="23">
        <f t="shared" si="18"/>
        <v>-10.806739508171972</v>
      </c>
      <c r="F182" s="23">
        <f t="shared" si="19"/>
        <v>10.806739508171972</v>
      </c>
      <c r="H182" s="13">
        <v>176</v>
      </c>
      <c r="I182" s="14">
        <f t="shared" si="20"/>
        <v>7.6982294072363352E-4</v>
      </c>
      <c r="J182" s="13">
        <f t="shared" si="21"/>
        <v>1</v>
      </c>
      <c r="K182">
        <f t="shared" si="22"/>
        <v>0</v>
      </c>
      <c r="L182">
        <f t="shared" si="23"/>
        <v>0</v>
      </c>
      <c r="M182">
        <f t="shared" si="24"/>
        <v>0</v>
      </c>
    </row>
    <row r="183" spans="1:13" x14ac:dyDescent="0.3">
      <c r="A183" s="2">
        <v>43853</v>
      </c>
      <c r="B183" s="1">
        <v>79.807500000000005</v>
      </c>
      <c r="C183" s="1">
        <f>'Historical Simulation'!D183</f>
        <v>219.76</v>
      </c>
      <c r="D183" s="22">
        <f t="shared" si="17"/>
        <v>1010.7767679355019</v>
      </c>
      <c r="E183" s="23">
        <f t="shared" si="18"/>
        <v>-12.539082701021471</v>
      </c>
      <c r="F183" s="23">
        <f t="shared" si="19"/>
        <v>12.539082701021471</v>
      </c>
      <c r="H183" s="13">
        <v>177</v>
      </c>
      <c r="I183" s="14">
        <f t="shared" si="20"/>
        <v>7.6982294072363352E-4</v>
      </c>
      <c r="J183" s="13">
        <f t="shared" si="21"/>
        <v>1</v>
      </c>
      <c r="K183">
        <f t="shared" si="22"/>
        <v>0</v>
      </c>
      <c r="L183">
        <f t="shared" si="23"/>
        <v>0</v>
      </c>
      <c r="M183">
        <f t="shared" si="24"/>
        <v>0</v>
      </c>
    </row>
    <row r="184" spans="1:13" x14ac:dyDescent="0.3">
      <c r="A184" s="2">
        <v>43852</v>
      </c>
      <c r="B184" s="1">
        <v>79.424999999999997</v>
      </c>
      <c r="C184" s="1">
        <f>'Historical Simulation'!D184</f>
        <v>221.32</v>
      </c>
      <c r="D184" s="22">
        <f t="shared" si="17"/>
        <v>1023.3158506365234</v>
      </c>
      <c r="E184" s="23">
        <f t="shared" si="18"/>
        <v>-2.3949450641756584</v>
      </c>
      <c r="F184" s="23">
        <f t="shared" si="19"/>
        <v>2.3949450641756584</v>
      </c>
      <c r="H184" s="13">
        <v>178</v>
      </c>
      <c r="I184" s="14">
        <f t="shared" si="20"/>
        <v>7.6982294072363352E-4</v>
      </c>
      <c r="J184" s="13">
        <f t="shared" si="21"/>
        <v>1</v>
      </c>
      <c r="K184">
        <f t="shared" si="22"/>
        <v>0</v>
      </c>
      <c r="L184">
        <f t="shared" si="23"/>
        <v>0</v>
      </c>
      <c r="M184">
        <f t="shared" si="24"/>
        <v>0</v>
      </c>
    </row>
    <row r="185" spans="1:13" x14ac:dyDescent="0.3">
      <c r="A185" s="2">
        <v>43851</v>
      </c>
      <c r="B185" s="1">
        <v>79.142499999999998</v>
      </c>
      <c r="C185" s="1">
        <f>'Historical Simulation'!D185</f>
        <v>221.44</v>
      </c>
      <c r="D185" s="22">
        <f t="shared" si="17"/>
        <v>1025.710795700699</v>
      </c>
      <c r="E185" s="23">
        <f t="shared" si="18"/>
        <v>-1.604325988243545</v>
      </c>
      <c r="F185" s="23">
        <f t="shared" si="19"/>
        <v>1.604325988243545</v>
      </c>
      <c r="H185" s="13">
        <v>179</v>
      </c>
      <c r="I185" s="14">
        <f t="shared" si="20"/>
        <v>7.6982294072363352E-4</v>
      </c>
      <c r="J185" s="13">
        <f t="shared" si="21"/>
        <v>1</v>
      </c>
      <c r="K185">
        <f t="shared" si="22"/>
        <v>0</v>
      </c>
      <c r="L185">
        <f t="shared" si="23"/>
        <v>0</v>
      </c>
      <c r="M185">
        <f t="shared" si="24"/>
        <v>0</v>
      </c>
    </row>
    <row r="186" spans="1:13" x14ac:dyDescent="0.3">
      <c r="A186" s="2">
        <v>43847</v>
      </c>
      <c r="B186" s="1">
        <v>79.682500000000005</v>
      </c>
      <c r="C186" s="1">
        <f>'Historical Simulation'!D186</f>
        <v>222.14</v>
      </c>
      <c r="D186" s="22">
        <f t="shared" si="17"/>
        <v>1027.3151216889426</v>
      </c>
      <c r="E186" s="23">
        <f t="shared" si="18"/>
        <v>-2.4701488068283197</v>
      </c>
      <c r="F186" s="23">
        <f t="shared" si="19"/>
        <v>2.4701488068283197</v>
      </c>
      <c r="H186" s="13">
        <v>180</v>
      </c>
      <c r="I186" s="14">
        <f t="shared" si="20"/>
        <v>7.6982294072363352E-4</v>
      </c>
      <c r="J186" s="13">
        <f t="shared" si="21"/>
        <v>1</v>
      </c>
      <c r="K186">
        <f t="shared" si="22"/>
        <v>0</v>
      </c>
      <c r="L186">
        <f t="shared" si="23"/>
        <v>0</v>
      </c>
      <c r="M186">
        <f t="shared" si="24"/>
        <v>0</v>
      </c>
    </row>
    <row r="187" spans="1:13" x14ac:dyDescent="0.3">
      <c r="A187" s="2">
        <v>43846</v>
      </c>
      <c r="B187" s="1">
        <v>78.81</v>
      </c>
      <c r="C187" s="1">
        <f>'Historical Simulation'!D187</f>
        <v>221.77</v>
      </c>
      <c r="D187" s="22">
        <f t="shared" si="17"/>
        <v>1029.7852704957709</v>
      </c>
      <c r="E187" s="23">
        <f t="shared" si="18"/>
        <v>-1.386473286415594</v>
      </c>
      <c r="F187" s="23">
        <f t="shared" si="19"/>
        <v>1.386473286415594</v>
      </c>
      <c r="H187" s="13">
        <v>181</v>
      </c>
      <c r="I187" s="14">
        <f t="shared" si="20"/>
        <v>7.6982294072363352E-4</v>
      </c>
      <c r="J187" s="13">
        <f t="shared" si="21"/>
        <v>1</v>
      </c>
      <c r="K187">
        <f t="shared" si="22"/>
        <v>0</v>
      </c>
      <c r="L187">
        <f t="shared" si="23"/>
        <v>0</v>
      </c>
      <c r="M187">
        <f t="shared" si="24"/>
        <v>0</v>
      </c>
    </row>
    <row r="188" spans="1:13" x14ac:dyDescent="0.3">
      <c r="A188" s="2">
        <v>43845</v>
      </c>
      <c r="B188" s="1">
        <v>77.834999999999994</v>
      </c>
      <c r="C188" s="1">
        <f>'Historical Simulation'!D188</f>
        <v>221.15</v>
      </c>
      <c r="D188" s="22">
        <f t="shared" si="17"/>
        <v>1031.1717437821865</v>
      </c>
      <c r="E188" s="23">
        <f t="shared" si="18"/>
        <v>15.796190759318961</v>
      </c>
      <c r="F188" s="23">
        <f t="shared" si="19"/>
        <v>-15.796190759318961</v>
      </c>
      <c r="H188" s="13">
        <v>182</v>
      </c>
      <c r="I188" s="14">
        <f t="shared" si="20"/>
        <v>7.6982294072363352E-4</v>
      </c>
      <c r="J188" s="13">
        <f t="shared" si="21"/>
        <v>1</v>
      </c>
      <c r="K188">
        <f t="shared" si="22"/>
        <v>0</v>
      </c>
      <c r="L188">
        <f t="shared" si="23"/>
        <v>0</v>
      </c>
      <c r="M188">
        <f t="shared" si="24"/>
        <v>0</v>
      </c>
    </row>
    <row r="189" spans="1:13" x14ac:dyDescent="0.3">
      <c r="A189" s="2">
        <v>43844</v>
      </c>
      <c r="B189" s="1">
        <v>78.17</v>
      </c>
      <c r="C189" s="1">
        <f>'Historical Simulation'!D189</f>
        <v>219.06</v>
      </c>
      <c r="D189" s="22">
        <f t="shared" si="17"/>
        <v>1015.3755530228675</v>
      </c>
      <c r="E189" s="23">
        <f t="shared" si="18"/>
        <v>-12.910626619211371</v>
      </c>
      <c r="F189" s="23">
        <f t="shared" si="19"/>
        <v>12.910626619211371</v>
      </c>
      <c r="H189" s="13">
        <v>183</v>
      </c>
      <c r="I189" s="14">
        <f t="shared" si="20"/>
        <v>7.6982294072363352E-4</v>
      </c>
      <c r="J189" s="13">
        <f t="shared" si="21"/>
        <v>1</v>
      </c>
      <c r="K189">
        <f t="shared" si="22"/>
        <v>0</v>
      </c>
      <c r="L189">
        <f t="shared" si="23"/>
        <v>0</v>
      </c>
      <c r="M189">
        <f t="shared" si="24"/>
        <v>0</v>
      </c>
    </row>
    <row r="190" spans="1:13" x14ac:dyDescent="0.3">
      <c r="A190" s="2">
        <v>43843</v>
      </c>
      <c r="B190" s="1">
        <v>79.239999999999995</v>
      </c>
      <c r="C190" s="1">
        <f>'Historical Simulation'!D190</f>
        <v>221.91</v>
      </c>
      <c r="D190" s="22">
        <f t="shared" si="17"/>
        <v>1028.2861796420789</v>
      </c>
      <c r="E190" s="23">
        <f t="shared" si="18"/>
        <v>16.242092057652258</v>
      </c>
      <c r="F190" s="23">
        <f t="shared" si="19"/>
        <v>-16.242092057652258</v>
      </c>
      <c r="H190" s="13">
        <v>184</v>
      </c>
      <c r="I190" s="14">
        <f t="shared" si="20"/>
        <v>7.6982294072363352E-4</v>
      </c>
      <c r="J190" s="13">
        <f t="shared" si="21"/>
        <v>1</v>
      </c>
      <c r="K190">
        <f t="shared" si="22"/>
        <v>0</v>
      </c>
      <c r="L190">
        <f t="shared" si="23"/>
        <v>0</v>
      </c>
      <c r="M190">
        <f t="shared" si="24"/>
        <v>0</v>
      </c>
    </row>
    <row r="191" spans="1:13" x14ac:dyDescent="0.3">
      <c r="A191" s="2">
        <v>43840</v>
      </c>
      <c r="B191" s="1">
        <v>77.582499999999996</v>
      </c>
      <c r="C191" s="1">
        <f>'Historical Simulation'!D191</f>
        <v>218.06</v>
      </c>
      <c r="D191" s="22">
        <f t="shared" si="17"/>
        <v>1012.0440875844266</v>
      </c>
      <c r="E191" s="23">
        <f t="shared" si="18"/>
        <v>-2.5855955320073463</v>
      </c>
      <c r="F191" s="23">
        <f t="shared" si="19"/>
        <v>2.5855955320073463</v>
      </c>
      <c r="H191" s="13">
        <v>185</v>
      </c>
      <c r="I191" s="14">
        <f t="shared" si="20"/>
        <v>7.6982294072363352E-4</v>
      </c>
      <c r="J191" s="13">
        <f t="shared" si="21"/>
        <v>1</v>
      </c>
      <c r="K191">
        <f t="shared" si="22"/>
        <v>0</v>
      </c>
      <c r="L191">
        <f t="shared" si="23"/>
        <v>0</v>
      </c>
      <c r="M191">
        <f t="shared" si="24"/>
        <v>0</v>
      </c>
    </row>
    <row r="192" spans="1:13" x14ac:dyDescent="0.3">
      <c r="A192" s="2">
        <v>43839</v>
      </c>
      <c r="B192" s="1">
        <v>77.407499999999999</v>
      </c>
      <c r="C192" s="1">
        <f>'Historical Simulation'!D192</f>
        <v>218.3</v>
      </c>
      <c r="D192" s="22">
        <f t="shared" si="17"/>
        <v>1014.629683116434</v>
      </c>
      <c r="E192" s="23">
        <f t="shared" si="18"/>
        <v>11.388495016989395</v>
      </c>
      <c r="F192" s="23">
        <f t="shared" si="19"/>
        <v>-11.388495016989395</v>
      </c>
      <c r="H192" s="13">
        <v>186</v>
      </c>
      <c r="I192" s="14">
        <f t="shared" si="20"/>
        <v>7.6982294072363352E-4</v>
      </c>
      <c r="J192" s="13">
        <f t="shared" si="21"/>
        <v>1</v>
      </c>
      <c r="K192">
        <f t="shared" si="22"/>
        <v>0</v>
      </c>
      <c r="L192">
        <f t="shared" si="23"/>
        <v>0</v>
      </c>
      <c r="M192">
        <f t="shared" si="24"/>
        <v>0</v>
      </c>
    </row>
    <row r="193" spans="1:13" x14ac:dyDescent="0.3">
      <c r="A193" s="2">
        <v>43838</v>
      </c>
      <c r="B193" s="1">
        <v>75.797499999999999</v>
      </c>
      <c r="C193" s="1">
        <f>'Historical Simulation'!D193</f>
        <v>215.22</v>
      </c>
      <c r="D193" s="22">
        <f t="shared" si="17"/>
        <v>1003.2411880994446</v>
      </c>
      <c r="E193" s="23">
        <f t="shared" si="18"/>
        <v>7.5859559294624432</v>
      </c>
      <c r="F193" s="23">
        <f t="shared" si="19"/>
        <v>-7.5859559294624432</v>
      </c>
      <c r="H193" s="13">
        <v>187</v>
      </c>
      <c r="I193" s="14">
        <f t="shared" si="20"/>
        <v>7.6982294072363352E-4</v>
      </c>
      <c r="J193" s="13">
        <f t="shared" si="21"/>
        <v>1</v>
      </c>
      <c r="K193">
        <f t="shared" si="22"/>
        <v>0</v>
      </c>
      <c r="L193">
        <f t="shared" si="23"/>
        <v>0</v>
      </c>
      <c r="M193">
        <f t="shared" si="24"/>
        <v>0</v>
      </c>
    </row>
    <row r="194" spans="1:13" x14ac:dyDescent="0.3">
      <c r="A194" s="2">
        <v>43837</v>
      </c>
      <c r="B194" s="1">
        <v>74.597499999999997</v>
      </c>
      <c r="C194" s="1">
        <f>'Historical Simulation'!D194</f>
        <v>213.06</v>
      </c>
      <c r="D194" s="22">
        <f t="shared" si="17"/>
        <v>995.65523216998213</v>
      </c>
      <c r="E194" s="23">
        <f t="shared" si="18"/>
        <v>5.0522804090501268</v>
      </c>
      <c r="F194" s="23">
        <f t="shared" si="19"/>
        <v>-5.0522804090501268</v>
      </c>
      <c r="H194" s="13">
        <v>188</v>
      </c>
      <c r="I194" s="14">
        <f t="shared" si="20"/>
        <v>7.6982294072363352E-4</v>
      </c>
      <c r="J194" s="13">
        <f t="shared" si="21"/>
        <v>1</v>
      </c>
      <c r="K194">
        <f t="shared" si="22"/>
        <v>0</v>
      </c>
      <c r="L194">
        <f t="shared" si="23"/>
        <v>0</v>
      </c>
      <c r="M194">
        <f t="shared" si="24"/>
        <v>0</v>
      </c>
    </row>
    <row r="195" spans="1:13" x14ac:dyDescent="0.3">
      <c r="A195" s="2">
        <v>43836</v>
      </c>
      <c r="B195" s="1">
        <v>74.95</v>
      </c>
      <c r="C195" s="1">
        <f>'Historical Simulation'!D195</f>
        <v>212.6</v>
      </c>
      <c r="D195" s="22">
        <f t="shared" si="17"/>
        <v>990.602951760932</v>
      </c>
      <c r="E195" s="23">
        <f t="shared" si="18"/>
        <v>22.793674911021526</v>
      </c>
      <c r="F195" s="23">
        <f t="shared" si="19"/>
        <v>-22.793674911021526</v>
      </c>
      <c r="H195" s="13">
        <v>189</v>
      </c>
      <c r="I195" s="14">
        <f t="shared" si="20"/>
        <v>7.6982294072363352E-4</v>
      </c>
      <c r="J195" s="13">
        <f t="shared" si="21"/>
        <v>1</v>
      </c>
      <c r="K195">
        <f t="shared" si="22"/>
        <v>0</v>
      </c>
      <c r="L195">
        <f t="shared" si="23"/>
        <v>0</v>
      </c>
      <c r="M195">
        <f t="shared" si="24"/>
        <v>0</v>
      </c>
    </row>
    <row r="196" spans="1:13" x14ac:dyDescent="0.3">
      <c r="A196" s="2">
        <v>43833</v>
      </c>
      <c r="B196" s="1">
        <v>74.357500000000002</v>
      </c>
      <c r="C196" s="1">
        <f>'Historical Simulation'!D196</f>
        <v>208.67</v>
      </c>
      <c r="D196" s="22">
        <f t="shared" si="17"/>
        <v>967.80927684991047</v>
      </c>
      <c r="E196" s="23">
        <f t="shared" si="18"/>
        <v>-3.257774222078865</v>
      </c>
      <c r="F196" s="23">
        <f t="shared" si="19"/>
        <v>3.257774222078865</v>
      </c>
      <c r="H196" s="13">
        <v>190</v>
      </c>
      <c r="I196" s="14">
        <f t="shared" si="20"/>
        <v>7.6982294072363352E-4</v>
      </c>
      <c r="J196" s="13">
        <f t="shared" si="21"/>
        <v>1</v>
      </c>
      <c r="K196">
        <f t="shared" si="22"/>
        <v>0</v>
      </c>
      <c r="L196">
        <f t="shared" si="23"/>
        <v>0</v>
      </c>
      <c r="M196">
        <f t="shared" si="24"/>
        <v>0</v>
      </c>
    </row>
    <row r="197" spans="1:13" x14ac:dyDescent="0.3">
      <c r="A197" s="2">
        <v>43832</v>
      </c>
      <c r="B197" s="1">
        <v>75.087500000000006</v>
      </c>
      <c r="C197" s="1">
        <f>'Historical Simulation'!D197</f>
        <v>209.78</v>
      </c>
      <c r="D197" s="22">
        <f t="shared" si="17"/>
        <v>971.06705107198934</v>
      </c>
      <c r="E197" s="23">
        <f t="shared" si="18"/>
        <v>20.666566852724031</v>
      </c>
      <c r="F197" s="23">
        <f t="shared" si="19"/>
        <v>-20.666566852724031</v>
      </c>
      <c r="H197" s="13">
        <v>191</v>
      </c>
      <c r="I197" s="14">
        <f t="shared" si="20"/>
        <v>7.6982294072363352E-4</v>
      </c>
      <c r="J197" s="13">
        <f t="shared" si="21"/>
        <v>1</v>
      </c>
      <c r="K197">
        <f t="shared" si="22"/>
        <v>0</v>
      </c>
      <c r="L197">
        <f t="shared" si="23"/>
        <v>0</v>
      </c>
      <c r="M197">
        <f t="shared" si="24"/>
        <v>0</v>
      </c>
    </row>
    <row r="198" spans="1:13" x14ac:dyDescent="0.3">
      <c r="A198" s="2">
        <v>43831</v>
      </c>
      <c r="B198" s="1">
        <v>73.412499999999994</v>
      </c>
      <c r="C198" s="1">
        <f>'Historical Simulation'!D198</f>
        <v>205.25</v>
      </c>
      <c r="D198" s="22">
        <f t="shared" ref="D198:D261" si="25">$M$16*B198+(1-$M$16)*C198</f>
        <v>950.40048421926531</v>
      </c>
      <c r="E198" s="23">
        <f t="shared" ref="E198:E261" si="26">D198-D199</f>
        <v>0</v>
      </c>
      <c r="F198" s="23">
        <f t="shared" ref="F198:F261" si="27">-E198</f>
        <v>0</v>
      </c>
      <c r="H198" s="13">
        <v>192</v>
      </c>
      <c r="I198" s="14">
        <f t="shared" si="20"/>
        <v>7.6982294072363352E-4</v>
      </c>
      <c r="J198" s="13">
        <f t="shared" si="21"/>
        <v>1</v>
      </c>
      <c r="K198">
        <f t="shared" si="22"/>
        <v>0</v>
      </c>
      <c r="L198">
        <f t="shared" si="23"/>
        <v>0</v>
      </c>
      <c r="M198">
        <f t="shared" si="24"/>
        <v>0</v>
      </c>
    </row>
    <row r="199" spans="1:13" x14ac:dyDescent="0.3">
      <c r="A199" s="2">
        <v>43830</v>
      </c>
      <c r="B199" s="1">
        <v>73.412499999999994</v>
      </c>
      <c r="C199" s="1">
        <f>'Historical Simulation'!D199</f>
        <v>205.25</v>
      </c>
      <c r="D199" s="22">
        <f t="shared" si="25"/>
        <v>950.40048421926531</v>
      </c>
      <c r="E199" s="23">
        <f t="shared" si="26"/>
        <v>2.5780015086558024</v>
      </c>
      <c r="F199" s="23">
        <f t="shared" si="27"/>
        <v>-2.5780015086558024</v>
      </c>
      <c r="H199" s="13">
        <v>193</v>
      </c>
      <c r="I199" s="14">
        <f t="shared" si="20"/>
        <v>7.6982294072363352E-4</v>
      </c>
      <c r="J199" s="13">
        <f t="shared" si="21"/>
        <v>1</v>
      </c>
      <c r="K199">
        <f t="shared" si="22"/>
        <v>0</v>
      </c>
      <c r="L199">
        <f t="shared" si="23"/>
        <v>0</v>
      </c>
      <c r="M199">
        <f t="shared" si="24"/>
        <v>0</v>
      </c>
    </row>
    <row r="200" spans="1:13" x14ac:dyDescent="0.3">
      <c r="A200" s="2">
        <v>43829</v>
      </c>
      <c r="B200" s="1">
        <v>72.88</v>
      </c>
      <c r="C200" s="1">
        <f>'Historical Simulation'!D200</f>
        <v>204.41</v>
      </c>
      <c r="D200" s="22">
        <f t="shared" si="25"/>
        <v>947.82248271060951</v>
      </c>
      <c r="E200" s="23">
        <f t="shared" si="26"/>
        <v>-26.976394197275908</v>
      </c>
      <c r="F200" s="23">
        <f t="shared" si="27"/>
        <v>26.976394197275908</v>
      </c>
      <c r="H200" s="13">
        <v>194</v>
      </c>
      <c r="I200" s="14">
        <f t="shared" si="20"/>
        <v>7.6982294072363352E-4</v>
      </c>
      <c r="J200" s="13">
        <f t="shared" si="21"/>
        <v>1</v>
      </c>
      <c r="K200">
        <f t="shared" si="22"/>
        <v>0</v>
      </c>
      <c r="L200">
        <f t="shared" si="23"/>
        <v>0</v>
      </c>
      <c r="M200">
        <f t="shared" si="24"/>
        <v>0</v>
      </c>
    </row>
    <row r="201" spans="1:13" x14ac:dyDescent="0.3">
      <c r="A201" s="2">
        <v>43826</v>
      </c>
      <c r="B201" s="1">
        <v>72.45</v>
      </c>
      <c r="C201" s="1">
        <f>'Historical Simulation'!D201</f>
        <v>208.1</v>
      </c>
      <c r="D201" s="22">
        <f t="shared" si="25"/>
        <v>974.79887690788541</v>
      </c>
      <c r="E201" s="23">
        <f t="shared" si="26"/>
        <v>2.2175626314517558</v>
      </c>
      <c r="F201" s="23">
        <f t="shared" si="27"/>
        <v>-2.2175626314517558</v>
      </c>
      <c r="H201" s="13">
        <v>195</v>
      </c>
      <c r="I201" s="14">
        <f t="shared" ref="I201:I264" si="28">COUNTIF($F:$F,"&gt;"&amp;H201)/COUNT(F:F)</f>
        <v>7.6982294072363352E-4</v>
      </c>
      <c r="J201" s="13">
        <f t="shared" si="21"/>
        <v>1</v>
      </c>
      <c r="K201">
        <f t="shared" si="22"/>
        <v>0</v>
      </c>
      <c r="L201">
        <f t="shared" si="23"/>
        <v>0</v>
      </c>
      <c r="M201">
        <f t="shared" si="24"/>
        <v>0</v>
      </c>
    </row>
    <row r="202" spans="1:13" x14ac:dyDescent="0.3">
      <c r="A202" s="2">
        <v>43825</v>
      </c>
      <c r="B202" s="1">
        <v>72.477500000000006</v>
      </c>
      <c r="C202" s="1">
        <f>'Historical Simulation'!D202</f>
        <v>207.79</v>
      </c>
      <c r="D202" s="22">
        <f t="shared" si="25"/>
        <v>972.58131427643366</v>
      </c>
      <c r="E202" s="23">
        <f t="shared" si="26"/>
        <v>9.7915671574191947</v>
      </c>
      <c r="F202" s="23">
        <f t="shared" si="27"/>
        <v>-9.7915671574191947</v>
      </c>
      <c r="H202" s="13">
        <v>196</v>
      </c>
      <c r="I202" s="14">
        <f t="shared" si="28"/>
        <v>7.6982294072363352E-4</v>
      </c>
      <c r="J202" s="13">
        <f t="shared" si="21"/>
        <v>1</v>
      </c>
      <c r="K202">
        <f t="shared" si="22"/>
        <v>0</v>
      </c>
      <c r="L202">
        <f t="shared" si="23"/>
        <v>0</v>
      </c>
      <c r="M202">
        <f t="shared" si="24"/>
        <v>0</v>
      </c>
    </row>
    <row r="203" spans="1:13" x14ac:dyDescent="0.3">
      <c r="A203" s="2">
        <v>43824</v>
      </c>
      <c r="B203" s="1">
        <v>71.067499999999995</v>
      </c>
      <c r="C203" s="1">
        <f>'Historical Simulation'!D203</f>
        <v>205.12</v>
      </c>
      <c r="D203" s="22">
        <f t="shared" si="25"/>
        <v>962.78974711901446</v>
      </c>
      <c r="E203" s="23">
        <f t="shared" si="26"/>
        <v>0</v>
      </c>
      <c r="F203" s="23">
        <f t="shared" si="27"/>
        <v>0</v>
      </c>
      <c r="H203" s="13">
        <v>197</v>
      </c>
      <c r="I203" s="14">
        <f t="shared" si="28"/>
        <v>7.6982294072363352E-4</v>
      </c>
      <c r="J203" s="13">
        <f t="shared" si="21"/>
        <v>1</v>
      </c>
      <c r="K203">
        <f t="shared" si="22"/>
        <v>0</v>
      </c>
      <c r="L203">
        <f t="shared" si="23"/>
        <v>0</v>
      </c>
      <c r="M203">
        <f t="shared" si="24"/>
        <v>0</v>
      </c>
    </row>
    <row r="204" spans="1:13" x14ac:dyDescent="0.3">
      <c r="A204" s="2">
        <v>43823</v>
      </c>
      <c r="B204" s="1">
        <v>71.067499999999995</v>
      </c>
      <c r="C204" s="1">
        <f>'Historical Simulation'!D204</f>
        <v>205.12</v>
      </c>
      <c r="D204" s="22">
        <f t="shared" si="25"/>
        <v>962.78974711901446</v>
      </c>
      <c r="E204" s="23">
        <f t="shared" si="26"/>
        <v>-7.4326721984050437</v>
      </c>
      <c r="F204" s="23">
        <f t="shared" si="27"/>
        <v>7.4326721984050437</v>
      </c>
      <c r="H204" s="13">
        <v>198</v>
      </c>
      <c r="I204" s="14">
        <f t="shared" si="28"/>
        <v>7.6982294072363352E-4</v>
      </c>
      <c r="J204" s="13">
        <f t="shared" si="21"/>
        <v>1</v>
      </c>
      <c r="K204">
        <f t="shared" si="22"/>
        <v>0</v>
      </c>
      <c r="L204">
        <f t="shared" si="23"/>
        <v>0</v>
      </c>
      <c r="M204">
        <f t="shared" si="24"/>
        <v>0</v>
      </c>
    </row>
    <row r="205" spans="1:13" x14ac:dyDescent="0.3">
      <c r="A205" s="2">
        <v>43822</v>
      </c>
      <c r="B205" s="1">
        <v>71</v>
      </c>
      <c r="C205" s="1">
        <f>'Historical Simulation'!D205</f>
        <v>206.18</v>
      </c>
      <c r="D205" s="22">
        <f t="shared" si="25"/>
        <v>970.22241931741951</v>
      </c>
      <c r="E205" s="23">
        <f t="shared" si="26"/>
        <v>-7.2415671574193539</v>
      </c>
      <c r="F205" s="23">
        <f t="shared" si="27"/>
        <v>7.2415671574193539</v>
      </c>
      <c r="H205" s="13">
        <v>199</v>
      </c>
      <c r="I205" s="14">
        <f t="shared" si="28"/>
        <v>7.6982294072363352E-4</v>
      </c>
      <c r="J205" s="13">
        <f t="shared" si="21"/>
        <v>1</v>
      </c>
      <c r="K205">
        <f t="shared" si="22"/>
        <v>0</v>
      </c>
      <c r="L205">
        <f t="shared" si="23"/>
        <v>0</v>
      </c>
      <c r="M205">
        <f t="shared" si="24"/>
        <v>0</v>
      </c>
    </row>
    <row r="206" spans="1:13" x14ac:dyDescent="0.3">
      <c r="A206" s="2">
        <v>43819</v>
      </c>
      <c r="B206" s="1">
        <v>69.86</v>
      </c>
      <c r="C206" s="1">
        <f>'Historical Simulation'!D206</f>
        <v>206.3</v>
      </c>
      <c r="D206" s="22">
        <f t="shared" si="25"/>
        <v>977.46398647483886</v>
      </c>
      <c r="E206" s="23">
        <f t="shared" si="26"/>
        <v>2.4160344092114201</v>
      </c>
      <c r="F206" s="23">
        <f t="shared" si="27"/>
        <v>-2.4160344092114201</v>
      </c>
      <c r="H206" s="13">
        <v>200</v>
      </c>
      <c r="I206" s="14">
        <f t="shared" si="28"/>
        <v>7.6982294072363352E-4</v>
      </c>
      <c r="J206" s="13">
        <f t="shared" si="21"/>
        <v>1</v>
      </c>
      <c r="K206">
        <f t="shared" si="22"/>
        <v>0</v>
      </c>
      <c r="L206">
        <f t="shared" si="23"/>
        <v>0</v>
      </c>
      <c r="M206">
        <f t="shared" si="24"/>
        <v>0</v>
      </c>
    </row>
    <row r="207" spans="1:13" x14ac:dyDescent="0.3">
      <c r="A207" s="2">
        <v>43818</v>
      </c>
      <c r="B207" s="1">
        <v>70.004999999999995</v>
      </c>
      <c r="C207" s="1">
        <f>'Historical Simulation'!D207</f>
        <v>206.06</v>
      </c>
      <c r="D207" s="22">
        <f t="shared" si="25"/>
        <v>975.04795206562744</v>
      </c>
      <c r="E207" s="23">
        <f t="shared" si="26"/>
        <v>23.285610618566352</v>
      </c>
      <c r="F207" s="23">
        <f t="shared" si="27"/>
        <v>-23.285610618566352</v>
      </c>
      <c r="H207" s="13">
        <v>201</v>
      </c>
      <c r="I207" s="14">
        <f t="shared" si="28"/>
        <v>7.6982294072363352E-4</v>
      </c>
      <c r="J207" s="13">
        <f t="shared" si="21"/>
        <v>1</v>
      </c>
      <c r="K207">
        <f t="shared" si="22"/>
        <v>0</v>
      </c>
      <c r="L207">
        <f t="shared" si="23"/>
        <v>0</v>
      </c>
      <c r="M207">
        <f t="shared" si="24"/>
        <v>0</v>
      </c>
    </row>
    <row r="208" spans="1:13" x14ac:dyDescent="0.3">
      <c r="A208" s="2">
        <v>43817</v>
      </c>
      <c r="B208" s="1">
        <v>69.935000000000002</v>
      </c>
      <c r="C208" s="1">
        <f>'Historical Simulation'!D208</f>
        <v>202.5</v>
      </c>
      <c r="D208" s="22">
        <f t="shared" si="25"/>
        <v>951.76234144706109</v>
      </c>
      <c r="E208" s="23">
        <f t="shared" si="26"/>
        <v>28.286590091953713</v>
      </c>
      <c r="F208" s="23">
        <f t="shared" si="27"/>
        <v>-28.286590091953713</v>
      </c>
      <c r="H208" s="13">
        <v>202</v>
      </c>
      <c r="I208" s="14">
        <f t="shared" si="28"/>
        <v>7.6982294072363352E-4</v>
      </c>
      <c r="J208" s="13">
        <f t="shared" si="21"/>
        <v>1</v>
      </c>
      <c r="K208">
        <f t="shared" si="22"/>
        <v>0</v>
      </c>
      <c r="L208">
        <f t="shared" si="23"/>
        <v>0</v>
      </c>
      <c r="M208">
        <f t="shared" si="24"/>
        <v>0</v>
      </c>
    </row>
    <row r="209" spans="1:13" x14ac:dyDescent="0.3">
      <c r="A209" s="2">
        <v>43816</v>
      </c>
      <c r="B209" s="1">
        <v>70.102500000000006</v>
      </c>
      <c r="C209" s="1">
        <f>'Historical Simulation'!D209</f>
        <v>198.39</v>
      </c>
      <c r="D209" s="22">
        <f t="shared" si="25"/>
        <v>923.47575135510738</v>
      </c>
      <c r="E209" s="23">
        <f t="shared" si="26"/>
        <v>2.3493024443188233</v>
      </c>
      <c r="F209" s="23">
        <f t="shared" si="27"/>
        <v>-2.3493024443188233</v>
      </c>
      <c r="H209" s="13">
        <v>203</v>
      </c>
      <c r="I209" s="14">
        <f t="shared" si="28"/>
        <v>7.6982294072363352E-4</v>
      </c>
      <c r="J209" s="13">
        <f t="shared" si="21"/>
        <v>1</v>
      </c>
      <c r="K209">
        <f t="shared" si="22"/>
        <v>0</v>
      </c>
      <c r="L209">
        <f t="shared" si="23"/>
        <v>0</v>
      </c>
      <c r="M209">
        <f t="shared" si="24"/>
        <v>0</v>
      </c>
    </row>
    <row r="210" spans="1:13" x14ac:dyDescent="0.3">
      <c r="A210" s="2">
        <v>43815</v>
      </c>
      <c r="B210" s="1">
        <v>69.965000000000003</v>
      </c>
      <c r="C210" s="1">
        <f>'Historical Simulation'!D210</f>
        <v>197.92</v>
      </c>
      <c r="D210" s="22">
        <f t="shared" si="25"/>
        <v>921.12644891078855</v>
      </c>
      <c r="E210" s="23">
        <f t="shared" si="26"/>
        <v>18.688988525322316</v>
      </c>
      <c r="F210" s="23">
        <f t="shared" si="27"/>
        <v>-18.688988525322316</v>
      </c>
      <c r="H210" s="13">
        <v>204</v>
      </c>
      <c r="I210" s="14">
        <f t="shared" si="28"/>
        <v>7.6982294072363352E-4</v>
      </c>
      <c r="J210" s="13">
        <f t="shared" si="21"/>
        <v>1</v>
      </c>
      <c r="K210">
        <f t="shared" si="22"/>
        <v>0</v>
      </c>
      <c r="L210">
        <f t="shared" si="23"/>
        <v>0</v>
      </c>
      <c r="M210">
        <f t="shared" si="24"/>
        <v>0</v>
      </c>
    </row>
    <row r="211" spans="1:13" x14ac:dyDescent="0.3">
      <c r="A211" s="2">
        <v>43812</v>
      </c>
      <c r="B211" s="1">
        <v>68.787499999999994</v>
      </c>
      <c r="C211" s="1">
        <f>'Historical Simulation'!D211</f>
        <v>194.11</v>
      </c>
      <c r="D211" s="22">
        <f t="shared" si="25"/>
        <v>902.43746038546624</v>
      </c>
      <c r="E211" s="23">
        <f t="shared" si="26"/>
        <v>-22.775383331989133</v>
      </c>
      <c r="F211" s="23">
        <f t="shared" si="27"/>
        <v>22.775383331989133</v>
      </c>
      <c r="H211" s="13">
        <v>205</v>
      </c>
      <c r="I211" s="14">
        <f t="shared" si="28"/>
        <v>7.6982294072363352E-4</v>
      </c>
      <c r="J211" s="13">
        <f t="shared" si="21"/>
        <v>1</v>
      </c>
      <c r="K211">
        <f t="shared" si="22"/>
        <v>0</v>
      </c>
      <c r="L211">
        <f t="shared" si="23"/>
        <v>0</v>
      </c>
      <c r="M211">
        <f t="shared" si="24"/>
        <v>0</v>
      </c>
    </row>
    <row r="212" spans="1:13" x14ac:dyDescent="0.3">
      <c r="A212" s="2">
        <v>43811</v>
      </c>
      <c r="B212" s="1">
        <v>67.864999999999995</v>
      </c>
      <c r="C212" s="1">
        <f>'Historical Simulation'!D212</f>
        <v>196.75</v>
      </c>
      <c r="D212" s="22">
        <f t="shared" si="25"/>
        <v>925.21284371745537</v>
      </c>
      <c r="E212" s="23">
        <f t="shared" si="26"/>
        <v>-37.627702676218632</v>
      </c>
      <c r="F212" s="23">
        <f t="shared" si="27"/>
        <v>37.627702676218632</v>
      </c>
      <c r="H212" s="13">
        <v>206</v>
      </c>
      <c r="I212" s="14">
        <f t="shared" si="28"/>
        <v>7.6982294072363352E-4</v>
      </c>
      <c r="J212" s="13">
        <f t="shared" si="21"/>
        <v>1</v>
      </c>
      <c r="K212">
        <f t="shared" si="22"/>
        <v>0</v>
      </c>
      <c r="L212">
        <f t="shared" si="23"/>
        <v>0</v>
      </c>
      <c r="M212">
        <f t="shared" si="24"/>
        <v>0</v>
      </c>
    </row>
    <row r="213" spans="1:13" x14ac:dyDescent="0.3">
      <c r="A213" s="2">
        <v>43810</v>
      </c>
      <c r="B213" s="1">
        <v>67.692499999999995</v>
      </c>
      <c r="C213" s="1">
        <f>'Historical Simulation'!D213</f>
        <v>202.26</v>
      </c>
      <c r="D213" s="22">
        <f t="shared" si="25"/>
        <v>962.840546393674</v>
      </c>
      <c r="E213" s="23">
        <f t="shared" si="26"/>
        <v>6.0105405961828637</v>
      </c>
      <c r="F213" s="23">
        <f t="shared" si="27"/>
        <v>-6.0105405961828637</v>
      </c>
      <c r="H213" s="13">
        <v>207</v>
      </c>
      <c r="I213" s="14">
        <f t="shared" si="28"/>
        <v>7.6982294072363352E-4</v>
      </c>
      <c r="J213" s="13">
        <f t="shared" si="21"/>
        <v>1</v>
      </c>
      <c r="K213">
        <f t="shared" si="22"/>
        <v>0</v>
      </c>
      <c r="L213">
        <f t="shared" si="23"/>
        <v>0</v>
      </c>
      <c r="M213">
        <f t="shared" si="24"/>
        <v>0</v>
      </c>
    </row>
    <row r="214" spans="1:13" x14ac:dyDescent="0.3">
      <c r="A214" s="2">
        <v>43809</v>
      </c>
      <c r="B214" s="1">
        <v>67.12</v>
      </c>
      <c r="C214" s="1">
        <f>'Historical Simulation'!D214</f>
        <v>200.87</v>
      </c>
      <c r="D214" s="22">
        <f t="shared" si="25"/>
        <v>956.83000579749114</v>
      </c>
      <c r="E214" s="23">
        <f t="shared" si="26"/>
        <v>-5.3307521868100594</v>
      </c>
      <c r="F214" s="23">
        <f t="shared" si="27"/>
        <v>5.3307521868100594</v>
      </c>
      <c r="H214" s="13">
        <v>208</v>
      </c>
      <c r="I214" s="14">
        <f t="shared" si="28"/>
        <v>7.6982294072363352E-4</v>
      </c>
      <c r="J214" s="13">
        <f t="shared" si="21"/>
        <v>1</v>
      </c>
      <c r="K214">
        <f t="shared" si="22"/>
        <v>0</v>
      </c>
      <c r="L214">
        <f t="shared" si="23"/>
        <v>0</v>
      </c>
      <c r="M214">
        <f t="shared" si="24"/>
        <v>0</v>
      </c>
    </row>
    <row r="215" spans="1:13" x14ac:dyDescent="0.3">
      <c r="A215" s="2">
        <v>43808</v>
      </c>
      <c r="B215" s="1">
        <v>66.73</v>
      </c>
      <c r="C215" s="1">
        <f>'Historical Simulation'!D215</f>
        <v>201.34</v>
      </c>
      <c r="D215" s="22">
        <f t="shared" si="25"/>
        <v>962.1607579843012</v>
      </c>
      <c r="E215" s="23">
        <f t="shared" si="26"/>
        <v>7.2843963153223967</v>
      </c>
      <c r="F215" s="23">
        <f t="shared" si="27"/>
        <v>-7.2843963153223967</v>
      </c>
      <c r="H215" s="13">
        <v>209</v>
      </c>
      <c r="I215" s="14">
        <f t="shared" si="28"/>
        <v>7.6982294072363352E-4</v>
      </c>
      <c r="J215" s="13">
        <f t="shared" si="21"/>
        <v>1</v>
      </c>
      <c r="K215">
        <f t="shared" si="22"/>
        <v>0</v>
      </c>
      <c r="L215">
        <f t="shared" si="23"/>
        <v>0</v>
      </c>
      <c r="M215">
        <f t="shared" si="24"/>
        <v>0</v>
      </c>
    </row>
    <row r="216" spans="1:13" x14ac:dyDescent="0.3">
      <c r="A216" s="2">
        <v>43805</v>
      </c>
      <c r="B216" s="1">
        <v>67.677499999999995</v>
      </c>
      <c r="C216" s="1">
        <f>'Historical Simulation'!D216</f>
        <v>201.05</v>
      </c>
      <c r="D216" s="22">
        <f t="shared" si="25"/>
        <v>954.8763616689788</v>
      </c>
      <c r="E216" s="23">
        <f t="shared" si="26"/>
        <v>3.9932052513082681</v>
      </c>
      <c r="F216" s="23">
        <f t="shared" si="27"/>
        <v>-3.9932052513082681</v>
      </c>
      <c r="H216" s="13">
        <v>210</v>
      </c>
      <c r="I216" s="14">
        <f t="shared" si="28"/>
        <v>7.6982294072363352E-4</v>
      </c>
      <c r="J216" s="13">
        <f t="shared" si="21"/>
        <v>1</v>
      </c>
      <c r="K216">
        <f t="shared" si="22"/>
        <v>0</v>
      </c>
      <c r="L216">
        <f t="shared" si="23"/>
        <v>0</v>
      </c>
      <c r="M216">
        <f t="shared" si="24"/>
        <v>0</v>
      </c>
    </row>
    <row r="217" spans="1:13" x14ac:dyDescent="0.3">
      <c r="A217" s="2">
        <v>43804</v>
      </c>
      <c r="B217" s="1">
        <v>66.394999999999996</v>
      </c>
      <c r="C217" s="1">
        <f>'Historical Simulation'!D217</f>
        <v>199.36</v>
      </c>
      <c r="D217" s="22">
        <f t="shared" si="25"/>
        <v>950.88315641767053</v>
      </c>
      <c r="E217" s="23">
        <f t="shared" si="26"/>
        <v>-1.1021316022220162</v>
      </c>
      <c r="F217" s="23">
        <f t="shared" si="27"/>
        <v>1.1021316022220162</v>
      </c>
      <c r="H217" s="13">
        <v>211</v>
      </c>
      <c r="I217" s="14">
        <f t="shared" si="28"/>
        <v>7.6982294072363352E-4</v>
      </c>
      <c r="J217" s="13">
        <f t="shared" si="21"/>
        <v>1</v>
      </c>
      <c r="K217">
        <f t="shared" si="22"/>
        <v>0</v>
      </c>
      <c r="L217">
        <f t="shared" si="23"/>
        <v>0</v>
      </c>
      <c r="M217">
        <f t="shared" si="24"/>
        <v>0</v>
      </c>
    </row>
    <row r="218" spans="1:13" x14ac:dyDescent="0.3">
      <c r="A218" s="2">
        <v>43803</v>
      </c>
      <c r="B218" s="1">
        <v>65.435000000000002</v>
      </c>
      <c r="C218" s="1">
        <f>'Historical Simulation'!D218</f>
        <v>198.71</v>
      </c>
      <c r="D218" s="22">
        <f t="shared" si="25"/>
        <v>951.98528801989255</v>
      </c>
      <c r="E218" s="23">
        <f t="shared" si="26"/>
        <v>-3.9675155436023033</v>
      </c>
      <c r="F218" s="23">
        <f t="shared" si="27"/>
        <v>3.9675155436023033</v>
      </c>
      <c r="H218" s="13">
        <v>212</v>
      </c>
      <c r="I218" s="14">
        <f t="shared" si="28"/>
        <v>7.6982294072363352E-4</v>
      </c>
      <c r="J218" s="13">
        <f t="shared" si="21"/>
        <v>1</v>
      </c>
      <c r="K218">
        <f t="shared" si="22"/>
        <v>0</v>
      </c>
      <c r="L218">
        <f t="shared" si="23"/>
        <v>0</v>
      </c>
      <c r="M218">
        <f t="shared" si="24"/>
        <v>0</v>
      </c>
    </row>
    <row r="219" spans="1:13" x14ac:dyDescent="0.3">
      <c r="A219" s="2">
        <v>43802</v>
      </c>
      <c r="B219" s="1">
        <v>64.862499999999997</v>
      </c>
      <c r="C219" s="1">
        <f>'Historical Simulation'!D219</f>
        <v>198.82</v>
      </c>
      <c r="D219" s="22">
        <f t="shared" si="25"/>
        <v>955.95280356349485</v>
      </c>
      <c r="E219" s="23">
        <f t="shared" si="26"/>
        <v>0.80148113439099689</v>
      </c>
      <c r="F219" s="23">
        <f t="shared" si="27"/>
        <v>-0.80148113439099689</v>
      </c>
      <c r="H219" s="13">
        <v>213</v>
      </c>
      <c r="I219" s="14">
        <f t="shared" si="28"/>
        <v>7.6982294072363352E-4</v>
      </c>
      <c r="J219" s="13">
        <f t="shared" si="21"/>
        <v>1</v>
      </c>
      <c r="K219">
        <f t="shared" si="22"/>
        <v>0</v>
      </c>
      <c r="L219">
        <f t="shared" si="23"/>
        <v>0</v>
      </c>
      <c r="M219">
        <f t="shared" si="24"/>
        <v>0</v>
      </c>
    </row>
    <row r="220" spans="1:13" x14ac:dyDescent="0.3">
      <c r="A220" s="2">
        <v>43801</v>
      </c>
      <c r="B220" s="1">
        <v>66.040000000000006</v>
      </c>
      <c r="C220" s="1">
        <f>'Historical Simulation'!D220</f>
        <v>199.7</v>
      </c>
      <c r="D220" s="22">
        <f t="shared" si="25"/>
        <v>955.15132242910386</v>
      </c>
      <c r="E220" s="23">
        <f t="shared" si="26"/>
        <v>-8.5387536954660845</v>
      </c>
      <c r="F220" s="23">
        <f t="shared" si="27"/>
        <v>8.5387536954660845</v>
      </c>
      <c r="H220" s="13">
        <v>214</v>
      </c>
      <c r="I220" s="14">
        <f t="shared" si="28"/>
        <v>7.6982294072363352E-4</v>
      </c>
      <c r="J220" s="13">
        <f t="shared" si="21"/>
        <v>1</v>
      </c>
      <c r="K220">
        <f t="shared" si="22"/>
        <v>0</v>
      </c>
      <c r="L220">
        <f t="shared" si="23"/>
        <v>0</v>
      </c>
      <c r="M220">
        <f t="shared" si="24"/>
        <v>0</v>
      </c>
    </row>
    <row r="221" spans="1:13" x14ac:dyDescent="0.3">
      <c r="A221" s="2">
        <v>43798</v>
      </c>
      <c r="B221" s="1">
        <v>66.8125</v>
      </c>
      <c r="C221" s="1">
        <f>'Historical Simulation'!D221</f>
        <v>201.64</v>
      </c>
      <c r="D221" s="22">
        <f t="shared" si="25"/>
        <v>963.69007612456994</v>
      </c>
      <c r="E221" s="23">
        <f t="shared" si="26"/>
        <v>-1.5610579531363555</v>
      </c>
      <c r="F221" s="23">
        <f t="shared" si="27"/>
        <v>1.5610579531363555</v>
      </c>
      <c r="H221" s="13">
        <v>215</v>
      </c>
      <c r="I221" s="14">
        <f t="shared" si="28"/>
        <v>7.6982294072363352E-4</v>
      </c>
      <c r="J221" s="13">
        <f t="shared" si="21"/>
        <v>1</v>
      </c>
      <c r="K221">
        <f t="shared" si="22"/>
        <v>0</v>
      </c>
      <c r="L221">
        <f t="shared" si="23"/>
        <v>0</v>
      </c>
      <c r="M221">
        <f t="shared" si="24"/>
        <v>0</v>
      </c>
    </row>
    <row r="222" spans="1:13" x14ac:dyDescent="0.3">
      <c r="A222" s="2">
        <v>43797</v>
      </c>
      <c r="B222" s="1">
        <v>66.959999999999994</v>
      </c>
      <c r="C222" s="1">
        <f>'Historical Simulation'!D222</f>
        <v>202</v>
      </c>
      <c r="D222" s="22">
        <f t="shared" si="25"/>
        <v>965.2511340777063</v>
      </c>
      <c r="E222" s="23">
        <f t="shared" si="26"/>
        <v>0</v>
      </c>
      <c r="F222" s="23">
        <f t="shared" si="27"/>
        <v>0</v>
      </c>
      <c r="H222" s="13">
        <v>216</v>
      </c>
      <c r="I222" s="14">
        <f t="shared" si="28"/>
        <v>7.6982294072363352E-4</v>
      </c>
      <c r="J222" s="13">
        <f t="shared" si="21"/>
        <v>1</v>
      </c>
      <c r="K222">
        <f t="shared" si="22"/>
        <v>0</v>
      </c>
      <c r="L222">
        <f t="shared" si="23"/>
        <v>0</v>
      </c>
      <c r="M222">
        <f t="shared" si="24"/>
        <v>0</v>
      </c>
    </row>
    <row r="223" spans="1:13" x14ac:dyDescent="0.3">
      <c r="A223" s="2">
        <v>43796</v>
      </c>
      <c r="B223" s="1">
        <v>66.959999999999994</v>
      </c>
      <c r="C223" s="1">
        <f>'Historical Simulation'!D223</f>
        <v>202</v>
      </c>
      <c r="D223" s="22">
        <f t="shared" si="25"/>
        <v>965.2511340777063</v>
      </c>
      <c r="E223" s="23">
        <f t="shared" si="26"/>
        <v>15.13949018632627</v>
      </c>
      <c r="F223" s="23">
        <f t="shared" si="27"/>
        <v>-15.13949018632627</v>
      </c>
      <c r="H223" s="13">
        <v>217</v>
      </c>
      <c r="I223" s="14">
        <f t="shared" si="28"/>
        <v>7.6982294072363352E-4</v>
      </c>
      <c r="J223" s="13">
        <f t="shared" si="21"/>
        <v>1</v>
      </c>
      <c r="K223">
        <f t="shared" si="22"/>
        <v>0</v>
      </c>
      <c r="L223">
        <f t="shared" si="23"/>
        <v>0</v>
      </c>
      <c r="M223">
        <f t="shared" si="24"/>
        <v>0</v>
      </c>
    </row>
    <row r="224" spans="1:13" x14ac:dyDescent="0.3">
      <c r="A224" s="2">
        <v>43795</v>
      </c>
      <c r="B224" s="1">
        <v>66.072500000000005</v>
      </c>
      <c r="C224" s="1">
        <f>'Historical Simulation'!D224</f>
        <v>198.97</v>
      </c>
      <c r="D224" s="22">
        <f t="shared" si="25"/>
        <v>950.11164389138003</v>
      </c>
      <c r="E224" s="23">
        <f t="shared" si="26"/>
        <v>-2.5156112279569243</v>
      </c>
      <c r="F224" s="23">
        <f t="shared" si="27"/>
        <v>2.5156112279569243</v>
      </c>
      <c r="H224" s="13">
        <v>218</v>
      </c>
      <c r="I224" s="14">
        <f t="shared" si="28"/>
        <v>7.6982294072363352E-4</v>
      </c>
      <c r="J224" s="13">
        <f t="shared" si="21"/>
        <v>1</v>
      </c>
      <c r="K224">
        <f t="shared" si="22"/>
        <v>0</v>
      </c>
      <c r="L224">
        <f t="shared" si="23"/>
        <v>0</v>
      </c>
      <c r="M224">
        <f t="shared" si="24"/>
        <v>0</v>
      </c>
    </row>
    <row r="225" spans="1:13" x14ac:dyDescent="0.3">
      <c r="A225" s="2">
        <v>43794</v>
      </c>
      <c r="B225" s="1">
        <v>66.592500000000001</v>
      </c>
      <c r="C225" s="1">
        <f>'Historical Simulation'!D225</f>
        <v>199.79</v>
      </c>
      <c r="D225" s="22">
        <f t="shared" si="25"/>
        <v>952.62725511933695</v>
      </c>
      <c r="E225" s="23">
        <f t="shared" si="26"/>
        <v>-3.3236643208056194E-2</v>
      </c>
      <c r="F225" s="23">
        <f t="shared" si="27"/>
        <v>3.3236643208056194E-2</v>
      </c>
      <c r="H225" s="13">
        <v>219</v>
      </c>
      <c r="I225" s="14">
        <f t="shared" si="28"/>
        <v>7.6982294072363352E-4</v>
      </c>
      <c r="J225" s="13">
        <f t="shared" si="21"/>
        <v>1</v>
      </c>
      <c r="K225">
        <f t="shared" si="22"/>
        <v>0</v>
      </c>
      <c r="L225">
        <f t="shared" si="23"/>
        <v>0</v>
      </c>
      <c r="M225">
        <f t="shared" si="24"/>
        <v>0</v>
      </c>
    </row>
    <row r="226" spans="1:13" x14ac:dyDescent="0.3">
      <c r="A226" s="2">
        <v>43791</v>
      </c>
      <c r="B226" s="1">
        <v>65.444999999999993</v>
      </c>
      <c r="C226" s="1">
        <f>'Historical Simulation'!D226</f>
        <v>198.82</v>
      </c>
      <c r="D226" s="22">
        <f t="shared" si="25"/>
        <v>952.66049176254501</v>
      </c>
      <c r="E226" s="23">
        <f t="shared" si="26"/>
        <v>6.2453054616307782</v>
      </c>
      <c r="F226" s="23">
        <f t="shared" si="27"/>
        <v>-6.2453054616307782</v>
      </c>
      <c r="H226" s="13">
        <v>220</v>
      </c>
      <c r="I226" s="14">
        <f t="shared" si="28"/>
        <v>7.6982294072363352E-4</v>
      </c>
      <c r="J226" s="13">
        <f t="shared" si="21"/>
        <v>1</v>
      </c>
      <c r="K226">
        <f t="shared" si="22"/>
        <v>0</v>
      </c>
      <c r="L226">
        <f t="shared" si="23"/>
        <v>0</v>
      </c>
      <c r="M226">
        <f t="shared" si="24"/>
        <v>0</v>
      </c>
    </row>
    <row r="227" spans="1:13" x14ac:dyDescent="0.3">
      <c r="A227" s="2">
        <v>43790</v>
      </c>
      <c r="B227" s="1">
        <v>65.502499999999998</v>
      </c>
      <c r="C227" s="1">
        <f>'Historical Simulation'!D227</f>
        <v>197.93</v>
      </c>
      <c r="D227" s="22">
        <f t="shared" si="25"/>
        <v>946.41518630091423</v>
      </c>
      <c r="E227" s="23">
        <f t="shared" si="26"/>
        <v>4.4612067599643979</v>
      </c>
      <c r="F227" s="23">
        <f t="shared" si="27"/>
        <v>-4.4612067599643979</v>
      </c>
      <c r="H227" s="13">
        <v>221</v>
      </c>
      <c r="I227" s="14">
        <f t="shared" si="28"/>
        <v>7.6982294072363352E-4</v>
      </c>
      <c r="J227" s="13">
        <f t="shared" ref="J227:J280" si="29">COUNTIF($F:$F,"&gt;"&amp;H227)</f>
        <v>1</v>
      </c>
      <c r="K227">
        <f t="shared" ref="K227:K280" si="30">J227-J228</f>
        <v>0</v>
      </c>
      <c r="L227">
        <f t="shared" ref="L227:L280" si="31">K227/COUNT(F:F)</f>
        <v>0</v>
      </c>
      <c r="M227">
        <f t="shared" ref="M227:M279" si="32">L227*H227</f>
        <v>0</v>
      </c>
    </row>
    <row r="228" spans="1:13" x14ac:dyDescent="0.3">
      <c r="A228" s="2">
        <v>43789</v>
      </c>
      <c r="B228" s="1">
        <v>65.797499999999999</v>
      </c>
      <c r="C228" s="1">
        <f>'Historical Simulation'!D228</f>
        <v>197.51</v>
      </c>
      <c r="D228" s="22">
        <f t="shared" si="25"/>
        <v>941.95397954094983</v>
      </c>
      <c r="E228" s="23">
        <f t="shared" si="26"/>
        <v>-7.6598587364517243</v>
      </c>
      <c r="F228" s="23">
        <f t="shared" si="27"/>
        <v>7.6598587364517243</v>
      </c>
      <c r="H228" s="13">
        <v>222</v>
      </c>
      <c r="I228" s="14">
        <f t="shared" si="28"/>
        <v>7.6982294072363352E-4</v>
      </c>
      <c r="J228" s="13">
        <f t="shared" si="29"/>
        <v>1</v>
      </c>
      <c r="K228">
        <f t="shared" si="30"/>
        <v>0</v>
      </c>
      <c r="L228">
        <f t="shared" si="31"/>
        <v>0</v>
      </c>
      <c r="M228">
        <f t="shared" si="32"/>
        <v>0</v>
      </c>
    </row>
    <row r="229" spans="1:13" x14ac:dyDescent="0.3">
      <c r="A229" s="2">
        <v>43788</v>
      </c>
      <c r="B229" s="1">
        <v>66.572500000000005</v>
      </c>
      <c r="C229" s="1">
        <f>'Historical Simulation'!D229</f>
        <v>199.32</v>
      </c>
      <c r="D229" s="22">
        <f t="shared" si="25"/>
        <v>949.61383827740156</v>
      </c>
      <c r="E229" s="23">
        <f t="shared" si="26"/>
        <v>13.916449437795791</v>
      </c>
      <c r="F229" s="23">
        <f t="shared" si="27"/>
        <v>-13.916449437795791</v>
      </c>
      <c r="H229" s="13">
        <v>223</v>
      </c>
      <c r="I229" s="14">
        <f t="shared" si="28"/>
        <v>7.6982294072363352E-4</v>
      </c>
      <c r="J229" s="13">
        <f t="shared" si="29"/>
        <v>1</v>
      </c>
      <c r="K229">
        <f t="shared" si="30"/>
        <v>0</v>
      </c>
      <c r="L229">
        <f t="shared" si="31"/>
        <v>0</v>
      </c>
      <c r="M229">
        <f t="shared" si="32"/>
        <v>0</v>
      </c>
    </row>
    <row r="230" spans="1:13" x14ac:dyDescent="0.3">
      <c r="A230" s="2">
        <v>43787</v>
      </c>
      <c r="B230" s="1">
        <v>66.775000000000006</v>
      </c>
      <c r="C230" s="1">
        <f>'Historical Simulation'!D230</f>
        <v>197.4</v>
      </c>
      <c r="D230" s="22">
        <f t="shared" si="25"/>
        <v>935.69738883960576</v>
      </c>
      <c r="E230" s="23">
        <f t="shared" si="26"/>
        <v>13.406253543118169</v>
      </c>
      <c r="F230" s="23">
        <f t="shared" si="27"/>
        <v>-13.406253543118169</v>
      </c>
      <c r="H230" s="13">
        <v>224</v>
      </c>
      <c r="I230" s="14">
        <f t="shared" si="28"/>
        <v>7.6982294072363352E-4</v>
      </c>
      <c r="J230" s="13">
        <f t="shared" si="29"/>
        <v>1</v>
      </c>
      <c r="K230">
        <f t="shared" si="30"/>
        <v>0</v>
      </c>
      <c r="L230">
        <f t="shared" si="31"/>
        <v>0</v>
      </c>
      <c r="M230">
        <f t="shared" si="32"/>
        <v>0</v>
      </c>
    </row>
    <row r="231" spans="1:13" x14ac:dyDescent="0.3">
      <c r="A231" s="2">
        <v>43784</v>
      </c>
      <c r="B231" s="1">
        <v>66.44</v>
      </c>
      <c r="C231" s="1">
        <f>'Historical Simulation'!D231</f>
        <v>195.1</v>
      </c>
      <c r="D231" s="22">
        <f t="shared" si="25"/>
        <v>922.2911352964876</v>
      </c>
      <c r="E231" s="23">
        <f t="shared" si="26"/>
        <v>8.5628837890321847</v>
      </c>
      <c r="F231" s="23">
        <f t="shared" si="27"/>
        <v>-8.5628837890321847</v>
      </c>
      <c r="H231" s="13">
        <v>225</v>
      </c>
      <c r="I231" s="14">
        <f t="shared" si="28"/>
        <v>7.6982294072363352E-4</v>
      </c>
      <c r="J231" s="13">
        <f t="shared" si="29"/>
        <v>1</v>
      </c>
      <c r="K231">
        <f t="shared" si="30"/>
        <v>0</v>
      </c>
      <c r="L231">
        <f t="shared" si="31"/>
        <v>0</v>
      </c>
      <c r="M231">
        <f t="shared" si="32"/>
        <v>0</v>
      </c>
    </row>
    <row r="232" spans="1:13" x14ac:dyDescent="0.3">
      <c r="A232" s="2">
        <v>43783</v>
      </c>
      <c r="B232" s="1">
        <v>65.66</v>
      </c>
      <c r="C232" s="1">
        <f>'Historical Simulation'!D232</f>
        <v>193.15</v>
      </c>
      <c r="D232" s="22">
        <f t="shared" si="25"/>
        <v>913.72825150745541</v>
      </c>
      <c r="E232" s="23">
        <f t="shared" si="26"/>
        <v>2.3197256255735965</v>
      </c>
      <c r="F232" s="23">
        <f t="shared" si="27"/>
        <v>-2.3197256255735965</v>
      </c>
      <c r="H232" s="13">
        <v>226</v>
      </c>
      <c r="I232" s="14">
        <f t="shared" si="28"/>
        <v>7.6982294072363352E-4</v>
      </c>
      <c r="J232" s="13">
        <f t="shared" si="29"/>
        <v>1</v>
      </c>
      <c r="K232">
        <f t="shared" si="30"/>
        <v>0</v>
      </c>
      <c r="L232">
        <f t="shared" si="31"/>
        <v>0</v>
      </c>
      <c r="M232">
        <f t="shared" si="32"/>
        <v>0</v>
      </c>
    </row>
    <row r="233" spans="1:13" x14ac:dyDescent="0.3">
      <c r="A233" s="2">
        <v>43782</v>
      </c>
      <c r="B233" s="1">
        <v>66.117500000000007</v>
      </c>
      <c r="C233" s="1">
        <f>'Historical Simulation'!D233</f>
        <v>193.19</v>
      </c>
      <c r="D233" s="22">
        <f t="shared" si="25"/>
        <v>911.40852588188181</v>
      </c>
      <c r="E233" s="23">
        <f t="shared" si="26"/>
        <v>-12.06126139109324</v>
      </c>
      <c r="F233" s="23">
        <f t="shared" si="27"/>
        <v>12.06126139109324</v>
      </c>
      <c r="H233" s="13">
        <v>227</v>
      </c>
      <c r="I233" s="14">
        <f t="shared" si="28"/>
        <v>7.6982294072363352E-4</v>
      </c>
      <c r="J233" s="13">
        <f t="shared" si="29"/>
        <v>1</v>
      </c>
      <c r="K233">
        <f t="shared" si="30"/>
        <v>0</v>
      </c>
      <c r="L233">
        <f t="shared" si="31"/>
        <v>0</v>
      </c>
      <c r="M233">
        <f t="shared" si="32"/>
        <v>0</v>
      </c>
    </row>
    <row r="234" spans="1:13" x14ac:dyDescent="0.3">
      <c r="A234" s="2">
        <v>43781</v>
      </c>
      <c r="B234" s="1">
        <v>65.489999999999995</v>
      </c>
      <c r="C234" s="1">
        <f>'Historical Simulation'!D234</f>
        <v>194.47</v>
      </c>
      <c r="D234" s="22">
        <f t="shared" si="25"/>
        <v>923.46978727297505</v>
      </c>
      <c r="E234" s="23">
        <f t="shared" si="26"/>
        <v>32.668024138494502</v>
      </c>
      <c r="F234" s="23">
        <f t="shared" si="27"/>
        <v>-32.668024138494502</v>
      </c>
      <c r="H234" s="13">
        <v>228</v>
      </c>
      <c r="I234" s="14">
        <f t="shared" si="28"/>
        <v>7.6982294072363352E-4</v>
      </c>
      <c r="J234" s="13">
        <f t="shared" si="29"/>
        <v>1</v>
      </c>
      <c r="K234">
        <f t="shared" si="30"/>
        <v>0</v>
      </c>
      <c r="L234">
        <f t="shared" si="31"/>
        <v>0</v>
      </c>
      <c r="M234">
        <f t="shared" si="32"/>
        <v>0</v>
      </c>
    </row>
    <row r="235" spans="1:13" x14ac:dyDescent="0.3">
      <c r="A235" s="2">
        <v>43780</v>
      </c>
      <c r="B235" s="1">
        <v>65.55</v>
      </c>
      <c r="C235" s="1">
        <f>'Historical Simulation'!D235</f>
        <v>189.61</v>
      </c>
      <c r="D235" s="22">
        <f t="shared" si="25"/>
        <v>890.80176313448055</v>
      </c>
      <c r="E235" s="23">
        <f t="shared" si="26"/>
        <v>-11.092805309282994</v>
      </c>
      <c r="F235" s="23">
        <f t="shared" si="27"/>
        <v>11.092805309282994</v>
      </c>
      <c r="H235" s="13">
        <v>229</v>
      </c>
      <c r="I235" s="14">
        <f t="shared" si="28"/>
        <v>7.6982294072363352E-4</v>
      </c>
      <c r="J235" s="13">
        <f t="shared" si="29"/>
        <v>1</v>
      </c>
      <c r="K235">
        <f t="shared" si="30"/>
        <v>0</v>
      </c>
      <c r="L235">
        <f t="shared" si="31"/>
        <v>0</v>
      </c>
      <c r="M235">
        <f t="shared" si="32"/>
        <v>0</v>
      </c>
    </row>
    <row r="236" spans="1:13" x14ac:dyDescent="0.3">
      <c r="A236" s="2">
        <v>43777</v>
      </c>
      <c r="B236" s="1">
        <v>65.034999999999997</v>
      </c>
      <c r="C236" s="1">
        <f>'Historical Simulation'!D236</f>
        <v>190.84</v>
      </c>
      <c r="D236" s="22">
        <f t="shared" si="25"/>
        <v>901.89456844376355</v>
      </c>
      <c r="E236" s="23">
        <f t="shared" si="26"/>
        <v>1.7906190759319998</v>
      </c>
      <c r="F236" s="23">
        <f t="shared" si="27"/>
        <v>-1.7906190759319998</v>
      </c>
      <c r="H236" s="13">
        <v>230</v>
      </c>
      <c r="I236" s="14">
        <f t="shared" si="28"/>
        <v>7.6982294072363352E-4</v>
      </c>
      <c r="J236" s="13">
        <f t="shared" si="29"/>
        <v>1</v>
      </c>
      <c r="K236">
        <f t="shared" si="30"/>
        <v>0</v>
      </c>
      <c r="L236">
        <f t="shared" si="31"/>
        <v>0</v>
      </c>
      <c r="M236">
        <f t="shared" si="32"/>
        <v>0</v>
      </c>
    </row>
    <row r="237" spans="1:13" x14ac:dyDescent="0.3">
      <c r="A237" s="2">
        <v>43776</v>
      </c>
      <c r="B237" s="1">
        <v>64.857500000000002</v>
      </c>
      <c r="C237" s="1">
        <f>'Historical Simulation'!D237</f>
        <v>190.42</v>
      </c>
      <c r="D237" s="22">
        <f t="shared" si="25"/>
        <v>900.10394936783155</v>
      </c>
      <c r="E237" s="23">
        <f t="shared" si="26"/>
        <v>-10.611292782993132</v>
      </c>
      <c r="F237" s="23">
        <f t="shared" si="27"/>
        <v>10.611292782993132</v>
      </c>
      <c r="H237" s="13">
        <v>231</v>
      </c>
      <c r="I237" s="14">
        <f t="shared" si="28"/>
        <v>7.6982294072363352E-4</v>
      </c>
      <c r="J237" s="13">
        <f t="shared" si="29"/>
        <v>1</v>
      </c>
      <c r="K237">
        <f t="shared" si="30"/>
        <v>0</v>
      </c>
      <c r="L237">
        <f t="shared" si="31"/>
        <v>0</v>
      </c>
      <c r="M237">
        <f t="shared" si="32"/>
        <v>0</v>
      </c>
    </row>
    <row r="238" spans="1:13" x14ac:dyDescent="0.3">
      <c r="A238" s="2">
        <v>43775</v>
      </c>
      <c r="B238" s="1">
        <v>64.31</v>
      </c>
      <c r="C238" s="1">
        <f>'Historical Simulation'!D238</f>
        <v>191.55</v>
      </c>
      <c r="D238" s="22">
        <f t="shared" si="25"/>
        <v>910.71524215082468</v>
      </c>
      <c r="E238" s="23">
        <f t="shared" si="26"/>
        <v>-18.581574700698866</v>
      </c>
      <c r="F238" s="23">
        <f t="shared" si="27"/>
        <v>18.581574700698866</v>
      </c>
      <c r="H238" s="13">
        <v>232</v>
      </c>
      <c r="I238" s="14">
        <f t="shared" si="28"/>
        <v>7.6982294072363352E-4</v>
      </c>
      <c r="J238" s="13">
        <f t="shared" si="29"/>
        <v>1</v>
      </c>
      <c r="K238">
        <f t="shared" si="30"/>
        <v>0</v>
      </c>
      <c r="L238">
        <f t="shared" si="31"/>
        <v>0</v>
      </c>
      <c r="M238">
        <f t="shared" si="32"/>
        <v>0</v>
      </c>
    </row>
    <row r="239" spans="1:13" x14ac:dyDescent="0.3">
      <c r="A239" s="2">
        <v>43774</v>
      </c>
      <c r="B239" s="1">
        <v>64.282499999999999</v>
      </c>
      <c r="C239" s="1">
        <f>'Historical Simulation'!D239</f>
        <v>194.32</v>
      </c>
      <c r="D239" s="22">
        <f t="shared" si="25"/>
        <v>929.29681685152354</v>
      </c>
      <c r="E239" s="23">
        <f t="shared" si="26"/>
        <v>-2.1380015086556341</v>
      </c>
      <c r="F239" s="23">
        <f t="shared" si="27"/>
        <v>2.1380015086556341</v>
      </c>
      <c r="H239" s="13">
        <v>233</v>
      </c>
      <c r="I239" s="14">
        <f t="shared" si="28"/>
        <v>7.6982294072363352E-4</v>
      </c>
      <c r="J239" s="13">
        <f t="shared" si="29"/>
        <v>1</v>
      </c>
      <c r="K239">
        <f t="shared" si="30"/>
        <v>0</v>
      </c>
      <c r="L239">
        <f t="shared" si="31"/>
        <v>0</v>
      </c>
      <c r="M239">
        <f t="shared" si="32"/>
        <v>0</v>
      </c>
    </row>
    <row r="240" spans="1:13" x14ac:dyDescent="0.3">
      <c r="A240" s="2">
        <v>43773</v>
      </c>
      <c r="B240" s="1">
        <v>64.375</v>
      </c>
      <c r="C240" s="1">
        <f>'Historical Simulation'!D240</f>
        <v>194.72</v>
      </c>
      <c r="D240" s="22">
        <f t="shared" si="25"/>
        <v>931.43481836017918</v>
      </c>
      <c r="E240" s="23">
        <f t="shared" si="26"/>
        <v>4.9433854500357484</v>
      </c>
      <c r="F240" s="23">
        <f t="shared" si="27"/>
        <v>-4.9433854500357484</v>
      </c>
      <c r="H240" s="13">
        <v>234</v>
      </c>
      <c r="I240" s="14">
        <f t="shared" si="28"/>
        <v>7.6982294072363352E-4</v>
      </c>
      <c r="J240" s="13">
        <f t="shared" si="29"/>
        <v>1</v>
      </c>
      <c r="K240">
        <f t="shared" si="30"/>
        <v>0</v>
      </c>
      <c r="L240">
        <f t="shared" si="31"/>
        <v>0</v>
      </c>
      <c r="M240">
        <f t="shared" si="32"/>
        <v>0</v>
      </c>
    </row>
    <row r="241" spans="1:13" x14ac:dyDescent="0.3">
      <c r="A241" s="2">
        <v>43770</v>
      </c>
      <c r="B241" s="1">
        <v>63.954999999999998</v>
      </c>
      <c r="C241" s="1">
        <f>'Historical Simulation'!D241</f>
        <v>193.62</v>
      </c>
      <c r="D241" s="22">
        <f t="shared" si="25"/>
        <v>926.49143291014343</v>
      </c>
      <c r="E241" s="23">
        <f t="shared" si="26"/>
        <v>3.1286676724371318</v>
      </c>
      <c r="F241" s="23">
        <f t="shared" si="27"/>
        <v>-3.1286676724371318</v>
      </c>
      <c r="H241" s="13">
        <v>235</v>
      </c>
      <c r="I241" s="14">
        <f t="shared" si="28"/>
        <v>7.6982294072363352E-4</v>
      </c>
      <c r="J241" s="13">
        <f t="shared" si="29"/>
        <v>1</v>
      </c>
      <c r="K241">
        <f t="shared" si="30"/>
        <v>0</v>
      </c>
      <c r="L241">
        <f t="shared" si="31"/>
        <v>0</v>
      </c>
      <c r="M241">
        <f t="shared" si="32"/>
        <v>0</v>
      </c>
    </row>
    <row r="242" spans="1:13" x14ac:dyDescent="0.3">
      <c r="A242" s="2">
        <v>43769</v>
      </c>
      <c r="B242" s="1">
        <v>62.19</v>
      </c>
      <c r="C242" s="1">
        <f>'Historical Simulation'!D242</f>
        <v>191.65</v>
      </c>
      <c r="D242" s="22">
        <f t="shared" si="25"/>
        <v>923.3627652377063</v>
      </c>
      <c r="E242" s="23">
        <f t="shared" si="26"/>
        <v>14.845375788709703</v>
      </c>
      <c r="F242" s="23">
        <f t="shared" si="27"/>
        <v>-14.845375788709703</v>
      </c>
      <c r="H242" s="13">
        <v>236</v>
      </c>
      <c r="I242" s="14">
        <f t="shared" si="28"/>
        <v>7.6982294072363352E-4</v>
      </c>
      <c r="J242" s="13">
        <f t="shared" si="29"/>
        <v>1</v>
      </c>
      <c r="K242">
        <f t="shared" si="30"/>
        <v>0</v>
      </c>
      <c r="L242">
        <f t="shared" si="31"/>
        <v>0</v>
      </c>
      <c r="M242">
        <f t="shared" si="32"/>
        <v>0</v>
      </c>
    </row>
    <row r="243" spans="1:13" x14ac:dyDescent="0.3">
      <c r="A243" s="2">
        <v>43768</v>
      </c>
      <c r="B243" s="1">
        <v>60.814999999999998</v>
      </c>
      <c r="C243" s="1">
        <f>'Historical Simulation'!D243</f>
        <v>188.25</v>
      </c>
      <c r="D243" s="22">
        <f t="shared" si="25"/>
        <v>908.5173894489966</v>
      </c>
      <c r="E243" s="23">
        <f t="shared" si="26"/>
        <v>-7.0087693914157398</v>
      </c>
      <c r="F243" s="23">
        <f t="shared" si="27"/>
        <v>7.0087693914157398</v>
      </c>
      <c r="H243" s="13">
        <v>237</v>
      </c>
      <c r="I243" s="14">
        <f t="shared" si="28"/>
        <v>7.6982294072363352E-4</v>
      </c>
      <c r="J243" s="13">
        <f t="shared" si="29"/>
        <v>1</v>
      </c>
      <c r="K243">
        <f t="shared" si="30"/>
        <v>0</v>
      </c>
      <c r="L243">
        <f t="shared" si="31"/>
        <v>0</v>
      </c>
      <c r="M243">
        <f t="shared" si="32"/>
        <v>0</v>
      </c>
    </row>
    <row r="244" spans="1:13" x14ac:dyDescent="0.3">
      <c r="A244" s="2">
        <v>43767</v>
      </c>
      <c r="B244" s="1">
        <v>60.822499999999998</v>
      </c>
      <c r="C244" s="1">
        <f>'Historical Simulation'!D244</f>
        <v>189.31</v>
      </c>
      <c r="D244" s="22">
        <f t="shared" si="25"/>
        <v>915.52615884041234</v>
      </c>
      <c r="E244" s="23">
        <f t="shared" si="26"/>
        <v>7.5402505258065275</v>
      </c>
      <c r="F244" s="23">
        <f t="shared" si="27"/>
        <v>-7.5402505258065275</v>
      </c>
      <c r="H244" s="13">
        <v>238</v>
      </c>
      <c r="I244" s="14">
        <f t="shared" si="28"/>
        <v>7.6982294072363352E-4</v>
      </c>
      <c r="J244" s="13">
        <f t="shared" si="29"/>
        <v>1</v>
      </c>
      <c r="K244">
        <f t="shared" si="30"/>
        <v>0</v>
      </c>
      <c r="L244">
        <f t="shared" si="31"/>
        <v>0</v>
      </c>
      <c r="M244">
        <f t="shared" si="32"/>
        <v>0</v>
      </c>
    </row>
    <row r="245" spans="1:13" x14ac:dyDescent="0.3">
      <c r="A245" s="2">
        <v>43766</v>
      </c>
      <c r="B245" s="1">
        <v>62.262500000000003</v>
      </c>
      <c r="C245" s="1">
        <f>'Historical Simulation'!D245</f>
        <v>189.4</v>
      </c>
      <c r="D245" s="22">
        <f t="shared" si="25"/>
        <v>907.98590831460581</v>
      </c>
      <c r="E245" s="23">
        <f t="shared" si="26"/>
        <v>6.5544434031720584</v>
      </c>
      <c r="F245" s="23">
        <f t="shared" si="27"/>
        <v>-6.5544434031720584</v>
      </c>
      <c r="H245" s="13">
        <v>239</v>
      </c>
      <c r="I245" s="14">
        <f t="shared" si="28"/>
        <v>7.6982294072363352E-4</v>
      </c>
      <c r="J245" s="13">
        <f t="shared" si="29"/>
        <v>1</v>
      </c>
      <c r="K245">
        <f t="shared" si="30"/>
        <v>0</v>
      </c>
      <c r="L245">
        <f t="shared" si="31"/>
        <v>0</v>
      </c>
      <c r="M245">
        <f t="shared" si="32"/>
        <v>0</v>
      </c>
    </row>
    <row r="246" spans="1:13" x14ac:dyDescent="0.3">
      <c r="A246" s="2">
        <v>43763</v>
      </c>
      <c r="B246" s="1">
        <v>61.645000000000003</v>
      </c>
      <c r="C246" s="1">
        <f>'Historical Simulation'!D246</f>
        <v>187.89</v>
      </c>
      <c r="D246" s="22">
        <f t="shared" si="25"/>
        <v>901.43146491143375</v>
      </c>
      <c r="E246" s="23">
        <f t="shared" si="26"/>
        <v>5.8055484441576937</v>
      </c>
      <c r="F246" s="23">
        <f t="shared" si="27"/>
        <v>-5.8055484441576937</v>
      </c>
      <c r="H246" s="13">
        <v>240</v>
      </c>
      <c r="I246" s="14">
        <f t="shared" si="28"/>
        <v>7.6982294072363352E-4</v>
      </c>
      <c r="J246" s="13">
        <f t="shared" si="29"/>
        <v>1</v>
      </c>
      <c r="K246">
        <f t="shared" si="30"/>
        <v>0</v>
      </c>
      <c r="L246">
        <f t="shared" si="31"/>
        <v>0</v>
      </c>
      <c r="M246">
        <f t="shared" si="32"/>
        <v>0</v>
      </c>
    </row>
    <row r="247" spans="1:13" x14ac:dyDescent="0.3">
      <c r="A247" s="2">
        <v>43762</v>
      </c>
      <c r="B247" s="1">
        <v>60.895000000000003</v>
      </c>
      <c r="C247" s="1">
        <f>'Historical Simulation'!D247</f>
        <v>186.38</v>
      </c>
      <c r="D247" s="22">
        <f t="shared" si="25"/>
        <v>895.62591646727606</v>
      </c>
      <c r="E247" s="23">
        <f t="shared" si="26"/>
        <v>0.96476486544793261</v>
      </c>
      <c r="F247" s="23">
        <f t="shared" si="27"/>
        <v>-0.96476486544793261</v>
      </c>
      <c r="H247" s="13">
        <v>241</v>
      </c>
      <c r="I247" s="14">
        <f t="shared" si="28"/>
        <v>7.6982294072363352E-4</v>
      </c>
      <c r="J247" s="13">
        <f t="shared" si="29"/>
        <v>1</v>
      </c>
      <c r="K247">
        <f t="shared" si="30"/>
        <v>0</v>
      </c>
      <c r="L247">
        <f t="shared" si="31"/>
        <v>0</v>
      </c>
      <c r="M247">
        <f t="shared" si="32"/>
        <v>0</v>
      </c>
    </row>
    <row r="248" spans="1:13" x14ac:dyDescent="0.3">
      <c r="A248" s="2">
        <v>43761</v>
      </c>
      <c r="B248" s="1">
        <v>60.795000000000002</v>
      </c>
      <c r="C248" s="1">
        <f>'Historical Simulation'!D248</f>
        <v>186.15</v>
      </c>
      <c r="D248" s="22">
        <f t="shared" si="25"/>
        <v>894.66115160182812</v>
      </c>
      <c r="E248" s="23">
        <f t="shared" si="26"/>
        <v>20.794372466702498</v>
      </c>
      <c r="F248" s="23">
        <f t="shared" si="27"/>
        <v>-20.794372466702498</v>
      </c>
      <c r="H248" s="13">
        <v>242</v>
      </c>
      <c r="I248" s="14">
        <f t="shared" si="28"/>
        <v>7.6982294072363352E-4</v>
      </c>
      <c r="J248" s="13">
        <f t="shared" si="29"/>
        <v>1</v>
      </c>
      <c r="K248">
        <f t="shared" si="30"/>
        <v>0</v>
      </c>
      <c r="L248">
        <f t="shared" si="31"/>
        <v>0</v>
      </c>
      <c r="M248">
        <f t="shared" si="32"/>
        <v>0</v>
      </c>
    </row>
    <row r="249" spans="1:13" x14ac:dyDescent="0.3">
      <c r="A249" s="2">
        <v>43760</v>
      </c>
      <c r="B249" s="1">
        <v>59.99</v>
      </c>
      <c r="C249" s="1">
        <f>'Historical Simulation'!D249</f>
        <v>182.34</v>
      </c>
      <c r="D249" s="22">
        <f t="shared" si="25"/>
        <v>873.86677913512563</v>
      </c>
      <c r="E249" s="23">
        <f t="shared" si="26"/>
        <v>-48.580962558655756</v>
      </c>
      <c r="F249" s="23">
        <f t="shared" si="27"/>
        <v>48.580962558655756</v>
      </c>
      <c r="H249" s="13">
        <v>243</v>
      </c>
      <c r="I249" s="14">
        <f t="shared" si="28"/>
        <v>7.6982294072363352E-4</v>
      </c>
      <c r="J249" s="13">
        <f t="shared" si="29"/>
        <v>1</v>
      </c>
      <c r="K249">
        <f t="shared" si="30"/>
        <v>0</v>
      </c>
      <c r="L249">
        <f t="shared" si="31"/>
        <v>0</v>
      </c>
      <c r="M249">
        <f t="shared" si="32"/>
        <v>0</v>
      </c>
    </row>
    <row r="250" spans="1:13" x14ac:dyDescent="0.3">
      <c r="A250" s="2">
        <v>43759</v>
      </c>
      <c r="B250" s="1">
        <v>60.127499999999998</v>
      </c>
      <c r="C250" s="1">
        <f>'Historical Simulation'!D250</f>
        <v>189.76</v>
      </c>
      <c r="D250" s="22">
        <f t="shared" si="25"/>
        <v>922.44774169378138</v>
      </c>
      <c r="E250" s="23">
        <f t="shared" si="26"/>
        <v>20.216127975519612</v>
      </c>
      <c r="F250" s="23">
        <f t="shared" si="27"/>
        <v>-20.216127975519612</v>
      </c>
      <c r="H250" s="13">
        <v>244</v>
      </c>
      <c r="I250" s="14">
        <f t="shared" si="28"/>
        <v>7.6982294072363352E-4</v>
      </c>
      <c r="J250" s="13">
        <f t="shared" si="29"/>
        <v>1</v>
      </c>
      <c r="K250">
        <f t="shared" si="30"/>
        <v>0</v>
      </c>
      <c r="L250">
        <f t="shared" si="31"/>
        <v>0</v>
      </c>
      <c r="M250">
        <f t="shared" si="32"/>
        <v>0</v>
      </c>
    </row>
    <row r="251" spans="1:13" x14ac:dyDescent="0.3">
      <c r="A251" s="2">
        <v>43756</v>
      </c>
      <c r="B251" s="1">
        <v>59.102499999999999</v>
      </c>
      <c r="C251" s="1">
        <f>'Historical Simulation'!D251</f>
        <v>185.85</v>
      </c>
      <c r="D251" s="22">
        <f t="shared" si="25"/>
        <v>902.23161371826177</v>
      </c>
      <c r="E251" s="23">
        <f t="shared" si="26"/>
        <v>-31.796950489408459</v>
      </c>
      <c r="F251" s="23">
        <f t="shared" si="27"/>
        <v>31.796950489408459</v>
      </c>
      <c r="H251" s="13">
        <v>245</v>
      </c>
      <c r="I251" s="14">
        <f t="shared" si="28"/>
        <v>7.6982294072363352E-4</v>
      </c>
      <c r="J251" s="13">
        <f t="shared" si="29"/>
        <v>1</v>
      </c>
      <c r="K251">
        <f t="shared" si="30"/>
        <v>0</v>
      </c>
      <c r="L251">
        <f t="shared" si="31"/>
        <v>0</v>
      </c>
      <c r="M251">
        <f t="shared" si="32"/>
        <v>0</v>
      </c>
    </row>
    <row r="252" spans="1:13" x14ac:dyDescent="0.3">
      <c r="A252" s="2">
        <v>43755</v>
      </c>
      <c r="B252" s="1">
        <v>58.82</v>
      </c>
      <c r="C252" s="1">
        <f>'Historical Simulation'!D252</f>
        <v>190.39</v>
      </c>
      <c r="D252" s="22">
        <f t="shared" si="25"/>
        <v>934.02856420767023</v>
      </c>
      <c r="E252" s="23">
        <f t="shared" si="26"/>
        <v>4.3018729237454636</v>
      </c>
      <c r="F252" s="23">
        <f t="shared" si="27"/>
        <v>-4.3018729237454636</v>
      </c>
      <c r="H252" s="13">
        <v>246</v>
      </c>
      <c r="I252" s="14">
        <f t="shared" si="28"/>
        <v>7.6982294072363352E-4</v>
      </c>
      <c r="J252" s="13">
        <f t="shared" si="29"/>
        <v>1</v>
      </c>
      <c r="K252">
        <f t="shared" si="30"/>
        <v>0</v>
      </c>
      <c r="L252">
        <f t="shared" si="31"/>
        <v>0</v>
      </c>
      <c r="M252">
        <f t="shared" si="32"/>
        <v>0</v>
      </c>
    </row>
    <row r="253" spans="1:13" x14ac:dyDescent="0.3">
      <c r="A253" s="2">
        <v>43754</v>
      </c>
      <c r="B253" s="1">
        <v>58.592500000000001</v>
      </c>
      <c r="C253" s="1">
        <f>'Historical Simulation'!D253</f>
        <v>189.55</v>
      </c>
      <c r="D253" s="22">
        <f t="shared" si="25"/>
        <v>929.72669128392477</v>
      </c>
      <c r="E253" s="23">
        <f t="shared" si="26"/>
        <v>5.732703590304709</v>
      </c>
      <c r="F253" s="23">
        <f t="shared" si="27"/>
        <v>-5.732703590304709</v>
      </c>
      <c r="H253" s="13">
        <v>247</v>
      </c>
      <c r="I253" s="14">
        <f t="shared" si="28"/>
        <v>7.6982294072363352E-4</v>
      </c>
      <c r="J253" s="13">
        <f t="shared" si="29"/>
        <v>1</v>
      </c>
      <c r="K253">
        <f t="shared" si="30"/>
        <v>0</v>
      </c>
      <c r="L253">
        <f t="shared" si="31"/>
        <v>0</v>
      </c>
      <c r="M253">
        <f t="shared" si="32"/>
        <v>0</v>
      </c>
    </row>
    <row r="254" spans="1:13" x14ac:dyDescent="0.3">
      <c r="A254" s="2">
        <v>43753</v>
      </c>
      <c r="B254" s="1">
        <v>58.83</v>
      </c>
      <c r="C254" s="1">
        <f>'Historical Simulation'!D254</f>
        <v>188.89</v>
      </c>
      <c r="D254" s="22">
        <f t="shared" si="25"/>
        <v>923.99398769362006</v>
      </c>
      <c r="E254" s="23">
        <f t="shared" si="26"/>
        <v>38.095085108942612</v>
      </c>
      <c r="F254" s="23">
        <f t="shared" si="27"/>
        <v>-38.095085108942612</v>
      </c>
      <c r="H254" s="13">
        <v>248</v>
      </c>
      <c r="I254" s="14">
        <f t="shared" si="28"/>
        <v>7.6982294072363352E-4</v>
      </c>
      <c r="J254" s="13">
        <f t="shared" si="29"/>
        <v>1</v>
      </c>
      <c r="K254">
        <f t="shared" si="30"/>
        <v>0</v>
      </c>
      <c r="L254">
        <f t="shared" si="31"/>
        <v>0</v>
      </c>
      <c r="M254">
        <f t="shared" si="32"/>
        <v>0</v>
      </c>
    </row>
    <row r="255" spans="1:13" x14ac:dyDescent="0.3">
      <c r="A255" s="2">
        <v>43752</v>
      </c>
      <c r="B255" s="1">
        <v>58.967500000000001</v>
      </c>
      <c r="C255" s="1">
        <f>'Historical Simulation'!D255</f>
        <v>183.28</v>
      </c>
      <c r="D255" s="22">
        <f t="shared" si="25"/>
        <v>885.89890258467744</v>
      </c>
      <c r="E255" s="23">
        <f t="shared" si="26"/>
        <v>-5.5729308768818555</v>
      </c>
      <c r="F255" s="23">
        <f t="shared" si="27"/>
        <v>5.5729308768818555</v>
      </c>
      <c r="H255" s="13">
        <v>249</v>
      </c>
      <c r="I255" s="14">
        <f t="shared" si="28"/>
        <v>7.6982294072363352E-4</v>
      </c>
      <c r="J255" s="13">
        <f t="shared" si="29"/>
        <v>1</v>
      </c>
      <c r="K255">
        <f t="shared" si="30"/>
        <v>0</v>
      </c>
      <c r="L255">
        <f t="shared" si="31"/>
        <v>0</v>
      </c>
      <c r="M255">
        <f t="shared" si="32"/>
        <v>0</v>
      </c>
    </row>
    <row r="256" spans="1:13" x14ac:dyDescent="0.3">
      <c r="A256" s="2">
        <v>43749</v>
      </c>
      <c r="B256" s="1">
        <v>59.052500000000002</v>
      </c>
      <c r="C256" s="1">
        <f>'Historical Simulation'!D256</f>
        <v>184.19</v>
      </c>
      <c r="D256" s="22">
        <f t="shared" si="25"/>
        <v>891.4718334615593</v>
      </c>
      <c r="E256" s="23">
        <f t="shared" si="26"/>
        <v>19.024858431756229</v>
      </c>
      <c r="F256" s="23">
        <f t="shared" si="27"/>
        <v>-19.024858431756229</v>
      </c>
      <c r="H256" s="13">
        <v>250</v>
      </c>
      <c r="I256" s="14">
        <f t="shared" si="28"/>
        <v>7.6982294072363352E-4</v>
      </c>
      <c r="J256" s="13">
        <f t="shared" si="29"/>
        <v>1</v>
      </c>
      <c r="K256">
        <f t="shared" si="30"/>
        <v>0</v>
      </c>
      <c r="L256">
        <f t="shared" si="31"/>
        <v>0</v>
      </c>
      <c r="M256">
        <f t="shared" si="32"/>
        <v>0</v>
      </c>
    </row>
    <row r="257" spans="1:13" x14ac:dyDescent="0.3">
      <c r="A257" s="2">
        <v>43748</v>
      </c>
      <c r="B257" s="1">
        <v>57.522500000000001</v>
      </c>
      <c r="C257" s="1">
        <f>'Historical Simulation'!D257</f>
        <v>180.03</v>
      </c>
      <c r="D257" s="22">
        <f t="shared" si="25"/>
        <v>872.44697502980307</v>
      </c>
      <c r="E257" s="23">
        <f t="shared" si="26"/>
        <v>-3.126441894516006</v>
      </c>
      <c r="F257" s="23">
        <f t="shared" si="27"/>
        <v>3.126441894516006</v>
      </c>
      <c r="H257" s="13">
        <v>251</v>
      </c>
      <c r="I257" s="14">
        <f t="shared" si="28"/>
        <v>7.6982294072363352E-4</v>
      </c>
      <c r="J257" s="13">
        <f t="shared" si="29"/>
        <v>1</v>
      </c>
      <c r="K257">
        <f t="shared" si="30"/>
        <v>0</v>
      </c>
      <c r="L257">
        <f t="shared" si="31"/>
        <v>0</v>
      </c>
      <c r="M257">
        <f t="shared" si="32"/>
        <v>0</v>
      </c>
    </row>
    <row r="258" spans="1:13" x14ac:dyDescent="0.3">
      <c r="A258" s="2">
        <v>43747</v>
      </c>
      <c r="B258" s="1">
        <v>56.7575</v>
      </c>
      <c r="C258" s="1">
        <f>'Historical Simulation'!D258</f>
        <v>179.85</v>
      </c>
      <c r="D258" s="22">
        <f t="shared" si="25"/>
        <v>875.57341692431908</v>
      </c>
      <c r="E258" s="23">
        <f t="shared" si="26"/>
        <v>10.253063987759674</v>
      </c>
      <c r="F258" s="23">
        <f t="shared" si="27"/>
        <v>-10.253063987759674</v>
      </c>
      <c r="H258" s="13">
        <v>252</v>
      </c>
      <c r="I258" s="14">
        <f t="shared" si="28"/>
        <v>7.6982294072363352E-4</v>
      </c>
      <c r="J258" s="13">
        <f t="shared" si="29"/>
        <v>1</v>
      </c>
      <c r="K258">
        <f t="shared" si="30"/>
        <v>0</v>
      </c>
      <c r="L258">
        <f t="shared" si="31"/>
        <v>0</v>
      </c>
      <c r="M258">
        <f t="shared" si="32"/>
        <v>0</v>
      </c>
    </row>
    <row r="259" spans="1:13" x14ac:dyDescent="0.3">
      <c r="A259" s="2">
        <v>43746</v>
      </c>
      <c r="B259" s="1">
        <v>56.1</v>
      </c>
      <c r="C259" s="1">
        <f>'Historical Simulation'!D259</f>
        <v>177.75</v>
      </c>
      <c r="D259" s="22">
        <f t="shared" si="25"/>
        <v>865.3203529365594</v>
      </c>
      <c r="E259" s="23">
        <f t="shared" si="26"/>
        <v>-9.0798273445518589</v>
      </c>
      <c r="F259" s="23">
        <f t="shared" si="27"/>
        <v>9.0798273445518589</v>
      </c>
      <c r="H259" s="13">
        <v>253</v>
      </c>
      <c r="I259" s="14">
        <f t="shared" si="28"/>
        <v>7.6982294072363352E-4</v>
      </c>
      <c r="J259" s="13">
        <f t="shared" si="29"/>
        <v>1</v>
      </c>
      <c r="K259">
        <f t="shared" si="30"/>
        <v>0</v>
      </c>
      <c r="L259">
        <f t="shared" si="31"/>
        <v>0</v>
      </c>
      <c r="M259">
        <f t="shared" si="32"/>
        <v>0</v>
      </c>
    </row>
    <row r="260" spans="1:13" x14ac:dyDescent="0.3">
      <c r="A260" s="2">
        <v>43745</v>
      </c>
      <c r="B260" s="1">
        <v>56.765000000000001</v>
      </c>
      <c r="C260" s="1">
        <f>'Historical Simulation'!D260</f>
        <v>179.68</v>
      </c>
      <c r="D260" s="22">
        <f t="shared" si="25"/>
        <v>874.40018028111126</v>
      </c>
      <c r="E260" s="23">
        <f t="shared" si="26"/>
        <v>-5.1927192862542597</v>
      </c>
      <c r="F260" s="23">
        <f t="shared" si="27"/>
        <v>5.1927192862542597</v>
      </c>
      <c r="H260" s="13">
        <v>254</v>
      </c>
      <c r="I260" s="14">
        <f t="shared" si="28"/>
        <v>7.6982294072363352E-4</v>
      </c>
      <c r="J260" s="13">
        <f t="shared" si="29"/>
        <v>1</v>
      </c>
      <c r="K260">
        <f t="shared" si="30"/>
        <v>0</v>
      </c>
      <c r="L260">
        <f t="shared" si="31"/>
        <v>0</v>
      </c>
      <c r="M260">
        <f t="shared" si="32"/>
        <v>0</v>
      </c>
    </row>
    <row r="261" spans="1:13" x14ac:dyDescent="0.3">
      <c r="A261" s="2">
        <v>43742</v>
      </c>
      <c r="B261" s="1">
        <v>56.752499999999998</v>
      </c>
      <c r="C261" s="1">
        <f>'Historical Simulation'!D261</f>
        <v>180.45</v>
      </c>
      <c r="D261" s="22">
        <f t="shared" si="25"/>
        <v>879.59289956736552</v>
      </c>
      <c r="E261" s="23">
        <f t="shared" si="26"/>
        <v>-1.6288478711651351</v>
      </c>
      <c r="F261" s="23">
        <f t="shared" si="27"/>
        <v>1.6288478711651351</v>
      </c>
      <c r="H261" s="13">
        <v>255</v>
      </c>
      <c r="I261" s="14">
        <f t="shared" si="28"/>
        <v>7.6982294072363352E-4</v>
      </c>
      <c r="J261" s="13">
        <f t="shared" si="29"/>
        <v>1</v>
      </c>
      <c r="K261">
        <f t="shared" si="30"/>
        <v>0</v>
      </c>
      <c r="L261">
        <f t="shared" si="31"/>
        <v>0</v>
      </c>
      <c r="M261">
        <f t="shared" si="32"/>
        <v>0</v>
      </c>
    </row>
    <row r="262" spans="1:13" x14ac:dyDescent="0.3">
      <c r="A262" s="2">
        <v>43741</v>
      </c>
      <c r="B262" s="1">
        <v>55.204999999999998</v>
      </c>
      <c r="C262" s="1">
        <f>'Historical Simulation'!D262</f>
        <v>179.38</v>
      </c>
      <c r="D262" s="22">
        <f t="shared" ref="D262:D325" si="33">$M$16*B262+(1-$M$16)*C262</f>
        <v>881.22174743853066</v>
      </c>
      <c r="E262" s="23">
        <f t="shared" ref="E262:E325" si="34">D262-D263</f>
        <v>29.168541495448153</v>
      </c>
      <c r="F262" s="23">
        <f t="shared" ref="F262:F325" si="35">-E262</f>
        <v>-29.168541495448153</v>
      </c>
      <c r="H262" s="13">
        <v>256</v>
      </c>
      <c r="I262" s="14">
        <f t="shared" si="28"/>
        <v>7.6982294072363352E-4</v>
      </c>
      <c r="J262" s="13">
        <f t="shared" si="29"/>
        <v>1</v>
      </c>
      <c r="K262">
        <f t="shared" si="30"/>
        <v>0</v>
      </c>
      <c r="L262">
        <f t="shared" si="31"/>
        <v>0</v>
      </c>
      <c r="M262">
        <f t="shared" si="32"/>
        <v>0</v>
      </c>
    </row>
    <row r="263" spans="1:13" x14ac:dyDescent="0.3">
      <c r="A263" s="2">
        <v>43740</v>
      </c>
      <c r="B263" s="1">
        <v>54.74</v>
      </c>
      <c r="C263" s="1">
        <f>'Historical Simulation'!D263</f>
        <v>174.6</v>
      </c>
      <c r="D263" s="22">
        <f t="shared" si="33"/>
        <v>852.0532059430825</v>
      </c>
      <c r="E263" s="23">
        <f t="shared" si="34"/>
        <v>-9.3722608261714413E-2</v>
      </c>
      <c r="F263" s="23">
        <f t="shared" si="35"/>
        <v>9.3722608261714413E-2</v>
      </c>
      <c r="H263" s="13">
        <v>257</v>
      </c>
      <c r="I263" s="14">
        <f t="shared" si="28"/>
        <v>7.6982294072363352E-4</v>
      </c>
      <c r="J263" s="13">
        <f t="shared" si="29"/>
        <v>1</v>
      </c>
      <c r="K263">
        <f t="shared" si="30"/>
        <v>0</v>
      </c>
      <c r="L263">
        <f t="shared" si="31"/>
        <v>0</v>
      </c>
      <c r="M263">
        <f t="shared" si="32"/>
        <v>0</v>
      </c>
    </row>
    <row r="264" spans="1:13" x14ac:dyDescent="0.3">
      <c r="A264" s="2">
        <v>43739</v>
      </c>
      <c r="B264" s="1">
        <v>56.147500000000001</v>
      </c>
      <c r="C264" s="1">
        <f>'Historical Simulation'!D264</f>
        <v>175.81</v>
      </c>
      <c r="D264" s="22">
        <f t="shared" si="33"/>
        <v>852.14692855134422</v>
      </c>
      <c r="E264" s="23">
        <f t="shared" si="34"/>
        <v>-15.976190759319024</v>
      </c>
      <c r="F264" s="23">
        <f t="shared" si="35"/>
        <v>15.976190759319024</v>
      </c>
      <c r="H264" s="13">
        <v>258</v>
      </c>
      <c r="I264" s="14">
        <f t="shared" si="28"/>
        <v>7.6982294072363352E-4</v>
      </c>
      <c r="J264" s="13">
        <f t="shared" si="29"/>
        <v>1</v>
      </c>
      <c r="K264">
        <f t="shared" si="30"/>
        <v>0</v>
      </c>
      <c r="L264">
        <f t="shared" si="31"/>
        <v>0</v>
      </c>
      <c r="M264">
        <f t="shared" si="32"/>
        <v>0</v>
      </c>
    </row>
    <row r="265" spans="1:13" x14ac:dyDescent="0.3">
      <c r="A265" s="2">
        <v>43738</v>
      </c>
      <c r="B265" s="1">
        <v>55.9925</v>
      </c>
      <c r="C265" s="1">
        <f>'Historical Simulation'!D265</f>
        <v>178.08</v>
      </c>
      <c r="D265" s="22">
        <f t="shared" si="33"/>
        <v>868.12311931066324</v>
      </c>
      <c r="E265" s="23">
        <f t="shared" si="34"/>
        <v>-0.75800150865575233</v>
      </c>
      <c r="F265" s="23">
        <f t="shared" si="35"/>
        <v>0.75800150865575233</v>
      </c>
      <c r="H265" s="13">
        <v>259</v>
      </c>
      <c r="I265" s="14">
        <f t="shared" ref="I265:I280" si="36">COUNTIF($F:$F,"&gt;"&amp;H265)/COUNT(F:F)</f>
        <v>7.6982294072363352E-4</v>
      </c>
      <c r="J265" s="13">
        <f t="shared" si="29"/>
        <v>1</v>
      </c>
      <c r="K265">
        <f t="shared" si="30"/>
        <v>0</v>
      </c>
      <c r="L265">
        <f t="shared" si="31"/>
        <v>0</v>
      </c>
      <c r="M265">
        <f t="shared" si="32"/>
        <v>0</v>
      </c>
    </row>
    <row r="266" spans="1:13" x14ac:dyDescent="0.3">
      <c r="A266" s="2">
        <v>43735</v>
      </c>
      <c r="B266" s="1">
        <v>54.704999999999998</v>
      </c>
      <c r="C266" s="1">
        <f>'Historical Simulation'!D266</f>
        <v>177.1</v>
      </c>
      <c r="D266" s="22">
        <f t="shared" si="33"/>
        <v>868.88112081931899</v>
      </c>
      <c r="E266" s="23">
        <f t="shared" si="34"/>
        <v>-18.510712642240492</v>
      </c>
      <c r="F266" s="23">
        <f t="shared" si="35"/>
        <v>18.510712642240492</v>
      </c>
      <c r="H266" s="13">
        <v>260</v>
      </c>
      <c r="I266" s="14">
        <f t="shared" si="36"/>
        <v>7.6982294072363352E-4</v>
      </c>
      <c r="J266" s="13">
        <f t="shared" si="29"/>
        <v>1</v>
      </c>
      <c r="K266">
        <f t="shared" si="30"/>
        <v>0</v>
      </c>
      <c r="L266">
        <f t="shared" si="31"/>
        <v>0</v>
      </c>
      <c r="M266">
        <f t="shared" si="32"/>
        <v>0</v>
      </c>
    </row>
    <row r="267" spans="1:13" x14ac:dyDescent="0.3">
      <c r="A267" s="2">
        <v>43734</v>
      </c>
      <c r="B267" s="1">
        <v>54.972499999999997</v>
      </c>
      <c r="C267" s="1">
        <f>'Historical Simulation'!D267</f>
        <v>180.11</v>
      </c>
      <c r="D267" s="22">
        <f t="shared" si="33"/>
        <v>887.39183346155949</v>
      </c>
      <c r="E267" s="23">
        <f t="shared" si="34"/>
        <v>-16.283150010788404</v>
      </c>
      <c r="F267" s="23">
        <f t="shared" si="35"/>
        <v>16.283150010788404</v>
      </c>
      <c r="H267" s="13">
        <v>261</v>
      </c>
      <c r="I267" s="14">
        <f t="shared" si="36"/>
        <v>7.6982294072363352E-4</v>
      </c>
      <c r="J267" s="13">
        <f t="shared" si="29"/>
        <v>1</v>
      </c>
      <c r="K267">
        <f t="shared" si="30"/>
        <v>0</v>
      </c>
      <c r="L267">
        <f t="shared" si="31"/>
        <v>0</v>
      </c>
      <c r="M267">
        <f t="shared" si="32"/>
        <v>0</v>
      </c>
    </row>
    <row r="268" spans="1:13" x14ac:dyDescent="0.3">
      <c r="A268" s="2">
        <v>43733</v>
      </c>
      <c r="B268" s="1">
        <v>55.2575</v>
      </c>
      <c r="C268" s="1">
        <f>'Historical Simulation'!D268</f>
        <v>182.8</v>
      </c>
      <c r="D268" s="22">
        <f t="shared" si="33"/>
        <v>903.67498347234789</v>
      </c>
      <c r="E268" s="23">
        <f t="shared" si="34"/>
        <v>5.3775155436022715</v>
      </c>
      <c r="F268" s="23">
        <f t="shared" si="35"/>
        <v>-5.3775155436022715</v>
      </c>
      <c r="H268" s="13">
        <v>262</v>
      </c>
      <c r="I268" s="14">
        <f t="shared" si="36"/>
        <v>7.6982294072363352E-4</v>
      </c>
      <c r="J268" s="13">
        <f t="shared" si="29"/>
        <v>1</v>
      </c>
      <c r="K268">
        <f t="shared" si="30"/>
        <v>0</v>
      </c>
      <c r="L268">
        <f t="shared" si="31"/>
        <v>0</v>
      </c>
      <c r="M268">
        <f t="shared" si="32"/>
        <v>0</v>
      </c>
    </row>
    <row r="269" spans="1:13" x14ac:dyDescent="0.3">
      <c r="A269" s="2">
        <v>43732</v>
      </c>
      <c r="B269" s="1">
        <v>54.42</v>
      </c>
      <c r="C269" s="1">
        <f>'Historical Simulation'!D269</f>
        <v>181.28</v>
      </c>
      <c r="D269" s="22">
        <f t="shared" si="33"/>
        <v>898.29746792874562</v>
      </c>
      <c r="E269" s="23">
        <f t="shared" si="34"/>
        <v>-35.382757612042951</v>
      </c>
      <c r="F269" s="23">
        <f t="shared" si="35"/>
        <v>35.382757612042951</v>
      </c>
      <c r="H269" s="13">
        <v>263</v>
      </c>
      <c r="I269" s="14">
        <f t="shared" si="36"/>
        <v>7.6982294072363352E-4</v>
      </c>
      <c r="J269" s="13">
        <f t="shared" si="29"/>
        <v>1</v>
      </c>
      <c r="K269">
        <f t="shared" si="30"/>
        <v>0</v>
      </c>
      <c r="L269">
        <f t="shared" si="31"/>
        <v>0</v>
      </c>
      <c r="M269">
        <f t="shared" si="32"/>
        <v>0</v>
      </c>
    </row>
    <row r="270" spans="1:13" x14ac:dyDescent="0.3">
      <c r="A270" s="2">
        <v>43731</v>
      </c>
      <c r="B270" s="1">
        <v>54.68</v>
      </c>
      <c r="C270" s="1">
        <f>'Historical Simulation'!D270</f>
        <v>186.82</v>
      </c>
      <c r="D270" s="22">
        <f t="shared" si="33"/>
        <v>933.68022554078857</v>
      </c>
      <c r="E270" s="23">
        <f t="shared" si="34"/>
        <v>-22.086715659552169</v>
      </c>
      <c r="F270" s="23">
        <f t="shared" si="35"/>
        <v>22.086715659552169</v>
      </c>
      <c r="H270" s="13">
        <v>264</v>
      </c>
      <c r="I270" s="14">
        <f t="shared" si="36"/>
        <v>7.6982294072363352E-4</v>
      </c>
      <c r="J270" s="13">
        <f t="shared" si="29"/>
        <v>1</v>
      </c>
      <c r="K270">
        <f t="shared" si="30"/>
        <v>0</v>
      </c>
      <c r="L270">
        <f t="shared" si="31"/>
        <v>0</v>
      </c>
      <c r="M270">
        <f t="shared" si="32"/>
        <v>0</v>
      </c>
    </row>
    <row r="271" spans="1:13" x14ac:dyDescent="0.3">
      <c r="A271" s="2">
        <v>43728</v>
      </c>
      <c r="B271" s="1">
        <v>54.432499999999997</v>
      </c>
      <c r="C271" s="1">
        <f>'Historical Simulation'!D271</f>
        <v>189.93</v>
      </c>
      <c r="D271" s="22">
        <f t="shared" si="33"/>
        <v>955.76694120034074</v>
      </c>
      <c r="E271" s="23">
        <f t="shared" si="34"/>
        <v>3.1670923623477165</v>
      </c>
      <c r="F271" s="23">
        <f t="shared" si="35"/>
        <v>-3.1670923623477165</v>
      </c>
      <c r="H271" s="13">
        <v>265</v>
      </c>
      <c r="I271" s="14">
        <f t="shared" si="36"/>
        <v>7.6982294072363352E-4</v>
      </c>
      <c r="J271" s="13">
        <f t="shared" si="29"/>
        <v>1</v>
      </c>
      <c r="K271">
        <f t="shared" si="30"/>
        <v>0</v>
      </c>
      <c r="L271">
        <f t="shared" si="31"/>
        <v>0</v>
      </c>
      <c r="M271">
        <f t="shared" si="32"/>
        <v>0</v>
      </c>
    </row>
    <row r="272" spans="1:13" x14ac:dyDescent="0.3">
      <c r="A272" s="2">
        <v>43727</v>
      </c>
      <c r="B272" s="1">
        <v>55.24</v>
      </c>
      <c r="C272" s="1">
        <f>'Historical Simulation'!D272</f>
        <v>190.14</v>
      </c>
      <c r="D272" s="22">
        <f t="shared" si="33"/>
        <v>952.59984883799302</v>
      </c>
      <c r="E272" s="23">
        <f t="shared" si="34"/>
        <v>15.861621788548518</v>
      </c>
      <c r="F272" s="23">
        <f t="shared" si="35"/>
        <v>-15.861621788548518</v>
      </c>
      <c r="H272" s="13">
        <v>266</v>
      </c>
      <c r="I272" s="14">
        <f t="shared" si="36"/>
        <v>7.6982294072363352E-4</v>
      </c>
      <c r="J272" s="13">
        <f t="shared" si="29"/>
        <v>1</v>
      </c>
      <c r="K272">
        <f t="shared" si="30"/>
        <v>0</v>
      </c>
      <c r="L272">
        <f t="shared" si="31"/>
        <v>0</v>
      </c>
      <c r="M272">
        <f t="shared" si="32"/>
        <v>0</v>
      </c>
    </row>
    <row r="273" spans="1:13" x14ac:dyDescent="0.3">
      <c r="A273" s="2">
        <v>43726</v>
      </c>
      <c r="B273" s="1">
        <v>55.692500000000003</v>
      </c>
      <c r="C273" s="1">
        <f>'Historical Simulation'!D273</f>
        <v>188.14</v>
      </c>
      <c r="D273" s="22">
        <f t="shared" si="33"/>
        <v>936.7382270494445</v>
      </c>
      <c r="E273" s="23">
        <f t="shared" si="34"/>
        <v>-2.5258071226345464</v>
      </c>
      <c r="F273" s="23">
        <f t="shared" si="35"/>
        <v>2.5258071226345464</v>
      </c>
      <c r="H273" s="13">
        <v>267</v>
      </c>
      <c r="I273" s="14">
        <f t="shared" si="36"/>
        <v>7.6982294072363352E-4</v>
      </c>
      <c r="J273" s="13">
        <f t="shared" si="29"/>
        <v>1</v>
      </c>
      <c r="K273">
        <f t="shared" si="30"/>
        <v>0</v>
      </c>
      <c r="L273">
        <f t="shared" si="31"/>
        <v>0</v>
      </c>
      <c r="M273">
        <f t="shared" si="32"/>
        <v>0</v>
      </c>
    </row>
    <row r="274" spans="1:13" x14ac:dyDescent="0.3">
      <c r="A274" s="2">
        <v>43725</v>
      </c>
      <c r="B274" s="1">
        <v>55.174999999999997</v>
      </c>
      <c r="C274" s="1">
        <f>'Historical Simulation'!D274</f>
        <v>188.08</v>
      </c>
      <c r="D274" s="22">
        <f t="shared" si="33"/>
        <v>939.26403417207905</v>
      </c>
      <c r="E274" s="23">
        <f t="shared" si="34"/>
        <v>11.242382128028794</v>
      </c>
      <c r="F274" s="23">
        <f t="shared" si="35"/>
        <v>-11.242382128028794</v>
      </c>
      <c r="H274" s="13">
        <v>268</v>
      </c>
      <c r="I274" s="14">
        <f t="shared" si="36"/>
        <v>7.6982294072363352E-4</v>
      </c>
      <c r="J274" s="13">
        <f t="shared" si="29"/>
        <v>1</v>
      </c>
      <c r="K274">
        <f t="shared" si="30"/>
        <v>0</v>
      </c>
      <c r="L274">
        <f t="shared" si="31"/>
        <v>0</v>
      </c>
      <c r="M274">
        <f t="shared" si="32"/>
        <v>0</v>
      </c>
    </row>
    <row r="275" spans="1:13" x14ac:dyDescent="0.3">
      <c r="A275" s="2">
        <v>43724</v>
      </c>
      <c r="B275" s="1">
        <v>54.975000000000001</v>
      </c>
      <c r="C275" s="1">
        <f>'Historical Simulation'!D275</f>
        <v>186.22</v>
      </c>
      <c r="D275" s="22">
        <f t="shared" si="33"/>
        <v>928.02165204405026</v>
      </c>
      <c r="E275" s="23">
        <f t="shared" si="34"/>
        <v>-8.0774370638531536</v>
      </c>
      <c r="F275" s="23">
        <f t="shared" si="35"/>
        <v>8.0774370638531536</v>
      </c>
      <c r="H275" s="13">
        <v>269</v>
      </c>
      <c r="I275" s="14">
        <f t="shared" si="36"/>
        <v>7.6982294072363352E-4</v>
      </c>
      <c r="J275" s="13">
        <f t="shared" si="29"/>
        <v>1</v>
      </c>
      <c r="K275">
        <f t="shared" si="30"/>
        <v>0</v>
      </c>
      <c r="L275">
        <f t="shared" si="31"/>
        <v>0</v>
      </c>
      <c r="M275">
        <f t="shared" si="32"/>
        <v>0</v>
      </c>
    </row>
    <row r="276" spans="1:13" x14ac:dyDescent="0.3">
      <c r="A276" s="2">
        <v>43721</v>
      </c>
      <c r="B276" s="1">
        <v>54.6875</v>
      </c>
      <c r="C276" s="1">
        <f>'Historical Simulation'!D276</f>
        <v>187.19</v>
      </c>
      <c r="D276" s="22">
        <f t="shared" si="33"/>
        <v>936.09908910790341</v>
      </c>
      <c r="E276" s="23">
        <f t="shared" si="34"/>
        <v>4.2625424796967764</v>
      </c>
      <c r="F276" s="23">
        <f t="shared" si="35"/>
        <v>-4.2625424796967764</v>
      </c>
      <c r="H276" s="13">
        <v>270</v>
      </c>
      <c r="I276" s="14">
        <f t="shared" si="36"/>
        <v>7.6982294072363352E-4</v>
      </c>
      <c r="J276" s="13">
        <f t="shared" si="29"/>
        <v>1</v>
      </c>
      <c r="K276">
        <f t="shared" si="30"/>
        <v>0</v>
      </c>
      <c r="L276">
        <f t="shared" si="31"/>
        <v>0</v>
      </c>
      <c r="M276">
        <f t="shared" si="32"/>
        <v>0</v>
      </c>
    </row>
    <row r="277" spans="1:13" x14ac:dyDescent="0.3">
      <c r="A277" s="2">
        <v>43720</v>
      </c>
      <c r="B277" s="1">
        <v>55.7712</v>
      </c>
      <c r="C277" s="1">
        <f>'Historical Simulation'!D277</f>
        <v>187.47</v>
      </c>
      <c r="D277" s="22">
        <f t="shared" si="33"/>
        <v>931.83654662820663</v>
      </c>
      <c r="E277" s="23">
        <f t="shared" si="34"/>
        <v>-6.0712258480838273</v>
      </c>
      <c r="F277" s="23">
        <f t="shared" si="35"/>
        <v>6.0712258480838273</v>
      </c>
      <c r="H277" s="13">
        <v>271</v>
      </c>
      <c r="I277" s="14">
        <f t="shared" si="36"/>
        <v>7.6982294072363352E-4</v>
      </c>
      <c r="J277" s="13">
        <f t="shared" si="29"/>
        <v>1</v>
      </c>
      <c r="K277">
        <f t="shared" si="30"/>
        <v>0</v>
      </c>
      <c r="L277">
        <f t="shared" si="31"/>
        <v>0</v>
      </c>
      <c r="M277">
        <f t="shared" si="32"/>
        <v>0</v>
      </c>
    </row>
    <row r="278" spans="1:13" x14ac:dyDescent="0.3">
      <c r="A278" s="2">
        <v>43719</v>
      </c>
      <c r="B278" s="1">
        <v>55.897500000000001</v>
      </c>
      <c r="C278" s="1">
        <f>'Historical Simulation'!D278</f>
        <v>188.49</v>
      </c>
      <c r="D278" s="22">
        <f t="shared" si="33"/>
        <v>937.90777247629046</v>
      </c>
      <c r="E278" s="23">
        <f t="shared" si="34"/>
        <v>5.6970923623478029</v>
      </c>
      <c r="F278" s="23">
        <f t="shared" si="35"/>
        <v>-5.6970923623478029</v>
      </c>
      <c r="H278" s="13">
        <v>272</v>
      </c>
      <c r="I278" s="14">
        <f t="shared" si="36"/>
        <v>7.6982294072363352E-4</v>
      </c>
      <c r="J278" s="13">
        <f t="shared" si="29"/>
        <v>1</v>
      </c>
      <c r="K278">
        <f t="shared" si="30"/>
        <v>0</v>
      </c>
      <c r="L278">
        <f t="shared" si="31"/>
        <v>0</v>
      </c>
      <c r="M278">
        <f t="shared" si="32"/>
        <v>0</v>
      </c>
    </row>
    <row r="279" spans="1:13" x14ac:dyDescent="0.3">
      <c r="A279" s="2">
        <v>43718</v>
      </c>
      <c r="B279" s="1">
        <v>54.174999999999997</v>
      </c>
      <c r="C279" s="1">
        <f>'Historical Simulation'!D279</f>
        <v>186.17</v>
      </c>
      <c r="D279" s="22">
        <f t="shared" si="33"/>
        <v>932.21068011394266</v>
      </c>
      <c r="E279" s="23">
        <f t="shared" si="34"/>
        <v>-20.803690606971372</v>
      </c>
      <c r="F279" s="23">
        <f t="shared" si="35"/>
        <v>20.803690606971372</v>
      </c>
      <c r="H279" s="13">
        <v>273</v>
      </c>
      <c r="I279" s="14">
        <f t="shared" si="36"/>
        <v>7.6982294072363352E-4</v>
      </c>
      <c r="J279" s="13">
        <f t="shared" si="29"/>
        <v>1</v>
      </c>
      <c r="K279">
        <f t="shared" si="30"/>
        <v>1</v>
      </c>
      <c r="L279">
        <f t="shared" si="31"/>
        <v>7.6982294072363352E-4</v>
      </c>
      <c r="M279">
        <f t="shared" si="32"/>
        <v>0.21016166281755194</v>
      </c>
    </row>
    <row r="280" spans="1:13" x14ac:dyDescent="0.3">
      <c r="A280" s="2">
        <v>43717</v>
      </c>
      <c r="B280" s="1">
        <v>53.542499999999997</v>
      </c>
      <c r="C280" s="1">
        <f>'Historical Simulation'!D280</f>
        <v>188.76</v>
      </c>
      <c r="D280" s="22">
        <f t="shared" si="33"/>
        <v>953.01437072091403</v>
      </c>
      <c r="E280" s="23">
        <f t="shared" si="34"/>
        <v>7.1622490171504296</v>
      </c>
      <c r="F280" s="23">
        <f t="shared" si="35"/>
        <v>-7.1622490171504296</v>
      </c>
      <c r="H280" s="13">
        <v>274</v>
      </c>
      <c r="I280" s="42">
        <f t="shared" si="36"/>
        <v>0</v>
      </c>
      <c r="J280" s="13">
        <f t="shared" si="29"/>
        <v>0</v>
      </c>
      <c r="K280">
        <f t="shared" si="30"/>
        <v>0</v>
      </c>
      <c r="L280">
        <f t="shared" si="31"/>
        <v>0</v>
      </c>
      <c r="M280">
        <f>L280*H280</f>
        <v>0</v>
      </c>
    </row>
    <row r="281" spans="1:13" x14ac:dyDescent="0.3">
      <c r="A281" s="2">
        <v>43714</v>
      </c>
      <c r="B281" s="1">
        <v>53.314999999999998</v>
      </c>
      <c r="C281" s="1">
        <f>'Historical Simulation'!D281</f>
        <v>187.49</v>
      </c>
      <c r="D281" s="22">
        <f t="shared" si="33"/>
        <v>945.8521217037636</v>
      </c>
      <c r="E281" s="23">
        <f t="shared" si="34"/>
        <v>-22.655187437311838</v>
      </c>
      <c r="F281" s="23">
        <f t="shared" si="35"/>
        <v>22.655187437311838</v>
      </c>
      <c r="H281" s="13"/>
      <c r="I281" s="14"/>
    </row>
    <row r="282" spans="1:13" x14ac:dyDescent="0.3">
      <c r="A282" s="2">
        <v>43713</v>
      </c>
      <c r="B282" s="1">
        <v>53.32</v>
      </c>
      <c r="C282" s="1">
        <f>'Historical Simulation'!D282</f>
        <v>190.9</v>
      </c>
      <c r="D282" s="22">
        <f t="shared" si="33"/>
        <v>968.50730914107544</v>
      </c>
      <c r="E282" s="23">
        <f t="shared" si="34"/>
        <v>19.232452455107477</v>
      </c>
      <c r="F282" s="23">
        <f t="shared" si="35"/>
        <v>-19.232452455107477</v>
      </c>
      <c r="H282" s="13"/>
      <c r="I282" s="14"/>
    </row>
    <row r="283" spans="1:13" x14ac:dyDescent="0.3">
      <c r="A283" s="2">
        <v>43712</v>
      </c>
      <c r="B283" s="1">
        <v>52.297499999999999</v>
      </c>
      <c r="C283" s="1">
        <f>'Historical Simulation'!D283</f>
        <v>187.14</v>
      </c>
      <c r="D283" s="22">
        <f t="shared" si="33"/>
        <v>949.27485668596796</v>
      </c>
      <c r="E283" s="23">
        <f t="shared" si="34"/>
        <v>26.665775121344268</v>
      </c>
      <c r="F283" s="23">
        <f t="shared" si="35"/>
        <v>-26.665775121344268</v>
      </c>
      <c r="H283" s="13"/>
      <c r="I283" s="14"/>
    </row>
    <row r="284" spans="1:13" x14ac:dyDescent="0.3">
      <c r="A284" s="2">
        <v>43711</v>
      </c>
      <c r="B284" s="1">
        <v>51.424999999999997</v>
      </c>
      <c r="C284" s="1">
        <f>'Historical Simulation'!D284</f>
        <v>182.39</v>
      </c>
      <c r="D284" s="22">
        <f t="shared" si="33"/>
        <v>922.60908156462369</v>
      </c>
      <c r="E284" s="23">
        <f t="shared" si="34"/>
        <v>-17.523134314838671</v>
      </c>
      <c r="F284" s="23">
        <f t="shared" si="35"/>
        <v>17.523134314838671</v>
      </c>
      <c r="H284" s="13"/>
      <c r="I284" s="14"/>
    </row>
    <row r="285" spans="1:13" x14ac:dyDescent="0.3">
      <c r="A285" s="2">
        <v>43710</v>
      </c>
      <c r="B285" s="1">
        <v>52.185000000000002</v>
      </c>
      <c r="C285" s="1">
        <f>'Historical Simulation'!D285</f>
        <v>185.67</v>
      </c>
      <c r="D285" s="22">
        <f t="shared" si="33"/>
        <v>940.13221587946236</v>
      </c>
      <c r="E285" s="23">
        <f t="shared" si="34"/>
        <v>0</v>
      </c>
      <c r="F285" s="23">
        <f t="shared" si="35"/>
        <v>0</v>
      </c>
      <c r="H285" s="13"/>
      <c r="I285" s="14"/>
    </row>
    <row r="286" spans="1:13" x14ac:dyDescent="0.3">
      <c r="A286" s="2">
        <v>43707</v>
      </c>
      <c r="B286" s="1">
        <v>52.185000000000002</v>
      </c>
      <c r="C286" s="1">
        <f>'Historical Simulation'!D286</f>
        <v>185.67</v>
      </c>
      <c r="D286" s="22">
        <f t="shared" si="33"/>
        <v>940.13221587946236</v>
      </c>
      <c r="E286" s="23">
        <f t="shared" si="34"/>
        <v>1.0467162689425322</v>
      </c>
      <c r="F286" s="23">
        <f t="shared" si="35"/>
        <v>-1.0467162689425322</v>
      </c>
      <c r="H286" s="13"/>
      <c r="I286" s="14"/>
    </row>
    <row r="287" spans="1:13" x14ac:dyDescent="0.3">
      <c r="A287" s="2">
        <v>43706</v>
      </c>
      <c r="B287" s="1">
        <v>52.252499999999998</v>
      </c>
      <c r="C287" s="1">
        <f>'Historical Simulation'!D287</f>
        <v>185.57</v>
      </c>
      <c r="D287" s="22">
        <f t="shared" si="33"/>
        <v>939.08549961051983</v>
      </c>
      <c r="E287" s="23">
        <f t="shared" si="34"/>
        <v>20.426990033978541</v>
      </c>
      <c r="F287" s="23">
        <f t="shared" si="35"/>
        <v>-20.426990033978541</v>
      </c>
      <c r="H287" s="13"/>
      <c r="I287" s="14"/>
    </row>
    <row r="288" spans="1:13" x14ac:dyDescent="0.3">
      <c r="A288" s="2">
        <v>43705</v>
      </c>
      <c r="B288" s="1">
        <v>51.3825</v>
      </c>
      <c r="C288" s="1">
        <f>'Historical Simulation'!D288</f>
        <v>181.76</v>
      </c>
      <c r="D288" s="22">
        <f t="shared" si="33"/>
        <v>918.65850957654129</v>
      </c>
      <c r="E288" s="23">
        <f t="shared" si="34"/>
        <v>1.1241143976162675</v>
      </c>
      <c r="F288" s="23">
        <f t="shared" si="35"/>
        <v>-1.1241143976162675</v>
      </c>
      <c r="H288" s="13"/>
      <c r="I288" s="14"/>
    </row>
    <row r="289" spans="1:9" x14ac:dyDescent="0.3">
      <c r="A289" s="2">
        <v>43704</v>
      </c>
      <c r="B289" s="1">
        <v>51.04</v>
      </c>
      <c r="C289" s="1">
        <f>'Historical Simulation'!D289</f>
        <v>181.3</v>
      </c>
      <c r="D289" s="22">
        <f t="shared" si="33"/>
        <v>917.53439517892502</v>
      </c>
      <c r="E289" s="23">
        <f t="shared" si="34"/>
        <v>9.5452269818817967</v>
      </c>
      <c r="F289" s="23">
        <f t="shared" si="35"/>
        <v>-9.5452269818817967</v>
      </c>
      <c r="H289" s="13"/>
      <c r="I289" s="14"/>
    </row>
    <row r="290" spans="1:9" x14ac:dyDescent="0.3">
      <c r="A290" s="2">
        <v>43703</v>
      </c>
      <c r="B290" s="1">
        <v>51.622500000000002</v>
      </c>
      <c r="C290" s="1">
        <f>'Historical Simulation'!D290</f>
        <v>180.36</v>
      </c>
      <c r="D290" s="22">
        <f t="shared" si="33"/>
        <v>907.98916819704323</v>
      </c>
      <c r="E290" s="23">
        <f t="shared" si="34"/>
        <v>11.921731660197111</v>
      </c>
      <c r="F290" s="23">
        <f t="shared" si="35"/>
        <v>-11.921731660197111</v>
      </c>
      <c r="H290" s="13"/>
      <c r="I290" s="14"/>
    </row>
    <row r="291" spans="1:9" x14ac:dyDescent="0.3">
      <c r="A291" s="2">
        <v>43700</v>
      </c>
      <c r="B291" s="1">
        <v>50.66</v>
      </c>
      <c r="C291" s="1">
        <f>'Historical Simulation'!D291</f>
        <v>177.75</v>
      </c>
      <c r="D291" s="22">
        <f t="shared" si="33"/>
        <v>896.06743653684612</v>
      </c>
      <c r="E291" s="23">
        <f t="shared" si="34"/>
        <v>-14.661488677670036</v>
      </c>
      <c r="F291" s="23">
        <f t="shared" si="35"/>
        <v>14.661488677670036</v>
      </c>
      <c r="H291" s="13"/>
      <c r="I291" s="14"/>
    </row>
    <row r="292" spans="1:9" x14ac:dyDescent="0.3">
      <c r="A292" s="2">
        <v>43699</v>
      </c>
      <c r="B292" s="1">
        <v>53.115000000000002</v>
      </c>
      <c r="C292" s="1">
        <f>'Historical Simulation'!D292</f>
        <v>182.04</v>
      </c>
      <c r="D292" s="22">
        <f t="shared" si="33"/>
        <v>910.72892521451615</v>
      </c>
      <c r="E292" s="23">
        <f t="shared" si="34"/>
        <v>-9.7902348298567858</v>
      </c>
      <c r="F292" s="23">
        <f t="shared" si="35"/>
        <v>9.7902348298567858</v>
      </c>
      <c r="H292" s="13"/>
      <c r="I292" s="14"/>
    </row>
    <row r="293" spans="1:9" x14ac:dyDescent="0.3">
      <c r="A293" s="2">
        <v>43698</v>
      </c>
      <c r="B293" s="1">
        <v>53.16</v>
      </c>
      <c r="C293" s="1">
        <f>'Historical Simulation'!D293</f>
        <v>183.55</v>
      </c>
      <c r="D293" s="22">
        <f t="shared" si="33"/>
        <v>920.51916004437294</v>
      </c>
      <c r="E293" s="23">
        <f t="shared" si="34"/>
        <v>-4.9511910640142105</v>
      </c>
      <c r="F293" s="23">
        <f t="shared" si="35"/>
        <v>4.9511910640142105</v>
      </c>
      <c r="H293" s="13"/>
      <c r="I293" s="14"/>
    </row>
    <row r="294" spans="1:9" x14ac:dyDescent="0.3">
      <c r="A294" s="2">
        <v>43697</v>
      </c>
      <c r="B294" s="1">
        <v>52.59</v>
      </c>
      <c r="C294" s="1">
        <f>'Historical Simulation'!D294</f>
        <v>183.81</v>
      </c>
      <c r="D294" s="22">
        <f t="shared" si="33"/>
        <v>925.47035110838715</v>
      </c>
      <c r="E294" s="23">
        <f t="shared" si="34"/>
        <v>-15.712938420161208</v>
      </c>
      <c r="F294" s="23">
        <f t="shared" si="35"/>
        <v>15.712938420161208</v>
      </c>
      <c r="H294" s="13"/>
      <c r="I294" s="14"/>
    </row>
    <row r="295" spans="1:9" x14ac:dyDescent="0.3">
      <c r="A295" s="2">
        <v>43696</v>
      </c>
      <c r="B295" s="1">
        <v>52.587499999999999</v>
      </c>
      <c r="C295" s="1">
        <f>'Historical Simulation'!D295</f>
        <v>186.17</v>
      </c>
      <c r="D295" s="22">
        <f t="shared" si="33"/>
        <v>941.18328952854836</v>
      </c>
      <c r="E295" s="23">
        <f t="shared" si="34"/>
        <v>10.99044642048375</v>
      </c>
      <c r="F295" s="23">
        <f t="shared" si="35"/>
        <v>-10.99044642048375</v>
      </c>
      <c r="H295" s="13"/>
      <c r="I295" s="14"/>
    </row>
    <row r="296" spans="1:9" x14ac:dyDescent="0.3">
      <c r="A296" s="2">
        <v>43693</v>
      </c>
      <c r="B296" s="1">
        <v>51.625</v>
      </c>
      <c r="C296" s="1">
        <f>'Historical Simulation'!D296</f>
        <v>183.7</v>
      </c>
      <c r="D296" s="22">
        <f t="shared" si="33"/>
        <v>930.19284310806461</v>
      </c>
      <c r="E296" s="23">
        <f t="shared" si="34"/>
        <v>0.65783700587815019</v>
      </c>
      <c r="F296" s="23">
        <f t="shared" si="35"/>
        <v>-0.65783700587815019</v>
      </c>
      <c r="H296" s="13"/>
      <c r="I296" s="14"/>
    </row>
    <row r="297" spans="1:9" x14ac:dyDescent="0.3">
      <c r="A297" s="2">
        <v>43692</v>
      </c>
      <c r="B297" s="1">
        <v>50.435000000000002</v>
      </c>
      <c r="C297" s="1">
        <f>'Historical Simulation'!D297</f>
        <v>182.59</v>
      </c>
      <c r="D297" s="22">
        <f t="shared" si="33"/>
        <v>929.53500610218646</v>
      </c>
      <c r="E297" s="23">
        <f t="shared" si="34"/>
        <v>20.585007238584126</v>
      </c>
      <c r="F297" s="23">
        <f t="shared" si="35"/>
        <v>-20.585007238584126</v>
      </c>
      <c r="H297" s="13"/>
      <c r="I297" s="14"/>
    </row>
    <row r="298" spans="1:9" x14ac:dyDescent="0.3">
      <c r="A298" s="2">
        <v>43691</v>
      </c>
      <c r="B298" s="1">
        <v>50.6875</v>
      </c>
      <c r="C298" s="1">
        <f>'Historical Simulation'!D298</f>
        <v>179.71</v>
      </c>
      <c r="D298" s="22">
        <f t="shared" si="33"/>
        <v>908.94999886360233</v>
      </c>
      <c r="E298" s="23">
        <f t="shared" si="34"/>
        <v>-49.3498889095697</v>
      </c>
      <c r="F298" s="23">
        <f t="shared" si="35"/>
        <v>49.3498889095697</v>
      </c>
      <c r="H298" s="13"/>
      <c r="I298" s="14"/>
    </row>
    <row r="299" spans="1:9" x14ac:dyDescent="0.3">
      <c r="A299" s="2">
        <v>43690</v>
      </c>
      <c r="B299" s="1">
        <v>52.2425</v>
      </c>
      <c r="C299" s="1">
        <f>'Historical Simulation'!D299</f>
        <v>188.45</v>
      </c>
      <c r="D299" s="22">
        <f t="shared" si="33"/>
        <v>958.29988777317203</v>
      </c>
      <c r="E299" s="23">
        <f t="shared" si="34"/>
        <v>8.491825835895952</v>
      </c>
      <c r="F299" s="23">
        <f t="shared" si="35"/>
        <v>-8.491825835895952</v>
      </c>
      <c r="H299" s="13"/>
      <c r="I299" s="14"/>
    </row>
    <row r="300" spans="1:9" x14ac:dyDescent="0.3">
      <c r="A300" s="2">
        <v>43689</v>
      </c>
      <c r="B300" s="1">
        <v>50.12</v>
      </c>
      <c r="C300" s="1">
        <f>'Historical Simulation'!D300</f>
        <v>185.37</v>
      </c>
      <c r="D300" s="22">
        <f t="shared" si="33"/>
        <v>949.80806193727608</v>
      </c>
      <c r="E300" s="23">
        <f t="shared" si="34"/>
        <v>-15.77641804589598</v>
      </c>
      <c r="F300" s="23">
        <f t="shared" si="35"/>
        <v>15.77641804589598</v>
      </c>
      <c r="H300" s="13"/>
      <c r="I300" s="14"/>
    </row>
    <row r="301" spans="1:9" x14ac:dyDescent="0.3">
      <c r="A301" s="2">
        <v>43686</v>
      </c>
      <c r="B301" s="1">
        <v>50.247500000000002</v>
      </c>
      <c r="C301" s="1">
        <f>'Historical Simulation'!D301</f>
        <v>187.85</v>
      </c>
      <c r="D301" s="22">
        <f t="shared" si="33"/>
        <v>965.58447998317206</v>
      </c>
      <c r="E301" s="23">
        <f t="shared" si="34"/>
        <v>-11.918463625089771</v>
      </c>
      <c r="F301" s="23">
        <f t="shared" si="35"/>
        <v>11.918463625089771</v>
      </c>
      <c r="H301" s="13"/>
      <c r="I301" s="14"/>
    </row>
    <row r="302" spans="1:9" x14ac:dyDescent="0.3">
      <c r="A302" s="2">
        <v>43685</v>
      </c>
      <c r="B302" s="1">
        <v>50.857500000000002</v>
      </c>
      <c r="C302" s="1">
        <f>'Historical Simulation'!D302</f>
        <v>190.16</v>
      </c>
      <c r="D302" s="22">
        <f t="shared" si="33"/>
        <v>977.50294360826183</v>
      </c>
      <c r="E302" s="23">
        <f t="shared" si="34"/>
        <v>27.12359643127229</v>
      </c>
      <c r="F302" s="23">
        <f t="shared" si="35"/>
        <v>-27.12359643127229</v>
      </c>
      <c r="H302" s="13"/>
      <c r="I302" s="14"/>
    </row>
    <row r="303" spans="1:9" x14ac:dyDescent="0.3">
      <c r="A303" s="2">
        <v>43684</v>
      </c>
      <c r="B303" s="1">
        <v>49.76</v>
      </c>
      <c r="C303" s="1">
        <f>'Historical Simulation'!D303</f>
        <v>185.15</v>
      </c>
      <c r="D303" s="22">
        <f t="shared" si="33"/>
        <v>950.37934717698954</v>
      </c>
      <c r="E303" s="23">
        <f t="shared" si="34"/>
        <v>1.3747648654482418</v>
      </c>
      <c r="F303" s="23">
        <f t="shared" si="35"/>
        <v>-1.3747648654482418</v>
      </c>
      <c r="H303" s="13"/>
      <c r="I303" s="14"/>
    </row>
    <row r="304" spans="1:9" x14ac:dyDescent="0.3">
      <c r="A304" s="2">
        <v>43683</v>
      </c>
      <c r="B304" s="1">
        <v>49.25</v>
      </c>
      <c r="C304" s="1">
        <f>'Historical Simulation'!D304</f>
        <v>184.51</v>
      </c>
      <c r="D304" s="22">
        <f t="shared" si="33"/>
        <v>949.0045823115413</v>
      </c>
      <c r="E304" s="23">
        <f t="shared" si="34"/>
        <v>13.321049800466085</v>
      </c>
      <c r="F304" s="23">
        <f t="shared" si="35"/>
        <v>-13.321049800466085</v>
      </c>
      <c r="H304" s="13"/>
      <c r="I304" s="14"/>
    </row>
    <row r="305" spans="1:9" x14ac:dyDescent="0.3">
      <c r="A305" s="2">
        <v>43682</v>
      </c>
      <c r="B305" s="1">
        <v>48.335000000000001</v>
      </c>
      <c r="C305" s="1">
        <f>'Historical Simulation'!D305</f>
        <v>181.73</v>
      </c>
      <c r="D305" s="22">
        <f t="shared" si="33"/>
        <v>935.68353251107521</v>
      </c>
      <c r="E305" s="23">
        <f t="shared" si="34"/>
        <v>-33.402412910537919</v>
      </c>
      <c r="F305" s="23">
        <f t="shared" si="35"/>
        <v>33.402412910537919</v>
      </c>
      <c r="H305" s="13"/>
      <c r="I305" s="14"/>
    </row>
    <row r="306" spans="1:9" x14ac:dyDescent="0.3">
      <c r="A306" s="2">
        <v>43679</v>
      </c>
      <c r="B306" s="1">
        <v>51.005000000000003</v>
      </c>
      <c r="C306" s="1">
        <f>'Historical Simulation'!D306</f>
        <v>189.02</v>
      </c>
      <c r="D306" s="22">
        <f t="shared" si="33"/>
        <v>969.08594542161313</v>
      </c>
      <c r="E306" s="23">
        <f t="shared" si="34"/>
        <v>-18.447687589659381</v>
      </c>
      <c r="F306" s="23">
        <f t="shared" si="35"/>
        <v>18.447687589659381</v>
      </c>
      <c r="H306" s="13"/>
      <c r="I306" s="14"/>
    </row>
    <row r="307" spans="1:9" x14ac:dyDescent="0.3">
      <c r="A307" s="2">
        <v>43678</v>
      </c>
      <c r="B307" s="1">
        <v>52.107500000000002</v>
      </c>
      <c r="C307" s="1">
        <f>'Historical Simulation'!D307</f>
        <v>192.73</v>
      </c>
      <c r="D307" s="22">
        <f t="shared" si="33"/>
        <v>987.53363301127251</v>
      </c>
      <c r="E307" s="23">
        <f t="shared" si="34"/>
        <v>-3.4640830057169296</v>
      </c>
      <c r="F307" s="23">
        <f t="shared" si="35"/>
        <v>3.4640830057169296</v>
      </c>
      <c r="H307" s="13"/>
      <c r="I307" s="14"/>
    </row>
    <row r="308" spans="1:9" x14ac:dyDescent="0.3">
      <c r="A308" s="2">
        <v>43677</v>
      </c>
      <c r="B308" s="1">
        <v>53.26</v>
      </c>
      <c r="C308" s="1">
        <f>'Historical Simulation'!D308</f>
        <v>194.23</v>
      </c>
      <c r="D308" s="22">
        <f t="shared" si="33"/>
        <v>990.99771601698944</v>
      </c>
      <c r="E308" s="23">
        <f t="shared" si="34"/>
        <v>-24.711645027777763</v>
      </c>
      <c r="F308" s="23">
        <f t="shared" si="35"/>
        <v>24.711645027777763</v>
      </c>
      <c r="H308" s="13"/>
      <c r="I308" s="14"/>
    </row>
    <row r="309" spans="1:9" x14ac:dyDescent="0.3">
      <c r="A309" s="2">
        <v>43676</v>
      </c>
      <c r="B309" s="1">
        <v>52.195</v>
      </c>
      <c r="C309" s="1">
        <f>'Historical Simulation'!D309</f>
        <v>197.04</v>
      </c>
      <c r="D309" s="22">
        <f t="shared" si="33"/>
        <v>1015.7093610447672</v>
      </c>
      <c r="E309" s="23">
        <f t="shared" si="34"/>
        <v>8.5889495901434429</v>
      </c>
      <c r="F309" s="23">
        <f t="shared" si="35"/>
        <v>-8.5889495901434429</v>
      </c>
      <c r="H309" s="13"/>
      <c r="I309" s="14"/>
    </row>
    <row r="310" spans="1:9" x14ac:dyDescent="0.3">
      <c r="A310" s="2">
        <v>43675</v>
      </c>
      <c r="B310" s="1">
        <v>52.42</v>
      </c>
      <c r="C310" s="1">
        <f>'Historical Simulation'!D310</f>
        <v>195.94</v>
      </c>
      <c r="D310" s="22">
        <f t="shared" si="33"/>
        <v>1007.1204114546238</v>
      </c>
      <c r="E310" s="23">
        <f t="shared" si="34"/>
        <v>-28.085500746917432</v>
      </c>
      <c r="F310" s="23">
        <f t="shared" si="35"/>
        <v>28.085500746917432</v>
      </c>
      <c r="H310" s="13"/>
      <c r="I310" s="14"/>
    </row>
    <row r="311" spans="1:9" x14ac:dyDescent="0.3">
      <c r="A311" s="2">
        <v>43672</v>
      </c>
      <c r="B311" s="1">
        <v>51.935000000000002</v>
      </c>
      <c r="C311" s="1">
        <f>'Historical Simulation'!D311</f>
        <v>199.75</v>
      </c>
      <c r="D311" s="22">
        <f t="shared" si="33"/>
        <v>1035.2059122015412</v>
      </c>
      <c r="E311" s="23">
        <f t="shared" si="34"/>
        <v>-7.4033226662368179</v>
      </c>
      <c r="F311" s="23">
        <f t="shared" si="35"/>
        <v>7.4033226662368179</v>
      </c>
      <c r="H311" s="13"/>
      <c r="I311" s="14"/>
    </row>
    <row r="312" spans="1:9" x14ac:dyDescent="0.3">
      <c r="A312" s="2">
        <v>43671</v>
      </c>
      <c r="B312" s="1">
        <v>51.755000000000003</v>
      </c>
      <c r="C312" s="1">
        <f>'Historical Simulation'!D312</f>
        <v>200.71</v>
      </c>
      <c r="D312" s="22">
        <f t="shared" si="33"/>
        <v>1042.609234867778</v>
      </c>
      <c r="E312" s="23">
        <f t="shared" si="34"/>
        <v>-23.944082396325939</v>
      </c>
      <c r="F312" s="23">
        <f t="shared" si="35"/>
        <v>23.944082396325939</v>
      </c>
      <c r="H312" s="13"/>
      <c r="I312" s="14"/>
    </row>
    <row r="313" spans="1:9" x14ac:dyDescent="0.3">
      <c r="A313" s="2">
        <v>43670</v>
      </c>
      <c r="B313" s="1">
        <v>52.167499999999997</v>
      </c>
      <c r="C313" s="1">
        <f>'Historical Simulation'!D313</f>
        <v>204.66</v>
      </c>
      <c r="D313" s="22">
        <f t="shared" si="33"/>
        <v>1066.553317264104</v>
      </c>
      <c r="E313" s="23">
        <f t="shared" si="34"/>
        <v>15.53989767163057</v>
      </c>
      <c r="F313" s="23">
        <f t="shared" si="35"/>
        <v>-15.53989767163057</v>
      </c>
      <c r="H313" s="13"/>
      <c r="I313" s="14"/>
    </row>
    <row r="314" spans="1:9" x14ac:dyDescent="0.3">
      <c r="A314" s="2">
        <v>43669</v>
      </c>
      <c r="B314" s="1">
        <v>52.21</v>
      </c>
      <c r="C314" s="1">
        <f>'Historical Simulation'!D314</f>
        <v>202.36</v>
      </c>
      <c r="D314" s="22">
        <f t="shared" si="33"/>
        <v>1051.0134195924734</v>
      </c>
      <c r="E314" s="23">
        <f t="shared" si="34"/>
        <v>-2.0229936606808678</v>
      </c>
      <c r="F314" s="23">
        <f t="shared" si="35"/>
        <v>2.0229936606808678</v>
      </c>
      <c r="H314" s="13"/>
      <c r="I314" s="14"/>
    </row>
    <row r="315" spans="1:9" x14ac:dyDescent="0.3">
      <c r="A315" s="2">
        <v>43668</v>
      </c>
      <c r="B315" s="1">
        <v>51.805</v>
      </c>
      <c r="C315" s="1">
        <f>'Historical Simulation'!D315</f>
        <v>202.32</v>
      </c>
      <c r="D315" s="22">
        <f t="shared" si="33"/>
        <v>1053.0364132531543</v>
      </c>
      <c r="E315" s="23">
        <f t="shared" si="34"/>
        <v>19.799834887831594</v>
      </c>
      <c r="F315" s="23">
        <f t="shared" si="35"/>
        <v>-19.799834887831594</v>
      </c>
      <c r="H315" s="13"/>
      <c r="I315" s="14"/>
    </row>
    <row r="316" spans="1:9" x14ac:dyDescent="0.3">
      <c r="A316" s="2">
        <v>43665</v>
      </c>
      <c r="B316" s="1">
        <v>50.647500000000001</v>
      </c>
      <c r="C316" s="1">
        <f>'Historical Simulation'!D316</f>
        <v>198.36</v>
      </c>
      <c r="D316" s="22">
        <f t="shared" si="33"/>
        <v>1033.2365783653227</v>
      </c>
      <c r="E316" s="23">
        <f t="shared" si="34"/>
        <v>-11.759991847329729</v>
      </c>
      <c r="F316" s="23">
        <f t="shared" si="35"/>
        <v>11.759991847329729</v>
      </c>
      <c r="H316" s="13"/>
      <c r="I316" s="14"/>
    </row>
    <row r="317" spans="1:9" x14ac:dyDescent="0.3">
      <c r="A317" s="2">
        <v>43664</v>
      </c>
      <c r="B317" s="1">
        <v>51.414999999999999</v>
      </c>
      <c r="C317" s="1">
        <f>'Historical Simulation'!D317</f>
        <v>200.78</v>
      </c>
      <c r="D317" s="22">
        <f t="shared" si="33"/>
        <v>1044.9965702126524</v>
      </c>
      <c r="E317" s="23">
        <f t="shared" si="34"/>
        <v>-10.049129788871141</v>
      </c>
      <c r="F317" s="23">
        <f t="shared" si="35"/>
        <v>10.049129788871141</v>
      </c>
      <c r="H317" s="13"/>
      <c r="I317" s="14"/>
    </row>
    <row r="318" spans="1:9" x14ac:dyDescent="0.3">
      <c r="A318" s="2">
        <v>43663</v>
      </c>
      <c r="B318" s="1">
        <v>50.837499999999999</v>
      </c>
      <c r="C318" s="1">
        <f>'Historical Simulation'!D318</f>
        <v>201.8</v>
      </c>
      <c r="D318" s="22">
        <f t="shared" si="33"/>
        <v>1055.0457000015235</v>
      </c>
      <c r="E318" s="23">
        <f t="shared" si="34"/>
        <v>-11.94519558998195</v>
      </c>
      <c r="F318" s="23">
        <f t="shared" si="35"/>
        <v>11.94519558998195</v>
      </c>
      <c r="H318" s="13"/>
      <c r="I318" s="14"/>
    </row>
    <row r="319" spans="1:9" x14ac:dyDescent="0.3">
      <c r="A319" s="2">
        <v>43662</v>
      </c>
      <c r="B319" s="1">
        <v>51.125</v>
      </c>
      <c r="C319" s="1">
        <f>'Historical Simulation'!D319</f>
        <v>203.84</v>
      </c>
      <c r="D319" s="22">
        <f t="shared" si="33"/>
        <v>1066.9908955915055</v>
      </c>
      <c r="E319" s="23">
        <f t="shared" si="34"/>
        <v>0.53759402335117557</v>
      </c>
      <c r="F319" s="23">
        <f t="shared" si="35"/>
        <v>-0.53759402335117557</v>
      </c>
      <c r="H319" s="13"/>
      <c r="I319" s="14"/>
    </row>
    <row r="320" spans="1:9" x14ac:dyDescent="0.3">
      <c r="A320" s="2">
        <v>43661</v>
      </c>
      <c r="B320" s="1">
        <v>51.302500000000002</v>
      </c>
      <c r="C320" s="1">
        <f>'Historical Simulation'!D320</f>
        <v>203.91</v>
      </c>
      <c r="D320" s="22">
        <f t="shared" si="33"/>
        <v>1066.4533015681543</v>
      </c>
      <c r="E320" s="23">
        <f t="shared" si="34"/>
        <v>-9.0848038006272418</v>
      </c>
      <c r="F320" s="23">
        <f t="shared" si="35"/>
        <v>9.0848038006272418</v>
      </c>
      <c r="H320" s="13"/>
      <c r="I320" s="14"/>
    </row>
    <row r="321" spans="1:9" x14ac:dyDescent="0.3">
      <c r="A321" s="2">
        <v>43658</v>
      </c>
      <c r="B321" s="1">
        <v>50.825000000000003</v>
      </c>
      <c r="C321" s="1">
        <f>'Historical Simulation'!D321</f>
        <v>204.87</v>
      </c>
      <c r="D321" s="22">
        <f t="shared" si="33"/>
        <v>1075.5381053687815</v>
      </c>
      <c r="E321" s="23">
        <f t="shared" si="34"/>
        <v>22.023251729767026</v>
      </c>
      <c r="F321" s="23">
        <f t="shared" si="35"/>
        <v>-22.023251729767026</v>
      </c>
      <c r="H321" s="13"/>
      <c r="I321" s="14"/>
    </row>
    <row r="322" spans="1:9" x14ac:dyDescent="0.3">
      <c r="A322" s="2">
        <v>43657</v>
      </c>
      <c r="B322" s="1">
        <v>50.4375</v>
      </c>
      <c r="C322" s="1">
        <f>'Historical Simulation'!D322</f>
        <v>201.23</v>
      </c>
      <c r="D322" s="22">
        <f t="shared" si="33"/>
        <v>1053.5148536390145</v>
      </c>
      <c r="E322" s="23">
        <f t="shared" si="34"/>
        <v>-7.8868022919712075</v>
      </c>
      <c r="F322" s="23">
        <f t="shared" si="35"/>
        <v>7.8868022919712075</v>
      </c>
      <c r="H322" s="13"/>
      <c r="I322" s="14"/>
    </row>
    <row r="323" spans="1:9" x14ac:dyDescent="0.3">
      <c r="A323" s="2">
        <v>43656</v>
      </c>
      <c r="B323" s="1">
        <v>50.807499999999997</v>
      </c>
      <c r="C323" s="1">
        <f>'Historical Simulation'!D323</f>
        <v>202.73</v>
      </c>
      <c r="D323" s="22">
        <f t="shared" si="33"/>
        <v>1061.4016559309857</v>
      </c>
      <c r="E323" s="23">
        <f t="shared" si="34"/>
        <v>20.603283121666664</v>
      </c>
      <c r="F323" s="23">
        <f t="shared" si="35"/>
        <v>-20.603283121666664</v>
      </c>
      <c r="H323" s="13"/>
      <c r="I323" s="14"/>
    </row>
    <row r="324" spans="1:9" x14ac:dyDescent="0.3">
      <c r="A324" s="2">
        <v>43655</v>
      </c>
      <c r="B324" s="1">
        <v>50.31</v>
      </c>
      <c r="C324" s="1">
        <f>'Historical Simulation'!D324</f>
        <v>199.21</v>
      </c>
      <c r="D324" s="22">
        <f t="shared" si="33"/>
        <v>1040.7983728093191</v>
      </c>
      <c r="E324" s="23">
        <f t="shared" si="34"/>
        <v>21.225657706415859</v>
      </c>
      <c r="F324" s="23">
        <f t="shared" si="35"/>
        <v>-21.225657706415859</v>
      </c>
      <c r="H324" s="13"/>
      <c r="I324" s="14"/>
    </row>
    <row r="325" spans="1:9" x14ac:dyDescent="0.3">
      <c r="A325" s="2">
        <v>43654</v>
      </c>
      <c r="B325" s="1">
        <v>50.005000000000003</v>
      </c>
      <c r="C325" s="1">
        <f>'Historical Simulation'!D325</f>
        <v>195.76</v>
      </c>
      <c r="D325" s="22">
        <f t="shared" si="33"/>
        <v>1019.5727151029032</v>
      </c>
      <c r="E325" s="23">
        <f t="shared" si="34"/>
        <v>1.6914654384406731</v>
      </c>
      <c r="F325" s="23">
        <f t="shared" si="35"/>
        <v>-1.6914654384406731</v>
      </c>
      <c r="H325" s="13"/>
      <c r="I325" s="14"/>
    </row>
    <row r="326" spans="1:9" x14ac:dyDescent="0.3">
      <c r="A326" s="2">
        <v>43651</v>
      </c>
      <c r="B326" s="1">
        <v>51.057499999999997</v>
      </c>
      <c r="C326" s="1">
        <f>'Historical Simulation'!D326</f>
        <v>196.4</v>
      </c>
      <c r="D326" s="22">
        <f t="shared" ref="D326:D389" si="37">$M$16*B326+(1-$M$16)*C326</f>
        <v>1017.8812496644625</v>
      </c>
      <c r="E326" s="23">
        <f t="shared" ref="E326:E389" si="38">D326-D327</f>
        <v>-5.067288257024984</v>
      </c>
      <c r="F326" s="23">
        <f t="shared" ref="F326:F389" si="39">-E326</f>
        <v>5.067288257024984</v>
      </c>
      <c r="H326" s="13"/>
      <c r="I326" s="14"/>
    </row>
    <row r="327" spans="1:9" x14ac:dyDescent="0.3">
      <c r="A327" s="2">
        <v>43650</v>
      </c>
      <c r="B327" s="1">
        <v>51.102499999999999</v>
      </c>
      <c r="C327" s="1">
        <f>'Historical Simulation'!D327</f>
        <v>197.2</v>
      </c>
      <c r="D327" s="22">
        <f t="shared" si="37"/>
        <v>1022.9485379214875</v>
      </c>
      <c r="E327" s="23">
        <f t="shared" si="38"/>
        <v>0</v>
      </c>
      <c r="F327" s="23">
        <f t="shared" si="39"/>
        <v>0</v>
      </c>
      <c r="H327" s="13"/>
      <c r="I327" s="14"/>
    </row>
    <row r="328" spans="1:9" x14ac:dyDescent="0.3">
      <c r="A328" s="2">
        <v>43649</v>
      </c>
      <c r="B328" s="1">
        <v>51.102499999999999</v>
      </c>
      <c r="C328" s="1">
        <f>'Historical Simulation'!D328</f>
        <v>197.2</v>
      </c>
      <c r="D328" s="22">
        <f t="shared" si="37"/>
        <v>1022.9485379214875</v>
      </c>
      <c r="E328" s="23">
        <f t="shared" si="38"/>
        <v>12.26062661921128</v>
      </c>
      <c r="F328" s="23">
        <f t="shared" si="39"/>
        <v>-12.26062661921128</v>
      </c>
      <c r="H328" s="13"/>
      <c r="I328" s="14"/>
    </row>
    <row r="329" spans="1:9" x14ac:dyDescent="0.3">
      <c r="A329" s="2">
        <v>43648</v>
      </c>
      <c r="B329" s="1">
        <v>50.682499999999997</v>
      </c>
      <c r="C329" s="1">
        <f>'Historical Simulation'!D329</f>
        <v>195</v>
      </c>
      <c r="D329" s="22">
        <f t="shared" si="37"/>
        <v>1010.6879113022762</v>
      </c>
      <c r="E329" s="23">
        <f t="shared" si="38"/>
        <v>11.636723812222272</v>
      </c>
      <c r="F329" s="23">
        <f t="shared" si="39"/>
        <v>-11.636723812222272</v>
      </c>
      <c r="H329" s="13"/>
      <c r="I329" s="14"/>
    </row>
    <row r="330" spans="1:9" x14ac:dyDescent="0.3">
      <c r="A330" s="2">
        <v>43647</v>
      </c>
      <c r="B330" s="1">
        <v>50.387500000000003</v>
      </c>
      <c r="C330" s="1">
        <f>'Historical Simulation'!D330</f>
        <v>193</v>
      </c>
      <c r="D330" s="22">
        <f t="shared" si="37"/>
        <v>999.05118749005396</v>
      </c>
      <c r="E330" s="23">
        <f t="shared" si="38"/>
        <v>-5.1292239645699738</v>
      </c>
      <c r="F330" s="23">
        <f t="shared" si="39"/>
        <v>5.1292239645699738</v>
      </c>
      <c r="H330" s="13"/>
      <c r="I330" s="14"/>
    </row>
    <row r="331" spans="1:9" x14ac:dyDescent="0.3">
      <c r="A331" s="2">
        <v>43644</v>
      </c>
      <c r="B331" s="1">
        <v>49.48</v>
      </c>
      <c r="C331" s="1">
        <f>'Historical Simulation'!D331</f>
        <v>193</v>
      </c>
      <c r="D331" s="22">
        <f t="shared" si="37"/>
        <v>1004.1804114546239</v>
      </c>
      <c r="E331" s="23">
        <f t="shared" si="38"/>
        <v>25.853808021899908</v>
      </c>
      <c r="F331" s="23">
        <f t="shared" si="39"/>
        <v>-25.853808021899908</v>
      </c>
      <c r="H331" s="13"/>
      <c r="I331" s="14"/>
    </row>
    <row r="332" spans="1:9" x14ac:dyDescent="0.3">
      <c r="A332" s="2">
        <v>43643</v>
      </c>
      <c r="B332" s="1">
        <v>49.935000000000002</v>
      </c>
      <c r="C332" s="1">
        <f>'Historical Simulation'!D332</f>
        <v>189.5</v>
      </c>
      <c r="D332" s="22">
        <f t="shared" si="37"/>
        <v>978.32660343272403</v>
      </c>
      <c r="E332" s="23">
        <f t="shared" si="38"/>
        <v>12.324529426200684</v>
      </c>
      <c r="F332" s="23">
        <f t="shared" si="39"/>
        <v>-12.324529426200684</v>
      </c>
      <c r="H332" s="13"/>
      <c r="I332" s="14"/>
    </row>
    <row r="333" spans="1:9" x14ac:dyDescent="0.3">
      <c r="A333" s="2">
        <v>43642</v>
      </c>
      <c r="B333" s="1">
        <v>49.95</v>
      </c>
      <c r="C333" s="1">
        <f>'Historical Simulation'!D333</f>
        <v>187.66</v>
      </c>
      <c r="D333" s="22">
        <f t="shared" si="37"/>
        <v>966.00207400652334</v>
      </c>
      <c r="E333" s="23">
        <f t="shared" si="38"/>
        <v>-13.826433741846017</v>
      </c>
      <c r="F333" s="23">
        <f t="shared" si="39"/>
        <v>13.826433741846017</v>
      </c>
      <c r="H333" s="13"/>
      <c r="I333" s="14"/>
    </row>
    <row r="334" spans="1:9" x14ac:dyDescent="0.3">
      <c r="A334" s="2">
        <v>43641</v>
      </c>
      <c r="B334" s="1">
        <v>48.892499999999998</v>
      </c>
      <c r="C334" s="1">
        <f>'Historical Simulation'!D334</f>
        <v>188.84</v>
      </c>
      <c r="D334" s="22">
        <f t="shared" si="37"/>
        <v>979.82850774836936</v>
      </c>
      <c r="E334" s="23">
        <f t="shared" si="38"/>
        <v>-20.758502560268767</v>
      </c>
      <c r="F334" s="23">
        <f t="shared" si="39"/>
        <v>20.758502560268767</v>
      </c>
      <c r="H334" s="13"/>
      <c r="I334" s="14"/>
    </row>
    <row r="335" spans="1:9" x14ac:dyDescent="0.3">
      <c r="A335" s="2">
        <v>43640</v>
      </c>
      <c r="B335" s="1">
        <v>49.645000000000003</v>
      </c>
      <c r="C335" s="1">
        <f>'Historical Simulation'!D335</f>
        <v>192.6</v>
      </c>
      <c r="D335" s="22">
        <f t="shared" si="37"/>
        <v>1000.5870103086381</v>
      </c>
      <c r="E335" s="23">
        <f t="shared" si="38"/>
        <v>9.994576514050209</v>
      </c>
      <c r="F335" s="23">
        <f t="shared" si="39"/>
        <v>-9.994576514050209</v>
      </c>
      <c r="H335" s="13"/>
      <c r="I335" s="14"/>
    </row>
    <row r="336" spans="1:9" x14ac:dyDescent="0.3">
      <c r="A336" s="2">
        <v>43637</v>
      </c>
      <c r="B336" s="1">
        <v>49.695</v>
      </c>
      <c r="C336" s="1">
        <f>'Historical Simulation'!D336</f>
        <v>191.14</v>
      </c>
      <c r="D336" s="22">
        <f t="shared" si="37"/>
        <v>990.59243379458792</v>
      </c>
      <c r="E336" s="23">
        <f t="shared" si="38"/>
        <v>11.670626619211475</v>
      </c>
      <c r="F336" s="23">
        <f t="shared" si="39"/>
        <v>-11.670626619211475</v>
      </c>
      <c r="H336" s="13"/>
      <c r="I336" s="14"/>
    </row>
    <row r="337" spans="1:9" x14ac:dyDescent="0.3">
      <c r="A337" s="2">
        <v>43636</v>
      </c>
      <c r="B337" s="1">
        <v>49.865000000000002</v>
      </c>
      <c r="C337" s="1">
        <f>'Historical Simulation'!D337</f>
        <v>189.53</v>
      </c>
      <c r="D337" s="22">
        <f t="shared" si="37"/>
        <v>978.92180717537644</v>
      </c>
      <c r="E337" s="23">
        <f t="shared" si="38"/>
        <v>11.389991847329838</v>
      </c>
      <c r="F337" s="23">
        <f t="shared" si="39"/>
        <v>-11.389991847329838</v>
      </c>
      <c r="H337" s="13"/>
      <c r="I337" s="14"/>
    </row>
    <row r="338" spans="1:9" x14ac:dyDescent="0.3">
      <c r="A338" s="2">
        <v>43635</v>
      </c>
      <c r="B338" s="1">
        <v>49.467500000000001</v>
      </c>
      <c r="C338" s="1">
        <f>'Historical Simulation'!D338</f>
        <v>187.48</v>
      </c>
      <c r="D338" s="22">
        <f t="shared" si="37"/>
        <v>967.5318153280466</v>
      </c>
      <c r="E338" s="23">
        <f t="shared" si="38"/>
        <v>-5.7659716254123623</v>
      </c>
      <c r="F338" s="23">
        <f t="shared" si="39"/>
        <v>5.7659716254123623</v>
      </c>
      <c r="H338" s="13"/>
      <c r="I338" s="14"/>
    </row>
    <row r="339" spans="1:9" x14ac:dyDescent="0.3">
      <c r="A339" s="2">
        <v>43634</v>
      </c>
      <c r="B339" s="1">
        <v>49.612499999999997</v>
      </c>
      <c r="C339" s="1">
        <f>'Historical Simulation'!D339</f>
        <v>188.47</v>
      </c>
      <c r="D339" s="22">
        <f t="shared" si="37"/>
        <v>973.29778695345897</v>
      </c>
      <c r="E339" s="23">
        <f t="shared" si="38"/>
        <v>-10.035422876559096</v>
      </c>
      <c r="F339" s="23">
        <f t="shared" si="39"/>
        <v>10.035422876559096</v>
      </c>
      <c r="H339" s="13"/>
      <c r="I339" s="14"/>
    </row>
    <row r="340" spans="1:9" x14ac:dyDescent="0.3">
      <c r="A340" s="2">
        <v>43633</v>
      </c>
      <c r="B340" s="1">
        <v>48.472499999999997</v>
      </c>
      <c r="C340" s="1">
        <f>'Historical Simulation'!D340</f>
        <v>189.01</v>
      </c>
      <c r="D340" s="22">
        <f t="shared" si="37"/>
        <v>983.33320983001806</v>
      </c>
      <c r="E340" s="23">
        <f t="shared" si="38"/>
        <v>49.462686675573536</v>
      </c>
      <c r="F340" s="23">
        <f t="shared" si="39"/>
        <v>-49.462686675573536</v>
      </c>
      <c r="H340" s="13"/>
      <c r="I340" s="14"/>
    </row>
    <row r="341" spans="1:9" x14ac:dyDescent="0.3">
      <c r="A341" s="2">
        <v>43630</v>
      </c>
      <c r="B341" s="1">
        <v>48.185000000000002</v>
      </c>
      <c r="C341" s="1">
        <f>'Historical Simulation'!D341</f>
        <v>181.33</v>
      </c>
      <c r="D341" s="22">
        <f t="shared" si="37"/>
        <v>933.87052315444453</v>
      </c>
      <c r="E341" s="23">
        <f t="shared" si="38"/>
        <v>27.669207659229187</v>
      </c>
      <c r="F341" s="23">
        <f t="shared" si="39"/>
        <v>-27.669207659229187</v>
      </c>
      <c r="H341" s="13"/>
      <c r="I341" s="14"/>
    </row>
    <row r="342" spans="1:9" x14ac:dyDescent="0.3">
      <c r="A342" s="2">
        <v>43629</v>
      </c>
      <c r="B342" s="1">
        <v>48.537500000000001</v>
      </c>
      <c r="C342" s="1">
        <f>'Historical Simulation'!D342</f>
        <v>177.47</v>
      </c>
      <c r="D342" s="22">
        <f t="shared" si="37"/>
        <v>906.20131549521534</v>
      </c>
      <c r="E342" s="23">
        <f t="shared" si="38"/>
        <v>16.220971320717126</v>
      </c>
      <c r="F342" s="23">
        <f t="shared" si="39"/>
        <v>-16.220971320717126</v>
      </c>
      <c r="H342" s="13"/>
      <c r="I342" s="14"/>
    </row>
    <row r="343" spans="1:9" x14ac:dyDescent="0.3">
      <c r="A343" s="2">
        <v>43628</v>
      </c>
      <c r="B343" s="1">
        <v>48.547499999999999</v>
      </c>
      <c r="C343" s="1">
        <f>'Historical Simulation'!D343</f>
        <v>175.04</v>
      </c>
      <c r="D343" s="22">
        <f t="shared" si="37"/>
        <v>889.98034417449821</v>
      </c>
      <c r="E343" s="23">
        <f t="shared" si="38"/>
        <v>-19.479168724050169</v>
      </c>
      <c r="F343" s="23">
        <f t="shared" si="39"/>
        <v>19.479168724050169</v>
      </c>
      <c r="H343" s="13"/>
      <c r="I343" s="14"/>
    </row>
    <row r="344" spans="1:9" x14ac:dyDescent="0.3">
      <c r="A344" s="2">
        <v>43627</v>
      </c>
      <c r="B344" s="1">
        <v>48.702500000000001</v>
      </c>
      <c r="C344" s="1">
        <f>'Historical Simulation'!D344</f>
        <v>178.1</v>
      </c>
      <c r="D344" s="22">
        <f t="shared" si="37"/>
        <v>909.45951289854838</v>
      </c>
      <c r="E344" s="23">
        <f t="shared" si="38"/>
        <v>18.667671893709667</v>
      </c>
      <c r="F344" s="23">
        <f t="shared" si="39"/>
        <v>-18.667671893709667</v>
      </c>
      <c r="H344" s="13"/>
      <c r="I344" s="14"/>
    </row>
    <row r="345" spans="1:9" x14ac:dyDescent="0.3">
      <c r="A345" s="2">
        <v>43626</v>
      </c>
      <c r="B345" s="1">
        <v>48.145000000000003</v>
      </c>
      <c r="C345" s="1">
        <f>'Historical Simulation'!D345</f>
        <v>174.82</v>
      </c>
      <c r="D345" s="22">
        <f t="shared" si="37"/>
        <v>890.79184100483872</v>
      </c>
      <c r="E345" s="23">
        <f t="shared" si="38"/>
        <v>6.3448822803761686</v>
      </c>
      <c r="F345" s="23">
        <f t="shared" si="39"/>
        <v>-6.3448822803761686</v>
      </c>
      <c r="H345" s="13"/>
      <c r="I345" s="14"/>
    </row>
    <row r="346" spans="1:9" x14ac:dyDescent="0.3">
      <c r="A346" s="2">
        <v>43623</v>
      </c>
      <c r="B346" s="1">
        <v>47.537500000000001</v>
      </c>
      <c r="C346" s="1">
        <f>'Historical Simulation'!D346</f>
        <v>173.35</v>
      </c>
      <c r="D346" s="22">
        <f t="shared" si="37"/>
        <v>884.44695872446255</v>
      </c>
      <c r="E346" s="23">
        <f t="shared" si="38"/>
        <v>26.42709175295704</v>
      </c>
      <c r="F346" s="23">
        <f t="shared" si="39"/>
        <v>-26.42709175295704</v>
      </c>
      <c r="H346" s="13"/>
      <c r="I346" s="14"/>
    </row>
    <row r="347" spans="1:9" x14ac:dyDescent="0.3">
      <c r="A347" s="2">
        <v>43622</v>
      </c>
      <c r="B347" s="1">
        <v>46.305</v>
      </c>
      <c r="C347" s="1">
        <f>'Historical Simulation'!D347</f>
        <v>168.33</v>
      </c>
      <c r="D347" s="22">
        <f t="shared" si="37"/>
        <v>858.01986697150551</v>
      </c>
      <c r="E347" s="23">
        <f t="shared" si="38"/>
        <v>-2.7225390875269113</v>
      </c>
      <c r="F347" s="23">
        <f t="shared" si="39"/>
        <v>2.7225390875269113</v>
      </c>
      <c r="H347" s="13"/>
      <c r="I347" s="14"/>
    </row>
    <row r="348" spans="1:9" x14ac:dyDescent="0.3">
      <c r="A348" s="2">
        <v>43621</v>
      </c>
      <c r="B348" s="1">
        <v>45.634999999999998</v>
      </c>
      <c r="C348" s="1">
        <f>'Historical Simulation'!D348</f>
        <v>168.17</v>
      </c>
      <c r="D348" s="22">
        <f t="shared" si="37"/>
        <v>860.74240605903242</v>
      </c>
      <c r="E348" s="23">
        <f t="shared" si="38"/>
        <v>0.3591379415412348</v>
      </c>
      <c r="F348" s="23">
        <f t="shared" si="39"/>
        <v>-0.3591379415412348</v>
      </c>
      <c r="H348" s="13"/>
      <c r="I348" s="14"/>
    </row>
    <row r="349" spans="1:9" x14ac:dyDescent="0.3">
      <c r="A349" s="2">
        <v>43620</v>
      </c>
      <c r="B349" s="1">
        <v>44.91</v>
      </c>
      <c r="C349" s="1">
        <f>'Historical Simulation'!D349</f>
        <v>167.5</v>
      </c>
      <c r="D349" s="22">
        <f t="shared" si="37"/>
        <v>860.38326811749118</v>
      </c>
      <c r="E349" s="23">
        <f t="shared" si="38"/>
        <v>13.325846057813692</v>
      </c>
      <c r="F349" s="23">
        <f t="shared" si="39"/>
        <v>-13.325846057813692</v>
      </c>
      <c r="H349" s="13"/>
      <c r="I349" s="14"/>
    </row>
    <row r="350" spans="1:9" x14ac:dyDescent="0.3">
      <c r="A350" s="2">
        <v>43619</v>
      </c>
      <c r="B350" s="1">
        <v>43.325000000000003</v>
      </c>
      <c r="C350" s="1">
        <f>'Historical Simulation'!D350</f>
        <v>164.15</v>
      </c>
      <c r="D350" s="22">
        <f t="shared" si="37"/>
        <v>847.05742205967749</v>
      </c>
      <c r="E350" s="23">
        <f t="shared" si="38"/>
        <v>-86.104111960053956</v>
      </c>
      <c r="F350" s="23">
        <f t="shared" si="39"/>
        <v>86.104111960053956</v>
      </c>
      <c r="H350" s="13"/>
      <c r="I350" s="14"/>
    </row>
    <row r="351" spans="1:9" x14ac:dyDescent="0.3">
      <c r="A351" s="2">
        <v>43616</v>
      </c>
      <c r="B351" s="1">
        <v>43.767499999999998</v>
      </c>
      <c r="C351" s="1">
        <f>'Historical Simulation'!D351</f>
        <v>177.47</v>
      </c>
      <c r="D351" s="22">
        <f t="shared" si="37"/>
        <v>933.16153401973145</v>
      </c>
      <c r="E351" s="23">
        <f t="shared" si="38"/>
        <v>-32.288267121021363</v>
      </c>
      <c r="F351" s="23">
        <f t="shared" si="39"/>
        <v>32.288267121021363</v>
      </c>
      <c r="H351" s="13"/>
      <c r="I351" s="14"/>
    </row>
    <row r="352" spans="1:9" x14ac:dyDescent="0.3">
      <c r="A352" s="2">
        <v>43615</v>
      </c>
      <c r="B352" s="1">
        <v>44.575000000000003</v>
      </c>
      <c r="C352" s="1">
        <f>'Historical Simulation'!D352</f>
        <v>183.01</v>
      </c>
      <c r="D352" s="22">
        <f t="shared" si="37"/>
        <v>965.44980114075281</v>
      </c>
      <c r="E352" s="23">
        <f t="shared" si="38"/>
        <v>4.1547020816489066</v>
      </c>
      <c r="F352" s="23">
        <f t="shared" si="39"/>
        <v>-4.1547020816489066</v>
      </c>
      <c r="H352" s="13"/>
      <c r="I352" s="14"/>
    </row>
    <row r="353" spans="1:9" x14ac:dyDescent="0.3">
      <c r="A353" s="2">
        <v>43614</v>
      </c>
      <c r="B353" s="1">
        <v>44.344999999999999</v>
      </c>
      <c r="C353" s="1">
        <f>'Historical Simulation'!D353</f>
        <v>182.19</v>
      </c>
      <c r="D353" s="22">
        <f t="shared" si="37"/>
        <v>961.2950990591039</v>
      </c>
      <c r="E353" s="23">
        <f t="shared" si="38"/>
        <v>-12.901261391093385</v>
      </c>
      <c r="F353" s="23">
        <f t="shared" si="39"/>
        <v>12.901261391093385</v>
      </c>
      <c r="H353" s="13"/>
      <c r="I353" s="14"/>
    </row>
    <row r="354" spans="1:9" x14ac:dyDescent="0.3">
      <c r="A354" s="2">
        <v>43613</v>
      </c>
      <c r="B354" s="1">
        <v>44.557499999999997</v>
      </c>
      <c r="C354" s="1">
        <f>'Historical Simulation'!D354</f>
        <v>184.31</v>
      </c>
      <c r="D354" s="22">
        <f t="shared" si="37"/>
        <v>974.19636045019729</v>
      </c>
      <c r="E354" s="23">
        <f t="shared" si="38"/>
        <v>22.664748560107455</v>
      </c>
      <c r="F354" s="23">
        <f t="shared" si="39"/>
        <v>-22.664748560107455</v>
      </c>
      <c r="H354" s="13"/>
      <c r="I354" s="14"/>
    </row>
    <row r="355" spans="1:9" x14ac:dyDescent="0.3">
      <c r="A355" s="2">
        <v>43612</v>
      </c>
      <c r="B355" s="1">
        <v>44.7425</v>
      </c>
      <c r="C355" s="1">
        <f>'Historical Simulation'!D355</f>
        <v>181.06</v>
      </c>
      <c r="D355" s="22">
        <f t="shared" si="37"/>
        <v>951.53161189008983</v>
      </c>
      <c r="E355" s="23">
        <f t="shared" si="38"/>
        <v>0</v>
      </c>
      <c r="F355" s="23">
        <f t="shared" si="39"/>
        <v>0</v>
      </c>
      <c r="H355" s="13"/>
      <c r="I355" s="14"/>
    </row>
    <row r="356" spans="1:9" x14ac:dyDescent="0.3">
      <c r="A356" s="2">
        <v>43609</v>
      </c>
      <c r="B356" s="1">
        <v>44.7425</v>
      </c>
      <c r="C356" s="1">
        <f>'Historical Simulation'!D356</f>
        <v>181.06</v>
      </c>
      <c r="D356" s="22">
        <f t="shared" si="37"/>
        <v>951.53161189008983</v>
      </c>
      <c r="E356" s="23">
        <f t="shared" si="38"/>
        <v>2.2388635671147767</v>
      </c>
      <c r="F356" s="23">
        <f t="shared" si="39"/>
        <v>-2.2388635671147767</v>
      </c>
      <c r="H356" s="13"/>
      <c r="I356" s="14"/>
    </row>
    <row r="357" spans="1:9" x14ac:dyDescent="0.3">
      <c r="A357" s="2">
        <v>43608</v>
      </c>
      <c r="B357" s="1">
        <v>44.914999999999999</v>
      </c>
      <c r="C357" s="1">
        <f>'Historical Simulation'!D357</f>
        <v>180.87</v>
      </c>
      <c r="D357" s="22">
        <f t="shared" si="37"/>
        <v>949.29274832297506</v>
      </c>
      <c r="E357" s="23">
        <f t="shared" si="38"/>
        <v>-25.192977355340417</v>
      </c>
      <c r="F357" s="23">
        <f t="shared" si="39"/>
        <v>25.192977355340417</v>
      </c>
      <c r="H357" s="13"/>
      <c r="I357" s="14"/>
    </row>
    <row r="358" spans="1:9" x14ac:dyDescent="0.3">
      <c r="A358" s="2">
        <v>43607</v>
      </c>
      <c r="B358" s="1">
        <v>45.695</v>
      </c>
      <c r="C358" s="1">
        <f>'Historical Simulation'!D358</f>
        <v>185.32</v>
      </c>
      <c r="D358" s="22">
        <f t="shared" si="37"/>
        <v>974.48572567831548</v>
      </c>
      <c r="E358" s="23">
        <f t="shared" si="38"/>
        <v>8.7237144555914483</v>
      </c>
      <c r="F358" s="23">
        <f t="shared" si="39"/>
        <v>-8.7237144555914483</v>
      </c>
      <c r="H358" s="13"/>
      <c r="I358" s="14"/>
    </row>
    <row r="359" spans="1:9" x14ac:dyDescent="0.3">
      <c r="A359" s="2">
        <v>43606</v>
      </c>
      <c r="B359" s="1">
        <v>46.65</v>
      </c>
      <c r="C359" s="1">
        <f>'Historical Simulation'!D359</f>
        <v>184.82</v>
      </c>
      <c r="D359" s="22">
        <f t="shared" si="37"/>
        <v>965.76201122272403</v>
      </c>
      <c r="E359" s="23">
        <f t="shared" si="38"/>
        <v>9.0096157539246633</v>
      </c>
      <c r="F359" s="23">
        <f t="shared" si="39"/>
        <v>-9.0096157539246633</v>
      </c>
      <c r="H359" s="13"/>
      <c r="I359" s="14"/>
    </row>
    <row r="360" spans="1:9" x14ac:dyDescent="0.3">
      <c r="A360" s="2">
        <v>43605</v>
      </c>
      <c r="B360" s="1">
        <v>45.772500000000001</v>
      </c>
      <c r="C360" s="1">
        <f>'Historical Simulation'!D360</f>
        <v>182.72</v>
      </c>
      <c r="D360" s="22">
        <f t="shared" si="37"/>
        <v>956.75239546879936</v>
      </c>
      <c r="E360" s="23">
        <f t="shared" si="38"/>
        <v>-8.8113712627421137</v>
      </c>
      <c r="F360" s="23">
        <f t="shared" si="39"/>
        <v>8.8113712627421137</v>
      </c>
      <c r="H360" s="13"/>
      <c r="I360" s="14"/>
    </row>
    <row r="361" spans="1:9" x14ac:dyDescent="0.3">
      <c r="A361" s="2">
        <v>43602</v>
      </c>
      <c r="B361" s="1">
        <v>47.25</v>
      </c>
      <c r="C361" s="1">
        <f>'Historical Simulation'!D361</f>
        <v>185.3</v>
      </c>
      <c r="D361" s="22">
        <f t="shared" si="37"/>
        <v>965.56376673154148</v>
      </c>
      <c r="E361" s="23">
        <f t="shared" si="38"/>
        <v>-9.7158931456630171</v>
      </c>
      <c r="F361" s="23">
        <f t="shared" si="39"/>
        <v>9.7158931456630171</v>
      </c>
      <c r="H361" s="13"/>
      <c r="I361" s="14"/>
    </row>
    <row r="362" spans="1:9" x14ac:dyDescent="0.3">
      <c r="A362" s="2">
        <v>43601</v>
      </c>
      <c r="B362" s="1">
        <v>47.52</v>
      </c>
      <c r="C362" s="1">
        <f>'Historical Simulation'!D362</f>
        <v>186.99</v>
      </c>
      <c r="D362" s="22">
        <f t="shared" si="37"/>
        <v>975.27965987720449</v>
      </c>
      <c r="E362" s="23">
        <f t="shared" si="38"/>
        <v>5.9763948066666899</v>
      </c>
      <c r="F362" s="23">
        <f t="shared" si="39"/>
        <v>-5.9763948066666899</v>
      </c>
      <c r="H362" s="13"/>
      <c r="I362" s="14"/>
    </row>
    <row r="363" spans="1:9" x14ac:dyDescent="0.3">
      <c r="A363" s="2">
        <v>43600</v>
      </c>
      <c r="B363" s="1">
        <v>47.73</v>
      </c>
      <c r="C363" s="1">
        <f>'Historical Simulation'!D363</f>
        <v>186.27</v>
      </c>
      <c r="D363" s="22">
        <f t="shared" si="37"/>
        <v>969.3032650705378</v>
      </c>
      <c r="E363" s="23">
        <f t="shared" si="38"/>
        <v>33.658886196953631</v>
      </c>
      <c r="F363" s="23">
        <f t="shared" si="39"/>
        <v>-33.658886196953631</v>
      </c>
      <c r="H363" s="13"/>
      <c r="I363" s="14"/>
    </row>
    <row r="364" spans="1:9" x14ac:dyDescent="0.3">
      <c r="A364" s="2">
        <v>43599</v>
      </c>
      <c r="B364" s="1">
        <v>47.164999999999999</v>
      </c>
      <c r="C364" s="1">
        <f>'Historical Simulation'!D364</f>
        <v>180.73</v>
      </c>
      <c r="D364" s="22">
        <f t="shared" si="37"/>
        <v>935.64437887358417</v>
      </c>
      <c r="E364" s="23">
        <f t="shared" si="38"/>
        <v>-9.5423978239786038</v>
      </c>
      <c r="F364" s="23">
        <f t="shared" si="39"/>
        <v>9.5423978239786038</v>
      </c>
      <c r="H364" s="13"/>
      <c r="I364" s="14"/>
    </row>
    <row r="365" spans="1:9" x14ac:dyDescent="0.3">
      <c r="A365" s="2">
        <v>43598</v>
      </c>
      <c r="B365" s="1">
        <v>46.43</v>
      </c>
      <c r="C365" s="1">
        <f>'Historical Simulation'!D365</f>
        <v>181.54</v>
      </c>
      <c r="D365" s="22">
        <f t="shared" si="37"/>
        <v>945.18677669756278</v>
      </c>
      <c r="E365" s="23">
        <f t="shared" si="38"/>
        <v>-29.040767273369283</v>
      </c>
      <c r="F365" s="23">
        <f t="shared" si="39"/>
        <v>29.040767273369283</v>
      </c>
      <c r="H365" s="13"/>
      <c r="I365" s="14"/>
    </row>
    <row r="366" spans="1:9" x14ac:dyDescent="0.3">
      <c r="A366" s="2">
        <v>43595</v>
      </c>
      <c r="B366" s="1">
        <v>49.295000000000002</v>
      </c>
      <c r="C366" s="1">
        <f>'Historical Simulation'!D366</f>
        <v>188.34</v>
      </c>
      <c r="D366" s="22">
        <f t="shared" si="37"/>
        <v>974.22754397093206</v>
      </c>
      <c r="E366" s="23">
        <f t="shared" si="38"/>
        <v>2.9399215202507776</v>
      </c>
      <c r="F366" s="23">
        <f t="shared" si="39"/>
        <v>-2.9399215202507776</v>
      </c>
      <c r="H366" s="13"/>
      <c r="I366" s="14"/>
    </row>
    <row r="367" spans="1:9" x14ac:dyDescent="0.3">
      <c r="A367" s="2">
        <v>43594</v>
      </c>
      <c r="B367" s="1">
        <v>50.18</v>
      </c>
      <c r="C367" s="1">
        <f>'Historical Simulation'!D367</f>
        <v>188.65</v>
      </c>
      <c r="D367" s="22">
        <f t="shared" si="37"/>
        <v>971.28762245068128</v>
      </c>
      <c r="E367" s="23">
        <f t="shared" si="38"/>
        <v>-2.8399529121502383</v>
      </c>
      <c r="F367" s="23">
        <f t="shared" si="39"/>
        <v>2.8399529121502383</v>
      </c>
      <c r="H367" s="13"/>
      <c r="I367" s="14"/>
    </row>
    <row r="368" spans="1:9" x14ac:dyDescent="0.3">
      <c r="A368" s="2">
        <v>43593</v>
      </c>
      <c r="B368" s="1">
        <v>50.725000000000001</v>
      </c>
      <c r="C368" s="1">
        <f>'Historical Simulation'!D368</f>
        <v>189.54</v>
      </c>
      <c r="D368" s="22">
        <f t="shared" si="37"/>
        <v>974.12757536283152</v>
      </c>
      <c r="E368" s="23">
        <f t="shared" si="38"/>
        <v>-1.5864889823657222</v>
      </c>
      <c r="F368" s="23">
        <f t="shared" si="39"/>
        <v>1.5864889823657222</v>
      </c>
      <c r="H368" s="13"/>
      <c r="I368" s="14"/>
    </row>
    <row r="369" spans="1:9" x14ac:dyDescent="0.3">
      <c r="A369" s="2">
        <v>43592</v>
      </c>
      <c r="B369" s="1">
        <v>50.715000000000003</v>
      </c>
      <c r="C369" s="1">
        <f>'Historical Simulation'!D369</f>
        <v>189.77</v>
      </c>
      <c r="D369" s="22">
        <f t="shared" si="37"/>
        <v>975.71406434519724</v>
      </c>
      <c r="E369" s="23">
        <f t="shared" si="38"/>
        <v>-19.398761238745578</v>
      </c>
      <c r="F369" s="23">
        <f t="shared" si="39"/>
        <v>19.398761238745578</v>
      </c>
      <c r="H369" s="13"/>
      <c r="I369" s="14"/>
    </row>
    <row r="370" spans="1:9" x14ac:dyDescent="0.3">
      <c r="A370" s="2">
        <v>43591</v>
      </c>
      <c r="B370" s="1">
        <v>52.12</v>
      </c>
      <c r="C370" s="1">
        <f>'Historical Simulation'!D370</f>
        <v>193.88</v>
      </c>
      <c r="D370" s="22">
        <f t="shared" si="37"/>
        <v>995.11282558394282</v>
      </c>
      <c r="E370" s="23">
        <f t="shared" si="38"/>
        <v>-5.9561989119893042</v>
      </c>
      <c r="F370" s="23">
        <f t="shared" si="39"/>
        <v>5.9561989119893042</v>
      </c>
      <c r="H370" s="13"/>
      <c r="I370" s="14"/>
    </row>
    <row r="371" spans="1:9" x14ac:dyDescent="0.3">
      <c r="A371" s="2">
        <v>43588</v>
      </c>
      <c r="B371" s="1">
        <v>52.9375</v>
      </c>
      <c r="C371" s="1">
        <f>'Historical Simulation'!D371</f>
        <v>195.47</v>
      </c>
      <c r="D371" s="22">
        <f t="shared" si="37"/>
        <v>1001.0690244959321</v>
      </c>
      <c r="E371" s="23">
        <f t="shared" si="38"/>
        <v>15.883165706738509</v>
      </c>
      <c r="F371" s="23">
        <f t="shared" si="39"/>
        <v>-15.883165706738509</v>
      </c>
      <c r="H371" s="13"/>
      <c r="I371" s="14"/>
    </row>
    <row r="372" spans="1:9" x14ac:dyDescent="0.3">
      <c r="A372" s="2">
        <v>43587</v>
      </c>
      <c r="B372" s="1">
        <v>52.287500000000001</v>
      </c>
      <c r="C372" s="1">
        <f>'Historical Simulation'!D372</f>
        <v>192.53</v>
      </c>
      <c r="D372" s="22">
        <f t="shared" si="37"/>
        <v>985.18585878919362</v>
      </c>
      <c r="E372" s="23">
        <f t="shared" si="38"/>
        <v>-1.3901958946773902</v>
      </c>
      <c r="F372" s="23">
        <f t="shared" si="39"/>
        <v>1.3901958946773902</v>
      </c>
      <c r="H372" s="13"/>
      <c r="I372" s="14"/>
    </row>
    <row r="373" spans="1:9" x14ac:dyDescent="0.3">
      <c r="A373" s="2">
        <v>43586</v>
      </c>
      <c r="B373" s="1">
        <v>52.63</v>
      </c>
      <c r="C373" s="1">
        <f>'Historical Simulation'!D373</f>
        <v>193.03</v>
      </c>
      <c r="D373" s="22">
        <f t="shared" si="37"/>
        <v>986.57605468387101</v>
      </c>
      <c r="E373" s="23">
        <f t="shared" si="38"/>
        <v>-16.379396010627261</v>
      </c>
      <c r="F373" s="23">
        <f t="shared" si="39"/>
        <v>16.379396010627261</v>
      </c>
      <c r="H373" s="13"/>
      <c r="I373" s="14"/>
    </row>
    <row r="374" spans="1:9" x14ac:dyDescent="0.3">
      <c r="A374" s="2">
        <v>43585</v>
      </c>
      <c r="B374" s="1">
        <v>50.167499999999997</v>
      </c>
      <c r="C374" s="1">
        <f>'Historical Simulation'!D374</f>
        <v>193.4</v>
      </c>
      <c r="D374" s="22">
        <f t="shared" si="37"/>
        <v>1002.9554506944983</v>
      </c>
      <c r="E374" s="23">
        <f t="shared" si="38"/>
        <v>-3.6125547834767531</v>
      </c>
      <c r="F374" s="23">
        <f t="shared" si="39"/>
        <v>3.6125547834767531</v>
      </c>
      <c r="H374" s="13"/>
      <c r="I374" s="14"/>
    </row>
    <row r="375" spans="1:9" x14ac:dyDescent="0.3">
      <c r="A375" s="2">
        <v>43584</v>
      </c>
      <c r="B375" s="1">
        <v>51.152500000000003</v>
      </c>
      <c r="C375" s="1">
        <f>'Historical Simulation'!D375</f>
        <v>194.78</v>
      </c>
      <c r="D375" s="22">
        <f t="shared" si="37"/>
        <v>1006.568005477975</v>
      </c>
      <c r="E375" s="23">
        <f t="shared" si="38"/>
        <v>21.447170232706071</v>
      </c>
      <c r="F375" s="23">
        <f t="shared" si="39"/>
        <v>-21.447170232706071</v>
      </c>
      <c r="H375" s="13"/>
      <c r="I375" s="14"/>
    </row>
    <row r="376" spans="1:9" x14ac:dyDescent="0.3">
      <c r="A376" s="2">
        <v>43581</v>
      </c>
      <c r="B376" s="1">
        <v>51.075000000000003</v>
      </c>
      <c r="C376" s="1">
        <f>'Historical Simulation'!D376</f>
        <v>191.49</v>
      </c>
      <c r="D376" s="22">
        <f t="shared" si="37"/>
        <v>985.12083524526895</v>
      </c>
      <c r="E376" s="23">
        <f t="shared" si="38"/>
        <v>-10.389357075447947</v>
      </c>
      <c r="F376" s="23">
        <f t="shared" si="39"/>
        <v>10.389357075447947</v>
      </c>
      <c r="H376" s="13"/>
      <c r="I376" s="14"/>
    </row>
    <row r="377" spans="1:9" x14ac:dyDescent="0.3">
      <c r="A377" s="2">
        <v>43580</v>
      </c>
      <c r="B377" s="1">
        <v>51.32</v>
      </c>
      <c r="C377" s="1">
        <f>'Historical Simulation'!D377</f>
        <v>193.26</v>
      </c>
      <c r="D377" s="22">
        <f t="shared" si="37"/>
        <v>995.5101923207169</v>
      </c>
      <c r="E377" s="23">
        <f t="shared" si="38"/>
        <v>73.700217305734668</v>
      </c>
      <c r="F377" s="23">
        <f t="shared" si="39"/>
        <v>-73.700217305734668</v>
      </c>
      <c r="H377" s="13"/>
      <c r="I377" s="14"/>
    </row>
    <row r="378" spans="1:9" x14ac:dyDescent="0.3">
      <c r="A378" s="2">
        <v>43579</v>
      </c>
      <c r="B378" s="1">
        <v>51.79</v>
      </c>
      <c r="C378" s="1">
        <f>'Historical Simulation'!D378</f>
        <v>182.58</v>
      </c>
      <c r="D378" s="22">
        <f t="shared" si="37"/>
        <v>921.80997501498223</v>
      </c>
      <c r="E378" s="23">
        <f t="shared" si="38"/>
        <v>-7.5302819177059064</v>
      </c>
      <c r="F378" s="23">
        <f t="shared" si="39"/>
        <v>7.5302819177059064</v>
      </c>
      <c r="H378" s="13"/>
      <c r="I378" s="14"/>
    </row>
    <row r="379" spans="1:9" x14ac:dyDescent="0.3">
      <c r="A379" s="2">
        <v>43578</v>
      </c>
      <c r="B379" s="1">
        <v>51.87</v>
      </c>
      <c r="C379" s="1">
        <f>'Historical Simulation'!D379</f>
        <v>183.78</v>
      </c>
      <c r="D379" s="22">
        <f t="shared" si="37"/>
        <v>929.34025693268813</v>
      </c>
      <c r="E379" s="23">
        <f t="shared" si="38"/>
        <v>11.39738997600341</v>
      </c>
      <c r="F379" s="23">
        <f t="shared" si="39"/>
        <v>-11.39738997600341</v>
      </c>
      <c r="H379" s="13"/>
      <c r="I379" s="14"/>
    </row>
    <row r="380" spans="1:9" x14ac:dyDescent="0.3">
      <c r="A380" s="2">
        <v>43577</v>
      </c>
      <c r="B380" s="1">
        <v>51.1325</v>
      </c>
      <c r="C380" s="1">
        <f>'Historical Simulation'!D380</f>
        <v>181.44</v>
      </c>
      <c r="D380" s="22">
        <f t="shared" si="37"/>
        <v>917.94286695668472</v>
      </c>
      <c r="E380" s="23">
        <f t="shared" si="38"/>
        <v>20.073721998871065</v>
      </c>
      <c r="F380" s="23">
        <f t="shared" si="39"/>
        <v>-20.073721998871065</v>
      </c>
      <c r="H380" s="13"/>
      <c r="I380" s="14"/>
    </row>
    <row r="381" spans="1:9" x14ac:dyDescent="0.3">
      <c r="A381" s="2">
        <v>43574</v>
      </c>
      <c r="B381" s="1">
        <v>50.965000000000003</v>
      </c>
      <c r="C381" s="1">
        <f>'Historical Simulation'!D381</f>
        <v>178.28</v>
      </c>
      <c r="D381" s="22">
        <f t="shared" si="37"/>
        <v>897.86914495781366</v>
      </c>
      <c r="E381" s="23">
        <f t="shared" si="38"/>
        <v>0</v>
      </c>
      <c r="F381" s="23">
        <f t="shared" si="39"/>
        <v>0</v>
      </c>
      <c r="H381" s="13"/>
      <c r="I381" s="14"/>
    </row>
    <row r="382" spans="1:9" x14ac:dyDescent="0.3">
      <c r="A382" s="2">
        <v>43573</v>
      </c>
      <c r="B382" s="1">
        <v>50.965000000000003</v>
      </c>
      <c r="C382" s="1">
        <f>'Historical Simulation'!D382</f>
        <v>178.28</v>
      </c>
      <c r="D382" s="22">
        <f t="shared" si="37"/>
        <v>897.86914495781366</v>
      </c>
      <c r="E382" s="23">
        <f t="shared" si="38"/>
        <v>-4.357515543602176</v>
      </c>
      <c r="F382" s="23">
        <f t="shared" si="39"/>
        <v>4.357515543602176</v>
      </c>
      <c r="H382" s="13"/>
      <c r="I382" s="14"/>
    </row>
    <row r="383" spans="1:9" x14ac:dyDescent="0.3">
      <c r="A383" s="2">
        <v>43572</v>
      </c>
      <c r="B383" s="1">
        <v>50.782499999999999</v>
      </c>
      <c r="C383" s="1">
        <f>'Historical Simulation'!D383</f>
        <v>178.78</v>
      </c>
      <c r="D383" s="22">
        <f t="shared" si="37"/>
        <v>902.22666050141584</v>
      </c>
      <c r="E383" s="23">
        <f t="shared" si="38"/>
        <v>-6.0811596721147225</v>
      </c>
      <c r="F383" s="23">
        <f t="shared" si="39"/>
        <v>6.0811596721147225</v>
      </c>
      <c r="H383" s="13"/>
      <c r="I383" s="14"/>
    </row>
    <row r="384" spans="1:9" x14ac:dyDescent="0.3">
      <c r="A384" s="2">
        <v>43571</v>
      </c>
      <c r="B384" s="1">
        <v>49.8125</v>
      </c>
      <c r="C384" s="1">
        <f>'Historical Simulation'!D384</f>
        <v>178.87</v>
      </c>
      <c r="D384" s="22">
        <f t="shared" si="37"/>
        <v>908.30782017353056</v>
      </c>
      <c r="E384" s="23">
        <f t="shared" si="38"/>
        <v>-5.216849379820701</v>
      </c>
      <c r="F384" s="23">
        <f t="shared" si="39"/>
        <v>5.216849379820701</v>
      </c>
      <c r="H384" s="13"/>
      <c r="I384" s="14"/>
    </row>
    <row r="385" spans="1:9" x14ac:dyDescent="0.3">
      <c r="A385" s="2">
        <v>43570</v>
      </c>
      <c r="B385" s="1">
        <v>49.807499999999997</v>
      </c>
      <c r="C385" s="1">
        <f>'Historical Simulation'!D385</f>
        <v>179.65</v>
      </c>
      <c r="D385" s="22">
        <f t="shared" si="37"/>
        <v>913.52466955335126</v>
      </c>
      <c r="E385" s="23">
        <f t="shared" si="38"/>
        <v>3.1499372162006694</v>
      </c>
      <c r="F385" s="23">
        <f t="shared" si="39"/>
        <v>-3.1499372162006694</v>
      </c>
      <c r="H385" s="13"/>
      <c r="I385" s="14"/>
    </row>
    <row r="386" spans="1:9" x14ac:dyDescent="0.3">
      <c r="A386" s="2">
        <v>43567</v>
      </c>
      <c r="B386" s="1">
        <v>49.717500000000001</v>
      </c>
      <c r="C386" s="1">
        <f>'Historical Simulation'!D386</f>
        <v>179.1</v>
      </c>
      <c r="D386" s="22">
        <f t="shared" si="37"/>
        <v>910.37473233715059</v>
      </c>
      <c r="E386" s="23">
        <f t="shared" si="38"/>
        <v>10.689780256702534</v>
      </c>
      <c r="F386" s="23">
        <f t="shared" si="39"/>
        <v>-10.689780256702534</v>
      </c>
      <c r="H386" s="13"/>
      <c r="I386" s="14"/>
    </row>
    <row r="387" spans="1:9" x14ac:dyDescent="0.3">
      <c r="A387" s="2">
        <v>43566</v>
      </c>
      <c r="B387" s="1">
        <v>49.737499999999997</v>
      </c>
      <c r="C387" s="1">
        <f>'Historical Simulation'!D387</f>
        <v>177.51</v>
      </c>
      <c r="D387" s="22">
        <f t="shared" si="37"/>
        <v>899.68495208044806</v>
      </c>
      <c r="E387" s="23">
        <f t="shared" si="38"/>
        <v>0.29759402335128016</v>
      </c>
      <c r="F387" s="23">
        <f t="shared" si="39"/>
        <v>-0.29759402335128016</v>
      </c>
      <c r="H387" s="13"/>
      <c r="I387" s="14"/>
    </row>
    <row r="388" spans="1:9" x14ac:dyDescent="0.3">
      <c r="A388" s="2">
        <v>43565</v>
      </c>
      <c r="B388" s="1">
        <v>50.155000000000001</v>
      </c>
      <c r="C388" s="1">
        <f>'Historical Simulation'!D388</f>
        <v>177.82</v>
      </c>
      <c r="D388" s="22">
        <f t="shared" si="37"/>
        <v>899.38735805709678</v>
      </c>
      <c r="E388" s="23">
        <f t="shared" si="38"/>
        <v>1.3918502938849997E-2</v>
      </c>
      <c r="F388" s="23">
        <f t="shared" si="39"/>
        <v>-1.3918502938849997E-2</v>
      </c>
      <c r="H388" s="13"/>
      <c r="I388" s="14"/>
    </row>
    <row r="389" spans="1:9" x14ac:dyDescent="0.3">
      <c r="A389" s="2">
        <v>43564</v>
      </c>
      <c r="B389" s="1">
        <v>49.875</v>
      </c>
      <c r="C389" s="1">
        <f>'Historical Simulation'!D389</f>
        <v>177.58</v>
      </c>
      <c r="D389" s="22">
        <f t="shared" si="37"/>
        <v>899.37343955415793</v>
      </c>
      <c r="E389" s="23">
        <f t="shared" si="38"/>
        <v>18.475704794265198</v>
      </c>
      <c r="F389" s="23">
        <f t="shared" si="39"/>
        <v>-18.475704794265198</v>
      </c>
      <c r="H389" s="13"/>
      <c r="I389" s="14"/>
    </row>
    <row r="390" spans="1:9" x14ac:dyDescent="0.3">
      <c r="A390" s="2">
        <v>43563</v>
      </c>
      <c r="B390" s="1">
        <v>50.024999999999999</v>
      </c>
      <c r="C390" s="1">
        <f>'Historical Simulation'!D390</f>
        <v>174.93</v>
      </c>
      <c r="D390" s="22">
        <f t="shared" ref="D390:D453" si="40">$M$16*B390+(1-$M$16)*C390</f>
        <v>880.89773475989273</v>
      </c>
      <c r="E390" s="23">
        <f t="shared" ref="E390:E453" si="41">D390-D391</f>
        <v>-9.6354385725087468</v>
      </c>
      <c r="F390" s="23">
        <f t="shared" ref="F390:F453" si="42">-E390</f>
        <v>9.6354385725087468</v>
      </c>
      <c r="H390" s="13"/>
      <c r="I390" s="14"/>
    </row>
    <row r="391" spans="1:9" x14ac:dyDescent="0.3">
      <c r="A391" s="2">
        <v>43560</v>
      </c>
      <c r="B391" s="1">
        <v>49.25</v>
      </c>
      <c r="C391" s="1">
        <f>'Historical Simulation'!D391</f>
        <v>175.72</v>
      </c>
      <c r="D391" s="22">
        <f t="shared" si="40"/>
        <v>890.53317333240147</v>
      </c>
      <c r="E391" s="23">
        <f t="shared" si="41"/>
        <v>-3.8466534851436336</v>
      </c>
      <c r="F391" s="23">
        <f t="shared" si="42"/>
        <v>3.8466534851436336</v>
      </c>
      <c r="H391" s="13"/>
      <c r="I391" s="14"/>
    </row>
    <row r="392" spans="1:9" x14ac:dyDescent="0.3">
      <c r="A392" s="2">
        <v>43559</v>
      </c>
      <c r="B392" s="1">
        <v>48.922499999999999</v>
      </c>
      <c r="C392" s="1">
        <f>'Historical Simulation'!D392</f>
        <v>176.02</v>
      </c>
      <c r="D392" s="22">
        <f t="shared" si="40"/>
        <v>894.37982681754511</v>
      </c>
      <c r="E392" s="23">
        <f t="shared" si="41"/>
        <v>16.016629636523476</v>
      </c>
      <c r="F392" s="23">
        <f t="shared" si="42"/>
        <v>-16.016629636523476</v>
      </c>
      <c r="H392" s="13"/>
      <c r="I392" s="14"/>
    </row>
    <row r="393" spans="1:9" x14ac:dyDescent="0.3">
      <c r="A393" s="2">
        <v>43558</v>
      </c>
      <c r="B393" s="1">
        <v>48.837499999999999</v>
      </c>
      <c r="C393" s="1">
        <f>'Historical Simulation'!D393</f>
        <v>173.54</v>
      </c>
      <c r="D393" s="22">
        <f t="shared" si="40"/>
        <v>878.36319718102163</v>
      </c>
      <c r="E393" s="23">
        <f t="shared" si="41"/>
        <v>-6.269647145824365</v>
      </c>
      <c r="F393" s="23">
        <f t="shared" si="42"/>
        <v>6.269647145824365</v>
      </c>
      <c r="H393" s="13"/>
      <c r="I393" s="14"/>
    </row>
    <row r="394" spans="1:9" x14ac:dyDescent="0.3">
      <c r="A394" s="2">
        <v>43557</v>
      </c>
      <c r="B394" s="1">
        <v>48.505000000000003</v>
      </c>
      <c r="C394" s="1">
        <f>'Historical Simulation'!D394</f>
        <v>174.2</v>
      </c>
      <c r="D394" s="22">
        <f t="shared" si="40"/>
        <v>884.632844326846</v>
      </c>
      <c r="E394" s="23">
        <f t="shared" si="41"/>
        <v>32.658039834444708</v>
      </c>
      <c r="F394" s="23">
        <f t="shared" si="42"/>
        <v>-32.658039834444708</v>
      </c>
      <c r="H394" s="13"/>
      <c r="I394" s="14"/>
    </row>
    <row r="395" spans="1:9" x14ac:dyDescent="0.3">
      <c r="A395" s="2">
        <v>43556</v>
      </c>
      <c r="B395" s="1">
        <v>47.81</v>
      </c>
      <c r="C395" s="1">
        <f>'Historical Simulation'!D395</f>
        <v>168.7</v>
      </c>
      <c r="D395" s="22">
        <f t="shared" si="40"/>
        <v>851.97480449240129</v>
      </c>
      <c r="E395" s="23">
        <f t="shared" si="41"/>
        <v>11.547813157257906</v>
      </c>
      <c r="F395" s="23">
        <f t="shared" si="42"/>
        <v>-11.547813157257906</v>
      </c>
      <c r="H395" s="13"/>
      <c r="I395" s="14"/>
    </row>
    <row r="396" spans="1:9" x14ac:dyDescent="0.3">
      <c r="A396" s="2">
        <v>43553</v>
      </c>
      <c r="B396" s="1">
        <v>47.487499999999997</v>
      </c>
      <c r="C396" s="1">
        <f>'Historical Simulation'!D396</f>
        <v>166.69</v>
      </c>
      <c r="D396" s="22">
        <f t="shared" si="40"/>
        <v>840.42699133514338</v>
      </c>
      <c r="E396" s="23">
        <f t="shared" si="41"/>
        <v>5.8453211575804289</v>
      </c>
      <c r="F396" s="23">
        <f t="shared" si="42"/>
        <v>-5.8453211575804289</v>
      </c>
      <c r="H396" s="13"/>
      <c r="I396" s="14"/>
    </row>
    <row r="397" spans="1:9" x14ac:dyDescent="0.3">
      <c r="A397" s="2">
        <v>43552</v>
      </c>
      <c r="B397" s="1">
        <v>47.18</v>
      </c>
      <c r="C397" s="1">
        <f>'Historical Simulation'!D397</f>
        <v>165.55</v>
      </c>
      <c r="D397" s="22">
        <f t="shared" si="40"/>
        <v>834.58167017756296</v>
      </c>
      <c r="E397" s="23">
        <f t="shared" si="41"/>
        <v>-2.4819043156451244</v>
      </c>
      <c r="F397" s="23">
        <f t="shared" si="42"/>
        <v>2.4819043156451244</v>
      </c>
      <c r="H397" s="13"/>
      <c r="I397" s="14"/>
    </row>
    <row r="398" spans="1:9" x14ac:dyDescent="0.3">
      <c r="A398" s="2">
        <v>43551</v>
      </c>
      <c r="B398" s="1">
        <v>47.1175</v>
      </c>
      <c r="C398" s="1">
        <f>'Historical Simulation'!D398</f>
        <v>165.87</v>
      </c>
      <c r="D398" s="22">
        <f t="shared" si="40"/>
        <v>837.06357449320808</v>
      </c>
      <c r="E398" s="23">
        <f t="shared" si="41"/>
        <v>-14.414043461147003</v>
      </c>
      <c r="F398" s="23">
        <f t="shared" si="42"/>
        <v>14.414043461147003</v>
      </c>
      <c r="H398" s="13"/>
      <c r="I398" s="14"/>
    </row>
    <row r="399" spans="1:9" x14ac:dyDescent="0.3">
      <c r="A399" s="2">
        <v>43550</v>
      </c>
      <c r="B399" s="1">
        <v>46.697499999999998</v>
      </c>
      <c r="C399" s="1">
        <f>'Historical Simulation'!D399</f>
        <v>167.68</v>
      </c>
      <c r="D399" s="22">
        <f t="shared" si="40"/>
        <v>851.47761795435508</v>
      </c>
      <c r="E399" s="23">
        <f t="shared" si="41"/>
        <v>12.001700268297782</v>
      </c>
      <c r="F399" s="23">
        <f t="shared" si="42"/>
        <v>-12.001700268297782</v>
      </c>
      <c r="H399" s="13"/>
      <c r="I399" s="14"/>
    </row>
    <row r="400" spans="1:9" x14ac:dyDescent="0.3">
      <c r="A400" s="2">
        <v>43549</v>
      </c>
      <c r="B400" s="1">
        <v>47.185000000000002</v>
      </c>
      <c r="C400" s="1">
        <f>'Historical Simulation'!D400</f>
        <v>166.29</v>
      </c>
      <c r="D400" s="22">
        <f t="shared" si="40"/>
        <v>839.4759176860573</v>
      </c>
      <c r="E400" s="23">
        <f t="shared" si="41"/>
        <v>16.235524595537527</v>
      </c>
      <c r="F400" s="23">
        <f t="shared" si="42"/>
        <v>-16.235524595537527</v>
      </c>
      <c r="H400" s="13"/>
      <c r="I400" s="14"/>
    </row>
    <row r="401" spans="1:9" x14ac:dyDescent="0.3">
      <c r="A401" s="2">
        <v>43546</v>
      </c>
      <c r="B401" s="1">
        <v>47.762500000000003</v>
      </c>
      <c r="C401" s="1">
        <f>'Historical Simulation'!D401</f>
        <v>164.34</v>
      </c>
      <c r="D401" s="22">
        <f t="shared" si="40"/>
        <v>823.24039309051977</v>
      </c>
      <c r="E401" s="23">
        <f t="shared" si="41"/>
        <v>-5.8659873213622404</v>
      </c>
      <c r="F401" s="23">
        <f t="shared" si="42"/>
        <v>5.8659873213622404</v>
      </c>
      <c r="H401" s="13"/>
      <c r="I401" s="14"/>
    </row>
    <row r="402" spans="1:9" x14ac:dyDescent="0.3">
      <c r="A402" s="2">
        <v>43545</v>
      </c>
      <c r="B402" s="1">
        <v>48.772500000000001</v>
      </c>
      <c r="C402" s="1">
        <f>'Historical Simulation'!D402</f>
        <v>166.08</v>
      </c>
      <c r="D402" s="22">
        <f t="shared" si="40"/>
        <v>829.10638041188201</v>
      </c>
      <c r="E402" s="23">
        <f t="shared" si="41"/>
        <v>-5.5348508884766261</v>
      </c>
      <c r="F402" s="23">
        <f t="shared" si="42"/>
        <v>5.5348508884766261</v>
      </c>
      <c r="H402" s="13"/>
      <c r="I402" s="14"/>
    </row>
    <row r="403" spans="1:9" x14ac:dyDescent="0.3">
      <c r="A403" s="2">
        <v>43544</v>
      </c>
      <c r="B403" s="1">
        <v>47.04</v>
      </c>
      <c r="C403" s="1">
        <f>'Historical Simulation'!D403</f>
        <v>165.44</v>
      </c>
      <c r="D403" s="22">
        <f t="shared" si="40"/>
        <v>834.64123130035864</v>
      </c>
      <c r="E403" s="23">
        <f t="shared" si="41"/>
        <v>23.440179589337163</v>
      </c>
      <c r="F403" s="23">
        <f t="shared" si="42"/>
        <v>-23.440179589337163</v>
      </c>
      <c r="H403" s="13"/>
      <c r="I403" s="14"/>
    </row>
    <row r="404" spans="1:9" x14ac:dyDescent="0.3">
      <c r="A404" s="2">
        <v>43543</v>
      </c>
      <c r="B404" s="1">
        <v>46.6325</v>
      </c>
      <c r="C404" s="1">
        <f>'Historical Simulation'!D404</f>
        <v>161.57</v>
      </c>
      <c r="D404" s="22">
        <f t="shared" si="40"/>
        <v>811.20105171102148</v>
      </c>
      <c r="E404" s="23">
        <f t="shared" si="41"/>
        <v>9.4226251105554866</v>
      </c>
      <c r="F404" s="23">
        <f t="shared" si="42"/>
        <v>-9.4226251105554866</v>
      </c>
      <c r="H404" s="13"/>
      <c r="I404" s="14"/>
    </row>
    <row r="405" spans="1:9" x14ac:dyDescent="0.3">
      <c r="A405" s="2">
        <v>43542</v>
      </c>
      <c r="B405" s="1">
        <v>47.005000000000003</v>
      </c>
      <c r="C405" s="1">
        <f>'Historical Simulation'!D405</f>
        <v>160.47</v>
      </c>
      <c r="D405" s="22">
        <f t="shared" si="40"/>
        <v>801.77842660046599</v>
      </c>
      <c r="E405" s="23">
        <f t="shared" si="41"/>
        <v>-39.337443997742071</v>
      </c>
      <c r="F405" s="23">
        <f t="shared" si="42"/>
        <v>39.337443997742071</v>
      </c>
      <c r="H405" s="13"/>
      <c r="I405" s="14"/>
    </row>
    <row r="406" spans="1:9" x14ac:dyDescent="0.3">
      <c r="A406" s="2">
        <v>43539</v>
      </c>
      <c r="B406" s="1">
        <v>46.53</v>
      </c>
      <c r="C406" s="1">
        <f>'Historical Simulation'!D406</f>
        <v>165.98</v>
      </c>
      <c r="D406" s="22">
        <f t="shared" si="40"/>
        <v>841.11587059820806</v>
      </c>
      <c r="E406" s="23">
        <f t="shared" si="41"/>
        <v>-31.249129179480178</v>
      </c>
      <c r="F406" s="23">
        <f t="shared" si="42"/>
        <v>31.249129179480178</v>
      </c>
      <c r="H406" s="13"/>
      <c r="I406" s="14"/>
    </row>
    <row r="407" spans="1:9" x14ac:dyDescent="0.3">
      <c r="A407" s="2">
        <v>43538</v>
      </c>
      <c r="B407" s="1">
        <v>45.932499999999997</v>
      </c>
      <c r="C407" s="1">
        <f>'Historical Simulation'!D407</f>
        <v>170.17</v>
      </c>
      <c r="D407" s="22">
        <f t="shared" si="40"/>
        <v>872.36499977768824</v>
      </c>
      <c r="E407" s="23">
        <f t="shared" si="41"/>
        <v>-24.14079866526879</v>
      </c>
      <c r="F407" s="23">
        <f t="shared" si="42"/>
        <v>24.14079866526879</v>
      </c>
      <c r="H407" s="13"/>
      <c r="I407" s="14"/>
    </row>
    <row r="408" spans="1:9" x14ac:dyDescent="0.3">
      <c r="A408" s="2">
        <v>43537</v>
      </c>
      <c r="B408" s="1">
        <v>45.427500000000002</v>
      </c>
      <c r="C408" s="1">
        <f>'Historical Simulation'!D408</f>
        <v>173.37</v>
      </c>
      <c r="D408" s="22">
        <f t="shared" si="40"/>
        <v>896.50579844295703</v>
      </c>
      <c r="E408" s="23">
        <f t="shared" si="41"/>
        <v>8.5150467831541619</v>
      </c>
      <c r="F408" s="23">
        <f t="shared" si="42"/>
        <v>-8.5150467831541619</v>
      </c>
      <c r="H408" s="13"/>
      <c r="I408" s="14"/>
    </row>
    <row r="409" spans="1:9" x14ac:dyDescent="0.3">
      <c r="A409" s="2">
        <v>43536</v>
      </c>
      <c r="B409" s="1">
        <v>45.227499999999999</v>
      </c>
      <c r="C409" s="1">
        <f>'Historical Simulation'!D409</f>
        <v>171.92</v>
      </c>
      <c r="D409" s="22">
        <f t="shared" si="40"/>
        <v>887.99075165980287</v>
      </c>
      <c r="E409" s="23">
        <f t="shared" si="41"/>
        <v>-3.8379544208065681</v>
      </c>
      <c r="F409" s="23">
        <f t="shared" si="42"/>
        <v>3.8379544208065681</v>
      </c>
      <c r="H409" s="13"/>
      <c r="I409" s="14"/>
    </row>
    <row r="410" spans="1:9" x14ac:dyDescent="0.3">
      <c r="A410" s="2">
        <v>43535</v>
      </c>
      <c r="B410" s="1">
        <v>44.725000000000001</v>
      </c>
      <c r="C410" s="1">
        <f>'Historical Simulation'!D410</f>
        <v>172.07</v>
      </c>
      <c r="D410" s="22">
        <f t="shared" si="40"/>
        <v>891.82870608060944</v>
      </c>
      <c r="E410" s="23">
        <f t="shared" si="41"/>
        <v>7.9666063972939583</v>
      </c>
      <c r="F410" s="23">
        <f t="shared" si="42"/>
        <v>-7.9666063972939583</v>
      </c>
      <c r="H410" s="13"/>
      <c r="I410" s="14"/>
    </row>
    <row r="411" spans="1:9" x14ac:dyDescent="0.3">
      <c r="A411" s="2">
        <v>43532</v>
      </c>
      <c r="B411" s="1">
        <v>43.227499999999999</v>
      </c>
      <c r="C411" s="1">
        <f>'Historical Simulation'!D411</f>
        <v>169.6</v>
      </c>
      <c r="D411" s="22">
        <f t="shared" si="40"/>
        <v>883.86209968331548</v>
      </c>
      <c r="E411" s="23">
        <f t="shared" si="41"/>
        <v>2.5471237542473091</v>
      </c>
      <c r="F411" s="23">
        <f t="shared" si="42"/>
        <v>-2.5471237542473091</v>
      </c>
      <c r="H411" s="13"/>
      <c r="I411" s="14"/>
    </row>
    <row r="412" spans="1:9" x14ac:dyDescent="0.3">
      <c r="A412" s="2">
        <v>43531</v>
      </c>
      <c r="B412" s="1">
        <v>43.125</v>
      </c>
      <c r="C412" s="1">
        <f>'Historical Simulation'!D412</f>
        <v>169.13</v>
      </c>
      <c r="D412" s="22">
        <f t="shared" si="40"/>
        <v>881.31497592906817</v>
      </c>
      <c r="E412" s="23">
        <f t="shared" si="41"/>
        <v>-19.629607601254406</v>
      </c>
      <c r="F412" s="23">
        <f t="shared" si="42"/>
        <v>19.629607601254406</v>
      </c>
      <c r="H412" s="13"/>
      <c r="I412" s="14"/>
    </row>
    <row r="413" spans="1:9" x14ac:dyDescent="0.3">
      <c r="A413" s="2">
        <v>43530</v>
      </c>
      <c r="B413" s="1">
        <v>43.63</v>
      </c>
      <c r="C413" s="1">
        <f>'Historical Simulation'!D413</f>
        <v>172.51</v>
      </c>
      <c r="D413" s="22">
        <f t="shared" si="40"/>
        <v>900.94458353032257</v>
      </c>
      <c r="E413" s="23">
        <f t="shared" si="41"/>
        <v>9.7421862333511626</v>
      </c>
      <c r="F413" s="23">
        <f t="shared" si="42"/>
        <v>-9.7421862333511626</v>
      </c>
      <c r="H413" s="13"/>
      <c r="I413" s="14"/>
    </row>
    <row r="414" spans="1:9" x14ac:dyDescent="0.3">
      <c r="A414" s="2">
        <v>43529</v>
      </c>
      <c r="B414" s="1">
        <v>43.8825</v>
      </c>
      <c r="C414" s="1">
        <f>'Historical Simulation'!D414</f>
        <v>171.26</v>
      </c>
      <c r="D414" s="22">
        <f t="shared" si="40"/>
        <v>891.20239729697141</v>
      </c>
      <c r="E414" s="23">
        <f t="shared" si="41"/>
        <v>26.32858858329746</v>
      </c>
      <c r="F414" s="23">
        <f t="shared" si="42"/>
        <v>-26.32858858329746</v>
      </c>
      <c r="H414" s="13"/>
      <c r="I414" s="14"/>
    </row>
    <row r="415" spans="1:9" x14ac:dyDescent="0.3">
      <c r="A415" s="2">
        <v>43528</v>
      </c>
      <c r="B415" s="1">
        <v>43.962499999999999</v>
      </c>
      <c r="C415" s="1">
        <f>'Historical Simulation'!D415</f>
        <v>167.37</v>
      </c>
      <c r="D415" s="22">
        <f t="shared" si="40"/>
        <v>864.87380871367395</v>
      </c>
      <c r="E415" s="23">
        <f t="shared" si="41"/>
        <v>32.615422267168469</v>
      </c>
      <c r="F415" s="23">
        <f t="shared" si="42"/>
        <v>-32.615422267168469</v>
      </c>
      <c r="H415" s="13"/>
      <c r="I415" s="14"/>
    </row>
    <row r="416" spans="1:9" x14ac:dyDescent="0.3">
      <c r="A416" s="2">
        <v>43525</v>
      </c>
      <c r="B416" s="1">
        <v>43.7425</v>
      </c>
      <c r="C416" s="1">
        <f>'Historical Simulation'!D416</f>
        <v>162.28</v>
      </c>
      <c r="D416" s="22">
        <f t="shared" si="40"/>
        <v>832.25838644650548</v>
      </c>
      <c r="E416" s="23">
        <f t="shared" si="41"/>
        <v>2.949514034946219</v>
      </c>
      <c r="F416" s="23">
        <f t="shared" si="42"/>
        <v>-2.949514034946219</v>
      </c>
      <c r="H416" s="13"/>
      <c r="I416" s="14"/>
    </row>
    <row r="417" spans="1:9" x14ac:dyDescent="0.3">
      <c r="A417" s="2">
        <v>43524</v>
      </c>
      <c r="B417" s="1">
        <v>43.287500000000001</v>
      </c>
      <c r="C417" s="1">
        <f>'Historical Simulation'!D417</f>
        <v>161.44999999999999</v>
      </c>
      <c r="D417" s="22">
        <f t="shared" si="40"/>
        <v>829.30887241155926</v>
      </c>
      <c r="E417" s="23">
        <f t="shared" si="41"/>
        <v>-6.6163948066667899</v>
      </c>
      <c r="F417" s="23">
        <f t="shared" si="42"/>
        <v>6.6163948066667899</v>
      </c>
      <c r="H417" s="13"/>
      <c r="I417" s="14"/>
    </row>
    <row r="418" spans="1:9" x14ac:dyDescent="0.3">
      <c r="A418" s="2">
        <v>43523</v>
      </c>
      <c r="B418" s="1">
        <v>43.717500000000001</v>
      </c>
      <c r="C418" s="1">
        <f>'Historical Simulation'!D418</f>
        <v>162.81</v>
      </c>
      <c r="D418" s="22">
        <f t="shared" si="40"/>
        <v>835.92526721822605</v>
      </c>
      <c r="E418" s="23">
        <f t="shared" si="41"/>
        <v>-9.543714455591271</v>
      </c>
      <c r="F418" s="23">
        <f t="shared" si="42"/>
        <v>9.543714455591271</v>
      </c>
      <c r="H418" s="13"/>
      <c r="I418" s="14"/>
    </row>
    <row r="419" spans="1:9" x14ac:dyDescent="0.3">
      <c r="A419" s="2">
        <v>43522</v>
      </c>
      <c r="B419" s="1">
        <v>43.582500000000003</v>
      </c>
      <c r="C419" s="1">
        <f>'Historical Simulation'!D419</f>
        <v>164.13</v>
      </c>
      <c r="D419" s="22">
        <f t="shared" si="40"/>
        <v>845.46898167381732</v>
      </c>
      <c r="E419" s="23">
        <f t="shared" si="41"/>
        <v>-3.4007992746594482</v>
      </c>
      <c r="F419" s="23">
        <f t="shared" si="42"/>
        <v>3.4007992746594482</v>
      </c>
      <c r="H419" s="13"/>
      <c r="I419" s="14"/>
    </row>
    <row r="420" spans="1:9" x14ac:dyDescent="0.3">
      <c r="A420" s="2">
        <v>43521</v>
      </c>
      <c r="B420" s="1">
        <v>43.557499999999997</v>
      </c>
      <c r="C420" s="1">
        <f>'Historical Simulation'!D420</f>
        <v>164.62</v>
      </c>
      <c r="D420" s="22">
        <f t="shared" si="40"/>
        <v>848.86978094847677</v>
      </c>
      <c r="E420" s="23">
        <f t="shared" si="41"/>
        <v>16.379670385053942</v>
      </c>
      <c r="F420" s="23">
        <f t="shared" si="42"/>
        <v>-16.379670385053942</v>
      </c>
      <c r="H420" s="13"/>
      <c r="I420" s="14"/>
    </row>
    <row r="421" spans="1:9" x14ac:dyDescent="0.3">
      <c r="A421" s="2">
        <v>43518</v>
      </c>
      <c r="B421" s="1">
        <v>43.2425</v>
      </c>
      <c r="C421" s="1">
        <f>'Historical Simulation'!D421</f>
        <v>161.88999999999999</v>
      </c>
      <c r="D421" s="22">
        <f t="shared" si="40"/>
        <v>832.49011056342283</v>
      </c>
      <c r="E421" s="23">
        <f t="shared" si="41"/>
        <v>9.6074213679030436</v>
      </c>
      <c r="F421" s="23">
        <f t="shared" si="42"/>
        <v>-9.6074213679030436</v>
      </c>
      <c r="H421" s="13"/>
      <c r="I421" s="14"/>
    </row>
    <row r="422" spans="1:9" x14ac:dyDescent="0.3">
      <c r="A422" s="2">
        <v>43517</v>
      </c>
      <c r="B422" s="1">
        <v>42.765000000000001</v>
      </c>
      <c r="C422" s="1">
        <f>'Historical Simulation'!D422</f>
        <v>160.04</v>
      </c>
      <c r="D422" s="22">
        <f t="shared" si="40"/>
        <v>822.88268919551979</v>
      </c>
      <c r="E422" s="23">
        <f t="shared" si="41"/>
        <v>-15.392515238906867</v>
      </c>
      <c r="F422" s="23">
        <f t="shared" si="42"/>
        <v>15.392515238906867</v>
      </c>
      <c r="H422" s="13"/>
      <c r="I422" s="14"/>
    </row>
    <row r="423" spans="1:9" x14ac:dyDescent="0.3">
      <c r="A423" s="2">
        <v>43516</v>
      </c>
      <c r="B423" s="1">
        <v>43.0075</v>
      </c>
      <c r="C423" s="1">
        <f>'Historical Simulation'!D423</f>
        <v>162.56</v>
      </c>
      <c r="D423" s="22">
        <f t="shared" si="40"/>
        <v>838.27520443442666</v>
      </c>
      <c r="E423" s="23">
        <f t="shared" si="41"/>
        <v>0.24173981286753587</v>
      </c>
      <c r="F423" s="23">
        <f t="shared" si="42"/>
        <v>-0.24173981286753587</v>
      </c>
      <c r="H423" s="13"/>
      <c r="I423" s="14"/>
    </row>
    <row r="424" spans="1:9" x14ac:dyDescent="0.3">
      <c r="A424" s="2">
        <v>43515</v>
      </c>
      <c r="B424" s="1">
        <v>42.732500000000002</v>
      </c>
      <c r="C424" s="1">
        <f>'Historical Simulation'!D424</f>
        <v>162.29</v>
      </c>
      <c r="D424" s="22">
        <f t="shared" si="40"/>
        <v>838.03346462155912</v>
      </c>
      <c r="E424" s="23">
        <f t="shared" si="41"/>
        <v>-2.1175626314518468</v>
      </c>
      <c r="F424" s="23">
        <f t="shared" si="42"/>
        <v>2.1175626314518468</v>
      </c>
      <c r="H424" s="13"/>
      <c r="I424" s="14"/>
    </row>
    <row r="425" spans="1:9" x14ac:dyDescent="0.3">
      <c r="A425" s="2">
        <v>43514</v>
      </c>
      <c r="B425" s="1">
        <v>42.604999999999997</v>
      </c>
      <c r="C425" s="1">
        <f>'Historical Simulation'!D425</f>
        <v>162.5</v>
      </c>
      <c r="D425" s="22">
        <f t="shared" si="40"/>
        <v>840.15102725301097</v>
      </c>
      <c r="E425" s="23">
        <f t="shared" si="41"/>
        <v>0</v>
      </c>
      <c r="F425" s="23">
        <f t="shared" si="42"/>
        <v>0</v>
      </c>
      <c r="H425" s="13"/>
      <c r="I425" s="14"/>
    </row>
    <row r="426" spans="1:9" x14ac:dyDescent="0.3">
      <c r="A426" s="2">
        <v>43511</v>
      </c>
      <c r="B426" s="1">
        <v>42.604999999999997</v>
      </c>
      <c r="C426" s="1">
        <f>'Historical Simulation'!D426</f>
        <v>162.5</v>
      </c>
      <c r="D426" s="22">
        <f t="shared" si="40"/>
        <v>840.15102725301097</v>
      </c>
      <c r="E426" s="23">
        <f t="shared" si="41"/>
        <v>-9.1085107129389371</v>
      </c>
      <c r="F426" s="23">
        <f t="shared" si="42"/>
        <v>9.1085107129389371</v>
      </c>
      <c r="H426" s="13"/>
      <c r="I426" s="14"/>
    </row>
    <row r="427" spans="1:9" x14ac:dyDescent="0.3">
      <c r="A427" s="2">
        <v>43510</v>
      </c>
      <c r="B427" s="1">
        <v>42.7</v>
      </c>
      <c r="C427" s="1">
        <f>'Historical Simulation'!D427</f>
        <v>163.95</v>
      </c>
      <c r="D427" s="22">
        <f t="shared" si="40"/>
        <v>849.2595379659499</v>
      </c>
      <c r="E427" s="23">
        <f t="shared" si="41"/>
        <v>-1.6743102922937396</v>
      </c>
      <c r="F427" s="23">
        <f t="shared" si="42"/>
        <v>1.6743102922937396</v>
      </c>
      <c r="H427" s="13"/>
      <c r="I427" s="14"/>
    </row>
    <row r="428" spans="1:9" x14ac:dyDescent="0.3">
      <c r="A428" s="2">
        <v>43509</v>
      </c>
      <c r="B428" s="1">
        <v>42.545000000000002</v>
      </c>
      <c r="C428" s="1">
        <f>'Historical Simulation'!D428</f>
        <v>164.07</v>
      </c>
      <c r="D428" s="22">
        <f t="shared" si="40"/>
        <v>850.93384825824364</v>
      </c>
      <c r="E428" s="23">
        <f t="shared" si="41"/>
        <v>-5.4492396605198792</v>
      </c>
      <c r="F428" s="23">
        <f t="shared" si="42"/>
        <v>5.4492396605198792</v>
      </c>
      <c r="H428" s="13"/>
      <c r="I428" s="14"/>
    </row>
    <row r="429" spans="1:9" x14ac:dyDescent="0.3">
      <c r="A429" s="2">
        <v>43508</v>
      </c>
      <c r="B429" s="1">
        <v>42.722499999999997</v>
      </c>
      <c r="C429" s="1">
        <f>'Historical Simulation'!D429</f>
        <v>165.04</v>
      </c>
      <c r="D429" s="22">
        <f t="shared" si="40"/>
        <v>856.38308791876352</v>
      </c>
      <c r="E429" s="23">
        <f t="shared" si="41"/>
        <v>-7.052021730573415</v>
      </c>
      <c r="F429" s="23">
        <f t="shared" si="42"/>
        <v>7.052021730573415</v>
      </c>
      <c r="H429" s="13"/>
      <c r="I429" s="14"/>
    </row>
    <row r="430" spans="1:9" x14ac:dyDescent="0.3">
      <c r="A430" s="2">
        <v>43507</v>
      </c>
      <c r="B430" s="1">
        <v>42.357500000000002</v>
      </c>
      <c r="C430" s="1">
        <f>'Historical Simulation'!D430</f>
        <v>165.79</v>
      </c>
      <c r="D430" s="22">
        <f t="shared" si="40"/>
        <v>863.43510964933694</v>
      </c>
      <c r="E430" s="23">
        <f t="shared" si="41"/>
        <v>-8.8593884673477987</v>
      </c>
      <c r="F430" s="23">
        <f t="shared" si="42"/>
        <v>8.8593884673477987</v>
      </c>
      <c r="H430" s="13"/>
      <c r="I430" s="14"/>
    </row>
    <row r="431" spans="1:9" x14ac:dyDescent="0.3">
      <c r="A431" s="2">
        <v>43504</v>
      </c>
      <c r="B431" s="1">
        <v>42.602499999999999</v>
      </c>
      <c r="C431" s="1">
        <f>'Historical Simulation'!D431</f>
        <v>167.33</v>
      </c>
      <c r="D431" s="22">
        <f t="shared" si="40"/>
        <v>872.29449811668474</v>
      </c>
      <c r="E431" s="23">
        <f t="shared" si="41"/>
        <v>7.0683305142115387</v>
      </c>
      <c r="F431" s="23">
        <f t="shared" si="42"/>
        <v>-7.0683305142115387</v>
      </c>
      <c r="H431" s="13"/>
      <c r="I431" s="14"/>
    </row>
    <row r="432" spans="1:9" x14ac:dyDescent="0.3">
      <c r="A432" s="2">
        <v>43503</v>
      </c>
      <c r="B432" s="1">
        <v>42.734999999999999</v>
      </c>
      <c r="C432" s="1">
        <f>'Historical Simulation'!D432</f>
        <v>166.38</v>
      </c>
      <c r="D432" s="22">
        <f t="shared" si="40"/>
        <v>865.2261676024732</v>
      </c>
      <c r="E432" s="23">
        <f t="shared" si="41"/>
        <v>-22.676942946129202</v>
      </c>
      <c r="F432" s="23">
        <f t="shared" si="42"/>
        <v>22.676942946129202</v>
      </c>
      <c r="H432" s="13"/>
      <c r="I432" s="14"/>
    </row>
    <row r="433" spans="1:9" x14ac:dyDescent="0.3">
      <c r="A433" s="2">
        <v>43502</v>
      </c>
      <c r="B433" s="1">
        <v>43.56</v>
      </c>
      <c r="C433" s="1">
        <f>'Historical Simulation'!D433</f>
        <v>170.49</v>
      </c>
      <c r="D433" s="22">
        <f t="shared" si="40"/>
        <v>887.9031105486024</v>
      </c>
      <c r="E433" s="23">
        <f t="shared" si="41"/>
        <v>-4.541645637168358</v>
      </c>
      <c r="F433" s="23">
        <f t="shared" si="42"/>
        <v>4.541645637168358</v>
      </c>
      <c r="H433" s="13"/>
      <c r="I433" s="14"/>
    </row>
    <row r="434" spans="1:9" x14ac:dyDescent="0.3">
      <c r="A434" s="2">
        <v>43501</v>
      </c>
      <c r="B434" s="1">
        <v>43.545000000000002</v>
      </c>
      <c r="C434" s="1">
        <f>'Historical Simulation'!D434</f>
        <v>171.16</v>
      </c>
      <c r="D434" s="22">
        <f t="shared" si="40"/>
        <v>892.44475618577076</v>
      </c>
      <c r="E434" s="23">
        <f t="shared" si="41"/>
        <v>8.5652740697313448</v>
      </c>
      <c r="F434" s="23">
        <f t="shared" si="42"/>
        <v>-8.5652740697313448</v>
      </c>
      <c r="H434" s="13"/>
      <c r="I434" s="14"/>
    </row>
    <row r="435" spans="1:9" x14ac:dyDescent="0.3">
      <c r="A435" s="2">
        <v>43500</v>
      </c>
      <c r="B435" s="1">
        <v>42.8125</v>
      </c>
      <c r="C435" s="1">
        <f>'Historical Simulation'!D435</f>
        <v>169.25</v>
      </c>
      <c r="D435" s="22">
        <f t="shared" si="40"/>
        <v>883.87948211603941</v>
      </c>
      <c r="E435" s="23">
        <f t="shared" si="41"/>
        <v>16.864678233028599</v>
      </c>
      <c r="F435" s="23">
        <f t="shared" si="42"/>
        <v>-16.864678233028599</v>
      </c>
      <c r="H435" s="13"/>
      <c r="I435" s="14"/>
    </row>
    <row r="436" spans="1:9" x14ac:dyDescent="0.3">
      <c r="A436" s="2">
        <v>43497</v>
      </c>
      <c r="B436" s="1">
        <v>41.63</v>
      </c>
      <c r="C436" s="1">
        <f>'Historical Simulation'!D436</f>
        <v>165.71</v>
      </c>
      <c r="D436" s="22">
        <f t="shared" si="40"/>
        <v>867.01480388301081</v>
      </c>
      <c r="E436" s="23">
        <f t="shared" si="41"/>
        <v>-6.6320374265233113</v>
      </c>
      <c r="F436" s="23">
        <f t="shared" si="42"/>
        <v>6.6320374265233113</v>
      </c>
      <c r="H436" s="13"/>
      <c r="I436" s="14"/>
    </row>
    <row r="437" spans="1:9" x14ac:dyDescent="0.3">
      <c r="A437" s="2">
        <v>43496</v>
      </c>
      <c r="B437" s="1">
        <v>41.61</v>
      </c>
      <c r="C437" s="1">
        <f>'Historical Simulation'!D437</f>
        <v>166.69</v>
      </c>
      <c r="D437" s="22">
        <f t="shared" si="40"/>
        <v>873.64684130953412</v>
      </c>
      <c r="E437" s="23">
        <f t="shared" si="41"/>
        <v>106.54716779514342</v>
      </c>
      <c r="F437" s="23">
        <f t="shared" si="42"/>
        <v>-106.54716779514342</v>
      </c>
      <c r="H437" s="13"/>
      <c r="I437" s="14"/>
    </row>
    <row r="438" spans="1:9" x14ac:dyDescent="0.3">
      <c r="A438" s="2">
        <v>43495</v>
      </c>
      <c r="B438" s="1">
        <v>41.3125</v>
      </c>
      <c r="C438" s="1">
        <f>'Historical Simulation'!D438</f>
        <v>150.41999999999999</v>
      </c>
      <c r="D438" s="22">
        <f t="shared" si="40"/>
        <v>767.0996735143907</v>
      </c>
      <c r="E438" s="23">
        <f t="shared" si="41"/>
        <v>26.506684267652304</v>
      </c>
      <c r="F438" s="23">
        <f t="shared" si="42"/>
        <v>-26.506684267652304</v>
      </c>
      <c r="H438" s="13"/>
      <c r="I438" s="14"/>
    </row>
    <row r="439" spans="1:9" x14ac:dyDescent="0.3">
      <c r="A439" s="2">
        <v>43494</v>
      </c>
      <c r="B439" s="1">
        <v>38.67</v>
      </c>
      <c r="C439" s="1">
        <f>'Historical Simulation'!D439</f>
        <v>144.19</v>
      </c>
      <c r="D439" s="22">
        <f t="shared" si="40"/>
        <v>740.5929892467384</v>
      </c>
      <c r="E439" s="23">
        <f t="shared" si="41"/>
        <v>-19.529607601254611</v>
      </c>
      <c r="F439" s="23">
        <f t="shared" si="42"/>
        <v>19.529607601254611</v>
      </c>
      <c r="H439" s="13"/>
      <c r="I439" s="14"/>
    </row>
    <row r="440" spans="1:9" x14ac:dyDescent="0.3">
      <c r="A440" s="2">
        <v>43493</v>
      </c>
      <c r="B440" s="1">
        <v>39.075000000000003</v>
      </c>
      <c r="C440" s="1">
        <f>'Historical Simulation'!D440</f>
        <v>147.47</v>
      </c>
      <c r="D440" s="22">
        <f t="shared" si="40"/>
        <v>760.12259684799301</v>
      </c>
      <c r="E440" s="23">
        <f t="shared" si="41"/>
        <v>-8.1811439761647762</v>
      </c>
      <c r="F440" s="23">
        <f t="shared" si="42"/>
        <v>8.1811439761647762</v>
      </c>
      <c r="H440" s="13"/>
      <c r="I440" s="14"/>
    </row>
    <row r="441" spans="1:9" x14ac:dyDescent="0.3">
      <c r="A441" s="2">
        <v>43490</v>
      </c>
      <c r="B441" s="1">
        <v>39.44</v>
      </c>
      <c r="C441" s="1">
        <f>'Historical Simulation'!D441</f>
        <v>149.01</v>
      </c>
      <c r="D441" s="22">
        <f t="shared" si="40"/>
        <v>768.30374082415779</v>
      </c>
      <c r="E441" s="23">
        <f t="shared" si="41"/>
        <v>14.003651671791999</v>
      </c>
      <c r="F441" s="23">
        <f t="shared" si="42"/>
        <v>-14.003651671791999</v>
      </c>
      <c r="H441" s="13"/>
      <c r="I441" s="14"/>
    </row>
    <row r="442" spans="1:9" x14ac:dyDescent="0.3">
      <c r="A442" s="2">
        <v>43489</v>
      </c>
      <c r="B442" s="1">
        <v>38.174999999999997</v>
      </c>
      <c r="C442" s="1">
        <f>'Historical Simulation'!D442</f>
        <v>145.83000000000001</v>
      </c>
      <c r="D442" s="22">
        <f t="shared" si="40"/>
        <v>754.30008915236579</v>
      </c>
      <c r="E442" s="23">
        <f t="shared" si="41"/>
        <v>11.901488677670272</v>
      </c>
      <c r="F442" s="23">
        <f t="shared" si="42"/>
        <v>-11.901488677670272</v>
      </c>
      <c r="H442" s="13"/>
      <c r="I442" s="14"/>
    </row>
    <row r="443" spans="1:9" x14ac:dyDescent="0.3">
      <c r="A443" s="2">
        <v>43488</v>
      </c>
      <c r="B443" s="1">
        <v>38.479999999999997</v>
      </c>
      <c r="C443" s="1">
        <f>'Historical Simulation'!D443</f>
        <v>144.30000000000001</v>
      </c>
      <c r="D443" s="22">
        <f t="shared" si="40"/>
        <v>742.39860047469551</v>
      </c>
      <c r="E443" s="23">
        <f t="shared" si="41"/>
        <v>-22.62822818584209</v>
      </c>
      <c r="F443" s="23">
        <f t="shared" si="42"/>
        <v>22.62822818584209</v>
      </c>
      <c r="H443" s="13"/>
      <c r="I443" s="14"/>
    </row>
    <row r="444" spans="1:9" x14ac:dyDescent="0.3">
      <c r="A444" s="2">
        <v>43487</v>
      </c>
      <c r="B444" s="1">
        <v>38.325000000000003</v>
      </c>
      <c r="C444" s="1">
        <f>'Historical Simulation'!D444</f>
        <v>147.57</v>
      </c>
      <c r="D444" s="22">
        <f t="shared" si="40"/>
        <v>765.0268286605376</v>
      </c>
      <c r="E444" s="23">
        <f t="shared" si="41"/>
        <v>-11.456739508172177</v>
      </c>
      <c r="F444" s="23">
        <f t="shared" si="42"/>
        <v>11.456739508172177</v>
      </c>
      <c r="H444" s="13"/>
      <c r="I444" s="14"/>
    </row>
    <row r="445" spans="1:9" x14ac:dyDescent="0.3">
      <c r="A445" s="2">
        <v>43486</v>
      </c>
      <c r="B445" s="1">
        <v>39.204999999999998</v>
      </c>
      <c r="C445" s="1">
        <f>'Historical Simulation'!D445</f>
        <v>150.04</v>
      </c>
      <c r="D445" s="22">
        <f t="shared" si="40"/>
        <v>776.48356816870978</v>
      </c>
      <c r="E445" s="23">
        <f t="shared" si="41"/>
        <v>0</v>
      </c>
      <c r="F445" s="23">
        <f t="shared" si="42"/>
        <v>0</v>
      </c>
      <c r="H445" s="13"/>
      <c r="I445" s="14"/>
    </row>
    <row r="446" spans="1:9" x14ac:dyDescent="0.3">
      <c r="A446" s="2">
        <v>43483</v>
      </c>
      <c r="B446" s="1">
        <v>39.204999999999998</v>
      </c>
      <c r="C446" s="1">
        <f>'Historical Simulation'!D446</f>
        <v>150.04</v>
      </c>
      <c r="D446" s="22">
        <f t="shared" si="40"/>
        <v>776.48356816870978</v>
      </c>
      <c r="E446" s="23">
        <f t="shared" si="41"/>
        <v>10.218056139784949</v>
      </c>
      <c r="F446" s="23">
        <f t="shared" si="42"/>
        <v>-10.218056139784949</v>
      </c>
      <c r="H446" s="13"/>
      <c r="I446" s="14"/>
    </row>
    <row r="447" spans="1:9" x14ac:dyDescent="0.3">
      <c r="A447" s="2">
        <v>43482</v>
      </c>
      <c r="B447" s="1">
        <v>38.965000000000003</v>
      </c>
      <c r="C447" s="1">
        <f>'Historical Simulation'!D447</f>
        <v>148.30000000000001</v>
      </c>
      <c r="D447" s="22">
        <f t="shared" si="40"/>
        <v>766.26551202892483</v>
      </c>
      <c r="E447" s="23">
        <f t="shared" si="41"/>
        <v>3.7555798360573363</v>
      </c>
      <c r="F447" s="23">
        <f t="shared" si="42"/>
        <v>-3.7555798360573363</v>
      </c>
      <c r="H447" s="13"/>
      <c r="I447" s="14"/>
    </row>
    <row r="448" spans="1:9" x14ac:dyDescent="0.3">
      <c r="A448" s="2">
        <v>43481</v>
      </c>
      <c r="B448" s="1">
        <v>38.734999999999999</v>
      </c>
      <c r="C448" s="1">
        <f>'Historical Simulation'!D448</f>
        <v>147.54</v>
      </c>
      <c r="D448" s="22">
        <f t="shared" si="40"/>
        <v>762.5099321928675</v>
      </c>
      <c r="E448" s="23">
        <f t="shared" si="41"/>
        <v>-12.021700268297423</v>
      </c>
      <c r="F448" s="23">
        <f t="shared" si="42"/>
        <v>12.021700268297423</v>
      </c>
      <c r="H448" s="13"/>
      <c r="I448" s="14"/>
    </row>
    <row r="449" spans="1:9" x14ac:dyDescent="0.3">
      <c r="A449" s="2">
        <v>43480</v>
      </c>
      <c r="B449" s="1">
        <v>38.267499999999998</v>
      </c>
      <c r="C449" s="1">
        <f>'Historical Simulation'!D449</f>
        <v>148.94999999999999</v>
      </c>
      <c r="D449" s="22">
        <f t="shared" si="40"/>
        <v>774.53163246116492</v>
      </c>
      <c r="E449" s="23">
        <f t="shared" si="41"/>
        <v>19.343314513566384</v>
      </c>
      <c r="F449" s="23">
        <f t="shared" si="42"/>
        <v>-19.343314513566384</v>
      </c>
      <c r="H449" s="13"/>
      <c r="I449" s="14"/>
    </row>
    <row r="450" spans="1:9" x14ac:dyDescent="0.3">
      <c r="A450" s="2">
        <v>43479</v>
      </c>
      <c r="B450" s="1">
        <v>37.5</v>
      </c>
      <c r="C450" s="1">
        <f>'Historical Simulation'!D450</f>
        <v>145.38999999999999</v>
      </c>
      <c r="D450" s="22">
        <f t="shared" si="40"/>
        <v>755.18831794759853</v>
      </c>
      <c r="E450" s="23">
        <f t="shared" si="41"/>
        <v>13.812530934856341</v>
      </c>
      <c r="F450" s="23">
        <f t="shared" si="42"/>
        <v>-13.812530934856341</v>
      </c>
      <c r="H450" s="13"/>
      <c r="I450" s="14"/>
    </row>
    <row r="451" spans="1:9" x14ac:dyDescent="0.3">
      <c r="A451" s="2">
        <v>43476</v>
      </c>
      <c r="B451" s="1">
        <v>38.072499999999998</v>
      </c>
      <c r="C451" s="1">
        <f>'Historical Simulation'!D451</f>
        <v>143.80000000000001</v>
      </c>
      <c r="D451" s="22">
        <f t="shared" si="40"/>
        <v>741.37578701274219</v>
      </c>
      <c r="E451" s="23">
        <f t="shared" si="41"/>
        <v>-0.52717084209655241</v>
      </c>
      <c r="F451" s="23">
        <f t="shared" si="42"/>
        <v>0.52717084209655241</v>
      </c>
      <c r="H451" s="13"/>
      <c r="I451" s="14"/>
    </row>
    <row r="452" spans="1:9" x14ac:dyDescent="0.3">
      <c r="A452" s="2">
        <v>43475</v>
      </c>
      <c r="B452" s="1">
        <v>38.450000000000003</v>
      </c>
      <c r="C452" s="1">
        <f>'Historical Simulation'!D452</f>
        <v>144.19999999999999</v>
      </c>
      <c r="D452" s="22">
        <f t="shared" si="40"/>
        <v>741.90295785483875</v>
      </c>
      <c r="E452" s="23">
        <f t="shared" si="41"/>
        <v>-0.89193570754480334</v>
      </c>
      <c r="F452" s="23">
        <f t="shared" si="42"/>
        <v>0.89193570754480334</v>
      </c>
      <c r="H452" s="13"/>
      <c r="I452" s="14"/>
    </row>
    <row r="453" spans="1:9" x14ac:dyDescent="0.3">
      <c r="A453" s="2">
        <v>43474</v>
      </c>
      <c r="B453" s="1">
        <v>38.327500000000001</v>
      </c>
      <c r="C453" s="1">
        <f>'Historical Simulation'!D453</f>
        <v>144.22999999999999</v>
      </c>
      <c r="D453" s="22">
        <f t="shared" si="40"/>
        <v>742.79489356238355</v>
      </c>
      <c r="E453" s="23">
        <f t="shared" si="41"/>
        <v>7.6911596721146225</v>
      </c>
      <c r="F453" s="23">
        <f t="shared" si="42"/>
        <v>-7.6911596721146225</v>
      </c>
      <c r="H453" s="13"/>
      <c r="I453" s="14"/>
    </row>
    <row r="454" spans="1:9" x14ac:dyDescent="0.3">
      <c r="A454" s="2">
        <v>43473</v>
      </c>
      <c r="B454" s="1">
        <v>37.6875</v>
      </c>
      <c r="C454" s="1">
        <f>'Historical Simulation'!D454</f>
        <v>142.53</v>
      </c>
      <c r="D454" s="22">
        <f t="shared" ref="D454:D517" si="43">$M$16*B454+(1-$M$16)*C454</f>
        <v>735.10373389026893</v>
      </c>
      <c r="E454" s="23">
        <f t="shared" ref="E454:E517" si="44">D454-D455</f>
        <v>25.816441285125279</v>
      </c>
      <c r="F454" s="23">
        <f t="shared" ref="F454:F517" si="45">-E454</f>
        <v>-25.816441285125279</v>
      </c>
      <c r="H454" s="13"/>
      <c r="I454" s="14"/>
    </row>
    <row r="455" spans="1:9" x14ac:dyDescent="0.3">
      <c r="A455" s="2">
        <v>43472</v>
      </c>
      <c r="B455" s="1">
        <v>36.982500000000002</v>
      </c>
      <c r="C455" s="1">
        <f>'Historical Simulation'!D455</f>
        <v>138.05000000000001</v>
      </c>
      <c r="D455" s="22">
        <f t="shared" si="43"/>
        <v>709.28729260514365</v>
      </c>
      <c r="E455" s="23">
        <f t="shared" si="44"/>
        <v>1.1314968303407795</v>
      </c>
      <c r="F455" s="23">
        <f t="shared" si="45"/>
        <v>-1.1314968303407795</v>
      </c>
      <c r="H455" s="13"/>
      <c r="I455" s="14"/>
    </row>
    <row r="456" spans="1:9" x14ac:dyDescent="0.3">
      <c r="A456" s="2">
        <v>43469</v>
      </c>
      <c r="B456" s="1">
        <v>37.064999999999998</v>
      </c>
      <c r="C456" s="1">
        <f>'Historical Simulation'!D456</f>
        <v>137.94999999999999</v>
      </c>
      <c r="D456" s="22">
        <f t="shared" si="43"/>
        <v>708.15579577480287</v>
      </c>
      <c r="E456" s="23">
        <f t="shared" si="44"/>
        <v>32.73218562396039</v>
      </c>
      <c r="F456" s="23">
        <f t="shared" si="45"/>
        <v>-32.73218562396039</v>
      </c>
      <c r="H456" s="13"/>
      <c r="I456" s="14"/>
    </row>
    <row r="457" spans="1:9" x14ac:dyDescent="0.3">
      <c r="A457" s="2">
        <v>43468</v>
      </c>
      <c r="B457" s="1">
        <v>35.547499999999999</v>
      </c>
      <c r="C457" s="1">
        <f>'Historical Simulation'!D457</f>
        <v>131.74</v>
      </c>
      <c r="D457" s="22">
        <f t="shared" si="43"/>
        <v>675.42361015084248</v>
      </c>
      <c r="E457" s="23">
        <f t="shared" si="44"/>
        <v>-3.9823902806988372</v>
      </c>
      <c r="F457" s="23">
        <f t="shared" si="45"/>
        <v>3.9823902806988372</v>
      </c>
      <c r="H457" s="13"/>
      <c r="I457" s="14"/>
    </row>
    <row r="458" spans="1:9" x14ac:dyDescent="0.3">
      <c r="A458" s="2">
        <v>43467</v>
      </c>
      <c r="B458" s="1">
        <v>39.479999999999997</v>
      </c>
      <c r="C458" s="1">
        <f>'Historical Simulation'!D458</f>
        <v>135.68</v>
      </c>
      <c r="D458" s="22">
        <f t="shared" si="43"/>
        <v>679.40600043154132</v>
      </c>
      <c r="E458" s="23">
        <f t="shared" si="44"/>
        <v>30.278510103548342</v>
      </c>
      <c r="F458" s="23">
        <f t="shared" si="45"/>
        <v>-30.278510103548342</v>
      </c>
      <c r="H458" s="13"/>
      <c r="I458" s="14"/>
    </row>
    <row r="459" spans="1:9" x14ac:dyDescent="0.3">
      <c r="A459" s="2">
        <v>43466</v>
      </c>
      <c r="B459" s="1">
        <v>39.435000000000002</v>
      </c>
      <c r="C459" s="1">
        <f>'Historical Simulation'!D459</f>
        <v>131.09</v>
      </c>
      <c r="D459" s="22">
        <f t="shared" si="43"/>
        <v>649.12749032799297</v>
      </c>
      <c r="E459" s="23">
        <f t="shared" si="44"/>
        <v>0</v>
      </c>
      <c r="F459" s="23">
        <f t="shared" si="45"/>
        <v>0</v>
      </c>
      <c r="H459" s="13"/>
      <c r="I459" s="14"/>
    </row>
    <row r="460" spans="1:9" x14ac:dyDescent="0.3">
      <c r="A460" s="2">
        <v>43465</v>
      </c>
      <c r="B460" s="1">
        <v>39.435000000000002</v>
      </c>
      <c r="C460" s="1">
        <f>'Historical Simulation'!D460</f>
        <v>131.09</v>
      </c>
      <c r="D460" s="22">
        <f t="shared" si="43"/>
        <v>649.12749032799297</v>
      </c>
      <c r="E460" s="23">
        <f t="shared" si="44"/>
        <v>-16.169443098476563</v>
      </c>
      <c r="F460" s="23">
        <f t="shared" si="45"/>
        <v>16.169443098476563</v>
      </c>
      <c r="H460" s="13"/>
      <c r="I460" s="14"/>
    </row>
    <row r="461" spans="1:9" x14ac:dyDescent="0.3">
      <c r="A461" s="2">
        <v>43462</v>
      </c>
      <c r="B461" s="1">
        <v>39.057499999999997</v>
      </c>
      <c r="C461" s="1">
        <f>'Historical Simulation'!D461</f>
        <v>133.19999999999999</v>
      </c>
      <c r="D461" s="22">
        <f t="shared" si="43"/>
        <v>665.29693342646954</v>
      </c>
      <c r="E461" s="23">
        <f t="shared" si="44"/>
        <v>-8.8937301515413765</v>
      </c>
      <c r="F461" s="23">
        <f t="shared" si="45"/>
        <v>8.8937301515413765</v>
      </c>
      <c r="H461" s="13"/>
      <c r="I461" s="14"/>
    </row>
    <row r="462" spans="1:9" x14ac:dyDescent="0.3">
      <c r="A462" s="2">
        <v>43461</v>
      </c>
      <c r="B462" s="1">
        <v>39.037500000000001</v>
      </c>
      <c r="C462" s="1">
        <f>'Historical Simulation'!D462</f>
        <v>134.52000000000001</v>
      </c>
      <c r="D462" s="22">
        <f t="shared" si="43"/>
        <v>674.19066357801091</v>
      </c>
      <c r="E462" s="23">
        <f t="shared" si="44"/>
        <v>3.7029622687813344</v>
      </c>
      <c r="F462" s="23">
        <f t="shared" si="45"/>
        <v>-3.7029622687813344</v>
      </c>
      <c r="H462" s="13"/>
      <c r="I462" s="14"/>
    </row>
    <row r="463" spans="1:9" x14ac:dyDescent="0.3">
      <c r="A463" s="2">
        <v>43460</v>
      </c>
      <c r="B463" s="1">
        <v>39.292499999999997</v>
      </c>
      <c r="C463" s="1">
        <f>'Historical Simulation'!D463</f>
        <v>134.18</v>
      </c>
      <c r="D463" s="22">
        <f t="shared" si="43"/>
        <v>670.48770130922958</v>
      </c>
      <c r="E463" s="23">
        <f t="shared" si="44"/>
        <v>52.708102008853189</v>
      </c>
      <c r="F463" s="23">
        <f t="shared" si="45"/>
        <v>-52.708102008853189</v>
      </c>
      <c r="H463" s="13"/>
      <c r="I463" s="14"/>
    </row>
    <row r="464" spans="1:9" x14ac:dyDescent="0.3">
      <c r="A464" s="2">
        <v>43459</v>
      </c>
      <c r="B464" s="1">
        <v>36.707500000000003</v>
      </c>
      <c r="C464" s="1">
        <f>'Historical Simulation'!D464</f>
        <v>124.06</v>
      </c>
      <c r="D464" s="22">
        <f t="shared" si="43"/>
        <v>617.77959930037639</v>
      </c>
      <c r="E464" s="23">
        <f t="shared" si="44"/>
        <v>0</v>
      </c>
      <c r="F464" s="23">
        <f t="shared" si="45"/>
        <v>0</v>
      </c>
      <c r="H464" s="13"/>
      <c r="I464" s="14"/>
    </row>
    <row r="465" spans="1:9" x14ac:dyDescent="0.3">
      <c r="A465" s="2">
        <v>43458</v>
      </c>
      <c r="B465" s="1">
        <v>36.707500000000003</v>
      </c>
      <c r="C465" s="1">
        <f>'Historical Simulation'!D465</f>
        <v>124.06</v>
      </c>
      <c r="D465" s="22">
        <f t="shared" si="43"/>
        <v>617.77959930037639</v>
      </c>
      <c r="E465" s="23">
        <f t="shared" si="44"/>
        <v>-0.40957681874567697</v>
      </c>
      <c r="F465" s="23">
        <f t="shared" si="45"/>
        <v>0.40957681874567697</v>
      </c>
      <c r="H465" s="13"/>
      <c r="I465" s="14"/>
    </row>
    <row r="466" spans="1:9" x14ac:dyDescent="0.3">
      <c r="A466" s="2">
        <v>43455</v>
      </c>
      <c r="B466" s="1">
        <v>37.682499999999997</v>
      </c>
      <c r="C466" s="1">
        <f>'Historical Simulation'!D466</f>
        <v>124.95</v>
      </c>
      <c r="D466" s="22">
        <f t="shared" si="43"/>
        <v>618.18917611912207</v>
      </c>
      <c r="E466" s="23">
        <f t="shared" si="44"/>
        <v>-47.590359178673793</v>
      </c>
      <c r="F466" s="23">
        <f t="shared" si="45"/>
        <v>47.590359178673793</v>
      </c>
      <c r="H466" s="13"/>
      <c r="I466" s="14"/>
    </row>
    <row r="467" spans="1:9" x14ac:dyDescent="0.3">
      <c r="A467" s="2">
        <v>43454</v>
      </c>
      <c r="B467" s="1">
        <v>39.207500000000003</v>
      </c>
      <c r="C467" s="1">
        <f>'Historical Simulation'!D467</f>
        <v>133.4</v>
      </c>
      <c r="D467" s="22">
        <f t="shared" si="43"/>
        <v>665.77953529779586</v>
      </c>
      <c r="E467" s="23">
        <f t="shared" si="44"/>
        <v>6.8011439761647807</v>
      </c>
      <c r="F467" s="23">
        <f t="shared" si="45"/>
        <v>-6.8011439761647807</v>
      </c>
      <c r="H467" s="13"/>
      <c r="I467" s="14"/>
    </row>
    <row r="468" spans="1:9" x14ac:dyDescent="0.3">
      <c r="A468" s="2">
        <v>43453</v>
      </c>
      <c r="B468" s="1">
        <v>40.222499999999997</v>
      </c>
      <c r="C468" s="1">
        <f>'Historical Simulation'!D468</f>
        <v>133.24</v>
      </c>
      <c r="D468" s="22">
        <f t="shared" si="43"/>
        <v>658.97839132163108</v>
      </c>
      <c r="E468" s="23">
        <f t="shared" si="44"/>
        <v>-61.994841517024952</v>
      </c>
      <c r="F468" s="23">
        <f t="shared" si="45"/>
        <v>61.994841517024952</v>
      </c>
      <c r="H468" s="13"/>
      <c r="I468" s="14"/>
    </row>
    <row r="469" spans="1:9" x14ac:dyDescent="0.3">
      <c r="A469" s="2">
        <v>43452</v>
      </c>
      <c r="B469" s="1">
        <v>41.517499999999998</v>
      </c>
      <c r="C469" s="1">
        <f>'Historical Simulation'!D469</f>
        <v>143.66</v>
      </c>
      <c r="D469" s="22">
        <f t="shared" si="43"/>
        <v>720.97323283865603</v>
      </c>
      <c r="E469" s="23">
        <f t="shared" si="44"/>
        <v>20.072859940412172</v>
      </c>
      <c r="F469" s="23">
        <f t="shared" si="45"/>
        <v>-20.072859940412172</v>
      </c>
      <c r="H469" s="13"/>
      <c r="I469" s="14"/>
    </row>
    <row r="470" spans="1:9" x14ac:dyDescent="0.3">
      <c r="A470" s="2">
        <v>43451</v>
      </c>
      <c r="B470" s="1">
        <v>40.984999999999999</v>
      </c>
      <c r="C470" s="1">
        <f>'Historical Simulation'!D470</f>
        <v>140.19</v>
      </c>
      <c r="D470" s="22">
        <f t="shared" si="43"/>
        <v>700.90037289824386</v>
      </c>
      <c r="E470" s="23">
        <f t="shared" si="44"/>
        <v>-23.567350431433624</v>
      </c>
      <c r="F470" s="23">
        <f t="shared" si="45"/>
        <v>23.567350431433624</v>
      </c>
      <c r="H470" s="13"/>
      <c r="I470" s="14"/>
    </row>
    <row r="471" spans="1:9" x14ac:dyDescent="0.3">
      <c r="A471" s="2">
        <v>43448</v>
      </c>
      <c r="B471" s="1">
        <v>41.37</v>
      </c>
      <c r="C471" s="1">
        <f>'Historical Simulation'!D471</f>
        <v>144.06</v>
      </c>
      <c r="D471" s="22">
        <f t="shared" si="43"/>
        <v>724.46772332967748</v>
      </c>
      <c r="E471" s="23">
        <f t="shared" si="44"/>
        <v>1.4097256255735147</v>
      </c>
      <c r="F471" s="23">
        <f t="shared" si="45"/>
        <v>-1.4097256255735147</v>
      </c>
      <c r="H471" s="13"/>
      <c r="I471" s="14"/>
    </row>
    <row r="472" spans="1:9" x14ac:dyDescent="0.3">
      <c r="A472" s="2">
        <v>43447</v>
      </c>
      <c r="B472" s="1">
        <v>42.737499999999997</v>
      </c>
      <c r="C472" s="1">
        <f>'Historical Simulation'!D472</f>
        <v>145.01</v>
      </c>
      <c r="D472" s="22">
        <f t="shared" si="43"/>
        <v>723.05799770410397</v>
      </c>
      <c r="E472" s="23">
        <f t="shared" si="44"/>
        <v>0.77847177775981891</v>
      </c>
      <c r="F472" s="23">
        <f t="shared" si="45"/>
        <v>-0.77847177775981891</v>
      </c>
      <c r="H472" s="13"/>
      <c r="I472" s="14"/>
    </row>
    <row r="473" spans="1:9" x14ac:dyDescent="0.3">
      <c r="A473" s="2">
        <v>43446</v>
      </c>
      <c r="B473" s="1">
        <v>42.274999999999999</v>
      </c>
      <c r="C473" s="1">
        <f>'Historical Simulation'!D473</f>
        <v>144.5</v>
      </c>
      <c r="D473" s="22">
        <f t="shared" si="43"/>
        <v>722.27952592634415</v>
      </c>
      <c r="E473" s="23">
        <f t="shared" si="44"/>
        <v>15.433816174569756</v>
      </c>
      <c r="F473" s="23">
        <f t="shared" si="45"/>
        <v>-15.433816174569756</v>
      </c>
      <c r="H473" s="13"/>
      <c r="I473" s="14"/>
    </row>
    <row r="474" spans="1:9" x14ac:dyDescent="0.3">
      <c r="A474" s="2">
        <v>43445</v>
      </c>
      <c r="B474" s="1">
        <v>42.157499999999999</v>
      </c>
      <c r="C474" s="1">
        <f>'Historical Simulation'!D474</f>
        <v>142.08000000000001</v>
      </c>
      <c r="D474" s="22">
        <f t="shared" si="43"/>
        <v>706.84570975177439</v>
      </c>
      <c r="E474" s="23">
        <f t="shared" si="44"/>
        <v>2.9005876840324163</v>
      </c>
      <c r="F474" s="23">
        <f t="shared" si="45"/>
        <v>-2.9005876840324163</v>
      </c>
      <c r="H474" s="13"/>
      <c r="I474" s="14"/>
    </row>
    <row r="475" spans="1:9" x14ac:dyDescent="0.3">
      <c r="A475" s="2">
        <v>43444</v>
      </c>
      <c r="B475" s="1">
        <v>42.4</v>
      </c>
      <c r="C475" s="1">
        <f>'Historical Simulation'!D475</f>
        <v>141.85</v>
      </c>
      <c r="D475" s="22">
        <f t="shared" si="43"/>
        <v>703.94512206774198</v>
      </c>
      <c r="E475" s="23">
        <f t="shared" si="44"/>
        <v>27.900085413638067</v>
      </c>
      <c r="F475" s="23">
        <f t="shared" si="45"/>
        <v>-27.900085413638067</v>
      </c>
      <c r="H475" s="13"/>
      <c r="I475" s="14"/>
    </row>
    <row r="476" spans="1:9" x14ac:dyDescent="0.3">
      <c r="A476" s="2">
        <v>43441</v>
      </c>
      <c r="B476" s="1">
        <v>42.122500000000002</v>
      </c>
      <c r="C476" s="1">
        <f>'Historical Simulation'!D476</f>
        <v>137.41999999999999</v>
      </c>
      <c r="D476" s="22">
        <f t="shared" si="43"/>
        <v>676.04503665410391</v>
      </c>
      <c r="E476" s="23">
        <f t="shared" si="44"/>
        <v>-5.8979544208065136</v>
      </c>
      <c r="F476" s="23">
        <f t="shared" si="45"/>
        <v>5.8979544208065136</v>
      </c>
      <c r="H476" s="13"/>
      <c r="I476" s="14"/>
    </row>
    <row r="477" spans="1:9" x14ac:dyDescent="0.3">
      <c r="A477" s="2">
        <v>43440</v>
      </c>
      <c r="B477" s="1">
        <v>43.68</v>
      </c>
      <c r="C477" s="1">
        <f>'Historical Simulation'!D477</f>
        <v>139.63</v>
      </c>
      <c r="D477" s="22">
        <f t="shared" si="43"/>
        <v>681.94299107491042</v>
      </c>
      <c r="E477" s="23">
        <f t="shared" si="44"/>
        <v>14.09209205765228</v>
      </c>
      <c r="F477" s="23">
        <f t="shared" si="45"/>
        <v>-14.09209205765228</v>
      </c>
      <c r="H477" s="13"/>
      <c r="I477" s="14"/>
    </row>
    <row r="478" spans="1:9" x14ac:dyDescent="0.3">
      <c r="A478" s="2">
        <v>43439</v>
      </c>
      <c r="B478" s="1">
        <v>44.172499999999999</v>
      </c>
      <c r="C478" s="1">
        <f>'Historical Simulation'!D478</f>
        <v>137.93</v>
      </c>
      <c r="D478" s="22">
        <f t="shared" si="43"/>
        <v>667.85089901725814</v>
      </c>
      <c r="E478" s="23">
        <f t="shared" si="44"/>
        <v>0</v>
      </c>
      <c r="F478" s="23">
        <f t="shared" si="45"/>
        <v>0</v>
      </c>
      <c r="H478" s="13"/>
      <c r="I478" s="14"/>
    </row>
    <row r="479" spans="1:9" x14ac:dyDescent="0.3">
      <c r="A479" s="2">
        <v>43438</v>
      </c>
      <c r="B479" s="1">
        <v>44.172499999999999</v>
      </c>
      <c r="C479" s="1">
        <f>'Historical Simulation'!D479</f>
        <v>137.93</v>
      </c>
      <c r="D479" s="22">
        <f t="shared" si="43"/>
        <v>667.85089901725814</v>
      </c>
      <c r="E479" s="23">
        <f t="shared" si="44"/>
        <v>-9.5326721984051801</v>
      </c>
      <c r="F479" s="23">
        <f t="shared" si="45"/>
        <v>9.5326721984051801</v>
      </c>
      <c r="H479" s="13"/>
      <c r="I479" s="14"/>
    </row>
    <row r="480" spans="1:9" x14ac:dyDescent="0.3">
      <c r="A480" s="2">
        <v>43437</v>
      </c>
      <c r="B480" s="1">
        <v>46.204999999999998</v>
      </c>
      <c r="C480" s="1">
        <f>'Historical Simulation'!D480</f>
        <v>141.09</v>
      </c>
      <c r="D480" s="22">
        <f t="shared" si="43"/>
        <v>677.38357121566332</v>
      </c>
      <c r="E480" s="23">
        <f t="shared" si="44"/>
        <v>-5.6242004206450247</v>
      </c>
      <c r="F480" s="23">
        <f t="shared" si="45"/>
        <v>5.6242004206450247</v>
      </c>
      <c r="H480" s="13"/>
      <c r="I480" s="14"/>
    </row>
    <row r="481" spans="1:9" x14ac:dyDescent="0.3">
      <c r="A481" s="2">
        <v>43434</v>
      </c>
      <c r="B481" s="1">
        <v>44.645000000000003</v>
      </c>
      <c r="C481" s="1">
        <f>'Historical Simulation'!D481</f>
        <v>140.61000000000001</v>
      </c>
      <c r="D481" s="22">
        <f t="shared" si="43"/>
        <v>683.00777163630835</v>
      </c>
      <c r="E481" s="23">
        <f t="shared" si="44"/>
        <v>14.209051309121946</v>
      </c>
      <c r="F481" s="23">
        <f t="shared" si="45"/>
        <v>-14.209051309121946</v>
      </c>
      <c r="H481" s="13"/>
      <c r="I481" s="14"/>
    </row>
    <row r="482" spans="1:9" x14ac:dyDescent="0.3">
      <c r="A482" s="2">
        <v>43433</v>
      </c>
      <c r="B482" s="1">
        <v>44.887500000000003</v>
      </c>
      <c r="C482" s="1">
        <f>'Historical Simulation'!D482</f>
        <v>138.68</v>
      </c>
      <c r="D482" s="22">
        <f t="shared" si="43"/>
        <v>668.7987203271864</v>
      </c>
      <c r="E482" s="23">
        <f t="shared" si="44"/>
        <v>14.735994864641498</v>
      </c>
      <c r="F482" s="23">
        <f t="shared" si="45"/>
        <v>-14.735994864641498</v>
      </c>
      <c r="H482" s="13"/>
      <c r="I482" s="14"/>
    </row>
    <row r="483" spans="1:9" x14ac:dyDescent="0.3">
      <c r="A483" s="2">
        <v>43432</v>
      </c>
      <c r="B483" s="1">
        <v>45.234999999999999</v>
      </c>
      <c r="C483" s="1">
        <f>'Historical Simulation'!D483</f>
        <v>136.76</v>
      </c>
      <c r="D483" s="22">
        <f t="shared" si="43"/>
        <v>654.0627254625449</v>
      </c>
      <c r="E483" s="23">
        <f t="shared" si="44"/>
        <v>2.2404231812545277</v>
      </c>
      <c r="F483" s="23">
        <f t="shared" si="45"/>
        <v>-2.2404231812545277</v>
      </c>
      <c r="H483" s="13"/>
      <c r="I483" s="14"/>
    </row>
    <row r="484" spans="1:9" x14ac:dyDescent="0.3">
      <c r="A484" s="2">
        <v>43431</v>
      </c>
      <c r="B484" s="1">
        <v>43.56</v>
      </c>
      <c r="C484" s="1">
        <f>'Historical Simulation'!D484</f>
        <v>135</v>
      </c>
      <c r="D484" s="22">
        <f t="shared" si="43"/>
        <v>651.82230228129038</v>
      </c>
      <c r="E484" s="23">
        <f t="shared" si="44"/>
        <v>-8.6428680930823703</v>
      </c>
      <c r="F484" s="23">
        <f t="shared" si="45"/>
        <v>8.6428680930823703</v>
      </c>
      <c r="H484" s="13"/>
      <c r="I484" s="14"/>
    </row>
    <row r="485" spans="1:9" x14ac:dyDescent="0.3">
      <c r="A485" s="2">
        <v>43430</v>
      </c>
      <c r="B485" s="1">
        <v>43.655000000000001</v>
      </c>
      <c r="C485" s="1">
        <f>'Historical Simulation'!D485</f>
        <v>136.38</v>
      </c>
      <c r="D485" s="22">
        <f t="shared" si="43"/>
        <v>660.46517037437275</v>
      </c>
      <c r="E485" s="23">
        <f t="shared" si="44"/>
        <v>27.639662232383557</v>
      </c>
      <c r="F485" s="23">
        <f t="shared" si="45"/>
        <v>-27.639662232383557</v>
      </c>
      <c r="H485" s="13"/>
      <c r="I485" s="14"/>
    </row>
    <row r="486" spans="1:9" x14ac:dyDescent="0.3">
      <c r="A486" s="2">
        <v>43427</v>
      </c>
      <c r="B486" s="1">
        <v>43.072499999999998</v>
      </c>
      <c r="C486" s="1">
        <f>'Historical Simulation'!D486</f>
        <v>131.72999999999999</v>
      </c>
      <c r="D486" s="22">
        <f t="shared" si="43"/>
        <v>632.82550814198919</v>
      </c>
      <c r="E486" s="23">
        <f t="shared" si="44"/>
        <v>-14.210383636684696</v>
      </c>
      <c r="F486" s="23">
        <f t="shared" si="45"/>
        <v>14.210383636684696</v>
      </c>
      <c r="H486" s="13"/>
      <c r="I486" s="14"/>
    </row>
    <row r="487" spans="1:9" x14ac:dyDescent="0.3">
      <c r="A487" s="2">
        <v>43426</v>
      </c>
      <c r="B487" s="1">
        <v>44.195</v>
      </c>
      <c r="C487" s="1">
        <f>'Historical Simulation'!D487</f>
        <v>134.82</v>
      </c>
      <c r="D487" s="22">
        <f t="shared" si="43"/>
        <v>647.03589177867389</v>
      </c>
      <c r="E487" s="23">
        <f t="shared" si="44"/>
        <v>0</v>
      </c>
      <c r="F487" s="23">
        <f t="shared" si="45"/>
        <v>0</v>
      </c>
      <c r="H487" s="13"/>
      <c r="I487" s="14"/>
    </row>
    <row r="488" spans="1:9" x14ac:dyDescent="0.3">
      <c r="A488" s="2">
        <v>43425</v>
      </c>
      <c r="B488" s="1">
        <v>44.195</v>
      </c>
      <c r="C488" s="1">
        <f>'Historical Simulation'!D488</f>
        <v>134.82</v>
      </c>
      <c r="D488" s="22">
        <f t="shared" si="43"/>
        <v>647.03589177867389</v>
      </c>
      <c r="E488" s="23">
        <f t="shared" si="44"/>
        <v>16.180971320716708</v>
      </c>
      <c r="F488" s="23">
        <f t="shared" si="45"/>
        <v>-16.180971320716708</v>
      </c>
      <c r="H488" s="13"/>
      <c r="I488" s="14"/>
    </row>
    <row r="489" spans="1:9" x14ac:dyDescent="0.3">
      <c r="A489" s="2">
        <v>43424</v>
      </c>
      <c r="B489" s="1">
        <v>44.244999999999997</v>
      </c>
      <c r="C489" s="1">
        <f>'Historical Simulation'!D489</f>
        <v>132.43</v>
      </c>
      <c r="D489" s="22">
        <f t="shared" si="43"/>
        <v>630.85492045795718</v>
      </c>
      <c r="E489" s="23">
        <f t="shared" si="44"/>
        <v>18.401316022222318</v>
      </c>
      <c r="F489" s="23">
        <f t="shared" si="45"/>
        <v>-18.401316022222318</v>
      </c>
      <c r="H489" s="13"/>
      <c r="I489" s="14"/>
    </row>
    <row r="490" spans="1:9" x14ac:dyDescent="0.3">
      <c r="A490" s="2">
        <v>43423</v>
      </c>
      <c r="B490" s="1">
        <v>46.465000000000003</v>
      </c>
      <c r="C490" s="1">
        <f>'Historical Simulation'!D490</f>
        <v>131.55000000000001</v>
      </c>
      <c r="D490" s="22">
        <f t="shared" si="43"/>
        <v>612.45360443573486</v>
      </c>
      <c r="E490" s="23">
        <f t="shared" si="44"/>
        <v>-42.245476898297511</v>
      </c>
      <c r="F490" s="23">
        <f t="shared" si="45"/>
        <v>42.245476898297511</v>
      </c>
    </row>
    <row r="491" spans="1:9" x14ac:dyDescent="0.3">
      <c r="A491" s="2">
        <v>43420</v>
      </c>
      <c r="B491" s="1">
        <v>48.3825</v>
      </c>
      <c r="C491" s="1">
        <f>'Historical Simulation'!D491</f>
        <v>139.53</v>
      </c>
      <c r="D491" s="22">
        <f t="shared" si="43"/>
        <v>654.69908133403237</v>
      </c>
      <c r="E491" s="23">
        <f t="shared" si="44"/>
        <v>-31.732381518637908</v>
      </c>
      <c r="F491" s="23">
        <f t="shared" si="45"/>
        <v>31.732381518637908</v>
      </c>
    </row>
    <row r="492" spans="1:9" x14ac:dyDescent="0.3">
      <c r="A492" s="2">
        <v>43419</v>
      </c>
      <c r="B492" s="1">
        <v>47.852499999999999</v>
      </c>
      <c r="C492" s="1">
        <f>'Historical Simulation'!D492</f>
        <v>143.85</v>
      </c>
      <c r="D492" s="22">
        <f t="shared" si="43"/>
        <v>686.43146285267028</v>
      </c>
      <c r="E492" s="23">
        <f t="shared" si="44"/>
        <v>-8.9752269818817467</v>
      </c>
      <c r="F492" s="23">
        <f t="shared" si="45"/>
        <v>8.9752269818817467</v>
      </c>
    </row>
    <row r="493" spans="1:9" x14ac:dyDescent="0.3">
      <c r="A493" s="2">
        <v>43418</v>
      </c>
      <c r="B493" s="1">
        <v>46.7</v>
      </c>
      <c r="C493" s="1">
        <f>'Historical Simulation'!D493</f>
        <v>144.22</v>
      </c>
      <c r="D493" s="22">
        <f t="shared" si="43"/>
        <v>695.40668983455203</v>
      </c>
      <c r="E493" s="23">
        <f t="shared" si="44"/>
        <v>21.375837905143271</v>
      </c>
      <c r="F493" s="23">
        <f t="shared" si="45"/>
        <v>-21.375837905143271</v>
      </c>
    </row>
    <row r="494" spans="1:9" x14ac:dyDescent="0.3">
      <c r="A494" s="2">
        <v>43417</v>
      </c>
      <c r="B494" s="1">
        <v>48.057499999999997</v>
      </c>
      <c r="C494" s="1">
        <f>'Historical Simulation'!D494</f>
        <v>142.16</v>
      </c>
      <c r="D494" s="22">
        <f t="shared" si="43"/>
        <v>674.03085192940875</v>
      </c>
      <c r="E494" s="23">
        <f t="shared" si="44"/>
        <v>6.7989809820429628</v>
      </c>
      <c r="F494" s="23">
        <f t="shared" si="45"/>
        <v>-6.7989809820429628</v>
      </c>
    </row>
    <row r="495" spans="1:9" x14ac:dyDescent="0.3">
      <c r="A495" s="2">
        <v>43416</v>
      </c>
      <c r="B495" s="1">
        <v>48.542499999999997</v>
      </c>
      <c r="C495" s="1">
        <f>'Historical Simulation'!D495</f>
        <v>141.55000000000001</v>
      </c>
      <c r="D495" s="22">
        <f t="shared" si="43"/>
        <v>667.23187094736579</v>
      </c>
      <c r="E495" s="23">
        <f t="shared" si="44"/>
        <v>-8.1294512511468611</v>
      </c>
      <c r="F495" s="23">
        <f t="shared" si="45"/>
        <v>8.1294512511468611</v>
      </c>
    </row>
    <row r="496" spans="1:9" x14ac:dyDescent="0.3">
      <c r="A496" s="2">
        <v>43413</v>
      </c>
      <c r="B496" s="1">
        <v>51.1175</v>
      </c>
      <c r="C496" s="1">
        <f>'Historical Simulation'!D496</f>
        <v>144.96</v>
      </c>
      <c r="D496" s="22">
        <f t="shared" si="43"/>
        <v>675.36132219851265</v>
      </c>
      <c r="E496" s="23">
        <f t="shared" si="44"/>
        <v>-13.677131297526785</v>
      </c>
      <c r="F496" s="23">
        <f t="shared" si="45"/>
        <v>13.677131297526785</v>
      </c>
    </row>
    <row r="497" spans="1:6" x14ac:dyDescent="0.3">
      <c r="A497" s="2">
        <v>43412</v>
      </c>
      <c r="B497" s="1">
        <v>52.122500000000002</v>
      </c>
      <c r="C497" s="1">
        <f>'Historical Simulation'!D497</f>
        <v>147.87</v>
      </c>
      <c r="D497" s="22">
        <f t="shared" si="43"/>
        <v>689.03845349603944</v>
      </c>
      <c r="E497" s="23">
        <f t="shared" si="44"/>
        <v>-22.283463320394276</v>
      </c>
      <c r="F497" s="23">
        <f t="shared" si="45"/>
        <v>22.283463320394276</v>
      </c>
    </row>
    <row r="498" spans="1:6" x14ac:dyDescent="0.3">
      <c r="A498" s="2">
        <v>43411</v>
      </c>
      <c r="B498" s="1">
        <v>52.487499999999997</v>
      </c>
      <c r="C498" s="1">
        <f>'Historical Simulation'!D498</f>
        <v>151.53</v>
      </c>
      <c r="D498" s="22">
        <f t="shared" si="43"/>
        <v>711.32191681643371</v>
      </c>
      <c r="E498" s="23">
        <f t="shared" si="44"/>
        <v>1.8443416841935232</v>
      </c>
      <c r="F498" s="23">
        <f t="shared" si="45"/>
        <v>-1.8443416841935232</v>
      </c>
    </row>
    <row r="499" spans="1:6" x14ac:dyDescent="0.3">
      <c r="A499" s="2">
        <v>43410</v>
      </c>
      <c r="B499" s="1">
        <v>50.942500000000003</v>
      </c>
      <c r="C499" s="1">
        <f>'Historical Simulation'!D499</f>
        <v>149.94</v>
      </c>
      <c r="D499" s="22">
        <f t="shared" si="43"/>
        <v>709.47757513224019</v>
      </c>
      <c r="E499" s="23">
        <f t="shared" si="44"/>
        <v>5.3012067599640886</v>
      </c>
      <c r="F499" s="23">
        <f t="shared" si="45"/>
        <v>-5.3012067599640886</v>
      </c>
    </row>
    <row r="500" spans="1:6" x14ac:dyDescent="0.3">
      <c r="A500" s="2">
        <v>43409</v>
      </c>
      <c r="B500" s="1">
        <v>50.397500000000001</v>
      </c>
      <c r="C500" s="1">
        <f>'Historical Simulation'!D500</f>
        <v>148.68</v>
      </c>
      <c r="D500" s="22">
        <f t="shared" si="43"/>
        <v>704.1763683722761</v>
      </c>
      <c r="E500" s="23">
        <f t="shared" si="44"/>
        <v>-2.7862773917383947</v>
      </c>
      <c r="F500" s="23">
        <f t="shared" si="45"/>
        <v>2.7862773917383947</v>
      </c>
    </row>
    <row r="501" spans="1:6" x14ac:dyDescent="0.3">
      <c r="A501" s="2">
        <v>43406</v>
      </c>
      <c r="B501" s="1">
        <v>51.87</v>
      </c>
      <c r="C501" s="1">
        <f>'Historical Simulation'!D501</f>
        <v>150.35</v>
      </c>
      <c r="D501" s="22">
        <f t="shared" si="43"/>
        <v>706.9626457640145</v>
      </c>
      <c r="E501" s="23">
        <f t="shared" si="44"/>
        <v>11.514905519605804</v>
      </c>
      <c r="F501" s="23">
        <f t="shared" si="45"/>
        <v>-11.514905519605804</v>
      </c>
    </row>
    <row r="502" spans="1:6" x14ac:dyDescent="0.3">
      <c r="A502" s="2">
        <v>43405</v>
      </c>
      <c r="B502" s="1">
        <v>55.555</v>
      </c>
      <c r="C502" s="1">
        <f>'Historical Simulation'!D502</f>
        <v>151.75</v>
      </c>
      <c r="D502" s="22">
        <f t="shared" si="43"/>
        <v>695.44774024440869</v>
      </c>
      <c r="E502" s="23">
        <f t="shared" si="44"/>
        <v>-5.0137929353404616</v>
      </c>
      <c r="F502" s="23">
        <f t="shared" si="45"/>
        <v>5.0137929353404616</v>
      </c>
    </row>
    <row r="503" spans="1:6" x14ac:dyDescent="0.3">
      <c r="A503" s="2">
        <v>43404</v>
      </c>
      <c r="B503" s="1">
        <v>54.715000000000003</v>
      </c>
      <c r="C503" s="1">
        <f>'Historical Simulation'!D503</f>
        <v>151.79</v>
      </c>
      <c r="D503" s="22">
        <f t="shared" si="43"/>
        <v>700.46153317974915</v>
      </c>
      <c r="E503" s="23">
        <f t="shared" si="44"/>
        <v>29.195516442867302</v>
      </c>
      <c r="F503" s="23">
        <f t="shared" si="45"/>
        <v>-29.195516442867302</v>
      </c>
    </row>
    <row r="504" spans="1:6" x14ac:dyDescent="0.3">
      <c r="A504" s="2">
        <v>43403</v>
      </c>
      <c r="B504" s="1">
        <v>53.325000000000003</v>
      </c>
      <c r="C504" s="1">
        <f>'Historical Simulation'!D504</f>
        <v>146.22</v>
      </c>
      <c r="D504" s="22">
        <f t="shared" si="43"/>
        <v>671.26601673688185</v>
      </c>
      <c r="E504" s="23">
        <f t="shared" si="44"/>
        <v>25.97512465351258</v>
      </c>
      <c r="F504" s="23">
        <f t="shared" si="45"/>
        <v>-25.97512465351258</v>
      </c>
    </row>
    <row r="505" spans="1:6" x14ac:dyDescent="0.3">
      <c r="A505" s="2">
        <v>43402</v>
      </c>
      <c r="B505" s="1">
        <v>53.06</v>
      </c>
      <c r="C505" s="1">
        <f>'Historical Simulation'!D505</f>
        <v>142.09</v>
      </c>
      <c r="D505" s="22">
        <f t="shared" si="43"/>
        <v>645.29089208336927</v>
      </c>
      <c r="E505" s="23">
        <f t="shared" si="44"/>
        <v>-16.081864771075288</v>
      </c>
      <c r="F505" s="23">
        <f t="shared" si="45"/>
        <v>16.081864771075288</v>
      </c>
    </row>
    <row r="506" spans="1:6" x14ac:dyDescent="0.3">
      <c r="A506" s="2">
        <v>43399</v>
      </c>
      <c r="B506" s="1">
        <v>54.075000000000003</v>
      </c>
      <c r="C506" s="1">
        <f>'Historical Simulation'!D506</f>
        <v>145.37</v>
      </c>
      <c r="D506" s="22">
        <f t="shared" si="43"/>
        <v>661.37275685444456</v>
      </c>
      <c r="E506" s="23">
        <f t="shared" si="44"/>
        <v>-32.172836091792078</v>
      </c>
      <c r="F506" s="23">
        <f t="shared" si="45"/>
        <v>32.172836091792078</v>
      </c>
    </row>
    <row r="507" spans="1:6" x14ac:dyDescent="0.3">
      <c r="A507" s="2">
        <v>43398</v>
      </c>
      <c r="B507" s="1">
        <v>54.95</v>
      </c>
      <c r="C507" s="1">
        <f>'Historical Simulation'!D507</f>
        <v>150.94999999999999</v>
      </c>
      <c r="D507" s="22">
        <f t="shared" si="43"/>
        <v>693.54559294623664</v>
      </c>
      <c r="E507" s="23">
        <f t="shared" si="44"/>
        <v>26.006229694498188</v>
      </c>
      <c r="F507" s="23">
        <f t="shared" si="45"/>
        <v>-26.006229694498188</v>
      </c>
    </row>
    <row r="508" spans="1:6" x14ac:dyDescent="0.3">
      <c r="A508" s="2">
        <v>43397</v>
      </c>
      <c r="B508" s="1">
        <v>53.772500000000001</v>
      </c>
      <c r="C508" s="1">
        <f>'Historical Simulation'!D508</f>
        <v>146.04</v>
      </c>
      <c r="D508" s="22">
        <f t="shared" si="43"/>
        <v>667.53936325173845</v>
      </c>
      <c r="E508" s="23">
        <f t="shared" si="44"/>
        <v>-44.749121026809917</v>
      </c>
      <c r="F508" s="23">
        <f t="shared" si="45"/>
        <v>44.749121026809917</v>
      </c>
    </row>
    <row r="509" spans="1:6" x14ac:dyDescent="0.3">
      <c r="A509" s="2">
        <v>43396</v>
      </c>
      <c r="B509" s="1">
        <v>55.682499999999997</v>
      </c>
      <c r="C509" s="1">
        <f>'Historical Simulation'!D509</f>
        <v>154.38999999999999</v>
      </c>
      <c r="D509" s="22">
        <f t="shared" si="43"/>
        <v>712.28848427854837</v>
      </c>
      <c r="E509" s="23">
        <f t="shared" si="44"/>
        <v>-5.5333540581364105</v>
      </c>
      <c r="F509" s="23">
        <f t="shared" si="45"/>
        <v>5.5333540581364105</v>
      </c>
    </row>
    <row r="510" spans="1:6" x14ac:dyDescent="0.3">
      <c r="A510" s="2">
        <v>43395</v>
      </c>
      <c r="B510" s="1">
        <v>55.162500000000001</v>
      </c>
      <c r="C510" s="1">
        <f>'Historical Simulation'!D510</f>
        <v>154.78</v>
      </c>
      <c r="D510" s="22">
        <f t="shared" si="43"/>
        <v>717.82183833668478</v>
      </c>
      <c r="E510" s="23">
        <f t="shared" si="44"/>
        <v>2.9625547834766621</v>
      </c>
      <c r="F510" s="23">
        <f t="shared" si="45"/>
        <v>-2.9625547834766621</v>
      </c>
    </row>
    <row r="511" spans="1:6" x14ac:dyDescent="0.3">
      <c r="A511" s="2">
        <v>43392</v>
      </c>
      <c r="B511" s="1">
        <v>54.827500000000001</v>
      </c>
      <c r="C511" s="1">
        <f>'Historical Simulation'!D511</f>
        <v>154.05000000000001</v>
      </c>
      <c r="D511" s="22">
        <f t="shared" si="43"/>
        <v>714.85928355320812</v>
      </c>
      <c r="E511" s="23">
        <f t="shared" si="44"/>
        <v>-10.436073344390479</v>
      </c>
      <c r="F511" s="23">
        <f t="shared" si="45"/>
        <v>10.436073344390479</v>
      </c>
    </row>
    <row r="512" spans="1:6" x14ac:dyDescent="0.3">
      <c r="A512" s="2">
        <v>43391</v>
      </c>
      <c r="B512" s="1">
        <v>54.005000000000003</v>
      </c>
      <c r="C512" s="1">
        <f>'Historical Simulation'!D512</f>
        <v>154.91999999999999</v>
      </c>
      <c r="D512" s="22">
        <f t="shared" si="43"/>
        <v>725.29535689759859</v>
      </c>
      <c r="E512" s="23">
        <f t="shared" si="44"/>
        <v>-22.628910045573434</v>
      </c>
      <c r="F512" s="23">
        <f t="shared" si="45"/>
        <v>22.628910045573434</v>
      </c>
    </row>
    <row r="513" spans="1:6" x14ac:dyDescent="0.3">
      <c r="A513" s="2">
        <v>43390</v>
      </c>
      <c r="B513" s="1">
        <v>55.297499999999999</v>
      </c>
      <c r="C513" s="1">
        <f>'Historical Simulation'!D513</f>
        <v>159.41999999999999</v>
      </c>
      <c r="D513" s="22">
        <f t="shared" si="43"/>
        <v>747.92426694317203</v>
      </c>
      <c r="E513" s="23">
        <f t="shared" si="44"/>
        <v>5.6137929353403706</v>
      </c>
      <c r="F513" s="23">
        <f t="shared" si="45"/>
        <v>-5.6137929353403706</v>
      </c>
    </row>
    <row r="514" spans="1:6" x14ac:dyDescent="0.3">
      <c r="A514" s="2">
        <v>43389</v>
      </c>
      <c r="B514" s="1">
        <v>55.537500000000001</v>
      </c>
      <c r="C514" s="1">
        <f>'Historical Simulation'!D514</f>
        <v>158.78</v>
      </c>
      <c r="D514" s="22">
        <f t="shared" si="43"/>
        <v>742.31047400783166</v>
      </c>
      <c r="E514" s="23">
        <f t="shared" si="44"/>
        <v>28.221402045250784</v>
      </c>
      <c r="F514" s="23">
        <f t="shared" si="45"/>
        <v>-28.221402045250784</v>
      </c>
    </row>
    <row r="515" spans="1:6" x14ac:dyDescent="0.3">
      <c r="A515" s="2">
        <v>43388</v>
      </c>
      <c r="B515" s="1">
        <v>54.34</v>
      </c>
      <c r="C515" s="1">
        <f>'Historical Simulation'!D515</f>
        <v>153.52000000000001</v>
      </c>
      <c r="D515" s="22">
        <f t="shared" si="43"/>
        <v>714.08907196258087</v>
      </c>
      <c r="E515" s="23">
        <f t="shared" si="44"/>
        <v>5.2483462101613441</v>
      </c>
      <c r="F515" s="23">
        <f t="shared" si="45"/>
        <v>-5.2483462101613441</v>
      </c>
    </row>
    <row r="516" spans="1:6" x14ac:dyDescent="0.3">
      <c r="A516" s="2">
        <v>43385</v>
      </c>
      <c r="B516" s="1">
        <v>55.527500000000003</v>
      </c>
      <c r="C516" s="1">
        <f>'Historical Simulation'!D516</f>
        <v>153.74</v>
      </c>
      <c r="D516" s="22">
        <f t="shared" si="43"/>
        <v>708.84072575241953</v>
      </c>
      <c r="E516" s="23">
        <f t="shared" si="44"/>
        <v>-8.2293570754479788</v>
      </c>
      <c r="F516" s="23">
        <f t="shared" si="45"/>
        <v>8.2293570754479788</v>
      </c>
    </row>
    <row r="517" spans="1:6" x14ac:dyDescent="0.3">
      <c r="A517" s="2">
        <v>43384</v>
      </c>
      <c r="B517" s="1">
        <v>53.612499999999997</v>
      </c>
      <c r="C517" s="1">
        <f>'Historical Simulation'!D517</f>
        <v>153.35</v>
      </c>
      <c r="D517" s="22">
        <f t="shared" si="43"/>
        <v>717.07008282786751</v>
      </c>
      <c r="E517" s="23">
        <f t="shared" si="44"/>
        <v>15.803361601415872</v>
      </c>
      <c r="F517" s="23">
        <f t="shared" si="45"/>
        <v>-15.803361601415872</v>
      </c>
    </row>
    <row r="518" spans="1:6" x14ac:dyDescent="0.3">
      <c r="A518" s="2">
        <v>43383</v>
      </c>
      <c r="B518" s="1">
        <v>54.09</v>
      </c>
      <c r="C518" s="1">
        <f>'Historical Simulation'!D518</f>
        <v>151.38</v>
      </c>
      <c r="D518" s="22">
        <f t="shared" ref="D518:D581" si="46">$M$16*B518+(1-$M$16)*C518</f>
        <v>701.26672122645164</v>
      </c>
      <c r="E518" s="23">
        <f t="shared" ref="E518:E581" si="47">D518-D519</f>
        <v>-28.520555682741929</v>
      </c>
      <c r="F518" s="23">
        <f t="shared" ref="F518:F581" si="48">-E518</f>
        <v>28.520555682741929</v>
      </c>
    </row>
    <row r="519" spans="1:6" x14ac:dyDescent="0.3">
      <c r="A519" s="2">
        <v>43382</v>
      </c>
      <c r="B519" s="1">
        <v>56.717500000000001</v>
      </c>
      <c r="C519" s="1">
        <f>'Historical Simulation'!D519</f>
        <v>157.9</v>
      </c>
      <c r="D519" s="22">
        <f t="shared" si="46"/>
        <v>729.78727690919357</v>
      </c>
      <c r="E519" s="23">
        <f t="shared" si="47"/>
        <v>-5.6504678315491219E-2</v>
      </c>
      <c r="F519" s="23">
        <f t="shared" si="48"/>
        <v>5.6504678315491219E-2</v>
      </c>
    </row>
    <row r="520" spans="1:6" x14ac:dyDescent="0.3">
      <c r="A520" s="2">
        <v>43381</v>
      </c>
      <c r="B520" s="1">
        <v>55.942500000000003</v>
      </c>
      <c r="C520" s="1">
        <f>'Historical Simulation'!D520</f>
        <v>157.25</v>
      </c>
      <c r="D520" s="22">
        <f t="shared" si="46"/>
        <v>729.84378158750906</v>
      </c>
      <c r="E520" s="23">
        <f t="shared" si="47"/>
        <v>0.20260187132612373</v>
      </c>
      <c r="F520" s="23">
        <f t="shared" si="48"/>
        <v>-0.20260187132612373</v>
      </c>
    </row>
    <row r="521" spans="1:6" x14ac:dyDescent="0.3">
      <c r="A521" s="2">
        <v>43378</v>
      </c>
      <c r="B521" s="1">
        <v>56.072499999999998</v>
      </c>
      <c r="C521" s="1">
        <f>'Historical Simulation'!D521</f>
        <v>157.33000000000001</v>
      </c>
      <c r="D521" s="22">
        <f t="shared" si="46"/>
        <v>729.64117971618293</v>
      </c>
      <c r="E521" s="23">
        <f t="shared" si="47"/>
        <v>-4.8829622687811707</v>
      </c>
      <c r="F521" s="23">
        <f t="shared" si="48"/>
        <v>4.8829622687811707</v>
      </c>
    </row>
    <row r="522" spans="1:6" x14ac:dyDescent="0.3">
      <c r="A522" s="2">
        <v>43377</v>
      </c>
      <c r="B522" s="1">
        <v>56.997500000000002</v>
      </c>
      <c r="C522" s="1">
        <f>'Historical Simulation'!D522</f>
        <v>158.85</v>
      </c>
      <c r="D522" s="22">
        <f t="shared" si="46"/>
        <v>734.5241419849641</v>
      </c>
      <c r="E522" s="23">
        <f t="shared" si="47"/>
        <v>-18.049215811899785</v>
      </c>
      <c r="F522" s="23">
        <f t="shared" si="48"/>
        <v>18.049215811899785</v>
      </c>
    </row>
    <row r="523" spans="1:6" x14ac:dyDescent="0.3">
      <c r="A523" s="2">
        <v>43376</v>
      </c>
      <c r="B523" s="1">
        <v>58.017499999999998</v>
      </c>
      <c r="C523" s="1">
        <f>'Historical Simulation'!D523</f>
        <v>162.43</v>
      </c>
      <c r="D523" s="22">
        <f t="shared" si="46"/>
        <v>752.57335779686389</v>
      </c>
      <c r="E523" s="23">
        <f t="shared" si="47"/>
        <v>16.679019917222035</v>
      </c>
      <c r="F523" s="23">
        <f t="shared" si="48"/>
        <v>-16.679019917222035</v>
      </c>
    </row>
    <row r="524" spans="1:6" x14ac:dyDescent="0.3">
      <c r="A524" s="2">
        <v>43375</v>
      </c>
      <c r="B524" s="1">
        <v>57.32</v>
      </c>
      <c r="C524" s="1">
        <f>'Historical Simulation'!D524</f>
        <v>159.33000000000001</v>
      </c>
      <c r="D524" s="22">
        <f t="shared" si="46"/>
        <v>735.89433787964185</v>
      </c>
      <c r="E524" s="23">
        <f t="shared" si="47"/>
        <v>-23.542115296881661</v>
      </c>
      <c r="F524" s="23">
        <f t="shared" si="48"/>
        <v>23.542115296881661</v>
      </c>
    </row>
    <row r="525" spans="1:6" x14ac:dyDescent="0.3">
      <c r="A525" s="2">
        <v>43374</v>
      </c>
      <c r="B525" s="1">
        <v>56.814999999999998</v>
      </c>
      <c r="C525" s="1">
        <f>'Historical Simulation'!D525</f>
        <v>162.44</v>
      </c>
      <c r="D525" s="22">
        <f t="shared" si="46"/>
        <v>759.43645317652351</v>
      </c>
      <c r="E525" s="23">
        <f t="shared" si="47"/>
        <v>-15.584889823655772</v>
      </c>
      <c r="F525" s="23">
        <f t="shared" si="48"/>
        <v>15.584889823655772</v>
      </c>
    </row>
    <row r="526" spans="1:6" x14ac:dyDescent="0.3">
      <c r="A526" s="2">
        <v>43371</v>
      </c>
      <c r="B526" s="1">
        <v>56.435000000000002</v>
      </c>
      <c r="C526" s="1">
        <f>'Historical Simulation'!D526</f>
        <v>164.46</v>
      </c>
      <c r="D526" s="22">
        <f t="shared" si="46"/>
        <v>775.02134300017929</v>
      </c>
      <c r="E526" s="23">
        <f t="shared" si="47"/>
        <v>-30.252201319910455</v>
      </c>
      <c r="F526" s="23">
        <f t="shared" si="48"/>
        <v>30.252201319910455</v>
      </c>
    </row>
    <row r="527" spans="1:6" x14ac:dyDescent="0.3">
      <c r="A527" s="2">
        <v>43370</v>
      </c>
      <c r="B527" s="1">
        <v>56.237499999999997</v>
      </c>
      <c r="C527" s="1">
        <f>'Historical Simulation'!D527</f>
        <v>168.84</v>
      </c>
      <c r="D527" s="22">
        <f t="shared" si="46"/>
        <v>805.27354432008974</v>
      </c>
      <c r="E527" s="23">
        <f t="shared" si="47"/>
        <v>6.1714183505914662</v>
      </c>
      <c r="F527" s="23">
        <f t="shared" si="48"/>
        <v>-6.1714183505914662</v>
      </c>
    </row>
    <row r="528" spans="1:6" x14ac:dyDescent="0.3">
      <c r="A528" s="2">
        <v>43369</v>
      </c>
      <c r="B528" s="1">
        <v>55.104999999999997</v>
      </c>
      <c r="C528" s="1">
        <f>'Historical Simulation'!D528</f>
        <v>166.95</v>
      </c>
      <c r="D528" s="22">
        <f t="shared" si="46"/>
        <v>799.10212596949827</v>
      </c>
      <c r="E528" s="23">
        <f t="shared" si="47"/>
        <v>16.071182911344067</v>
      </c>
      <c r="F528" s="23">
        <f t="shared" si="48"/>
        <v>-16.071182911344067</v>
      </c>
    </row>
    <row r="529" spans="1:6" x14ac:dyDescent="0.3">
      <c r="A529" s="2">
        <v>43368</v>
      </c>
      <c r="B529" s="1">
        <v>55.547499999999999</v>
      </c>
      <c r="C529" s="1">
        <f>'Historical Simulation'!D529</f>
        <v>164.91</v>
      </c>
      <c r="D529" s="22">
        <f t="shared" si="46"/>
        <v>783.03094305815421</v>
      </c>
      <c r="E529" s="23">
        <f t="shared" si="47"/>
        <v>-5.3042318125449128</v>
      </c>
      <c r="F529" s="23">
        <f t="shared" si="48"/>
        <v>5.3042318125449128</v>
      </c>
    </row>
    <row r="530" spans="1:6" x14ac:dyDescent="0.3">
      <c r="A530" s="2">
        <v>43367</v>
      </c>
      <c r="B530" s="1">
        <v>55.197499999999998</v>
      </c>
      <c r="C530" s="1">
        <f>'Historical Simulation'!D530</f>
        <v>165.41</v>
      </c>
      <c r="D530" s="22">
        <f t="shared" si="46"/>
        <v>788.33517487069912</v>
      </c>
      <c r="E530" s="23">
        <f t="shared" si="47"/>
        <v>12.074333531523394</v>
      </c>
      <c r="F530" s="23">
        <f t="shared" si="48"/>
        <v>-12.074333531523394</v>
      </c>
    </row>
    <row r="531" spans="1:6" x14ac:dyDescent="0.3">
      <c r="A531" s="2">
        <v>43364</v>
      </c>
      <c r="B531" s="1">
        <v>54.414999999999999</v>
      </c>
      <c r="C531" s="1">
        <f>'Historical Simulation'!D531</f>
        <v>162.93</v>
      </c>
      <c r="D531" s="22">
        <f t="shared" si="46"/>
        <v>776.26084133917573</v>
      </c>
      <c r="E531" s="23">
        <f t="shared" si="47"/>
        <v>-17.205963472741928</v>
      </c>
      <c r="F531" s="23">
        <f t="shared" si="48"/>
        <v>17.205963472741928</v>
      </c>
    </row>
    <row r="532" spans="1:6" x14ac:dyDescent="0.3">
      <c r="A532" s="2">
        <v>43363</v>
      </c>
      <c r="B532" s="1">
        <v>55.0075</v>
      </c>
      <c r="C532" s="1">
        <f>'Historical Simulation'!D532</f>
        <v>166.02</v>
      </c>
      <c r="D532" s="22">
        <f t="shared" si="46"/>
        <v>793.46680481191765</v>
      </c>
      <c r="E532" s="23">
        <f t="shared" si="47"/>
        <v>17.344435250501874</v>
      </c>
      <c r="F532" s="23">
        <f t="shared" si="48"/>
        <v>-17.344435250501874</v>
      </c>
    </row>
    <row r="533" spans="1:6" x14ac:dyDescent="0.3">
      <c r="A533" s="2">
        <v>43362</v>
      </c>
      <c r="B533" s="1">
        <v>54.592500000000001</v>
      </c>
      <c r="C533" s="1">
        <f>'Historical Simulation'!D533</f>
        <v>163.06</v>
      </c>
      <c r="D533" s="22">
        <f t="shared" si="46"/>
        <v>776.12236956141578</v>
      </c>
      <c r="E533" s="23">
        <f t="shared" si="47"/>
        <v>18.175932080842131</v>
      </c>
      <c r="F533" s="23">
        <f t="shared" si="48"/>
        <v>-18.175932080842131</v>
      </c>
    </row>
    <row r="534" spans="1:6" x14ac:dyDescent="0.3">
      <c r="A534" s="2">
        <v>43361</v>
      </c>
      <c r="B534" s="1">
        <v>54.56</v>
      </c>
      <c r="C534" s="1">
        <f>'Historical Simulation'!D534</f>
        <v>160.30000000000001</v>
      </c>
      <c r="D534" s="22">
        <f t="shared" si="46"/>
        <v>757.94643748057365</v>
      </c>
      <c r="E534" s="23">
        <f t="shared" si="47"/>
        <v>-2.3712538478134775</v>
      </c>
      <c r="F534" s="23">
        <f t="shared" si="48"/>
        <v>2.3712538478134775</v>
      </c>
    </row>
    <row r="535" spans="1:6" x14ac:dyDescent="0.3">
      <c r="A535" s="2">
        <v>43360</v>
      </c>
      <c r="B535" s="1">
        <v>54.47</v>
      </c>
      <c r="C535" s="1">
        <f>'Historical Simulation'!D535</f>
        <v>160.58000000000001</v>
      </c>
      <c r="D535" s="22">
        <f t="shared" si="46"/>
        <v>760.31769132838713</v>
      </c>
      <c r="E535" s="23">
        <f t="shared" si="47"/>
        <v>-3.1530093566309461</v>
      </c>
      <c r="F535" s="23">
        <f t="shared" si="48"/>
        <v>3.1530093566309461</v>
      </c>
    </row>
    <row r="536" spans="1:6" x14ac:dyDescent="0.3">
      <c r="A536" s="2">
        <v>43357</v>
      </c>
      <c r="B536" s="1">
        <v>55.96</v>
      </c>
      <c r="C536" s="1">
        <f>'Historical Simulation'!D536</f>
        <v>162.32</v>
      </c>
      <c r="D536" s="22">
        <f t="shared" si="46"/>
        <v>763.47070068501807</v>
      </c>
      <c r="E536" s="23">
        <f t="shared" si="47"/>
        <v>10.017389976003415</v>
      </c>
      <c r="F536" s="23">
        <f t="shared" si="48"/>
        <v>-10.017389976003415</v>
      </c>
    </row>
    <row r="537" spans="1:6" x14ac:dyDescent="0.3">
      <c r="A537" s="2">
        <v>43356</v>
      </c>
      <c r="B537" s="1">
        <v>56.602499999999999</v>
      </c>
      <c r="C537" s="1">
        <f>'Historical Simulation'!D537</f>
        <v>161.36000000000001</v>
      </c>
      <c r="D537" s="22">
        <f t="shared" si="46"/>
        <v>753.45331070901466</v>
      </c>
      <c r="E537" s="23">
        <f t="shared" si="47"/>
        <v>-11.80277391738332</v>
      </c>
      <c r="F537" s="23">
        <f t="shared" si="48"/>
        <v>11.80277391738332</v>
      </c>
    </row>
    <row r="538" spans="1:6" x14ac:dyDescent="0.3">
      <c r="A538" s="2">
        <v>43355</v>
      </c>
      <c r="B538" s="1">
        <v>55.267499999999998</v>
      </c>
      <c r="C538" s="1">
        <f>'Historical Simulation'!D538</f>
        <v>162</v>
      </c>
      <c r="D538" s="22">
        <f t="shared" si="46"/>
        <v>765.25608462639798</v>
      </c>
      <c r="E538" s="23">
        <f t="shared" si="47"/>
        <v>-22.280861449068198</v>
      </c>
      <c r="F538" s="23">
        <f t="shared" si="48"/>
        <v>22.280861449068198</v>
      </c>
    </row>
    <row r="539" spans="1:6" x14ac:dyDescent="0.3">
      <c r="A539" s="2">
        <v>43354</v>
      </c>
      <c r="B539" s="1">
        <v>55.962499999999999</v>
      </c>
      <c r="C539" s="1">
        <f>'Historical Simulation'!D539</f>
        <v>165.94</v>
      </c>
      <c r="D539" s="22">
        <f t="shared" si="46"/>
        <v>787.53694607546618</v>
      </c>
      <c r="E539" s="23">
        <f t="shared" si="47"/>
        <v>3.9077742220788423</v>
      </c>
      <c r="F539" s="23">
        <f t="shared" si="48"/>
        <v>-3.9077742220788423</v>
      </c>
    </row>
    <row r="540" spans="1:6" x14ac:dyDescent="0.3">
      <c r="A540" s="2">
        <v>43353</v>
      </c>
      <c r="B540" s="1">
        <v>54.582500000000003</v>
      </c>
      <c r="C540" s="1">
        <f>'Historical Simulation'!D540</f>
        <v>164.18</v>
      </c>
      <c r="D540" s="22">
        <f t="shared" si="46"/>
        <v>783.62917185338733</v>
      </c>
      <c r="E540" s="23">
        <f t="shared" si="47"/>
        <v>11.779960455430228</v>
      </c>
      <c r="F540" s="23">
        <f t="shared" si="48"/>
        <v>-11.779960455430228</v>
      </c>
    </row>
    <row r="541" spans="1:6" x14ac:dyDescent="0.3">
      <c r="A541" s="2">
        <v>43350</v>
      </c>
      <c r="B541" s="1">
        <v>55.325000000000003</v>
      </c>
      <c r="C541" s="1">
        <f>'Historical Simulation'!D541</f>
        <v>163.04</v>
      </c>
      <c r="D541" s="22">
        <f t="shared" si="46"/>
        <v>771.84921139795711</v>
      </c>
      <c r="E541" s="23">
        <f t="shared" si="47"/>
        <v>5.935955929462466</v>
      </c>
      <c r="F541" s="23">
        <f t="shared" si="48"/>
        <v>-5.935955929462466</v>
      </c>
    </row>
    <row r="542" spans="1:6" x14ac:dyDescent="0.3">
      <c r="A542" s="2">
        <v>43349</v>
      </c>
      <c r="B542" s="1">
        <v>55.774999999999999</v>
      </c>
      <c r="C542" s="1">
        <f>'Historical Simulation'!D542</f>
        <v>162.53</v>
      </c>
      <c r="D542" s="22">
        <f t="shared" si="46"/>
        <v>765.91325546849464</v>
      </c>
      <c r="E542" s="23">
        <f t="shared" si="47"/>
        <v>-25.604928758835285</v>
      </c>
      <c r="F542" s="23">
        <f t="shared" si="48"/>
        <v>25.604928758835285</v>
      </c>
    </row>
    <row r="543" spans="1:6" x14ac:dyDescent="0.3">
      <c r="A543" s="2">
        <v>43348</v>
      </c>
      <c r="B543" s="1">
        <v>56.717500000000001</v>
      </c>
      <c r="C543" s="1">
        <f>'Historical Simulation'!D543</f>
        <v>167.18</v>
      </c>
      <c r="D543" s="22">
        <f t="shared" si="46"/>
        <v>791.51818422732993</v>
      </c>
      <c r="E543" s="23">
        <f t="shared" si="47"/>
        <v>-24.36972501618277</v>
      </c>
      <c r="F543" s="23">
        <f t="shared" si="48"/>
        <v>24.36972501618277</v>
      </c>
    </row>
    <row r="544" spans="1:6" x14ac:dyDescent="0.3">
      <c r="A544" s="2">
        <v>43347</v>
      </c>
      <c r="B544" s="1">
        <v>57.09</v>
      </c>
      <c r="C544" s="1">
        <f>'Historical Simulation'!D544</f>
        <v>171.16</v>
      </c>
      <c r="D544" s="22">
        <f t="shared" si="46"/>
        <v>815.88790924351269</v>
      </c>
      <c r="E544" s="23">
        <f t="shared" si="47"/>
        <v>-31.431307869551802</v>
      </c>
      <c r="F544" s="23">
        <f t="shared" si="48"/>
        <v>31.431307869551802</v>
      </c>
    </row>
    <row r="545" spans="1:6" x14ac:dyDescent="0.3">
      <c r="A545" s="2">
        <v>43346</v>
      </c>
      <c r="B545" s="1">
        <v>56.907499999999999</v>
      </c>
      <c r="C545" s="1">
        <f>'Historical Simulation'!D545</f>
        <v>175.73</v>
      </c>
      <c r="D545" s="22">
        <f t="shared" si="46"/>
        <v>847.3192171130645</v>
      </c>
      <c r="E545" s="23">
        <f t="shared" si="47"/>
        <v>0</v>
      </c>
      <c r="F545" s="23">
        <f t="shared" si="48"/>
        <v>0</v>
      </c>
    </row>
    <row r="546" spans="1:6" x14ac:dyDescent="0.3">
      <c r="A546" s="2">
        <v>43343</v>
      </c>
      <c r="B546" s="1">
        <v>56.907499999999999</v>
      </c>
      <c r="C546" s="1">
        <f>'Historical Simulation'!D546</f>
        <v>175.73</v>
      </c>
      <c r="D546" s="22">
        <f t="shared" si="46"/>
        <v>847.3192171130645</v>
      </c>
      <c r="E546" s="23">
        <f t="shared" si="47"/>
        <v>-16.379215811899599</v>
      </c>
      <c r="F546" s="23">
        <f t="shared" si="48"/>
        <v>16.379215811899599</v>
      </c>
    </row>
    <row r="547" spans="1:6" x14ac:dyDescent="0.3">
      <c r="A547" s="2">
        <v>43342</v>
      </c>
      <c r="B547" s="1">
        <v>56.2575</v>
      </c>
      <c r="C547" s="1">
        <f>'Historical Simulation'!D547</f>
        <v>177.64</v>
      </c>
      <c r="D547" s="22">
        <f t="shared" si="46"/>
        <v>863.6984329249641</v>
      </c>
      <c r="E547" s="23">
        <f t="shared" si="47"/>
        <v>8.6778759410570956</v>
      </c>
      <c r="F547" s="23">
        <f t="shared" si="48"/>
        <v>-8.6778759410570956</v>
      </c>
    </row>
    <row r="548" spans="1:6" x14ac:dyDescent="0.3">
      <c r="A548" s="2">
        <v>43341</v>
      </c>
      <c r="B548" s="1">
        <v>55.744999999999997</v>
      </c>
      <c r="C548" s="1">
        <f>'Historical Simulation'!D548</f>
        <v>175.9</v>
      </c>
      <c r="D548" s="22">
        <f t="shared" si="46"/>
        <v>855.020556983907</v>
      </c>
      <c r="E548" s="23">
        <f t="shared" si="47"/>
        <v>-7.0294041632973858</v>
      </c>
      <c r="F548" s="23">
        <f t="shared" si="48"/>
        <v>7.0294041632973858</v>
      </c>
    </row>
    <row r="549" spans="1:6" x14ac:dyDescent="0.3">
      <c r="A549" s="2">
        <v>43340</v>
      </c>
      <c r="B549" s="1">
        <v>54.924999999999997</v>
      </c>
      <c r="C549" s="1">
        <f>'Historical Simulation'!D549</f>
        <v>176.26</v>
      </c>
      <c r="D549" s="22">
        <f t="shared" si="46"/>
        <v>862.04996114720439</v>
      </c>
      <c r="E549" s="23">
        <f t="shared" si="47"/>
        <v>-10.469341379498246</v>
      </c>
      <c r="F549" s="23">
        <f t="shared" si="48"/>
        <v>10.469341379498246</v>
      </c>
    </row>
    <row r="550" spans="1:6" x14ac:dyDescent="0.3">
      <c r="A550" s="2">
        <v>43339</v>
      </c>
      <c r="B550" s="1">
        <v>54.484999999999999</v>
      </c>
      <c r="C550" s="1">
        <f>'Historical Simulation'!D550</f>
        <v>177.46</v>
      </c>
      <c r="D550" s="22">
        <f t="shared" si="46"/>
        <v>872.51930252670263</v>
      </c>
      <c r="E550" s="23">
        <f t="shared" si="47"/>
        <v>16.210328700860146</v>
      </c>
      <c r="F550" s="23">
        <f t="shared" si="48"/>
        <v>-16.210328700860146</v>
      </c>
    </row>
    <row r="551" spans="1:6" x14ac:dyDescent="0.3">
      <c r="A551" s="2">
        <v>43336</v>
      </c>
      <c r="B551" s="1">
        <v>54.04</v>
      </c>
      <c r="C551" s="1">
        <f>'Historical Simulation'!D551</f>
        <v>174.64500000000001</v>
      </c>
      <c r="D551" s="22">
        <f t="shared" si="46"/>
        <v>856.30897382584249</v>
      </c>
      <c r="E551" s="23">
        <f t="shared" si="47"/>
        <v>10.661089040340585</v>
      </c>
      <c r="F551" s="23">
        <f t="shared" si="48"/>
        <v>-10.661089040340585</v>
      </c>
    </row>
    <row r="552" spans="1:6" x14ac:dyDescent="0.3">
      <c r="A552" s="2">
        <v>43335</v>
      </c>
      <c r="B552" s="1">
        <v>53.872500000000002</v>
      </c>
      <c r="C552" s="1">
        <f>'Historical Simulation'!D552</f>
        <v>172.9</v>
      </c>
      <c r="D552" s="22">
        <f t="shared" si="46"/>
        <v>845.6478847855019</v>
      </c>
      <c r="E552" s="23">
        <f t="shared" si="47"/>
        <v>-5.5442318125446945</v>
      </c>
      <c r="F552" s="23">
        <f t="shared" si="48"/>
        <v>5.5442318125446945</v>
      </c>
    </row>
    <row r="553" spans="1:6" x14ac:dyDescent="0.3">
      <c r="A553" s="2">
        <v>43334</v>
      </c>
      <c r="B553" s="1">
        <v>53.762500000000003</v>
      </c>
      <c r="C553" s="1">
        <f>'Historical Simulation'!D553</f>
        <v>173.64</v>
      </c>
      <c r="D553" s="22">
        <f t="shared" si="46"/>
        <v>851.1921165980466</v>
      </c>
      <c r="E553" s="23">
        <f t="shared" si="47"/>
        <v>6.7709480814871768</v>
      </c>
      <c r="F553" s="23">
        <f t="shared" si="48"/>
        <v>-6.7709480814871768</v>
      </c>
    </row>
    <row r="554" spans="1:6" x14ac:dyDescent="0.3">
      <c r="A554" s="2">
        <v>43333</v>
      </c>
      <c r="B554" s="1">
        <v>53.76</v>
      </c>
      <c r="C554" s="1">
        <f>'Historical Simulation'!D554</f>
        <v>172.62</v>
      </c>
      <c r="D554" s="22">
        <f t="shared" si="46"/>
        <v>844.42116851655942</v>
      </c>
      <c r="E554" s="23">
        <f t="shared" si="47"/>
        <v>1.391708420967916</v>
      </c>
      <c r="F554" s="23">
        <f t="shared" si="48"/>
        <v>-1.391708420967916</v>
      </c>
    </row>
    <row r="555" spans="1:6" x14ac:dyDescent="0.3">
      <c r="A555" s="2">
        <v>43332</v>
      </c>
      <c r="B555" s="1">
        <v>53.865000000000002</v>
      </c>
      <c r="C555" s="1">
        <f>'Historical Simulation'!D555</f>
        <v>172.5</v>
      </c>
      <c r="D555" s="22">
        <f t="shared" si="46"/>
        <v>843.0294600955915</v>
      </c>
      <c r="E555" s="23">
        <f t="shared" si="47"/>
        <v>-5.6520688184231176</v>
      </c>
      <c r="F555" s="23">
        <f t="shared" si="48"/>
        <v>5.6520688184231176</v>
      </c>
    </row>
    <row r="556" spans="1:6" x14ac:dyDescent="0.3">
      <c r="A556" s="2">
        <v>43329</v>
      </c>
      <c r="B556" s="1">
        <v>54.395000000000003</v>
      </c>
      <c r="C556" s="1">
        <f>'Historical Simulation'!D556</f>
        <v>173.8</v>
      </c>
      <c r="D556" s="22">
        <f t="shared" si="46"/>
        <v>848.68152891401462</v>
      </c>
      <c r="E556" s="23">
        <f t="shared" si="47"/>
        <v>-12.006253543118078</v>
      </c>
      <c r="F556" s="23">
        <f t="shared" si="48"/>
        <v>12.006253543118078</v>
      </c>
    </row>
    <row r="557" spans="1:6" x14ac:dyDescent="0.3">
      <c r="A557" s="2">
        <v>43328</v>
      </c>
      <c r="B557" s="1">
        <v>53.33</v>
      </c>
      <c r="C557" s="1">
        <f>'Historical Simulation'!D557</f>
        <v>174.7</v>
      </c>
      <c r="D557" s="22">
        <f t="shared" si="46"/>
        <v>860.6877824571327</v>
      </c>
      <c r="E557" s="23">
        <f t="shared" si="47"/>
        <v>-36.481409588530596</v>
      </c>
      <c r="F557" s="23">
        <f t="shared" si="48"/>
        <v>36.481409588530596</v>
      </c>
    </row>
    <row r="558" spans="1:6" x14ac:dyDescent="0.3">
      <c r="A558" s="2">
        <v>43327</v>
      </c>
      <c r="B558" s="1">
        <v>52.56</v>
      </c>
      <c r="C558" s="1">
        <f>'Historical Simulation'!D558</f>
        <v>179.53</v>
      </c>
      <c r="D558" s="22">
        <f t="shared" si="46"/>
        <v>897.16919204566329</v>
      </c>
      <c r="E558" s="23">
        <f t="shared" si="47"/>
        <v>-11.20259371865609</v>
      </c>
      <c r="F558" s="23">
        <f t="shared" si="48"/>
        <v>11.20259371865609</v>
      </c>
    </row>
    <row r="559" spans="1:6" x14ac:dyDescent="0.3">
      <c r="A559" s="2">
        <v>43326</v>
      </c>
      <c r="B559" s="1">
        <v>52.4375</v>
      </c>
      <c r="C559" s="1">
        <f>'Historical Simulation'!D559</f>
        <v>181.11</v>
      </c>
      <c r="D559" s="22">
        <f t="shared" si="46"/>
        <v>908.37178576431938</v>
      </c>
      <c r="E559" s="23">
        <f t="shared" si="47"/>
        <v>5.8077114382798527</v>
      </c>
      <c r="F559" s="23">
        <f t="shared" si="48"/>
        <v>-5.8077114382798527</v>
      </c>
    </row>
    <row r="560" spans="1:6" x14ac:dyDescent="0.3">
      <c r="A560" s="2">
        <v>43325</v>
      </c>
      <c r="B560" s="1">
        <v>52.217500000000001</v>
      </c>
      <c r="C560" s="1">
        <f>'Historical Simulation'!D560</f>
        <v>180.05</v>
      </c>
      <c r="D560" s="22">
        <f t="shared" si="46"/>
        <v>902.56407432603953</v>
      </c>
      <c r="E560" s="23">
        <f t="shared" si="47"/>
        <v>-3.2903603974551743</v>
      </c>
      <c r="F560" s="23">
        <f t="shared" si="48"/>
        <v>3.2903603974551743</v>
      </c>
    </row>
    <row r="561" spans="1:6" x14ac:dyDescent="0.3">
      <c r="A561" s="2">
        <v>43322</v>
      </c>
      <c r="B561" s="1">
        <v>51.8825</v>
      </c>
      <c r="C561" s="1">
        <f>'Historical Simulation'!D561</f>
        <v>180.26</v>
      </c>
      <c r="D561" s="22">
        <f t="shared" si="46"/>
        <v>905.85443472349471</v>
      </c>
      <c r="E561" s="23">
        <f t="shared" si="47"/>
        <v>-16.917703285609377</v>
      </c>
      <c r="F561" s="23">
        <f t="shared" si="48"/>
        <v>16.917703285609377</v>
      </c>
    </row>
    <row r="562" spans="1:6" x14ac:dyDescent="0.3">
      <c r="A562" s="2">
        <v>43321</v>
      </c>
      <c r="B562" s="1">
        <v>52.22</v>
      </c>
      <c r="C562" s="1">
        <f>'Historical Simulation'!D562</f>
        <v>183.09</v>
      </c>
      <c r="D562" s="22">
        <f t="shared" si="46"/>
        <v>922.77213800910408</v>
      </c>
      <c r="E562" s="23">
        <f t="shared" si="47"/>
        <v>-16.205963472741928</v>
      </c>
      <c r="F562" s="23">
        <f t="shared" si="48"/>
        <v>16.205963472741928</v>
      </c>
    </row>
    <row r="563" spans="1:6" x14ac:dyDescent="0.3">
      <c r="A563" s="2">
        <v>43320</v>
      </c>
      <c r="B563" s="1">
        <v>51.8125</v>
      </c>
      <c r="C563" s="1">
        <f>'Historical Simulation'!D563</f>
        <v>185.18</v>
      </c>
      <c r="D563" s="22">
        <f t="shared" si="46"/>
        <v>938.97810148184601</v>
      </c>
      <c r="E563" s="23">
        <f t="shared" si="47"/>
        <v>8.9154699644086577</v>
      </c>
      <c r="F563" s="23">
        <f t="shared" si="48"/>
        <v>-8.9154699644086577</v>
      </c>
    </row>
    <row r="564" spans="1:6" x14ac:dyDescent="0.3">
      <c r="A564" s="2">
        <v>43319</v>
      </c>
      <c r="B564" s="1">
        <v>51.777500000000003</v>
      </c>
      <c r="C564" s="1">
        <f>'Historical Simulation'!D564</f>
        <v>183.81</v>
      </c>
      <c r="D564" s="22">
        <f t="shared" si="46"/>
        <v>930.06263151743735</v>
      </c>
      <c r="E564" s="23">
        <f t="shared" si="47"/>
        <v>-9.7363320228674866</v>
      </c>
      <c r="F564" s="23">
        <f t="shared" si="48"/>
        <v>9.7363320228674866</v>
      </c>
    </row>
    <row r="565" spans="1:6" x14ac:dyDescent="0.3">
      <c r="A565" s="2">
        <v>43318</v>
      </c>
      <c r="B565" s="1">
        <v>52.267499999999998</v>
      </c>
      <c r="C565" s="1">
        <f>'Historical Simulation'!D565</f>
        <v>185.69</v>
      </c>
      <c r="D565" s="22">
        <f t="shared" si="46"/>
        <v>939.79896354030484</v>
      </c>
      <c r="E565" s="23">
        <f t="shared" si="47"/>
        <v>51.091565938638155</v>
      </c>
      <c r="F565" s="23">
        <f t="shared" si="48"/>
        <v>-51.091565938638155</v>
      </c>
    </row>
    <row r="566" spans="1:6" x14ac:dyDescent="0.3">
      <c r="A566" s="2">
        <v>43315</v>
      </c>
      <c r="B566" s="1">
        <v>51.997500000000002</v>
      </c>
      <c r="C566" s="1">
        <f>'Historical Simulation'!D566</f>
        <v>177.78</v>
      </c>
      <c r="D566" s="22">
        <f t="shared" si="46"/>
        <v>888.70739760166668</v>
      </c>
      <c r="E566" s="23">
        <f t="shared" si="47"/>
        <v>8.5315671574193175</v>
      </c>
      <c r="F566" s="23">
        <f t="shared" si="48"/>
        <v>-8.5315671574193175</v>
      </c>
    </row>
    <row r="567" spans="1:6" x14ac:dyDescent="0.3">
      <c r="A567" s="2">
        <v>43314</v>
      </c>
      <c r="B567" s="1">
        <v>51.847499999999997</v>
      </c>
      <c r="C567" s="1">
        <f>'Historical Simulation'!D567</f>
        <v>176.37</v>
      </c>
      <c r="D567" s="22">
        <f t="shared" si="46"/>
        <v>880.17583044424737</v>
      </c>
      <c r="E567" s="23">
        <f t="shared" si="47"/>
        <v>23.074991542634393</v>
      </c>
      <c r="F567" s="23">
        <f t="shared" si="48"/>
        <v>-23.074991542634393</v>
      </c>
    </row>
    <row r="568" spans="1:6" x14ac:dyDescent="0.3">
      <c r="A568" s="2">
        <v>43313</v>
      </c>
      <c r="B568" s="1">
        <v>50.375</v>
      </c>
      <c r="C568" s="1">
        <f>'Historical Simulation'!D568</f>
        <v>171.65</v>
      </c>
      <c r="D568" s="22">
        <f t="shared" si="46"/>
        <v>857.10083890161297</v>
      </c>
      <c r="E568" s="23">
        <f t="shared" si="47"/>
        <v>-22.026229694498397</v>
      </c>
      <c r="F568" s="23">
        <f t="shared" si="48"/>
        <v>22.026229694498397</v>
      </c>
    </row>
    <row r="569" spans="1:6" x14ac:dyDescent="0.3">
      <c r="A569" s="2">
        <v>43312</v>
      </c>
      <c r="B569" s="1">
        <v>47.572499999999998</v>
      </c>
      <c r="C569" s="1">
        <f>'Historical Simulation'!D569</f>
        <v>172.58</v>
      </c>
      <c r="D569" s="22">
        <f t="shared" si="46"/>
        <v>879.12706859611137</v>
      </c>
      <c r="E569" s="23">
        <f t="shared" si="47"/>
        <v>9.574153332795845</v>
      </c>
      <c r="F569" s="23">
        <f t="shared" si="48"/>
        <v>-9.574153332795845</v>
      </c>
    </row>
    <row r="570" spans="1:6" x14ac:dyDescent="0.3">
      <c r="A570" s="2">
        <v>43311</v>
      </c>
      <c r="B570" s="1">
        <v>47.477499999999999</v>
      </c>
      <c r="C570" s="1">
        <f>'Historical Simulation'!D570</f>
        <v>171.06</v>
      </c>
      <c r="D570" s="22">
        <f t="shared" si="46"/>
        <v>869.55291526331553</v>
      </c>
      <c r="E570" s="23">
        <f t="shared" si="47"/>
        <v>-23.965383331989187</v>
      </c>
      <c r="F570" s="23">
        <f t="shared" si="48"/>
        <v>23.965383331989187</v>
      </c>
    </row>
    <row r="571" spans="1:6" x14ac:dyDescent="0.3">
      <c r="A571" s="2">
        <v>43308</v>
      </c>
      <c r="B571" s="1">
        <v>47.744999999999997</v>
      </c>
      <c r="C571" s="1">
        <f>'Historical Simulation'!D571</f>
        <v>174.89</v>
      </c>
      <c r="D571" s="22">
        <f t="shared" si="46"/>
        <v>893.51829859530471</v>
      </c>
      <c r="E571" s="23">
        <f t="shared" si="47"/>
        <v>-4.5492710524193853</v>
      </c>
      <c r="F571" s="23">
        <f t="shared" si="48"/>
        <v>4.5492710524193853</v>
      </c>
    </row>
    <row r="572" spans="1:6" x14ac:dyDescent="0.3">
      <c r="A572" s="2">
        <v>43307</v>
      </c>
      <c r="B572" s="1">
        <v>48.552500000000002</v>
      </c>
      <c r="C572" s="1">
        <f>'Historical Simulation'!D572</f>
        <v>176.26</v>
      </c>
      <c r="D572" s="22">
        <f t="shared" si="46"/>
        <v>898.0675696477241</v>
      </c>
      <c r="E572" s="23">
        <f t="shared" si="47"/>
        <v>-273.46808776227601</v>
      </c>
      <c r="F572" s="23">
        <f t="shared" si="48"/>
        <v>273.46808776227601</v>
      </c>
    </row>
    <row r="573" spans="1:6" x14ac:dyDescent="0.3">
      <c r="A573" s="2">
        <v>43306</v>
      </c>
      <c r="B573" s="1">
        <v>48.704999999999998</v>
      </c>
      <c r="C573" s="1">
        <f>'Historical Simulation'!D573</f>
        <v>217.5</v>
      </c>
      <c r="D573" s="22">
        <f t="shared" si="46"/>
        <v>1171.5356574100001</v>
      </c>
      <c r="E573" s="23">
        <f t="shared" si="47"/>
        <v>16.253588887992919</v>
      </c>
      <c r="F573" s="23">
        <f t="shared" si="48"/>
        <v>-16.253588887992919</v>
      </c>
    </row>
    <row r="574" spans="1:6" x14ac:dyDescent="0.3">
      <c r="A574" s="2">
        <v>43305</v>
      </c>
      <c r="B574" s="1">
        <v>48.25</v>
      </c>
      <c r="C574" s="1">
        <f>'Historical Simulation'!D574</f>
        <v>214.67</v>
      </c>
      <c r="D574" s="22">
        <f t="shared" si="46"/>
        <v>1155.2820685220072</v>
      </c>
      <c r="E574" s="23">
        <f t="shared" si="47"/>
        <v>23.047577718010643</v>
      </c>
      <c r="F574" s="23">
        <f t="shared" si="48"/>
        <v>-23.047577718010643</v>
      </c>
    </row>
    <row r="575" spans="1:6" x14ac:dyDescent="0.3">
      <c r="A575" s="2">
        <v>43304</v>
      </c>
      <c r="B575" s="1">
        <v>47.902500000000003</v>
      </c>
      <c r="C575" s="1">
        <f>'Historical Simulation'!D575</f>
        <v>210.91</v>
      </c>
      <c r="D575" s="22">
        <f t="shared" si="46"/>
        <v>1132.2344908039966</v>
      </c>
      <c r="E575" s="23">
        <f t="shared" si="47"/>
        <v>6.2122647131002395</v>
      </c>
      <c r="F575" s="23">
        <f t="shared" si="48"/>
        <v>-6.2122647131002395</v>
      </c>
    </row>
    <row r="576" spans="1:6" x14ac:dyDescent="0.3">
      <c r="A576" s="2">
        <v>43301</v>
      </c>
      <c r="B576" s="1">
        <v>47.86</v>
      </c>
      <c r="C576" s="1">
        <f>'Historical Simulation'!D576</f>
        <v>209.94</v>
      </c>
      <c r="D576" s="22">
        <f t="shared" si="46"/>
        <v>1126.0222260908963</v>
      </c>
      <c r="E576" s="23">
        <f t="shared" si="47"/>
        <v>12.927993355985564</v>
      </c>
      <c r="F576" s="23">
        <f t="shared" si="48"/>
        <v>-12.927993355985564</v>
      </c>
    </row>
    <row r="577" spans="1:6" x14ac:dyDescent="0.3">
      <c r="A577" s="2">
        <v>43300</v>
      </c>
      <c r="B577" s="1">
        <v>47.97</v>
      </c>
      <c r="C577" s="1">
        <f>'Historical Simulation'!D577</f>
        <v>208.09</v>
      </c>
      <c r="D577" s="22">
        <f t="shared" si="46"/>
        <v>1113.0942327349107</v>
      </c>
      <c r="E577" s="23">
        <f t="shared" si="47"/>
        <v>-10.539341379498183</v>
      </c>
      <c r="F577" s="23">
        <f t="shared" si="48"/>
        <v>10.539341379498183</v>
      </c>
    </row>
    <row r="578" spans="1:6" x14ac:dyDescent="0.3">
      <c r="A578" s="2">
        <v>43299</v>
      </c>
      <c r="B578" s="1">
        <v>47.6</v>
      </c>
      <c r="C578" s="1">
        <f>'Historical Simulation'!D578</f>
        <v>209.36</v>
      </c>
      <c r="D578" s="22">
        <f t="shared" si="46"/>
        <v>1123.6335741144089</v>
      </c>
      <c r="E578" s="23">
        <f t="shared" si="47"/>
        <v>-2.7071237542472772</v>
      </c>
      <c r="F578" s="23">
        <f t="shared" si="48"/>
        <v>2.7071237542472772</v>
      </c>
    </row>
    <row r="579" spans="1:6" x14ac:dyDescent="0.3">
      <c r="A579" s="2">
        <v>43298</v>
      </c>
      <c r="B579" s="1">
        <v>47.862499999999997</v>
      </c>
      <c r="C579" s="1">
        <f>'Historical Simulation'!D579</f>
        <v>209.99</v>
      </c>
      <c r="D579" s="22">
        <f t="shared" si="46"/>
        <v>1126.3406978686562</v>
      </c>
      <c r="E579" s="23">
        <f t="shared" si="47"/>
        <v>17.59659824462392</v>
      </c>
      <c r="F579" s="23">
        <f t="shared" si="48"/>
        <v>-17.59659824462392</v>
      </c>
    </row>
    <row r="580" spans="1:6" x14ac:dyDescent="0.3">
      <c r="A580" s="2">
        <v>43297</v>
      </c>
      <c r="B580" s="1">
        <v>47.727499999999999</v>
      </c>
      <c r="C580" s="1">
        <f>'Historical Simulation'!D580</f>
        <v>207.23</v>
      </c>
      <c r="D580" s="22">
        <f t="shared" si="46"/>
        <v>1108.7440996240323</v>
      </c>
      <c r="E580" s="23">
        <f t="shared" si="47"/>
        <v>-5.219438602352966E-3</v>
      </c>
      <c r="F580" s="23">
        <f t="shared" si="48"/>
        <v>5.219438602352966E-3</v>
      </c>
    </row>
    <row r="581" spans="1:6" x14ac:dyDescent="0.3">
      <c r="A581" s="2">
        <v>43294</v>
      </c>
      <c r="B581" s="1">
        <v>47.832500000000003</v>
      </c>
      <c r="C581" s="1">
        <f>'Historical Simulation'!D581</f>
        <v>207.32</v>
      </c>
      <c r="D581" s="22">
        <f t="shared" si="46"/>
        <v>1108.7493190626346</v>
      </c>
      <c r="E581" s="23">
        <f t="shared" si="47"/>
        <v>2.2369121636202181</v>
      </c>
      <c r="F581" s="23">
        <f t="shared" si="48"/>
        <v>-2.2369121636202181</v>
      </c>
    </row>
    <row r="582" spans="1:6" x14ac:dyDescent="0.3">
      <c r="A582" s="2">
        <v>43293</v>
      </c>
      <c r="B582" s="1">
        <v>47.7575</v>
      </c>
      <c r="C582" s="1">
        <f>'Historical Simulation'!D582</f>
        <v>206.92</v>
      </c>
      <c r="D582" s="22">
        <f t="shared" ref="D582:D645" si="49">$M$16*B582+(1-$M$16)*C582</f>
        <v>1106.5124068990144</v>
      </c>
      <c r="E582" s="23">
        <f t="shared" ref="E582:E645" si="50">D582-D583</f>
        <v>24.684944454784727</v>
      </c>
      <c r="F582" s="23">
        <f t="shared" ref="F582:F645" si="51">-E582</f>
        <v>-24.684944454784727</v>
      </c>
    </row>
    <row r="583" spans="1:6" x14ac:dyDescent="0.3">
      <c r="A583" s="2">
        <v>43292</v>
      </c>
      <c r="B583" s="1">
        <v>46.97</v>
      </c>
      <c r="C583" s="1">
        <f>'Historical Simulation'!D583</f>
        <v>202.54</v>
      </c>
      <c r="D583" s="22">
        <f t="shared" si="49"/>
        <v>1081.8274624442297</v>
      </c>
      <c r="E583" s="23">
        <f t="shared" si="50"/>
        <v>-3.1619043156449607</v>
      </c>
      <c r="F583" s="23">
        <f t="shared" si="51"/>
        <v>3.1619043156449607</v>
      </c>
    </row>
    <row r="584" spans="1:6" x14ac:dyDescent="0.3">
      <c r="A584" s="2">
        <v>43291</v>
      </c>
      <c r="B584" s="1">
        <v>47.587499999999999</v>
      </c>
      <c r="C584" s="1">
        <f>'Historical Simulation'!D584</f>
        <v>203.54</v>
      </c>
      <c r="D584" s="22">
        <f t="shared" si="49"/>
        <v>1084.9893667598747</v>
      </c>
      <c r="E584" s="23">
        <f t="shared" si="50"/>
        <v>-7.6574527598029363</v>
      </c>
      <c r="F584" s="23">
        <f t="shared" si="51"/>
        <v>7.6574527598029363</v>
      </c>
    </row>
    <row r="585" spans="1:6" x14ac:dyDescent="0.3">
      <c r="A585" s="2">
        <v>43290</v>
      </c>
      <c r="B585" s="1">
        <v>47.645000000000003</v>
      </c>
      <c r="C585" s="1">
        <f>'Historical Simulation'!D585</f>
        <v>204.74</v>
      </c>
      <c r="D585" s="22">
        <f t="shared" si="49"/>
        <v>1092.6468195196776</v>
      </c>
      <c r="E585" s="23">
        <f t="shared" si="50"/>
        <v>6.3566220932439137</v>
      </c>
      <c r="F585" s="23">
        <f t="shared" si="51"/>
        <v>-6.3566220932439137</v>
      </c>
    </row>
    <row r="586" spans="1:6" x14ac:dyDescent="0.3">
      <c r="A586" s="2">
        <v>43287</v>
      </c>
      <c r="B586" s="1">
        <v>46.9925</v>
      </c>
      <c r="C586" s="1">
        <f>'Historical Simulation'!D586</f>
        <v>203.23</v>
      </c>
      <c r="D586" s="22">
        <f t="shared" si="49"/>
        <v>1086.2901974264337</v>
      </c>
      <c r="E586" s="23">
        <f t="shared" si="50"/>
        <v>28.165304852239842</v>
      </c>
      <c r="F586" s="23">
        <f t="shared" si="51"/>
        <v>-28.165304852239842</v>
      </c>
    </row>
    <row r="587" spans="1:6" x14ac:dyDescent="0.3">
      <c r="A587" s="2">
        <v>43286</v>
      </c>
      <c r="B587" s="1">
        <v>46.35</v>
      </c>
      <c r="C587" s="1">
        <f>'Historical Simulation'!D587</f>
        <v>198.45</v>
      </c>
      <c r="D587" s="22">
        <f t="shared" si="49"/>
        <v>1058.1248925741938</v>
      </c>
      <c r="E587" s="23">
        <f t="shared" si="50"/>
        <v>35.958400231899759</v>
      </c>
      <c r="F587" s="23">
        <f t="shared" si="51"/>
        <v>-35.958400231899759</v>
      </c>
    </row>
    <row r="588" spans="1:6" x14ac:dyDescent="0.3">
      <c r="A588" s="2">
        <v>43285</v>
      </c>
      <c r="B588" s="1">
        <v>45.98</v>
      </c>
      <c r="C588" s="1">
        <f>'Historical Simulation'!D588</f>
        <v>192.73</v>
      </c>
      <c r="D588" s="22">
        <f t="shared" si="49"/>
        <v>1022.1664923422941</v>
      </c>
      <c r="E588" s="23">
        <f t="shared" si="50"/>
        <v>0</v>
      </c>
      <c r="F588" s="23">
        <f t="shared" si="51"/>
        <v>0</v>
      </c>
    </row>
    <row r="589" spans="1:6" x14ac:dyDescent="0.3">
      <c r="A589" s="2">
        <v>43284</v>
      </c>
      <c r="B589" s="1">
        <v>45.98</v>
      </c>
      <c r="C589" s="1">
        <f>'Historical Simulation'!D589</f>
        <v>192.73</v>
      </c>
      <c r="D589" s="22">
        <f t="shared" si="49"/>
        <v>1022.1664923422941</v>
      </c>
      <c r="E589" s="23">
        <f t="shared" si="50"/>
        <v>-26.192522782186188</v>
      </c>
      <c r="F589" s="23">
        <f t="shared" si="51"/>
        <v>26.192522782186188</v>
      </c>
    </row>
    <row r="590" spans="1:6" x14ac:dyDescent="0.3">
      <c r="A590" s="2">
        <v>43283</v>
      </c>
      <c r="B590" s="1">
        <v>46.795000000000002</v>
      </c>
      <c r="C590" s="1">
        <f>'Historical Simulation'!D590</f>
        <v>197.36</v>
      </c>
      <c r="D590" s="22">
        <f t="shared" si="49"/>
        <v>1048.3590151244803</v>
      </c>
      <c r="E590" s="23">
        <f t="shared" si="50"/>
        <v>17.297264408404772</v>
      </c>
      <c r="F590" s="23">
        <f t="shared" si="51"/>
        <v>-17.297264408404772</v>
      </c>
    </row>
    <row r="591" spans="1:6" x14ac:dyDescent="0.3">
      <c r="A591" s="2">
        <v>43280</v>
      </c>
      <c r="B591" s="1">
        <v>46.277500000000003</v>
      </c>
      <c r="C591" s="1">
        <f>'Historical Simulation'!D591</f>
        <v>194.32</v>
      </c>
      <c r="D591" s="22">
        <f t="shared" si="49"/>
        <v>1031.0617507160755</v>
      </c>
      <c r="E591" s="23">
        <f t="shared" si="50"/>
        <v>-12.154317835573465</v>
      </c>
      <c r="F591" s="23">
        <f t="shared" si="51"/>
        <v>12.154317835573465</v>
      </c>
    </row>
    <row r="592" spans="1:6" x14ac:dyDescent="0.3">
      <c r="A592" s="2">
        <v>43279</v>
      </c>
      <c r="B592" s="1">
        <v>46.375</v>
      </c>
      <c r="C592" s="1">
        <f>'Historical Simulation'!D592</f>
        <v>196.23</v>
      </c>
      <c r="D592" s="22">
        <f t="shared" si="49"/>
        <v>1043.216068551649</v>
      </c>
      <c r="E592" s="23">
        <f t="shared" si="50"/>
        <v>0.70086205845882432</v>
      </c>
      <c r="F592" s="23">
        <f t="shared" si="51"/>
        <v>-0.70086205845882432</v>
      </c>
    </row>
    <row r="593" spans="1:6" x14ac:dyDescent="0.3">
      <c r="A593" s="2">
        <v>43278</v>
      </c>
      <c r="B593" s="1">
        <v>46.04</v>
      </c>
      <c r="C593" s="1">
        <f>'Historical Simulation'!D593</f>
        <v>195.84</v>
      </c>
      <c r="D593" s="22">
        <f t="shared" si="49"/>
        <v>1042.5152064931901</v>
      </c>
      <c r="E593" s="23">
        <f t="shared" si="50"/>
        <v>-20.638925741523281</v>
      </c>
      <c r="F593" s="23">
        <f t="shared" si="51"/>
        <v>20.638925741523281</v>
      </c>
    </row>
    <row r="594" spans="1:6" x14ac:dyDescent="0.3">
      <c r="A594" s="2">
        <v>43277</v>
      </c>
      <c r="B594" s="1">
        <v>46.107500000000002</v>
      </c>
      <c r="C594" s="1">
        <f>'Historical Simulation'!D594</f>
        <v>199</v>
      </c>
      <c r="D594" s="22">
        <f t="shared" si="49"/>
        <v>1063.1541322347134</v>
      </c>
      <c r="E594" s="23">
        <f t="shared" si="50"/>
        <v>14.434498034301214</v>
      </c>
      <c r="F594" s="23">
        <f t="shared" si="51"/>
        <v>-14.434498034301214</v>
      </c>
    </row>
    <row r="595" spans="1:6" x14ac:dyDescent="0.3">
      <c r="A595" s="2">
        <v>43276</v>
      </c>
      <c r="B595" s="1">
        <v>45.542499999999997</v>
      </c>
      <c r="C595" s="1">
        <f>'Historical Simulation'!D595</f>
        <v>196.35</v>
      </c>
      <c r="D595" s="22">
        <f t="shared" si="49"/>
        <v>1048.7196342004122</v>
      </c>
      <c r="E595" s="23">
        <f t="shared" si="50"/>
        <v>-31.968705998226142</v>
      </c>
      <c r="F595" s="23">
        <f t="shared" si="51"/>
        <v>31.968705998226142</v>
      </c>
    </row>
    <row r="596" spans="1:6" x14ac:dyDescent="0.3">
      <c r="A596" s="2">
        <v>43273</v>
      </c>
      <c r="B596" s="1">
        <v>46.23</v>
      </c>
      <c r="C596" s="1">
        <f>'Historical Simulation'!D596</f>
        <v>201.74</v>
      </c>
      <c r="D596" s="22">
        <f t="shared" si="49"/>
        <v>1080.6883401986383</v>
      </c>
      <c r="E596" s="23">
        <f t="shared" si="50"/>
        <v>2.3595140349464145</v>
      </c>
      <c r="F596" s="23">
        <f t="shared" si="51"/>
        <v>-2.3595140349464145</v>
      </c>
    </row>
    <row r="597" spans="1:6" x14ac:dyDescent="0.3">
      <c r="A597" s="2">
        <v>43272</v>
      </c>
      <c r="B597" s="1">
        <v>46.365000000000002</v>
      </c>
      <c r="C597" s="1">
        <f>'Historical Simulation'!D597</f>
        <v>201.5</v>
      </c>
      <c r="D597" s="22">
        <f t="shared" si="49"/>
        <v>1078.3288261636919</v>
      </c>
      <c r="E597" s="23">
        <f t="shared" si="50"/>
        <v>-1.8564889823655903</v>
      </c>
      <c r="F597" s="23">
        <f t="shared" si="51"/>
        <v>1.8564889823655903</v>
      </c>
    </row>
    <row r="598" spans="1:6" x14ac:dyDescent="0.3">
      <c r="A598" s="2">
        <v>43271</v>
      </c>
      <c r="B598" s="1">
        <v>46.625</v>
      </c>
      <c r="C598" s="1">
        <f>'Historical Simulation'!D598</f>
        <v>202</v>
      </c>
      <c r="D598" s="22">
        <f t="shared" si="49"/>
        <v>1080.1853151460575</v>
      </c>
      <c r="E598" s="23">
        <f t="shared" si="50"/>
        <v>28.856151214749161</v>
      </c>
      <c r="F598" s="23">
        <f t="shared" si="51"/>
        <v>-28.856151214749161</v>
      </c>
    </row>
    <row r="599" spans="1:6" x14ac:dyDescent="0.3">
      <c r="A599" s="2">
        <v>43270</v>
      </c>
      <c r="B599" s="1">
        <v>46.422499999999999</v>
      </c>
      <c r="C599" s="1">
        <f>'Historical Simulation'!D599</f>
        <v>197.49</v>
      </c>
      <c r="D599" s="22">
        <f t="shared" si="49"/>
        <v>1051.3291639313084</v>
      </c>
      <c r="E599" s="23">
        <f t="shared" si="50"/>
        <v>-1.1449921520249973</v>
      </c>
      <c r="F599" s="23">
        <f t="shared" si="51"/>
        <v>1.1449921520249973</v>
      </c>
    </row>
    <row r="600" spans="1:6" x14ac:dyDescent="0.3">
      <c r="A600" s="2">
        <v>43269</v>
      </c>
      <c r="B600" s="1">
        <v>47.185000000000002</v>
      </c>
      <c r="C600" s="1">
        <f>'Historical Simulation'!D600</f>
        <v>198.31</v>
      </c>
      <c r="D600" s="22">
        <f t="shared" si="49"/>
        <v>1052.4741560833334</v>
      </c>
      <c r="E600" s="23">
        <f t="shared" si="50"/>
        <v>16.505313004910477</v>
      </c>
      <c r="F600" s="23">
        <f t="shared" si="51"/>
        <v>-16.505313004910477</v>
      </c>
    </row>
    <row r="601" spans="1:6" x14ac:dyDescent="0.3">
      <c r="A601" s="2">
        <v>43266</v>
      </c>
      <c r="B601" s="1">
        <v>47.21</v>
      </c>
      <c r="C601" s="1">
        <f>'Historical Simulation'!D601</f>
        <v>195.85</v>
      </c>
      <c r="D601" s="22">
        <f t="shared" si="49"/>
        <v>1035.9688430784229</v>
      </c>
      <c r="E601" s="23">
        <f t="shared" si="50"/>
        <v>-3.6164575904660978</v>
      </c>
      <c r="F601" s="23">
        <f t="shared" si="51"/>
        <v>3.6164575904660978</v>
      </c>
    </row>
    <row r="602" spans="1:6" x14ac:dyDescent="0.3">
      <c r="A602" s="2">
        <v>43265</v>
      </c>
      <c r="B602" s="1">
        <v>47.7</v>
      </c>
      <c r="C602" s="1">
        <f>'Historical Simulation'!D602</f>
        <v>196.81</v>
      </c>
      <c r="D602" s="22">
        <f t="shared" si="49"/>
        <v>1039.585300668889</v>
      </c>
      <c r="E602" s="23">
        <f t="shared" si="50"/>
        <v>29.127663741039214</v>
      </c>
      <c r="F602" s="23">
        <f t="shared" si="51"/>
        <v>-29.127663741039214</v>
      </c>
    </row>
    <row r="603" spans="1:6" x14ac:dyDescent="0.3">
      <c r="A603" s="2">
        <v>43264</v>
      </c>
      <c r="B603" s="1">
        <v>47.674999999999997</v>
      </c>
      <c r="C603" s="1">
        <f>'Historical Simulation'!D603</f>
        <v>192.41</v>
      </c>
      <c r="D603" s="22">
        <f t="shared" si="49"/>
        <v>1010.4576369278498</v>
      </c>
      <c r="E603" s="23">
        <f t="shared" si="50"/>
        <v>2.2990751577422088</v>
      </c>
      <c r="F603" s="23">
        <f t="shared" si="51"/>
        <v>-2.2990751577422088</v>
      </c>
    </row>
    <row r="604" spans="1:6" x14ac:dyDescent="0.3">
      <c r="A604" s="2">
        <v>43263</v>
      </c>
      <c r="B604" s="1">
        <v>48.07</v>
      </c>
      <c r="C604" s="1">
        <f>'Historical Simulation'!D604</f>
        <v>192.4</v>
      </c>
      <c r="D604" s="22">
        <f t="shared" si="49"/>
        <v>1008.1585617701076</v>
      </c>
      <c r="E604" s="23">
        <f t="shared" si="50"/>
        <v>4.2370923623477665</v>
      </c>
      <c r="F604" s="23">
        <f t="shared" si="51"/>
        <v>-4.2370923623477665</v>
      </c>
    </row>
    <row r="605" spans="1:6" x14ac:dyDescent="0.3">
      <c r="A605" s="2">
        <v>43262</v>
      </c>
      <c r="B605" s="1">
        <v>47.807499999999997</v>
      </c>
      <c r="C605" s="1">
        <f>'Historical Simulation'!D605</f>
        <v>191.54</v>
      </c>
      <c r="D605" s="22">
        <f t="shared" si="49"/>
        <v>1003.9214694077598</v>
      </c>
      <c r="E605" s="23">
        <f t="shared" si="50"/>
        <v>16.895085718333121</v>
      </c>
      <c r="F605" s="23">
        <f t="shared" si="51"/>
        <v>-16.895085718333121</v>
      </c>
    </row>
    <row r="606" spans="1:6" x14ac:dyDescent="0.3">
      <c r="A606" s="2">
        <v>43259</v>
      </c>
      <c r="B606" s="1">
        <v>47.924999999999997</v>
      </c>
      <c r="C606" s="1">
        <f>'Historical Simulation'!D606</f>
        <v>189.1</v>
      </c>
      <c r="D606" s="22">
        <f t="shared" si="49"/>
        <v>987.02638368942667</v>
      </c>
      <c r="E606" s="23">
        <f t="shared" si="50"/>
        <v>8.6067709000717514</v>
      </c>
      <c r="F606" s="23">
        <f t="shared" si="51"/>
        <v>-8.6067709000717514</v>
      </c>
    </row>
    <row r="607" spans="1:6" x14ac:dyDescent="0.3">
      <c r="A607" s="2">
        <v>43258</v>
      </c>
      <c r="B607" s="1">
        <v>48.365000000000002</v>
      </c>
      <c r="C607" s="1">
        <f>'Historical Simulation'!D607</f>
        <v>188.18</v>
      </c>
      <c r="D607" s="22">
        <f t="shared" si="49"/>
        <v>978.41961278935491</v>
      </c>
      <c r="E607" s="23">
        <f t="shared" si="50"/>
        <v>-20.285673402365774</v>
      </c>
      <c r="F607" s="23">
        <f t="shared" si="51"/>
        <v>20.285673402365774</v>
      </c>
    </row>
    <row r="608" spans="1:6" x14ac:dyDescent="0.3">
      <c r="A608" s="2">
        <v>43257</v>
      </c>
      <c r="B608" s="1">
        <v>48.494999999999997</v>
      </c>
      <c r="C608" s="1">
        <f>'Historical Simulation'!D608</f>
        <v>191.34</v>
      </c>
      <c r="D608" s="22">
        <f t="shared" si="49"/>
        <v>998.70528619172069</v>
      </c>
      <c r="E608" s="23">
        <f t="shared" si="50"/>
        <v>-11.589976151379688</v>
      </c>
      <c r="F608" s="23">
        <f t="shared" si="51"/>
        <v>11.589976151379688</v>
      </c>
    </row>
    <row r="609" spans="1:6" x14ac:dyDescent="0.3">
      <c r="A609" s="2">
        <v>43256</v>
      </c>
      <c r="B609" s="1">
        <v>48.327500000000001</v>
      </c>
      <c r="C609" s="1">
        <f>'Historical Simulation'!D609</f>
        <v>192.94</v>
      </c>
      <c r="D609" s="22">
        <f t="shared" si="49"/>
        <v>1010.2952623431004</v>
      </c>
      <c r="E609" s="23">
        <f t="shared" si="50"/>
        <v>-4.3529465728317973</v>
      </c>
      <c r="F609" s="23">
        <f t="shared" si="51"/>
        <v>4.3529465728317973</v>
      </c>
    </row>
    <row r="610" spans="1:6" x14ac:dyDescent="0.3">
      <c r="A610" s="2">
        <v>43255</v>
      </c>
      <c r="B610" s="1">
        <v>47.957500000000003</v>
      </c>
      <c r="C610" s="1">
        <f>'Historical Simulation'!D610</f>
        <v>193.28</v>
      </c>
      <c r="D610" s="22">
        <f t="shared" si="49"/>
        <v>1014.6482089159322</v>
      </c>
      <c r="E610" s="23">
        <f t="shared" si="50"/>
        <v>-6.9696314498744414</v>
      </c>
      <c r="F610" s="23">
        <f t="shared" si="51"/>
        <v>6.9696314498744414</v>
      </c>
    </row>
    <row r="611" spans="1:6" x14ac:dyDescent="0.3">
      <c r="A611" s="2">
        <v>43252</v>
      </c>
      <c r="B611" s="1">
        <v>47.56</v>
      </c>
      <c r="C611" s="1">
        <f>'Historical Simulation'!D611</f>
        <v>193.99</v>
      </c>
      <c r="D611" s="22">
        <f t="shared" si="49"/>
        <v>1021.6178403658066</v>
      </c>
      <c r="E611" s="23">
        <f t="shared" si="50"/>
        <v>9.9391611807704976</v>
      </c>
      <c r="F611" s="23">
        <f t="shared" si="51"/>
        <v>-9.9391611807704976</v>
      </c>
    </row>
    <row r="612" spans="1:6" x14ac:dyDescent="0.3">
      <c r="A612" s="2">
        <v>43251</v>
      </c>
      <c r="B612" s="1">
        <v>46.717500000000001</v>
      </c>
      <c r="C612" s="1">
        <f>'Historical Simulation'!D612</f>
        <v>191.78</v>
      </c>
      <c r="D612" s="22">
        <f t="shared" si="49"/>
        <v>1011.6786791850361</v>
      </c>
      <c r="E612" s="23">
        <f t="shared" si="50"/>
        <v>28.230069717688366</v>
      </c>
      <c r="F612" s="23">
        <f t="shared" si="51"/>
        <v>-28.230069717688366</v>
      </c>
    </row>
    <row r="613" spans="1:6" x14ac:dyDescent="0.3">
      <c r="A613" s="2">
        <v>43250</v>
      </c>
      <c r="B613" s="1">
        <v>46.875</v>
      </c>
      <c r="C613" s="1">
        <f>'Historical Simulation'!D613</f>
        <v>187.67</v>
      </c>
      <c r="D613" s="22">
        <f t="shared" si="49"/>
        <v>983.44860946734775</v>
      </c>
      <c r="E613" s="23">
        <f t="shared" si="50"/>
        <v>13.403635975842121</v>
      </c>
      <c r="F613" s="23">
        <f t="shared" si="51"/>
        <v>-13.403635975842121</v>
      </c>
    </row>
    <row r="614" spans="1:6" x14ac:dyDescent="0.3">
      <c r="A614" s="2">
        <v>43249</v>
      </c>
      <c r="B614" s="1">
        <v>46.975000000000001</v>
      </c>
      <c r="C614" s="1">
        <f>'Historical Simulation'!D614</f>
        <v>185.74</v>
      </c>
      <c r="D614" s="22">
        <f t="shared" si="49"/>
        <v>970.04497349150563</v>
      </c>
      <c r="E614" s="23">
        <f t="shared" si="50"/>
        <v>6.4155170522582239</v>
      </c>
      <c r="F614" s="23">
        <f t="shared" si="51"/>
        <v>-6.4155170522582239</v>
      </c>
    </row>
    <row r="615" spans="1:6" x14ac:dyDescent="0.3">
      <c r="A615" s="2">
        <v>43248</v>
      </c>
      <c r="B615" s="1">
        <v>47.145000000000003</v>
      </c>
      <c r="C615" s="1">
        <f>'Historical Simulation'!D615</f>
        <v>184.92</v>
      </c>
      <c r="D615" s="22">
        <f t="shared" si="49"/>
        <v>963.62945643924741</v>
      </c>
      <c r="E615" s="23">
        <f t="shared" si="50"/>
        <v>0</v>
      </c>
      <c r="F615" s="23">
        <f t="shared" si="51"/>
        <v>0</v>
      </c>
    </row>
    <row r="616" spans="1:6" x14ac:dyDescent="0.3">
      <c r="A616" s="2">
        <v>43245</v>
      </c>
      <c r="B616" s="1">
        <v>47.145000000000003</v>
      </c>
      <c r="C616" s="1">
        <f>'Historical Simulation'!D616</f>
        <v>184.92</v>
      </c>
      <c r="D616" s="22">
        <f t="shared" si="49"/>
        <v>963.62945643924741</v>
      </c>
      <c r="E616" s="23">
        <f t="shared" si="50"/>
        <v>-7.3261518241399699</v>
      </c>
      <c r="F616" s="23">
        <f t="shared" si="51"/>
        <v>7.3261518241399699</v>
      </c>
    </row>
    <row r="617" spans="1:6" x14ac:dyDescent="0.3">
      <c r="A617" s="2">
        <v>43244</v>
      </c>
      <c r="B617" s="1">
        <v>47.037500000000001</v>
      </c>
      <c r="C617" s="1">
        <f>'Historical Simulation'!D617</f>
        <v>185.93</v>
      </c>
      <c r="D617" s="22">
        <f t="shared" si="49"/>
        <v>970.95560826338738</v>
      </c>
      <c r="E617" s="23">
        <f t="shared" si="50"/>
        <v>-6.1557443388348929</v>
      </c>
      <c r="F617" s="23">
        <f t="shared" si="51"/>
        <v>6.1557443388348929</v>
      </c>
    </row>
    <row r="618" spans="1:6" x14ac:dyDescent="0.3">
      <c r="A618" s="2">
        <v>43243</v>
      </c>
      <c r="B618" s="1">
        <v>47.09</v>
      </c>
      <c r="C618" s="1">
        <f>'Historical Simulation'!D618</f>
        <v>186.9</v>
      </c>
      <c r="D618" s="22">
        <f t="shared" si="49"/>
        <v>977.11135260222227</v>
      </c>
      <c r="E618" s="23">
        <f t="shared" si="50"/>
        <v>18.925704794265016</v>
      </c>
      <c r="F618" s="23">
        <f t="shared" si="51"/>
        <v>-18.925704794265016</v>
      </c>
    </row>
    <row r="619" spans="1:6" x14ac:dyDescent="0.3">
      <c r="A619" s="2">
        <v>43242</v>
      </c>
      <c r="B619" s="1">
        <v>46.79</v>
      </c>
      <c r="C619" s="1">
        <f>'Historical Simulation'!D619</f>
        <v>183.8</v>
      </c>
      <c r="D619" s="22">
        <f t="shared" si="49"/>
        <v>958.18564780795725</v>
      </c>
      <c r="E619" s="23">
        <f t="shared" si="50"/>
        <v>-3.9257914266844409</v>
      </c>
      <c r="F619" s="23">
        <f t="shared" si="51"/>
        <v>3.9257914266844409</v>
      </c>
    </row>
    <row r="620" spans="1:6" x14ac:dyDescent="0.3">
      <c r="A620" s="2">
        <v>43241</v>
      </c>
      <c r="B620" s="1">
        <v>46.907499999999999</v>
      </c>
      <c r="C620" s="1">
        <f>'Historical Simulation'!D620</f>
        <v>184.49</v>
      </c>
      <c r="D620" s="22">
        <f t="shared" si="49"/>
        <v>962.11143923464169</v>
      </c>
      <c r="E620" s="23">
        <f t="shared" si="50"/>
        <v>10.175015391254419</v>
      </c>
      <c r="F620" s="23">
        <f t="shared" si="51"/>
        <v>-10.175015391254419</v>
      </c>
    </row>
    <row r="621" spans="1:6" x14ac:dyDescent="0.3">
      <c r="A621" s="2">
        <v>43238</v>
      </c>
      <c r="B621" s="1">
        <v>46.577500000000001</v>
      </c>
      <c r="C621" s="1">
        <f>'Historical Simulation'!D621</f>
        <v>182.68</v>
      </c>
      <c r="D621" s="22">
        <f t="shared" si="49"/>
        <v>951.93642384338727</v>
      </c>
      <c r="E621" s="23">
        <f t="shared" si="50"/>
        <v>-6.2233540581360103</v>
      </c>
      <c r="F621" s="23">
        <f t="shared" si="51"/>
        <v>6.2233540581360103</v>
      </c>
    </row>
    <row r="622" spans="1:6" x14ac:dyDescent="0.3">
      <c r="A622" s="2">
        <v>43237</v>
      </c>
      <c r="B622" s="1">
        <v>46.747500000000002</v>
      </c>
      <c r="C622" s="1">
        <f>'Historical Simulation'!D622</f>
        <v>183.76</v>
      </c>
      <c r="D622" s="22">
        <f t="shared" si="49"/>
        <v>958.15977790152328</v>
      </c>
      <c r="E622" s="23">
        <f t="shared" si="50"/>
        <v>5.4066220932436408</v>
      </c>
      <c r="F622" s="23">
        <f t="shared" si="51"/>
        <v>-5.4066220932436408</v>
      </c>
    </row>
    <row r="623" spans="1:6" x14ac:dyDescent="0.3">
      <c r="A623" s="2">
        <v>43236</v>
      </c>
      <c r="B623" s="1">
        <v>47.045000000000002</v>
      </c>
      <c r="C623" s="1">
        <f>'Historical Simulation'!D623</f>
        <v>183.2</v>
      </c>
      <c r="D623" s="22">
        <f t="shared" si="49"/>
        <v>952.75315580827964</v>
      </c>
      <c r="E623" s="23">
        <f t="shared" si="50"/>
        <v>-9.9089181982436685</v>
      </c>
      <c r="F623" s="23">
        <f t="shared" si="51"/>
        <v>9.9089181982436685</v>
      </c>
    </row>
    <row r="624" spans="1:6" x14ac:dyDescent="0.3">
      <c r="A624" s="2">
        <v>43235</v>
      </c>
      <c r="B624" s="1">
        <v>46.61</v>
      </c>
      <c r="C624" s="1">
        <f>'Historical Simulation'!D624</f>
        <v>184.32</v>
      </c>
      <c r="D624" s="22">
        <f t="shared" si="49"/>
        <v>962.66207400652331</v>
      </c>
      <c r="E624" s="23">
        <f t="shared" si="50"/>
        <v>-13.016480829695524</v>
      </c>
      <c r="F624" s="23">
        <f t="shared" si="51"/>
        <v>13.016480829695524</v>
      </c>
    </row>
    <row r="625" spans="1:6" x14ac:dyDescent="0.3">
      <c r="A625" s="2">
        <v>43234</v>
      </c>
      <c r="B625" s="1">
        <v>47.037500000000001</v>
      </c>
      <c r="C625" s="1">
        <f>'Historical Simulation'!D625</f>
        <v>186.64</v>
      </c>
      <c r="D625" s="22">
        <f t="shared" si="49"/>
        <v>975.67855483621884</v>
      </c>
      <c r="E625" s="23">
        <f t="shared" si="50"/>
        <v>-1.7064889823654994</v>
      </c>
      <c r="F625" s="23">
        <f t="shared" si="51"/>
        <v>1.7064889823654994</v>
      </c>
    </row>
    <row r="626" spans="1:6" x14ac:dyDescent="0.3">
      <c r="A626" s="2">
        <v>43231</v>
      </c>
      <c r="B626" s="1">
        <v>47.147500000000001</v>
      </c>
      <c r="C626" s="1">
        <f>'Historical Simulation'!D626</f>
        <v>186.99</v>
      </c>
      <c r="D626" s="22">
        <f t="shared" si="49"/>
        <v>977.38504381858434</v>
      </c>
      <c r="E626" s="23">
        <f t="shared" si="50"/>
        <v>11.760838209838653</v>
      </c>
      <c r="F626" s="23">
        <f t="shared" si="51"/>
        <v>-11.760838209838653</v>
      </c>
    </row>
    <row r="627" spans="1:6" x14ac:dyDescent="0.3">
      <c r="A627" s="2">
        <v>43230</v>
      </c>
      <c r="B627" s="1">
        <v>47.51</v>
      </c>
      <c r="C627" s="1">
        <f>'Historical Simulation'!D627</f>
        <v>185.53</v>
      </c>
      <c r="D627" s="22">
        <f t="shared" si="49"/>
        <v>965.62420560874568</v>
      </c>
      <c r="E627" s="23">
        <f t="shared" si="50"/>
        <v>15.304482338351249</v>
      </c>
      <c r="F627" s="23">
        <f t="shared" si="51"/>
        <v>-15.304482338351249</v>
      </c>
    </row>
    <row r="628" spans="1:6" x14ac:dyDescent="0.3">
      <c r="A628" s="2">
        <v>43229</v>
      </c>
      <c r="B628" s="1">
        <v>46.84</v>
      </c>
      <c r="C628" s="1">
        <f>'Historical Simulation'!D628</f>
        <v>182.66</v>
      </c>
      <c r="D628" s="22">
        <f t="shared" si="49"/>
        <v>950.31972327039443</v>
      </c>
      <c r="E628" s="23">
        <f t="shared" si="50"/>
        <v>23.027577718010775</v>
      </c>
      <c r="F628" s="23">
        <f t="shared" si="51"/>
        <v>-23.027577718010775</v>
      </c>
    </row>
    <row r="629" spans="1:6" x14ac:dyDescent="0.3">
      <c r="A629" s="2">
        <v>43228</v>
      </c>
      <c r="B629" s="1">
        <v>46.512500000000003</v>
      </c>
      <c r="C629" s="1">
        <f>'Historical Simulation'!D629</f>
        <v>178.92</v>
      </c>
      <c r="D629" s="22">
        <f t="shared" si="49"/>
        <v>927.29214555238366</v>
      </c>
      <c r="E629" s="23">
        <f t="shared" si="50"/>
        <v>5.0618572277955991</v>
      </c>
      <c r="F629" s="23">
        <f t="shared" si="51"/>
        <v>-5.0618572277955991</v>
      </c>
    </row>
    <row r="630" spans="1:6" x14ac:dyDescent="0.3">
      <c r="A630" s="2">
        <v>43227</v>
      </c>
      <c r="B630" s="1">
        <v>46.29</v>
      </c>
      <c r="C630" s="1">
        <f>'Historical Simulation'!D630</f>
        <v>177.97</v>
      </c>
      <c r="D630" s="22">
        <f t="shared" si="49"/>
        <v>922.23028832458806</v>
      </c>
      <c r="E630" s="23">
        <f t="shared" si="50"/>
        <v>7.1674684557527826</v>
      </c>
      <c r="F630" s="23">
        <f t="shared" si="51"/>
        <v>-7.1674684557527826</v>
      </c>
    </row>
    <row r="631" spans="1:6" x14ac:dyDescent="0.3">
      <c r="A631" s="2">
        <v>43224</v>
      </c>
      <c r="B631" s="1">
        <v>45.957500000000003</v>
      </c>
      <c r="C631" s="1">
        <f>'Historical Simulation'!D631</f>
        <v>176.61</v>
      </c>
      <c r="D631" s="22">
        <f t="shared" si="49"/>
        <v>915.06281986883528</v>
      </c>
      <c r="E631" s="23">
        <f t="shared" si="50"/>
        <v>7.4224919996775043</v>
      </c>
      <c r="F631" s="23">
        <f t="shared" si="51"/>
        <v>-7.4224919996775043</v>
      </c>
    </row>
    <row r="632" spans="1:6" x14ac:dyDescent="0.3">
      <c r="A632" s="2">
        <v>43223</v>
      </c>
      <c r="B632" s="1">
        <v>44.222499999999997</v>
      </c>
      <c r="C632" s="1">
        <f>'Historical Simulation'!D632</f>
        <v>174.02</v>
      </c>
      <c r="D632" s="22">
        <f t="shared" si="49"/>
        <v>907.64032786915777</v>
      </c>
      <c r="E632" s="23">
        <f t="shared" si="50"/>
        <v>-14.088839718494683</v>
      </c>
      <c r="F632" s="23">
        <f t="shared" si="51"/>
        <v>14.088839718494683</v>
      </c>
    </row>
    <row r="633" spans="1:6" x14ac:dyDescent="0.3">
      <c r="A633" s="2">
        <v>43222</v>
      </c>
      <c r="B633" s="1">
        <v>44.142499999999998</v>
      </c>
      <c r="C633" s="1">
        <f>'Historical Simulation'!D633</f>
        <v>176.07</v>
      </c>
      <c r="D633" s="22">
        <f t="shared" si="49"/>
        <v>921.72916758765246</v>
      </c>
      <c r="E633" s="23">
        <f t="shared" si="50"/>
        <v>4.1458228185840653</v>
      </c>
      <c r="F633" s="23">
        <f t="shared" si="51"/>
        <v>-4.1458228185840653</v>
      </c>
    </row>
    <row r="634" spans="1:6" x14ac:dyDescent="0.3">
      <c r="A634" s="2">
        <v>43221</v>
      </c>
      <c r="B634" s="1">
        <v>42.274999999999999</v>
      </c>
      <c r="C634" s="1">
        <f>'Historical Simulation'!D634</f>
        <v>173.86</v>
      </c>
      <c r="D634" s="22">
        <f t="shared" si="49"/>
        <v>917.58334476906839</v>
      </c>
      <c r="E634" s="23">
        <f t="shared" si="50"/>
        <v>6.9468336838710911</v>
      </c>
      <c r="F634" s="23">
        <f t="shared" si="51"/>
        <v>-6.9468336838710911</v>
      </c>
    </row>
    <row r="635" spans="1:6" x14ac:dyDescent="0.3">
      <c r="A635" s="2">
        <v>43220</v>
      </c>
      <c r="B635" s="1">
        <v>41.314999999999998</v>
      </c>
      <c r="C635" s="1">
        <f>'Historical Simulation'!D635</f>
        <v>172</v>
      </c>
      <c r="D635" s="22">
        <f t="shared" si="49"/>
        <v>910.6365110851973</v>
      </c>
      <c r="E635" s="23">
        <f t="shared" si="50"/>
        <v>-14.730987016666631</v>
      </c>
      <c r="F635" s="23">
        <f t="shared" si="51"/>
        <v>14.730987016666631</v>
      </c>
    </row>
    <row r="636" spans="1:6" x14ac:dyDescent="0.3">
      <c r="A636" s="2">
        <v>43217</v>
      </c>
      <c r="B636" s="1">
        <v>40.58</v>
      </c>
      <c r="C636" s="1">
        <f>'Historical Simulation'!D636</f>
        <v>173.59</v>
      </c>
      <c r="D636" s="22">
        <f t="shared" si="49"/>
        <v>925.36749810186393</v>
      </c>
      <c r="E636" s="23">
        <f t="shared" si="50"/>
        <v>-1.1069435555198197</v>
      </c>
      <c r="F636" s="23">
        <f t="shared" si="51"/>
        <v>1.1069435555198197</v>
      </c>
    </row>
    <row r="637" spans="1:6" x14ac:dyDescent="0.3">
      <c r="A637" s="2">
        <v>43216</v>
      </c>
      <c r="B637" s="1">
        <v>41.055</v>
      </c>
      <c r="C637" s="1">
        <f>'Historical Simulation'!D637</f>
        <v>174.16</v>
      </c>
      <c r="D637" s="22">
        <f t="shared" si="49"/>
        <v>926.47444165738375</v>
      </c>
      <c r="E637" s="23">
        <f t="shared" si="50"/>
        <v>95.449566228512708</v>
      </c>
      <c r="F637" s="23">
        <f t="shared" si="51"/>
        <v>-95.449566228512708</v>
      </c>
    </row>
    <row r="638" spans="1:6" x14ac:dyDescent="0.3">
      <c r="A638" s="2">
        <v>43215</v>
      </c>
      <c r="B638" s="1">
        <v>40.912500000000001</v>
      </c>
      <c r="C638" s="1">
        <f>'Historical Simulation'!D638</f>
        <v>159.69</v>
      </c>
      <c r="D638" s="22">
        <f t="shared" si="49"/>
        <v>831.02487542887104</v>
      </c>
      <c r="E638" s="23">
        <f t="shared" si="50"/>
        <v>-1.0032366432079698</v>
      </c>
      <c r="F638" s="23">
        <f t="shared" si="51"/>
        <v>1.0032366432079698</v>
      </c>
    </row>
    <row r="639" spans="1:6" x14ac:dyDescent="0.3">
      <c r="A639" s="2">
        <v>43214</v>
      </c>
      <c r="B639" s="1">
        <v>40.734999999999999</v>
      </c>
      <c r="C639" s="1">
        <f>'Historical Simulation'!D639</f>
        <v>159.69</v>
      </c>
      <c r="D639" s="22">
        <f t="shared" si="49"/>
        <v>832.02811207207901</v>
      </c>
      <c r="E639" s="23">
        <f t="shared" si="50"/>
        <v>-37.660108652867279</v>
      </c>
      <c r="F639" s="23">
        <f t="shared" si="51"/>
        <v>37.660108652867279</v>
      </c>
    </row>
    <row r="640" spans="1:6" x14ac:dyDescent="0.3">
      <c r="A640" s="2">
        <v>43213</v>
      </c>
      <c r="B640" s="1">
        <v>41.31</v>
      </c>
      <c r="C640" s="1">
        <f>'Historical Simulation'!D640</f>
        <v>165.84</v>
      </c>
      <c r="D640" s="22">
        <f t="shared" si="49"/>
        <v>869.68822072494629</v>
      </c>
      <c r="E640" s="23">
        <f t="shared" si="50"/>
        <v>-2.2486519764875084</v>
      </c>
      <c r="F640" s="23">
        <f t="shared" si="51"/>
        <v>2.2486519764875084</v>
      </c>
    </row>
    <row r="641" spans="1:6" x14ac:dyDescent="0.3">
      <c r="A641" s="2">
        <v>43210</v>
      </c>
      <c r="B641" s="1">
        <v>41.43</v>
      </c>
      <c r="C641" s="1">
        <f>'Historical Simulation'!D641</f>
        <v>166.28</v>
      </c>
      <c r="D641" s="22">
        <f t="shared" si="49"/>
        <v>871.9368727014338</v>
      </c>
      <c r="E641" s="23">
        <f t="shared" si="50"/>
        <v>-2.102601871326101</v>
      </c>
      <c r="F641" s="23">
        <f t="shared" si="51"/>
        <v>2.102601871326101</v>
      </c>
    </row>
    <row r="642" spans="1:6" x14ac:dyDescent="0.3">
      <c r="A642" s="2">
        <v>43209</v>
      </c>
      <c r="B642" s="1">
        <v>43.2</v>
      </c>
      <c r="C642" s="1">
        <f>'Historical Simulation'!D642</f>
        <v>168.1</v>
      </c>
      <c r="D642" s="22">
        <f t="shared" si="49"/>
        <v>874.0394745727599</v>
      </c>
      <c r="E642" s="23">
        <f t="shared" si="50"/>
        <v>18.696112279569661</v>
      </c>
      <c r="F642" s="23">
        <f t="shared" si="51"/>
        <v>-18.696112279569661</v>
      </c>
    </row>
    <row r="643" spans="1:6" x14ac:dyDescent="0.3">
      <c r="A643" s="2">
        <v>43208</v>
      </c>
      <c r="B643" s="1">
        <v>44.46</v>
      </c>
      <c r="C643" s="1">
        <f>'Historical Simulation'!D643</f>
        <v>166.36</v>
      </c>
      <c r="D643" s="22">
        <f t="shared" si="49"/>
        <v>855.34336229319024</v>
      </c>
      <c r="E643" s="23">
        <f t="shared" si="50"/>
        <v>-14.734482338350972</v>
      </c>
      <c r="F643" s="23">
        <f t="shared" si="51"/>
        <v>14.734482338350972</v>
      </c>
    </row>
    <row r="644" spans="1:6" x14ac:dyDescent="0.3">
      <c r="A644" s="2">
        <v>43207</v>
      </c>
      <c r="B644" s="1">
        <v>44.56</v>
      </c>
      <c r="C644" s="1">
        <f>'Historical Simulation'!D644</f>
        <v>168.66</v>
      </c>
      <c r="D644" s="22">
        <f t="shared" si="49"/>
        <v>870.07784463154121</v>
      </c>
      <c r="E644" s="23">
        <f t="shared" si="50"/>
        <v>22.057820700537377</v>
      </c>
      <c r="F644" s="23">
        <f t="shared" si="51"/>
        <v>-22.057820700537377</v>
      </c>
    </row>
    <row r="645" spans="1:6" x14ac:dyDescent="0.3">
      <c r="A645" s="2">
        <v>43206</v>
      </c>
      <c r="B645" s="1">
        <v>43.954999999999998</v>
      </c>
      <c r="C645" s="1">
        <f>'Historical Simulation'!D645</f>
        <v>164.83</v>
      </c>
      <c r="D645" s="22">
        <f t="shared" si="49"/>
        <v>848.02002393100383</v>
      </c>
      <c r="E645" s="23">
        <f t="shared" si="50"/>
        <v>0.52195140349476787</v>
      </c>
      <c r="F645" s="23">
        <f t="shared" si="51"/>
        <v>-0.52195140349476787</v>
      </c>
    </row>
    <row r="646" spans="1:6" x14ac:dyDescent="0.3">
      <c r="A646" s="2">
        <v>43203</v>
      </c>
      <c r="B646" s="1">
        <v>43.682499999999997</v>
      </c>
      <c r="C646" s="1">
        <f>'Historical Simulation'!D646</f>
        <v>164.52</v>
      </c>
      <c r="D646" s="22">
        <f t="shared" ref="D646:D709" si="52">$M$16*B646+(1-$M$16)*C646</f>
        <v>847.49807252750907</v>
      </c>
      <c r="E646" s="23">
        <f t="shared" ref="E646:E709" si="53">D646-D647</f>
        <v>3.4901488068278468</v>
      </c>
      <c r="F646" s="23">
        <f t="shared" ref="F646:F709" si="54">-E646</f>
        <v>-3.4901488068278468</v>
      </c>
    </row>
    <row r="647" spans="1:6" x14ac:dyDescent="0.3">
      <c r="A647" s="2">
        <v>43202</v>
      </c>
      <c r="B647" s="1">
        <v>43.534999999999997</v>
      </c>
      <c r="C647" s="1">
        <f>'Historical Simulation'!D647</f>
        <v>163.87</v>
      </c>
      <c r="D647" s="22">
        <f t="shared" si="52"/>
        <v>844.00792372068122</v>
      </c>
      <c r="E647" s="23">
        <f t="shared" si="53"/>
        <v>-18.699607601254343</v>
      </c>
      <c r="F647" s="23">
        <f t="shared" si="54"/>
        <v>18.699607601254343</v>
      </c>
    </row>
    <row r="648" spans="1:6" x14ac:dyDescent="0.3">
      <c r="A648" s="2">
        <v>43201</v>
      </c>
      <c r="B648" s="1">
        <v>43.11</v>
      </c>
      <c r="C648" s="1">
        <f>'Historical Simulation'!D648</f>
        <v>166.32</v>
      </c>
      <c r="D648" s="22">
        <f t="shared" si="52"/>
        <v>862.70753132193556</v>
      </c>
      <c r="E648" s="23">
        <f t="shared" si="53"/>
        <v>9.6591454848207832</v>
      </c>
      <c r="F648" s="23">
        <f t="shared" si="54"/>
        <v>-9.6591454848207832</v>
      </c>
    </row>
    <row r="649" spans="1:6" x14ac:dyDescent="0.3">
      <c r="A649" s="2">
        <v>43200</v>
      </c>
      <c r="B649" s="1">
        <v>43.3125</v>
      </c>
      <c r="C649" s="1">
        <f>'Historical Simulation'!D649</f>
        <v>165.04</v>
      </c>
      <c r="D649" s="22">
        <f t="shared" si="52"/>
        <v>853.04838583711478</v>
      </c>
      <c r="E649" s="23">
        <f t="shared" si="53"/>
        <v>42.774356161361993</v>
      </c>
      <c r="F649" s="23">
        <f t="shared" si="54"/>
        <v>-42.774356161361993</v>
      </c>
    </row>
    <row r="650" spans="1:6" x14ac:dyDescent="0.3">
      <c r="A650" s="2">
        <v>43199</v>
      </c>
      <c r="B650" s="1">
        <v>42.512500000000003</v>
      </c>
      <c r="C650" s="1">
        <f>'Historical Simulation'!D650</f>
        <v>157.93</v>
      </c>
      <c r="D650" s="22">
        <f t="shared" si="52"/>
        <v>810.27402967575279</v>
      </c>
      <c r="E650" s="23">
        <f t="shared" si="53"/>
        <v>2.4962616957885757</v>
      </c>
      <c r="F650" s="23">
        <f t="shared" si="54"/>
        <v>-2.4962616957885757</v>
      </c>
    </row>
    <row r="651" spans="1:6" x14ac:dyDescent="0.3">
      <c r="A651" s="2">
        <v>43196</v>
      </c>
      <c r="B651" s="1">
        <v>42.094999999999999</v>
      </c>
      <c r="C651" s="1">
        <f>'Historical Simulation'!D651</f>
        <v>157.19999999999999</v>
      </c>
      <c r="D651" s="22">
        <f t="shared" si="52"/>
        <v>807.77776797996421</v>
      </c>
      <c r="E651" s="23">
        <f t="shared" si="53"/>
        <v>-7.9898587364516516</v>
      </c>
      <c r="F651" s="23">
        <f t="shared" si="54"/>
        <v>7.9898587364516516</v>
      </c>
    </row>
    <row r="652" spans="1:6" x14ac:dyDescent="0.3">
      <c r="A652" s="2">
        <v>43195</v>
      </c>
      <c r="B652" s="1">
        <v>43.2</v>
      </c>
      <c r="C652" s="1">
        <f>'Historical Simulation'!D652</f>
        <v>159.34</v>
      </c>
      <c r="D652" s="22">
        <f t="shared" si="52"/>
        <v>815.76762671641586</v>
      </c>
      <c r="E652" s="23">
        <f t="shared" si="53"/>
        <v>26.523157554068121</v>
      </c>
      <c r="F652" s="23">
        <f t="shared" si="54"/>
        <v>-26.523157554068121</v>
      </c>
    </row>
    <row r="653" spans="1:6" x14ac:dyDescent="0.3">
      <c r="A653" s="2">
        <v>43194</v>
      </c>
      <c r="B653" s="1">
        <v>42.902500000000003</v>
      </c>
      <c r="C653" s="1">
        <f>'Historical Simulation'!D653</f>
        <v>155.1</v>
      </c>
      <c r="D653" s="22">
        <f t="shared" si="52"/>
        <v>789.24446916234774</v>
      </c>
      <c r="E653" s="23">
        <f t="shared" si="53"/>
        <v>-11.268447929139938</v>
      </c>
      <c r="F653" s="23">
        <f t="shared" si="54"/>
        <v>11.268447929139938</v>
      </c>
    </row>
    <row r="654" spans="1:6" x14ac:dyDescent="0.3">
      <c r="A654" s="2">
        <v>43193</v>
      </c>
      <c r="B654" s="1">
        <v>42.097499999999997</v>
      </c>
      <c r="C654" s="1">
        <f>'Historical Simulation'!D654</f>
        <v>156.11000000000001</v>
      </c>
      <c r="D654" s="22">
        <f t="shared" si="52"/>
        <v>800.51291709148768</v>
      </c>
      <c r="E654" s="23">
        <f t="shared" si="53"/>
        <v>2.3732209472583463</v>
      </c>
      <c r="F654" s="23">
        <f t="shared" si="54"/>
        <v>-2.3732209472583463</v>
      </c>
    </row>
    <row r="655" spans="1:6" x14ac:dyDescent="0.3">
      <c r="A655" s="2">
        <v>43192</v>
      </c>
      <c r="B655" s="1">
        <v>41.67</v>
      </c>
      <c r="C655" s="1">
        <f>'Historical Simulation'!D655</f>
        <v>155.38999999999999</v>
      </c>
      <c r="D655" s="22">
        <f t="shared" si="52"/>
        <v>798.13969614422933</v>
      </c>
      <c r="E655" s="23">
        <f t="shared" si="53"/>
        <v>-27.714654384408618</v>
      </c>
      <c r="F655" s="23">
        <f t="shared" si="54"/>
        <v>27.714654384408618</v>
      </c>
    </row>
    <row r="656" spans="1:6" x14ac:dyDescent="0.3">
      <c r="A656" s="2">
        <v>43189</v>
      </c>
      <c r="B656" s="1">
        <v>41.945</v>
      </c>
      <c r="C656" s="1">
        <f>'Historical Simulation'!D656</f>
        <v>159.79</v>
      </c>
      <c r="D656" s="22">
        <f t="shared" si="52"/>
        <v>825.85435052863795</v>
      </c>
      <c r="E656" s="23">
        <f t="shared" si="53"/>
        <v>0</v>
      </c>
      <c r="F656" s="23">
        <f t="shared" si="54"/>
        <v>0</v>
      </c>
    </row>
    <row r="657" spans="1:6" x14ac:dyDescent="0.3">
      <c r="A657" s="2">
        <v>43188</v>
      </c>
      <c r="B657" s="1">
        <v>41.945</v>
      </c>
      <c r="C657" s="1">
        <f>'Historical Simulation'!D657</f>
        <v>159.79</v>
      </c>
      <c r="D657" s="22">
        <f t="shared" si="52"/>
        <v>825.85435052863795</v>
      </c>
      <c r="E657" s="23">
        <f t="shared" si="53"/>
        <v>43.130860839677325</v>
      </c>
      <c r="F657" s="23">
        <f t="shared" si="54"/>
        <v>-43.130860839677325</v>
      </c>
    </row>
    <row r="658" spans="1:6" x14ac:dyDescent="0.3">
      <c r="A658" s="2">
        <v>43187</v>
      </c>
      <c r="B658" s="1">
        <v>41.62</v>
      </c>
      <c r="C658" s="1">
        <f>'Historical Simulation'!D658</f>
        <v>153.03</v>
      </c>
      <c r="D658" s="22">
        <f t="shared" si="52"/>
        <v>782.72348968896063</v>
      </c>
      <c r="E658" s="23">
        <f t="shared" si="53"/>
        <v>8.0163477188170873</v>
      </c>
      <c r="F658" s="23">
        <f t="shared" si="54"/>
        <v>-8.0163477188170873</v>
      </c>
    </row>
    <row r="659" spans="1:6" x14ac:dyDescent="0.3">
      <c r="A659" s="2">
        <v>43186</v>
      </c>
      <c r="B659" s="1">
        <v>42.085000000000001</v>
      </c>
      <c r="C659" s="1">
        <f>'Historical Simulation'!D659</f>
        <v>152.22</v>
      </c>
      <c r="D659" s="22">
        <f t="shared" si="52"/>
        <v>774.70714197014354</v>
      </c>
      <c r="E659" s="23">
        <f t="shared" si="53"/>
        <v>-45.892341974068017</v>
      </c>
      <c r="F659" s="23">
        <f t="shared" si="54"/>
        <v>45.892341974068017</v>
      </c>
    </row>
    <row r="660" spans="1:6" x14ac:dyDescent="0.3">
      <c r="A660" s="2">
        <v>43185</v>
      </c>
      <c r="B660" s="1">
        <v>43.192500000000003</v>
      </c>
      <c r="C660" s="1">
        <f>'Historical Simulation'!D660</f>
        <v>160.06</v>
      </c>
      <c r="D660" s="22">
        <f t="shared" si="52"/>
        <v>820.59948394421156</v>
      </c>
      <c r="E660" s="23">
        <f t="shared" si="53"/>
        <v>-6.6069981866486387</v>
      </c>
      <c r="F660" s="23">
        <f t="shared" si="54"/>
        <v>6.6069981866486387</v>
      </c>
    </row>
    <row r="661" spans="1:6" x14ac:dyDescent="0.3">
      <c r="A661" s="2">
        <v>43182</v>
      </c>
      <c r="B661" s="1">
        <v>41.234999999999999</v>
      </c>
      <c r="C661" s="1">
        <f>'Historical Simulation'!D661</f>
        <v>159.38999999999999</v>
      </c>
      <c r="D661" s="22">
        <f t="shared" si="52"/>
        <v>827.20648213086019</v>
      </c>
      <c r="E661" s="23">
        <f t="shared" si="53"/>
        <v>-31.061339261451735</v>
      </c>
      <c r="F661" s="23">
        <f t="shared" si="54"/>
        <v>31.061339261451735</v>
      </c>
    </row>
    <row r="662" spans="1:6" x14ac:dyDescent="0.3">
      <c r="A662" s="2">
        <v>43181</v>
      </c>
      <c r="B662" s="1">
        <v>42.212499999999999</v>
      </c>
      <c r="C662" s="1">
        <f>'Historical Simulation'!D662</f>
        <v>164.89</v>
      </c>
      <c r="D662" s="22">
        <f t="shared" si="52"/>
        <v>858.26782139231193</v>
      </c>
      <c r="E662" s="23">
        <f t="shared" si="53"/>
        <v>-26.514685776308283</v>
      </c>
      <c r="F662" s="23">
        <f t="shared" si="54"/>
        <v>26.514685776308283</v>
      </c>
    </row>
    <row r="663" spans="1:6" x14ac:dyDescent="0.3">
      <c r="A663" s="2">
        <v>43180</v>
      </c>
      <c r="B663" s="1">
        <v>42.817500000000003</v>
      </c>
      <c r="C663" s="1">
        <f>'Historical Simulation'!D663</f>
        <v>169.39</v>
      </c>
      <c r="D663" s="22">
        <f t="shared" si="52"/>
        <v>884.78250716862021</v>
      </c>
      <c r="E663" s="23">
        <f t="shared" si="53"/>
        <v>13.858173554713289</v>
      </c>
      <c r="F663" s="23">
        <f t="shared" si="54"/>
        <v>-13.858173554713289</v>
      </c>
    </row>
    <row r="664" spans="1:6" x14ac:dyDescent="0.3">
      <c r="A664" s="2">
        <v>43179</v>
      </c>
      <c r="B664" s="1">
        <v>43.81</v>
      </c>
      <c r="C664" s="1">
        <f>'Historical Simulation'!D664</f>
        <v>168.15</v>
      </c>
      <c r="D664" s="22">
        <f t="shared" si="52"/>
        <v>870.92433361390692</v>
      </c>
      <c r="E664" s="23">
        <f t="shared" si="53"/>
        <v>-29.250704489569785</v>
      </c>
      <c r="F664" s="23">
        <f t="shared" si="54"/>
        <v>29.250704489569785</v>
      </c>
    </row>
    <row r="665" spans="1:6" x14ac:dyDescent="0.3">
      <c r="A665" s="2">
        <v>43178</v>
      </c>
      <c r="B665" s="1">
        <v>43.825000000000003</v>
      </c>
      <c r="C665" s="1">
        <f>'Historical Simulation'!D665</f>
        <v>172.56</v>
      </c>
      <c r="D665" s="22">
        <f t="shared" si="52"/>
        <v>900.17503810347671</v>
      </c>
      <c r="E665" s="23">
        <f t="shared" si="53"/>
        <v>-79.50664350430111</v>
      </c>
      <c r="F665" s="23">
        <f t="shared" si="54"/>
        <v>79.50664350430111</v>
      </c>
    </row>
    <row r="666" spans="1:6" x14ac:dyDescent="0.3">
      <c r="A666" s="2">
        <v>43175</v>
      </c>
      <c r="B666" s="1">
        <v>44.505000000000003</v>
      </c>
      <c r="C666" s="1">
        <f>'Historical Simulation'!D666</f>
        <v>185.09</v>
      </c>
      <c r="D666" s="22">
        <f t="shared" si="52"/>
        <v>979.68168160777782</v>
      </c>
      <c r="E666" s="23">
        <f t="shared" si="53"/>
        <v>9.0722019293009453</v>
      </c>
      <c r="F666" s="23">
        <f t="shared" si="54"/>
        <v>-9.0722019293009453</v>
      </c>
    </row>
    <row r="667" spans="1:6" x14ac:dyDescent="0.3">
      <c r="A667" s="2">
        <v>43174</v>
      </c>
      <c r="B667" s="1">
        <v>44.662500000000001</v>
      </c>
      <c r="C667" s="1">
        <f>'Historical Simulation'!D667</f>
        <v>183.86</v>
      </c>
      <c r="D667" s="22">
        <f t="shared" si="52"/>
        <v>970.60947967847687</v>
      </c>
      <c r="E667" s="23">
        <f t="shared" si="53"/>
        <v>-2.491904315645229</v>
      </c>
      <c r="F667" s="23">
        <f t="shared" si="54"/>
        <v>2.491904315645229</v>
      </c>
    </row>
    <row r="668" spans="1:6" x14ac:dyDescent="0.3">
      <c r="A668" s="2">
        <v>43173</v>
      </c>
      <c r="B668" s="1">
        <v>44.61</v>
      </c>
      <c r="C668" s="1">
        <f>'Historical Simulation'!D668</f>
        <v>184.19</v>
      </c>
      <c r="D668" s="22">
        <f t="shared" si="52"/>
        <v>973.1013839941221</v>
      </c>
      <c r="E668" s="23">
        <f t="shared" si="53"/>
        <v>17.528110770914054</v>
      </c>
      <c r="F668" s="23">
        <f t="shared" si="54"/>
        <v>-17.528110770914054</v>
      </c>
    </row>
    <row r="669" spans="1:6" x14ac:dyDescent="0.3">
      <c r="A669" s="2">
        <v>43172</v>
      </c>
      <c r="B669" s="1">
        <v>44.9925</v>
      </c>
      <c r="C669" s="1">
        <f>'Historical Simulation'!D669</f>
        <v>181.88</v>
      </c>
      <c r="D669" s="22">
        <f t="shared" si="52"/>
        <v>955.57327322320805</v>
      </c>
      <c r="E669" s="23">
        <f t="shared" si="53"/>
        <v>-16.685101414283054</v>
      </c>
      <c r="F669" s="23">
        <f t="shared" si="54"/>
        <v>16.685101414283054</v>
      </c>
    </row>
    <row r="670" spans="1:6" x14ac:dyDescent="0.3">
      <c r="A670" s="2">
        <v>43171</v>
      </c>
      <c r="B670" s="1">
        <v>45.43</v>
      </c>
      <c r="C670" s="1">
        <f>'Historical Simulation'!D670</f>
        <v>184.76</v>
      </c>
      <c r="D670" s="22">
        <f t="shared" si="52"/>
        <v>972.2583746374911</v>
      </c>
      <c r="E670" s="23">
        <f t="shared" si="53"/>
        <v>-5.5850938710035507</v>
      </c>
      <c r="F670" s="23">
        <f t="shared" si="54"/>
        <v>5.5850938710035507</v>
      </c>
    </row>
    <row r="671" spans="1:6" x14ac:dyDescent="0.3">
      <c r="A671" s="2">
        <v>43168</v>
      </c>
      <c r="B671" s="1">
        <v>44.994999999999997</v>
      </c>
      <c r="C671" s="1">
        <f>'Historical Simulation'!D671</f>
        <v>185.23</v>
      </c>
      <c r="D671" s="22">
        <f t="shared" si="52"/>
        <v>977.84346850849465</v>
      </c>
      <c r="E671" s="23">
        <f t="shared" si="53"/>
        <v>14.928839718494373</v>
      </c>
      <c r="F671" s="23">
        <f t="shared" si="54"/>
        <v>-14.928839718494373</v>
      </c>
    </row>
    <row r="672" spans="1:6" x14ac:dyDescent="0.3">
      <c r="A672" s="2">
        <v>43167</v>
      </c>
      <c r="B672" s="1">
        <v>44.234999999999999</v>
      </c>
      <c r="C672" s="1">
        <f>'Historical Simulation'!D672</f>
        <v>182.34</v>
      </c>
      <c r="D672" s="22">
        <f t="shared" si="52"/>
        <v>962.91462879000028</v>
      </c>
      <c r="E672" s="23">
        <f t="shared" si="53"/>
        <v>-11.81213914550176</v>
      </c>
      <c r="F672" s="23">
        <f t="shared" si="54"/>
        <v>11.81213914550176</v>
      </c>
    </row>
    <row r="673" spans="1:6" x14ac:dyDescent="0.3">
      <c r="A673" s="2">
        <v>43166</v>
      </c>
      <c r="B673" s="1">
        <v>43.7575</v>
      </c>
      <c r="C673" s="1">
        <f>'Historical Simulation'!D673</f>
        <v>183.71</v>
      </c>
      <c r="D673" s="22">
        <f t="shared" si="52"/>
        <v>974.72676793550204</v>
      </c>
      <c r="E673" s="23">
        <f t="shared" si="53"/>
        <v>28.459842431111269</v>
      </c>
      <c r="F673" s="23">
        <f t="shared" si="54"/>
        <v>-28.459842431111269</v>
      </c>
    </row>
    <row r="674" spans="1:6" x14ac:dyDescent="0.3">
      <c r="A674" s="2">
        <v>43165</v>
      </c>
      <c r="B674" s="1">
        <v>44.167499999999997</v>
      </c>
      <c r="C674" s="1">
        <f>'Historical Simulation'!D674</f>
        <v>179.78</v>
      </c>
      <c r="D674" s="22">
        <f t="shared" si="52"/>
        <v>946.26692550439077</v>
      </c>
      <c r="E674" s="23">
        <f t="shared" si="53"/>
        <v>-3.9123118009498512</v>
      </c>
      <c r="F674" s="23">
        <f t="shared" si="54"/>
        <v>3.9123118009498512</v>
      </c>
    </row>
    <row r="675" spans="1:6" x14ac:dyDescent="0.3">
      <c r="A675" s="2">
        <v>43164</v>
      </c>
      <c r="B675" s="1">
        <v>44.204999999999998</v>
      </c>
      <c r="C675" s="1">
        <f>'Historical Simulation'!D675</f>
        <v>180.4</v>
      </c>
      <c r="D675" s="22">
        <f t="shared" si="52"/>
        <v>950.17923730534062</v>
      </c>
      <c r="E675" s="23">
        <f t="shared" si="53"/>
        <v>24.28276576471319</v>
      </c>
      <c r="F675" s="23">
        <f t="shared" si="54"/>
        <v>-24.28276576471319</v>
      </c>
    </row>
    <row r="676" spans="1:6" x14ac:dyDescent="0.3">
      <c r="A676" s="2">
        <v>43161</v>
      </c>
      <c r="B676" s="1">
        <v>44.052500000000002</v>
      </c>
      <c r="C676" s="1">
        <f>'Historical Simulation'!D676</f>
        <v>176.62</v>
      </c>
      <c r="D676" s="22">
        <f t="shared" si="52"/>
        <v>925.89647154062743</v>
      </c>
      <c r="E676" s="23">
        <f t="shared" si="53"/>
        <v>2.8136441285125784</v>
      </c>
      <c r="F676" s="23">
        <f t="shared" si="54"/>
        <v>-2.8136441285125784</v>
      </c>
    </row>
    <row r="677" spans="1:6" x14ac:dyDescent="0.3">
      <c r="A677" s="2">
        <v>43160</v>
      </c>
      <c r="B677" s="1">
        <v>43.75</v>
      </c>
      <c r="C677" s="1">
        <f>'Historical Simulation'!D677</f>
        <v>175.94</v>
      </c>
      <c r="D677" s="22">
        <f t="shared" si="52"/>
        <v>923.08282741211485</v>
      </c>
      <c r="E677" s="23">
        <f t="shared" si="53"/>
        <v>-11.423259882437151</v>
      </c>
      <c r="F677" s="23">
        <f t="shared" si="54"/>
        <v>11.423259882437151</v>
      </c>
    </row>
    <row r="678" spans="1:6" x14ac:dyDescent="0.3">
      <c r="A678" s="2">
        <v>43159</v>
      </c>
      <c r="B678" s="1">
        <v>44.53</v>
      </c>
      <c r="C678" s="1">
        <f>'Historical Simulation'!D678</f>
        <v>178.32</v>
      </c>
      <c r="D678" s="22">
        <f t="shared" si="52"/>
        <v>934.506087294552</v>
      </c>
      <c r="E678" s="23">
        <f t="shared" si="53"/>
        <v>-20.505884992992947</v>
      </c>
      <c r="F678" s="23">
        <f t="shared" si="54"/>
        <v>20.505884992992947</v>
      </c>
    </row>
    <row r="679" spans="1:6" x14ac:dyDescent="0.3">
      <c r="A679" s="2">
        <v>43158</v>
      </c>
      <c r="B679" s="1">
        <v>44.597499999999997</v>
      </c>
      <c r="C679" s="1">
        <f>'Historical Simulation'!D679</f>
        <v>181.46</v>
      </c>
      <c r="D679" s="22">
        <f t="shared" si="52"/>
        <v>955.01197228754495</v>
      </c>
      <c r="E679" s="23">
        <f t="shared" si="53"/>
        <v>-22.263024443190034</v>
      </c>
      <c r="F679" s="23">
        <f t="shared" si="54"/>
        <v>22.263024443190034</v>
      </c>
    </row>
    <row r="680" spans="1:6" x14ac:dyDescent="0.3">
      <c r="A680" s="2">
        <v>43157</v>
      </c>
      <c r="B680" s="1">
        <v>44.7425</v>
      </c>
      <c r="C680" s="1">
        <f>'Historical Simulation'!D680</f>
        <v>184.93</v>
      </c>
      <c r="D680" s="22">
        <f t="shared" si="52"/>
        <v>977.27499673073498</v>
      </c>
      <c r="E680" s="23">
        <f t="shared" si="53"/>
        <v>6.0061989119892587</v>
      </c>
      <c r="F680" s="23">
        <f t="shared" si="54"/>
        <v>-6.0061989119892587</v>
      </c>
    </row>
    <row r="681" spans="1:6" x14ac:dyDescent="0.3">
      <c r="A681" s="2">
        <v>43154</v>
      </c>
      <c r="B681" s="1">
        <v>43.875</v>
      </c>
      <c r="C681" s="1">
        <f>'Historical Simulation'!D681</f>
        <v>183.29</v>
      </c>
      <c r="D681" s="22">
        <f t="shared" si="52"/>
        <v>971.26879781874572</v>
      </c>
      <c r="E681" s="23">
        <f t="shared" si="53"/>
        <v>24.364732864157759</v>
      </c>
      <c r="F681" s="23">
        <f t="shared" si="54"/>
        <v>-24.364732864157759</v>
      </c>
    </row>
    <row r="682" spans="1:6" x14ac:dyDescent="0.3">
      <c r="A682" s="2">
        <v>43153</v>
      </c>
      <c r="B682" s="1">
        <v>43.125</v>
      </c>
      <c r="C682" s="1">
        <f>'Historical Simulation'!D682</f>
        <v>178.99</v>
      </c>
      <c r="D682" s="22">
        <f t="shared" si="52"/>
        <v>946.90406495458797</v>
      </c>
      <c r="E682" s="23">
        <f t="shared" si="53"/>
        <v>5.1635970406631486</v>
      </c>
      <c r="F682" s="23">
        <f t="shared" si="54"/>
        <v>-5.1635970406631486</v>
      </c>
    </row>
    <row r="683" spans="1:6" x14ac:dyDescent="0.3">
      <c r="A683" s="2">
        <v>43152</v>
      </c>
      <c r="B683" s="1">
        <v>42.767499999999998</v>
      </c>
      <c r="C683" s="1">
        <f>'Historical Simulation'!D683</f>
        <v>177.91</v>
      </c>
      <c r="D683" s="22">
        <f t="shared" si="52"/>
        <v>941.74046791392482</v>
      </c>
      <c r="E683" s="23">
        <f t="shared" si="53"/>
        <v>13.741018408566447</v>
      </c>
      <c r="F683" s="23">
        <f t="shared" si="54"/>
        <v>-13.741018408566447</v>
      </c>
    </row>
    <row r="684" spans="1:6" x14ac:dyDescent="0.3">
      <c r="A684" s="2">
        <v>43151</v>
      </c>
      <c r="B684" s="1">
        <v>42.962499999999999</v>
      </c>
      <c r="C684" s="1">
        <f>'Historical Simulation'!D684</f>
        <v>176.01</v>
      </c>
      <c r="D684" s="22">
        <f t="shared" si="52"/>
        <v>927.99944950535837</v>
      </c>
      <c r="E684" s="23">
        <f t="shared" si="53"/>
        <v>-8.1607050989608751</v>
      </c>
      <c r="F684" s="23">
        <f t="shared" si="54"/>
        <v>8.1607050989608751</v>
      </c>
    </row>
    <row r="685" spans="1:6" x14ac:dyDescent="0.3">
      <c r="A685" s="2">
        <v>43150</v>
      </c>
      <c r="B685" s="1">
        <v>43.107500000000002</v>
      </c>
      <c r="C685" s="1">
        <f>'Historical Simulation'!D685</f>
        <v>177.36</v>
      </c>
      <c r="D685" s="22">
        <f t="shared" si="52"/>
        <v>936.16015460431925</v>
      </c>
      <c r="E685" s="23">
        <f t="shared" si="53"/>
        <v>0</v>
      </c>
      <c r="F685" s="23">
        <f t="shared" si="54"/>
        <v>0</v>
      </c>
    </row>
    <row r="686" spans="1:6" x14ac:dyDescent="0.3">
      <c r="A686" s="2">
        <v>43147</v>
      </c>
      <c r="B686" s="1">
        <v>43.107500000000002</v>
      </c>
      <c r="C686" s="1">
        <f>'Historical Simulation'!D686</f>
        <v>177.36</v>
      </c>
      <c r="D686" s="22">
        <f t="shared" si="52"/>
        <v>936.16015460431925</v>
      </c>
      <c r="E686" s="23">
        <f t="shared" si="53"/>
        <v>-16.504012069247096</v>
      </c>
      <c r="F686" s="23">
        <f t="shared" si="54"/>
        <v>16.504012069247096</v>
      </c>
    </row>
    <row r="687" spans="1:6" x14ac:dyDescent="0.3">
      <c r="A687" s="2">
        <v>43146</v>
      </c>
      <c r="B687" s="1">
        <v>43.247500000000002</v>
      </c>
      <c r="C687" s="1">
        <f>'Historical Simulation'!D687</f>
        <v>179.96</v>
      </c>
      <c r="D687" s="22">
        <f t="shared" si="52"/>
        <v>952.66416667356634</v>
      </c>
      <c r="E687" s="23">
        <f t="shared" si="53"/>
        <v>-5.0142161165952075</v>
      </c>
      <c r="F687" s="23">
        <f t="shared" si="54"/>
        <v>5.0142161165952075</v>
      </c>
    </row>
    <row r="688" spans="1:6" x14ac:dyDescent="0.3">
      <c r="A688" s="2">
        <v>43145</v>
      </c>
      <c r="B688" s="1">
        <v>41.842500000000001</v>
      </c>
      <c r="C688" s="1">
        <f>'Historical Simulation'!D688</f>
        <v>179.52</v>
      </c>
      <c r="D688" s="22">
        <f t="shared" si="52"/>
        <v>957.67838279016155</v>
      </c>
      <c r="E688" s="23">
        <f t="shared" si="53"/>
        <v>38.092060056362243</v>
      </c>
      <c r="F688" s="23">
        <f t="shared" si="54"/>
        <v>-38.092060056362243</v>
      </c>
    </row>
    <row r="689" spans="1:6" x14ac:dyDescent="0.3">
      <c r="A689" s="2">
        <v>43144</v>
      </c>
      <c r="B689" s="1">
        <v>41.085000000000001</v>
      </c>
      <c r="C689" s="1">
        <f>'Historical Simulation'!D689</f>
        <v>173.15</v>
      </c>
      <c r="D689" s="22">
        <f t="shared" si="52"/>
        <v>919.58632273379931</v>
      </c>
      <c r="E689" s="23">
        <f t="shared" si="53"/>
        <v>-23.988847261774254</v>
      </c>
      <c r="F689" s="23">
        <f t="shared" si="54"/>
        <v>23.988847261774254</v>
      </c>
    </row>
    <row r="690" spans="1:6" x14ac:dyDescent="0.3">
      <c r="A690" s="2">
        <v>43143</v>
      </c>
      <c r="B690" s="1">
        <v>40.677500000000002</v>
      </c>
      <c r="C690" s="1">
        <f>'Historical Simulation'!D690</f>
        <v>176.41</v>
      </c>
      <c r="D690" s="22">
        <f t="shared" si="52"/>
        <v>943.57516999557356</v>
      </c>
      <c r="E690" s="23">
        <f t="shared" si="53"/>
        <v>-6.9063477188171873</v>
      </c>
      <c r="F690" s="23">
        <f t="shared" si="54"/>
        <v>6.9063477188171873</v>
      </c>
    </row>
    <row r="691" spans="1:6" x14ac:dyDescent="0.3">
      <c r="A691" s="2">
        <v>43140</v>
      </c>
      <c r="B691" s="1">
        <v>39.102499999999999</v>
      </c>
      <c r="C691" s="1">
        <f>'Historical Simulation'!D691</f>
        <v>176.11</v>
      </c>
      <c r="D691" s="22">
        <f t="shared" si="52"/>
        <v>950.48151771439075</v>
      </c>
      <c r="E691" s="23">
        <f t="shared" si="53"/>
        <v>28.353337752795483</v>
      </c>
      <c r="F691" s="23">
        <f t="shared" si="54"/>
        <v>-28.353337752795483</v>
      </c>
    </row>
    <row r="692" spans="1:6" x14ac:dyDescent="0.3">
      <c r="A692" s="2">
        <v>43139</v>
      </c>
      <c r="B692" s="1">
        <v>38.787500000000001</v>
      </c>
      <c r="C692" s="1">
        <f>'Historical Simulation'!D692</f>
        <v>171.58</v>
      </c>
      <c r="D692" s="22">
        <f t="shared" si="52"/>
        <v>922.12817996159527</v>
      </c>
      <c r="E692" s="23">
        <f t="shared" si="53"/>
        <v>-51.004410792490944</v>
      </c>
      <c r="F692" s="23">
        <f t="shared" si="54"/>
        <v>51.004410792490944</v>
      </c>
    </row>
    <row r="693" spans="1:6" x14ac:dyDescent="0.3">
      <c r="A693" s="2">
        <v>43138</v>
      </c>
      <c r="B693" s="1">
        <v>39.884999999999998</v>
      </c>
      <c r="C693" s="1">
        <f>'Historical Simulation'!D693</f>
        <v>180.18</v>
      </c>
      <c r="D693" s="22">
        <f t="shared" si="52"/>
        <v>973.13259075408621</v>
      </c>
      <c r="E693" s="23">
        <f t="shared" si="53"/>
        <v>-29.193549343422887</v>
      </c>
      <c r="F693" s="23">
        <f t="shared" si="54"/>
        <v>29.193549343422887</v>
      </c>
    </row>
    <row r="694" spans="1:6" x14ac:dyDescent="0.3">
      <c r="A694" s="2">
        <v>43137</v>
      </c>
      <c r="B694" s="1">
        <v>40.7575</v>
      </c>
      <c r="C694" s="1">
        <f>'Historical Simulation'!D694</f>
        <v>185.31</v>
      </c>
      <c r="D694" s="22">
        <f t="shared" si="52"/>
        <v>1002.3261400975091</v>
      </c>
      <c r="E694" s="23">
        <f t="shared" si="53"/>
        <v>17.699670385053878</v>
      </c>
      <c r="F694" s="23">
        <f t="shared" si="54"/>
        <v>-17.699670385053878</v>
      </c>
    </row>
    <row r="695" spans="1:6" x14ac:dyDescent="0.3">
      <c r="A695" s="2">
        <v>43136</v>
      </c>
      <c r="B695" s="1">
        <v>39.122500000000002</v>
      </c>
      <c r="C695" s="1">
        <f>'Historical Simulation'!D695</f>
        <v>181.26</v>
      </c>
      <c r="D695" s="22">
        <f t="shared" si="52"/>
        <v>984.62646971245522</v>
      </c>
      <c r="E695" s="23">
        <f t="shared" si="53"/>
        <v>-54.335210067150683</v>
      </c>
      <c r="F695" s="23">
        <f t="shared" si="54"/>
        <v>54.335210067150683</v>
      </c>
    </row>
    <row r="696" spans="1:6" x14ac:dyDescent="0.3">
      <c r="A696" s="2">
        <v>43133</v>
      </c>
      <c r="B696" s="1">
        <v>40.125</v>
      </c>
      <c r="C696" s="1">
        <f>'Historical Simulation'!D696</f>
        <v>190.28</v>
      </c>
      <c r="D696" s="22">
        <f t="shared" si="52"/>
        <v>1038.9616797796059</v>
      </c>
      <c r="E696" s="23">
        <f t="shared" si="53"/>
        <v>-8.4055170522578919</v>
      </c>
      <c r="F696" s="23">
        <f t="shared" si="54"/>
        <v>8.4055170522578919</v>
      </c>
    </row>
    <row r="697" spans="1:6" x14ac:dyDescent="0.3">
      <c r="A697" s="2">
        <v>43132</v>
      </c>
      <c r="B697" s="1">
        <v>41.945</v>
      </c>
      <c r="C697" s="1">
        <f>'Historical Simulation'!D697</f>
        <v>193.09</v>
      </c>
      <c r="D697" s="22">
        <f t="shared" si="52"/>
        <v>1047.3671968318638</v>
      </c>
      <c r="E697" s="23">
        <f t="shared" si="53"/>
        <v>40.748078769623589</v>
      </c>
      <c r="F697" s="23">
        <f t="shared" si="54"/>
        <v>-40.748078769623589</v>
      </c>
    </row>
    <row r="698" spans="1:6" x14ac:dyDescent="0.3">
      <c r="A698" s="2">
        <v>43131</v>
      </c>
      <c r="B698" s="1">
        <v>41.857500000000002</v>
      </c>
      <c r="C698" s="1">
        <f>'Historical Simulation'!D698</f>
        <v>186.89</v>
      </c>
      <c r="D698" s="22">
        <f t="shared" si="52"/>
        <v>1006.6191180622402</v>
      </c>
      <c r="E698" s="23">
        <f t="shared" si="53"/>
        <v>-2.1799529121506112</v>
      </c>
      <c r="F698" s="23">
        <f t="shared" si="54"/>
        <v>2.1799529121506112</v>
      </c>
    </row>
    <row r="699" spans="1:6" x14ac:dyDescent="0.3">
      <c r="A699" s="2">
        <v>43130</v>
      </c>
      <c r="B699" s="1">
        <v>41.7425</v>
      </c>
      <c r="C699" s="1">
        <f>'Historical Simulation'!D699</f>
        <v>187.12</v>
      </c>
      <c r="D699" s="22">
        <f t="shared" si="52"/>
        <v>1008.7990709743908</v>
      </c>
      <c r="E699" s="23">
        <f t="shared" si="53"/>
        <v>8.9822019293011408</v>
      </c>
      <c r="F699" s="23">
        <f t="shared" si="54"/>
        <v>-8.9822019293011408</v>
      </c>
    </row>
    <row r="700" spans="1:6" x14ac:dyDescent="0.3">
      <c r="A700" s="2">
        <v>43129</v>
      </c>
      <c r="B700" s="1">
        <v>41.99</v>
      </c>
      <c r="C700" s="1">
        <f>'Historical Simulation'!D700</f>
        <v>185.98</v>
      </c>
      <c r="D700" s="22">
        <f t="shared" si="52"/>
        <v>999.81686904508967</v>
      </c>
      <c r="E700" s="23">
        <f t="shared" si="53"/>
        <v>-21.725007238584226</v>
      </c>
      <c r="F700" s="23">
        <f t="shared" si="54"/>
        <v>21.725007238584226</v>
      </c>
    </row>
    <row r="701" spans="1:6" x14ac:dyDescent="0.3">
      <c r="A701" s="2">
        <v>43126</v>
      </c>
      <c r="B701" s="1">
        <v>42.877499999999998</v>
      </c>
      <c r="C701" s="1">
        <f>'Historical Simulation'!D701</f>
        <v>190</v>
      </c>
      <c r="D701" s="22">
        <f t="shared" si="52"/>
        <v>1021.5418762836739</v>
      </c>
      <c r="E701" s="23">
        <f t="shared" si="53"/>
        <v>16.197930572186351</v>
      </c>
      <c r="F701" s="23">
        <f t="shared" si="54"/>
        <v>-16.197930572186351</v>
      </c>
    </row>
    <row r="702" spans="1:6" x14ac:dyDescent="0.3">
      <c r="A702" s="2">
        <v>43125</v>
      </c>
      <c r="B702" s="1">
        <v>42.777500000000003</v>
      </c>
      <c r="C702" s="1">
        <f>'Historical Simulation'!D702</f>
        <v>187.48</v>
      </c>
      <c r="D702" s="22">
        <f t="shared" si="52"/>
        <v>1005.3439457114875</v>
      </c>
      <c r="E702" s="23">
        <f t="shared" si="53"/>
        <v>10.580853905788445</v>
      </c>
      <c r="F702" s="23">
        <f t="shared" si="54"/>
        <v>-10.580853905788445</v>
      </c>
    </row>
    <row r="703" spans="1:6" x14ac:dyDescent="0.3">
      <c r="A703" s="2">
        <v>43124</v>
      </c>
      <c r="B703" s="1">
        <v>43.555</v>
      </c>
      <c r="C703" s="1">
        <f>'Historical Simulation'!D703</f>
        <v>186.55</v>
      </c>
      <c r="D703" s="22">
        <f t="shared" si="52"/>
        <v>994.7630918056991</v>
      </c>
      <c r="E703" s="23">
        <f t="shared" si="53"/>
        <v>-14.641018408566197</v>
      </c>
      <c r="F703" s="23">
        <f t="shared" si="54"/>
        <v>14.641018408566197</v>
      </c>
    </row>
    <row r="704" spans="1:6" x14ac:dyDescent="0.3">
      <c r="A704" s="2">
        <v>43123</v>
      </c>
      <c r="B704" s="1">
        <v>44.26</v>
      </c>
      <c r="C704" s="1">
        <f>'Historical Simulation'!D704</f>
        <v>189.35</v>
      </c>
      <c r="D704" s="22">
        <f t="shared" si="52"/>
        <v>1009.4041102142653</v>
      </c>
      <c r="E704" s="23">
        <f t="shared" si="53"/>
        <v>26.418588583297492</v>
      </c>
      <c r="F704" s="23">
        <f t="shared" si="54"/>
        <v>-26.418588583297492</v>
      </c>
    </row>
    <row r="705" spans="1:6" x14ac:dyDescent="0.3">
      <c r="A705" s="2">
        <v>43122</v>
      </c>
      <c r="B705" s="1">
        <v>44.25</v>
      </c>
      <c r="C705" s="1">
        <f>'Historical Simulation'!D705</f>
        <v>185.37</v>
      </c>
      <c r="D705" s="22">
        <f t="shared" si="52"/>
        <v>982.98552163096781</v>
      </c>
      <c r="E705" s="23">
        <f t="shared" si="53"/>
        <v>29.203306360896022</v>
      </c>
      <c r="F705" s="23">
        <f t="shared" si="54"/>
        <v>-29.203306360896022</v>
      </c>
    </row>
    <row r="706" spans="1:6" x14ac:dyDescent="0.3">
      <c r="A706" s="2">
        <v>43119</v>
      </c>
      <c r="B706" s="1">
        <v>44.615000000000002</v>
      </c>
      <c r="C706" s="1">
        <f>'Historical Simulation'!D706</f>
        <v>181.29</v>
      </c>
      <c r="D706" s="22">
        <f t="shared" si="52"/>
        <v>953.78221527007179</v>
      </c>
      <c r="E706" s="23">
        <f t="shared" si="53"/>
        <v>11.041943250824147</v>
      </c>
      <c r="F706" s="23">
        <f t="shared" si="54"/>
        <v>-11.041943250824147</v>
      </c>
    </row>
    <row r="707" spans="1:6" x14ac:dyDescent="0.3">
      <c r="A707" s="2">
        <v>43118</v>
      </c>
      <c r="B707" s="1">
        <v>44.814999999999998</v>
      </c>
      <c r="C707" s="1">
        <f>'Historical Simulation'!D707</f>
        <v>179.8</v>
      </c>
      <c r="D707" s="22">
        <f t="shared" si="52"/>
        <v>942.74027201924764</v>
      </c>
      <c r="E707" s="23">
        <f t="shared" si="53"/>
        <v>14.408400841290586</v>
      </c>
      <c r="F707" s="23">
        <f t="shared" si="54"/>
        <v>-14.408400841290586</v>
      </c>
    </row>
    <row r="708" spans="1:6" x14ac:dyDescent="0.3">
      <c r="A708" s="2">
        <v>43117</v>
      </c>
      <c r="B708" s="1">
        <v>44.774999999999999</v>
      </c>
      <c r="C708" s="1">
        <f>'Historical Simulation'!D708</f>
        <v>177.6</v>
      </c>
      <c r="D708" s="22">
        <f t="shared" si="52"/>
        <v>928.33187117795705</v>
      </c>
      <c r="E708" s="23">
        <f t="shared" si="53"/>
        <v>-9.3669667947491462</v>
      </c>
      <c r="F708" s="23">
        <f t="shared" si="54"/>
        <v>9.3669667947491462</v>
      </c>
    </row>
    <row r="709" spans="1:6" x14ac:dyDescent="0.3">
      <c r="A709" s="2">
        <v>43116</v>
      </c>
      <c r="B709" s="1">
        <v>44.047499999999999</v>
      </c>
      <c r="C709" s="1">
        <f>'Historical Simulation'!D709</f>
        <v>178.39</v>
      </c>
      <c r="D709" s="22">
        <f t="shared" si="52"/>
        <v>937.6988379727062</v>
      </c>
      <c r="E709" s="23">
        <f t="shared" si="53"/>
        <v>-5.2472882570250476</v>
      </c>
      <c r="F709" s="23">
        <f t="shared" si="54"/>
        <v>5.2472882570250476</v>
      </c>
    </row>
    <row r="710" spans="1:6" x14ac:dyDescent="0.3">
      <c r="A710" s="2">
        <v>43115</v>
      </c>
      <c r="B710" s="1">
        <v>44.272500000000001</v>
      </c>
      <c r="C710" s="1">
        <f>'Historical Simulation'!D710</f>
        <v>179.37</v>
      </c>
      <c r="D710" s="22">
        <f t="shared" ref="D710:D773" si="55">$M$16*B710+(1-$M$16)*C710</f>
        <v>942.94612622973125</v>
      </c>
      <c r="E710" s="23">
        <f t="shared" ref="E710:E773" si="56">D710-D711</f>
        <v>0</v>
      </c>
      <c r="F710" s="23">
        <f t="shared" ref="F710:F773" si="57">-E710</f>
        <v>0</v>
      </c>
    </row>
    <row r="711" spans="1:6" x14ac:dyDescent="0.3">
      <c r="A711" s="2">
        <v>43112</v>
      </c>
      <c r="B711" s="1">
        <v>44.272500000000001</v>
      </c>
      <c r="C711" s="1">
        <f>'Historical Simulation'!D711</f>
        <v>179.37</v>
      </c>
      <c r="D711" s="22">
        <f t="shared" si="55"/>
        <v>942.94612622973125</v>
      </c>
      <c r="E711" s="23">
        <f t="shared" si="56"/>
        <v>-58.434661318297572</v>
      </c>
      <c r="F711" s="23">
        <f t="shared" si="57"/>
        <v>58.434661318297572</v>
      </c>
    </row>
    <row r="712" spans="1:6" x14ac:dyDescent="0.3">
      <c r="A712" s="2">
        <v>43111</v>
      </c>
      <c r="B712" s="1">
        <v>43.82</v>
      </c>
      <c r="C712" s="1">
        <f>'Historical Simulation'!D712</f>
        <v>187.77</v>
      </c>
      <c r="D712" s="22">
        <f t="shared" si="55"/>
        <v>1001.3807875480288</v>
      </c>
      <c r="E712" s="23">
        <f t="shared" si="56"/>
        <v>-1.8645218829211672</v>
      </c>
      <c r="F712" s="23">
        <f t="shared" si="57"/>
        <v>1.8645218829211672</v>
      </c>
    </row>
    <row r="713" spans="1:6" x14ac:dyDescent="0.3">
      <c r="A713" s="2">
        <v>43110</v>
      </c>
      <c r="B713" s="1">
        <v>43.572499999999998</v>
      </c>
      <c r="C713" s="1">
        <f>'Historical Simulation'!D713</f>
        <v>187.84</v>
      </c>
      <c r="D713" s="22">
        <f t="shared" si="55"/>
        <v>1003.24530943095</v>
      </c>
      <c r="E713" s="23">
        <f t="shared" si="56"/>
        <v>-0.14304074853055226</v>
      </c>
      <c r="F713" s="23">
        <f t="shared" si="57"/>
        <v>0.14304074853055226</v>
      </c>
    </row>
    <row r="714" spans="1:6" x14ac:dyDescent="0.3">
      <c r="A714" s="2">
        <v>43109</v>
      </c>
      <c r="B714" s="1">
        <v>43.582500000000003</v>
      </c>
      <c r="C714" s="1">
        <f>'Historical Simulation'!D714</f>
        <v>187.87</v>
      </c>
      <c r="D714" s="22">
        <f t="shared" si="55"/>
        <v>1003.3883501794805</v>
      </c>
      <c r="E714" s="23">
        <f t="shared" si="56"/>
        <v>-2.6990751577419587</v>
      </c>
      <c r="F714" s="23">
        <f t="shared" si="57"/>
        <v>2.6990751577419587</v>
      </c>
    </row>
    <row r="715" spans="1:6" x14ac:dyDescent="0.3">
      <c r="A715" s="2">
        <v>43108</v>
      </c>
      <c r="B715" s="1">
        <v>43.587499999999999</v>
      </c>
      <c r="C715" s="1">
        <f>'Historical Simulation'!D715</f>
        <v>188.28</v>
      </c>
      <c r="D715" s="22">
        <f t="shared" si="55"/>
        <v>1006.0874253372225</v>
      </c>
      <c r="E715" s="23">
        <f t="shared" si="56"/>
        <v>10.43086960173855</v>
      </c>
      <c r="F715" s="23">
        <f t="shared" si="57"/>
        <v>-10.43086960173855</v>
      </c>
    </row>
    <row r="716" spans="1:6" x14ac:dyDescent="0.3">
      <c r="A716" s="2">
        <v>43105</v>
      </c>
      <c r="B716" s="1">
        <v>43.75</v>
      </c>
      <c r="C716" s="1">
        <f>'Historical Simulation'!D716</f>
        <v>186.85</v>
      </c>
      <c r="D716" s="22">
        <f t="shared" si="55"/>
        <v>995.65655573548395</v>
      </c>
      <c r="E716" s="23">
        <f t="shared" si="56"/>
        <v>13.979505882275703</v>
      </c>
      <c r="F716" s="23">
        <f t="shared" si="57"/>
        <v>-13.979505882275703</v>
      </c>
    </row>
    <row r="717" spans="1:6" x14ac:dyDescent="0.3">
      <c r="A717" s="2">
        <v>43104</v>
      </c>
      <c r="B717" s="1">
        <v>43.2575</v>
      </c>
      <c r="C717" s="1">
        <f>'Historical Simulation'!D717</f>
        <v>184.33</v>
      </c>
      <c r="D717" s="22">
        <f t="shared" si="55"/>
        <v>981.67704985320825</v>
      </c>
      <c r="E717" s="23">
        <f t="shared" si="56"/>
        <v>-3.392100210322269</v>
      </c>
      <c r="F717" s="23">
        <f t="shared" si="57"/>
        <v>3.392100210322269</v>
      </c>
    </row>
    <row r="718" spans="1:6" x14ac:dyDescent="0.3">
      <c r="A718" s="2">
        <v>43103</v>
      </c>
      <c r="B718" s="1">
        <v>43.057499999999997</v>
      </c>
      <c r="C718" s="1">
        <f>'Historical Simulation'!D718</f>
        <v>184.67</v>
      </c>
      <c r="D718" s="22">
        <f t="shared" si="55"/>
        <v>985.06915006353051</v>
      </c>
      <c r="E718" s="23">
        <f t="shared" si="56"/>
        <v>21.661511916899599</v>
      </c>
      <c r="F718" s="23">
        <f t="shared" si="57"/>
        <v>-21.661511916899599</v>
      </c>
    </row>
    <row r="719" spans="1:6" x14ac:dyDescent="0.3">
      <c r="A719" s="2">
        <v>43102</v>
      </c>
      <c r="B719" s="1">
        <v>43.064999999999998</v>
      </c>
      <c r="C719" s="1">
        <f>'Historical Simulation'!D719</f>
        <v>181.42</v>
      </c>
      <c r="D719" s="22">
        <f t="shared" si="55"/>
        <v>963.40763814663092</v>
      </c>
      <c r="E719" s="23">
        <f t="shared" si="56"/>
        <v>28.71268728496409</v>
      </c>
      <c r="F719" s="23">
        <f t="shared" si="57"/>
        <v>-28.71268728496409</v>
      </c>
    </row>
    <row r="720" spans="1:6" x14ac:dyDescent="0.3">
      <c r="A720" s="2">
        <v>43101</v>
      </c>
      <c r="B720" s="1">
        <v>42.307499999999997</v>
      </c>
      <c r="C720" s="1">
        <f>'Historical Simulation'!D720</f>
        <v>176.46</v>
      </c>
      <c r="D720" s="22">
        <f t="shared" si="55"/>
        <v>934.69495086166683</v>
      </c>
      <c r="E720" s="23">
        <f t="shared" si="56"/>
        <v>0</v>
      </c>
      <c r="F720" s="23">
        <f t="shared" si="57"/>
        <v>0</v>
      </c>
    </row>
    <row r="721" spans="1:6" x14ac:dyDescent="0.3">
      <c r="A721" s="2">
        <v>43098</v>
      </c>
      <c r="B721" s="1">
        <v>42.307499999999997</v>
      </c>
      <c r="C721" s="1">
        <f>'Historical Simulation'!D721</f>
        <v>176.46</v>
      </c>
      <c r="D721" s="22">
        <f t="shared" si="55"/>
        <v>934.69495086166683</v>
      </c>
      <c r="E721" s="23">
        <f t="shared" si="56"/>
        <v>-7.0979073329567655</v>
      </c>
      <c r="F721" s="23">
        <f t="shared" si="57"/>
        <v>7.0979073329567655</v>
      </c>
    </row>
    <row r="722" spans="1:6" x14ac:dyDescent="0.3">
      <c r="A722" s="2">
        <v>43097</v>
      </c>
      <c r="B722" s="1">
        <v>42.77</v>
      </c>
      <c r="C722" s="1">
        <f>'Historical Simulation'!D722</f>
        <v>177.92</v>
      </c>
      <c r="D722" s="22">
        <f t="shared" si="55"/>
        <v>941.79285819462359</v>
      </c>
      <c r="E722" s="23">
        <f t="shared" si="56"/>
        <v>1.3173667367739199</v>
      </c>
      <c r="F722" s="23">
        <f t="shared" si="57"/>
        <v>-1.3173667367739199</v>
      </c>
    </row>
    <row r="723" spans="1:6" x14ac:dyDescent="0.3">
      <c r="A723" s="2">
        <v>43096</v>
      </c>
      <c r="B723" s="1">
        <v>42.65</v>
      </c>
      <c r="C723" s="1">
        <f>'Historical Simulation'!D723</f>
        <v>177.62</v>
      </c>
      <c r="D723" s="22">
        <f t="shared" si="55"/>
        <v>940.47549145784967</v>
      </c>
      <c r="E723" s="23">
        <f t="shared" si="56"/>
        <v>10.800430724534067</v>
      </c>
      <c r="F723" s="23">
        <f t="shared" si="57"/>
        <v>-10.800430724534067</v>
      </c>
    </row>
    <row r="724" spans="1:6" x14ac:dyDescent="0.3">
      <c r="A724" s="2">
        <v>43095</v>
      </c>
      <c r="B724" s="1">
        <v>42.642499999999998</v>
      </c>
      <c r="C724" s="1">
        <f>'Historical Simulation'!D724</f>
        <v>175.99</v>
      </c>
      <c r="D724" s="22">
        <f t="shared" si="55"/>
        <v>929.6750607333156</v>
      </c>
      <c r="E724" s="23">
        <f t="shared" si="56"/>
        <v>-1.775203742652252</v>
      </c>
      <c r="F724" s="23">
        <f t="shared" si="57"/>
        <v>1.775203742652252</v>
      </c>
    </row>
    <row r="725" spans="1:6" x14ac:dyDescent="0.3">
      <c r="A725" s="2">
        <v>43094</v>
      </c>
      <c r="B725" s="1">
        <v>43.752499999999998</v>
      </c>
      <c r="C725" s="1">
        <f>'Historical Simulation'!D725</f>
        <v>177.2</v>
      </c>
      <c r="D725" s="22">
        <f t="shared" si="55"/>
        <v>931.45026447596786</v>
      </c>
      <c r="E725" s="23">
        <f t="shared" si="56"/>
        <v>0</v>
      </c>
      <c r="F725" s="23">
        <f t="shared" si="57"/>
        <v>0</v>
      </c>
    </row>
    <row r="726" spans="1:6" x14ac:dyDescent="0.3">
      <c r="A726" s="2">
        <v>43091</v>
      </c>
      <c r="B726" s="1">
        <v>43.752499999999998</v>
      </c>
      <c r="C726" s="1">
        <f>'Historical Simulation'!D726</f>
        <v>177.2</v>
      </c>
      <c r="D726" s="22">
        <f t="shared" si="55"/>
        <v>931.45026447596786</v>
      </c>
      <c r="E726" s="23">
        <f t="shared" si="56"/>
        <v>-1.6630093566307096</v>
      </c>
      <c r="F726" s="23">
        <f t="shared" si="57"/>
        <v>1.6630093566307096</v>
      </c>
    </row>
    <row r="727" spans="1:6" x14ac:dyDescent="0.3">
      <c r="A727" s="2">
        <v>43090</v>
      </c>
      <c r="B727" s="1">
        <v>43.752499999999998</v>
      </c>
      <c r="C727" s="1">
        <f>'Historical Simulation'!D727</f>
        <v>177.45</v>
      </c>
      <c r="D727" s="22">
        <f t="shared" si="55"/>
        <v>933.11327383259857</v>
      </c>
      <c r="E727" s="23">
        <f t="shared" si="56"/>
        <v>-3.8594826430467037</v>
      </c>
      <c r="F727" s="23">
        <f t="shared" si="57"/>
        <v>3.8594826430467037</v>
      </c>
    </row>
    <row r="728" spans="1:6" x14ac:dyDescent="0.3">
      <c r="A728" s="2">
        <v>43089</v>
      </c>
      <c r="B728" s="1">
        <v>43.587499999999999</v>
      </c>
      <c r="C728" s="1">
        <f>'Historical Simulation'!D728</f>
        <v>177.89</v>
      </c>
      <c r="D728" s="22">
        <f t="shared" si="55"/>
        <v>936.97275647564527</v>
      </c>
      <c r="E728" s="23">
        <f t="shared" si="56"/>
        <v>-10.507828853207798</v>
      </c>
      <c r="F728" s="23">
        <f t="shared" si="57"/>
        <v>10.507828853207798</v>
      </c>
    </row>
    <row r="729" spans="1:6" x14ac:dyDescent="0.3">
      <c r="A729" s="2">
        <v>43088</v>
      </c>
      <c r="B729" s="1">
        <v>43.634999999999998</v>
      </c>
      <c r="C729" s="1">
        <f>'Historical Simulation'!D729</f>
        <v>179.51</v>
      </c>
      <c r="D729" s="22">
        <f t="shared" si="55"/>
        <v>947.48058532885307</v>
      </c>
      <c r="E729" s="23">
        <f t="shared" si="56"/>
        <v>-6.0577114382795116</v>
      </c>
      <c r="F729" s="23">
        <f t="shared" si="57"/>
        <v>6.0577114382795116</v>
      </c>
    </row>
    <row r="730" spans="1:6" x14ac:dyDescent="0.3">
      <c r="A730" s="2">
        <v>43087</v>
      </c>
      <c r="B730" s="1">
        <v>44.104999999999997</v>
      </c>
      <c r="C730" s="1">
        <f>'Historical Simulation'!D730</f>
        <v>180.82</v>
      </c>
      <c r="D730" s="22">
        <f t="shared" si="55"/>
        <v>953.53829676713258</v>
      </c>
      <c r="E730" s="23">
        <f t="shared" si="56"/>
        <v>0.79543102922923481</v>
      </c>
      <c r="F730" s="23">
        <f t="shared" si="57"/>
        <v>-0.79543102922923481</v>
      </c>
    </row>
    <row r="731" spans="1:6" x14ac:dyDescent="0.3">
      <c r="A731" s="2">
        <v>43084</v>
      </c>
      <c r="B731" s="1">
        <v>43.4925</v>
      </c>
      <c r="C731" s="1">
        <f>'Historical Simulation'!D731</f>
        <v>180.18</v>
      </c>
      <c r="D731" s="22">
        <f t="shared" si="55"/>
        <v>952.74286573790334</v>
      </c>
      <c r="E731" s="23">
        <f t="shared" si="56"/>
        <v>9.434380619372746</v>
      </c>
      <c r="F731" s="23">
        <f t="shared" si="57"/>
        <v>-9.434380619372746</v>
      </c>
    </row>
    <row r="732" spans="1:6" x14ac:dyDescent="0.3">
      <c r="A732" s="2">
        <v>43083</v>
      </c>
      <c r="B732" s="1">
        <v>43.055</v>
      </c>
      <c r="C732" s="1">
        <f>'Historical Simulation'!D732</f>
        <v>178.39</v>
      </c>
      <c r="D732" s="22">
        <f t="shared" si="55"/>
        <v>943.3084851185306</v>
      </c>
      <c r="E732" s="23">
        <f t="shared" si="56"/>
        <v>0.66933383621858411</v>
      </c>
      <c r="F732" s="23">
        <f t="shared" si="57"/>
        <v>-0.66933383621858411</v>
      </c>
    </row>
    <row r="733" spans="1:6" x14ac:dyDescent="0.3">
      <c r="A733" s="2">
        <v>43082</v>
      </c>
      <c r="B733" s="1">
        <v>43.067500000000003</v>
      </c>
      <c r="C733" s="1">
        <f>'Historical Simulation'!D733</f>
        <v>178.3</v>
      </c>
      <c r="D733" s="22">
        <f t="shared" si="55"/>
        <v>942.63915128231201</v>
      </c>
      <c r="E733" s="23">
        <f t="shared" si="56"/>
        <v>8.1083148182616469</v>
      </c>
      <c r="F733" s="23">
        <f t="shared" si="57"/>
        <v>-8.1083148182616469</v>
      </c>
    </row>
    <row r="734" spans="1:6" x14ac:dyDescent="0.3">
      <c r="A734" s="2">
        <v>43081</v>
      </c>
      <c r="B734" s="1">
        <v>42.924999999999997</v>
      </c>
      <c r="C734" s="1">
        <f>'Historical Simulation'!D734</f>
        <v>176.96</v>
      </c>
      <c r="D734" s="22">
        <f t="shared" si="55"/>
        <v>934.53083646405037</v>
      </c>
      <c r="E734" s="23">
        <f t="shared" si="56"/>
        <v>-12.46561877123645</v>
      </c>
      <c r="F734" s="23">
        <f t="shared" si="57"/>
        <v>12.46561877123645</v>
      </c>
    </row>
    <row r="735" spans="1:6" x14ac:dyDescent="0.3">
      <c r="A735" s="2">
        <v>43080</v>
      </c>
      <c r="B735" s="1">
        <v>43.167499999999997</v>
      </c>
      <c r="C735" s="1">
        <f>'Historical Simulation'!D735</f>
        <v>179.04</v>
      </c>
      <c r="D735" s="22">
        <f t="shared" si="55"/>
        <v>946.99645523528682</v>
      </c>
      <c r="E735" s="23">
        <f t="shared" si="56"/>
        <v>-4.3968493798207646</v>
      </c>
      <c r="F735" s="23">
        <f t="shared" si="57"/>
        <v>4.3968493798207646</v>
      </c>
    </row>
    <row r="736" spans="1:6" x14ac:dyDescent="0.3">
      <c r="A736" s="2">
        <v>43077</v>
      </c>
      <c r="B736" s="1">
        <v>42.342500000000001</v>
      </c>
      <c r="C736" s="1">
        <f>'Historical Simulation'!D736</f>
        <v>179</v>
      </c>
      <c r="D736" s="22">
        <f t="shared" si="55"/>
        <v>951.39330461510758</v>
      </c>
      <c r="E736" s="23">
        <f t="shared" si="56"/>
        <v>-7.6539731340679964</v>
      </c>
      <c r="F736" s="23">
        <f t="shared" si="57"/>
        <v>7.6539731340679964</v>
      </c>
    </row>
    <row r="737" spans="1:6" x14ac:dyDescent="0.3">
      <c r="A737" s="2">
        <v>43076</v>
      </c>
      <c r="B737" s="1">
        <v>42.33</v>
      </c>
      <c r="C737" s="1">
        <f>'Historical Simulation'!D737</f>
        <v>180.14</v>
      </c>
      <c r="D737" s="22">
        <f t="shared" si="55"/>
        <v>959.04727774917558</v>
      </c>
      <c r="E737" s="23">
        <f t="shared" si="56"/>
        <v>26.702279799659323</v>
      </c>
      <c r="F737" s="23">
        <f t="shared" si="57"/>
        <v>-26.702279799659323</v>
      </c>
    </row>
    <row r="738" spans="1:6" x14ac:dyDescent="0.3">
      <c r="A738" s="2">
        <v>43075</v>
      </c>
      <c r="B738" s="1">
        <v>42.252499999999998</v>
      </c>
      <c r="C738" s="1">
        <f>'Historical Simulation'!D738</f>
        <v>176.06</v>
      </c>
      <c r="D738" s="22">
        <f t="shared" si="55"/>
        <v>932.34499794951626</v>
      </c>
      <c r="E738" s="23">
        <f t="shared" si="56"/>
        <v>22.376276782347645</v>
      </c>
      <c r="F738" s="23">
        <f t="shared" si="57"/>
        <v>-22.376276782347645</v>
      </c>
    </row>
    <row r="739" spans="1:6" x14ac:dyDescent="0.3">
      <c r="A739" s="2">
        <v>43074</v>
      </c>
      <c r="B739" s="1">
        <v>42.41</v>
      </c>
      <c r="C739" s="1">
        <f>'Historical Simulation'!D739</f>
        <v>172.83</v>
      </c>
      <c r="D739" s="22">
        <f t="shared" si="55"/>
        <v>909.96872116716861</v>
      </c>
      <c r="E739" s="23">
        <f t="shared" si="56"/>
        <v>9.2728523971327377</v>
      </c>
      <c r="F739" s="23">
        <f t="shared" si="57"/>
        <v>-9.2728523971327377</v>
      </c>
    </row>
    <row r="740" spans="1:6" x14ac:dyDescent="0.3">
      <c r="A740" s="2">
        <v>43073</v>
      </c>
      <c r="B740" s="1">
        <v>42.45</v>
      </c>
      <c r="C740" s="1">
        <f>'Historical Simulation'!D740</f>
        <v>171.47</v>
      </c>
      <c r="D740" s="22">
        <f t="shared" si="55"/>
        <v>900.69586877003587</v>
      </c>
      <c r="E740" s="23">
        <f t="shared" si="56"/>
        <v>-22.380634162490992</v>
      </c>
      <c r="F740" s="23">
        <f t="shared" si="57"/>
        <v>22.380634162490992</v>
      </c>
    </row>
    <row r="741" spans="1:6" x14ac:dyDescent="0.3">
      <c r="A741" s="2">
        <v>43070</v>
      </c>
      <c r="B741" s="1">
        <v>42.762500000000003</v>
      </c>
      <c r="C741" s="1">
        <f>'Historical Simulation'!D741</f>
        <v>175.1</v>
      </c>
      <c r="D741" s="22">
        <f t="shared" si="55"/>
        <v>923.07650293252686</v>
      </c>
      <c r="E741" s="23">
        <f t="shared" si="56"/>
        <v>-12.705830361863946</v>
      </c>
      <c r="F741" s="23">
        <f t="shared" si="57"/>
        <v>12.705830361863946</v>
      </c>
    </row>
    <row r="742" spans="1:6" x14ac:dyDescent="0.3">
      <c r="A742" s="2">
        <v>43069</v>
      </c>
      <c r="B742" s="1">
        <v>42.962499999999999</v>
      </c>
      <c r="C742" s="1">
        <f>'Historical Simulation'!D742</f>
        <v>177.18</v>
      </c>
      <c r="D742" s="22">
        <f t="shared" si="55"/>
        <v>935.78233329439081</v>
      </c>
      <c r="E742" s="23">
        <f t="shared" si="56"/>
        <v>10.287844549157739</v>
      </c>
      <c r="F742" s="23">
        <f t="shared" si="57"/>
        <v>-10.287844549157739</v>
      </c>
    </row>
    <row r="743" spans="1:6" x14ac:dyDescent="0.3">
      <c r="A743" s="2">
        <v>43068</v>
      </c>
      <c r="B743" s="1">
        <v>42.37</v>
      </c>
      <c r="C743" s="1">
        <f>'Historical Simulation'!D743</f>
        <v>175.13</v>
      </c>
      <c r="D743" s="22">
        <f t="shared" si="55"/>
        <v>925.49448874523307</v>
      </c>
      <c r="E743" s="23">
        <f t="shared" si="56"/>
        <v>-43.420649249050257</v>
      </c>
      <c r="F743" s="23">
        <f t="shared" si="57"/>
        <v>43.420649249050257</v>
      </c>
    </row>
    <row r="744" spans="1:6" x14ac:dyDescent="0.3">
      <c r="A744" s="2">
        <v>43067</v>
      </c>
      <c r="B744" s="1">
        <v>43.267499999999998</v>
      </c>
      <c r="C744" s="1">
        <f>'Historical Simulation'!D744</f>
        <v>182.42</v>
      </c>
      <c r="D744" s="22">
        <f t="shared" si="55"/>
        <v>968.91513799428333</v>
      </c>
      <c r="E744" s="23">
        <f t="shared" si="56"/>
        <v>-2.6164732864157259</v>
      </c>
      <c r="F744" s="23">
        <f t="shared" si="57"/>
        <v>2.6164732864157259</v>
      </c>
    </row>
    <row r="745" spans="1:6" x14ac:dyDescent="0.3">
      <c r="A745" s="2">
        <v>43066</v>
      </c>
      <c r="B745" s="1">
        <v>43.522500000000001</v>
      </c>
      <c r="C745" s="1">
        <f>'Historical Simulation'!D745</f>
        <v>183.03</v>
      </c>
      <c r="D745" s="22">
        <f t="shared" si="55"/>
        <v>971.53161128069905</v>
      </c>
      <c r="E745" s="23">
        <f t="shared" si="56"/>
        <v>2.9064575904660614</v>
      </c>
      <c r="F745" s="23">
        <f t="shared" si="57"/>
        <v>-2.9064575904660614</v>
      </c>
    </row>
    <row r="746" spans="1:6" x14ac:dyDescent="0.3">
      <c r="A746" s="2">
        <v>43063</v>
      </c>
      <c r="B746" s="1">
        <v>43.7425</v>
      </c>
      <c r="C746" s="1">
        <f>'Historical Simulation'!D746</f>
        <v>182.78</v>
      </c>
      <c r="D746" s="22">
        <f t="shared" si="55"/>
        <v>968.62515369023299</v>
      </c>
      <c r="E746" s="23">
        <f t="shared" si="56"/>
        <v>12.691261391093121</v>
      </c>
      <c r="F746" s="23">
        <f t="shared" si="57"/>
        <v>-12.691261391093121</v>
      </c>
    </row>
    <row r="747" spans="1:6" x14ac:dyDescent="0.3">
      <c r="A747" s="2">
        <v>43062</v>
      </c>
      <c r="B747" s="1">
        <v>43.74</v>
      </c>
      <c r="C747" s="1">
        <f>'Historical Simulation'!D747</f>
        <v>180.87</v>
      </c>
      <c r="D747" s="22">
        <f t="shared" si="55"/>
        <v>955.93389229913987</v>
      </c>
      <c r="E747" s="23">
        <f t="shared" si="56"/>
        <v>0</v>
      </c>
      <c r="F747" s="23">
        <f t="shared" si="57"/>
        <v>0</v>
      </c>
    </row>
    <row r="748" spans="1:6" x14ac:dyDescent="0.3">
      <c r="A748" s="2">
        <v>43061</v>
      </c>
      <c r="B748" s="1">
        <v>43.74</v>
      </c>
      <c r="C748" s="1">
        <f>'Historical Simulation'!D748</f>
        <v>180.87</v>
      </c>
      <c r="D748" s="22">
        <f t="shared" si="55"/>
        <v>955.93389229913987</v>
      </c>
      <c r="E748" s="23">
        <f t="shared" si="56"/>
        <v>-9.1571940813263382</v>
      </c>
      <c r="F748" s="23">
        <f t="shared" si="57"/>
        <v>9.1571940813263382</v>
      </c>
    </row>
    <row r="749" spans="1:6" x14ac:dyDescent="0.3">
      <c r="A749" s="2">
        <v>43060</v>
      </c>
      <c r="B749" s="1">
        <v>43.284999999999997</v>
      </c>
      <c r="C749" s="1">
        <f>'Historical Simulation'!D749</f>
        <v>181.86</v>
      </c>
      <c r="D749" s="22">
        <f t="shared" si="55"/>
        <v>965.09108638046621</v>
      </c>
      <c r="E749" s="23">
        <f t="shared" si="56"/>
        <v>16.289247203799391</v>
      </c>
      <c r="F749" s="23">
        <f t="shared" si="57"/>
        <v>-16.289247203799391</v>
      </c>
    </row>
    <row r="750" spans="1:6" x14ac:dyDescent="0.3">
      <c r="A750" s="2">
        <v>43059</v>
      </c>
      <c r="B750" s="1">
        <v>42.494999999999997</v>
      </c>
      <c r="C750" s="1">
        <f>'Historical Simulation'!D750</f>
        <v>178.74</v>
      </c>
      <c r="D750" s="22">
        <f t="shared" si="55"/>
        <v>948.80183917666682</v>
      </c>
      <c r="E750" s="23">
        <f t="shared" si="56"/>
        <v>-1.4893181402687787</v>
      </c>
      <c r="F750" s="23">
        <f t="shared" si="57"/>
        <v>1.4893181402687787</v>
      </c>
    </row>
    <row r="751" spans="1:6" x14ac:dyDescent="0.3">
      <c r="A751" s="2">
        <v>43056</v>
      </c>
      <c r="B751" s="1">
        <v>42.537500000000001</v>
      </c>
      <c r="C751" s="1">
        <f>'Historical Simulation'!D751</f>
        <v>179</v>
      </c>
      <c r="D751" s="22">
        <f t="shared" si="55"/>
        <v>950.2911573169356</v>
      </c>
      <c r="E751" s="23">
        <f t="shared" si="56"/>
        <v>-2.5823431928495211</v>
      </c>
      <c r="F751" s="23">
        <f t="shared" si="57"/>
        <v>2.5823431928495211</v>
      </c>
    </row>
    <row r="752" spans="1:6" x14ac:dyDescent="0.3">
      <c r="A752" s="2">
        <v>43055</v>
      </c>
      <c r="B752" s="1">
        <v>42.774999999999999</v>
      </c>
      <c r="C752" s="1">
        <f>'Historical Simulation'!D752</f>
        <v>179.59</v>
      </c>
      <c r="D752" s="22">
        <f t="shared" si="55"/>
        <v>952.87350050978512</v>
      </c>
      <c r="E752" s="23">
        <f t="shared" si="56"/>
        <v>8.0550624791040946</v>
      </c>
      <c r="F752" s="23">
        <f t="shared" si="57"/>
        <v>-8.0550624791040946</v>
      </c>
    </row>
    <row r="753" spans="1:6" x14ac:dyDescent="0.3">
      <c r="A753" s="2">
        <v>43054</v>
      </c>
      <c r="B753" s="1">
        <v>42.27</v>
      </c>
      <c r="C753" s="1">
        <f>'Historical Simulation'!D753</f>
        <v>177.95</v>
      </c>
      <c r="D753" s="22">
        <f t="shared" si="55"/>
        <v>944.81843803068102</v>
      </c>
      <c r="E753" s="23">
        <f t="shared" si="56"/>
        <v>2.3951566548026904</v>
      </c>
      <c r="F753" s="23">
        <f t="shared" si="57"/>
        <v>-2.3951566548026904</v>
      </c>
    </row>
    <row r="754" spans="1:6" x14ac:dyDescent="0.3">
      <c r="A754" s="2">
        <v>43053</v>
      </c>
      <c r="B754" s="1">
        <v>42.835000000000001</v>
      </c>
      <c r="C754" s="1">
        <f>'Historical Simulation'!D754</f>
        <v>178.07</v>
      </c>
      <c r="D754" s="22">
        <f t="shared" si="55"/>
        <v>942.42328137587833</v>
      </c>
      <c r="E754" s="23">
        <f t="shared" si="56"/>
        <v>-0.94021159062720017</v>
      </c>
      <c r="F754" s="23">
        <f t="shared" si="57"/>
        <v>0.94021159062720017</v>
      </c>
    </row>
    <row r="755" spans="1:6" x14ac:dyDescent="0.3">
      <c r="A755" s="2">
        <v>43052</v>
      </c>
      <c r="B755" s="1">
        <v>43.4925</v>
      </c>
      <c r="C755" s="1">
        <f>'Historical Simulation'!D755</f>
        <v>178.77</v>
      </c>
      <c r="D755" s="22">
        <f t="shared" si="55"/>
        <v>943.36349296650553</v>
      </c>
      <c r="E755" s="23">
        <f t="shared" si="56"/>
        <v>3.0512381518637994</v>
      </c>
      <c r="F755" s="23">
        <f t="shared" si="57"/>
        <v>-3.0512381518637994</v>
      </c>
    </row>
    <row r="756" spans="1:6" x14ac:dyDescent="0.3">
      <c r="A756" s="2">
        <v>43049</v>
      </c>
      <c r="B756" s="1">
        <v>43.667499999999997</v>
      </c>
      <c r="C756" s="1">
        <f>'Historical Simulation'!D756</f>
        <v>178.46</v>
      </c>
      <c r="D756" s="22">
        <f t="shared" si="55"/>
        <v>940.31225481464173</v>
      </c>
      <c r="E756" s="23">
        <f t="shared" si="56"/>
        <v>-3.8779701167563871</v>
      </c>
      <c r="F756" s="23">
        <f t="shared" si="57"/>
        <v>3.8779701167563871</v>
      </c>
    </row>
    <row r="757" spans="1:6" x14ac:dyDescent="0.3">
      <c r="A757" s="2">
        <v>43048</v>
      </c>
      <c r="B757" s="1">
        <v>43.97</v>
      </c>
      <c r="C757" s="1">
        <f>'Historical Simulation'!D757</f>
        <v>179.3</v>
      </c>
      <c r="D757" s="22">
        <f t="shared" si="55"/>
        <v>944.19022493139812</v>
      </c>
      <c r="E757" s="23">
        <f t="shared" si="56"/>
        <v>-1.2208463625089507</v>
      </c>
      <c r="F757" s="23">
        <f t="shared" si="57"/>
        <v>1.2208463625089507</v>
      </c>
    </row>
    <row r="758" spans="1:6" x14ac:dyDescent="0.3">
      <c r="A758" s="2">
        <v>43047</v>
      </c>
      <c r="B758" s="1">
        <v>44.06</v>
      </c>
      <c r="C758" s="1">
        <f>'Historical Simulation'!D758</f>
        <v>179.56</v>
      </c>
      <c r="D758" s="22">
        <f t="shared" si="55"/>
        <v>945.41107129390707</v>
      </c>
      <c r="E758" s="23">
        <f t="shared" si="56"/>
        <v>-6.610509204283062</v>
      </c>
      <c r="F758" s="23">
        <f t="shared" si="57"/>
        <v>6.610509204283062</v>
      </c>
    </row>
    <row r="759" spans="1:6" x14ac:dyDescent="0.3">
      <c r="A759" s="2">
        <v>43046</v>
      </c>
      <c r="B759" s="1">
        <v>43.702500000000001</v>
      </c>
      <c r="C759" s="1">
        <f>'Historical Simulation'!D759</f>
        <v>180.25</v>
      </c>
      <c r="D759" s="22">
        <f t="shared" si="55"/>
        <v>952.02158049819013</v>
      </c>
      <c r="E759" s="23">
        <f t="shared" si="56"/>
        <v>-0.25912224559124297</v>
      </c>
      <c r="F759" s="23">
        <f t="shared" si="57"/>
        <v>0.25912224559124297</v>
      </c>
    </row>
    <row r="760" spans="1:6" x14ac:dyDescent="0.3">
      <c r="A760" s="2">
        <v>43045</v>
      </c>
      <c r="B760" s="1">
        <v>43.5625</v>
      </c>
      <c r="C760" s="1">
        <f>'Historical Simulation'!D760</f>
        <v>180.17</v>
      </c>
      <c r="D760" s="22">
        <f t="shared" si="55"/>
        <v>952.28070274378138</v>
      </c>
      <c r="E760" s="23">
        <f t="shared" si="56"/>
        <v>5.8422804090500904</v>
      </c>
      <c r="F760" s="23">
        <f t="shared" si="57"/>
        <v>-5.8422804090500904</v>
      </c>
    </row>
    <row r="761" spans="1:6" x14ac:dyDescent="0.3">
      <c r="A761" s="2">
        <v>43042</v>
      </c>
      <c r="B761" s="1">
        <v>43.125</v>
      </c>
      <c r="C761" s="1">
        <f>'Historical Simulation'!D761</f>
        <v>178.92</v>
      </c>
      <c r="D761" s="22">
        <f t="shared" si="55"/>
        <v>946.43842233473129</v>
      </c>
      <c r="E761" s="23">
        <f t="shared" si="56"/>
        <v>-6.2031110756092858</v>
      </c>
      <c r="F761" s="23">
        <f t="shared" si="57"/>
        <v>6.2031110756092858</v>
      </c>
    </row>
    <row r="762" spans="1:6" x14ac:dyDescent="0.3">
      <c r="A762" s="2">
        <v>43041</v>
      </c>
      <c r="B762" s="1">
        <v>42.027500000000003</v>
      </c>
      <c r="C762" s="1">
        <f>'Historical Simulation'!D762</f>
        <v>178.92</v>
      </c>
      <c r="D762" s="22">
        <f t="shared" si="55"/>
        <v>952.64153341034057</v>
      </c>
      <c r="E762" s="23">
        <f t="shared" si="56"/>
        <v>-26.602491390286787</v>
      </c>
      <c r="F762" s="23">
        <f t="shared" si="57"/>
        <v>26.602491390286787</v>
      </c>
    </row>
    <row r="763" spans="1:6" x14ac:dyDescent="0.3">
      <c r="A763" s="2">
        <v>43040</v>
      </c>
      <c r="B763" s="1">
        <v>41.722499999999997</v>
      </c>
      <c r="C763" s="1">
        <f>'Historical Simulation'!D763</f>
        <v>182.66</v>
      </c>
      <c r="D763" s="22">
        <f t="shared" si="55"/>
        <v>979.24402480062736</v>
      </c>
      <c r="E763" s="23">
        <f t="shared" si="56"/>
        <v>20.333267425716713</v>
      </c>
      <c r="F763" s="23">
        <f t="shared" si="57"/>
        <v>-20.333267425716713</v>
      </c>
    </row>
    <row r="764" spans="1:6" x14ac:dyDescent="0.3">
      <c r="A764" s="2">
        <v>43039</v>
      </c>
      <c r="B764" s="1">
        <v>42.26</v>
      </c>
      <c r="C764" s="1">
        <f>'Historical Simulation'!D764</f>
        <v>180.06</v>
      </c>
      <c r="D764" s="22">
        <f t="shared" si="55"/>
        <v>958.91075737491065</v>
      </c>
      <c r="E764" s="23">
        <f t="shared" si="56"/>
        <v>-2.0142945963439161</v>
      </c>
      <c r="F764" s="23">
        <f t="shared" si="57"/>
        <v>2.0142945963439161</v>
      </c>
    </row>
    <row r="765" spans="1:6" x14ac:dyDescent="0.3">
      <c r="A765" s="2">
        <v>43038</v>
      </c>
      <c r="B765" s="1">
        <v>41.68</v>
      </c>
      <c r="C765" s="1">
        <f>'Historical Simulation'!D765</f>
        <v>179.87</v>
      </c>
      <c r="D765" s="22">
        <f t="shared" si="55"/>
        <v>960.92505197125456</v>
      </c>
      <c r="E765" s="23">
        <f t="shared" si="56"/>
        <v>8.0518101399461557</v>
      </c>
      <c r="F765" s="23">
        <f t="shared" si="57"/>
        <v>-8.0518101399461557</v>
      </c>
    </row>
    <row r="766" spans="1:6" x14ac:dyDescent="0.3">
      <c r="A766" s="2">
        <v>43035</v>
      </c>
      <c r="B766" s="1">
        <v>40.762500000000003</v>
      </c>
      <c r="C766" s="1">
        <f>'Historical Simulation'!D766</f>
        <v>177.88</v>
      </c>
      <c r="D766" s="22">
        <f t="shared" si="55"/>
        <v>952.87324183130841</v>
      </c>
      <c r="E766" s="23">
        <f t="shared" si="56"/>
        <v>40.257898570896032</v>
      </c>
      <c r="F766" s="23">
        <f t="shared" si="57"/>
        <v>-40.257898570896032</v>
      </c>
    </row>
    <row r="767" spans="1:6" x14ac:dyDescent="0.3">
      <c r="A767" s="2">
        <v>43034</v>
      </c>
      <c r="B767" s="1">
        <v>39.352499999999999</v>
      </c>
      <c r="C767" s="1">
        <f>'Historical Simulation'!D767</f>
        <v>170.63</v>
      </c>
      <c r="D767" s="22">
        <f t="shared" si="55"/>
        <v>912.61534326041237</v>
      </c>
      <c r="E767" s="23">
        <f t="shared" si="56"/>
        <v>-1.2134482338349244</v>
      </c>
      <c r="F767" s="23">
        <f t="shared" si="57"/>
        <v>1.2134482338349244</v>
      </c>
    </row>
    <row r="768" spans="1:6" x14ac:dyDescent="0.3">
      <c r="A768" s="2">
        <v>43033</v>
      </c>
      <c r="B768" s="1">
        <v>39.102499999999999</v>
      </c>
      <c r="C768" s="1">
        <f>'Historical Simulation'!D768</f>
        <v>170.6</v>
      </c>
      <c r="D768" s="22">
        <f t="shared" si="55"/>
        <v>913.8287914942473</v>
      </c>
      <c r="E768" s="23">
        <f t="shared" si="56"/>
        <v>-7.0074684557530418</v>
      </c>
      <c r="F768" s="23">
        <f t="shared" si="57"/>
        <v>7.0074684557530418</v>
      </c>
    </row>
    <row r="769" spans="1:6" x14ac:dyDescent="0.3">
      <c r="A769" s="2">
        <v>43032</v>
      </c>
      <c r="B769" s="1">
        <v>39.274999999999999</v>
      </c>
      <c r="C769" s="1">
        <f>'Historical Simulation'!D769</f>
        <v>171.8</v>
      </c>
      <c r="D769" s="22">
        <f t="shared" si="55"/>
        <v>920.83625995000034</v>
      </c>
      <c r="E769" s="23">
        <f t="shared" si="56"/>
        <v>2.2114811343908514</v>
      </c>
      <c r="F769" s="23">
        <f t="shared" si="57"/>
        <v>-2.2114811343908514</v>
      </c>
    </row>
    <row r="770" spans="1:6" x14ac:dyDescent="0.3">
      <c r="A770" s="2">
        <v>43031</v>
      </c>
      <c r="B770" s="1">
        <v>39.042499999999997</v>
      </c>
      <c r="C770" s="1">
        <f>'Historical Simulation'!D770</f>
        <v>171.27</v>
      </c>
      <c r="D770" s="22">
        <f t="shared" si="55"/>
        <v>918.62477881560949</v>
      </c>
      <c r="E770" s="23">
        <f t="shared" si="56"/>
        <v>-24.566018103870874</v>
      </c>
      <c r="F770" s="23">
        <f t="shared" si="57"/>
        <v>24.566018103870874</v>
      </c>
    </row>
    <row r="771" spans="1:6" x14ac:dyDescent="0.3">
      <c r="A771" s="2">
        <v>43028</v>
      </c>
      <c r="B771" s="1">
        <v>39.0625</v>
      </c>
      <c r="C771" s="1">
        <f>'Historical Simulation'!D771</f>
        <v>174.98</v>
      </c>
      <c r="D771" s="22">
        <f t="shared" si="55"/>
        <v>943.19079691948036</v>
      </c>
      <c r="E771" s="23">
        <f t="shared" si="56"/>
        <v>2.4123431928494483</v>
      </c>
      <c r="F771" s="23">
        <f t="shared" si="57"/>
        <v>-2.4123431928494483</v>
      </c>
    </row>
    <row r="772" spans="1:6" x14ac:dyDescent="0.3">
      <c r="A772" s="2">
        <v>43027</v>
      </c>
      <c r="B772" s="1">
        <v>38.994999999999997</v>
      </c>
      <c r="C772" s="1">
        <f>'Historical Simulation'!D772</f>
        <v>174.56</v>
      </c>
      <c r="D772" s="22">
        <f t="shared" si="55"/>
        <v>940.77845372663091</v>
      </c>
      <c r="E772" s="23">
        <f t="shared" si="56"/>
        <v>-4.437319648924813</v>
      </c>
      <c r="F772" s="23">
        <f t="shared" si="57"/>
        <v>4.437319648924813</v>
      </c>
    </row>
    <row r="773" spans="1:6" x14ac:dyDescent="0.3">
      <c r="A773" s="2">
        <v>43026</v>
      </c>
      <c r="B773" s="1">
        <v>39.94</v>
      </c>
      <c r="C773" s="1">
        <f>'Historical Simulation'!D773</f>
        <v>176.03</v>
      </c>
      <c r="D773" s="22">
        <f t="shared" si="55"/>
        <v>945.21577337555573</v>
      </c>
      <c r="E773" s="23">
        <f t="shared" si="56"/>
        <v>0.47107364908606542</v>
      </c>
      <c r="F773" s="23">
        <f t="shared" si="57"/>
        <v>-0.47107364908606542</v>
      </c>
    </row>
    <row r="774" spans="1:6" x14ac:dyDescent="0.3">
      <c r="A774" s="2">
        <v>43025</v>
      </c>
      <c r="B774" s="1">
        <v>40.1175</v>
      </c>
      <c r="C774" s="1">
        <f>'Historical Simulation'!D774</f>
        <v>176.11</v>
      </c>
      <c r="D774" s="22">
        <f t="shared" ref="D774:D837" si="58">$M$16*B774+(1-$M$16)*C774</f>
        <v>944.74469972646966</v>
      </c>
      <c r="E774" s="23">
        <f t="shared" ref="E774:E837" si="59">D774-D775</f>
        <v>9.7430639877599106</v>
      </c>
      <c r="F774" s="23">
        <f t="shared" ref="F774:F837" si="60">-E774</f>
        <v>-9.7430639877599106</v>
      </c>
    </row>
    <row r="775" spans="1:6" x14ac:dyDescent="0.3">
      <c r="A775" s="2">
        <v>43024</v>
      </c>
      <c r="B775" s="1">
        <v>39.97</v>
      </c>
      <c r="C775" s="1">
        <f>'Historical Simulation'!D775</f>
        <v>174.52</v>
      </c>
      <c r="D775" s="22">
        <f t="shared" si="58"/>
        <v>935.00163573870975</v>
      </c>
      <c r="E775" s="23">
        <f t="shared" si="59"/>
        <v>1.1049921520250336</v>
      </c>
      <c r="F775" s="23">
        <f t="shared" si="60"/>
        <v>-1.1049921520250336</v>
      </c>
    </row>
    <row r="776" spans="1:6" x14ac:dyDescent="0.3">
      <c r="A776" s="2">
        <v>43021</v>
      </c>
      <c r="B776" s="1">
        <v>39.247500000000002</v>
      </c>
      <c r="C776" s="1">
        <f>'Historical Simulation'!D776</f>
        <v>173.74</v>
      </c>
      <c r="D776" s="22">
        <f t="shared" si="58"/>
        <v>933.89664358668472</v>
      </c>
      <c r="E776" s="23">
        <f t="shared" si="59"/>
        <v>6.5170452744981731</v>
      </c>
      <c r="F776" s="23">
        <f t="shared" si="60"/>
        <v>-6.5170452744981731</v>
      </c>
    </row>
    <row r="777" spans="1:6" x14ac:dyDescent="0.3">
      <c r="A777" s="2">
        <v>43020</v>
      </c>
      <c r="B777" s="1">
        <v>39</v>
      </c>
      <c r="C777" s="1">
        <f>'Historical Simulation'!D777</f>
        <v>172.55</v>
      </c>
      <c r="D777" s="22">
        <f t="shared" si="58"/>
        <v>927.37959831218654</v>
      </c>
      <c r="E777" s="23">
        <f t="shared" si="59"/>
        <v>-0.48673196489244219</v>
      </c>
      <c r="F777" s="23">
        <f t="shared" si="60"/>
        <v>0.48673196489244219</v>
      </c>
    </row>
    <row r="778" spans="1:6" x14ac:dyDescent="0.3">
      <c r="A778" s="2">
        <v>43019</v>
      </c>
      <c r="B778" s="1">
        <v>39.137500000000003</v>
      </c>
      <c r="C778" s="1">
        <f>'Historical Simulation'!D778</f>
        <v>172.74</v>
      </c>
      <c r="D778" s="22">
        <f t="shared" si="58"/>
        <v>927.86633027707899</v>
      </c>
      <c r="E778" s="23">
        <f t="shared" si="59"/>
        <v>6.7313869586917008</v>
      </c>
      <c r="F778" s="23">
        <f t="shared" si="60"/>
        <v>-6.7313869586917008</v>
      </c>
    </row>
    <row r="779" spans="1:6" x14ac:dyDescent="0.3">
      <c r="A779" s="2">
        <v>43018</v>
      </c>
      <c r="B779" s="1">
        <v>38.975000000000001</v>
      </c>
      <c r="C779" s="1">
        <f>'Historical Simulation'!D779</f>
        <v>171.59</v>
      </c>
      <c r="D779" s="22">
        <f t="shared" si="58"/>
        <v>921.13494331838729</v>
      </c>
      <c r="E779" s="23">
        <f t="shared" si="59"/>
        <v>-6.1381346195339574</v>
      </c>
      <c r="F779" s="23">
        <f t="shared" si="60"/>
        <v>6.1381346195339574</v>
      </c>
    </row>
    <row r="780" spans="1:6" x14ac:dyDescent="0.3">
      <c r="A780" s="2">
        <v>43017</v>
      </c>
      <c r="B780" s="1">
        <v>38.96</v>
      </c>
      <c r="C780" s="1">
        <f>'Historical Simulation'!D780</f>
        <v>172.5</v>
      </c>
      <c r="D780" s="22">
        <f t="shared" si="58"/>
        <v>927.27307793792124</v>
      </c>
      <c r="E780" s="23">
        <f t="shared" si="59"/>
        <v>1.0330250525807969</v>
      </c>
      <c r="F780" s="23">
        <f t="shared" si="60"/>
        <v>-1.0330250525807969</v>
      </c>
    </row>
    <row r="781" spans="1:6" x14ac:dyDescent="0.3">
      <c r="A781" s="2">
        <v>43014</v>
      </c>
      <c r="B781" s="1">
        <v>38.825000000000003</v>
      </c>
      <c r="C781" s="1">
        <f>'Historical Simulation'!D781</f>
        <v>172.23</v>
      </c>
      <c r="D781" s="22">
        <f t="shared" si="58"/>
        <v>926.24005288534045</v>
      </c>
      <c r="E781" s="23">
        <f t="shared" si="59"/>
        <v>6.7126878943546444</v>
      </c>
      <c r="F781" s="23">
        <f t="shared" si="60"/>
        <v>-6.7126878943546444</v>
      </c>
    </row>
    <row r="782" spans="1:6" x14ac:dyDescent="0.3">
      <c r="A782" s="2">
        <v>43013</v>
      </c>
      <c r="B782" s="1">
        <v>38.847499999999997</v>
      </c>
      <c r="C782" s="1">
        <f>'Historical Simulation'!D782</f>
        <v>171.24</v>
      </c>
      <c r="D782" s="22">
        <f t="shared" si="58"/>
        <v>919.5273649909858</v>
      </c>
      <c r="E782" s="23">
        <f t="shared" si="59"/>
        <v>16.059897671631006</v>
      </c>
      <c r="F782" s="23">
        <f t="shared" si="60"/>
        <v>-16.059897671631006</v>
      </c>
    </row>
    <row r="783" spans="1:6" x14ac:dyDescent="0.3">
      <c r="A783" s="2">
        <v>43012</v>
      </c>
      <c r="B783" s="1">
        <v>38.369999999999997</v>
      </c>
      <c r="C783" s="1">
        <f>'Historical Simulation'!D783</f>
        <v>168.42</v>
      </c>
      <c r="D783" s="22">
        <f t="shared" si="58"/>
        <v>903.4674673193548</v>
      </c>
      <c r="E783" s="23">
        <f t="shared" si="59"/>
        <v>-8.8311282802152391</v>
      </c>
      <c r="F783" s="23">
        <f t="shared" si="60"/>
        <v>8.8311282802152391</v>
      </c>
    </row>
    <row r="784" spans="1:6" x14ac:dyDescent="0.3">
      <c r="A784" s="2">
        <v>43011</v>
      </c>
      <c r="B784" s="1">
        <v>38.619999999999997</v>
      </c>
      <c r="C784" s="1">
        <f>'Historical Simulation'!D784</f>
        <v>169.96</v>
      </c>
      <c r="D784" s="22">
        <f t="shared" si="58"/>
        <v>912.29859559957004</v>
      </c>
      <c r="E784" s="23">
        <f t="shared" si="59"/>
        <v>2.3127820700537995</v>
      </c>
      <c r="F784" s="23">
        <f t="shared" si="60"/>
        <v>-2.3127820700537995</v>
      </c>
    </row>
    <row r="785" spans="1:6" x14ac:dyDescent="0.3">
      <c r="A785" s="2">
        <v>43010</v>
      </c>
      <c r="B785" s="1">
        <v>38.452500000000001</v>
      </c>
      <c r="C785" s="1">
        <f>'Historical Simulation'!D785</f>
        <v>169.47</v>
      </c>
      <c r="D785" s="22">
        <f t="shared" si="58"/>
        <v>909.98581352951624</v>
      </c>
      <c r="E785" s="23">
        <f t="shared" si="59"/>
        <v>-8.8748194965770608</v>
      </c>
      <c r="F785" s="23">
        <f t="shared" si="60"/>
        <v>8.8748194965770608</v>
      </c>
    </row>
    <row r="786" spans="1:6" x14ac:dyDescent="0.3">
      <c r="A786" s="2">
        <v>43007</v>
      </c>
      <c r="B786" s="1">
        <v>38.53</v>
      </c>
      <c r="C786" s="1">
        <f>'Historical Simulation'!D786</f>
        <v>170.87</v>
      </c>
      <c r="D786" s="22">
        <f t="shared" si="58"/>
        <v>918.8606330260933</v>
      </c>
      <c r="E786" s="23">
        <f t="shared" si="59"/>
        <v>13.048432233190056</v>
      </c>
      <c r="F786" s="23">
        <f t="shared" si="60"/>
        <v>-13.048432233190056</v>
      </c>
    </row>
    <row r="787" spans="1:6" x14ac:dyDescent="0.3">
      <c r="A787" s="2">
        <v>43006</v>
      </c>
      <c r="B787" s="1">
        <v>38.32</v>
      </c>
      <c r="C787" s="1">
        <f>'Historical Simulation'!D787</f>
        <v>168.73</v>
      </c>
      <c r="D787" s="22">
        <f t="shared" si="58"/>
        <v>905.81220079290324</v>
      </c>
      <c r="E787" s="23">
        <f t="shared" si="59"/>
        <v>8.3269981866485523</v>
      </c>
      <c r="F787" s="23">
        <f t="shared" si="60"/>
        <v>-8.3269981866485523</v>
      </c>
    </row>
    <row r="788" spans="1:6" x14ac:dyDescent="0.3">
      <c r="A788" s="2">
        <v>43005</v>
      </c>
      <c r="B788" s="1">
        <v>38.557499999999997</v>
      </c>
      <c r="C788" s="1">
        <f>'Historical Simulation'!D788</f>
        <v>167.68</v>
      </c>
      <c r="D788" s="22">
        <f t="shared" si="58"/>
        <v>897.48520260625469</v>
      </c>
      <c r="E788" s="23">
        <f t="shared" si="59"/>
        <v>21.542389671308342</v>
      </c>
      <c r="F788" s="23">
        <f t="shared" si="60"/>
        <v>-21.542389671308342</v>
      </c>
    </row>
    <row r="789" spans="1:6" x14ac:dyDescent="0.3">
      <c r="A789" s="2">
        <v>43004</v>
      </c>
      <c r="B789" s="1">
        <v>38.284999999999997</v>
      </c>
      <c r="C789" s="1">
        <f>'Historical Simulation'!D789</f>
        <v>164.21</v>
      </c>
      <c r="D789" s="22">
        <f t="shared" si="58"/>
        <v>875.94281293494635</v>
      </c>
      <c r="E789" s="23">
        <f t="shared" si="59"/>
        <v>5.254035917867327</v>
      </c>
      <c r="F789" s="23">
        <f t="shared" si="60"/>
        <v>-5.254035917867327</v>
      </c>
    </row>
    <row r="790" spans="1:6" x14ac:dyDescent="0.3">
      <c r="A790" s="2">
        <v>43003</v>
      </c>
      <c r="B790" s="1">
        <v>37.637500000000003</v>
      </c>
      <c r="C790" s="1">
        <f>'Historical Simulation'!D790</f>
        <v>162.87</v>
      </c>
      <c r="D790" s="22">
        <f t="shared" si="58"/>
        <v>870.68877701707902</v>
      </c>
      <c r="E790" s="23">
        <f t="shared" si="59"/>
        <v>-49.127694523548371</v>
      </c>
      <c r="F790" s="23">
        <f t="shared" si="60"/>
        <v>49.127694523548371</v>
      </c>
    </row>
    <row r="791" spans="1:6" x14ac:dyDescent="0.3">
      <c r="A791" s="2">
        <v>43000</v>
      </c>
      <c r="B791" s="1">
        <v>37.972499999999997</v>
      </c>
      <c r="C791" s="1">
        <f>'Historical Simulation'!D791</f>
        <v>170.54</v>
      </c>
      <c r="D791" s="22">
        <f t="shared" si="58"/>
        <v>919.81647154062739</v>
      </c>
      <c r="E791" s="23">
        <f t="shared" si="59"/>
        <v>-1.6721472981720353</v>
      </c>
      <c r="F791" s="23">
        <f t="shared" si="60"/>
        <v>1.6721472981720353</v>
      </c>
    </row>
    <row r="792" spans="1:6" x14ac:dyDescent="0.3">
      <c r="A792" s="2">
        <v>42999</v>
      </c>
      <c r="B792" s="1">
        <v>38.347499999999997</v>
      </c>
      <c r="C792" s="1">
        <f>'Historical Simulation'!D792</f>
        <v>171.11</v>
      </c>
      <c r="D792" s="22">
        <f t="shared" si="58"/>
        <v>921.48861883879943</v>
      </c>
      <c r="E792" s="23">
        <f t="shared" si="59"/>
        <v>-3.2642945963440297</v>
      </c>
      <c r="F792" s="23">
        <f t="shared" si="60"/>
        <v>3.2642945963440297</v>
      </c>
    </row>
    <row r="793" spans="1:6" x14ac:dyDescent="0.3">
      <c r="A793" s="2">
        <v>42998</v>
      </c>
      <c r="B793" s="1">
        <v>39.017499999999998</v>
      </c>
      <c r="C793" s="1">
        <f>'Historical Simulation'!D793</f>
        <v>172.17</v>
      </c>
      <c r="D793" s="22">
        <f t="shared" si="58"/>
        <v>924.75291343514345</v>
      </c>
      <c r="E793" s="23">
        <f t="shared" si="59"/>
        <v>1.4303917893548714</v>
      </c>
      <c r="F793" s="23">
        <f t="shared" si="60"/>
        <v>-1.4303917893548714</v>
      </c>
    </row>
    <row r="794" spans="1:6" x14ac:dyDescent="0.3">
      <c r="A794" s="2">
        <v>42997</v>
      </c>
      <c r="B794" s="1">
        <v>39.682499999999997</v>
      </c>
      <c r="C794" s="1">
        <f>'Historical Simulation'!D794</f>
        <v>172.52</v>
      </c>
      <c r="D794" s="22">
        <f t="shared" si="58"/>
        <v>923.32252164578858</v>
      </c>
      <c r="E794" s="23">
        <f t="shared" si="59"/>
        <v>16.611833379175664</v>
      </c>
      <c r="F794" s="23">
        <f t="shared" si="60"/>
        <v>-16.611833379175664</v>
      </c>
    </row>
    <row r="795" spans="1:6" x14ac:dyDescent="0.3">
      <c r="A795" s="2">
        <v>42996</v>
      </c>
      <c r="B795" s="1">
        <v>39.667499999999997</v>
      </c>
      <c r="C795" s="1">
        <f>'Historical Simulation'!D795</f>
        <v>170.01</v>
      </c>
      <c r="D795" s="22">
        <f t="shared" si="58"/>
        <v>906.71068826661292</v>
      </c>
      <c r="E795" s="23">
        <f t="shared" si="59"/>
        <v>-9.1330796837096386</v>
      </c>
      <c r="F795" s="23">
        <f t="shared" si="60"/>
        <v>9.1330796837096386</v>
      </c>
    </row>
    <row r="796" spans="1:6" x14ac:dyDescent="0.3">
      <c r="A796" s="2">
        <v>42993</v>
      </c>
      <c r="B796" s="1">
        <v>39.97</v>
      </c>
      <c r="C796" s="1">
        <f>'Historical Simulation'!D796</f>
        <v>171.64</v>
      </c>
      <c r="D796" s="22">
        <f t="shared" si="58"/>
        <v>915.84376795032256</v>
      </c>
      <c r="E796" s="23">
        <f t="shared" si="59"/>
        <v>2.2625704794263584</v>
      </c>
      <c r="F796" s="23">
        <f t="shared" si="60"/>
        <v>-2.2625704794263584</v>
      </c>
    </row>
    <row r="797" spans="1:6" x14ac:dyDescent="0.3">
      <c r="A797" s="2">
        <v>42992</v>
      </c>
      <c r="B797" s="1">
        <v>39.57</v>
      </c>
      <c r="C797" s="1">
        <f>'Historical Simulation'!D797</f>
        <v>170.96</v>
      </c>
      <c r="D797" s="22">
        <f t="shared" si="58"/>
        <v>913.5811974708962</v>
      </c>
      <c r="E797" s="23">
        <f t="shared" si="59"/>
        <v>-11.966935402849458</v>
      </c>
      <c r="F797" s="23">
        <f t="shared" si="60"/>
        <v>11.966935402849458</v>
      </c>
    </row>
    <row r="798" spans="1:6" x14ac:dyDescent="0.3">
      <c r="A798" s="2">
        <v>42991</v>
      </c>
      <c r="B798" s="1">
        <v>39.912500000000001</v>
      </c>
      <c r="C798" s="1">
        <f>'Historical Simulation'!D798</f>
        <v>173.05</v>
      </c>
      <c r="D798" s="22">
        <f t="shared" si="58"/>
        <v>925.54813287374566</v>
      </c>
      <c r="E798" s="23">
        <f t="shared" si="59"/>
        <v>2.3084246899103391</v>
      </c>
      <c r="F798" s="23">
        <f t="shared" si="60"/>
        <v>-2.3084246899103391</v>
      </c>
    </row>
    <row r="799" spans="1:6" x14ac:dyDescent="0.3">
      <c r="A799" s="2">
        <v>42990</v>
      </c>
      <c r="B799" s="1">
        <v>40.215000000000003</v>
      </c>
      <c r="C799" s="1">
        <f>'Historical Simulation'!D799</f>
        <v>172.96</v>
      </c>
      <c r="D799" s="22">
        <f t="shared" si="58"/>
        <v>923.23970818383532</v>
      </c>
      <c r="E799" s="23">
        <f t="shared" si="59"/>
        <v>-2.7542945963439251</v>
      </c>
      <c r="F799" s="23">
        <f t="shared" si="60"/>
        <v>2.7542945963439251</v>
      </c>
    </row>
    <row r="800" spans="1:6" x14ac:dyDescent="0.3">
      <c r="A800" s="2">
        <v>42989</v>
      </c>
      <c r="B800" s="1">
        <v>40.375</v>
      </c>
      <c r="C800" s="1">
        <f>'Historical Simulation'!D800</f>
        <v>173.51</v>
      </c>
      <c r="D800" s="22">
        <f t="shared" si="58"/>
        <v>925.99400278017924</v>
      </c>
      <c r="E800" s="23">
        <f t="shared" si="59"/>
        <v>12.973878958369141</v>
      </c>
      <c r="F800" s="23">
        <f t="shared" si="60"/>
        <v>-12.973878958369141</v>
      </c>
    </row>
    <row r="801" spans="1:6" x14ac:dyDescent="0.3">
      <c r="A801" s="2">
        <v>42986</v>
      </c>
      <c r="B801" s="1">
        <v>39.657499999999999</v>
      </c>
      <c r="C801" s="1">
        <f>'Historical Simulation'!D801</f>
        <v>170.95</v>
      </c>
      <c r="D801" s="22">
        <f t="shared" si="58"/>
        <v>913.0201238218101</v>
      </c>
      <c r="E801" s="23">
        <f t="shared" si="59"/>
        <v>-11.317389976003824</v>
      </c>
      <c r="F801" s="23">
        <f t="shared" si="60"/>
        <v>11.317389976003824</v>
      </c>
    </row>
    <row r="802" spans="1:6" x14ac:dyDescent="0.3">
      <c r="A802" s="2">
        <v>42985</v>
      </c>
      <c r="B802" s="1">
        <v>40.314999999999998</v>
      </c>
      <c r="C802" s="1">
        <f>'Historical Simulation'!D802</f>
        <v>173.21</v>
      </c>
      <c r="D802" s="22">
        <f t="shared" si="58"/>
        <v>924.33751379781393</v>
      </c>
      <c r="E802" s="23">
        <f t="shared" si="59"/>
        <v>8.3687379995162701</v>
      </c>
      <c r="F802" s="23">
        <f t="shared" si="60"/>
        <v>-8.3687379995162701</v>
      </c>
    </row>
    <row r="803" spans="1:6" x14ac:dyDescent="0.3">
      <c r="A803" s="2">
        <v>42984</v>
      </c>
      <c r="B803" s="1">
        <v>40.477499999999999</v>
      </c>
      <c r="C803" s="1">
        <f>'Historical Simulation'!D803</f>
        <v>172.09</v>
      </c>
      <c r="D803" s="22">
        <f t="shared" si="58"/>
        <v>915.96877579829766</v>
      </c>
      <c r="E803" s="23">
        <f t="shared" si="59"/>
        <v>9.3535028649641845</v>
      </c>
      <c r="F803" s="23">
        <f t="shared" si="60"/>
        <v>-9.3535028649641845</v>
      </c>
    </row>
    <row r="804" spans="1:6" x14ac:dyDescent="0.3">
      <c r="A804" s="2">
        <v>42983</v>
      </c>
      <c r="B804" s="1">
        <v>40.520000000000003</v>
      </c>
      <c r="C804" s="1">
        <f>'Historical Simulation'!D804</f>
        <v>170.72</v>
      </c>
      <c r="D804" s="22">
        <f t="shared" si="58"/>
        <v>906.61527293333347</v>
      </c>
      <c r="E804" s="23">
        <f t="shared" si="59"/>
        <v>-5.8640202219174853</v>
      </c>
      <c r="F804" s="23">
        <f t="shared" si="60"/>
        <v>5.8640202219174853</v>
      </c>
    </row>
    <row r="805" spans="1:6" x14ac:dyDescent="0.3">
      <c r="A805" s="2">
        <v>42982</v>
      </c>
      <c r="B805" s="1">
        <v>41.012500000000003</v>
      </c>
      <c r="C805" s="1">
        <f>'Historical Simulation'!D805</f>
        <v>172.02</v>
      </c>
      <c r="D805" s="22">
        <f t="shared" si="58"/>
        <v>912.47929315525096</v>
      </c>
      <c r="E805" s="23">
        <f t="shared" si="59"/>
        <v>0</v>
      </c>
      <c r="F805" s="23">
        <f t="shared" si="60"/>
        <v>0</v>
      </c>
    </row>
    <row r="806" spans="1:6" x14ac:dyDescent="0.3">
      <c r="A806" s="2">
        <v>42979</v>
      </c>
      <c r="B806" s="1">
        <v>41.012500000000003</v>
      </c>
      <c r="C806" s="1">
        <f>'Historical Simulation'!D806</f>
        <v>172.02</v>
      </c>
      <c r="D806" s="22">
        <f t="shared" si="58"/>
        <v>912.47929315525096</v>
      </c>
      <c r="E806" s="23">
        <f t="shared" si="59"/>
        <v>0.26195140349466328</v>
      </c>
      <c r="F806" s="23">
        <f t="shared" si="60"/>
        <v>-0.26195140349466328</v>
      </c>
    </row>
    <row r="807" spans="1:6" x14ac:dyDescent="0.3">
      <c r="A807" s="2">
        <v>42978</v>
      </c>
      <c r="B807" s="1">
        <v>41</v>
      </c>
      <c r="C807" s="1">
        <f>'Historical Simulation'!D807</f>
        <v>171.97</v>
      </c>
      <c r="D807" s="22">
        <f t="shared" si="58"/>
        <v>912.21734175175629</v>
      </c>
      <c r="E807" s="23">
        <f t="shared" si="59"/>
        <v>12.718220642562756</v>
      </c>
      <c r="F807" s="23">
        <f t="shared" si="60"/>
        <v>-12.718220642562756</v>
      </c>
    </row>
    <row r="808" spans="1:6" x14ac:dyDescent="0.3">
      <c r="A808" s="2">
        <v>42977</v>
      </c>
      <c r="B808" s="1">
        <v>40.837499999999999</v>
      </c>
      <c r="C808" s="1">
        <f>'Historical Simulation'!D808</f>
        <v>169.92</v>
      </c>
      <c r="D808" s="22">
        <f t="shared" si="58"/>
        <v>899.49912110919354</v>
      </c>
      <c r="E808" s="23">
        <f t="shared" si="59"/>
        <v>11.817585870680773</v>
      </c>
      <c r="F808" s="23">
        <f t="shared" si="60"/>
        <v>-11.817585870680773</v>
      </c>
    </row>
    <row r="809" spans="1:6" x14ac:dyDescent="0.3">
      <c r="A809" s="2">
        <v>42976</v>
      </c>
      <c r="B809" s="1">
        <v>40.727499999999999</v>
      </c>
      <c r="C809" s="1">
        <f>'Historical Simulation'!D809</f>
        <v>168.05</v>
      </c>
      <c r="D809" s="22">
        <f t="shared" si="58"/>
        <v>887.68153523851277</v>
      </c>
      <c r="E809" s="23">
        <f t="shared" si="59"/>
        <v>3.353416841935541</v>
      </c>
      <c r="F809" s="23">
        <f t="shared" si="60"/>
        <v>-3.353416841935541</v>
      </c>
    </row>
    <row r="810" spans="1:6" x14ac:dyDescent="0.3">
      <c r="A810" s="2">
        <v>42975</v>
      </c>
      <c r="B810" s="1">
        <v>40.3675</v>
      </c>
      <c r="C810" s="1">
        <f>'Historical Simulation'!D810</f>
        <v>167.24</v>
      </c>
      <c r="D810" s="22">
        <f t="shared" si="58"/>
        <v>884.32811839657722</v>
      </c>
      <c r="E810" s="23">
        <f t="shared" si="59"/>
        <v>3.8449293682259622</v>
      </c>
      <c r="F810" s="23">
        <f t="shared" si="60"/>
        <v>-3.8449293682259622</v>
      </c>
    </row>
    <row r="811" spans="1:6" x14ac:dyDescent="0.3">
      <c r="A811" s="2">
        <v>42972</v>
      </c>
      <c r="B811" s="1">
        <v>39.965000000000003</v>
      </c>
      <c r="C811" s="1">
        <f>'Historical Simulation'!D811</f>
        <v>166.32</v>
      </c>
      <c r="D811" s="22">
        <f t="shared" si="58"/>
        <v>880.48318902835126</v>
      </c>
      <c r="E811" s="23">
        <f t="shared" si="59"/>
        <v>-10.27956866607542</v>
      </c>
      <c r="F811" s="23">
        <f t="shared" si="60"/>
        <v>10.27956866607542</v>
      </c>
    </row>
    <row r="812" spans="1:6" x14ac:dyDescent="0.3">
      <c r="A812" s="2">
        <v>42971</v>
      </c>
      <c r="B812" s="1">
        <v>39.817500000000003</v>
      </c>
      <c r="C812" s="1">
        <f>'Historical Simulation'!D812</f>
        <v>167.74</v>
      </c>
      <c r="D812" s="22">
        <f t="shared" si="58"/>
        <v>890.76275769442668</v>
      </c>
      <c r="E812" s="23">
        <f t="shared" si="59"/>
        <v>-5.4492396605198792</v>
      </c>
      <c r="F812" s="23">
        <f t="shared" si="60"/>
        <v>5.4492396605198792</v>
      </c>
    </row>
    <row r="813" spans="1:6" x14ac:dyDescent="0.3">
      <c r="A813" s="2">
        <v>42970</v>
      </c>
      <c r="B813" s="1">
        <v>39.994999999999997</v>
      </c>
      <c r="C813" s="1">
        <f>'Historical Simulation'!D813</f>
        <v>168.71</v>
      </c>
      <c r="D813" s="22">
        <f t="shared" si="58"/>
        <v>896.21199735494656</v>
      </c>
      <c r="E813" s="23">
        <f t="shared" si="59"/>
        <v>-6.4689966779924362</v>
      </c>
      <c r="F813" s="23">
        <f t="shared" si="60"/>
        <v>6.4689966779924362</v>
      </c>
    </row>
    <row r="814" spans="1:6" x14ac:dyDescent="0.3">
      <c r="A814" s="2">
        <v>42969</v>
      </c>
      <c r="B814" s="1">
        <v>39.945</v>
      </c>
      <c r="C814" s="1">
        <f>'Historical Simulation'!D814</f>
        <v>169.64</v>
      </c>
      <c r="D814" s="22">
        <f t="shared" si="58"/>
        <v>902.680994032939</v>
      </c>
      <c r="E814" s="23">
        <f t="shared" si="59"/>
        <v>8.7413555667919809</v>
      </c>
      <c r="F814" s="23">
        <f t="shared" si="60"/>
        <v>-8.7413555667919809</v>
      </c>
    </row>
    <row r="815" spans="1:6" x14ac:dyDescent="0.3">
      <c r="A815" s="2">
        <v>42968</v>
      </c>
      <c r="B815" s="1">
        <v>39.302500000000002</v>
      </c>
      <c r="C815" s="1">
        <f>'Historical Simulation'!D815</f>
        <v>167.78</v>
      </c>
      <c r="D815" s="22">
        <f t="shared" si="58"/>
        <v>893.93963846614702</v>
      </c>
      <c r="E815" s="23">
        <f t="shared" si="59"/>
        <v>2.8710265612364765</v>
      </c>
      <c r="F815" s="23">
        <f t="shared" si="60"/>
        <v>-2.8710265612364765</v>
      </c>
    </row>
    <row r="816" spans="1:6" x14ac:dyDescent="0.3">
      <c r="A816" s="2">
        <v>42965</v>
      </c>
      <c r="B816" s="1">
        <v>39.375</v>
      </c>
      <c r="C816" s="1">
        <f>'Historical Simulation'!D816</f>
        <v>167.41</v>
      </c>
      <c r="D816" s="22">
        <f t="shared" si="58"/>
        <v>891.06861190491054</v>
      </c>
      <c r="E816" s="23">
        <f t="shared" si="59"/>
        <v>3.8347020816488566</v>
      </c>
      <c r="F816" s="23">
        <f t="shared" si="60"/>
        <v>-3.8347020816488566</v>
      </c>
    </row>
    <row r="817" spans="1:6" x14ac:dyDescent="0.3">
      <c r="A817" s="2">
        <v>42964</v>
      </c>
      <c r="B817" s="1">
        <v>39.465000000000003</v>
      </c>
      <c r="C817" s="1">
        <f>'Historical Simulation'!D817</f>
        <v>166.91</v>
      </c>
      <c r="D817" s="22">
        <f t="shared" si="58"/>
        <v>887.23390982326168</v>
      </c>
      <c r="E817" s="23">
        <f t="shared" si="59"/>
        <v>-16.188596735967849</v>
      </c>
      <c r="F817" s="23">
        <f t="shared" si="60"/>
        <v>16.188596735967849</v>
      </c>
    </row>
    <row r="818" spans="1:6" x14ac:dyDescent="0.3">
      <c r="A818" s="2">
        <v>42963</v>
      </c>
      <c r="B818" s="1">
        <v>40.237499999999997</v>
      </c>
      <c r="C818" s="1">
        <f>'Historical Simulation'!D818</f>
        <v>170</v>
      </c>
      <c r="D818" s="22">
        <f t="shared" si="58"/>
        <v>903.42250655922953</v>
      </c>
      <c r="E818" s="23">
        <f t="shared" si="59"/>
        <v>-5.7335813447132296</v>
      </c>
      <c r="F818" s="23">
        <f t="shared" si="60"/>
        <v>5.7335813447132296</v>
      </c>
    </row>
    <row r="819" spans="1:6" x14ac:dyDescent="0.3">
      <c r="A819" s="2">
        <v>42962</v>
      </c>
      <c r="B819" s="1">
        <v>40.4</v>
      </c>
      <c r="C819" s="1">
        <f>'Historical Simulation'!D819</f>
        <v>171</v>
      </c>
      <c r="D819" s="22">
        <f t="shared" si="58"/>
        <v>909.15608790394276</v>
      </c>
      <c r="E819" s="23">
        <f t="shared" si="59"/>
        <v>-0.80975701747320272</v>
      </c>
      <c r="F819" s="23">
        <f t="shared" si="60"/>
        <v>0.80975701747320272</v>
      </c>
    </row>
    <row r="820" spans="1:6" x14ac:dyDescent="0.3">
      <c r="A820" s="2">
        <v>42961</v>
      </c>
      <c r="B820" s="1">
        <v>39.962499999999999</v>
      </c>
      <c r="C820" s="1">
        <f>'Historical Simulation'!D820</f>
        <v>170.75</v>
      </c>
      <c r="D820" s="22">
        <f t="shared" si="58"/>
        <v>909.96584492141596</v>
      </c>
      <c r="E820" s="23">
        <f t="shared" si="59"/>
        <v>14.412107753602072</v>
      </c>
      <c r="F820" s="23">
        <f t="shared" si="60"/>
        <v>-14.412107753602072</v>
      </c>
    </row>
    <row r="821" spans="1:6" x14ac:dyDescent="0.3">
      <c r="A821" s="2">
        <v>42958</v>
      </c>
      <c r="B821" s="1">
        <v>39.369999999999997</v>
      </c>
      <c r="C821" s="1">
        <f>'Historical Simulation'!D821</f>
        <v>168.08</v>
      </c>
      <c r="D821" s="22">
        <f t="shared" si="58"/>
        <v>895.55373716781389</v>
      </c>
      <c r="E821" s="23">
        <f t="shared" si="59"/>
        <v>1.4712852397133247</v>
      </c>
      <c r="F821" s="23">
        <f t="shared" si="60"/>
        <v>-1.4712852397133247</v>
      </c>
    </row>
    <row r="822" spans="1:6" x14ac:dyDescent="0.3">
      <c r="A822" s="2">
        <v>42957</v>
      </c>
      <c r="B822" s="1">
        <v>38.83</v>
      </c>
      <c r="C822" s="1">
        <f>'Historical Simulation'!D822</f>
        <v>167.4</v>
      </c>
      <c r="D822" s="22">
        <f t="shared" si="58"/>
        <v>894.08245192810057</v>
      </c>
      <c r="E822" s="23">
        <f t="shared" si="59"/>
        <v>-17.034027765197038</v>
      </c>
      <c r="F822" s="23">
        <f t="shared" si="60"/>
        <v>17.034027765197038</v>
      </c>
    </row>
    <row r="823" spans="1:6" x14ac:dyDescent="0.3">
      <c r="A823" s="2">
        <v>42956</v>
      </c>
      <c r="B823" s="1">
        <v>40.265000000000001</v>
      </c>
      <c r="C823" s="1">
        <f>'Historical Simulation'!D823</f>
        <v>171.18</v>
      </c>
      <c r="D823" s="22">
        <f t="shared" si="58"/>
        <v>911.11647969329761</v>
      </c>
      <c r="E823" s="23">
        <f t="shared" si="59"/>
        <v>-1.7173510408242691</v>
      </c>
      <c r="F823" s="23">
        <f t="shared" si="60"/>
        <v>1.7173510408242691</v>
      </c>
    </row>
    <row r="824" spans="1:6" x14ac:dyDescent="0.3">
      <c r="A824" s="2">
        <v>42955</v>
      </c>
      <c r="B824" s="1">
        <v>40.020000000000003</v>
      </c>
      <c r="C824" s="1">
        <f>'Historical Simulation'!D824</f>
        <v>171.23</v>
      </c>
      <c r="D824" s="22">
        <f t="shared" si="58"/>
        <v>912.83383073412188</v>
      </c>
      <c r="E824" s="23">
        <f t="shared" si="59"/>
        <v>-6.7835499528137007</v>
      </c>
      <c r="F824" s="23">
        <f t="shared" si="60"/>
        <v>6.7835499528137007</v>
      </c>
    </row>
    <row r="825" spans="1:6" x14ac:dyDescent="0.3">
      <c r="A825" s="2">
        <v>42954</v>
      </c>
      <c r="B825" s="1">
        <v>39.702500000000001</v>
      </c>
      <c r="C825" s="1">
        <f>'Historical Simulation'!D825</f>
        <v>171.98</v>
      </c>
      <c r="D825" s="22">
        <f t="shared" si="58"/>
        <v>919.61738068693558</v>
      </c>
      <c r="E825" s="23">
        <f t="shared" si="59"/>
        <v>12.279325683548223</v>
      </c>
      <c r="F825" s="23">
        <f t="shared" si="60"/>
        <v>-12.279325683548223</v>
      </c>
    </row>
    <row r="826" spans="1:6" x14ac:dyDescent="0.3">
      <c r="A826" s="2">
        <v>42951</v>
      </c>
      <c r="B826" s="1">
        <v>39.097499999999997</v>
      </c>
      <c r="C826" s="1">
        <f>'Historical Simulation'!D826</f>
        <v>169.62</v>
      </c>
      <c r="D826" s="22">
        <f t="shared" si="58"/>
        <v>907.33805500338735</v>
      </c>
      <c r="E826" s="23">
        <f t="shared" si="59"/>
        <v>5.6929308768817464</v>
      </c>
      <c r="F826" s="23">
        <f t="shared" si="60"/>
        <v>-5.6929308768817464</v>
      </c>
    </row>
    <row r="827" spans="1:6" x14ac:dyDescent="0.3">
      <c r="A827" s="2">
        <v>42950</v>
      </c>
      <c r="B827" s="1">
        <v>38.892499999999998</v>
      </c>
      <c r="C827" s="1">
        <f>'Historical Simulation'!D827</f>
        <v>168.59</v>
      </c>
      <c r="D827" s="22">
        <f t="shared" si="58"/>
        <v>901.64512412650561</v>
      </c>
      <c r="E827" s="23">
        <f t="shared" si="59"/>
        <v>-2.5045218829212672</v>
      </c>
      <c r="F827" s="23">
        <f t="shared" si="60"/>
        <v>2.5045218829212672</v>
      </c>
    </row>
    <row r="828" spans="1:6" x14ac:dyDescent="0.3">
      <c r="A828" s="2">
        <v>42949</v>
      </c>
      <c r="B828" s="1">
        <v>39.284999999999997</v>
      </c>
      <c r="C828" s="1">
        <f>'Historical Simulation'!D828</f>
        <v>169.3</v>
      </c>
      <c r="D828" s="22">
        <f t="shared" si="58"/>
        <v>904.14964600942687</v>
      </c>
      <c r="E828" s="23">
        <f t="shared" si="59"/>
        <v>-13.743377297365441</v>
      </c>
      <c r="F828" s="23">
        <f t="shared" si="60"/>
        <v>13.743377297365441</v>
      </c>
    </row>
    <row r="829" spans="1:6" x14ac:dyDescent="0.3">
      <c r="A829" s="2">
        <v>42948</v>
      </c>
      <c r="B829" s="1">
        <v>37.512500000000003</v>
      </c>
      <c r="C829" s="1">
        <f>'Historical Simulation'!D829</f>
        <v>169.86</v>
      </c>
      <c r="D829" s="22">
        <f t="shared" si="58"/>
        <v>917.89302330679232</v>
      </c>
      <c r="E829" s="23">
        <f t="shared" si="59"/>
        <v>2.1925704794266494</v>
      </c>
      <c r="F829" s="23">
        <f t="shared" si="60"/>
        <v>-2.1925704794266494</v>
      </c>
    </row>
    <row r="830" spans="1:6" x14ac:dyDescent="0.3">
      <c r="A830" s="2">
        <v>42947</v>
      </c>
      <c r="B830" s="1">
        <v>37.182499999999997</v>
      </c>
      <c r="C830" s="1">
        <f>'Historical Simulation'!D830</f>
        <v>169.25</v>
      </c>
      <c r="D830" s="22">
        <f t="shared" si="58"/>
        <v>915.70045282736567</v>
      </c>
      <c r="E830" s="23">
        <f t="shared" si="59"/>
        <v>-20.198502560268821</v>
      </c>
      <c r="F830" s="23">
        <f t="shared" si="60"/>
        <v>20.198502560268821</v>
      </c>
    </row>
    <row r="831" spans="1:6" x14ac:dyDescent="0.3">
      <c r="A831" s="2">
        <v>42944</v>
      </c>
      <c r="B831" s="1">
        <v>37.375</v>
      </c>
      <c r="C831" s="1">
        <f>'Historical Simulation'!D831</f>
        <v>172.45</v>
      </c>
      <c r="D831" s="22">
        <f t="shared" si="58"/>
        <v>935.89895538763449</v>
      </c>
      <c r="E831" s="23">
        <f t="shared" si="59"/>
        <v>14.868385145340426</v>
      </c>
      <c r="F831" s="23">
        <f t="shared" si="60"/>
        <v>-14.868385145340426</v>
      </c>
    </row>
    <row r="832" spans="1:6" x14ac:dyDescent="0.3">
      <c r="A832" s="2">
        <v>42943</v>
      </c>
      <c r="B832" s="1">
        <v>37.64</v>
      </c>
      <c r="C832" s="1">
        <f>'Historical Simulation'!D832</f>
        <v>170.44</v>
      </c>
      <c r="D832" s="22">
        <f t="shared" si="58"/>
        <v>921.03057024229406</v>
      </c>
      <c r="E832" s="23">
        <f t="shared" si="59"/>
        <v>36.227067904336991</v>
      </c>
      <c r="F832" s="23">
        <f t="shared" si="60"/>
        <v>-36.227067904336991</v>
      </c>
    </row>
    <row r="833" spans="1:6" x14ac:dyDescent="0.3">
      <c r="A833" s="2">
        <v>42942</v>
      </c>
      <c r="B833" s="1">
        <v>38.365000000000002</v>
      </c>
      <c r="C833" s="1">
        <f>'Historical Simulation'!D833</f>
        <v>165.61</v>
      </c>
      <c r="D833" s="22">
        <f t="shared" si="58"/>
        <v>884.80350233795707</v>
      </c>
      <c r="E833" s="23">
        <f t="shared" si="59"/>
        <v>1.1778056139785349</v>
      </c>
      <c r="F833" s="23">
        <f t="shared" si="60"/>
        <v>-1.1778056139785349</v>
      </c>
    </row>
    <row r="834" spans="1:6" x14ac:dyDescent="0.3">
      <c r="A834" s="2">
        <v>42941</v>
      </c>
      <c r="B834" s="1">
        <v>38.185000000000002</v>
      </c>
      <c r="C834" s="1">
        <f>'Historical Simulation'!D834</f>
        <v>165.28</v>
      </c>
      <c r="D834" s="22">
        <f t="shared" si="58"/>
        <v>883.62569672397854</v>
      </c>
      <c r="E834" s="23">
        <f t="shared" si="59"/>
        <v>-5.7079230289068619</v>
      </c>
      <c r="F834" s="23">
        <f t="shared" si="60"/>
        <v>5.7079230289068619</v>
      </c>
    </row>
    <row r="835" spans="1:6" x14ac:dyDescent="0.3">
      <c r="A835" s="2">
        <v>42940</v>
      </c>
      <c r="B835" s="1">
        <v>38.022500000000001</v>
      </c>
      <c r="C835" s="1">
        <f>'Historical Simulation'!D835</f>
        <v>166</v>
      </c>
      <c r="D835" s="22">
        <f t="shared" si="58"/>
        <v>889.3336197528854</v>
      </c>
      <c r="E835" s="23">
        <f t="shared" si="59"/>
        <v>7.872021730573465</v>
      </c>
      <c r="F835" s="23">
        <f t="shared" si="60"/>
        <v>-7.872021730573465</v>
      </c>
    </row>
    <row r="836" spans="1:6" x14ac:dyDescent="0.3">
      <c r="A836" s="2">
        <v>42937</v>
      </c>
      <c r="B836" s="1">
        <v>37.567500000000003</v>
      </c>
      <c r="C836" s="1">
        <f>'Historical Simulation'!D836</f>
        <v>164.43</v>
      </c>
      <c r="D836" s="22">
        <f t="shared" si="58"/>
        <v>881.46159802231193</v>
      </c>
      <c r="E836" s="23">
        <f t="shared" si="59"/>
        <v>-0.56629308768833653</v>
      </c>
      <c r="F836" s="23">
        <f t="shared" si="60"/>
        <v>0.56629308768833653</v>
      </c>
    </row>
    <row r="837" spans="1:6" x14ac:dyDescent="0.3">
      <c r="A837" s="2">
        <v>42936</v>
      </c>
      <c r="B837" s="1">
        <v>37.585000000000001</v>
      </c>
      <c r="C837" s="1">
        <f>'Historical Simulation'!D837</f>
        <v>164.53</v>
      </c>
      <c r="D837" s="22">
        <f t="shared" si="58"/>
        <v>882.02789111000027</v>
      </c>
      <c r="E837" s="23">
        <f t="shared" si="59"/>
        <v>3.5551409588532579</v>
      </c>
      <c r="F837" s="23">
        <f t="shared" si="60"/>
        <v>-3.5551409588532579</v>
      </c>
    </row>
    <row r="838" spans="1:6" x14ac:dyDescent="0.3">
      <c r="A838" s="2">
        <v>42935</v>
      </c>
      <c r="B838" s="1">
        <v>37.755000000000003</v>
      </c>
      <c r="C838" s="1">
        <f>'Historical Simulation'!D838</f>
        <v>164.14</v>
      </c>
      <c r="D838" s="22">
        <f t="shared" ref="D838:D901" si="61">$M$16*B838+(1-$M$16)*C838</f>
        <v>878.47275015114701</v>
      </c>
      <c r="E838" s="23">
        <f t="shared" ref="E838:E901" si="62">D838-D839</f>
        <v>7.1863791107166435</v>
      </c>
      <c r="F838" s="23">
        <f t="shared" ref="F838:F901" si="63">-E838</f>
        <v>-7.1863791107166435</v>
      </c>
    </row>
    <row r="839" spans="1:6" x14ac:dyDescent="0.3">
      <c r="A839" s="2">
        <v>42934</v>
      </c>
      <c r="B839" s="1">
        <v>37.520000000000003</v>
      </c>
      <c r="C839" s="1">
        <f>'Historical Simulation'!D839</f>
        <v>162.86000000000001</v>
      </c>
      <c r="D839" s="22">
        <f t="shared" si="61"/>
        <v>871.28637104043037</v>
      </c>
      <c r="E839" s="23">
        <f t="shared" si="62"/>
        <v>20.086112279570102</v>
      </c>
      <c r="F839" s="23">
        <f t="shared" si="63"/>
        <v>-20.086112279570102</v>
      </c>
    </row>
    <row r="840" spans="1:6" x14ac:dyDescent="0.3">
      <c r="A840" s="2">
        <v>42933</v>
      </c>
      <c r="B840" s="1">
        <v>37.39</v>
      </c>
      <c r="C840" s="1">
        <f>'Historical Simulation'!D840</f>
        <v>159.72999999999999</v>
      </c>
      <c r="D840" s="22">
        <f t="shared" si="61"/>
        <v>851.20025876086027</v>
      </c>
      <c r="E840" s="23">
        <f t="shared" si="62"/>
        <v>-2.3312538478136275</v>
      </c>
      <c r="F840" s="23">
        <f t="shared" si="63"/>
        <v>2.3312538478136275</v>
      </c>
    </row>
    <row r="841" spans="1:6" x14ac:dyDescent="0.3">
      <c r="A841" s="2">
        <v>42930</v>
      </c>
      <c r="B841" s="1">
        <v>37.26</v>
      </c>
      <c r="C841" s="1">
        <f>'Historical Simulation'!D841</f>
        <v>159.97</v>
      </c>
      <c r="D841" s="22">
        <f t="shared" si="61"/>
        <v>853.53151260867389</v>
      </c>
      <c r="E841" s="23">
        <f t="shared" si="62"/>
        <v>2.9284246899103437</v>
      </c>
      <c r="F841" s="23">
        <f t="shared" si="63"/>
        <v>-2.9284246899103437</v>
      </c>
    </row>
    <row r="842" spans="1:6" x14ac:dyDescent="0.3">
      <c r="A842" s="2">
        <v>42929</v>
      </c>
      <c r="B842" s="1">
        <v>36.942500000000003</v>
      </c>
      <c r="C842" s="1">
        <f>'Historical Simulation'!D842</f>
        <v>159.26</v>
      </c>
      <c r="D842" s="22">
        <f t="shared" si="61"/>
        <v>850.60308791876355</v>
      </c>
      <c r="E842" s="23">
        <f t="shared" si="62"/>
        <v>-0.47367552041214367</v>
      </c>
      <c r="F842" s="23">
        <f t="shared" si="63"/>
        <v>0.47367552041214367</v>
      </c>
    </row>
    <row r="843" spans="1:6" x14ac:dyDescent="0.3">
      <c r="A843" s="2">
        <v>42928</v>
      </c>
      <c r="B843" s="1">
        <v>36.435000000000002</v>
      </c>
      <c r="C843" s="1">
        <f>'Historical Simulation'!D843</f>
        <v>158.9</v>
      </c>
      <c r="D843" s="22">
        <f t="shared" si="61"/>
        <v>851.07676343917569</v>
      </c>
      <c r="E843" s="23">
        <f t="shared" si="62"/>
        <v>23.850163893386934</v>
      </c>
      <c r="F843" s="23">
        <f t="shared" si="63"/>
        <v>-23.850163893386934</v>
      </c>
    </row>
    <row r="844" spans="1:6" x14ac:dyDescent="0.3">
      <c r="A844" s="2">
        <v>42927</v>
      </c>
      <c r="B844" s="1">
        <v>36.3825</v>
      </c>
      <c r="C844" s="1">
        <f>'Historical Simulation'!D844</f>
        <v>155.27000000000001</v>
      </c>
      <c r="D844" s="22">
        <f t="shared" si="61"/>
        <v>827.22659954578876</v>
      </c>
      <c r="E844" s="23">
        <f t="shared" si="62"/>
        <v>11.109991847329866</v>
      </c>
      <c r="F844" s="23">
        <f t="shared" si="63"/>
        <v>-11.109991847329866</v>
      </c>
    </row>
    <row r="845" spans="1:6" x14ac:dyDescent="0.3">
      <c r="A845" s="2">
        <v>42926</v>
      </c>
      <c r="B845" s="1">
        <v>36.265000000000001</v>
      </c>
      <c r="C845" s="1">
        <f>'Historical Simulation'!D845</f>
        <v>153.5</v>
      </c>
      <c r="D845" s="22">
        <f t="shared" si="61"/>
        <v>816.11660769845889</v>
      </c>
      <c r="E845" s="23">
        <f t="shared" si="62"/>
        <v>12.459748864802918</v>
      </c>
      <c r="F845" s="23">
        <f t="shared" si="63"/>
        <v>-12.459748864802918</v>
      </c>
    </row>
    <row r="846" spans="1:6" x14ac:dyDescent="0.3">
      <c r="A846" s="2">
        <v>42923</v>
      </c>
      <c r="B846" s="1">
        <v>36.045000000000002</v>
      </c>
      <c r="C846" s="1">
        <f>'Historical Simulation'!D846</f>
        <v>151.44</v>
      </c>
      <c r="D846" s="22">
        <f t="shared" si="61"/>
        <v>803.65685883365597</v>
      </c>
      <c r="E846" s="23">
        <f t="shared" si="62"/>
        <v>15.37947449037631</v>
      </c>
      <c r="F846" s="23">
        <f t="shared" si="63"/>
        <v>-15.37947449037631</v>
      </c>
    </row>
    <row r="847" spans="1:6" x14ac:dyDescent="0.3">
      <c r="A847" s="2">
        <v>42922</v>
      </c>
      <c r="B847" s="1">
        <v>35.682499999999997</v>
      </c>
      <c r="C847" s="1">
        <f>'Historical Simulation'!D847</f>
        <v>148.82</v>
      </c>
      <c r="D847" s="22">
        <f t="shared" si="61"/>
        <v>788.27738434327966</v>
      </c>
      <c r="E847" s="23">
        <f t="shared" si="62"/>
        <v>-8.1894041632974677</v>
      </c>
      <c r="F847" s="23">
        <f t="shared" si="63"/>
        <v>8.1894041632974677</v>
      </c>
    </row>
    <row r="848" spans="1:6" x14ac:dyDescent="0.3">
      <c r="A848" s="2">
        <v>42921</v>
      </c>
      <c r="B848" s="1">
        <v>36.022500000000001</v>
      </c>
      <c r="C848" s="1">
        <f>'Historical Simulation'!D848</f>
        <v>150.34</v>
      </c>
      <c r="D848" s="22">
        <f t="shared" si="61"/>
        <v>796.46678850657713</v>
      </c>
      <c r="E848" s="23">
        <f t="shared" si="62"/>
        <v>11.871715964247187</v>
      </c>
      <c r="F848" s="23">
        <f t="shared" si="63"/>
        <v>-11.871715964247187</v>
      </c>
    </row>
    <row r="849" spans="1:6" x14ac:dyDescent="0.3">
      <c r="A849" s="2">
        <v>42920</v>
      </c>
      <c r="B849" s="1">
        <v>35.875</v>
      </c>
      <c r="C849" s="1">
        <f>'Historical Simulation'!D849</f>
        <v>148.43</v>
      </c>
      <c r="D849" s="22">
        <f t="shared" si="61"/>
        <v>784.59507254232994</v>
      </c>
      <c r="E849" s="23">
        <f t="shared" si="62"/>
        <v>0</v>
      </c>
      <c r="F849" s="23">
        <f t="shared" si="63"/>
        <v>0</v>
      </c>
    </row>
    <row r="850" spans="1:6" x14ac:dyDescent="0.3">
      <c r="A850" s="2">
        <v>42919</v>
      </c>
      <c r="B850" s="1">
        <v>35.875</v>
      </c>
      <c r="C850" s="1">
        <f>'Historical Simulation'!D850</f>
        <v>148.43</v>
      </c>
      <c r="D850" s="22">
        <f t="shared" si="61"/>
        <v>784.59507254232994</v>
      </c>
      <c r="E850" s="23">
        <f t="shared" si="62"/>
        <v>-16.22793057218621</v>
      </c>
      <c r="F850" s="23">
        <f t="shared" si="63"/>
        <v>16.22793057218621</v>
      </c>
    </row>
    <row r="851" spans="1:6" x14ac:dyDescent="0.3">
      <c r="A851" s="2">
        <v>42916</v>
      </c>
      <c r="B851" s="1">
        <v>36.005000000000003</v>
      </c>
      <c r="C851" s="1">
        <f>'Historical Simulation'!D851</f>
        <v>150.97999999999999</v>
      </c>
      <c r="D851" s="22">
        <f t="shared" si="61"/>
        <v>800.82300311451615</v>
      </c>
      <c r="E851" s="23">
        <f t="shared" si="62"/>
        <v>-0.87954542684587977</v>
      </c>
      <c r="F851" s="23">
        <f t="shared" si="63"/>
        <v>0.87954542684587977</v>
      </c>
    </row>
    <row r="852" spans="1:6" x14ac:dyDescent="0.3">
      <c r="A852" s="2">
        <v>42915</v>
      </c>
      <c r="B852" s="1">
        <v>35.92</v>
      </c>
      <c r="C852" s="1">
        <f>'Historical Simulation'!D852</f>
        <v>151.04</v>
      </c>
      <c r="D852" s="22">
        <f t="shared" si="61"/>
        <v>801.70254854136203</v>
      </c>
      <c r="E852" s="23">
        <f t="shared" si="62"/>
        <v>-11.596512221595162</v>
      </c>
      <c r="F852" s="23">
        <f t="shared" si="63"/>
        <v>11.596512221595162</v>
      </c>
    </row>
    <row r="853" spans="1:6" x14ac:dyDescent="0.3">
      <c r="A853" s="2">
        <v>42914</v>
      </c>
      <c r="B853" s="1">
        <v>36.457500000000003</v>
      </c>
      <c r="C853" s="1">
        <f>'Historical Simulation'!D853</f>
        <v>153.24</v>
      </c>
      <c r="D853" s="22">
        <f t="shared" si="61"/>
        <v>813.2990607629572</v>
      </c>
      <c r="E853" s="23">
        <f t="shared" si="62"/>
        <v>14.727099905627256</v>
      </c>
      <c r="F853" s="23">
        <f t="shared" si="63"/>
        <v>-14.727099905627256</v>
      </c>
    </row>
    <row r="854" spans="1:6" x14ac:dyDescent="0.3">
      <c r="A854" s="2">
        <v>42913</v>
      </c>
      <c r="B854" s="1">
        <v>35.932499999999997</v>
      </c>
      <c r="C854" s="1">
        <f>'Historical Simulation'!D854</f>
        <v>150.58000000000001</v>
      </c>
      <c r="D854" s="22">
        <f t="shared" si="61"/>
        <v>798.57196085732994</v>
      </c>
      <c r="E854" s="23">
        <f t="shared" si="62"/>
        <v>-17.069443098476654</v>
      </c>
      <c r="F854" s="23">
        <f t="shared" si="63"/>
        <v>17.069443098476654</v>
      </c>
    </row>
    <row r="855" spans="1:6" x14ac:dyDescent="0.3">
      <c r="A855" s="2">
        <v>42912</v>
      </c>
      <c r="B855" s="1">
        <v>36.454999999999998</v>
      </c>
      <c r="C855" s="1">
        <f>'Historical Simulation'!D855</f>
        <v>153.59</v>
      </c>
      <c r="D855" s="22">
        <f t="shared" si="61"/>
        <v>815.6414039558066</v>
      </c>
      <c r="E855" s="23">
        <f t="shared" si="62"/>
        <v>-9.1950310872041428</v>
      </c>
      <c r="F855" s="23">
        <f t="shared" si="63"/>
        <v>9.1950310872041428</v>
      </c>
    </row>
    <row r="856" spans="1:6" x14ac:dyDescent="0.3">
      <c r="A856" s="2">
        <v>42909</v>
      </c>
      <c r="B856" s="1">
        <v>36.57</v>
      </c>
      <c r="C856" s="1">
        <f>'Historical Simulation'!D856</f>
        <v>155.07</v>
      </c>
      <c r="D856" s="22">
        <f t="shared" si="61"/>
        <v>824.83643504301074</v>
      </c>
      <c r="E856" s="23">
        <f t="shared" si="62"/>
        <v>10.190446420483681</v>
      </c>
      <c r="F856" s="23">
        <f t="shared" si="63"/>
        <v>-10.190446420483681</v>
      </c>
    </row>
    <row r="857" spans="1:6" x14ac:dyDescent="0.3">
      <c r="A857" s="2">
        <v>42908</v>
      </c>
      <c r="B857" s="1">
        <v>36.407499999999999</v>
      </c>
      <c r="C857" s="1">
        <f>'Historical Simulation'!D857</f>
        <v>153.4</v>
      </c>
      <c r="D857" s="22">
        <f t="shared" si="61"/>
        <v>814.64598862252706</v>
      </c>
      <c r="E857" s="23">
        <f t="shared" si="62"/>
        <v>-3.0534168419353591</v>
      </c>
      <c r="F857" s="23">
        <f t="shared" si="63"/>
        <v>3.0534168419353591</v>
      </c>
    </row>
    <row r="858" spans="1:6" x14ac:dyDescent="0.3">
      <c r="A858" s="2">
        <v>42907</v>
      </c>
      <c r="B858" s="1">
        <v>36.467500000000001</v>
      </c>
      <c r="C858" s="1">
        <f>'Historical Simulation'!D858</f>
        <v>153.91</v>
      </c>
      <c r="D858" s="22">
        <f t="shared" si="61"/>
        <v>817.69940546446242</v>
      </c>
      <c r="E858" s="23">
        <f t="shared" si="62"/>
        <v>9.8271940813260699</v>
      </c>
      <c r="F858" s="23">
        <f t="shared" si="63"/>
        <v>-9.8271940813260699</v>
      </c>
    </row>
    <row r="859" spans="1:6" x14ac:dyDescent="0.3">
      <c r="A859" s="2">
        <v>42906</v>
      </c>
      <c r="B859" s="1">
        <v>36.252499999999998</v>
      </c>
      <c r="C859" s="1">
        <f>'Historical Simulation'!D859</f>
        <v>152.25</v>
      </c>
      <c r="D859" s="22">
        <f t="shared" si="61"/>
        <v>807.87221138313635</v>
      </c>
      <c r="E859" s="23">
        <f t="shared" si="62"/>
        <v>-2.2449607601254229</v>
      </c>
      <c r="F859" s="23">
        <f t="shared" si="63"/>
        <v>2.2449607601254229</v>
      </c>
    </row>
    <row r="860" spans="1:6" x14ac:dyDescent="0.3">
      <c r="A860" s="2">
        <v>42905</v>
      </c>
      <c r="B860" s="1">
        <v>36.585000000000001</v>
      </c>
      <c r="C860" s="1">
        <f>'Historical Simulation'!D860</f>
        <v>152.87</v>
      </c>
      <c r="D860" s="22">
        <f t="shared" si="61"/>
        <v>810.11717214326177</v>
      </c>
      <c r="E860" s="23">
        <f t="shared" si="62"/>
        <v>9.0830953796596532</v>
      </c>
      <c r="F860" s="23">
        <f t="shared" si="63"/>
        <v>-9.0830953796596532</v>
      </c>
    </row>
    <row r="861" spans="1:6" x14ac:dyDescent="0.3">
      <c r="A861" s="2">
        <v>42902</v>
      </c>
      <c r="B861" s="1">
        <v>35.567500000000003</v>
      </c>
      <c r="C861" s="1">
        <f>'Historical Simulation'!D861</f>
        <v>150.63999999999999</v>
      </c>
      <c r="D861" s="22">
        <f t="shared" si="61"/>
        <v>801.03407676360212</v>
      </c>
      <c r="E861" s="23">
        <f t="shared" si="62"/>
        <v>8.4419903386735768</v>
      </c>
      <c r="F861" s="23">
        <f t="shared" si="63"/>
        <v>-8.4419903386735768</v>
      </c>
    </row>
    <row r="862" spans="1:6" x14ac:dyDescent="0.3">
      <c r="A862" s="2">
        <v>42901</v>
      </c>
      <c r="B862" s="1">
        <v>36.072499999999998</v>
      </c>
      <c r="C862" s="1">
        <f>'Historical Simulation'!D862</f>
        <v>149.80000000000001</v>
      </c>
      <c r="D862" s="22">
        <f t="shared" si="61"/>
        <v>792.59208642492854</v>
      </c>
      <c r="E862" s="23">
        <f t="shared" si="62"/>
        <v>-1.7640987016665122</v>
      </c>
      <c r="F862" s="23">
        <f t="shared" si="63"/>
        <v>1.7640987016665122</v>
      </c>
    </row>
    <row r="863" spans="1:6" x14ac:dyDescent="0.3">
      <c r="A863" s="2">
        <v>42900</v>
      </c>
      <c r="B863" s="1">
        <v>36.29</v>
      </c>
      <c r="C863" s="1">
        <f>'Historical Simulation'!D863</f>
        <v>150.25</v>
      </c>
      <c r="D863" s="22">
        <f t="shared" si="61"/>
        <v>794.35618512659505</v>
      </c>
      <c r="E863" s="23">
        <f t="shared" si="62"/>
        <v>-0.83977271342303084</v>
      </c>
      <c r="F863" s="23">
        <f t="shared" si="63"/>
        <v>0.83977271342303084</v>
      </c>
    </row>
    <row r="864" spans="1:6" x14ac:dyDescent="0.3">
      <c r="A864" s="2">
        <v>42899</v>
      </c>
      <c r="B864" s="1">
        <v>36.647500000000001</v>
      </c>
      <c r="C864" s="1">
        <f>'Historical Simulation'!D864</f>
        <v>150.68</v>
      </c>
      <c r="D864" s="22">
        <f t="shared" si="61"/>
        <v>795.19595784001808</v>
      </c>
      <c r="E864" s="23">
        <f t="shared" si="62"/>
        <v>13.247342888154208</v>
      </c>
      <c r="F864" s="23">
        <f t="shared" si="63"/>
        <v>-13.247342888154208</v>
      </c>
    </row>
    <row r="865" spans="1:6" x14ac:dyDescent="0.3">
      <c r="A865" s="2">
        <v>42898</v>
      </c>
      <c r="B865" s="1">
        <v>36.354999999999997</v>
      </c>
      <c r="C865" s="1">
        <f>'Historical Simulation'!D865</f>
        <v>148.44</v>
      </c>
      <c r="D865" s="22">
        <f t="shared" si="61"/>
        <v>781.94861495186387</v>
      </c>
      <c r="E865" s="23">
        <f t="shared" si="62"/>
        <v>-2.6860501051612573</v>
      </c>
      <c r="F865" s="23">
        <f t="shared" si="63"/>
        <v>2.6860501051612573</v>
      </c>
    </row>
    <row r="866" spans="1:6" x14ac:dyDescent="0.3">
      <c r="A866" s="2">
        <v>42895</v>
      </c>
      <c r="B866" s="1">
        <v>37.244999999999997</v>
      </c>
      <c r="C866" s="1">
        <f>'Historical Simulation'!D866</f>
        <v>149.6</v>
      </c>
      <c r="D866" s="22">
        <f t="shared" si="61"/>
        <v>784.63466505702513</v>
      </c>
      <c r="E866" s="23">
        <f t="shared" si="62"/>
        <v>-25.499725016182879</v>
      </c>
      <c r="F866" s="23">
        <f t="shared" si="63"/>
        <v>25.499725016182879</v>
      </c>
    </row>
    <row r="867" spans="1:6" x14ac:dyDescent="0.3">
      <c r="A867" s="2">
        <v>42894</v>
      </c>
      <c r="B867" s="1">
        <v>38.747500000000002</v>
      </c>
      <c r="C867" s="1">
        <f>'Historical Simulation'!D867</f>
        <v>154.71</v>
      </c>
      <c r="D867" s="22">
        <f t="shared" si="61"/>
        <v>810.13439007320801</v>
      </c>
      <c r="E867" s="23">
        <f t="shared" si="62"/>
        <v>11.113683063691838</v>
      </c>
      <c r="F867" s="23">
        <f t="shared" si="63"/>
        <v>-11.113683063691838</v>
      </c>
    </row>
    <row r="868" spans="1:6" x14ac:dyDescent="0.3">
      <c r="A868" s="2">
        <v>42893</v>
      </c>
      <c r="B868" s="1">
        <v>38.842500000000001</v>
      </c>
      <c r="C868" s="1">
        <f>'Historical Simulation'!D868</f>
        <v>153.12</v>
      </c>
      <c r="D868" s="22">
        <f t="shared" si="61"/>
        <v>799.02070700951617</v>
      </c>
      <c r="E868" s="23">
        <f t="shared" si="62"/>
        <v>0.76216299412180888</v>
      </c>
      <c r="F868" s="23">
        <f t="shared" si="63"/>
        <v>-0.76216299412180888</v>
      </c>
    </row>
    <row r="869" spans="1:6" x14ac:dyDescent="0.3">
      <c r="A869" s="2">
        <v>42892</v>
      </c>
      <c r="B869" s="1">
        <v>38.612499999999997</v>
      </c>
      <c r="C869" s="1">
        <f>'Historical Simulation'!D869</f>
        <v>152.81</v>
      </c>
      <c r="D869" s="22">
        <f t="shared" si="61"/>
        <v>798.25854401539436</v>
      </c>
      <c r="E869" s="23">
        <f t="shared" si="62"/>
        <v>-6.1894355551970648</v>
      </c>
      <c r="F869" s="23">
        <f t="shared" si="63"/>
        <v>6.1894355551970648</v>
      </c>
    </row>
    <row r="870" spans="1:6" x14ac:dyDescent="0.3">
      <c r="A870" s="2">
        <v>42891</v>
      </c>
      <c r="B870" s="1">
        <v>38.482500000000002</v>
      </c>
      <c r="C870" s="1">
        <f>'Historical Simulation'!D870</f>
        <v>153.63</v>
      </c>
      <c r="D870" s="22">
        <f t="shared" si="61"/>
        <v>804.44797957059143</v>
      </c>
      <c r="E870" s="23">
        <f t="shared" si="62"/>
        <v>2.2808149706091854</v>
      </c>
      <c r="F870" s="23">
        <f t="shared" si="63"/>
        <v>-2.2808149706091854</v>
      </c>
    </row>
    <row r="871" spans="1:6" x14ac:dyDescent="0.3">
      <c r="A871" s="2">
        <v>42888</v>
      </c>
      <c r="B871" s="1">
        <v>38.862499999999997</v>
      </c>
      <c r="C871" s="1">
        <f>'Historical Simulation'!D871</f>
        <v>153.61000000000001</v>
      </c>
      <c r="D871" s="22">
        <f t="shared" si="61"/>
        <v>802.16716459998224</v>
      </c>
      <c r="E871" s="23">
        <f t="shared" si="62"/>
        <v>10.62870660761655</v>
      </c>
      <c r="F871" s="23">
        <f t="shared" si="63"/>
        <v>-10.62870660761655</v>
      </c>
    </row>
    <row r="872" spans="1:6" x14ac:dyDescent="0.3">
      <c r="A872" s="2">
        <v>42887</v>
      </c>
      <c r="B872" s="1">
        <v>38.295000000000002</v>
      </c>
      <c r="C872" s="1">
        <f>'Historical Simulation'!D872</f>
        <v>151.53</v>
      </c>
      <c r="D872" s="22">
        <f t="shared" si="61"/>
        <v>791.53845799236569</v>
      </c>
      <c r="E872" s="23">
        <f t="shared" si="62"/>
        <v>-0.12782130992832208</v>
      </c>
      <c r="F872" s="23">
        <f t="shared" si="63"/>
        <v>0.12782130992832208</v>
      </c>
    </row>
    <row r="873" spans="1:6" x14ac:dyDescent="0.3">
      <c r="A873" s="2">
        <v>42886</v>
      </c>
      <c r="B873" s="1">
        <v>38.19</v>
      </c>
      <c r="C873" s="1">
        <f>'Historical Simulation'!D873</f>
        <v>151.46</v>
      </c>
      <c r="D873" s="22">
        <f t="shared" si="61"/>
        <v>791.66627930229401</v>
      </c>
      <c r="E873" s="23">
        <f t="shared" si="62"/>
        <v>-4.834035917867368</v>
      </c>
      <c r="F873" s="23">
        <f t="shared" si="63"/>
        <v>4.834035917867368</v>
      </c>
    </row>
    <row r="874" spans="1:6" x14ac:dyDescent="0.3">
      <c r="A874" s="2">
        <v>42885</v>
      </c>
      <c r="B874" s="1">
        <v>38.417499999999997</v>
      </c>
      <c r="C874" s="1">
        <f>'Historical Simulation'!D874</f>
        <v>152.38</v>
      </c>
      <c r="D874" s="22">
        <f t="shared" si="61"/>
        <v>796.50031522016138</v>
      </c>
      <c r="E874" s="23">
        <f t="shared" si="62"/>
        <v>1.5782287952330307</v>
      </c>
      <c r="F874" s="23">
        <f t="shared" si="63"/>
        <v>-1.5782287952330307</v>
      </c>
    </row>
    <row r="875" spans="1:6" x14ac:dyDescent="0.3">
      <c r="A875" s="2">
        <v>42884</v>
      </c>
      <c r="B875" s="1">
        <v>38.402500000000003</v>
      </c>
      <c r="C875" s="1">
        <f>'Historical Simulation'!D875</f>
        <v>152.13</v>
      </c>
      <c r="D875" s="22">
        <f t="shared" si="61"/>
        <v>794.92208642492835</v>
      </c>
      <c r="E875" s="23">
        <f t="shared" si="62"/>
        <v>0</v>
      </c>
      <c r="F875" s="23">
        <f t="shared" si="63"/>
        <v>0</v>
      </c>
    </row>
    <row r="876" spans="1:6" x14ac:dyDescent="0.3">
      <c r="A876" s="2">
        <v>42881</v>
      </c>
      <c r="B876" s="1">
        <v>38.402500000000003</v>
      </c>
      <c r="C876" s="1">
        <f>'Historical Simulation'!D876</f>
        <v>152.13</v>
      </c>
      <c r="D876" s="22">
        <f t="shared" si="61"/>
        <v>794.92208642492835</v>
      </c>
      <c r="E876" s="23">
        <f t="shared" si="62"/>
        <v>1.4982287952328761</v>
      </c>
      <c r="F876" s="23">
        <f t="shared" si="63"/>
        <v>-1.4982287952328761</v>
      </c>
    </row>
    <row r="877" spans="1:6" x14ac:dyDescent="0.3">
      <c r="A877" s="2">
        <v>42880</v>
      </c>
      <c r="B877" s="1">
        <v>38.467500000000001</v>
      </c>
      <c r="C877" s="1">
        <f>'Historical Simulation'!D877</f>
        <v>151.96</v>
      </c>
      <c r="D877" s="22">
        <f t="shared" si="61"/>
        <v>793.42385762969548</v>
      </c>
      <c r="E877" s="23">
        <f t="shared" si="62"/>
        <v>12.023016899910431</v>
      </c>
      <c r="F877" s="23">
        <f t="shared" si="63"/>
        <v>-12.023016899910431</v>
      </c>
    </row>
    <row r="878" spans="1:6" x14ac:dyDescent="0.3">
      <c r="A878" s="2">
        <v>42879</v>
      </c>
      <c r="B878" s="1">
        <v>38.335000000000001</v>
      </c>
      <c r="C878" s="1">
        <f>'Historical Simulation'!D878</f>
        <v>150.04</v>
      </c>
      <c r="D878" s="22">
        <f t="shared" si="61"/>
        <v>781.40084072978505</v>
      </c>
      <c r="E878" s="23">
        <f t="shared" si="62"/>
        <v>13.75449803430115</v>
      </c>
      <c r="F878" s="23">
        <f t="shared" si="63"/>
        <v>-13.75449803430115</v>
      </c>
    </row>
    <row r="879" spans="1:6" x14ac:dyDescent="0.3">
      <c r="A879" s="2">
        <v>42878</v>
      </c>
      <c r="B879" s="1">
        <v>38.450000000000003</v>
      </c>
      <c r="C879" s="1">
        <f>'Historical Simulation'!D879</f>
        <v>148.07</v>
      </c>
      <c r="D879" s="22">
        <f t="shared" si="61"/>
        <v>767.6463426954839</v>
      </c>
      <c r="E879" s="23">
        <f t="shared" si="62"/>
        <v>-0.86237458474920459</v>
      </c>
      <c r="F879" s="23">
        <f t="shared" si="63"/>
        <v>0.86237458474920459</v>
      </c>
    </row>
    <row r="880" spans="1:6" x14ac:dyDescent="0.3">
      <c r="A880" s="2">
        <v>42877</v>
      </c>
      <c r="B880" s="1">
        <v>38.497500000000002</v>
      </c>
      <c r="C880" s="1">
        <f>'Historical Simulation'!D880</f>
        <v>148.24</v>
      </c>
      <c r="D880" s="22">
        <f t="shared" si="61"/>
        <v>768.5087172802331</v>
      </c>
      <c r="E880" s="23">
        <f t="shared" si="62"/>
        <v>-0.11673196489255133</v>
      </c>
      <c r="F880" s="23">
        <f t="shared" si="63"/>
        <v>0.11673196489255133</v>
      </c>
    </row>
    <row r="881" spans="1:6" x14ac:dyDescent="0.3">
      <c r="A881" s="2">
        <v>42874</v>
      </c>
      <c r="B881" s="1">
        <v>38.265000000000001</v>
      </c>
      <c r="C881" s="1">
        <f>'Historical Simulation'!D881</f>
        <v>148.06</v>
      </c>
      <c r="D881" s="22">
        <f t="shared" si="61"/>
        <v>768.62544924512565</v>
      </c>
      <c r="E881" s="23">
        <f t="shared" si="62"/>
        <v>1.9260501051613801</v>
      </c>
      <c r="F881" s="23">
        <f t="shared" si="63"/>
        <v>-1.9260501051613801</v>
      </c>
    </row>
    <row r="882" spans="1:6" x14ac:dyDescent="0.3">
      <c r="A882" s="2">
        <v>42873</v>
      </c>
      <c r="B882" s="1">
        <v>38.134999999999998</v>
      </c>
      <c r="C882" s="1">
        <f>'Historical Simulation'!D882</f>
        <v>147.66</v>
      </c>
      <c r="D882" s="22">
        <f t="shared" si="61"/>
        <v>766.69939913996427</v>
      </c>
      <c r="E882" s="23">
        <f t="shared" si="62"/>
        <v>15.456433741846013</v>
      </c>
      <c r="F882" s="23">
        <f t="shared" si="63"/>
        <v>-15.456433741846013</v>
      </c>
    </row>
    <row r="883" spans="1:6" x14ac:dyDescent="0.3">
      <c r="A883" s="2">
        <v>42872</v>
      </c>
      <c r="B883" s="1">
        <v>37.5625</v>
      </c>
      <c r="C883" s="1">
        <f>'Historical Simulation'!D883</f>
        <v>144.85</v>
      </c>
      <c r="D883" s="22">
        <f t="shared" si="61"/>
        <v>751.24296539811826</v>
      </c>
      <c r="E883" s="23">
        <f t="shared" si="62"/>
        <v>-25.418635671147058</v>
      </c>
      <c r="F883" s="23">
        <f t="shared" si="63"/>
        <v>25.418635671147058</v>
      </c>
    </row>
    <row r="884" spans="1:6" x14ac:dyDescent="0.3">
      <c r="A884" s="2">
        <v>42871</v>
      </c>
      <c r="B884" s="1">
        <v>38.8675</v>
      </c>
      <c r="C884" s="1">
        <f>'Historical Simulation'!D884</f>
        <v>149.78</v>
      </c>
      <c r="D884" s="22">
        <f t="shared" si="61"/>
        <v>776.66160106926532</v>
      </c>
      <c r="E884" s="23">
        <f t="shared" si="62"/>
        <v>-2.4023431928494574</v>
      </c>
      <c r="F884" s="23">
        <f t="shared" si="63"/>
        <v>2.4023431928494574</v>
      </c>
    </row>
    <row r="885" spans="1:6" x14ac:dyDescent="0.3">
      <c r="A885" s="2">
        <v>42870</v>
      </c>
      <c r="B885" s="1">
        <v>38.924999999999997</v>
      </c>
      <c r="C885" s="1">
        <f>'Historical Simulation'!D885</f>
        <v>150.19</v>
      </c>
      <c r="D885" s="22">
        <f t="shared" si="61"/>
        <v>779.06394426211477</v>
      </c>
      <c r="E885" s="23">
        <f t="shared" si="62"/>
        <v>-0.36608149706103177</v>
      </c>
      <c r="F885" s="23">
        <f t="shared" si="63"/>
        <v>0.36608149706103177</v>
      </c>
    </row>
    <row r="886" spans="1:6" x14ac:dyDescent="0.3">
      <c r="A886" s="2">
        <v>42867</v>
      </c>
      <c r="B886" s="1">
        <v>39.024999999999999</v>
      </c>
      <c r="C886" s="1">
        <f>'Historical Simulation'!D886</f>
        <v>150.33000000000001</v>
      </c>
      <c r="D886" s="22">
        <f t="shared" si="61"/>
        <v>779.43002575917581</v>
      </c>
      <c r="E886" s="23">
        <f t="shared" si="62"/>
        <v>-1.1088792630644093</v>
      </c>
      <c r="F886" s="23">
        <f t="shared" si="63"/>
        <v>1.1088792630644093</v>
      </c>
    </row>
    <row r="887" spans="1:6" x14ac:dyDescent="0.3">
      <c r="A887" s="2">
        <v>42866</v>
      </c>
      <c r="B887" s="1">
        <v>38.487499999999997</v>
      </c>
      <c r="C887" s="1">
        <f>'Historical Simulation'!D887</f>
        <v>150.04</v>
      </c>
      <c r="D887" s="22">
        <f t="shared" si="61"/>
        <v>780.53890502224021</v>
      </c>
      <c r="E887" s="23">
        <f t="shared" si="62"/>
        <v>-2.6379858127061198</v>
      </c>
      <c r="F887" s="23">
        <f t="shared" si="63"/>
        <v>2.6379858127061198</v>
      </c>
    </row>
    <row r="888" spans="1:6" x14ac:dyDescent="0.3">
      <c r="A888" s="2">
        <v>42865</v>
      </c>
      <c r="B888" s="1">
        <v>38.314999999999998</v>
      </c>
      <c r="C888" s="1">
        <f>'Historical Simulation'!D888</f>
        <v>150.29</v>
      </c>
      <c r="D888" s="22">
        <f t="shared" si="61"/>
        <v>783.17689083494633</v>
      </c>
      <c r="E888" s="23">
        <f t="shared" si="62"/>
        <v>-0.23239028069883716</v>
      </c>
      <c r="F888" s="23">
        <f t="shared" si="63"/>
        <v>0.23239028069883716</v>
      </c>
    </row>
    <row r="889" spans="1:6" x14ac:dyDescent="0.3">
      <c r="A889" s="2">
        <v>42864</v>
      </c>
      <c r="B889" s="1">
        <v>38.497500000000002</v>
      </c>
      <c r="C889" s="1">
        <f>'Historical Simulation'!D889</f>
        <v>150.47999999999999</v>
      </c>
      <c r="D889" s="22">
        <f t="shared" si="61"/>
        <v>783.40928111564517</v>
      </c>
      <c r="E889" s="23">
        <f t="shared" si="62"/>
        <v>-5.2429308768819283</v>
      </c>
      <c r="F889" s="23">
        <f t="shared" si="63"/>
        <v>5.2429308768819283</v>
      </c>
    </row>
    <row r="890" spans="1:6" x14ac:dyDescent="0.3">
      <c r="A890" s="2">
        <v>42863</v>
      </c>
      <c r="B890" s="1">
        <v>38.252499999999998</v>
      </c>
      <c r="C890" s="1">
        <f>'Historical Simulation'!D890</f>
        <v>151.06</v>
      </c>
      <c r="D890" s="22">
        <f t="shared" si="61"/>
        <v>788.6522119925271</v>
      </c>
      <c r="E890" s="23">
        <f t="shared" si="62"/>
        <v>-0.26801720460559864</v>
      </c>
      <c r="F890" s="23">
        <f t="shared" si="63"/>
        <v>0.26801720460559864</v>
      </c>
    </row>
    <row r="891" spans="1:6" x14ac:dyDescent="0.3">
      <c r="A891" s="2">
        <v>42860</v>
      </c>
      <c r="B891" s="1">
        <v>37.24</v>
      </c>
      <c r="C891" s="1">
        <f>'Historical Simulation'!D891</f>
        <v>150.24</v>
      </c>
      <c r="D891" s="22">
        <f t="shared" si="61"/>
        <v>788.9202291971327</v>
      </c>
      <c r="E891" s="23">
        <f t="shared" si="62"/>
        <v>-7.4913555667920946</v>
      </c>
      <c r="F891" s="23">
        <f t="shared" si="63"/>
        <v>7.4913555667920946</v>
      </c>
    </row>
    <row r="892" spans="1:6" x14ac:dyDescent="0.3">
      <c r="A892" s="2">
        <v>42859</v>
      </c>
      <c r="B892" s="1">
        <v>36.6325</v>
      </c>
      <c r="C892" s="1">
        <f>'Historical Simulation'!D892</f>
        <v>150.85</v>
      </c>
      <c r="D892" s="22">
        <f t="shared" si="61"/>
        <v>796.41158476392479</v>
      </c>
      <c r="E892" s="23">
        <f t="shared" si="62"/>
        <v>-5.5705405961829229</v>
      </c>
      <c r="F892" s="23">
        <f t="shared" si="63"/>
        <v>5.5705405961829229</v>
      </c>
    </row>
    <row r="893" spans="1:6" x14ac:dyDescent="0.3">
      <c r="A893" s="2">
        <v>42858</v>
      </c>
      <c r="B893" s="1">
        <v>36.765000000000001</v>
      </c>
      <c r="C893" s="1">
        <f>'Historical Simulation'!D893</f>
        <v>151.80000000000001</v>
      </c>
      <c r="D893" s="22">
        <f t="shared" si="61"/>
        <v>801.98212536010772</v>
      </c>
      <c r="E893" s="23">
        <f t="shared" si="62"/>
        <v>-5.8831424675088329</v>
      </c>
      <c r="F893" s="23">
        <f t="shared" si="63"/>
        <v>5.8831424675088329</v>
      </c>
    </row>
    <row r="894" spans="1:6" x14ac:dyDescent="0.3">
      <c r="A894" s="2">
        <v>42857</v>
      </c>
      <c r="B894" s="1">
        <v>36.877499999999998</v>
      </c>
      <c r="C894" s="1">
        <f>'Historical Simulation'!D894</f>
        <v>152.78</v>
      </c>
      <c r="D894" s="22">
        <f t="shared" si="61"/>
        <v>807.86526782761655</v>
      </c>
      <c r="E894" s="23">
        <f t="shared" si="62"/>
        <v>0.81455327482069606</v>
      </c>
      <c r="F894" s="23">
        <f t="shared" si="63"/>
        <v>-0.81455327482069606</v>
      </c>
    </row>
    <row r="895" spans="1:6" x14ac:dyDescent="0.3">
      <c r="A895" s="2">
        <v>42856</v>
      </c>
      <c r="B895" s="1">
        <v>36.645000000000003</v>
      </c>
      <c r="C895" s="1">
        <f>'Historical Simulation'!D895</f>
        <v>152.46</v>
      </c>
      <c r="D895" s="22">
        <f t="shared" si="61"/>
        <v>807.05071455279585</v>
      </c>
      <c r="E895" s="23">
        <f t="shared" si="62"/>
        <v>10.560885297688174</v>
      </c>
      <c r="F895" s="23">
        <f t="shared" si="63"/>
        <v>-10.560885297688174</v>
      </c>
    </row>
    <row r="896" spans="1:6" x14ac:dyDescent="0.3">
      <c r="A896" s="2">
        <v>42853</v>
      </c>
      <c r="B896" s="1">
        <v>35.912500000000001</v>
      </c>
      <c r="C896" s="1">
        <f>'Historical Simulation'!D896</f>
        <v>150.25</v>
      </c>
      <c r="D896" s="22">
        <f t="shared" si="61"/>
        <v>796.48982925510768</v>
      </c>
      <c r="E896" s="23">
        <f t="shared" si="62"/>
        <v>17.160516747562838</v>
      </c>
      <c r="F896" s="23">
        <f t="shared" si="63"/>
        <v>-17.160516747562838</v>
      </c>
    </row>
    <row r="897" spans="1:6" x14ac:dyDescent="0.3">
      <c r="A897" s="2">
        <v>42852</v>
      </c>
      <c r="B897" s="1">
        <v>35.947499999999998</v>
      </c>
      <c r="C897" s="1">
        <f>'Historical Simulation'!D897</f>
        <v>147.69999999999999</v>
      </c>
      <c r="D897" s="22">
        <f t="shared" si="61"/>
        <v>779.32931250754484</v>
      </c>
      <c r="E897" s="23">
        <f t="shared" si="62"/>
        <v>7.4278916370071784</v>
      </c>
      <c r="F897" s="23">
        <f t="shared" si="63"/>
        <v>-7.4278916370071784</v>
      </c>
    </row>
    <row r="898" spans="1:6" x14ac:dyDescent="0.3">
      <c r="A898" s="2">
        <v>42851</v>
      </c>
      <c r="B898" s="1">
        <v>35.92</v>
      </c>
      <c r="C898" s="1">
        <f>'Historical Simulation'!D898</f>
        <v>146.56</v>
      </c>
      <c r="D898" s="22">
        <f t="shared" si="61"/>
        <v>771.90142087053766</v>
      </c>
      <c r="E898" s="23">
        <f t="shared" si="62"/>
        <v>1.6667005729926814</v>
      </c>
      <c r="F898" s="23">
        <f t="shared" si="63"/>
        <v>-1.6667005729926814</v>
      </c>
    </row>
    <row r="899" spans="1:6" x14ac:dyDescent="0.3">
      <c r="A899" s="2">
        <v>42850</v>
      </c>
      <c r="B899" s="1">
        <v>36.1325</v>
      </c>
      <c r="C899" s="1">
        <f>'Historical Simulation'!D899</f>
        <v>146.49</v>
      </c>
      <c r="D899" s="22">
        <f t="shared" si="61"/>
        <v>770.23472029754498</v>
      </c>
      <c r="E899" s="23">
        <f t="shared" si="62"/>
        <v>5.5274998476522796</v>
      </c>
      <c r="F899" s="23">
        <f t="shared" si="63"/>
        <v>-5.5274998476522796</v>
      </c>
    </row>
    <row r="900" spans="1:6" x14ac:dyDescent="0.3">
      <c r="A900" s="2">
        <v>42849</v>
      </c>
      <c r="B900" s="1">
        <v>35.909999999999997</v>
      </c>
      <c r="C900" s="1">
        <f>'Historical Simulation'!D900</f>
        <v>145.47</v>
      </c>
      <c r="D900" s="22">
        <f t="shared" si="61"/>
        <v>764.7072204498927</v>
      </c>
      <c r="E900" s="23">
        <f t="shared" si="62"/>
        <v>9.9713241748925157</v>
      </c>
      <c r="F900" s="23">
        <f t="shared" si="63"/>
        <v>-9.9713241748925157</v>
      </c>
    </row>
    <row r="901" spans="1:6" x14ac:dyDescent="0.3">
      <c r="A901" s="2">
        <v>42846</v>
      </c>
      <c r="B901" s="1">
        <v>35.567500000000003</v>
      </c>
      <c r="C901" s="1">
        <f>'Historical Simulation'!D901</f>
        <v>143.68</v>
      </c>
      <c r="D901" s="22">
        <f t="shared" si="61"/>
        <v>754.73589627500019</v>
      </c>
      <c r="E901" s="23">
        <f t="shared" si="62"/>
        <v>-0.55803290055553134</v>
      </c>
      <c r="F901" s="23">
        <f t="shared" si="63"/>
        <v>0.55803290055553134</v>
      </c>
    </row>
    <row r="902" spans="1:6" x14ac:dyDescent="0.3">
      <c r="A902" s="2">
        <v>42845</v>
      </c>
      <c r="B902" s="1">
        <v>35.61</v>
      </c>
      <c r="C902" s="1">
        <f>'Historical Simulation'!D902</f>
        <v>143.80000000000001</v>
      </c>
      <c r="D902" s="22">
        <f t="shared" ref="D902:D965" si="64">$M$16*B902+(1-$M$16)*C902</f>
        <v>755.29392917555572</v>
      </c>
      <c r="E902" s="23">
        <f t="shared" ref="E902:E965" si="65">D902-D903</f>
        <v>7.6907207949104759</v>
      </c>
      <c r="F902" s="23">
        <f t="shared" ref="F902:F965" si="66">-E902</f>
        <v>-7.6907207949104759</v>
      </c>
    </row>
    <row r="903" spans="1:6" x14ac:dyDescent="0.3">
      <c r="A903" s="2">
        <v>42844</v>
      </c>
      <c r="B903" s="1">
        <v>35.17</v>
      </c>
      <c r="C903" s="1">
        <f>'Historical Simulation'!D903</f>
        <v>142.27000000000001</v>
      </c>
      <c r="D903" s="22">
        <f t="shared" si="64"/>
        <v>747.60320838064524</v>
      </c>
      <c r="E903" s="23">
        <f t="shared" si="65"/>
        <v>9.4489338941933738</v>
      </c>
      <c r="F903" s="23">
        <f t="shared" si="66"/>
        <v>-9.4489338941933738</v>
      </c>
    </row>
    <row r="904" spans="1:6" x14ac:dyDescent="0.3">
      <c r="A904" s="2">
        <v>42843</v>
      </c>
      <c r="B904" s="1">
        <v>35.299999999999997</v>
      </c>
      <c r="C904" s="1">
        <f>'Historical Simulation'!D904</f>
        <v>140.96</v>
      </c>
      <c r="D904" s="22">
        <f t="shared" si="64"/>
        <v>738.15427448645187</v>
      </c>
      <c r="E904" s="23">
        <f t="shared" si="65"/>
        <v>-2.1697413215230199</v>
      </c>
      <c r="F904" s="23">
        <f t="shared" si="66"/>
        <v>2.1697413215230199</v>
      </c>
    </row>
    <row r="905" spans="1:6" x14ac:dyDescent="0.3">
      <c r="A905" s="2">
        <v>42842</v>
      </c>
      <c r="B905" s="1">
        <v>35.457500000000003</v>
      </c>
      <c r="C905" s="1">
        <f>'Historical Simulation'!D905</f>
        <v>141.41999999999999</v>
      </c>
      <c r="D905" s="22">
        <f t="shared" si="64"/>
        <v>740.32401580797489</v>
      </c>
      <c r="E905" s="23">
        <f t="shared" si="65"/>
        <v>12.401488677670272</v>
      </c>
      <c r="F905" s="23">
        <f t="shared" si="66"/>
        <v>-12.401488677670272</v>
      </c>
    </row>
    <row r="906" spans="1:6" x14ac:dyDescent="0.3">
      <c r="A906" s="2">
        <v>42839</v>
      </c>
      <c r="B906" s="1">
        <v>35.262500000000003</v>
      </c>
      <c r="C906" s="1">
        <f>'Historical Simulation'!D906</f>
        <v>139.38999999999999</v>
      </c>
      <c r="D906" s="22">
        <f t="shared" si="64"/>
        <v>727.92252713030462</v>
      </c>
      <c r="E906" s="23">
        <f t="shared" si="65"/>
        <v>0</v>
      </c>
      <c r="F906" s="23">
        <f t="shared" si="66"/>
        <v>0</v>
      </c>
    </row>
    <row r="907" spans="1:6" x14ac:dyDescent="0.3">
      <c r="A907" s="2">
        <v>42838</v>
      </c>
      <c r="B907" s="1">
        <v>35.262500000000003</v>
      </c>
      <c r="C907" s="1">
        <f>'Historical Simulation'!D907</f>
        <v>139.38999999999999</v>
      </c>
      <c r="D907" s="22">
        <f t="shared" si="64"/>
        <v>727.92252713030462</v>
      </c>
      <c r="E907" s="23">
        <f t="shared" si="65"/>
        <v>-0.20413009356650491</v>
      </c>
      <c r="F907" s="23">
        <f t="shared" si="66"/>
        <v>0.20413009356650491</v>
      </c>
    </row>
    <row r="908" spans="1:6" x14ac:dyDescent="0.3">
      <c r="A908" s="2">
        <v>42837</v>
      </c>
      <c r="B908" s="1">
        <v>35.450000000000003</v>
      </c>
      <c r="C908" s="1">
        <f>'Historical Simulation'!D908</f>
        <v>139.58000000000001</v>
      </c>
      <c r="D908" s="22">
        <f t="shared" si="64"/>
        <v>728.12665722387112</v>
      </c>
      <c r="E908" s="23">
        <f t="shared" si="65"/>
        <v>-2.5019043156449925</v>
      </c>
      <c r="F908" s="23">
        <f t="shared" si="66"/>
        <v>2.5019043156449925</v>
      </c>
    </row>
    <row r="909" spans="1:6" x14ac:dyDescent="0.3">
      <c r="A909" s="2">
        <v>42836</v>
      </c>
      <c r="B909" s="1">
        <v>35.407499999999999</v>
      </c>
      <c r="C909" s="1">
        <f>'Historical Simulation'!D909</f>
        <v>139.91999999999999</v>
      </c>
      <c r="D909" s="22">
        <f t="shared" si="64"/>
        <v>730.62856153951611</v>
      </c>
      <c r="E909" s="23">
        <f t="shared" si="65"/>
        <v>-5.2742475084946818</v>
      </c>
      <c r="F909" s="23">
        <f t="shared" si="66"/>
        <v>5.2742475084946818</v>
      </c>
    </row>
    <row r="910" spans="1:6" x14ac:dyDescent="0.3">
      <c r="A910" s="2">
        <v>42835</v>
      </c>
      <c r="B910" s="1">
        <v>35.792499999999997</v>
      </c>
      <c r="C910" s="1">
        <f>'Historical Simulation'!D910</f>
        <v>141.04</v>
      </c>
      <c r="D910" s="22">
        <f t="shared" si="64"/>
        <v>735.90280904801079</v>
      </c>
      <c r="E910" s="23">
        <f t="shared" si="65"/>
        <v>1.9697413215232018</v>
      </c>
      <c r="F910" s="23">
        <f t="shared" si="66"/>
        <v>-1.9697413215232018</v>
      </c>
    </row>
    <row r="911" spans="1:6" x14ac:dyDescent="0.3">
      <c r="A911" s="2">
        <v>42832</v>
      </c>
      <c r="B911" s="1">
        <v>35.835000000000001</v>
      </c>
      <c r="C911" s="1">
        <f>'Historical Simulation'!D911</f>
        <v>140.78</v>
      </c>
      <c r="D911" s="22">
        <f t="shared" si="64"/>
        <v>733.93306772648759</v>
      </c>
      <c r="E911" s="23">
        <f t="shared" si="65"/>
        <v>-2.1421316022220935</v>
      </c>
      <c r="F911" s="23">
        <f t="shared" si="66"/>
        <v>2.1421316022220935</v>
      </c>
    </row>
    <row r="912" spans="1:6" x14ac:dyDescent="0.3">
      <c r="A912" s="2">
        <v>42831</v>
      </c>
      <c r="B912" s="1">
        <v>35.914999999999999</v>
      </c>
      <c r="C912" s="1">
        <f>'Historical Simulation'!D912</f>
        <v>141.16999999999999</v>
      </c>
      <c r="D912" s="22">
        <f t="shared" si="64"/>
        <v>736.07519932870969</v>
      </c>
      <c r="E912" s="23">
        <f t="shared" si="65"/>
        <v>-4.0147020816488066</v>
      </c>
      <c r="F912" s="23">
        <f t="shared" si="66"/>
        <v>4.0147020816488066</v>
      </c>
    </row>
    <row r="913" spans="1:6" x14ac:dyDescent="0.3">
      <c r="A913" s="2">
        <v>42830</v>
      </c>
      <c r="B913" s="1">
        <v>36.005000000000003</v>
      </c>
      <c r="C913" s="1">
        <f>'Historical Simulation'!D913</f>
        <v>141.85</v>
      </c>
      <c r="D913" s="22">
        <f t="shared" si="64"/>
        <v>740.08990141035849</v>
      </c>
      <c r="E913" s="23">
        <f t="shared" si="65"/>
        <v>1.8580015086560024</v>
      </c>
      <c r="F913" s="23">
        <f t="shared" si="66"/>
        <v>-1.8580015086560024</v>
      </c>
    </row>
    <row r="914" spans="1:6" x14ac:dyDescent="0.3">
      <c r="A914" s="2">
        <v>42829</v>
      </c>
      <c r="B914" s="1">
        <v>36.192500000000003</v>
      </c>
      <c r="C914" s="1">
        <f>'Historical Simulation'!D914</f>
        <v>141.72999999999999</v>
      </c>
      <c r="D914" s="22">
        <f t="shared" si="64"/>
        <v>738.23189990170249</v>
      </c>
      <c r="E914" s="23">
        <f t="shared" si="65"/>
        <v>-5.1705405961829456</v>
      </c>
      <c r="F914" s="23">
        <f t="shared" si="66"/>
        <v>5.1705405961829456</v>
      </c>
    </row>
    <row r="915" spans="1:6" x14ac:dyDescent="0.3">
      <c r="A915" s="2">
        <v>42828</v>
      </c>
      <c r="B915" s="1">
        <v>35.924999999999997</v>
      </c>
      <c r="C915" s="1">
        <f>'Historical Simulation'!D915</f>
        <v>142.28</v>
      </c>
      <c r="D915" s="22">
        <f t="shared" si="64"/>
        <v>743.40244049788544</v>
      </c>
      <c r="E915" s="23">
        <f t="shared" si="65"/>
        <v>1.473448233835029</v>
      </c>
      <c r="F915" s="23">
        <f t="shared" si="66"/>
        <v>-1.473448233835029</v>
      </c>
    </row>
    <row r="916" spans="1:6" x14ac:dyDescent="0.3">
      <c r="A916" s="2">
        <v>42825</v>
      </c>
      <c r="B916" s="1">
        <v>35.914999999999999</v>
      </c>
      <c r="C916" s="1">
        <f>'Historical Simulation'!D916</f>
        <v>142.05000000000001</v>
      </c>
      <c r="D916" s="22">
        <f t="shared" si="64"/>
        <v>741.92899226405041</v>
      </c>
      <c r="E916" s="23">
        <f t="shared" si="65"/>
        <v>-2.0132209472579916</v>
      </c>
      <c r="F916" s="23">
        <f t="shared" si="66"/>
        <v>2.0132209472579916</v>
      </c>
    </row>
    <row r="917" spans="1:6" x14ac:dyDescent="0.3">
      <c r="A917" s="2">
        <v>42824</v>
      </c>
      <c r="B917" s="1">
        <v>35.982500000000002</v>
      </c>
      <c r="C917" s="1">
        <f>'Historical Simulation'!D917</f>
        <v>142.41</v>
      </c>
      <c r="D917" s="22">
        <f t="shared" si="64"/>
        <v>743.9422132113084</v>
      </c>
      <c r="E917" s="23">
        <f t="shared" si="65"/>
        <v>-1.3280172046056578</v>
      </c>
      <c r="F917" s="23">
        <f t="shared" si="66"/>
        <v>1.3280172046056578</v>
      </c>
    </row>
    <row r="918" spans="1:6" x14ac:dyDescent="0.3">
      <c r="A918" s="2">
        <v>42823</v>
      </c>
      <c r="B918" s="1">
        <v>36.03</v>
      </c>
      <c r="C918" s="1">
        <f>'Historical Simulation'!D918</f>
        <v>142.65</v>
      </c>
      <c r="D918" s="22">
        <f t="shared" si="64"/>
        <v>745.27023041591406</v>
      </c>
      <c r="E918" s="23">
        <f t="shared" si="65"/>
        <v>5.4681503154839675</v>
      </c>
      <c r="F918" s="23">
        <f t="shared" si="66"/>
        <v>-5.4681503154839675</v>
      </c>
    </row>
    <row r="919" spans="1:6" x14ac:dyDescent="0.3">
      <c r="A919" s="2">
        <v>42822</v>
      </c>
      <c r="B919" s="1">
        <v>35.950000000000003</v>
      </c>
      <c r="C919" s="1">
        <f>'Historical Simulation'!D919</f>
        <v>141.76</v>
      </c>
      <c r="D919" s="22">
        <f t="shared" si="64"/>
        <v>739.80208010043009</v>
      </c>
      <c r="E919" s="23">
        <f t="shared" si="65"/>
        <v>5.4529465728313653</v>
      </c>
      <c r="F919" s="23">
        <f t="shared" si="66"/>
        <v>-5.4529465728313653</v>
      </c>
    </row>
    <row r="920" spans="1:6" x14ac:dyDescent="0.3">
      <c r="A920" s="2">
        <v>42821</v>
      </c>
      <c r="B920" s="1">
        <v>35.22</v>
      </c>
      <c r="C920" s="1">
        <f>'Historical Simulation'!D920</f>
        <v>140.32</v>
      </c>
      <c r="D920" s="22">
        <f t="shared" si="64"/>
        <v>734.34913352759872</v>
      </c>
      <c r="E920" s="23">
        <f t="shared" si="65"/>
        <v>-0.47216299412184526</v>
      </c>
      <c r="F920" s="23">
        <f t="shared" si="66"/>
        <v>0.47216299412184526</v>
      </c>
    </row>
    <row r="921" spans="1:6" x14ac:dyDescent="0.3">
      <c r="A921" s="2">
        <v>42818</v>
      </c>
      <c r="B921" s="1">
        <v>35.159999999999997</v>
      </c>
      <c r="C921" s="1">
        <f>'Historical Simulation'!D921</f>
        <v>140.34</v>
      </c>
      <c r="D921" s="22">
        <f t="shared" si="64"/>
        <v>734.82129652172057</v>
      </c>
      <c r="E921" s="23">
        <f t="shared" si="65"/>
        <v>5.7837929353404434</v>
      </c>
      <c r="F921" s="23">
        <f t="shared" si="66"/>
        <v>-5.7837929353404434</v>
      </c>
    </row>
    <row r="922" spans="1:6" x14ac:dyDescent="0.3">
      <c r="A922" s="2">
        <v>42817</v>
      </c>
      <c r="B922" s="1">
        <v>35.229999999999997</v>
      </c>
      <c r="C922" s="1">
        <f>'Historical Simulation'!D922</f>
        <v>139.53</v>
      </c>
      <c r="D922" s="22">
        <f t="shared" si="64"/>
        <v>729.03750358638013</v>
      </c>
      <c r="E922" s="23">
        <f t="shared" si="65"/>
        <v>0.30738243272412547</v>
      </c>
      <c r="F922" s="23">
        <f t="shared" si="66"/>
        <v>-0.30738243272412547</v>
      </c>
    </row>
    <row r="923" spans="1:6" x14ac:dyDescent="0.3">
      <c r="A923" s="2">
        <v>42816</v>
      </c>
      <c r="B923" s="1">
        <v>35.354999999999997</v>
      </c>
      <c r="C923" s="1">
        <f>'Historical Simulation'!D923</f>
        <v>139.59</v>
      </c>
      <c r="D923" s="22">
        <f t="shared" si="64"/>
        <v>728.730121153656</v>
      </c>
      <c r="E923" s="23">
        <f t="shared" si="65"/>
        <v>4.9516456371685535</v>
      </c>
      <c r="F923" s="23">
        <f t="shared" si="66"/>
        <v>-4.9516456371685535</v>
      </c>
    </row>
    <row r="924" spans="1:6" x14ac:dyDescent="0.3">
      <c r="A924" s="2">
        <v>42815</v>
      </c>
      <c r="B924" s="1">
        <v>34.96</v>
      </c>
      <c r="C924" s="1">
        <f>'Historical Simulation'!D924</f>
        <v>138.51</v>
      </c>
      <c r="D924" s="22">
        <f t="shared" si="64"/>
        <v>723.77847551648745</v>
      </c>
      <c r="E924" s="23">
        <f t="shared" si="65"/>
        <v>-7.2233383621864959</v>
      </c>
      <c r="F924" s="23">
        <f t="shared" si="66"/>
        <v>7.2233383621864959</v>
      </c>
    </row>
    <row r="925" spans="1:6" x14ac:dyDescent="0.3">
      <c r="A925" s="2">
        <v>42814</v>
      </c>
      <c r="B925" s="1">
        <v>35.365000000000002</v>
      </c>
      <c r="C925" s="1">
        <f>'Historical Simulation'!D925</f>
        <v>139.94</v>
      </c>
      <c r="D925" s="22">
        <f t="shared" si="64"/>
        <v>731.00181387867394</v>
      </c>
      <c r="E925" s="23">
        <f t="shared" si="65"/>
        <v>-1.4119200115949297</v>
      </c>
      <c r="F925" s="23">
        <f t="shared" si="66"/>
        <v>1.4119200115949297</v>
      </c>
    </row>
    <row r="926" spans="1:6" x14ac:dyDescent="0.3">
      <c r="A926" s="2">
        <v>42811</v>
      </c>
      <c r="B926" s="1">
        <v>34.997500000000002</v>
      </c>
      <c r="C926" s="1">
        <f>'Historical Simulation'!D926</f>
        <v>139.84</v>
      </c>
      <c r="D926" s="22">
        <f t="shared" si="64"/>
        <v>732.41373389026887</v>
      </c>
      <c r="E926" s="23">
        <f t="shared" si="65"/>
        <v>-8.6990643370654652E-3</v>
      </c>
      <c r="F926" s="23">
        <f t="shared" si="66"/>
        <v>8.6990643370654652E-3</v>
      </c>
    </row>
    <row r="927" spans="1:6" x14ac:dyDescent="0.3">
      <c r="A927" s="2">
        <v>42810</v>
      </c>
      <c r="B927" s="1">
        <v>35.172499999999999</v>
      </c>
      <c r="C927" s="1">
        <f>'Historical Simulation'!D927</f>
        <v>139.99</v>
      </c>
      <c r="D927" s="22">
        <f t="shared" si="64"/>
        <v>732.42243295460594</v>
      </c>
      <c r="E927" s="23">
        <f t="shared" si="65"/>
        <v>1.4710579531363237</v>
      </c>
      <c r="F927" s="23">
        <f t="shared" si="66"/>
        <v>-1.4710579531363237</v>
      </c>
    </row>
    <row r="928" spans="1:6" x14ac:dyDescent="0.3">
      <c r="A928" s="2">
        <v>42809</v>
      </c>
      <c r="B928" s="1">
        <v>35.115000000000002</v>
      </c>
      <c r="C928" s="1">
        <f>'Historical Simulation'!D928</f>
        <v>139.72</v>
      </c>
      <c r="D928" s="22">
        <f t="shared" si="64"/>
        <v>730.95137500146961</v>
      </c>
      <c r="E928" s="23">
        <f t="shared" si="65"/>
        <v>0.58369121636201271</v>
      </c>
      <c r="F928" s="23">
        <f t="shared" si="66"/>
        <v>-0.58369121636201271</v>
      </c>
    </row>
    <row r="929" spans="1:6" x14ac:dyDescent="0.3">
      <c r="A929" s="2">
        <v>42808</v>
      </c>
      <c r="B929" s="1">
        <v>34.747500000000002</v>
      </c>
      <c r="C929" s="1">
        <f>'Historical Simulation'!D929</f>
        <v>139.32</v>
      </c>
      <c r="D929" s="22">
        <f t="shared" si="64"/>
        <v>730.3676837851076</v>
      </c>
      <c r="E929" s="23">
        <f t="shared" si="65"/>
        <v>-1.5658385145341072</v>
      </c>
      <c r="F929" s="23">
        <f t="shared" si="66"/>
        <v>1.5658385145341072</v>
      </c>
    </row>
    <row r="930" spans="1:6" x14ac:dyDescent="0.3">
      <c r="A930" s="2">
        <v>42807</v>
      </c>
      <c r="B930" s="1">
        <v>34.799999999999997</v>
      </c>
      <c r="C930" s="1">
        <f>'Historical Simulation'!D930</f>
        <v>139.6</v>
      </c>
      <c r="D930" s="22">
        <f t="shared" si="64"/>
        <v>731.93352229964171</v>
      </c>
      <c r="E930" s="23">
        <f t="shared" si="65"/>
        <v>5.303369754086134</v>
      </c>
      <c r="F930" s="23">
        <f t="shared" si="66"/>
        <v>-5.303369754086134</v>
      </c>
    </row>
    <row r="931" spans="1:6" x14ac:dyDescent="0.3">
      <c r="A931" s="2">
        <v>42804</v>
      </c>
      <c r="B931" s="1">
        <v>34.784999999999997</v>
      </c>
      <c r="C931" s="1">
        <f>'Historical Simulation'!D931</f>
        <v>138.79</v>
      </c>
      <c r="D931" s="22">
        <f t="shared" si="64"/>
        <v>726.63015254555557</v>
      </c>
      <c r="E931" s="23">
        <f t="shared" si="65"/>
        <v>3.0086362805375302</v>
      </c>
      <c r="F931" s="23">
        <f t="shared" si="66"/>
        <v>-3.0086362805375302</v>
      </c>
    </row>
    <row r="932" spans="1:6" x14ac:dyDescent="0.3">
      <c r="A932" s="2">
        <v>42803</v>
      </c>
      <c r="B932" s="1">
        <v>34.67</v>
      </c>
      <c r="C932" s="1">
        <f>'Historical Simulation'!D932</f>
        <v>138.24</v>
      </c>
      <c r="D932" s="22">
        <f t="shared" si="64"/>
        <v>723.62151626501804</v>
      </c>
      <c r="E932" s="23">
        <f t="shared" si="65"/>
        <v>3.9112224559140714</v>
      </c>
      <c r="F932" s="23">
        <f t="shared" si="66"/>
        <v>-3.9112224559140714</v>
      </c>
    </row>
    <row r="933" spans="1:6" x14ac:dyDescent="0.3">
      <c r="A933" s="2">
        <v>42802</v>
      </c>
      <c r="B933" s="1">
        <v>34.75</v>
      </c>
      <c r="C933" s="1">
        <f>'Historical Simulation'!D933</f>
        <v>137.72</v>
      </c>
      <c r="D933" s="22">
        <f t="shared" si="64"/>
        <v>719.71029380910397</v>
      </c>
      <c r="E933" s="23">
        <f t="shared" si="65"/>
        <v>3.5286205845876566</v>
      </c>
      <c r="F933" s="23">
        <f t="shared" si="66"/>
        <v>-3.5286205845876566</v>
      </c>
    </row>
    <row r="934" spans="1:6" x14ac:dyDescent="0.3">
      <c r="A934" s="2">
        <v>42801</v>
      </c>
      <c r="B934" s="1">
        <v>34.880000000000003</v>
      </c>
      <c r="C934" s="1">
        <f>'Historical Simulation'!D934</f>
        <v>137.30000000000001</v>
      </c>
      <c r="D934" s="22">
        <f t="shared" si="64"/>
        <v>716.18167322451632</v>
      </c>
      <c r="E934" s="23">
        <f t="shared" si="65"/>
        <v>-1.0525861753761774</v>
      </c>
      <c r="F934" s="23">
        <f t="shared" si="66"/>
        <v>1.0525861753761774</v>
      </c>
    </row>
    <row r="935" spans="1:6" x14ac:dyDescent="0.3">
      <c r="A935" s="2">
        <v>42800</v>
      </c>
      <c r="B935" s="1">
        <v>34.835000000000001</v>
      </c>
      <c r="C935" s="1">
        <f>'Historical Simulation'!D935</f>
        <v>137.41999999999999</v>
      </c>
      <c r="D935" s="22">
        <f t="shared" si="64"/>
        <v>717.23425939989249</v>
      </c>
      <c r="E935" s="23">
        <f t="shared" si="65"/>
        <v>2.2847334735483855</v>
      </c>
      <c r="F935" s="23">
        <f t="shared" si="66"/>
        <v>-2.2847334735483855</v>
      </c>
    </row>
    <row r="936" spans="1:6" x14ac:dyDescent="0.3">
      <c r="A936" s="2">
        <v>42797</v>
      </c>
      <c r="B936" s="1">
        <v>34.945</v>
      </c>
      <c r="C936" s="1">
        <f>'Historical Simulation'!D936</f>
        <v>137.16999999999999</v>
      </c>
      <c r="D936" s="22">
        <f t="shared" si="64"/>
        <v>714.94952592634411</v>
      </c>
      <c r="E936" s="23">
        <f t="shared" si="65"/>
        <v>1.5686676724373001</v>
      </c>
      <c r="F936" s="23">
        <f t="shared" si="66"/>
        <v>-1.5686676724373001</v>
      </c>
    </row>
    <row r="937" spans="1:6" x14ac:dyDescent="0.3">
      <c r="A937" s="2">
        <v>42796</v>
      </c>
      <c r="B937" s="1">
        <v>34.74</v>
      </c>
      <c r="C937" s="1">
        <f>'Historical Simulation'!D937</f>
        <v>136.76</v>
      </c>
      <c r="D937" s="22">
        <f t="shared" si="64"/>
        <v>713.38085825390681</v>
      </c>
      <c r="E937" s="23">
        <f t="shared" si="65"/>
        <v>-3.2175469355017867</v>
      </c>
      <c r="F937" s="23">
        <f t="shared" si="66"/>
        <v>3.2175469355017867</v>
      </c>
    </row>
    <row r="938" spans="1:6" x14ac:dyDescent="0.3">
      <c r="A938" s="2">
        <v>42795</v>
      </c>
      <c r="B938" s="1">
        <v>34.947499999999998</v>
      </c>
      <c r="C938" s="1">
        <f>'Historical Simulation'!D938</f>
        <v>137.41999999999999</v>
      </c>
      <c r="D938" s="22">
        <f t="shared" si="64"/>
        <v>716.5984051894086</v>
      </c>
      <c r="E938" s="23">
        <f t="shared" si="65"/>
        <v>8.5494041632974813</v>
      </c>
      <c r="F938" s="23">
        <f t="shared" si="66"/>
        <v>-8.5494041632974813</v>
      </c>
    </row>
    <row r="939" spans="1:6" x14ac:dyDescent="0.3">
      <c r="A939" s="2">
        <v>42794</v>
      </c>
      <c r="B939" s="1">
        <v>34.247500000000002</v>
      </c>
      <c r="C939" s="1">
        <f>'Historical Simulation'!D939</f>
        <v>135.54</v>
      </c>
      <c r="D939" s="22">
        <f t="shared" si="64"/>
        <v>708.04900102611111</v>
      </c>
      <c r="E939" s="23">
        <f t="shared" si="65"/>
        <v>-5.8720531224731758</v>
      </c>
      <c r="F939" s="23">
        <f t="shared" si="66"/>
        <v>5.8720531224731758</v>
      </c>
    </row>
    <row r="940" spans="1:6" x14ac:dyDescent="0.3">
      <c r="A940" s="2">
        <v>42793</v>
      </c>
      <c r="B940" s="1">
        <v>34.232500000000002</v>
      </c>
      <c r="C940" s="1">
        <f>'Historical Simulation'!D940</f>
        <v>136.41</v>
      </c>
      <c r="D940" s="22">
        <f t="shared" si="64"/>
        <v>713.92105414858429</v>
      </c>
      <c r="E940" s="23">
        <f t="shared" si="65"/>
        <v>6.070963777437214</v>
      </c>
      <c r="F940" s="23">
        <f t="shared" si="66"/>
        <v>-6.070963777437214</v>
      </c>
    </row>
    <row r="941" spans="1:6" x14ac:dyDescent="0.3">
      <c r="A941" s="2">
        <v>42790</v>
      </c>
      <c r="B941" s="1">
        <v>34.164999999999999</v>
      </c>
      <c r="C941" s="1">
        <f>'Historical Simulation'!D941</f>
        <v>135.44</v>
      </c>
      <c r="D941" s="22">
        <f t="shared" si="64"/>
        <v>707.85009037114708</v>
      </c>
      <c r="E941" s="23">
        <f t="shared" si="65"/>
        <v>0.34847177775975524</v>
      </c>
      <c r="F941" s="23">
        <f t="shared" si="66"/>
        <v>-0.34847177775975524</v>
      </c>
    </row>
    <row r="942" spans="1:6" x14ac:dyDescent="0.3">
      <c r="A942" s="2">
        <v>42789</v>
      </c>
      <c r="B942" s="1">
        <v>34.1325</v>
      </c>
      <c r="C942" s="1">
        <f>'Historical Simulation'!D942</f>
        <v>135.36000000000001</v>
      </c>
      <c r="D942" s="22">
        <f t="shared" si="64"/>
        <v>707.50161859338732</v>
      </c>
      <c r="E942" s="23">
        <f t="shared" si="65"/>
        <v>-4.2360030173117593</v>
      </c>
      <c r="F942" s="23">
        <f t="shared" si="66"/>
        <v>4.2360030173117593</v>
      </c>
    </row>
    <row r="943" spans="1:6" x14ac:dyDescent="0.3">
      <c r="A943" s="2">
        <v>42788</v>
      </c>
      <c r="B943" s="1">
        <v>34.277500000000003</v>
      </c>
      <c r="C943" s="1">
        <f>'Historical Simulation'!D943</f>
        <v>136.12</v>
      </c>
      <c r="D943" s="22">
        <f t="shared" si="64"/>
        <v>711.73762161069908</v>
      </c>
      <c r="E943" s="23">
        <f t="shared" si="65"/>
        <v>15.385555987437328</v>
      </c>
      <c r="F943" s="23">
        <f t="shared" si="66"/>
        <v>-15.385555987437328</v>
      </c>
    </row>
    <row r="944" spans="1:6" x14ac:dyDescent="0.3">
      <c r="A944" s="2">
        <v>42787</v>
      </c>
      <c r="B944" s="1">
        <v>34.174999999999997</v>
      </c>
      <c r="C944" s="1">
        <f>'Historical Simulation'!D944</f>
        <v>133.72</v>
      </c>
      <c r="D944" s="22">
        <f t="shared" si="64"/>
        <v>696.35206562326175</v>
      </c>
      <c r="E944" s="23">
        <f t="shared" si="65"/>
        <v>-0.12086205845889708</v>
      </c>
      <c r="F944" s="23">
        <f t="shared" si="66"/>
        <v>0.12086205845889708</v>
      </c>
    </row>
    <row r="945" spans="1:6" x14ac:dyDescent="0.3">
      <c r="A945" s="2">
        <v>42786</v>
      </c>
      <c r="B945" s="1">
        <v>33.93</v>
      </c>
      <c r="C945" s="1">
        <f>'Historical Simulation'!D945</f>
        <v>133.53</v>
      </c>
      <c r="D945" s="22">
        <f t="shared" si="64"/>
        <v>696.47292768172065</v>
      </c>
      <c r="E945" s="23">
        <f t="shared" si="65"/>
        <v>0</v>
      </c>
      <c r="F945" s="23">
        <f t="shared" si="66"/>
        <v>0</v>
      </c>
    </row>
    <row r="946" spans="1:6" x14ac:dyDescent="0.3">
      <c r="A946" s="2">
        <v>42783</v>
      </c>
      <c r="B946" s="1">
        <v>33.93</v>
      </c>
      <c r="C946" s="1">
        <f>'Historical Simulation'!D946</f>
        <v>133.53</v>
      </c>
      <c r="D946" s="22">
        <f t="shared" si="64"/>
        <v>696.47292768172065</v>
      </c>
      <c r="E946" s="23">
        <f t="shared" si="65"/>
        <v>-2.5922927128299307</v>
      </c>
      <c r="F946" s="23">
        <f t="shared" si="66"/>
        <v>2.5922927128299307</v>
      </c>
    </row>
    <row r="947" spans="1:6" x14ac:dyDescent="0.3">
      <c r="A947" s="2">
        <v>42782</v>
      </c>
      <c r="B947" s="1">
        <v>33.836199999999998</v>
      </c>
      <c r="C947" s="1">
        <f>'Historical Simulation'!D947</f>
        <v>133.84</v>
      </c>
      <c r="D947" s="22">
        <f t="shared" si="64"/>
        <v>699.06522039455058</v>
      </c>
      <c r="E947" s="23">
        <f t="shared" si="65"/>
        <v>2.8942441163246713</v>
      </c>
      <c r="F947" s="23">
        <f t="shared" si="66"/>
        <v>-2.8942441163246713</v>
      </c>
    </row>
    <row r="948" spans="1:6" x14ac:dyDescent="0.3">
      <c r="A948" s="2">
        <v>42781</v>
      </c>
      <c r="B948" s="1">
        <v>33.877499999999998</v>
      </c>
      <c r="C948" s="1">
        <f>'Historical Simulation'!D948</f>
        <v>133.44</v>
      </c>
      <c r="D948" s="22">
        <f t="shared" si="64"/>
        <v>696.17097627822591</v>
      </c>
      <c r="E948" s="23">
        <f t="shared" si="65"/>
        <v>-3.4197099296236502</v>
      </c>
      <c r="F948" s="23">
        <f t="shared" si="66"/>
        <v>3.4197099296236502</v>
      </c>
    </row>
    <row r="949" spans="1:6" x14ac:dyDescent="0.3">
      <c r="A949" s="2">
        <v>42780</v>
      </c>
      <c r="B949" s="1">
        <v>33.755000000000003</v>
      </c>
      <c r="C949" s="1">
        <f>'Historical Simulation'!D949</f>
        <v>133.85</v>
      </c>
      <c r="D949" s="22">
        <f t="shared" si="64"/>
        <v>699.59068620784956</v>
      </c>
      <c r="E949" s="23">
        <f t="shared" si="65"/>
        <v>-3.7749136722760568</v>
      </c>
      <c r="F949" s="23">
        <f t="shared" si="66"/>
        <v>3.7749136722760568</v>
      </c>
    </row>
    <row r="950" spans="1:6" x14ac:dyDescent="0.3">
      <c r="A950" s="2">
        <v>42779</v>
      </c>
      <c r="B950" s="1">
        <v>33.322499999999998</v>
      </c>
      <c r="C950" s="1">
        <f>'Historical Simulation'!D950</f>
        <v>134.05000000000001</v>
      </c>
      <c r="D950" s="22">
        <f t="shared" si="64"/>
        <v>703.36559988012561</v>
      </c>
      <c r="E950" s="23">
        <f t="shared" si="65"/>
        <v>-2.5845061869712254</v>
      </c>
      <c r="F950" s="23">
        <f t="shared" si="66"/>
        <v>2.5845061869712254</v>
      </c>
    </row>
    <row r="951" spans="1:6" x14ac:dyDescent="0.3">
      <c r="A951" s="2">
        <v>42776</v>
      </c>
      <c r="B951" s="1">
        <v>33.03</v>
      </c>
      <c r="C951" s="1">
        <f>'Historical Simulation'!D951</f>
        <v>134.19</v>
      </c>
      <c r="D951" s="22">
        <f t="shared" si="64"/>
        <v>705.95010606709684</v>
      </c>
      <c r="E951" s="23">
        <f t="shared" si="65"/>
        <v>0.75650467831542301</v>
      </c>
      <c r="F951" s="23">
        <f t="shared" si="66"/>
        <v>-0.75650467831542301</v>
      </c>
    </row>
    <row r="952" spans="1:6" x14ac:dyDescent="0.3">
      <c r="A952" s="2">
        <v>42775</v>
      </c>
      <c r="B952" s="1">
        <v>33.104999999999997</v>
      </c>
      <c r="C952" s="1">
        <f>'Historical Simulation'!D952</f>
        <v>134.13999999999999</v>
      </c>
      <c r="D952" s="22">
        <f t="shared" si="64"/>
        <v>705.19360138878142</v>
      </c>
      <c r="E952" s="23">
        <f t="shared" si="65"/>
        <v>-0.93606580111099902</v>
      </c>
      <c r="F952" s="23">
        <f t="shared" si="66"/>
        <v>0.93606580111099902</v>
      </c>
    </row>
    <row r="953" spans="1:6" x14ac:dyDescent="0.3">
      <c r="A953" s="2">
        <v>42774</v>
      </c>
      <c r="B953" s="1">
        <v>33.01</v>
      </c>
      <c r="C953" s="1">
        <f>'Historical Simulation'!D953</f>
        <v>134.19999999999999</v>
      </c>
      <c r="D953" s="22">
        <f t="shared" si="64"/>
        <v>706.12966718989242</v>
      </c>
      <c r="E953" s="23">
        <f t="shared" si="65"/>
        <v>14.978173554713067</v>
      </c>
      <c r="F953" s="23">
        <f t="shared" si="66"/>
        <v>-14.978173554713067</v>
      </c>
    </row>
    <row r="954" spans="1:6" x14ac:dyDescent="0.3">
      <c r="A954" s="2">
        <v>42773</v>
      </c>
      <c r="B954" s="1">
        <v>32.8825</v>
      </c>
      <c r="C954" s="1">
        <f>'Historical Simulation'!D954</f>
        <v>131.84</v>
      </c>
      <c r="D954" s="22">
        <f t="shared" si="64"/>
        <v>691.15149363517935</v>
      </c>
      <c r="E954" s="23">
        <f t="shared" si="65"/>
        <v>-3.2155798360573726</v>
      </c>
      <c r="F954" s="23">
        <f t="shared" si="66"/>
        <v>3.2155798360573726</v>
      </c>
    </row>
    <row r="955" spans="1:6" x14ac:dyDescent="0.3">
      <c r="A955" s="2">
        <v>42772</v>
      </c>
      <c r="B955" s="1">
        <v>32.572499999999998</v>
      </c>
      <c r="C955" s="1">
        <f>'Historical Simulation'!D955</f>
        <v>132.06</v>
      </c>
      <c r="D955" s="22">
        <f t="shared" si="64"/>
        <v>694.36707347123672</v>
      </c>
      <c r="E955" s="23">
        <f t="shared" si="65"/>
        <v>5.4744590991221003</v>
      </c>
      <c r="F955" s="23">
        <f t="shared" si="66"/>
        <v>-5.4744590991221003</v>
      </c>
    </row>
    <row r="956" spans="1:6" x14ac:dyDescent="0.3">
      <c r="A956" s="2">
        <v>42769</v>
      </c>
      <c r="B956" s="1">
        <v>32.270000000000003</v>
      </c>
      <c r="C956" s="1">
        <f>'Historical Simulation'!D956</f>
        <v>130.97999999999999</v>
      </c>
      <c r="D956" s="22">
        <f t="shared" si="64"/>
        <v>688.89261437211462</v>
      </c>
      <c r="E956" s="23">
        <f t="shared" si="65"/>
        <v>0.15413009356609564</v>
      </c>
      <c r="F956" s="23">
        <f t="shared" si="66"/>
        <v>-0.15413009356609564</v>
      </c>
    </row>
    <row r="957" spans="1:6" x14ac:dyDescent="0.3">
      <c r="A957" s="2">
        <v>42768</v>
      </c>
      <c r="B957" s="1">
        <v>32.1325</v>
      </c>
      <c r="C957" s="1">
        <f>'Historical Simulation'!D957</f>
        <v>130.84</v>
      </c>
      <c r="D957" s="22">
        <f t="shared" si="64"/>
        <v>688.73848427854853</v>
      </c>
      <c r="E957" s="23">
        <f t="shared" si="65"/>
        <v>-15.587507390931705</v>
      </c>
      <c r="F957" s="23">
        <f t="shared" si="66"/>
        <v>15.587507390931705</v>
      </c>
    </row>
    <row r="958" spans="1:6" x14ac:dyDescent="0.3">
      <c r="A958" s="2">
        <v>42767</v>
      </c>
      <c r="B958" s="1">
        <v>32.1875</v>
      </c>
      <c r="C958" s="1">
        <f>'Historical Simulation'!D958</f>
        <v>133.22999999999999</v>
      </c>
      <c r="D958" s="22">
        <f t="shared" si="64"/>
        <v>704.32599166948023</v>
      </c>
      <c r="E958" s="23">
        <f t="shared" si="65"/>
        <v>8.9011596721146589</v>
      </c>
      <c r="F958" s="23">
        <f t="shared" si="66"/>
        <v>-8.9011596721146589</v>
      </c>
    </row>
    <row r="959" spans="1:6" x14ac:dyDescent="0.3">
      <c r="A959" s="2">
        <v>42766</v>
      </c>
      <c r="B959" s="1">
        <v>30.337499999999999</v>
      </c>
      <c r="C959" s="1">
        <f>'Historical Simulation'!D959</f>
        <v>130.32</v>
      </c>
      <c r="D959" s="22">
        <f t="shared" si="64"/>
        <v>695.42483199736557</v>
      </c>
      <c r="E959" s="23">
        <f t="shared" si="65"/>
        <v>-3.9947020816487111</v>
      </c>
      <c r="F959" s="23">
        <f t="shared" si="66"/>
        <v>3.9947020816487111</v>
      </c>
    </row>
    <row r="960" spans="1:6" x14ac:dyDescent="0.3">
      <c r="A960" s="2">
        <v>42765</v>
      </c>
      <c r="B960" s="1">
        <v>30.407499999999999</v>
      </c>
      <c r="C960" s="1">
        <f>'Historical Simulation'!D960</f>
        <v>130.97999999999999</v>
      </c>
      <c r="D960" s="22">
        <f t="shared" si="64"/>
        <v>699.41953407901428</v>
      </c>
      <c r="E960" s="23">
        <f t="shared" si="65"/>
        <v>-7.5302819177062474</v>
      </c>
      <c r="F960" s="23">
        <f t="shared" si="66"/>
        <v>7.5302819177062474</v>
      </c>
    </row>
    <row r="961" spans="1:6" x14ac:dyDescent="0.3">
      <c r="A961" s="2">
        <v>42762</v>
      </c>
      <c r="B961" s="1">
        <v>30.487500000000001</v>
      </c>
      <c r="C961" s="1">
        <f>'Historical Simulation'!D961</f>
        <v>132.18</v>
      </c>
      <c r="D961" s="22">
        <f t="shared" si="64"/>
        <v>706.94981599672053</v>
      </c>
      <c r="E961" s="23">
        <f t="shared" si="65"/>
        <v>-4.0053525494803353</v>
      </c>
      <c r="F961" s="23">
        <f t="shared" si="66"/>
        <v>4.0053525494803353</v>
      </c>
    </row>
    <row r="962" spans="1:6" x14ac:dyDescent="0.3">
      <c r="A962" s="2">
        <v>42761</v>
      </c>
      <c r="B962" s="1">
        <v>30.484999999999999</v>
      </c>
      <c r="C962" s="1">
        <f>'Historical Simulation'!D962</f>
        <v>132.78</v>
      </c>
      <c r="D962" s="22">
        <f t="shared" si="64"/>
        <v>710.95516854620087</v>
      </c>
      <c r="E962" s="23">
        <f t="shared" si="65"/>
        <v>8.5628680930825567</v>
      </c>
      <c r="F962" s="23">
        <f t="shared" si="66"/>
        <v>-8.5628680930825567</v>
      </c>
    </row>
    <row r="963" spans="1:6" x14ac:dyDescent="0.3">
      <c r="A963" s="2">
        <v>42760</v>
      </c>
      <c r="B963" s="1">
        <v>30.47</v>
      </c>
      <c r="C963" s="1">
        <f>'Historical Simulation'!D963</f>
        <v>131.47999999999999</v>
      </c>
      <c r="D963" s="22">
        <f t="shared" si="64"/>
        <v>702.39230045311831</v>
      </c>
      <c r="E963" s="23">
        <f t="shared" si="65"/>
        <v>11.336951098799204</v>
      </c>
      <c r="F963" s="23">
        <f t="shared" si="66"/>
        <v>-11.336951098799204</v>
      </c>
    </row>
    <row r="964" spans="1:6" x14ac:dyDescent="0.3">
      <c r="A964" s="2">
        <v>42759</v>
      </c>
      <c r="B964" s="1">
        <v>29.9925</v>
      </c>
      <c r="C964" s="1">
        <f>'Historical Simulation'!D964</f>
        <v>129.37</v>
      </c>
      <c r="D964" s="22">
        <f t="shared" si="64"/>
        <v>691.05534935431911</v>
      </c>
      <c r="E964" s="23">
        <f t="shared" si="65"/>
        <v>3.082327496899552</v>
      </c>
      <c r="F964" s="23">
        <f t="shared" si="66"/>
        <v>-3.082327496899552</v>
      </c>
    </row>
    <row r="965" spans="1:6" x14ac:dyDescent="0.3">
      <c r="A965" s="2">
        <v>42758</v>
      </c>
      <c r="B965" s="1">
        <v>30.02</v>
      </c>
      <c r="C965" s="1">
        <f>'Historical Simulation'!D965</f>
        <v>128.93</v>
      </c>
      <c r="D965" s="22">
        <f t="shared" si="64"/>
        <v>687.97302185741955</v>
      </c>
      <c r="E965" s="23">
        <f t="shared" si="65"/>
        <v>12.459309987598544</v>
      </c>
      <c r="F965" s="23">
        <f t="shared" si="66"/>
        <v>-12.459309987598544</v>
      </c>
    </row>
    <row r="966" spans="1:6" x14ac:dyDescent="0.3">
      <c r="A966" s="2">
        <v>42755</v>
      </c>
      <c r="B966" s="1">
        <v>30</v>
      </c>
      <c r="C966" s="1">
        <f>'Historical Simulation'!D966</f>
        <v>127.04</v>
      </c>
      <c r="D966" s="22">
        <f t="shared" ref="D966:D1029" si="67">$M$16*B966+(1-$M$16)*C966</f>
        <v>675.51371186982101</v>
      </c>
      <c r="E966" s="23">
        <f t="shared" ref="E966:E1029" si="68">D966-D967</f>
        <v>-3.703401145985481</v>
      </c>
      <c r="F966" s="23">
        <f t="shared" ref="F966:F1029" si="69">-E966</f>
        <v>3.703401145985481</v>
      </c>
    </row>
    <row r="967" spans="1:6" x14ac:dyDescent="0.3">
      <c r="A967" s="2">
        <v>42754</v>
      </c>
      <c r="B967" s="1">
        <v>29.945</v>
      </c>
      <c r="C967" s="1">
        <f>'Historical Simulation'!D967</f>
        <v>127.55</v>
      </c>
      <c r="D967" s="22">
        <f t="shared" si="67"/>
        <v>679.21711301580649</v>
      </c>
      <c r="E967" s="23">
        <f t="shared" si="68"/>
        <v>-2.1645218829212354</v>
      </c>
      <c r="F967" s="23">
        <f t="shared" si="69"/>
        <v>2.1645218829212354</v>
      </c>
    </row>
    <row r="968" spans="1:6" x14ac:dyDescent="0.3">
      <c r="A968" s="2">
        <v>42753</v>
      </c>
      <c r="B968" s="1">
        <v>29.997499999999999</v>
      </c>
      <c r="C968" s="1">
        <f>'Historical Simulation'!D968</f>
        <v>127.92</v>
      </c>
      <c r="D968" s="22">
        <f t="shared" si="67"/>
        <v>681.38163489872773</v>
      </c>
      <c r="E968" s="23">
        <f t="shared" si="68"/>
        <v>0.34673196489256952</v>
      </c>
      <c r="F968" s="23">
        <f t="shared" si="69"/>
        <v>-0.34673196489256952</v>
      </c>
    </row>
    <row r="969" spans="1:6" x14ac:dyDescent="0.3">
      <c r="A969" s="2">
        <v>42752</v>
      </c>
      <c r="B969" s="1">
        <v>30</v>
      </c>
      <c r="C969" s="1">
        <f>'Historical Simulation'!D969</f>
        <v>127.87</v>
      </c>
      <c r="D969" s="22">
        <f t="shared" si="67"/>
        <v>681.03490293383516</v>
      </c>
      <c r="E969" s="23">
        <f t="shared" si="68"/>
        <v>-4.4829465728316791</v>
      </c>
      <c r="F969" s="23">
        <f t="shared" si="69"/>
        <v>4.4829465728316791</v>
      </c>
    </row>
    <row r="970" spans="1:6" x14ac:dyDescent="0.3">
      <c r="A970" s="2">
        <v>42751</v>
      </c>
      <c r="B970" s="1">
        <v>29.76</v>
      </c>
      <c r="C970" s="1">
        <f>'Historical Simulation'!D970</f>
        <v>128.34</v>
      </c>
      <c r="D970" s="22">
        <f t="shared" si="67"/>
        <v>685.51784950666683</v>
      </c>
      <c r="E970" s="23">
        <f t="shared" si="68"/>
        <v>0</v>
      </c>
      <c r="F970" s="23">
        <f t="shared" si="69"/>
        <v>0</v>
      </c>
    </row>
    <row r="971" spans="1:6" x14ac:dyDescent="0.3">
      <c r="A971" s="2">
        <v>42748</v>
      </c>
      <c r="B971" s="1">
        <v>29.76</v>
      </c>
      <c r="C971" s="1">
        <f>'Historical Simulation'!D971</f>
        <v>128.34</v>
      </c>
      <c r="D971" s="22">
        <f t="shared" si="67"/>
        <v>685.51784950666683</v>
      </c>
      <c r="E971" s="23">
        <f t="shared" si="68"/>
        <v>11.738236338512593</v>
      </c>
      <c r="F971" s="23">
        <f t="shared" si="69"/>
        <v>-11.738236338512593</v>
      </c>
    </row>
    <row r="972" spans="1:6" x14ac:dyDescent="0.3">
      <c r="A972" s="2">
        <v>42747</v>
      </c>
      <c r="B972" s="1">
        <v>29.8125</v>
      </c>
      <c r="C972" s="1">
        <f>'Historical Simulation'!D972</f>
        <v>126.62</v>
      </c>
      <c r="D972" s="22">
        <f t="shared" si="67"/>
        <v>673.77961316815424</v>
      </c>
      <c r="E972" s="23">
        <f t="shared" si="68"/>
        <v>4.2320845143727865</v>
      </c>
      <c r="F972" s="23">
        <f t="shared" si="69"/>
        <v>-4.2320845143727865</v>
      </c>
    </row>
    <row r="973" spans="1:6" x14ac:dyDescent="0.3">
      <c r="A973" s="2">
        <v>42746</v>
      </c>
      <c r="B973" s="1">
        <v>29.9375</v>
      </c>
      <c r="C973" s="1">
        <f>'Historical Simulation'!D973</f>
        <v>126.09</v>
      </c>
      <c r="D973" s="22">
        <f t="shared" si="67"/>
        <v>669.54752865378146</v>
      </c>
      <c r="E973" s="23">
        <f t="shared" si="68"/>
        <v>10.670219133906926</v>
      </c>
      <c r="F973" s="23">
        <f t="shared" si="69"/>
        <v>-10.670219133906926</v>
      </c>
    </row>
    <row r="974" spans="1:6" x14ac:dyDescent="0.3">
      <c r="A974" s="2">
        <v>42745</v>
      </c>
      <c r="B974" s="1">
        <v>29.7775</v>
      </c>
      <c r="C974" s="1">
        <f>'Historical Simulation'!D974</f>
        <v>124.35</v>
      </c>
      <c r="D974" s="22">
        <f t="shared" si="67"/>
        <v>658.87730951987453</v>
      </c>
      <c r="E974" s="23">
        <f t="shared" si="68"/>
        <v>-3.8281817073835782</v>
      </c>
      <c r="F974" s="23">
        <f t="shared" si="69"/>
        <v>3.8281817073835782</v>
      </c>
    </row>
    <row r="975" spans="1:6" x14ac:dyDescent="0.3">
      <c r="A975" s="2">
        <v>42744</v>
      </c>
      <c r="B975" s="1">
        <v>29.747499999999999</v>
      </c>
      <c r="C975" s="1">
        <f>'Historical Simulation'!D975</f>
        <v>124.9</v>
      </c>
      <c r="D975" s="22">
        <f t="shared" si="67"/>
        <v>662.70549122725811</v>
      </c>
      <c r="E975" s="23">
        <f t="shared" si="68"/>
        <v>8.3854856603584267</v>
      </c>
      <c r="F975" s="23">
        <f t="shared" si="69"/>
        <v>-8.3854856603584267</v>
      </c>
    </row>
    <row r="976" spans="1:6" x14ac:dyDescent="0.3">
      <c r="A976" s="2">
        <v>42741</v>
      </c>
      <c r="B976" s="1">
        <v>29.477499999999999</v>
      </c>
      <c r="C976" s="1">
        <f>'Historical Simulation'!D976</f>
        <v>123.41</v>
      </c>
      <c r="D976" s="22">
        <f t="shared" si="67"/>
        <v>654.32000556689968</v>
      </c>
      <c r="E976" s="23">
        <f t="shared" si="68"/>
        <v>16.389670385053705</v>
      </c>
      <c r="F976" s="23">
        <f t="shared" si="69"/>
        <v>-16.389670385053705</v>
      </c>
    </row>
    <row r="977" spans="1:6" x14ac:dyDescent="0.3">
      <c r="A977" s="2">
        <v>42740</v>
      </c>
      <c r="B977" s="1">
        <v>29.1525</v>
      </c>
      <c r="C977" s="1">
        <f>'Historical Simulation'!D977</f>
        <v>120.67</v>
      </c>
      <c r="D977" s="22">
        <f t="shared" si="67"/>
        <v>637.93033518184598</v>
      </c>
      <c r="E977" s="23">
        <f t="shared" si="68"/>
        <v>12.337358584103981</v>
      </c>
      <c r="F977" s="23">
        <f t="shared" si="69"/>
        <v>-12.337358584103981</v>
      </c>
    </row>
    <row r="978" spans="1:6" x14ac:dyDescent="0.3">
      <c r="A978" s="2">
        <v>42739</v>
      </c>
      <c r="B978" s="1">
        <v>29.004999999999999</v>
      </c>
      <c r="C978" s="1">
        <f>'Historical Simulation'!D978</f>
        <v>118.69</v>
      </c>
      <c r="D978" s="22">
        <f t="shared" si="67"/>
        <v>625.59297659774199</v>
      </c>
      <c r="E978" s="23">
        <f t="shared" si="68"/>
        <v>12.356919706899703</v>
      </c>
      <c r="F978" s="23">
        <f t="shared" si="69"/>
        <v>-12.356919706899703</v>
      </c>
    </row>
    <row r="979" spans="1:6" x14ac:dyDescent="0.3">
      <c r="A979" s="2">
        <v>42738</v>
      </c>
      <c r="B979" s="1">
        <v>29.037500000000001</v>
      </c>
      <c r="C979" s="1">
        <f>'Historical Simulation'!D979</f>
        <v>116.86</v>
      </c>
      <c r="D979" s="22">
        <f t="shared" si="67"/>
        <v>613.23605689084229</v>
      </c>
      <c r="E979" s="23">
        <f t="shared" si="68"/>
        <v>11.573894654318906</v>
      </c>
      <c r="F979" s="23">
        <f t="shared" si="69"/>
        <v>-11.573894654318906</v>
      </c>
    </row>
    <row r="980" spans="1:6" x14ac:dyDescent="0.3">
      <c r="A980" s="2">
        <v>42737</v>
      </c>
      <c r="B980" s="1">
        <v>28.954999999999998</v>
      </c>
      <c r="C980" s="1">
        <f>'Historical Simulation'!D980</f>
        <v>115.05</v>
      </c>
      <c r="D980" s="22">
        <f t="shared" si="67"/>
        <v>601.66216223652339</v>
      </c>
      <c r="E980" s="23">
        <f t="shared" si="68"/>
        <v>0</v>
      </c>
      <c r="F980" s="23">
        <f t="shared" si="69"/>
        <v>0</v>
      </c>
    </row>
    <row r="981" spans="1:6" x14ac:dyDescent="0.3">
      <c r="A981" s="2">
        <v>42734</v>
      </c>
      <c r="B981" s="1">
        <v>28.954999999999998</v>
      </c>
      <c r="C981" s="1">
        <f>'Historical Simulation'!D981</f>
        <v>115.05</v>
      </c>
      <c r="D981" s="22">
        <f t="shared" si="67"/>
        <v>601.66216223652339</v>
      </c>
      <c r="E981" s="23">
        <f t="shared" si="68"/>
        <v>-7.3618101399462148</v>
      </c>
      <c r="F981" s="23">
        <f t="shared" si="69"/>
        <v>7.3618101399462148</v>
      </c>
    </row>
    <row r="982" spans="1:6" x14ac:dyDescent="0.3">
      <c r="A982" s="2">
        <v>42733</v>
      </c>
      <c r="B982" s="1">
        <v>29.182500000000001</v>
      </c>
      <c r="C982" s="1">
        <f>'Historical Simulation'!D982</f>
        <v>116.35</v>
      </c>
      <c r="D982" s="22">
        <f t="shared" si="67"/>
        <v>609.0239723764696</v>
      </c>
      <c r="E982" s="23">
        <f t="shared" si="68"/>
        <v>-3.7492710524193171</v>
      </c>
      <c r="F982" s="23">
        <f t="shared" si="69"/>
        <v>3.7492710524193171</v>
      </c>
    </row>
    <row r="983" spans="1:6" x14ac:dyDescent="0.3">
      <c r="A983" s="2">
        <v>42732</v>
      </c>
      <c r="B983" s="1">
        <v>29.19</v>
      </c>
      <c r="C983" s="1">
        <f>'Historical Simulation'!D983</f>
        <v>116.92</v>
      </c>
      <c r="D983" s="22">
        <f t="shared" si="67"/>
        <v>612.77324342888892</v>
      </c>
      <c r="E983" s="23">
        <f t="shared" si="68"/>
        <v>-6.5442161165950665</v>
      </c>
      <c r="F983" s="23">
        <f t="shared" si="69"/>
        <v>6.5442161165950665</v>
      </c>
    </row>
    <row r="984" spans="1:6" x14ac:dyDescent="0.3">
      <c r="A984" s="2">
        <v>42731</v>
      </c>
      <c r="B984" s="1">
        <v>29.315000000000001</v>
      </c>
      <c r="C984" s="1">
        <f>'Historical Simulation'!D984</f>
        <v>118.01</v>
      </c>
      <c r="D984" s="22">
        <f t="shared" si="67"/>
        <v>619.31745954548398</v>
      </c>
      <c r="E984" s="23">
        <f t="shared" si="68"/>
        <v>3.8768807717204936</v>
      </c>
      <c r="F984" s="23">
        <f t="shared" si="69"/>
        <v>-3.8768807717204936</v>
      </c>
    </row>
    <row r="985" spans="1:6" x14ac:dyDescent="0.3">
      <c r="A985" s="2">
        <v>42730</v>
      </c>
      <c r="B985" s="1">
        <v>29.13</v>
      </c>
      <c r="C985" s="1">
        <f>'Historical Simulation'!D985</f>
        <v>117.27</v>
      </c>
      <c r="D985" s="22">
        <f t="shared" si="67"/>
        <v>615.44057877376349</v>
      </c>
      <c r="E985" s="23">
        <f t="shared" si="68"/>
        <v>0</v>
      </c>
      <c r="F985" s="23">
        <f t="shared" si="69"/>
        <v>0</v>
      </c>
    </row>
    <row r="986" spans="1:6" x14ac:dyDescent="0.3">
      <c r="A986" s="2">
        <v>42727</v>
      </c>
      <c r="B986" s="1">
        <v>29.13</v>
      </c>
      <c r="C986" s="1">
        <f>'Historical Simulation'!D986</f>
        <v>117.27</v>
      </c>
      <c r="D986" s="22">
        <f t="shared" si="67"/>
        <v>615.44057877376349</v>
      </c>
      <c r="E986" s="23">
        <f t="shared" si="68"/>
        <v>-1.1897570174731982</v>
      </c>
      <c r="F986" s="23">
        <f t="shared" si="69"/>
        <v>1.1897570174731982</v>
      </c>
    </row>
    <row r="987" spans="1:6" x14ac:dyDescent="0.3">
      <c r="A987" s="2">
        <v>42726</v>
      </c>
      <c r="B987" s="1">
        <v>29.072500000000002</v>
      </c>
      <c r="C987" s="1">
        <f>'Historical Simulation'!D987</f>
        <v>117.4</v>
      </c>
      <c r="D987" s="22">
        <f t="shared" si="67"/>
        <v>616.63033579123669</v>
      </c>
      <c r="E987" s="23">
        <f t="shared" si="68"/>
        <v>-9.8213241748924247</v>
      </c>
      <c r="F987" s="23">
        <f t="shared" si="69"/>
        <v>9.8213241748924247</v>
      </c>
    </row>
    <row r="988" spans="1:6" x14ac:dyDescent="0.3">
      <c r="A988" s="2">
        <v>42725</v>
      </c>
      <c r="B988" s="1">
        <v>29.265000000000001</v>
      </c>
      <c r="C988" s="1">
        <f>'Historical Simulation'!D988</f>
        <v>119.04</v>
      </c>
      <c r="D988" s="22">
        <f t="shared" si="67"/>
        <v>626.45165996612911</v>
      </c>
      <c r="E988" s="23">
        <f t="shared" si="68"/>
        <v>-0.48803290055559501</v>
      </c>
      <c r="F988" s="23">
        <f t="shared" si="69"/>
        <v>0.48803290055559501</v>
      </c>
    </row>
    <row r="989" spans="1:6" x14ac:dyDescent="0.3">
      <c r="A989" s="2">
        <v>42724</v>
      </c>
      <c r="B989" s="1">
        <v>29.237500000000001</v>
      </c>
      <c r="C989" s="1">
        <f>'Historical Simulation'!D989</f>
        <v>119.09</v>
      </c>
      <c r="D989" s="22">
        <f t="shared" si="67"/>
        <v>626.93969286668471</v>
      </c>
      <c r="E989" s="23">
        <f t="shared" si="68"/>
        <v>-1.435838514533998</v>
      </c>
      <c r="F989" s="23">
        <f t="shared" si="69"/>
        <v>1.435838514533998</v>
      </c>
    </row>
    <row r="990" spans="1:6" x14ac:dyDescent="0.3">
      <c r="A990" s="2">
        <v>42723</v>
      </c>
      <c r="B990" s="1">
        <v>29.16</v>
      </c>
      <c r="C990" s="1">
        <f>'Historical Simulation'!D990</f>
        <v>119.24</v>
      </c>
      <c r="D990" s="22">
        <f t="shared" si="67"/>
        <v>628.37553138121871</v>
      </c>
      <c r="E990" s="23">
        <f t="shared" si="68"/>
        <v>-5.137499847652407</v>
      </c>
      <c r="F990" s="23">
        <f t="shared" si="69"/>
        <v>5.137499847652407</v>
      </c>
    </row>
    <row r="991" spans="1:6" x14ac:dyDescent="0.3">
      <c r="A991" s="2">
        <v>42720</v>
      </c>
      <c r="B991" s="1">
        <v>28.9925</v>
      </c>
      <c r="C991" s="1">
        <f>'Historical Simulation'!D991</f>
        <v>119.87</v>
      </c>
      <c r="D991" s="22">
        <f t="shared" si="67"/>
        <v>633.51303122887111</v>
      </c>
      <c r="E991" s="23">
        <f t="shared" si="68"/>
        <v>-4.868377602060832</v>
      </c>
      <c r="F991" s="23">
        <f t="shared" si="69"/>
        <v>4.868377602060832</v>
      </c>
    </row>
    <row r="992" spans="1:6" x14ac:dyDescent="0.3">
      <c r="A992" s="2">
        <v>42719</v>
      </c>
      <c r="B992" s="1">
        <v>28.954999999999998</v>
      </c>
      <c r="C992" s="1">
        <f>'Historical Simulation'!D992</f>
        <v>120.57</v>
      </c>
      <c r="D992" s="22">
        <f t="shared" si="67"/>
        <v>638.38140883093195</v>
      </c>
      <c r="E992" s="23">
        <f t="shared" si="68"/>
        <v>1.5045375788710089</v>
      </c>
      <c r="F992" s="23">
        <f t="shared" si="69"/>
        <v>-1.5045375788710089</v>
      </c>
    </row>
    <row r="993" spans="1:6" x14ac:dyDescent="0.3">
      <c r="A993" s="2">
        <v>42718</v>
      </c>
      <c r="B993" s="1">
        <v>28.797499999999999</v>
      </c>
      <c r="C993" s="1">
        <f>'Historical Simulation'!D993</f>
        <v>120.21</v>
      </c>
      <c r="D993" s="22">
        <f t="shared" si="67"/>
        <v>636.87687125206094</v>
      </c>
      <c r="E993" s="23">
        <f t="shared" si="68"/>
        <v>-0.66520374265246573</v>
      </c>
      <c r="F993" s="23">
        <f t="shared" si="69"/>
        <v>0.66520374265246573</v>
      </c>
    </row>
    <row r="994" spans="1:6" x14ac:dyDescent="0.3">
      <c r="A994" s="2">
        <v>42717</v>
      </c>
      <c r="B994" s="1">
        <v>28.797499999999999</v>
      </c>
      <c r="C994" s="1">
        <f>'Historical Simulation'!D994</f>
        <v>120.31</v>
      </c>
      <c r="D994" s="22">
        <f t="shared" si="67"/>
        <v>637.5420749947134</v>
      </c>
      <c r="E994" s="23">
        <f t="shared" si="68"/>
        <v>14.225587379337071</v>
      </c>
      <c r="F994" s="23">
        <f t="shared" si="69"/>
        <v>-14.225587379337071</v>
      </c>
    </row>
    <row r="995" spans="1:6" x14ac:dyDescent="0.3">
      <c r="A995" s="2">
        <v>42716</v>
      </c>
      <c r="B995" s="1">
        <v>28.324999999999999</v>
      </c>
      <c r="C995" s="1">
        <f>'Historical Simulation'!D995</f>
        <v>117.77</v>
      </c>
      <c r="D995" s="22">
        <f t="shared" si="67"/>
        <v>623.31648761537633</v>
      </c>
      <c r="E995" s="23">
        <f t="shared" si="68"/>
        <v>-11.786935402849508</v>
      </c>
      <c r="F995" s="23">
        <f t="shared" si="69"/>
        <v>11.786935402849508</v>
      </c>
    </row>
    <row r="996" spans="1:6" x14ac:dyDescent="0.3">
      <c r="A996" s="2">
        <v>42713</v>
      </c>
      <c r="B996" s="1">
        <v>28.487500000000001</v>
      </c>
      <c r="C996" s="1">
        <f>'Historical Simulation'!D996</f>
        <v>119.68</v>
      </c>
      <c r="D996" s="22">
        <f t="shared" si="67"/>
        <v>635.10342301822584</v>
      </c>
      <c r="E996" s="23">
        <f t="shared" si="68"/>
        <v>2.5362616957884256</v>
      </c>
      <c r="F996" s="23">
        <f t="shared" si="69"/>
        <v>-2.5362616957884256</v>
      </c>
    </row>
    <row r="997" spans="1:6" x14ac:dyDescent="0.3">
      <c r="A997" s="2">
        <v>42712</v>
      </c>
      <c r="B997" s="1">
        <v>28.03</v>
      </c>
      <c r="C997" s="1">
        <f>'Historical Simulation'!D997</f>
        <v>118.91</v>
      </c>
      <c r="D997" s="22">
        <f t="shared" si="67"/>
        <v>632.56716132243741</v>
      </c>
      <c r="E997" s="23">
        <f t="shared" si="68"/>
        <v>4.8457757307348857</v>
      </c>
      <c r="F997" s="23">
        <f t="shared" si="69"/>
        <v>-4.8457757307348857</v>
      </c>
    </row>
    <row r="998" spans="1:6" x14ac:dyDescent="0.3">
      <c r="A998" s="2">
        <v>42711</v>
      </c>
      <c r="B998" s="1">
        <v>27.7575</v>
      </c>
      <c r="C998" s="1">
        <f>'Historical Simulation'!D998</f>
        <v>117.95</v>
      </c>
      <c r="D998" s="22">
        <f t="shared" si="67"/>
        <v>627.72138559170253</v>
      </c>
      <c r="E998" s="23">
        <f t="shared" si="68"/>
        <v>2.7312538478136048</v>
      </c>
      <c r="F998" s="23">
        <f t="shared" si="69"/>
        <v>-2.7312538478136048</v>
      </c>
    </row>
    <row r="999" spans="1:6" x14ac:dyDescent="0.3">
      <c r="A999" s="2">
        <v>42710</v>
      </c>
      <c r="B999" s="1">
        <v>27.487500000000001</v>
      </c>
      <c r="C999" s="1">
        <f>'Historical Simulation'!D999</f>
        <v>117.31</v>
      </c>
      <c r="D999" s="22">
        <f t="shared" si="67"/>
        <v>624.99013174388892</v>
      </c>
      <c r="E999" s="23">
        <f t="shared" si="68"/>
        <v>-1.9851723507526913</v>
      </c>
      <c r="F999" s="23">
        <f t="shared" si="69"/>
        <v>1.9851723507526913</v>
      </c>
    </row>
    <row r="1000" spans="1:6" x14ac:dyDescent="0.3">
      <c r="A1000" s="2">
        <v>42709</v>
      </c>
      <c r="B1000" s="1">
        <v>27.2775</v>
      </c>
      <c r="C1000" s="1">
        <f>'Historical Simulation'!D1000</f>
        <v>117.43</v>
      </c>
      <c r="D1000" s="22">
        <f t="shared" si="67"/>
        <v>626.97530409464161</v>
      </c>
      <c r="E1000" s="23">
        <f t="shared" si="68"/>
        <v>14.61991336758058</v>
      </c>
      <c r="F1000" s="23">
        <f t="shared" si="69"/>
        <v>-14.61991336758058</v>
      </c>
    </row>
    <row r="1001" spans="1:6" x14ac:dyDescent="0.3">
      <c r="A1001" s="2">
        <v>42706</v>
      </c>
      <c r="B1001" s="1">
        <v>27.475000000000001</v>
      </c>
      <c r="C1001" s="1">
        <f>'Historical Simulation'!D1001</f>
        <v>115.4</v>
      </c>
      <c r="D1001" s="22">
        <f t="shared" si="67"/>
        <v>612.35539072706104</v>
      </c>
      <c r="E1001" s="23">
        <f t="shared" si="68"/>
        <v>1.4162773917383902</v>
      </c>
      <c r="F1001" s="23">
        <f t="shared" si="69"/>
        <v>-1.4162773917383902</v>
      </c>
    </row>
    <row r="1002" spans="1:6" x14ac:dyDescent="0.3">
      <c r="A1002" s="2">
        <v>42705</v>
      </c>
      <c r="B1002" s="1">
        <v>27.372499999999999</v>
      </c>
      <c r="C1002" s="1">
        <f>'Historical Simulation'!D1002</f>
        <v>115.1</v>
      </c>
      <c r="D1002" s="22">
        <f t="shared" si="67"/>
        <v>610.93911333532265</v>
      </c>
      <c r="E1002" s="23">
        <f t="shared" si="68"/>
        <v>-20.629364618727664</v>
      </c>
      <c r="F1002" s="23">
        <f t="shared" si="69"/>
        <v>20.629364618727664</v>
      </c>
    </row>
    <row r="1003" spans="1:6" x14ac:dyDescent="0.3">
      <c r="A1003" s="2">
        <v>42704</v>
      </c>
      <c r="B1003" s="1">
        <v>27.63</v>
      </c>
      <c r="C1003" s="1">
        <f>'Historical Simulation'!D1003</f>
        <v>118.42</v>
      </c>
      <c r="D1003" s="22">
        <f t="shared" si="67"/>
        <v>631.56847795405031</v>
      </c>
      <c r="E1003" s="23">
        <f t="shared" si="68"/>
        <v>-14.969262899749083</v>
      </c>
      <c r="F1003" s="23">
        <f t="shared" si="69"/>
        <v>14.969262899749083</v>
      </c>
    </row>
    <row r="1004" spans="1:6" x14ac:dyDescent="0.3">
      <c r="A1004" s="2">
        <v>42703</v>
      </c>
      <c r="B1004" s="1">
        <v>27.864999999999998</v>
      </c>
      <c r="C1004" s="1">
        <f>'Historical Simulation'!D1004</f>
        <v>120.87</v>
      </c>
      <c r="D1004" s="22">
        <f t="shared" si="67"/>
        <v>646.53774085379939</v>
      </c>
      <c r="E1004" s="23">
        <f t="shared" si="68"/>
        <v>3.2153682454301133</v>
      </c>
      <c r="F1004" s="23">
        <f t="shared" si="69"/>
        <v>-3.2153682454301133</v>
      </c>
    </row>
    <row r="1005" spans="1:6" x14ac:dyDescent="0.3">
      <c r="A1005" s="2">
        <v>42702</v>
      </c>
      <c r="B1005" s="1">
        <v>27.892499999999998</v>
      </c>
      <c r="C1005" s="1">
        <f>'Historical Simulation'!D1005</f>
        <v>120.41</v>
      </c>
      <c r="D1005" s="22">
        <f t="shared" si="67"/>
        <v>643.32237260836928</v>
      </c>
      <c r="E1005" s="23">
        <f t="shared" si="68"/>
        <v>0.51042318125462316</v>
      </c>
      <c r="F1005" s="23">
        <f t="shared" si="69"/>
        <v>-0.51042318125462316</v>
      </c>
    </row>
    <row r="1006" spans="1:6" x14ac:dyDescent="0.3">
      <c r="A1006" s="2">
        <v>42699</v>
      </c>
      <c r="B1006" s="1">
        <v>27.947500000000002</v>
      </c>
      <c r="C1006" s="1">
        <f>'Historical Simulation'!D1006</f>
        <v>120.38</v>
      </c>
      <c r="D1006" s="22">
        <f t="shared" si="67"/>
        <v>642.81194942711466</v>
      </c>
      <c r="E1006" s="23">
        <f t="shared" si="68"/>
        <v>-3.8512224559141259</v>
      </c>
      <c r="F1006" s="23">
        <f t="shared" si="69"/>
        <v>3.8512224559141259</v>
      </c>
    </row>
    <row r="1007" spans="1:6" x14ac:dyDescent="0.3">
      <c r="A1007" s="2">
        <v>42698</v>
      </c>
      <c r="B1007" s="1">
        <v>27.807500000000001</v>
      </c>
      <c r="C1007" s="1">
        <f>'Historical Simulation'!D1007</f>
        <v>120.84</v>
      </c>
      <c r="D1007" s="22">
        <f t="shared" si="67"/>
        <v>646.66317188302878</v>
      </c>
      <c r="E1007" s="23">
        <f t="shared" si="68"/>
        <v>0</v>
      </c>
      <c r="F1007" s="23">
        <f t="shared" si="69"/>
        <v>0</v>
      </c>
    </row>
    <row r="1008" spans="1:6" x14ac:dyDescent="0.3">
      <c r="A1008" s="2">
        <v>42697</v>
      </c>
      <c r="B1008" s="1">
        <v>27.807500000000001</v>
      </c>
      <c r="C1008" s="1">
        <f>'Historical Simulation'!D1008</f>
        <v>120.84</v>
      </c>
      <c r="D1008" s="22">
        <f t="shared" si="67"/>
        <v>646.66317188302878</v>
      </c>
      <c r="E1008" s="23">
        <f t="shared" si="68"/>
        <v>-3.3853682454300724</v>
      </c>
      <c r="F1008" s="23">
        <f t="shared" si="69"/>
        <v>3.3853682454300724</v>
      </c>
    </row>
    <row r="1009" spans="1:6" x14ac:dyDescent="0.3">
      <c r="A1009" s="2">
        <v>42696</v>
      </c>
      <c r="B1009" s="1">
        <v>27.95</v>
      </c>
      <c r="C1009" s="1">
        <f>'Historical Simulation'!D1009</f>
        <v>121.47</v>
      </c>
      <c r="D1009" s="22">
        <f t="shared" si="67"/>
        <v>650.04854012845885</v>
      </c>
      <c r="E1009" s="23">
        <f t="shared" si="68"/>
        <v>-2.0945218829211854</v>
      </c>
      <c r="F1009" s="23">
        <f t="shared" si="69"/>
        <v>2.0945218829211854</v>
      </c>
    </row>
    <row r="1010" spans="1:6" x14ac:dyDescent="0.3">
      <c r="A1010" s="2">
        <v>42695</v>
      </c>
      <c r="B1010" s="1">
        <v>27.932500000000001</v>
      </c>
      <c r="C1010" s="1">
        <f>'Historical Simulation'!D1010</f>
        <v>121.77</v>
      </c>
      <c r="D1010" s="22">
        <f t="shared" si="67"/>
        <v>652.14306201138004</v>
      </c>
      <c r="E1010" s="23">
        <f t="shared" si="68"/>
        <v>29.237452150412309</v>
      </c>
      <c r="F1010" s="23">
        <f t="shared" si="69"/>
        <v>-29.237452150412309</v>
      </c>
    </row>
    <row r="1011" spans="1:6" x14ac:dyDescent="0.3">
      <c r="A1011" s="2">
        <v>42692</v>
      </c>
      <c r="B1011" s="1">
        <v>27.515000000000001</v>
      </c>
      <c r="C1011" s="1">
        <f>'Historical Simulation'!D1011</f>
        <v>117.02</v>
      </c>
      <c r="D1011" s="22">
        <f t="shared" si="67"/>
        <v>622.90560986096773</v>
      </c>
      <c r="E1011" s="23">
        <f t="shared" si="68"/>
        <v>-5.2774998476523933</v>
      </c>
      <c r="F1011" s="23">
        <f t="shared" si="69"/>
        <v>5.2774998476523933</v>
      </c>
    </row>
    <row r="1012" spans="1:6" x14ac:dyDescent="0.3">
      <c r="A1012" s="2">
        <v>42691</v>
      </c>
      <c r="B1012" s="1">
        <v>27.487500000000001</v>
      </c>
      <c r="C1012" s="1">
        <f>'Historical Simulation'!D1012</f>
        <v>117.79</v>
      </c>
      <c r="D1012" s="22">
        <f t="shared" si="67"/>
        <v>628.18310970862012</v>
      </c>
      <c r="E1012" s="23">
        <f t="shared" si="68"/>
        <v>9.7019746427240534</v>
      </c>
      <c r="F1012" s="23">
        <f t="shared" si="69"/>
        <v>-9.7019746427240534</v>
      </c>
    </row>
    <row r="1013" spans="1:6" x14ac:dyDescent="0.3">
      <c r="A1013" s="2">
        <v>42690</v>
      </c>
      <c r="B1013" s="1">
        <v>27.497499999999999</v>
      </c>
      <c r="C1013" s="1">
        <f>'Historical Simulation'!D1013</f>
        <v>116.34</v>
      </c>
      <c r="D1013" s="22">
        <f t="shared" si="67"/>
        <v>618.48113506589607</v>
      </c>
      <c r="E1013" s="23">
        <f t="shared" si="68"/>
        <v>-9.7902191339069304</v>
      </c>
      <c r="F1013" s="23">
        <f t="shared" si="69"/>
        <v>9.7902191339069304</v>
      </c>
    </row>
    <row r="1014" spans="1:6" x14ac:dyDescent="0.3">
      <c r="A1014" s="2">
        <v>42689</v>
      </c>
      <c r="B1014" s="1">
        <v>26.7775</v>
      </c>
      <c r="C1014" s="1">
        <f>'Historical Simulation'!D1014</f>
        <v>117.2</v>
      </c>
      <c r="D1014" s="22">
        <f t="shared" si="67"/>
        <v>628.271354199803</v>
      </c>
      <c r="E1014" s="23">
        <f t="shared" si="68"/>
        <v>12.124106244946233</v>
      </c>
      <c r="F1014" s="23">
        <f t="shared" si="69"/>
        <v>-12.124106244946233</v>
      </c>
    </row>
    <row r="1015" spans="1:6" x14ac:dyDescent="0.3">
      <c r="A1015" s="2">
        <v>42688</v>
      </c>
      <c r="B1015" s="1">
        <v>26.427499999999998</v>
      </c>
      <c r="C1015" s="1">
        <f>'Historical Simulation'!D1015</f>
        <v>115.08</v>
      </c>
      <c r="D1015" s="22">
        <f t="shared" si="67"/>
        <v>616.14724795485677</v>
      </c>
      <c r="E1015" s="23">
        <f t="shared" si="68"/>
        <v>-22.36564201046599</v>
      </c>
      <c r="F1015" s="23">
        <f t="shared" si="69"/>
        <v>22.36564201046599</v>
      </c>
    </row>
    <row r="1016" spans="1:6" x14ac:dyDescent="0.3">
      <c r="A1016" s="2">
        <v>42685</v>
      </c>
      <c r="B1016" s="1">
        <v>27.107500000000002</v>
      </c>
      <c r="C1016" s="1">
        <f>'Historical Simulation'!D1016</f>
        <v>119.02</v>
      </c>
      <c r="D1016" s="22">
        <f t="shared" si="67"/>
        <v>638.51288996532276</v>
      </c>
      <c r="E1016" s="23">
        <f t="shared" si="68"/>
        <v>-12.744952607455161</v>
      </c>
      <c r="F1016" s="23">
        <f t="shared" si="69"/>
        <v>12.744952607455161</v>
      </c>
    </row>
    <row r="1017" spans="1:6" x14ac:dyDescent="0.3">
      <c r="A1017" s="2">
        <v>42684</v>
      </c>
      <c r="B1017" s="1">
        <v>26.947500000000002</v>
      </c>
      <c r="C1017" s="1">
        <f>'Historical Simulation'!D1017</f>
        <v>120.8</v>
      </c>
      <c r="D1017" s="22">
        <f t="shared" si="67"/>
        <v>651.25784257277792</v>
      </c>
      <c r="E1017" s="23">
        <f t="shared" si="68"/>
        <v>-11.465650163136274</v>
      </c>
      <c r="F1017" s="23">
        <f t="shared" si="69"/>
        <v>11.465650163136274</v>
      </c>
    </row>
    <row r="1018" spans="1:6" x14ac:dyDescent="0.3">
      <c r="A1018" s="2">
        <v>42683</v>
      </c>
      <c r="B1018" s="1">
        <v>27.72</v>
      </c>
      <c r="C1018" s="1">
        <f>'Historical Simulation'!D1018</f>
        <v>123.18</v>
      </c>
      <c r="D1018" s="22">
        <f t="shared" si="67"/>
        <v>662.72349273591419</v>
      </c>
      <c r="E1018" s="23">
        <f t="shared" si="68"/>
        <v>-6.6637772393905834</v>
      </c>
      <c r="F1018" s="23">
        <f t="shared" si="69"/>
        <v>6.6637772393905834</v>
      </c>
    </row>
    <row r="1019" spans="1:6" x14ac:dyDescent="0.3">
      <c r="A1019" s="2">
        <v>42682</v>
      </c>
      <c r="B1019" s="1">
        <v>27.765000000000001</v>
      </c>
      <c r="C1019" s="1">
        <f>'Historical Simulation'!D1019</f>
        <v>124.22</v>
      </c>
      <c r="D1019" s="22">
        <f t="shared" si="67"/>
        <v>669.38726997530478</v>
      </c>
      <c r="E1019" s="23">
        <f t="shared" si="68"/>
        <v>12.851261391093203</v>
      </c>
      <c r="F1019" s="23">
        <f t="shared" si="69"/>
        <v>-12.851261391093203</v>
      </c>
    </row>
    <row r="1020" spans="1:6" x14ac:dyDescent="0.3">
      <c r="A1020" s="2">
        <v>42681</v>
      </c>
      <c r="B1020" s="1">
        <v>27.602499999999999</v>
      </c>
      <c r="C1020" s="1">
        <f>'Historical Simulation'!D1020</f>
        <v>122.15</v>
      </c>
      <c r="D1020" s="22">
        <f t="shared" si="67"/>
        <v>656.53600858421157</v>
      </c>
      <c r="E1020" s="23">
        <f t="shared" si="68"/>
        <v>7.0944277072221666</v>
      </c>
      <c r="F1020" s="23">
        <f t="shared" si="69"/>
        <v>-7.0944277072221666</v>
      </c>
    </row>
    <row r="1021" spans="1:6" x14ac:dyDescent="0.3">
      <c r="A1021" s="2">
        <v>42678</v>
      </c>
      <c r="B1021" s="1">
        <v>27.21</v>
      </c>
      <c r="C1021" s="1">
        <f>'Historical Simulation'!D1021</f>
        <v>120.75</v>
      </c>
      <c r="D1021" s="22">
        <f t="shared" si="67"/>
        <v>649.44158087698941</v>
      </c>
      <c r="E1021" s="23">
        <f t="shared" si="68"/>
        <v>6.3879073329570701</v>
      </c>
      <c r="F1021" s="23">
        <f t="shared" si="69"/>
        <v>-6.3879073329570701</v>
      </c>
    </row>
    <row r="1022" spans="1:6" x14ac:dyDescent="0.3">
      <c r="A1022" s="2">
        <v>42677</v>
      </c>
      <c r="B1022" s="1">
        <v>27.4575</v>
      </c>
      <c r="C1022" s="1">
        <f>'Historical Simulation'!D1022</f>
        <v>120</v>
      </c>
      <c r="D1022" s="22">
        <f t="shared" si="67"/>
        <v>643.05367354403234</v>
      </c>
      <c r="E1022" s="23">
        <f t="shared" si="68"/>
        <v>-45.208211880501722</v>
      </c>
      <c r="F1022" s="23">
        <f t="shared" si="69"/>
        <v>45.208211880501722</v>
      </c>
    </row>
    <row r="1023" spans="1:6" x14ac:dyDescent="0.3">
      <c r="A1023" s="2">
        <v>42676</v>
      </c>
      <c r="B1023" s="1">
        <v>27.897500000000001</v>
      </c>
      <c r="C1023" s="1">
        <f>'Historical Simulation'!D1023</f>
        <v>127.17</v>
      </c>
      <c r="D1023" s="22">
        <f t="shared" si="67"/>
        <v>688.26188542453406</v>
      </c>
      <c r="E1023" s="23">
        <f t="shared" si="68"/>
        <v>-15.640548139462453</v>
      </c>
      <c r="F1023" s="23">
        <f t="shared" si="69"/>
        <v>15.640548139462453</v>
      </c>
    </row>
    <row r="1024" spans="1:6" x14ac:dyDescent="0.3">
      <c r="A1024" s="2">
        <v>42675</v>
      </c>
      <c r="B1024" s="1">
        <v>27.872499999999999</v>
      </c>
      <c r="C1024" s="1">
        <f>'Historical Simulation'!D1024</f>
        <v>129.5</v>
      </c>
      <c r="D1024" s="22">
        <f t="shared" si="67"/>
        <v>703.90243356399651</v>
      </c>
      <c r="E1024" s="23">
        <f t="shared" si="68"/>
        <v>-7.0148665844266134</v>
      </c>
      <c r="F1024" s="23">
        <f t="shared" si="69"/>
        <v>7.0148665844266134</v>
      </c>
    </row>
    <row r="1025" spans="1:6" x14ac:dyDescent="0.3">
      <c r="A1025" s="2">
        <v>42674</v>
      </c>
      <c r="B1025" s="1">
        <v>28.385000000000002</v>
      </c>
      <c r="C1025" s="1">
        <f>'Historical Simulation'!D1025</f>
        <v>130.99</v>
      </c>
      <c r="D1025" s="22">
        <f t="shared" si="67"/>
        <v>710.91730014842312</v>
      </c>
      <c r="E1025" s="23">
        <f t="shared" si="68"/>
        <v>-1.7412695437633374</v>
      </c>
      <c r="F1025" s="23">
        <f t="shared" si="69"/>
        <v>1.7412695437633374</v>
      </c>
    </row>
    <row r="1026" spans="1:6" x14ac:dyDescent="0.3">
      <c r="A1026" s="2">
        <v>42671</v>
      </c>
      <c r="B1026" s="1">
        <v>28.43</v>
      </c>
      <c r="C1026" s="1">
        <f>'Historical Simulation'!D1026</f>
        <v>131.29</v>
      </c>
      <c r="D1026" s="22">
        <f t="shared" si="67"/>
        <v>712.65856969218646</v>
      </c>
      <c r="E1026" s="23">
        <f t="shared" si="68"/>
        <v>11.717146993476831</v>
      </c>
      <c r="F1026" s="23">
        <f t="shared" si="69"/>
        <v>-11.717146993476831</v>
      </c>
    </row>
    <row r="1027" spans="1:6" x14ac:dyDescent="0.3">
      <c r="A1027" s="2">
        <v>42670</v>
      </c>
      <c r="B1027" s="1">
        <v>28.62</v>
      </c>
      <c r="C1027" s="1">
        <f>'Historical Simulation'!D1027</f>
        <v>129.69</v>
      </c>
      <c r="D1027" s="22">
        <f t="shared" si="67"/>
        <v>700.94142269870963</v>
      </c>
      <c r="E1027" s="23">
        <f t="shared" si="68"/>
        <v>-7.411810139946283</v>
      </c>
      <c r="F1027" s="23">
        <f t="shared" si="69"/>
        <v>7.411810139946283</v>
      </c>
    </row>
    <row r="1028" spans="1:6" x14ac:dyDescent="0.3">
      <c r="A1028" s="2">
        <v>42669</v>
      </c>
      <c r="B1028" s="1">
        <v>28.897500000000001</v>
      </c>
      <c r="C1028" s="1">
        <f>'Historical Simulation'!D1028</f>
        <v>131.04</v>
      </c>
      <c r="D1028" s="22">
        <f t="shared" si="67"/>
        <v>708.35323283865591</v>
      </c>
      <c r="E1028" s="23">
        <f t="shared" si="68"/>
        <v>-4.5564418945161833</v>
      </c>
      <c r="F1028" s="23">
        <f t="shared" si="69"/>
        <v>4.5564418945161833</v>
      </c>
    </row>
    <row r="1029" spans="1:6" x14ac:dyDescent="0.3">
      <c r="A1029" s="2">
        <v>42668</v>
      </c>
      <c r="B1029" s="1">
        <v>29.5625</v>
      </c>
      <c r="C1029" s="1">
        <f>'Historical Simulation'!D1029</f>
        <v>132.29</v>
      </c>
      <c r="D1029" s="22">
        <f t="shared" si="67"/>
        <v>712.9096747331721</v>
      </c>
      <c r="E1029" s="23">
        <f t="shared" si="68"/>
        <v>-7.4333226662366769</v>
      </c>
      <c r="F1029" s="23">
        <f t="shared" si="69"/>
        <v>7.4333226662366769</v>
      </c>
    </row>
    <row r="1030" spans="1:6" x14ac:dyDescent="0.3">
      <c r="A1030" s="2">
        <v>42667</v>
      </c>
      <c r="B1030" s="1">
        <v>29.412500000000001</v>
      </c>
      <c r="C1030" s="1">
        <f>'Historical Simulation'!D1030</f>
        <v>133.28</v>
      </c>
      <c r="D1030" s="22">
        <f t="shared" ref="D1030:D1093" si="70">$M$16*B1030+(1-$M$16)*C1030</f>
        <v>720.34299739940877</v>
      </c>
      <c r="E1030" s="23">
        <f t="shared" ref="E1030:E1093" si="71">D1030-D1031</f>
        <v>6.5653054616309419</v>
      </c>
      <c r="F1030" s="23">
        <f t="shared" ref="F1030:F1093" si="72">-E1030</f>
        <v>-6.5653054616309419</v>
      </c>
    </row>
    <row r="1031" spans="1:6" x14ac:dyDescent="0.3">
      <c r="A1031" s="2">
        <v>42664</v>
      </c>
      <c r="B1031" s="1">
        <v>29.15</v>
      </c>
      <c r="C1031" s="1">
        <f>'Historical Simulation'!D1031</f>
        <v>132.07</v>
      </c>
      <c r="D1031" s="22">
        <f t="shared" si="70"/>
        <v>713.77769193777783</v>
      </c>
      <c r="E1031" s="23">
        <f t="shared" si="71"/>
        <v>14.419701776953389</v>
      </c>
      <c r="F1031" s="23">
        <f t="shared" si="72"/>
        <v>-14.419701776953389</v>
      </c>
    </row>
    <row r="1032" spans="1:6" x14ac:dyDescent="0.3">
      <c r="A1032" s="2">
        <v>42663</v>
      </c>
      <c r="B1032" s="1">
        <v>29.265000000000001</v>
      </c>
      <c r="C1032" s="1">
        <f>'Historical Simulation'!D1032</f>
        <v>130</v>
      </c>
      <c r="D1032" s="22">
        <f t="shared" si="70"/>
        <v>699.35799016082444</v>
      </c>
      <c r="E1032" s="23">
        <f t="shared" si="71"/>
        <v>-0.64694355551989702</v>
      </c>
      <c r="F1032" s="23">
        <f t="shared" si="72"/>
        <v>0.64694355551989702</v>
      </c>
    </row>
    <row r="1033" spans="1:6" x14ac:dyDescent="0.3">
      <c r="A1033" s="2">
        <v>42662</v>
      </c>
      <c r="B1033" s="1">
        <v>29.28</v>
      </c>
      <c r="C1033" s="1">
        <f>'Historical Simulation'!D1033</f>
        <v>130.11000000000001</v>
      </c>
      <c r="D1033" s="22">
        <f t="shared" si="70"/>
        <v>700.00493371634434</v>
      </c>
      <c r="E1033" s="23">
        <f t="shared" si="71"/>
        <v>10.738690911666936</v>
      </c>
      <c r="F1033" s="23">
        <f t="shared" si="72"/>
        <v>-10.738690911666936</v>
      </c>
    </row>
    <row r="1034" spans="1:6" x14ac:dyDescent="0.3">
      <c r="A1034" s="2">
        <v>42661</v>
      </c>
      <c r="B1034" s="1">
        <v>29.3675</v>
      </c>
      <c r="C1034" s="1">
        <f>'Historical Simulation'!D1034</f>
        <v>128.57</v>
      </c>
      <c r="D1034" s="22">
        <f t="shared" si="70"/>
        <v>689.2662428046774</v>
      </c>
      <c r="E1034" s="23">
        <f t="shared" si="71"/>
        <v>6.9646392978493168</v>
      </c>
      <c r="F1034" s="23">
        <f t="shared" si="72"/>
        <v>-6.9646392978493168</v>
      </c>
    </row>
    <row r="1035" spans="1:6" x14ac:dyDescent="0.3">
      <c r="A1035" s="2">
        <v>42660</v>
      </c>
      <c r="B1035" s="1">
        <v>29.387499999999999</v>
      </c>
      <c r="C1035" s="1">
        <f>'Historical Simulation'!D1035</f>
        <v>127.54</v>
      </c>
      <c r="D1035" s="22">
        <f t="shared" si="70"/>
        <v>682.30160350682809</v>
      </c>
      <c r="E1035" s="23">
        <f t="shared" si="71"/>
        <v>-2.1486519764873719</v>
      </c>
      <c r="F1035" s="23">
        <f t="shared" si="72"/>
        <v>2.1486519764873719</v>
      </c>
    </row>
    <row r="1036" spans="1:6" x14ac:dyDescent="0.3">
      <c r="A1036" s="2">
        <v>42657</v>
      </c>
      <c r="B1036" s="1">
        <v>29.407499999999999</v>
      </c>
      <c r="C1036" s="1">
        <f>'Historical Simulation'!D1036</f>
        <v>127.88</v>
      </c>
      <c r="D1036" s="22">
        <f t="shared" si="70"/>
        <v>684.45025548331546</v>
      </c>
      <c r="E1036" s="23">
        <f t="shared" si="71"/>
        <v>-0.51933383621860685</v>
      </c>
      <c r="F1036" s="23">
        <f t="shared" si="72"/>
        <v>0.51933383621860685</v>
      </c>
    </row>
    <row r="1037" spans="1:6" x14ac:dyDescent="0.3">
      <c r="A1037" s="2">
        <v>42656</v>
      </c>
      <c r="B1037" s="1">
        <v>29.245000000000001</v>
      </c>
      <c r="C1037" s="1">
        <f>'Historical Simulation'!D1037</f>
        <v>127.82</v>
      </c>
      <c r="D1037" s="22">
        <f t="shared" si="70"/>
        <v>684.96958931953407</v>
      </c>
      <c r="E1037" s="23">
        <f t="shared" si="71"/>
        <v>-7.673322666236686</v>
      </c>
      <c r="F1037" s="23">
        <f t="shared" si="72"/>
        <v>7.673322666236686</v>
      </c>
    </row>
    <row r="1038" spans="1:6" x14ac:dyDescent="0.3">
      <c r="A1038" s="2">
        <v>42655</v>
      </c>
      <c r="B1038" s="1">
        <v>29.335000000000001</v>
      </c>
      <c r="C1038" s="1">
        <f>'Historical Simulation'!D1038</f>
        <v>129.05000000000001</v>
      </c>
      <c r="D1038" s="22">
        <f t="shared" si="70"/>
        <v>692.64291198577075</v>
      </c>
      <c r="E1038" s="23">
        <f t="shared" si="71"/>
        <v>-0.33868336838702362</v>
      </c>
      <c r="F1038" s="23">
        <f t="shared" si="72"/>
        <v>0.33868336838702362</v>
      </c>
    </row>
    <row r="1039" spans="1:6" x14ac:dyDescent="0.3">
      <c r="A1039" s="2">
        <v>42654</v>
      </c>
      <c r="B1039" s="1">
        <v>29.074999999999999</v>
      </c>
      <c r="C1039" s="1">
        <f>'Historical Simulation'!D1039</f>
        <v>128.88</v>
      </c>
      <c r="D1039" s="22">
        <f t="shared" si="70"/>
        <v>692.98159535415778</v>
      </c>
      <c r="E1039" s="23">
        <f t="shared" si="71"/>
        <v>-9.4000232392295402</v>
      </c>
      <c r="F1039" s="23">
        <f t="shared" si="72"/>
        <v>9.4000232392295402</v>
      </c>
    </row>
    <row r="1040" spans="1:6" x14ac:dyDescent="0.3">
      <c r="A1040" s="2">
        <v>42653</v>
      </c>
      <c r="B1040" s="1">
        <v>29.012499999999999</v>
      </c>
      <c r="C1040" s="1">
        <f>'Historical Simulation'!D1040</f>
        <v>130.24</v>
      </c>
      <c r="D1040" s="22">
        <f t="shared" si="70"/>
        <v>702.38161859338732</v>
      </c>
      <c r="E1040" s="23">
        <f t="shared" si="71"/>
        <v>5.5031581634589202</v>
      </c>
      <c r="F1040" s="23">
        <f t="shared" si="72"/>
        <v>-5.5031581634589202</v>
      </c>
    </row>
    <row r="1041" spans="1:6" x14ac:dyDescent="0.3">
      <c r="A1041" s="2">
        <v>42650</v>
      </c>
      <c r="B1041" s="1">
        <v>28.515000000000001</v>
      </c>
      <c r="C1041" s="1">
        <f>'Historical Simulation'!D1041</f>
        <v>128.99</v>
      </c>
      <c r="D1041" s="22">
        <f t="shared" si="70"/>
        <v>696.8784604299284</v>
      </c>
      <c r="E1041" s="23">
        <f t="shared" si="71"/>
        <v>1.4227977660035549</v>
      </c>
      <c r="F1041" s="23">
        <f t="shared" si="72"/>
        <v>-1.4227977660035549</v>
      </c>
    </row>
    <row r="1042" spans="1:6" x14ac:dyDescent="0.3">
      <c r="A1042" s="2">
        <v>42649</v>
      </c>
      <c r="B1042" s="1">
        <v>28.4725</v>
      </c>
      <c r="C1042" s="1">
        <f>'Historical Simulation'!D1042</f>
        <v>128.74</v>
      </c>
      <c r="D1042" s="22">
        <f t="shared" si="70"/>
        <v>695.45566266392484</v>
      </c>
      <c r="E1042" s="23">
        <f t="shared" si="71"/>
        <v>0.6091222455913794</v>
      </c>
      <c r="F1042" s="23">
        <f t="shared" si="72"/>
        <v>-0.6091222455913794</v>
      </c>
    </row>
    <row r="1043" spans="1:6" x14ac:dyDescent="0.3">
      <c r="A1043" s="2">
        <v>42648</v>
      </c>
      <c r="B1043" s="1">
        <v>28.262499999999999</v>
      </c>
      <c r="C1043" s="1">
        <f>'Historical Simulation'!D1043</f>
        <v>128.47</v>
      </c>
      <c r="D1043" s="22">
        <f t="shared" si="70"/>
        <v>694.84654041833346</v>
      </c>
      <c r="E1043" s="23">
        <f t="shared" si="71"/>
        <v>1.7919200115950389</v>
      </c>
      <c r="F1043" s="23">
        <f t="shared" si="72"/>
        <v>-1.7919200115950389</v>
      </c>
    </row>
    <row r="1044" spans="1:6" x14ac:dyDescent="0.3">
      <c r="A1044" s="2">
        <v>42647</v>
      </c>
      <c r="B1044" s="1">
        <v>28.25</v>
      </c>
      <c r="C1044" s="1">
        <f>'Historical Simulation'!D1044</f>
        <v>128.19</v>
      </c>
      <c r="D1044" s="22">
        <f t="shared" si="70"/>
        <v>693.05462040673842</v>
      </c>
      <c r="E1044" s="23">
        <f t="shared" si="71"/>
        <v>-4.5364261985664598</v>
      </c>
      <c r="F1044" s="23">
        <f t="shared" si="72"/>
        <v>4.5364261985664598</v>
      </c>
    </row>
    <row r="1045" spans="1:6" x14ac:dyDescent="0.3">
      <c r="A1045" s="2">
        <v>42646</v>
      </c>
      <c r="B1045" s="1">
        <v>28.13</v>
      </c>
      <c r="C1045" s="1">
        <f>'Historical Simulation'!D1045</f>
        <v>128.77000000000001</v>
      </c>
      <c r="D1045" s="22">
        <f t="shared" si="70"/>
        <v>697.59104660530488</v>
      </c>
      <c r="E1045" s="23">
        <f t="shared" si="71"/>
        <v>4.0749136722760113</v>
      </c>
      <c r="F1045" s="23">
        <f t="shared" si="72"/>
        <v>-4.0749136722760113</v>
      </c>
    </row>
    <row r="1046" spans="1:6" x14ac:dyDescent="0.3">
      <c r="A1046" s="2">
        <v>42643</v>
      </c>
      <c r="B1046" s="1">
        <v>28.262499999999999</v>
      </c>
      <c r="C1046" s="1">
        <f>'Historical Simulation'!D1046</f>
        <v>128.27000000000001</v>
      </c>
      <c r="D1046" s="22">
        <f t="shared" si="70"/>
        <v>693.51613293302887</v>
      </c>
      <c r="E1046" s="23">
        <f t="shared" si="71"/>
        <v>-3.1951403494531405E-2</v>
      </c>
      <c r="F1046" s="23">
        <f t="shared" si="72"/>
        <v>3.1951403494531405E-2</v>
      </c>
    </row>
    <row r="1047" spans="1:6" x14ac:dyDescent="0.3">
      <c r="A1047" s="2">
        <v>42642</v>
      </c>
      <c r="B1047" s="1">
        <v>28.045000000000002</v>
      </c>
      <c r="C1047" s="1">
        <f>'Historical Simulation'!D1047</f>
        <v>128.09</v>
      </c>
      <c r="D1047" s="22">
        <f t="shared" si="70"/>
        <v>693.5480843365234</v>
      </c>
      <c r="E1047" s="23">
        <f t="shared" si="71"/>
        <v>-5.0822961049999549</v>
      </c>
      <c r="F1047" s="23">
        <f t="shared" si="72"/>
        <v>5.0822961049999549</v>
      </c>
    </row>
    <row r="1048" spans="1:6" x14ac:dyDescent="0.3">
      <c r="A1048" s="2">
        <v>42641</v>
      </c>
      <c r="B1048" s="1">
        <v>28.487500000000001</v>
      </c>
      <c r="C1048" s="1">
        <f>'Historical Simulation'!D1048</f>
        <v>129.22999999999999</v>
      </c>
      <c r="D1048" s="22">
        <f t="shared" si="70"/>
        <v>698.63038044152336</v>
      </c>
      <c r="E1048" s="23">
        <f t="shared" si="71"/>
        <v>2.3769121636200907</v>
      </c>
      <c r="F1048" s="23">
        <f t="shared" si="72"/>
        <v>-2.3769121636200907</v>
      </c>
    </row>
    <row r="1049" spans="1:6" x14ac:dyDescent="0.3">
      <c r="A1049" s="2">
        <v>42640</v>
      </c>
      <c r="B1049" s="1">
        <v>28.272500000000001</v>
      </c>
      <c r="C1049" s="1">
        <f>'Historical Simulation'!D1049</f>
        <v>128.69</v>
      </c>
      <c r="D1049" s="22">
        <f t="shared" si="70"/>
        <v>696.25346827790327</v>
      </c>
      <c r="E1049" s="23">
        <f t="shared" si="71"/>
        <v>8.8830796837095249</v>
      </c>
      <c r="F1049" s="23">
        <f t="shared" si="72"/>
        <v>-8.8830796837095249</v>
      </c>
    </row>
    <row r="1050" spans="1:6" x14ac:dyDescent="0.3">
      <c r="A1050" s="2">
        <v>42639</v>
      </c>
      <c r="B1050" s="1">
        <v>28.22</v>
      </c>
      <c r="C1050" s="1">
        <f>'Historical Simulation'!D1050</f>
        <v>127.31</v>
      </c>
      <c r="D1050" s="22">
        <f t="shared" si="70"/>
        <v>687.37038859419374</v>
      </c>
      <c r="E1050" s="23">
        <f t="shared" si="71"/>
        <v>-4.5640359178672725</v>
      </c>
      <c r="F1050" s="23">
        <f t="shared" si="72"/>
        <v>4.5640359178672725</v>
      </c>
    </row>
    <row r="1051" spans="1:6" x14ac:dyDescent="0.3">
      <c r="A1051" s="2">
        <v>42636</v>
      </c>
      <c r="B1051" s="1">
        <v>28.177499999999998</v>
      </c>
      <c r="C1051" s="1">
        <f>'Historical Simulation'!D1051</f>
        <v>127.96</v>
      </c>
      <c r="D1051" s="22">
        <f t="shared" si="70"/>
        <v>691.93442451206101</v>
      </c>
      <c r="E1051" s="23">
        <f t="shared" si="71"/>
        <v>-11.403471473064542</v>
      </c>
      <c r="F1051" s="23">
        <f t="shared" si="72"/>
        <v>11.403471473064542</v>
      </c>
    </row>
    <row r="1052" spans="1:6" x14ac:dyDescent="0.3">
      <c r="A1052" s="2">
        <v>42635</v>
      </c>
      <c r="B1052" s="1">
        <v>28.655000000000001</v>
      </c>
      <c r="C1052" s="1">
        <f>'Historical Simulation'!D1052</f>
        <v>130.08000000000001</v>
      </c>
      <c r="D1052" s="22">
        <f t="shared" si="70"/>
        <v>703.33789598512556</v>
      </c>
      <c r="E1052" s="23">
        <f t="shared" si="71"/>
        <v>-0.5806347718815914</v>
      </c>
      <c r="F1052" s="23">
        <f t="shared" si="72"/>
        <v>0.5806347718815914</v>
      </c>
    </row>
    <row r="1053" spans="1:6" x14ac:dyDescent="0.3">
      <c r="A1053" s="2">
        <v>42634</v>
      </c>
      <c r="B1053" s="1">
        <v>28.387499999999999</v>
      </c>
      <c r="C1053" s="1">
        <f>'Historical Simulation'!D1053</f>
        <v>129.94</v>
      </c>
      <c r="D1053" s="22">
        <f t="shared" si="70"/>
        <v>703.91853075700715</v>
      </c>
      <c r="E1053" s="23">
        <f t="shared" si="71"/>
        <v>8.6759088416129089</v>
      </c>
      <c r="F1053" s="23">
        <f t="shared" si="72"/>
        <v>-8.6759088416129089</v>
      </c>
    </row>
    <row r="1054" spans="1:6" x14ac:dyDescent="0.3">
      <c r="A1054" s="2">
        <v>42633</v>
      </c>
      <c r="B1054" s="1">
        <v>28.392499999999998</v>
      </c>
      <c r="C1054" s="1">
        <f>'Historical Simulation'!D1054</f>
        <v>128.63999999999999</v>
      </c>
      <c r="D1054" s="22">
        <f t="shared" si="70"/>
        <v>695.24262191539424</v>
      </c>
      <c r="E1054" s="23">
        <f t="shared" si="71"/>
        <v>-5.2390280699114555E-2</v>
      </c>
      <c r="F1054" s="23">
        <f t="shared" si="72"/>
        <v>5.2390280699114555E-2</v>
      </c>
    </row>
    <row r="1055" spans="1:6" x14ac:dyDescent="0.3">
      <c r="A1055" s="2">
        <v>42632</v>
      </c>
      <c r="B1055" s="1">
        <v>28.395</v>
      </c>
      <c r="C1055" s="1">
        <f>'Historical Simulation'!D1055</f>
        <v>128.65</v>
      </c>
      <c r="D1055" s="22">
        <f t="shared" si="70"/>
        <v>695.29501219609335</v>
      </c>
      <c r="E1055" s="23">
        <f t="shared" si="71"/>
        <v>-0.90042318125438214</v>
      </c>
      <c r="F1055" s="23">
        <f t="shared" si="72"/>
        <v>0.90042318125438214</v>
      </c>
    </row>
    <row r="1056" spans="1:6" x14ac:dyDescent="0.3">
      <c r="A1056" s="2">
        <v>42629</v>
      </c>
      <c r="B1056" s="1">
        <v>28.73</v>
      </c>
      <c r="C1056" s="1">
        <f>'Historical Simulation'!D1056</f>
        <v>129.07</v>
      </c>
      <c r="D1056" s="22">
        <f t="shared" si="70"/>
        <v>696.19543537734774</v>
      </c>
      <c r="E1056" s="23">
        <f t="shared" si="71"/>
        <v>5.7079230289068619</v>
      </c>
      <c r="F1056" s="23">
        <f t="shared" si="72"/>
        <v>-5.7079230289068619</v>
      </c>
    </row>
    <row r="1057" spans="1:6" x14ac:dyDescent="0.3">
      <c r="A1057" s="2">
        <v>42628</v>
      </c>
      <c r="B1057" s="1">
        <v>28.892499999999998</v>
      </c>
      <c r="C1057" s="1">
        <f>'Historical Simulation'!D1057</f>
        <v>128.35</v>
      </c>
      <c r="D1057" s="22">
        <f t="shared" si="70"/>
        <v>690.48751234844087</v>
      </c>
      <c r="E1057" s="23">
        <f t="shared" si="71"/>
        <v>-1.5112538478136912</v>
      </c>
      <c r="F1057" s="23">
        <f t="shared" si="72"/>
        <v>1.5112538478136912</v>
      </c>
    </row>
    <row r="1058" spans="1:6" x14ac:dyDescent="0.3">
      <c r="A1058" s="2">
        <v>42627</v>
      </c>
      <c r="B1058" s="1">
        <v>27.942499999999999</v>
      </c>
      <c r="C1058" s="1">
        <f>'Historical Simulation'!D1058</f>
        <v>127.77</v>
      </c>
      <c r="D1058" s="22">
        <f t="shared" si="70"/>
        <v>691.99876619625456</v>
      </c>
      <c r="E1058" s="23">
        <f t="shared" si="71"/>
        <v>-1.6725547834766985</v>
      </c>
      <c r="F1058" s="23">
        <f t="shared" si="72"/>
        <v>1.6725547834766985</v>
      </c>
    </row>
    <row r="1059" spans="1:6" x14ac:dyDescent="0.3">
      <c r="A1059" s="2">
        <v>42626</v>
      </c>
      <c r="B1059" s="1">
        <v>26.987500000000001</v>
      </c>
      <c r="C1059" s="1">
        <f>'Historical Simulation'!D1059</f>
        <v>127.21</v>
      </c>
      <c r="D1059" s="22">
        <f t="shared" si="70"/>
        <v>693.67132097973126</v>
      </c>
      <c r="E1059" s="23">
        <f t="shared" si="71"/>
        <v>-13.39166887639783</v>
      </c>
      <c r="F1059" s="23">
        <f t="shared" si="72"/>
        <v>13.39166887639783</v>
      </c>
    </row>
    <row r="1060" spans="1:6" x14ac:dyDescent="0.3">
      <c r="A1060" s="2">
        <v>42625</v>
      </c>
      <c r="B1060" s="1">
        <v>26.36</v>
      </c>
      <c r="C1060" s="1">
        <f>'Historical Simulation'!D1060</f>
        <v>128.69</v>
      </c>
      <c r="D1060" s="22">
        <f t="shared" si="70"/>
        <v>707.06298985612909</v>
      </c>
      <c r="E1060" s="23">
        <f t="shared" si="71"/>
        <v>7.3126878943548945</v>
      </c>
      <c r="F1060" s="23">
        <f t="shared" si="72"/>
        <v>-7.3126878943548945</v>
      </c>
    </row>
    <row r="1061" spans="1:6" x14ac:dyDescent="0.3">
      <c r="A1061" s="2">
        <v>42622</v>
      </c>
      <c r="B1061" s="1">
        <v>25.782499999999999</v>
      </c>
      <c r="C1061" s="1">
        <f>'Historical Simulation'!D1061</f>
        <v>127.1</v>
      </c>
      <c r="D1061" s="22">
        <f t="shared" si="70"/>
        <v>699.7503019617742</v>
      </c>
      <c r="E1061" s="23">
        <f t="shared" si="71"/>
        <v>-17.709866279731386</v>
      </c>
      <c r="F1061" s="23">
        <f t="shared" si="72"/>
        <v>17.709866279731386</v>
      </c>
    </row>
    <row r="1062" spans="1:6" x14ac:dyDescent="0.3">
      <c r="A1062" s="2">
        <v>42621</v>
      </c>
      <c r="B1062" s="1">
        <v>26.38</v>
      </c>
      <c r="C1062" s="1">
        <f>'Historical Simulation'!D1062</f>
        <v>130.27000000000001</v>
      </c>
      <c r="D1062" s="22">
        <f t="shared" si="70"/>
        <v>717.46016824150558</v>
      </c>
      <c r="E1062" s="23">
        <f t="shared" si="71"/>
        <v>-1.1756426198566032</v>
      </c>
      <c r="F1062" s="23">
        <f t="shared" si="72"/>
        <v>1.1756426198566032</v>
      </c>
    </row>
    <row r="1063" spans="1:6" x14ac:dyDescent="0.3">
      <c r="A1063" s="2">
        <v>42620</v>
      </c>
      <c r="B1063" s="1">
        <v>27.09</v>
      </c>
      <c r="C1063" s="1">
        <f>'Historical Simulation'!D1063</f>
        <v>131.05000000000001</v>
      </c>
      <c r="D1063" s="22">
        <f t="shared" si="70"/>
        <v>718.63581086136219</v>
      </c>
      <c r="E1063" s="23">
        <f t="shared" si="71"/>
        <v>7.8481032276346241</v>
      </c>
      <c r="F1063" s="23">
        <f t="shared" si="72"/>
        <v>-7.8481032276346241</v>
      </c>
    </row>
    <row r="1064" spans="1:6" x14ac:dyDescent="0.3">
      <c r="A1064" s="2">
        <v>42619</v>
      </c>
      <c r="B1064" s="1">
        <v>26.925000000000001</v>
      </c>
      <c r="C1064" s="1">
        <f>'Historical Simulation'!D1064</f>
        <v>129.72999999999999</v>
      </c>
      <c r="D1064" s="22">
        <f t="shared" si="70"/>
        <v>710.78770763372756</v>
      </c>
      <c r="E1064" s="23">
        <f t="shared" si="71"/>
        <v>21.461950794103814</v>
      </c>
      <c r="F1064" s="23">
        <f t="shared" si="72"/>
        <v>-21.461950794103814</v>
      </c>
    </row>
    <row r="1065" spans="1:6" x14ac:dyDescent="0.3">
      <c r="A1065" s="2">
        <v>42618</v>
      </c>
      <c r="B1065" s="1">
        <v>26.932500000000001</v>
      </c>
      <c r="C1065" s="1">
        <f>'Historical Simulation'!D1065</f>
        <v>126.51</v>
      </c>
      <c r="D1065" s="22">
        <f t="shared" si="70"/>
        <v>689.32575683962375</v>
      </c>
      <c r="E1065" s="23">
        <f t="shared" si="71"/>
        <v>0</v>
      </c>
      <c r="F1065" s="23">
        <f t="shared" si="72"/>
        <v>0</v>
      </c>
    </row>
    <row r="1066" spans="1:6" x14ac:dyDescent="0.3">
      <c r="A1066" s="2">
        <v>42615</v>
      </c>
      <c r="B1066" s="1">
        <v>26.932500000000001</v>
      </c>
      <c r="C1066" s="1">
        <f>'Historical Simulation'!D1066</f>
        <v>126.51</v>
      </c>
      <c r="D1066" s="22">
        <f t="shared" si="70"/>
        <v>689.32575683962375</v>
      </c>
      <c r="E1066" s="23">
        <f t="shared" si="71"/>
        <v>0.84868336838712821</v>
      </c>
      <c r="F1066" s="23">
        <f t="shared" si="72"/>
        <v>-0.84868336838712821</v>
      </c>
    </row>
    <row r="1067" spans="1:6" x14ac:dyDescent="0.3">
      <c r="A1067" s="2">
        <v>42614</v>
      </c>
      <c r="B1067" s="1">
        <v>26.682500000000001</v>
      </c>
      <c r="C1067" s="1">
        <f>'Historical Simulation'!D1067</f>
        <v>126.17</v>
      </c>
      <c r="D1067" s="22">
        <f t="shared" si="70"/>
        <v>688.47707347123662</v>
      </c>
      <c r="E1067" s="23">
        <f t="shared" si="71"/>
        <v>-0.55759402335127106</v>
      </c>
      <c r="F1067" s="23">
        <f t="shared" si="72"/>
        <v>0.55759402335127106</v>
      </c>
    </row>
    <row r="1068" spans="1:6" x14ac:dyDescent="0.3">
      <c r="A1068" s="2">
        <v>42613</v>
      </c>
      <c r="B1068" s="1">
        <v>26.524999999999999</v>
      </c>
      <c r="C1068" s="1">
        <f>'Historical Simulation'!D1068</f>
        <v>126.12</v>
      </c>
      <c r="D1068" s="22">
        <f t="shared" si="70"/>
        <v>689.03466749458789</v>
      </c>
      <c r="E1068" s="23">
        <f t="shared" si="71"/>
        <v>1.7212695437633556</v>
      </c>
      <c r="F1068" s="23">
        <f t="shared" si="72"/>
        <v>-1.7212695437633556</v>
      </c>
    </row>
    <row r="1069" spans="1:6" x14ac:dyDescent="0.3">
      <c r="A1069" s="2">
        <v>42612</v>
      </c>
      <c r="B1069" s="1">
        <v>26.5</v>
      </c>
      <c r="C1069" s="1">
        <f>'Historical Simulation'!D1069</f>
        <v>125.84</v>
      </c>
      <c r="D1069" s="22">
        <f t="shared" si="70"/>
        <v>687.31339795082454</v>
      </c>
      <c r="E1069" s="23">
        <f t="shared" si="71"/>
        <v>-3.4977585261290187</v>
      </c>
      <c r="F1069" s="23">
        <f t="shared" si="72"/>
        <v>3.4977585261290187</v>
      </c>
    </row>
    <row r="1070" spans="1:6" x14ac:dyDescent="0.3">
      <c r="A1070" s="2">
        <v>42611</v>
      </c>
      <c r="B1070" s="1">
        <v>26.704999999999998</v>
      </c>
      <c r="C1070" s="1">
        <f>'Historical Simulation'!D1070</f>
        <v>126.54</v>
      </c>
      <c r="D1070" s="22">
        <f t="shared" si="70"/>
        <v>690.81115647695356</v>
      </c>
      <c r="E1070" s="23">
        <f t="shared" si="71"/>
        <v>10.679780256702657</v>
      </c>
      <c r="F1070" s="23">
        <f t="shared" si="72"/>
        <v>-10.679780256702657</v>
      </c>
    </row>
    <row r="1071" spans="1:6" x14ac:dyDescent="0.3">
      <c r="A1071" s="2">
        <v>42608</v>
      </c>
      <c r="B1071" s="1">
        <v>26.734999999999999</v>
      </c>
      <c r="C1071" s="1">
        <f>'Historical Simulation'!D1071</f>
        <v>124.96</v>
      </c>
      <c r="D1071" s="22">
        <f t="shared" si="70"/>
        <v>680.1313762202509</v>
      </c>
      <c r="E1071" s="23">
        <f t="shared" si="71"/>
        <v>8.0078759410572502</v>
      </c>
      <c r="F1071" s="23">
        <f t="shared" si="72"/>
        <v>-8.0078759410572502</v>
      </c>
    </row>
    <row r="1072" spans="1:6" x14ac:dyDescent="0.3">
      <c r="A1072" s="2">
        <v>42607</v>
      </c>
      <c r="B1072" s="1">
        <v>26.892499999999998</v>
      </c>
      <c r="C1072" s="1">
        <f>'Historical Simulation'!D1072</f>
        <v>123.89</v>
      </c>
      <c r="D1072" s="22">
        <f t="shared" si="70"/>
        <v>672.12350027919365</v>
      </c>
      <c r="E1072" s="23">
        <f t="shared" si="71"/>
        <v>3.3773196489246402</v>
      </c>
      <c r="F1072" s="23">
        <f t="shared" si="72"/>
        <v>-3.3773196489246402</v>
      </c>
    </row>
    <row r="1073" spans="1:6" x14ac:dyDescent="0.3">
      <c r="A1073" s="2">
        <v>42606</v>
      </c>
      <c r="B1073" s="1">
        <v>27.0075</v>
      </c>
      <c r="C1073" s="1">
        <f>'Historical Simulation'!D1073</f>
        <v>123.48</v>
      </c>
      <c r="D1073" s="22">
        <f t="shared" si="70"/>
        <v>668.74618063026901</v>
      </c>
      <c r="E1073" s="23">
        <f t="shared" si="71"/>
        <v>-4.7616456371683853</v>
      </c>
      <c r="F1073" s="23">
        <f t="shared" si="72"/>
        <v>4.7616456371683853</v>
      </c>
    </row>
    <row r="1074" spans="1:6" x14ac:dyDescent="0.3">
      <c r="A1074" s="2">
        <v>42605</v>
      </c>
      <c r="B1074" s="1">
        <v>27.212499999999999</v>
      </c>
      <c r="C1074" s="1">
        <f>'Historical Simulation'!D1074</f>
        <v>124.37</v>
      </c>
      <c r="D1074" s="22">
        <f t="shared" si="70"/>
        <v>673.50782626743739</v>
      </c>
      <c r="E1074" s="23">
        <f t="shared" si="71"/>
        <v>0.98302505258061501</v>
      </c>
      <c r="F1074" s="23">
        <f t="shared" si="72"/>
        <v>-0.98302505258061501</v>
      </c>
    </row>
    <row r="1075" spans="1:6" x14ac:dyDescent="0.3">
      <c r="A1075" s="2">
        <v>42604</v>
      </c>
      <c r="B1075" s="1">
        <v>27.127500000000001</v>
      </c>
      <c r="C1075" s="1">
        <f>'Historical Simulation'!D1075</f>
        <v>124.15</v>
      </c>
      <c r="D1075" s="22">
        <f t="shared" si="70"/>
        <v>672.52480121485678</v>
      </c>
      <c r="E1075" s="23">
        <f t="shared" si="71"/>
        <v>5.125760034785003</v>
      </c>
      <c r="F1075" s="23">
        <f t="shared" si="72"/>
        <v>-5.125760034785003</v>
      </c>
    </row>
    <row r="1076" spans="1:6" x14ac:dyDescent="0.3">
      <c r="A1076" s="2">
        <v>42601</v>
      </c>
      <c r="B1076" s="1">
        <v>27.34</v>
      </c>
      <c r="C1076" s="1">
        <f>'Historical Simulation'!D1076</f>
        <v>123.56</v>
      </c>
      <c r="D1076" s="22">
        <f t="shared" si="70"/>
        <v>667.39904118007178</v>
      </c>
      <c r="E1076" s="23">
        <f t="shared" si="71"/>
        <v>-2.7238557191398058</v>
      </c>
      <c r="F1076" s="23">
        <f t="shared" si="72"/>
        <v>2.7238557191398058</v>
      </c>
    </row>
    <row r="1077" spans="1:6" x14ac:dyDescent="0.3">
      <c r="A1077" s="2">
        <v>42600</v>
      </c>
      <c r="B1077" s="1">
        <v>27.27</v>
      </c>
      <c r="C1077" s="1">
        <f>'Historical Simulation'!D1077</f>
        <v>123.91</v>
      </c>
      <c r="D1077" s="22">
        <f t="shared" si="70"/>
        <v>670.12289689921158</v>
      </c>
      <c r="E1077" s="23">
        <f t="shared" si="71"/>
        <v>-2.8621159062723791</v>
      </c>
      <c r="F1077" s="23">
        <f t="shared" si="72"/>
        <v>2.8621159062723791</v>
      </c>
    </row>
    <row r="1078" spans="1:6" x14ac:dyDescent="0.3">
      <c r="A1078" s="2">
        <v>42599</v>
      </c>
      <c r="B1078" s="1">
        <v>27.305</v>
      </c>
      <c r="C1078" s="1">
        <f>'Historical Simulation'!D1078</f>
        <v>124.37</v>
      </c>
      <c r="D1078" s="22">
        <f t="shared" si="70"/>
        <v>672.98501280548396</v>
      </c>
      <c r="E1078" s="23">
        <f t="shared" si="71"/>
        <v>7.3437615434409054</v>
      </c>
      <c r="F1078" s="23">
        <f t="shared" si="72"/>
        <v>-7.3437615434409054</v>
      </c>
    </row>
    <row r="1079" spans="1:6" x14ac:dyDescent="0.3">
      <c r="A1079" s="2">
        <v>42598</v>
      </c>
      <c r="B1079" s="1">
        <v>27.344999999999999</v>
      </c>
      <c r="C1079" s="1">
        <f>'Historical Simulation'!D1079</f>
        <v>123.3</v>
      </c>
      <c r="D1079" s="22">
        <f t="shared" si="70"/>
        <v>665.64125126204306</v>
      </c>
      <c r="E1079" s="23">
        <f t="shared" si="71"/>
        <v>-3.8499215202509731</v>
      </c>
      <c r="F1079" s="23">
        <f t="shared" si="72"/>
        <v>3.8499215202509731</v>
      </c>
    </row>
    <row r="1080" spans="1:6" x14ac:dyDescent="0.3">
      <c r="A1080" s="2">
        <v>42597</v>
      </c>
      <c r="B1080" s="1">
        <v>27.37</v>
      </c>
      <c r="C1080" s="1">
        <f>'Historical Simulation'!D1080</f>
        <v>123.9</v>
      </c>
      <c r="D1080" s="22">
        <f t="shared" si="70"/>
        <v>669.49117278229403</v>
      </c>
      <c r="E1080" s="23">
        <f t="shared" si="71"/>
        <v>-8.3559088416128589</v>
      </c>
      <c r="F1080" s="23">
        <f t="shared" si="72"/>
        <v>8.3559088416128589</v>
      </c>
    </row>
    <row r="1081" spans="1:6" x14ac:dyDescent="0.3">
      <c r="A1081" s="2">
        <v>42594</v>
      </c>
      <c r="B1081" s="1">
        <v>27.045000000000002</v>
      </c>
      <c r="C1081" s="1">
        <f>'Historical Simulation'!D1081</f>
        <v>124.88</v>
      </c>
      <c r="D1081" s="22">
        <f t="shared" si="70"/>
        <v>677.84708162390689</v>
      </c>
      <c r="E1081" s="23">
        <f t="shared" si="71"/>
        <v>-0.48629308768818191</v>
      </c>
      <c r="F1081" s="23">
        <f t="shared" si="72"/>
        <v>0.48629308768818191</v>
      </c>
    </row>
    <row r="1082" spans="1:6" x14ac:dyDescent="0.3">
      <c r="A1082" s="2">
        <v>42593</v>
      </c>
      <c r="B1082" s="1">
        <v>26.982500000000002</v>
      </c>
      <c r="C1082" s="1">
        <f>'Historical Simulation'!D1082</f>
        <v>124.9</v>
      </c>
      <c r="D1082" s="22">
        <f t="shared" si="70"/>
        <v>678.33337471159507</v>
      </c>
      <c r="E1082" s="23">
        <f t="shared" si="71"/>
        <v>0.23195140349457688</v>
      </c>
      <c r="F1082" s="23">
        <f t="shared" si="72"/>
        <v>-0.23195140349457688</v>
      </c>
    </row>
    <row r="1083" spans="1:6" x14ac:dyDescent="0.3">
      <c r="A1083" s="2">
        <v>42592</v>
      </c>
      <c r="B1083" s="1">
        <v>27</v>
      </c>
      <c r="C1083" s="1">
        <f>'Historical Simulation'!D1083</f>
        <v>124.88</v>
      </c>
      <c r="D1083" s="22">
        <f t="shared" si="70"/>
        <v>678.10142330810049</v>
      </c>
      <c r="E1083" s="23">
        <f t="shared" si="71"/>
        <v>-5.2829157903147461E-2</v>
      </c>
      <c r="F1083" s="23">
        <f t="shared" si="72"/>
        <v>5.2829157903147461E-2</v>
      </c>
    </row>
    <row r="1084" spans="1:6" x14ac:dyDescent="0.3">
      <c r="A1084" s="2">
        <v>42591</v>
      </c>
      <c r="B1084" s="1">
        <v>27.202500000000001</v>
      </c>
      <c r="C1084" s="1">
        <f>'Historical Simulation'!D1084</f>
        <v>125.06</v>
      </c>
      <c r="D1084" s="22">
        <f t="shared" si="70"/>
        <v>678.15425246600364</v>
      </c>
      <c r="E1084" s="23">
        <f t="shared" si="71"/>
        <v>-1.9521316022222663</v>
      </c>
      <c r="F1084" s="23">
        <f t="shared" si="72"/>
        <v>1.9521316022222663</v>
      </c>
    </row>
    <row r="1085" spans="1:6" x14ac:dyDescent="0.3">
      <c r="A1085" s="2">
        <v>42590</v>
      </c>
      <c r="B1085" s="1">
        <v>27.092500000000001</v>
      </c>
      <c r="C1085" s="1">
        <f>'Historical Simulation'!D1085</f>
        <v>125.26</v>
      </c>
      <c r="D1085" s="22">
        <f t="shared" si="70"/>
        <v>680.10638406822591</v>
      </c>
      <c r="E1085" s="23">
        <f t="shared" si="71"/>
        <v>-0.52585421048388525</v>
      </c>
      <c r="F1085" s="23">
        <f t="shared" si="72"/>
        <v>0.52585421048388525</v>
      </c>
    </row>
    <row r="1086" spans="1:6" x14ac:dyDescent="0.3">
      <c r="A1086" s="2">
        <v>42587</v>
      </c>
      <c r="B1086" s="1">
        <v>26.87</v>
      </c>
      <c r="C1086" s="1">
        <f>'Historical Simulation'!D1086</f>
        <v>125.15</v>
      </c>
      <c r="D1086" s="22">
        <f t="shared" si="70"/>
        <v>680.63223827870979</v>
      </c>
      <c r="E1086" s="23">
        <f t="shared" si="71"/>
        <v>2.980164502777825</v>
      </c>
      <c r="F1086" s="23">
        <f t="shared" si="72"/>
        <v>-2.980164502777825</v>
      </c>
    </row>
    <row r="1087" spans="1:6" x14ac:dyDescent="0.3">
      <c r="A1087" s="2">
        <v>42586</v>
      </c>
      <c r="B1087" s="1">
        <v>26.467500000000001</v>
      </c>
      <c r="C1087" s="1">
        <f>'Historical Simulation'!D1087</f>
        <v>124.36</v>
      </c>
      <c r="D1087" s="22">
        <f t="shared" si="70"/>
        <v>677.65207377593197</v>
      </c>
      <c r="E1087" s="23">
        <f t="shared" si="71"/>
        <v>12.193228490537649</v>
      </c>
      <c r="F1087" s="23">
        <f t="shared" si="72"/>
        <v>-12.193228490537649</v>
      </c>
    </row>
    <row r="1088" spans="1:6" x14ac:dyDescent="0.3">
      <c r="A1088" s="2">
        <v>42585</v>
      </c>
      <c r="B1088" s="1">
        <v>26.447500000000002</v>
      </c>
      <c r="C1088" s="1">
        <f>'Historical Simulation'!D1088</f>
        <v>122.51</v>
      </c>
      <c r="D1088" s="22">
        <f t="shared" si="70"/>
        <v>665.45884528539432</v>
      </c>
      <c r="E1088" s="23">
        <f t="shared" si="71"/>
        <v>-5.7092239645700147</v>
      </c>
      <c r="F1088" s="23">
        <f t="shared" si="72"/>
        <v>5.7092239645700147</v>
      </c>
    </row>
    <row r="1089" spans="1:6" x14ac:dyDescent="0.3">
      <c r="A1089" s="2">
        <v>42584</v>
      </c>
      <c r="B1089" s="1">
        <v>26.12</v>
      </c>
      <c r="C1089" s="1">
        <f>'Historical Simulation'!D1089</f>
        <v>123.09</v>
      </c>
      <c r="D1089" s="22">
        <f t="shared" si="70"/>
        <v>671.16806924996433</v>
      </c>
      <c r="E1089" s="23">
        <f t="shared" si="71"/>
        <v>-5.8970609704479102</v>
      </c>
      <c r="F1089" s="23">
        <f t="shared" si="72"/>
        <v>5.8970609704479102</v>
      </c>
    </row>
    <row r="1090" spans="1:6" x14ac:dyDescent="0.3">
      <c r="A1090" s="2">
        <v>42583</v>
      </c>
      <c r="B1090" s="1">
        <v>26.512499999999999</v>
      </c>
      <c r="C1090" s="1">
        <f>'Historical Simulation'!D1090</f>
        <v>124.31</v>
      </c>
      <c r="D1090" s="22">
        <f t="shared" si="70"/>
        <v>677.06513022041224</v>
      </c>
      <c r="E1090" s="23">
        <f t="shared" si="71"/>
        <v>-0.13868336838709183</v>
      </c>
      <c r="F1090" s="23">
        <f t="shared" si="72"/>
        <v>0.13868336838709183</v>
      </c>
    </row>
    <row r="1091" spans="1:6" x14ac:dyDescent="0.3">
      <c r="A1091" s="2">
        <v>42580</v>
      </c>
      <c r="B1091" s="1">
        <v>26.052499999999998</v>
      </c>
      <c r="C1091" s="1">
        <f>'Historical Simulation'!D1091</f>
        <v>123.94</v>
      </c>
      <c r="D1091" s="22">
        <f t="shared" si="70"/>
        <v>677.20381358879933</v>
      </c>
      <c r="E1091" s="23">
        <f t="shared" si="71"/>
        <v>-6.8674684557527144</v>
      </c>
      <c r="F1091" s="23">
        <f t="shared" si="72"/>
        <v>6.8674684557527144</v>
      </c>
    </row>
    <row r="1092" spans="1:6" x14ac:dyDescent="0.3">
      <c r="A1092" s="2">
        <v>42579</v>
      </c>
      <c r="B1092" s="1">
        <v>26.085000000000001</v>
      </c>
      <c r="C1092" s="1">
        <f>'Historical Simulation'!D1092</f>
        <v>125</v>
      </c>
      <c r="D1092" s="22">
        <f t="shared" si="70"/>
        <v>684.07128204455205</v>
      </c>
      <c r="E1092" s="23">
        <f t="shared" si="71"/>
        <v>9.0782991223117051</v>
      </c>
      <c r="F1092" s="23">
        <f t="shared" si="72"/>
        <v>-9.0782991223117051</v>
      </c>
    </row>
    <row r="1093" spans="1:6" x14ac:dyDescent="0.3">
      <c r="A1093" s="2">
        <v>42578</v>
      </c>
      <c r="B1093" s="1">
        <v>25.737500000000001</v>
      </c>
      <c r="C1093" s="1">
        <f>'Historical Simulation'!D1093</f>
        <v>123.34</v>
      </c>
      <c r="D1093" s="22">
        <f t="shared" si="70"/>
        <v>674.99298292224034</v>
      </c>
      <c r="E1093" s="23">
        <f t="shared" si="71"/>
        <v>5.2286205845880431</v>
      </c>
      <c r="F1093" s="23">
        <f t="shared" si="72"/>
        <v>-5.2286205845880431</v>
      </c>
    </row>
    <row r="1094" spans="1:6" x14ac:dyDescent="0.3">
      <c r="A1094" s="2">
        <v>42577</v>
      </c>
      <c r="B1094" s="1">
        <v>24.1675</v>
      </c>
      <c r="C1094" s="1">
        <f>'Historical Simulation'!D1094</f>
        <v>121.22</v>
      </c>
      <c r="D1094" s="22">
        <f t="shared" ref="D1094:D1157" si="73">$M$16*B1094+(1-$M$16)*C1094</f>
        <v>669.7643623376523</v>
      </c>
      <c r="E1094" s="23">
        <f t="shared" ref="E1094:E1157" si="74">D1094-D1095</f>
        <v>-1.7806190759318952</v>
      </c>
      <c r="F1094" s="23">
        <f t="shared" ref="F1094:F1157" si="75">-E1094</f>
        <v>1.7806190759318952</v>
      </c>
    </row>
    <row r="1095" spans="1:6" x14ac:dyDescent="0.3">
      <c r="A1095" s="2">
        <v>42576</v>
      </c>
      <c r="B1095" s="1">
        <v>24.335000000000001</v>
      </c>
      <c r="C1095" s="1">
        <f>'Historical Simulation'!D1095</f>
        <v>121.63</v>
      </c>
      <c r="D1095" s="22">
        <f t="shared" si="73"/>
        <v>671.5449814135842</v>
      </c>
      <c r="E1095" s="23">
        <f t="shared" si="74"/>
        <v>6.0559559294621295</v>
      </c>
      <c r="F1095" s="23">
        <f t="shared" si="75"/>
        <v>-6.0559559294621295</v>
      </c>
    </row>
    <row r="1096" spans="1:6" x14ac:dyDescent="0.3">
      <c r="A1096" s="2">
        <v>42573</v>
      </c>
      <c r="B1096" s="1">
        <v>24.664999999999999</v>
      </c>
      <c r="C1096" s="1">
        <f>'Historical Simulation'!D1096</f>
        <v>121</v>
      </c>
      <c r="D1096" s="22">
        <f t="shared" si="73"/>
        <v>665.48902548412207</v>
      </c>
      <c r="E1096" s="23">
        <f t="shared" si="74"/>
        <v>3.6823118009499467</v>
      </c>
      <c r="F1096" s="23">
        <f t="shared" si="75"/>
        <v>-3.6823118009499467</v>
      </c>
    </row>
    <row r="1097" spans="1:6" x14ac:dyDescent="0.3">
      <c r="A1097" s="2">
        <v>42572</v>
      </c>
      <c r="B1097" s="1">
        <v>24.857500000000002</v>
      </c>
      <c r="C1097" s="1">
        <f>'Historical Simulation'!D1097</f>
        <v>120.61</v>
      </c>
      <c r="D1097" s="22">
        <f t="shared" si="73"/>
        <v>661.80671368317212</v>
      </c>
      <c r="E1097" s="23">
        <f t="shared" si="74"/>
        <v>-7.9652740697312083</v>
      </c>
      <c r="F1097" s="23">
        <f t="shared" si="75"/>
        <v>7.9652740697312083</v>
      </c>
    </row>
    <row r="1098" spans="1:6" x14ac:dyDescent="0.3">
      <c r="A1098" s="2">
        <v>42571</v>
      </c>
      <c r="B1098" s="1">
        <v>24.99</v>
      </c>
      <c r="C1098" s="1">
        <f>'Historical Simulation'!D1098</f>
        <v>121.92</v>
      </c>
      <c r="D1098" s="22">
        <f t="shared" si="73"/>
        <v>669.77198775290333</v>
      </c>
      <c r="E1098" s="23">
        <f t="shared" si="74"/>
        <v>8.5869981866486569</v>
      </c>
      <c r="F1098" s="23">
        <f t="shared" si="75"/>
        <v>-8.5869981866486569</v>
      </c>
    </row>
    <row r="1099" spans="1:6" x14ac:dyDescent="0.3">
      <c r="A1099" s="2">
        <v>42570</v>
      </c>
      <c r="B1099" s="1">
        <v>24.967500000000001</v>
      </c>
      <c r="C1099" s="1">
        <f>'Historical Simulation'!D1099</f>
        <v>120.61</v>
      </c>
      <c r="D1099" s="22">
        <f t="shared" si="73"/>
        <v>661.18498956625467</v>
      </c>
      <c r="E1099" s="23">
        <f t="shared" si="74"/>
        <v>8.1920060346237733</v>
      </c>
      <c r="F1099" s="23">
        <f t="shared" si="75"/>
        <v>-8.1920060346237733</v>
      </c>
    </row>
    <row r="1100" spans="1:6" x14ac:dyDescent="0.3">
      <c r="A1100" s="2">
        <v>42569</v>
      </c>
      <c r="B1100" s="1">
        <v>24.9575</v>
      </c>
      <c r="C1100" s="1">
        <f>'Historical Simulation'!D1100</f>
        <v>119.37</v>
      </c>
      <c r="D1100" s="22">
        <f t="shared" si="73"/>
        <v>652.9929835316309</v>
      </c>
      <c r="E1100" s="23">
        <f t="shared" si="74"/>
        <v>15.212954116111177</v>
      </c>
      <c r="F1100" s="23">
        <f t="shared" si="75"/>
        <v>-15.212954116111177</v>
      </c>
    </row>
    <row r="1101" spans="1:6" x14ac:dyDescent="0.3">
      <c r="A1101" s="2">
        <v>42566</v>
      </c>
      <c r="B1101" s="1">
        <v>24.695</v>
      </c>
      <c r="C1101" s="1">
        <f>'Historical Simulation'!D1101</f>
        <v>116.86</v>
      </c>
      <c r="D1101" s="22">
        <f t="shared" si="73"/>
        <v>637.78002941551972</v>
      </c>
      <c r="E1101" s="23">
        <f t="shared" si="74"/>
        <v>-2.8462459998388567</v>
      </c>
      <c r="F1101" s="23">
        <f t="shared" si="75"/>
        <v>2.8462459998388567</v>
      </c>
    </row>
    <row r="1102" spans="1:6" x14ac:dyDescent="0.3">
      <c r="A1102" s="2">
        <v>42565</v>
      </c>
      <c r="B1102" s="1">
        <v>24.697500000000002</v>
      </c>
      <c r="C1102" s="1">
        <f>'Historical Simulation'!D1102</f>
        <v>117.29</v>
      </c>
      <c r="D1102" s="22">
        <f t="shared" si="73"/>
        <v>640.62627541535858</v>
      </c>
      <c r="E1102" s="23">
        <f t="shared" si="74"/>
        <v>0.67956112279580339</v>
      </c>
      <c r="F1102" s="23">
        <f t="shared" si="75"/>
        <v>-0.67956112279580339</v>
      </c>
    </row>
    <row r="1103" spans="1:6" x14ac:dyDescent="0.3">
      <c r="A1103" s="2">
        <v>42564</v>
      </c>
      <c r="B1103" s="1">
        <v>24.217500000000001</v>
      </c>
      <c r="C1103" s="1">
        <f>'Historical Simulation'!D1103</f>
        <v>116.78</v>
      </c>
      <c r="D1103" s="22">
        <f t="shared" si="73"/>
        <v>639.94671429256277</v>
      </c>
      <c r="E1103" s="23">
        <f t="shared" si="74"/>
        <v>-6.87268789435484</v>
      </c>
      <c r="F1103" s="23">
        <f t="shared" si="75"/>
        <v>6.87268789435484</v>
      </c>
    </row>
    <row r="1104" spans="1:6" x14ac:dyDescent="0.3">
      <c r="A1104" s="2">
        <v>42563</v>
      </c>
      <c r="B1104" s="1">
        <v>24.355</v>
      </c>
      <c r="C1104" s="1">
        <f>'Historical Simulation'!D1104</f>
        <v>117.93</v>
      </c>
      <c r="D1104" s="22">
        <f t="shared" si="73"/>
        <v>646.81940218691761</v>
      </c>
      <c r="E1104" s="23">
        <f t="shared" si="74"/>
        <v>-0.22260187132621923</v>
      </c>
      <c r="F1104" s="23">
        <f t="shared" si="75"/>
        <v>0.22260187132621923</v>
      </c>
    </row>
    <row r="1105" spans="1:6" x14ac:dyDescent="0.3">
      <c r="A1105" s="2">
        <v>42562</v>
      </c>
      <c r="B1105" s="1">
        <v>24.245000000000001</v>
      </c>
      <c r="C1105" s="1">
        <f>'Historical Simulation'!D1105</f>
        <v>117.87</v>
      </c>
      <c r="D1105" s="22">
        <f t="shared" si="73"/>
        <v>647.04200405824383</v>
      </c>
      <c r="E1105" s="23">
        <f t="shared" si="74"/>
        <v>3.76688077172048</v>
      </c>
      <c r="F1105" s="23">
        <f t="shared" si="75"/>
        <v>-3.76688077172048</v>
      </c>
    </row>
    <row r="1106" spans="1:6" x14ac:dyDescent="0.3">
      <c r="A1106" s="2">
        <v>42559</v>
      </c>
      <c r="B1106" s="1">
        <v>24.17</v>
      </c>
      <c r="C1106" s="1">
        <f>'Historical Simulation'!D1106</f>
        <v>117.24</v>
      </c>
      <c r="D1106" s="22">
        <f t="shared" si="73"/>
        <v>643.27512328652335</v>
      </c>
      <c r="E1106" s="23">
        <f t="shared" si="74"/>
        <v>8.2007050989606114</v>
      </c>
      <c r="F1106" s="23">
        <f t="shared" si="75"/>
        <v>-8.2007050989606114</v>
      </c>
    </row>
    <row r="1107" spans="1:6" x14ac:dyDescent="0.3">
      <c r="A1107" s="2">
        <v>42558</v>
      </c>
      <c r="B1107" s="1">
        <v>23.984999999999999</v>
      </c>
      <c r="C1107" s="1">
        <f>'Historical Simulation'!D1107</f>
        <v>115.85</v>
      </c>
      <c r="D1107" s="22">
        <f t="shared" si="73"/>
        <v>635.07441818756274</v>
      </c>
      <c r="E1107" s="23">
        <f t="shared" si="74"/>
        <v>-6.2335656487634878</v>
      </c>
      <c r="F1107" s="23">
        <f t="shared" si="75"/>
        <v>6.2335656487634878</v>
      </c>
    </row>
    <row r="1108" spans="1:6" x14ac:dyDescent="0.3">
      <c r="A1108" s="2">
        <v>42557</v>
      </c>
      <c r="B1108" s="1">
        <v>23.8825</v>
      </c>
      <c r="C1108" s="1">
        <f>'Historical Simulation'!D1108</f>
        <v>116.7</v>
      </c>
      <c r="D1108" s="22">
        <f t="shared" si="73"/>
        <v>641.30798383632623</v>
      </c>
      <c r="E1108" s="23">
        <f t="shared" si="74"/>
        <v>17.197475999032235</v>
      </c>
      <c r="F1108" s="23">
        <f t="shared" si="75"/>
        <v>-17.197475999032235</v>
      </c>
    </row>
    <row r="1109" spans="1:6" x14ac:dyDescent="0.3">
      <c r="A1109" s="2">
        <v>42556</v>
      </c>
      <c r="B1109" s="1">
        <v>23.747499999999999</v>
      </c>
      <c r="C1109" s="1">
        <f>'Historical Simulation'!D1109</f>
        <v>114</v>
      </c>
      <c r="D1109" s="22">
        <f t="shared" si="73"/>
        <v>624.11050783729399</v>
      </c>
      <c r="E1109" s="23">
        <f t="shared" si="74"/>
        <v>7.8213099283175325E-3</v>
      </c>
      <c r="F1109" s="23">
        <f t="shared" si="75"/>
        <v>-7.8213099283175325E-3</v>
      </c>
    </row>
    <row r="1110" spans="1:6" x14ac:dyDescent="0.3">
      <c r="A1110" s="2">
        <v>42555</v>
      </c>
      <c r="B1110" s="1">
        <v>23.9725</v>
      </c>
      <c r="C1110" s="1">
        <f>'Historical Simulation'!D1110</f>
        <v>114.19</v>
      </c>
      <c r="D1110" s="22">
        <f t="shared" si="73"/>
        <v>624.10268652736568</v>
      </c>
      <c r="E1110" s="23">
        <f t="shared" si="74"/>
        <v>0</v>
      </c>
      <c r="F1110" s="23">
        <f t="shared" si="75"/>
        <v>0</v>
      </c>
    </row>
    <row r="1111" spans="1:6" x14ac:dyDescent="0.3">
      <c r="A1111" s="2">
        <v>42552</v>
      </c>
      <c r="B1111" s="1">
        <v>23.9725</v>
      </c>
      <c r="C1111" s="1">
        <f>'Historical Simulation'!D1111</f>
        <v>114.19</v>
      </c>
      <c r="D1111" s="22">
        <f t="shared" si="73"/>
        <v>624.10268652736568</v>
      </c>
      <c r="E1111" s="23">
        <f t="shared" si="74"/>
        <v>-1.0084560818100954</v>
      </c>
      <c r="F1111" s="23">
        <f t="shared" si="75"/>
        <v>1.0084560818100954</v>
      </c>
    </row>
    <row r="1112" spans="1:6" x14ac:dyDescent="0.3">
      <c r="A1112" s="2">
        <v>42551</v>
      </c>
      <c r="B1112" s="1">
        <v>23.9</v>
      </c>
      <c r="C1112" s="1">
        <f>'Historical Simulation'!D1112</f>
        <v>114.28</v>
      </c>
      <c r="D1112" s="22">
        <f t="shared" si="73"/>
        <v>625.11114260917577</v>
      </c>
      <c r="E1112" s="23">
        <f t="shared" si="74"/>
        <v>-0.89736673677407452</v>
      </c>
      <c r="F1112" s="23">
        <f t="shared" si="75"/>
        <v>0.89736673677407452</v>
      </c>
    </row>
    <row r="1113" spans="1:6" x14ac:dyDescent="0.3">
      <c r="A1113" s="2">
        <v>42550</v>
      </c>
      <c r="B1113" s="1">
        <v>23.6</v>
      </c>
      <c r="C1113" s="1">
        <f>'Historical Simulation'!D1113</f>
        <v>114.16</v>
      </c>
      <c r="D1113" s="22">
        <f t="shared" si="73"/>
        <v>626.00850934594985</v>
      </c>
      <c r="E1113" s="23">
        <f t="shared" si="74"/>
        <v>8.5674370638529354</v>
      </c>
      <c r="F1113" s="23">
        <f t="shared" si="75"/>
        <v>-8.5674370638529354</v>
      </c>
    </row>
    <row r="1114" spans="1:6" x14ac:dyDescent="0.3">
      <c r="A1114" s="2">
        <v>42549</v>
      </c>
      <c r="B1114" s="1">
        <v>23.397500000000001</v>
      </c>
      <c r="C1114" s="1">
        <f>'Historical Simulation'!D1114</f>
        <v>112.7</v>
      </c>
      <c r="D1114" s="22">
        <f t="shared" si="73"/>
        <v>617.44107228209691</v>
      </c>
      <c r="E1114" s="23">
        <f t="shared" si="74"/>
        <v>22.621935098154154</v>
      </c>
      <c r="F1114" s="23">
        <f t="shared" si="75"/>
        <v>-22.621935098154154</v>
      </c>
    </row>
    <row r="1115" spans="1:6" x14ac:dyDescent="0.3">
      <c r="A1115" s="2">
        <v>42548</v>
      </c>
      <c r="B1115" s="1">
        <v>23.01</v>
      </c>
      <c r="C1115" s="1">
        <f>'Historical Simulation'!D1115</f>
        <v>108.97</v>
      </c>
      <c r="D1115" s="22">
        <f t="shared" si="73"/>
        <v>594.81913718394276</v>
      </c>
      <c r="E1115" s="23">
        <f t="shared" si="74"/>
        <v>-18.766143671469536</v>
      </c>
      <c r="F1115" s="23">
        <f t="shared" si="75"/>
        <v>18.766143671469536</v>
      </c>
    </row>
    <row r="1116" spans="1:6" x14ac:dyDescent="0.3">
      <c r="A1116" s="2">
        <v>42545</v>
      </c>
      <c r="B1116" s="1">
        <v>23.35</v>
      </c>
      <c r="C1116" s="1">
        <f>'Historical Simulation'!D1116</f>
        <v>112.08</v>
      </c>
      <c r="D1116" s="22">
        <f t="shared" si="73"/>
        <v>613.58528085541229</v>
      </c>
      <c r="E1116" s="23">
        <f t="shared" si="74"/>
        <v>-16.140987016666713</v>
      </c>
      <c r="F1116" s="23">
        <f t="shared" si="75"/>
        <v>16.140987016666713</v>
      </c>
    </row>
    <row r="1117" spans="1:6" x14ac:dyDescent="0.3">
      <c r="A1117" s="2">
        <v>42544</v>
      </c>
      <c r="B1117" s="1">
        <v>24.024999999999999</v>
      </c>
      <c r="C1117" s="1">
        <f>'Historical Simulation'!D1117</f>
        <v>115.08</v>
      </c>
      <c r="D1117" s="22">
        <f t="shared" si="73"/>
        <v>629.72626787207901</v>
      </c>
      <c r="E1117" s="23">
        <f t="shared" si="74"/>
        <v>7.0057286428854013</v>
      </c>
      <c r="F1117" s="23">
        <f t="shared" si="75"/>
        <v>-7.0057286428854013</v>
      </c>
    </row>
    <row r="1118" spans="1:6" x14ac:dyDescent="0.3">
      <c r="A1118" s="2">
        <v>42543</v>
      </c>
      <c r="B1118" s="1">
        <v>23.887499999999999</v>
      </c>
      <c r="C1118" s="1">
        <f>'Historical Simulation'!D1118</f>
        <v>113.91</v>
      </c>
      <c r="D1118" s="22">
        <f t="shared" si="73"/>
        <v>622.72053922919361</v>
      </c>
      <c r="E1118" s="23">
        <f t="shared" si="74"/>
        <v>-2.6177742220788787</v>
      </c>
      <c r="F1118" s="23">
        <f t="shared" si="75"/>
        <v>2.6177742220788787</v>
      </c>
    </row>
    <row r="1119" spans="1:6" x14ac:dyDescent="0.3">
      <c r="A1119" s="2">
        <v>42542</v>
      </c>
      <c r="B1119" s="1">
        <v>23.977499999999999</v>
      </c>
      <c r="C1119" s="1">
        <f>'Historical Simulation'!D1119</f>
        <v>114.38</v>
      </c>
      <c r="D1119" s="22">
        <f t="shared" si="73"/>
        <v>625.33831345127248</v>
      </c>
      <c r="E1119" s="23">
        <f t="shared" si="74"/>
        <v>5.5740202219175217</v>
      </c>
      <c r="F1119" s="23">
        <f t="shared" si="75"/>
        <v>-5.5740202219175217</v>
      </c>
    </row>
    <row r="1120" spans="1:6" x14ac:dyDescent="0.3">
      <c r="A1120" s="2">
        <v>42541</v>
      </c>
      <c r="B1120" s="1">
        <v>23.774999999999999</v>
      </c>
      <c r="C1120" s="1">
        <f>'Historical Simulation'!D1120</f>
        <v>113.37</v>
      </c>
      <c r="D1120" s="22">
        <f t="shared" si="73"/>
        <v>619.76429322935496</v>
      </c>
      <c r="E1120" s="23">
        <f t="shared" si="74"/>
        <v>2.6532052513083499</v>
      </c>
      <c r="F1120" s="23">
        <f t="shared" si="75"/>
        <v>-2.6532052513083499</v>
      </c>
    </row>
    <row r="1121" spans="1:6" x14ac:dyDescent="0.3">
      <c r="A1121" s="2">
        <v>42538</v>
      </c>
      <c r="B1121" s="1">
        <v>23.8325</v>
      </c>
      <c r="C1121" s="1">
        <f>'Historical Simulation'!D1121</f>
        <v>113.02</v>
      </c>
      <c r="D1121" s="22">
        <f t="shared" si="73"/>
        <v>617.11108797804661</v>
      </c>
      <c r="E1121" s="23">
        <f t="shared" si="74"/>
        <v>-5.976410502616659</v>
      </c>
      <c r="F1121" s="23">
        <f t="shared" si="75"/>
        <v>5.976410502616659</v>
      </c>
    </row>
    <row r="1122" spans="1:6" x14ac:dyDescent="0.3">
      <c r="A1122" s="2">
        <v>42537</v>
      </c>
      <c r="B1122" s="1">
        <v>24.387499999999999</v>
      </c>
      <c r="C1122" s="1">
        <f>'Historical Simulation'!D1122</f>
        <v>114.39</v>
      </c>
      <c r="D1122" s="22">
        <f t="shared" si="73"/>
        <v>623.08749848066327</v>
      </c>
      <c r="E1122" s="23">
        <f t="shared" si="74"/>
        <v>-1.9762616957883665</v>
      </c>
      <c r="F1122" s="23">
        <f t="shared" si="75"/>
        <v>1.9762616957883665</v>
      </c>
    </row>
    <row r="1123" spans="1:6" x14ac:dyDescent="0.3">
      <c r="A1123" s="2">
        <v>42536</v>
      </c>
      <c r="B1123" s="1">
        <v>24.285</v>
      </c>
      <c r="C1123" s="1">
        <f>'Historical Simulation'!D1123</f>
        <v>114.6</v>
      </c>
      <c r="D1123" s="22">
        <f t="shared" si="73"/>
        <v>625.06376017645164</v>
      </c>
      <c r="E1123" s="23">
        <f t="shared" si="74"/>
        <v>-1.809529730896088</v>
      </c>
      <c r="F1123" s="23">
        <f t="shared" si="75"/>
        <v>1.809529730896088</v>
      </c>
    </row>
    <row r="1124" spans="1:6" x14ac:dyDescent="0.3">
      <c r="A1124" s="2">
        <v>42535</v>
      </c>
      <c r="B1124" s="1">
        <v>24.364999999999998</v>
      </c>
      <c r="C1124" s="1">
        <f>'Historical Simulation'!D1124</f>
        <v>114.94</v>
      </c>
      <c r="D1124" s="22">
        <f t="shared" si="73"/>
        <v>626.87328990734773</v>
      </c>
      <c r="E1124" s="23">
        <f t="shared" si="74"/>
        <v>6.4159559294623705</v>
      </c>
      <c r="F1124" s="23">
        <f t="shared" si="75"/>
        <v>-6.4159559294623705</v>
      </c>
    </row>
    <row r="1125" spans="1:6" x14ac:dyDescent="0.3">
      <c r="A1125" s="2">
        <v>42534</v>
      </c>
      <c r="B1125" s="1">
        <v>24.335000000000001</v>
      </c>
      <c r="C1125" s="1">
        <f>'Historical Simulation'!D1125</f>
        <v>113.95</v>
      </c>
      <c r="D1125" s="22">
        <f t="shared" si="73"/>
        <v>620.45733397788536</v>
      </c>
      <c r="E1125" s="23">
        <f t="shared" si="74"/>
        <v>-15.65555598743731</v>
      </c>
      <c r="F1125" s="23">
        <f t="shared" si="75"/>
        <v>15.65555598743731</v>
      </c>
    </row>
    <row r="1126" spans="1:6" x14ac:dyDescent="0.3">
      <c r="A1126" s="2">
        <v>42531</v>
      </c>
      <c r="B1126" s="1">
        <v>24.7075</v>
      </c>
      <c r="C1126" s="1">
        <f>'Historical Simulation'!D1126</f>
        <v>116.62</v>
      </c>
      <c r="D1126" s="22">
        <f t="shared" si="73"/>
        <v>636.11288996532267</v>
      </c>
      <c r="E1126" s="23">
        <f t="shared" si="74"/>
        <v>-11.746284935017911</v>
      </c>
      <c r="F1126" s="23">
        <f t="shared" si="75"/>
        <v>11.746284935017911</v>
      </c>
    </row>
    <row r="1127" spans="1:6" x14ac:dyDescent="0.3">
      <c r="A1127" s="2">
        <v>42530</v>
      </c>
      <c r="B1127" s="1">
        <v>24.912500000000001</v>
      </c>
      <c r="C1127" s="1">
        <f>'Historical Simulation'!D1127</f>
        <v>118.56</v>
      </c>
      <c r="D1127" s="22">
        <f t="shared" si="73"/>
        <v>647.85917490034058</v>
      </c>
      <c r="E1127" s="23">
        <f t="shared" si="74"/>
        <v>0.1276097193010628</v>
      </c>
      <c r="F1127" s="23">
        <f t="shared" si="75"/>
        <v>-0.1276097193010628</v>
      </c>
    </row>
    <row r="1128" spans="1:6" x14ac:dyDescent="0.3">
      <c r="A1128" s="2">
        <v>42529</v>
      </c>
      <c r="B1128" s="1">
        <v>24.734999999999999</v>
      </c>
      <c r="C1128" s="1">
        <f>'Historical Simulation'!D1128</f>
        <v>118.39</v>
      </c>
      <c r="D1128" s="22">
        <f t="shared" si="73"/>
        <v>647.73156518103951</v>
      </c>
      <c r="E1128" s="23">
        <f t="shared" si="74"/>
        <v>4.3179544208064726</v>
      </c>
      <c r="F1128" s="23">
        <f t="shared" si="75"/>
        <v>-4.3179544208064726</v>
      </c>
    </row>
    <row r="1129" spans="1:6" x14ac:dyDescent="0.3">
      <c r="A1129" s="2">
        <v>42528</v>
      </c>
      <c r="B1129" s="1">
        <v>24.7575</v>
      </c>
      <c r="C1129" s="1">
        <f>'Historical Simulation'!D1129</f>
        <v>117.76</v>
      </c>
      <c r="D1129" s="22">
        <f t="shared" si="73"/>
        <v>643.41361076023304</v>
      </c>
      <c r="E1129" s="23">
        <f t="shared" si="74"/>
        <v>-7.4168022919714076</v>
      </c>
      <c r="F1129" s="23">
        <f t="shared" si="75"/>
        <v>7.4168022919714076</v>
      </c>
    </row>
    <row r="1130" spans="1:6" x14ac:dyDescent="0.3">
      <c r="A1130" s="2">
        <v>42527</v>
      </c>
      <c r="B1130" s="1">
        <v>24.657499999999999</v>
      </c>
      <c r="C1130" s="1">
        <f>'Historical Simulation'!D1130</f>
        <v>118.79</v>
      </c>
      <c r="D1130" s="22">
        <f t="shared" si="73"/>
        <v>650.83041305220445</v>
      </c>
      <c r="E1130" s="23">
        <f t="shared" si="74"/>
        <v>1.1254153332796477</v>
      </c>
      <c r="F1130" s="23">
        <f t="shared" si="75"/>
        <v>-1.1254153332796477</v>
      </c>
    </row>
    <row r="1131" spans="1:6" x14ac:dyDescent="0.3">
      <c r="A1131" s="2">
        <v>42524</v>
      </c>
      <c r="B1131" s="1">
        <v>24.48</v>
      </c>
      <c r="C1131" s="1">
        <f>'Historical Simulation'!D1131</f>
        <v>118.47</v>
      </c>
      <c r="D1131" s="22">
        <f t="shared" si="73"/>
        <v>649.7049977189248</v>
      </c>
      <c r="E1131" s="23">
        <f t="shared" si="74"/>
        <v>-3.3425390875269159</v>
      </c>
      <c r="F1131" s="23">
        <f t="shared" si="75"/>
        <v>3.3425390875269159</v>
      </c>
    </row>
    <row r="1132" spans="1:6" x14ac:dyDescent="0.3">
      <c r="A1132" s="2">
        <v>42523</v>
      </c>
      <c r="B1132" s="1">
        <v>24.43</v>
      </c>
      <c r="C1132" s="1">
        <f>'Historical Simulation'!D1132</f>
        <v>118.93</v>
      </c>
      <c r="D1132" s="22">
        <f t="shared" si="73"/>
        <v>653.04753680645172</v>
      </c>
      <c r="E1132" s="23">
        <f t="shared" si="74"/>
        <v>2.0434325378853373</v>
      </c>
      <c r="F1132" s="23">
        <f t="shared" si="75"/>
        <v>-2.0434325378853373</v>
      </c>
    </row>
    <row r="1133" spans="1:6" x14ac:dyDescent="0.3">
      <c r="A1133" s="2">
        <v>42522</v>
      </c>
      <c r="B1133" s="1">
        <v>24.614999999999998</v>
      </c>
      <c r="C1133" s="1">
        <f>'Historical Simulation'!D1133</f>
        <v>118.78</v>
      </c>
      <c r="D1133" s="22">
        <f t="shared" si="73"/>
        <v>651.00410426856638</v>
      </c>
      <c r="E1133" s="23">
        <f t="shared" si="74"/>
        <v>1.7786519764874811</v>
      </c>
      <c r="F1133" s="23">
        <f t="shared" si="75"/>
        <v>-1.7786519764874811</v>
      </c>
    </row>
    <row r="1134" spans="1:6" x14ac:dyDescent="0.3">
      <c r="A1134" s="2">
        <v>42521</v>
      </c>
      <c r="B1134" s="1">
        <v>24.965</v>
      </c>
      <c r="C1134" s="1">
        <f>'Historical Simulation'!D1134</f>
        <v>118.81</v>
      </c>
      <c r="D1134" s="22">
        <f t="shared" si="73"/>
        <v>649.2254522920789</v>
      </c>
      <c r="E1134" s="23">
        <f t="shared" si="74"/>
        <v>-3.0992867483691953</v>
      </c>
      <c r="F1134" s="23">
        <f t="shared" si="75"/>
        <v>3.0992867483691953</v>
      </c>
    </row>
    <row r="1135" spans="1:6" x14ac:dyDescent="0.3">
      <c r="A1135" s="2">
        <v>42520</v>
      </c>
      <c r="B1135" s="1">
        <v>25.087499999999999</v>
      </c>
      <c r="C1135" s="1">
        <f>'Historical Simulation'!D1135</f>
        <v>119.38</v>
      </c>
      <c r="D1135" s="22">
        <f t="shared" si="73"/>
        <v>652.32473904044809</v>
      </c>
      <c r="E1135" s="23">
        <f t="shared" si="74"/>
        <v>0</v>
      </c>
      <c r="F1135" s="23">
        <f t="shared" si="75"/>
        <v>0</v>
      </c>
    </row>
    <row r="1136" spans="1:6" x14ac:dyDescent="0.3">
      <c r="A1136" s="2">
        <v>42517</v>
      </c>
      <c r="B1136" s="1">
        <v>25.087499999999999</v>
      </c>
      <c r="C1136" s="1">
        <f>'Historical Simulation'!D1136</f>
        <v>119.38</v>
      </c>
      <c r="D1136" s="22">
        <f t="shared" si="73"/>
        <v>652.32473904044809</v>
      </c>
      <c r="E1136" s="23">
        <f t="shared" si="74"/>
        <v>-0.51390280698922197</v>
      </c>
      <c r="F1136" s="23">
        <f t="shared" si="75"/>
        <v>0.51390280698922197</v>
      </c>
    </row>
    <row r="1137" spans="1:6" x14ac:dyDescent="0.3">
      <c r="A1137" s="2">
        <v>42516</v>
      </c>
      <c r="B1137" s="1">
        <v>25.102499999999999</v>
      </c>
      <c r="C1137" s="1">
        <f>'Historical Simulation'!D1137</f>
        <v>119.47</v>
      </c>
      <c r="D1137" s="22">
        <f t="shared" si="73"/>
        <v>652.83864184743732</v>
      </c>
      <c r="E1137" s="23">
        <f t="shared" si="74"/>
        <v>9.3939417421684084</v>
      </c>
      <c r="F1137" s="23">
        <f t="shared" si="75"/>
        <v>-9.3939417421684084</v>
      </c>
    </row>
    <row r="1138" spans="1:6" x14ac:dyDescent="0.3">
      <c r="A1138" s="2">
        <v>42515</v>
      </c>
      <c r="B1138" s="1">
        <v>24.905000000000001</v>
      </c>
      <c r="C1138" s="1">
        <f>'Historical Simulation'!D1138</f>
        <v>117.89</v>
      </c>
      <c r="D1138" s="22">
        <f t="shared" si="73"/>
        <v>643.44470010526891</v>
      </c>
      <c r="E1138" s="23">
        <f t="shared" si="74"/>
        <v>-1.1664889823655358</v>
      </c>
      <c r="F1138" s="23">
        <f t="shared" si="75"/>
        <v>1.1664889823655358</v>
      </c>
    </row>
    <row r="1139" spans="1:6" x14ac:dyDescent="0.3">
      <c r="A1139" s="2">
        <v>42514</v>
      </c>
      <c r="B1139" s="1">
        <v>24.475000000000001</v>
      </c>
      <c r="C1139" s="1">
        <f>'Historical Simulation'!D1139</f>
        <v>117.7</v>
      </c>
      <c r="D1139" s="22">
        <f t="shared" si="73"/>
        <v>644.61118908763444</v>
      </c>
      <c r="E1139" s="23">
        <f t="shared" si="74"/>
        <v>9.4309009936379198</v>
      </c>
      <c r="F1139" s="23">
        <f t="shared" si="75"/>
        <v>-9.4309009936379198</v>
      </c>
    </row>
    <row r="1140" spans="1:6" x14ac:dyDescent="0.3">
      <c r="A1140" s="2">
        <v>42513</v>
      </c>
      <c r="B1140" s="1">
        <v>24.107500000000002</v>
      </c>
      <c r="C1140" s="1">
        <f>'Historical Simulation'!D1140</f>
        <v>115.97</v>
      </c>
      <c r="D1140" s="22">
        <f t="shared" si="73"/>
        <v>635.18028809399652</v>
      </c>
      <c r="E1140" s="23">
        <f t="shared" si="74"/>
        <v>-10.889552970125351</v>
      </c>
      <c r="F1140" s="23">
        <f t="shared" si="75"/>
        <v>10.889552970125351</v>
      </c>
    </row>
    <row r="1141" spans="1:6" x14ac:dyDescent="0.3">
      <c r="A1141" s="2">
        <v>42510</v>
      </c>
      <c r="B1141" s="1">
        <v>23.805</v>
      </c>
      <c r="C1141" s="1">
        <f>'Historical Simulation'!D1141</f>
        <v>117.35</v>
      </c>
      <c r="D1141" s="22">
        <f t="shared" si="73"/>
        <v>646.06984106412187</v>
      </c>
      <c r="E1141" s="23">
        <f t="shared" si="74"/>
        <v>2.1508306665590453</v>
      </c>
      <c r="F1141" s="23">
        <f t="shared" si="75"/>
        <v>-2.1508306665590453</v>
      </c>
    </row>
    <row r="1142" spans="1:6" x14ac:dyDescent="0.3">
      <c r="A1142" s="2">
        <v>42509</v>
      </c>
      <c r="B1142" s="1">
        <v>23.55</v>
      </c>
      <c r="C1142" s="1">
        <f>'Historical Simulation'!D1142</f>
        <v>116.81</v>
      </c>
      <c r="D1142" s="22">
        <f t="shared" si="73"/>
        <v>643.91901039756283</v>
      </c>
      <c r="E1142" s="23">
        <f t="shared" si="74"/>
        <v>-5.0790280698925017</v>
      </c>
      <c r="F1142" s="23">
        <f t="shared" si="75"/>
        <v>5.0790280698925017</v>
      </c>
    </row>
    <row r="1143" spans="1:6" x14ac:dyDescent="0.3">
      <c r="A1143" s="2">
        <v>42508</v>
      </c>
      <c r="B1143" s="1">
        <v>23.64</v>
      </c>
      <c r="C1143" s="1">
        <f>'Historical Simulation'!D1143</f>
        <v>117.65</v>
      </c>
      <c r="D1143" s="22">
        <f t="shared" si="73"/>
        <v>648.99803846745533</v>
      </c>
      <c r="E1143" s="23">
        <f t="shared" si="74"/>
        <v>0.48369121636210366</v>
      </c>
      <c r="F1143" s="23">
        <f t="shared" si="75"/>
        <v>-0.48369121636210366</v>
      </c>
    </row>
    <row r="1144" spans="1:6" x14ac:dyDescent="0.3">
      <c r="A1144" s="2">
        <v>42507</v>
      </c>
      <c r="B1144" s="1">
        <v>23.372499999999999</v>
      </c>
      <c r="C1144" s="1">
        <f>'Historical Simulation'!D1144</f>
        <v>117.35</v>
      </c>
      <c r="D1144" s="22">
        <f t="shared" si="73"/>
        <v>648.51434725109323</v>
      </c>
      <c r="E1144" s="23">
        <f t="shared" si="74"/>
        <v>-8.2296157539248043</v>
      </c>
      <c r="F1144" s="23">
        <f t="shared" si="75"/>
        <v>8.2296157539248043</v>
      </c>
    </row>
    <row r="1145" spans="1:6" x14ac:dyDescent="0.3">
      <c r="A1145" s="2">
        <v>42506</v>
      </c>
      <c r="B1145" s="1">
        <v>23.47</v>
      </c>
      <c r="C1145" s="1">
        <f>'Historical Simulation'!D1145</f>
        <v>118.67</v>
      </c>
      <c r="D1145" s="22">
        <f t="shared" si="73"/>
        <v>656.74396300501803</v>
      </c>
      <c r="E1145" s="23">
        <f t="shared" si="74"/>
        <v>-12.331034104516107</v>
      </c>
      <c r="F1145" s="23">
        <f t="shared" si="75"/>
        <v>12.331034104516107</v>
      </c>
    </row>
    <row r="1146" spans="1:6" x14ac:dyDescent="0.3">
      <c r="A1146" s="2">
        <v>42503</v>
      </c>
      <c r="B1146" s="1">
        <v>22.63</v>
      </c>
      <c r="C1146" s="1">
        <f>'Historical Simulation'!D1146</f>
        <v>119.81</v>
      </c>
      <c r="D1146" s="22">
        <f t="shared" si="73"/>
        <v>669.07499710953414</v>
      </c>
      <c r="E1146" s="23">
        <f t="shared" si="74"/>
        <v>-3.3807992746594664</v>
      </c>
      <c r="F1146" s="23">
        <f t="shared" si="75"/>
        <v>3.3807992746594664</v>
      </c>
    </row>
    <row r="1147" spans="1:6" x14ac:dyDescent="0.3">
      <c r="A1147" s="2">
        <v>42502</v>
      </c>
      <c r="B1147" s="1">
        <v>22.585000000000001</v>
      </c>
      <c r="C1147" s="1">
        <f>'Historical Simulation'!D1147</f>
        <v>120.28</v>
      </c>
      <c r="D1147" s="22">
        <f t="shared" si="73"/>
        <v>672.4557963841936</v>
      </c>
      <c r="E1147" s="23">
        <f t="shared" si="74"/>
        <v>8.1217787480464949</v>
      </c>
      <c r="F1147" s="23">
        <f t="shared" si="75"/>
        <v>-8.1217787480464949</v>
      </c>
    </row>
    <row r="1148" spans="1:6" x14ac:dyDescent="0.3">
      <c r="A1148" s="2">
        <v>42501</v>
      </c>
      <c r="B1148" s="1">
        <v>23.127500000000001</v>
      </c>
      <c r="C1148" s="1">
        <f>'Historical Simulation'!D1148</f>
        <v>119.52</v>
      </c>
      <c r="D1148" s="22">
        <f t="shared" si="73"/>
        <v>664.33401763614711</v>
      </c>
      <c r="E1148" s="23">
        <f t="shared" si="74"/>
        <v>-5.233158163458711</v>
      </c>
      <c r="F1148" s="23">
        <f t="shared" si="75"/>
        <v>5.233158163458711</v>
      </c>
    </row>
    <row r="1149" spans="1:6" x14ac:dyDescent="0.3">
      <c r="A1149" s="2">
        <v>42500</v>
      </c>
      <c r="B1149" s="1">
        <v>23.355</v>
      </c>
      <c r="C1149" s="1">
        <f>'Historical Simulation'!D1149</f>
        <v>120.5</v>
      </c>
      <c r="D1149" s="22">
        <f t="shared" si="73"/>
        <v>669.56717579960582</v>
      </c>
      <c r="E1149" s="23">
        <f t="shared" si="74"/>
        <v>7.49137126274195</v>
      </c>
      <c r="F1149" s="23">
        <f t="shared" si="75"/>
        <v>-7.49137126274195</v>
      </c>
    </row>
    <row r="1150" spans="1:6" x14ac:dyDescent="0.3">
      <c r="A1150" s="2">
        <v>42499</v>
      </c>
      <c r="B1150" s="1">
        <v>23.197500000000002</v>
      </c>
      <c r="C1150" s="1">
        <f>'Historical Simulation'!D1150</f>
        <v>119.24</v>
      </c>
      <c r="D1150" s="22">
        <f t="shared" si="73"/>
        <v>662.07580453686387</v>
      </c>
      <c r="E1150" s="23">
        <f t="shared" si="74"/>
        <v>-1.7619200115949525</v>
      </c>
      <c r="F1150" s="23">
        <f t="shared" si="75"/>
        <v>1.7619200115949525</v>
      </c>
    </row>
    <row r="1151" spans="1:6" x14ac:dyDescent="0.3">
      <c r="A1151" s="2">
        <v>42496</v>
      </c>
      <c r="B1151" s="1">
        <v>23.18</v>
      </c>
      <c r="C1151" s="1">
        <f>'Historical Simulation'!D1151</f>
        <v>119.49</v>
      </c>
      <c r="D1151" s="22">
        <f t="shared" si="73"/>
        <v>663.83772454845882</v>
      </c>
      <c r="E1151" s="23">
        <f t="shared" si="74"/>
        <v>11.910187742007111</v>
      </c>
      <c r="F1151" s="23">
        <f t="shared" si="75"/>
        <v>-11.910187742007111</v>
      </c>
    </row>
    <row r="1152" spans="1:6" x14ac:dyDescent="0.3">
      <c r="A1152" s="2">
        <v>42495</v>
      </c>
      <c r="B1152" s="1">
        <v>23.31</v>
      </c>
      <c r="C1152" s="1">
        <f>'Historical Simulation'!D1152</f>
        <v>117.81</v>
      </c>
      <c r="D1152" s="22">
        <f t="shared" si="73"/>
        <v>651.92753680645171</v>
      </c>
      <c r="E1152" s="23">
        <f t="shared" si="74"/>
        <v>-0.32065046783156959</v>
      </c>
      <c r="F1152" s="23">
        <f t="shared" si="75"/>
        <v>0.32065046783156959</v>
      </c>
    </row>
    <row r="1153" spans="1:6" x14ac:dyDescent="0.3">
      <c r="A1153" s="2">
        <v>42494</v>
      </c>
      <c r="B1153" s="1">
        <v>23.547499999999999</v>
      </c>
      <c r="C1153" s="1">
        <f>'Historical Simulation'!D1153</f>
        <v>118.06</v>
      </c>
      <c r="D1153" s="22">
        <f t="shared" si="73"/>
        <v>652.24818727428328</v>
      </c>
      <c r="E1153" s="23">
        <f t="shared" si="74"/>
        <v>5.5896628417742704</v>
      </c>
      <c r="F1153" s="23">
        <f t="shared" si="75"/>
        <v>-5.5896628417742704</v>
      </c>
    </row>
    <row r="1154" spans="1:6" x14ac:dyDescent="0.3">
      <c r="A1154" s="2">
        <v>42493</v>
      </c>
      <c r="B1154" s="1">
        <v>23.795000000000002</v>
      </c>
      <c r="C1154" s="1">
        <f>'Historical Simulation'!D1154</f>
        <v>117.43</v>
      </c>
      <c r="D1154" s="22">
        <f t="shared" si="73"/>
        <v>646.65852443250901</v>
      </c>
      <c r="E1154" s="23">
        <f t="shared" si="74"/>
        <v>-9.7593570754480652</v>
      </c>
      <c r="F1154" s="23">
        <f t="shared" si="75"/>
        <v>9.7593570754480652</v>
      </c>
    </row>
    <row r="1155" spans="1:6" x14ac:dyDescent="0.3">
      <c r="A1155" s="2">
        <v>42492</v>
      </c>
      <c r="B1155" s="1">
        <v>23.41</v>
      </c>
      <c r="C1155" s="1">
        <f>'Historical Simulation'!D1155</f>
        <v>118.57</v>
      </c>
      <c r="D1155" s="22">
        <f t="shared" si="73"/>
        <v>656.41788150795708</v>
      </c>
      <c r="E1155" s="23">
        <f t="shared" si="74"/>
        <v>6.7268179879212084</v>
      </c>
      <c r="F1155" s="23">
        <f t="shared" si="75"/>
        <v>-6.7268179879212084</v>
      </c>
    </row>
    <row r="1156" spans="1:6" x14ac:dyDescent="0.3">
      <c r="A1156" s="2">
        <v>42489</v>
      </c>
      <c r="B1156" s="1">
        <v>23.434999999999999</v>
      </c>
      <c r="C1156" s="1">
        <f>'Historical Simulation'!D1156</f>
        <v>117.58</v>
      </c>
      <c r="D1156" s="22">
        <f t="shared" si="73"/>
        <v>649.69106352003587</v>
      </c>
      <c r="E1156" s="23">
        <f t="shared" si="74"/>
        <v>7.1944120112722203</v>
      </c>
      <c r="F1156" s="23">
        <f t="shared" si="75"/>
        <v>-7.1944120112722203</v>
      </c>
    </row>
    <row r="1157" spans="1:6" x14ac:dyDescent="0.3">
      <c r="A1157" s="2">
        <v>42488</v>
      </c>
      <c r="B1157" s="1">
        <v>23.7075</v>
      </c>
      <c r="C1157" s="1">
        <f>'Historical Simulation'!D1157</f>
        <v>116.73</v>
      </c>
      <c r="D1157" s="22">
        <f t="shared" si="73"/>
        <v>642.49665150876365</v>
      </c>
      <c r="E1157" s="23">
        <f t="shared" si="74"/>
        <v>56.376871400268897</v>
      </c>
      <c r="F1157" s="23">
        <f t="shared" si="75"/>
        <v>-56.376871400268897</v>
      </c>
    </row>
    <row r="1158" spans="1:6" x14ac:dyDescent="0.3">
      <c r="A1158" s="2">
        <v>42487</v>
      </c>
      <c r="B1158" s="1">
        <v>24.454999999999998</v>
      </c>
      <c r="C1158" s="1">
        <f>'Historical Simulation'!D1158</f>
        <v>108.89</v>
      </c>
      <c r="D1158" s="22">
        <f t="shared" ref="D1158:D1221" si="76">$M$16*B1158+(1-$M$16)*C1158</f>
        <v>586.11978010849475</v>
      </c>
      <c r="E1158" s="23">
        <f t="shared" ref="E1158:E1221" si="77">D1158-D1159</f>
        <v>10.091715964247442</v>
      </c>
      <c r="F1158" s="23">
        <f t="shared" ref="F1158:F1221" si="78">-E1158</f>
        <v>-10.091715964247442</v>
      </c>
    </row>
    <row r="1159" spans="1:6" x14ac:dyDescent="0.3">
      <c r="A1159" s="2">
        <v>42486</v>
      </c>
      <c r="B1159" s="1">
        <v>26.087499999999999</v>
      </c>
      <c r="C1159" s="1">
        <f>'Historical Simulation'!D1159</f>
        <v>108.76</v>
      </c>
      <c r="D1159" s="22">
        <f t="shared" si="76"/>
        <v>576.02806414424731</v>
      </c>
      <c r="E1159" s="23">
        <f t="shared" si="77"/>
        <v>-7.8822333212008289</v>
      </c>
      <c r="F1159" s="23">
        <f t="shared" si="78"/>
        <v>7.8822333212008289</v>
      </c>
    </row>
    <row r="1160" spans="1:6" x14ac:dyDescent="0.3">
      <c r="A1160" s="2">
        <v>42485</v>
      </c>
      <c r="B1160" s="1">
        <v>26.27</v>
      </c>
      <c r="C1160" s="1">
        <f>'Historical Simulation'!D1160</f>
        <v>110.1</v>
      </c>
      <c r="D1160" s="22">
        <f t="shared" si="76"/>
        <v>583.91029746544814</v>
      </c>
      <c r="E1160" s="23">
        <f t="shared" si="77"/>
        <v>-2.2121316022222572</v>
      </c>
      <c r="F1160" s="23">
        <f t="shared" si="78"/>
        <v>2.2121316022222572</v>
      </c>
    </row>
    <row r="1161" spans="1:6" x14ac:dyDescent="0.3">
      <c r="A1161" s="2">
        <v>42482</v>
      </c>
      <c r="B1161" s="1">
        <v>26.42</v>
      </c>
      <c r="C1161" s="1">
        <f>'Historical Simulation'!D1161</f>
        <v>110.56</v>
      </c>
      <c r="D1161" s="22">
        <f t="shared" si="76"/>
        <v>586.1224290676704</v>
      </c>
      <c r="E1161" s="23">
        <f t="shared" si="77"/>
        <v>-18.748095074964112</v>
      </c>
      <c r="F1161" s="23">
        <f t="shared" si="78"/>
        <v>18.748095074964112</v>
      </c>
    </row>
    <row r="1162" spans="1:6" x14ac:dyDescent="0.3">
      <c r="A1162" s="2">
        <v>42481</v>
      </c>
      <c r="B1162" s="1">
        <v>26.4925</v>
      </c>
      <c r="C1162" s="1">
        <f>'Historical Simulation'!D1162</f>
        <v>113.44</v>
      </c>
      <c r="D1162" s="22">
        <f t="shared" si="76"/>
        <v>604.87052414263451</v>
      </c>
      <c r="E1162" s="23">
        <f t="shared" si="77"/>
        <v>8.4241690287454958</v>
      </c>
      <c r="F1162" s="23">
        <f t="shared" si="78"/>
        <v>-8.4241690287454958</v>
      </c>
    </row>
    <row r="1163" spans="1:6" x14ac:dyDescent="0.3">
      <c r="A1163" s="2">
        <v>42480</v>
      </c>
      <c r="B1163" s="1">
        <v>26.782499999999999</v>
      </c>
      <c r="C1163" s="1">
        <f>'Historical Simulation'!D1163</f>
        <v>112.42</v>
      </c>
      <c r="D1163" s="22">
        <f t="shared" si="76"/>
        <v>596.44635511388901</v>
      </c>
      <c r="E1163" s="23">
        <f t="shared" si="77"/>
        <v>0.55390280698929928</v>
      </c>
      <c r="F1163" s="23">
        <f t="shared" si="78"/>
        <v>-0.55390280698929928</v>
      </c>
    </row>
    <row r="1164" spans="1:6" x14ac:dyDescent="0.3">
      <c r="A1164" s="2">
        <v>42479</v>
      </c>
      <c r="B1164" s="1">
        <v>26.727499999999999</v>
      </c>
      <c r="C1164" s="1">
        <f>'Historical Simulation'!D1164</f>
        <v>112.29</v>
      </c>
      <c r="D1164" s="22">
        <f t="shared" si="76"/>
        <v>595.89245230689971</v>
      </c>
      <c r="E1164" s="23">
        <f t="shared" si="77"/>
        <v>13.045164198082375</v>
      </c>
      <c r="F1164" s="23">
        <f t="shared" si="78"/>
        <v>-13.045164198082375</v>
      </c>
    </row>
    <row r="1165" spans="1:6" x14ac:dyDescent="0.3">
      <c r="A1165" s="2">
        <v>42478</v>
      </c>
      <c r="B1165" s="1">
        <v>26.87</v>
      </c>
      <c r="C1165" s="1">
        <f>'Historical Simulation'!D1165</f>
        <v>110.45</v>
      </c>
      <c r="D1165" s="22">
        <f t="shared" si="76"/>
        <v>582.84728810881734</v>
      </c>
      <c r="E1165" s="23">
        <f t="shared" si="77"/>
        <v>8.7369824906990061</v>
      </c>
      <c r="F1165" s="23">
        <f t="shared" si="78"/>
        <v>-8.7369824906990061</v>
      </c>
    </row>
    <row r="1166" spans="1:6" x14ac:dyDescent="0.3">
      <c r="A1166" s="2">
        <v>42475</v>
      </c>
      <c r="B1166" s="1">
        <v>27.462499999999999</v>
      </c>
      <c r="C1166" s="1">
        <f>'Historical Simulation'!D1166</f>
        <v>109.64</v>
      </c>
      <c r="D1166" s="22">
        <f t="shared" si="76"/>
        <v>574.11030561811833</v>
      </c>
      <c r="E1166" s="23">
        <f t="shared" si="77"/>
        <v>-4.8031738594086164</v>
      </c>
      <c r="F1166" s="23">
        <f t="shared" si="78"/>
        <v>4.8031738594086164</v>
      </c>
    </row>
    <row r="1167" spans="1:6" x14ac:dyDescent="0.3">
      <c r="A1167" s="2">
        <v>42474</v>
      </c>
      <c r="B1167" s="1">
        <v>28.024999999999999</v>
      </c>
      <c r="C1167" s="1">
        <f>'Historical Simulation'!D1167</f>
        <v>110.84</v>
      </c>
      <c r="D1167" s="22">
        <f t="shared" si="76"/>
        <v>578.91347947752695</v>
      </c>
      <c r="E1167" s="23">
        <f t="shared" si="77"/>
        <v>2.1103917893548214</v>
      </c>
      <c r="F1167" s="23">
        <f t="shared" si="78"/>
        <v>-2.1103917893548214</v>
      </c>
    </row>
    <row r="1168" spans="1:6" x14ac:dyDescent="0.3">
      <c r="A1168" s="2">
        <v>42473</v>
      </c>
      <c r="B1168" s="1">
        <v>28.01</v>
      </c>
      <c r="C1168" s="1">
        <f>'Historical Simulation'!D1168</f>
        <v>110.51</v>
      </c>
      <c r="D1168" s="22">
        <f t="shared" si="76"/>
        <v>576.80308768817213</v>
      </c>
      <c r="E1168" s="23">
        <f t="shared" si="77"/>
        <v>-2.9260187132616693</v>
      </c>
      <c r="F1168" s="23">
        <f t="shared" si="78"/>
        <v>2.9260187132616693</v>
      </c>
    </row>
    <row r="1169" spans="1:6" x14ac:dyDescent="0.3">
      <c r="A1169" s="2">
        <v>42472</v>
      </c>
      <c r="B1169" s="1">
        <v>27.61</v>
      </c>
      <c r="C1169" s="1">
        <f>'Historical Simulation'!D1169</f>
        <v>110.61</v>
      </c>
      <c r="D1169" s="22">
        <f t="shared" si="76"/>
        <v>579.7291064014338</v>
      </c>
      <c r="E1169" s="23">
        <f t="shared" si="77"/>
        <v>8.7698273445520272</v>
      </c>
      <c r="F1169" s="23">
        <f t="shared" si="78"/>
        <v>-8.7698273445520272</v>
      </c>
    </row>
    <row r="1170" spans="1:6" x14ac:dyDescent="0.3">
      <c r="A1170" s="2">
        <v>42471</v>
      </c>
      <c r="B1170" s="1">
        <v>27.254999999999999</v>
      </c>
      <c r="C1170" s="1">
        <f>'Historical Simulation'!D1170</f>
        <v>108.99</v>
      </c>
      <c r="D1170" s="22">
        <f t="shared" si="76"/>
        <v>570.95927905688177</v>
      </c>
      <c r="E1170" s="23">
        <f t="shared" si="77"/>
        <v>-11.418024747885283</v>
      </c>
      <c r="F1170" s="23">
        <f t="shared" si="78"/>
        <v>11.418024747885283</v>
      </c>
    </row>
    <row r="1171" spans="1:6" x14ac:dyDescent="0.3">
      <c r="A1171" s="2">
        <v>42468</v>
      </c>
      <c r="B1171" s="1">
        <v>27.164999999999999</v>
      </c>
      <c r="C1171" s="1">
        <f>'Historical Simulation'!D1171</f>
        <v>110.63</v>
      </c>
      <c r="D1171" s="22">
        <f t="shared" si="76"/>
        <v>582.37730380476705</v>
      </c>
      <c r="E1171" s="23">
        <f t="shared" si="77"/>
        <v>-20.192193776630802</v>
      </c>
      <c r="F1171" s="23">
        <f t="shared" si="78"/>
        <v>20.192193776630802</v>
      </c>
    </row>
    <row r="1172" spans="1:6" x14ac:dyDescent="0.3">
      <c r="A1172" s="2">
        <v>42467</v>
      </c>
      <c r="B1172" s="1">
        <v>27.135000000000002</v>
      </c>
      <c r="C1172" s="1">
        <f>'Historical Simulation'!D1172</f>
        <v>113.64</v>
      </c>
      <c r="D1172" s="22">
        <f t="shared" si="76"/>
        <v>602.56949758139785</v>
      </c>
      <c r="E1172" s="23">
        <f t="shared" si="77"/>
        <v>2.9538400231898549</v>
      </c>
      <c r="F1172" s="23">
        <f t="shared" si="78"/>
        <v>-2.9538400231898549</v>
      </c>
    </row>
    <row r="1173" spans="1:6" x14ac:dyDescent="0.3">
      <c r="A1173" s="2">
        <v>42466</v>
      </c>
      <c r="B1173" s="1">
        <v>27.74</v>
      </c>
      <c r="C1173" s="1">
        <f>'Historical Simulation'!D1173</f>
        <v>113.71</v>
      </c>
      <c r="D1173" s="22">
        <f t="shared" si="76"/>
        <v>599.615657558208</v>
      </c>
      <c r="E1173" s="23">
        <f t="shared" si="77"/>
        <v>8.2865750053942975</v>
      </c>
      <c r="F1173" s="23">
        <f t="shared" si="78"/>
        <v>-8.2865750053942975</v>
      </c>
    </row>
    <row r="1174" spans="1:6" x14ac:dyDescent="0.3">
      <c r="A1174" s="2">
        <v>42465</v>
      </c>
      <c r="B1174" s="1">
        <v>27.452500000000001</v>
      </c>
      <c r="C1174" s="1">
        <f>'Historical Simulation'!D1174</f>
        <v>112.22</v>
      </c>
      <c r="D1174" s="22">
        <f t="shared" si="76"/>
        <v>591.3290825528137</v>
      </c>
      <c r="E1174" s="23">
        <f t="shared" si="77"/>
        <v>-0.34413009356637758</v>
      </c>
      <c r="F1174" s="23">
        <f t="shared" si="78"/>
        <v>0.34413009356637758</v>
      </c>
    </row>
    <row r="1175" spans="1:6" x14ac:dyDescent="0.3">
      <c r="A1175" s="2">
        <v>42464</v>
      </c>
      <c r="B1175" s="1">
        <v>27.78</v>
      </c>
      <c r="C1175" s="1">
        <f>'Historical Simulation'!D1175</f>
        <v>112.55</v>
      </c>
      <c r="D1175" s="22">
        <f t="shared" si="76"/>
        <v>591.67321264638008</v>
      </c>
      <c r="E1175" s="23">
        <f t="shared" si="77"/>
        <v>-24.945351940089495</v>
      </c>
      <c r="F1175" s="23">
        <f t="shared" si="78"/>
        <v>24.945351940089495</v>
      </c>
    </row>
    <row r="1176" spans="1:6" x14ac:dyDescent="0.3">
      <c r="A1176" s="2">
        <v>42461</v>
      </c>
      <c r="B1176" s="1">
        <v>27.497499999999999</v>
      </c>
      <c r="C1176" s="1">
        <f>'Historical Simulation'!D1176</f>
        <v>116.06</v>
      </c>
      <c r="D1176" s="22">
        <f t="shared" si="76"/>
        <v>616.61856458646957</v>
      </c>
      <c r="E1176" s="23">
        <f t="shared" si="77"/>
        <v>11.624983999354754</v>
      </c>
      <c r="F1176" s="23">
        <f t="shared" si="78"/>
        <v>-11.624983999354754</v>
      </c>
    </row>
    <row r="1177" spans="1:6" x14ac:dyDescent="0.3">
      <c r="A1177" s="2">
        <v>42460</v>
      </c>
      <c r="B1177" s="1">
        <v>27.247499999999999</v>
      </c>
      <c r="C1177" s="1">
        <f>'Historical Simulation'!D1177</f>
        <v>114.1</v>
      </c>
      <c r="D1177" s="22">
        <f t="shared" si="76"/>
        <v>604.99358058711482</v>
      </c>
      <c r="E1177" s="23">
        <f t="shared" si="77"/>
        <v>-3.1858071226344009</v>
      </c>
      <c r="F1177" s="23">
        <f t="shared" si="78"/>
        <v>3.1858071226344009</v>
      </c>
    </row>
    <row r="1178" spans="1:6" x14ac:dyDescent="0.3">
      <c r="A1178" s="2">
        <v>42459</v>
      </c>
      <c r="B1178" s="1">
        <v>27.39</v>
      </c>
      <c r="C1178" s="1">
        <f>'Historical Simulation'!D1178</f>
        <v>114.7</v>
      </c>
      <c r="D1178" s="22">
        <f t="shared" si="76"/>
        <v>608.17938770974922</v>
      </c>
      <c r="E1178" s="23">
        <f t="shared" si="77"/>
        <v>-12.235391484659544</v>
      </c>
      <c r="F1178" s="23">
        <f t="shared" si="78"/>
        <v>12.235391484659544</v>
      </c>
    </row>
    <row r="1179" spans="1:6" x14ac:dyDescent="0.3">
      <c r="A1179" s="2">
        <v>42458</v>
      </c>
      <c r="B1179" s="1">
        <v>26.92</v>
      </c>
      <c r="C1179" s="1">
        <f>'Historical Simulation'!D1179</f>
        <v>116.14</v>
      </c>
      <c r="D1179" s="22">
        <f t="shared" si="76"/>
        <v>620.41477919440877</v>
      </c>
      <c r="E1179" s="23">
        <f t="shared" si="77"/>
        <v>12.779098396971449</v>
      </c>
      <c r="F1179" s="23">
        <f t="shared" si="78"/>
        <v>-12.779098396971449</v>
      </c>
    </row>
    <row r="1180" spans="1:6" x14ac:dyDescent="0.3">
      <c r="A1180" s="2">
        <v>42457</v>
      </c>
      <c r="B1180" s="1">
        <v>26.297499999999999</v>
      </c>
      <c r="C1180" s="1">
        <f>'Historical Simulation'!D1180</f>
        <v>113.69</v>
      </c>
      <c r="D1180" s="22">
        <f t="shared" si="76"/>
        <v>607.63568079743732</v>
      </c>
      <c r="E1180" s="23">
        <f t="shared" si="77"/>
        <v>4.9355484441575754</v>
      </c>
      <c r="F1180" s="23">
        <f t="shared" si="78"/>
        <v>-4.9355484441575754</v>
      </c>
    </row>
    <row r="1181" spans="1:6" x14ac:dyDescent="0.3">
      <c r="A1181" s="2">
        <v>42454</v>
      </c>
      <c r="B1181" s="1">
        <v>26.4175</v>
      </c>
      <c r="C1181" s="1">
        <f>'Historical Simulation'!D1181</f>
        <v>113.05</v>
      </c>
      <c r="D1181" s="22">
        <f t="shared" si="76"/>
        <v>602.70013235327974</v>
      </c>
      <c r="E1181" s="23">
        <f t="shared" si="77"/>
        <v>0</v>
      </c>
      <c r="F1181" s="23">
        <f t="shared" si="78"/>
        <v>0</v>
      </c>
    </row>
    <row r="1182" spans="1:6" x14ac:dyDescent="0.3">
      <c r="A1182" s="2">
        <v>42453</v>
      </c>
      <c r="B1182" s="1">
        <v>26.4175</v>
      </c>
      <c r="C1182" s="1">
        <f>'Historical Simulation'!D1182</f>
        <v>113.05</v>
      </c>
      <c r="D1182" s="22">
        <f t="shared" si="76"/>
        <v>602.70013235327974</v>
      </c>
      <c r="E1182" s="23">
        <f t="shared" si="77"/>
        <v>4.0425233915771059</v>
      </c>
      <c r="F1182" s="23">
        <f t="shared" si="78"/>
        <v>-4.0425233915771059</v>
      </c>
    </row>
    <row r="1183" spans="1:6" x14ac:dyDescent="0.3">
      <c r="A1183" s="2">
        <v>42452</v>
      </c>
      <c r="B1183" s="1">
        <v>26.532499999999999</v>
      </c>
      <c r="C1183" s="1">
        <f>'Historical Simulation'!D1183</f>
        <v>112.54</v>
      </c>
      <c r="D1183" s="22">
        <f t="shared" si="76"/>
        <v>598.65760896170264</v>
      </c>
      <c r="E1183" s="23">
        <f t="shared" si="77"/>
        <v>2.7627663741039896</v>
      </c>
      <c r="F1183" s="23">
        <f t="shared" si="78"/>
        <v>-2.7627663741039896</v>
      </c>
    </row>
    <row r="1184" spans="1:6" x14ac:dyDescent="0.3">
      <c r="A1184" s="2">
        <v>42451</v>
      </c>
      <c r="B1184" s="1">
        <v>26.68</v>
      </c>
      <c r="C1184" s="1">
        <f>'Historical Simulation'!D1184</f>
        <v>112.25</v>
      </c>
      <c r="D1184" s="22">
        <f t="shared" si="76"/>
        <v>595.89484258759865</v>
      </c>
      <c r="E1184" s="23">
        <f t="shared" si="77"/>
        <v>1.5162773917382992</v>
      </c>
      <c r="F1184" s="23">
        <f t="shared" si="78"/>
        <v>-1.5162773917382992</v>
      </c>
    </row>
    <row r="1185" spans="1:6" x14ac:dyDescent="0.3">
      <c r="A1185" s="2">
        <v>42450</v>
      </c>
      <c r="B1185" s="1">
        <v>26.477499999999999</v>
      </c>
      <c r="C1185" s="1">
        <f>'Historical Simulation'!D1185</f>
        <v>111.85</v>
      </c>
      <c r="D1185" s="22">
        <f t="shared" si="76"/>
        <v>594.37856519586035</v>
      </c>
      <c r="E1185" s="23">
        <f t="shared" si="77"/>
        <v>2.6749450641756312</v>
      </c>
      <c r="F1185" s="23">
        <f t="shared" si="78"/>
        <v>-2.6749450641756312</v>
      </c>
    </row>
    <row r="1186" spans="1:6" x14ac:dyDescent="0.3">
      <c r="A1186" s="2">
        <v>42447</v>
      </c>
      <c r="B1186" s="1">
        <v>26.48</v>
      </c>
      <c r="C1186" s="1">
        <f>'Historical Simulation'!D1186</f>
        <v>111.45</v>
      </c>
      <c r="D1186" s="22">
        <f t="shared" si="76"/>
        <v>591.70362013168472</v>
      </c>
      <c r="E1186" s="23">
        <f t="shared" si="77"/>
        <v>2.6908149706093809</v>
      </c>
      <c r="F1186" s="23">
        <f t="shared" si="78"/>
        <v>-2.6908149706093809</v>
      </c>
    </row>
    <row r="1187" spans="1:6" x14ac:dyDescent="0.3">
      <c r="A1187" s="2">
        <v>42446</v>
      </c>
      <c r="B1187" s="1">
        <v>26.45</v>
      </c>
      <c r="C1187" s="1">
        <f>'Historical Simulation'!D1187</f>
        <v>111.02</v>
      </c>
      <c r="D1187" s="22">
        <f t="shared" si="76"/>
        <v>589.01280516107533</v>
      </c>
      <c r="E1187" s="23">
        <f t="shared" si="77"/>
        <v>-7.4761518241398335</v>
      </c>
      <c r="F1187" s="23">
        <f t="shared" si="78"/>
        <v>7.4761518241398335</v>
      </c>
    </row>
    <row r="1188" spans="1:6" x14ac:dyDescent="0.3">
      <c r="A1188" s="2">
        <v>42445</v>
      </c>
      <c r="B1188" s="1">
        <v>26.4925</v>
      </c>
      <c r="C1188" s="1">
        <f>'Historical Simulation'!D1188</f>
        <v>112.18</v>
      </c>
      <c r="D1188" s="22">
        <f t="shared" si="76"/>
        <v>596.48895698521517</v>
      </c>
      <c r="E1188" s="23">
        <f t="shared" si="77"/>
        <v>8.0804935083333476</v>
      </c>
      <c r="F1188" s="23">
        <f t="shared" si="78"/>
        <v>-8.0804935083333476</v>
      </c>
    </row>
    <row r="1189" spans="1:6" x14ac:dyDescent="0.3">
      <c r="A1189" s="2">
        <v>42444</v>
      </c>
      <c r="B1189" s="1">
        <v>26.145</v>
      </c>
      <c r="C1189" s="1">
        <f>'Historical Simulation'!D1189</f>
        <v>110.67</v>
      </c>
      <c r="D1189" s="22">
        <f t="shared" si="76"/>
        <v>588.40846347688182</v>
      </c>
      <c r="E1189" s="23">
        <f t="shared" si="77"/>
        <v>2.2777899180287022</v>
      </c>
      <c r="F1189" s="23">
        <f t="shared" si="78"/>
        <v>-2.2777899180287022</v>
      </c>
    </row>
    <row r="1190" spans="1:6" x14ac:dyDescent="0.3">
      <c r="A1190" s="2">
        <v>42443</v>
      </c>
      <c r="B1190" s="1">
        <v>25.63</v>
      </c>
      <c r="C1190" s="1">
        <f>'Historical Simulation'!D1190</f>
        <v>109.89</v>
      </c>
      <c r="D1190" s="22">
        <f t="shared" si="76"/>
        <v>586.13067355885312</v>
      </c>
      <c r="E1190" s="23">
        <f t="shared" si="77"/>
        <v>2.8255955320072417</v>
      </c>
      <c r="F1190" s="23">
        <f t="shared" si="78"/>
        <v>-2.8255955320072417</v>
      </c>
    </row>
    <row r="1191" spans="1:6" x14ac:dyDescent="0.3">
      <c r="A1191" s="2">
        <v>42440</v>
      </c>
      <c r="B1191" s="1">
        <v>25.565000000000001</v>
      </c>
      <c r="C1191" s="1">
        <f>'Historical Simulation'!D1191</f>
        <v>109.41</v>
      </c>
      <c r="D1191" s="22">
        <f t="shared" si="76"/>
        <v>583.30507802684588</v>
      </c>
      <c r="E1191" s="23">
        <f t="shared" si="77"/>
        <v>12.362578022706089</v>
      </c>
      <c r="F1191" s="23">
        <f t="shared" si="78"/>
        <v>-12.362578022706089</v>
      </c>
    </row>
    <row r="1192" spans="1:6" x14ac:dyDescent="0.3">
      <c r="A1192" s="2">
        <v>42439</v>
      </c>
      <c r="B1192" s="1">
        <v>25.2925</v>
      </c>
      <c r="C1192" s="1">
        <f>'Historical Simulation'!D1192</f>
        <v>107.32</v>
      </c>
      <c r="D1192" s="22">
        <f t="shared" si="76"/>
        <v>570.94250000413979</v>
      </c>
      <c r="E1192" s="23">
        <f t="shared" si="77"/>
        <v>-1.3345375788710498</v>
      </c>
      <c r="F1192" s="23">
        <f t="shared" si="78"/>
        <v>1.3345375788710498</v>
      </c>
    </row>
    <row r="1193" spans="1:6" x14ac:dyDescent="0.3">
      <c r="A1193" s="2">
        <v>42438</v>
      </c>
      <c r="B1193" s="1">
        <v>25.28</v>
      </c>
      <c r="C1193" s="1">
        <f>'Historical Simulation'!D1193</f>
        <v>107.51</v>
      </c>
      <c r="D1193" s="22">
        <f t="shared" si="76"/>
        <v>572.27703758301084</v>
      </c>
      <c r="E1193" s="23">
        <f t="shared" si="77"/>
        <v>10.383048291810042</v>
      </c>
      <c r="F1193" s="23">
        <f t="shared" si="78"/>
        <v>-10.383048291810042</v>
      </c>
    </row>
    <row r="1194" spans="1:6" x14ac:dyDescent="0.3">
      <c r="A1194" s="2">
        <v>42437</v>
      </c>
      <c r="B1194" s="1">
        <v>25.2575</v>
      </c>
      <c r="C1194" s="1">
        <f>'Historical Simulation'!D1194</f>
        <v>105.93</v>
      </c>
      <c r="D1194" s="22">
        <f t="shared" si="76"/>
        <v>561.8939892912008</v>
      </c>
      <c r="E1194" s="23">
        <f t="shared" si="77"/>
        <v>2.517335344874482</v>
      </c>
      <c r="F1194" s="23">
        <f t="shared" si="78"/>
        <v>-2.517335344874482</v>
      </c>
    </row>
    <row r="1195" spans="1:6" x14ac:dyDescent="0.3">
      <c r="A1195" s="2">
        <v>42436</v>
      </c>
      <c r="B1195" s="1">
        <v>25.467500000000001</v>
      </c>
      <c r="C1195" s="1">
        <f>'Historical Simulation'!D1195</f>
        <v>105.73</v>
      </c>
      <c r="D1195" s="22">
        <f t="shared" si="76"/>
        <v>559.37665394632631</v>
      </c>
      <c r="E1195" s="23">
        <f t="shared" si="77"/>
        <v>-16.083588887992732</v>
      </c>
      <c r="F1195" s="23">
        <f t="shared" si="78"/>
        <v>16.083588887992732</v>
      </c>
    </row>
    <row r="1196" spans="1:6" x14ac:dyDescent="0.3">
      <c r="A1196" s="2">
        <v>42433</v>
      </c>
      <c r="B1196" s="1">
        <v>25.752500000000001</v>
      </c>
      <c r="C1196" s="1">
        <f>'Historical Simulation'!D1196</f>
        <v>108.39</v>
      </c>
      <c r="D1196" s="22">
        <f t="shared" si="76"/>
        <v>575.46024283431905</v>
      </c>
      <c r="E1196" s="23">
        <f t="shared" si="77"/>
        <v>-10.049568666075288</v>
      </c>
      <c r="F1196" s="23">
        <f t="shared" si="78"/>
        <v>10.049568666075288</v>
      </c>
    </row>
    <row r="1197" spans="1:6" x14ac:dyDescent="0.3">
      <c r="A1197" s="2">
        <v>42432</v>
      </c>
      <c r="B1197" s="1">
        <v>25.375</v>
      </c>
      <c r="C1197" s="1">
        <f>'Historical Simulation'!D1197</f>
        <v>109.58</v>
      </c>
      <c r="D1197" s="22">
        <f t="shared" si="76"/>
        <v>585.50981150039433</v>
      </c>
      <c r="E1197" s="23">
        <f t="shared" si="77"/>
        <v>-3.5210108652868257</v>
      </c>
      <c r="F1197" s="23">
        <f t="shared" si="78"/>
        <v>3.5210108652868257</v>
      </c>
    </row>
    <row r="1198" spans="1:6" x14ac:dyDescent="0.3">
      <c r="A1198" s="2">
        <v>42431</v>
      </c>
      <c r="B1198" s="1">
        <v>25.1875</v>
      </c>
      <c r="C1198" s="1">
        <f>'Historical Simulation'!D1198</f>
        <v>109.95</v>
      </c>
      <c r="D1198" s="22">
        <f t="shared" si="76"/>
        <v>589.03082236568116</v>
      </c>
      <c r="E1198" s="23">
        <f t="shared" si="77"/>
        <v>0.55390280698941297</v>
      </c>
      <c r="F1198" s="23">
        <f t="shared" si="78"/>
        <v>-0.55390280698941297</v>
      </c>
    </row>
    <row r="1199" spans="1:6" x14ac:dyDescent="0.3">
      <c r="A1199" s="2">
        <v>42430</v>
      </c>
      <c r="B1199" s="1">
        <v>25.1325</v>
      </c>
      <c r="C1199" s="1">
        <f>'Historical Simulation'!D1199</f>
        <v>109.82</v>
      </c>
      <c r="D1199" s="22">
        <f t="shared" si="76"/>
        <v>588.47691955869175</v>
      </c>
      <c r="E1199" s="23">
        <f t="shared" si="77"/>
        <v>13.864952607455166</v>
      </c>
      <c r="F1199" s="23">
        <f t="shared" si="78"/>
        <v>-13.864952607455166</v>
      </c>
    </row>
    <row r="1200" spans="1:6" x14ac:dyDescent="0.3">
      <c r="A1200" s="2">
        <v>42429</v>
      </c>
      <c r="B1200" s="1">
        <v>24.172499999999999</v>
      </c>
      <c r="C1200" s="1">
        <f>'Historical Simulation'!D1200</f>
        <v>106.92</v>
      </c>
      <c r="D1200" s="22">
        <f t="shared" si="76"/>
        <v>574.61196695123658</v>
      </c>
      <c r="E1200" s="23">
        <f t="shared" si="77"/>
        <v>-6.3411753680646825</v>
      </c>
      <c r="F1200" s="23">
        <f t="shared" si="78"/>
        <v>6.3411753680646825</v>
      </c>
    </row>
    <row r="1201" spans="1:6" x14ac:dyDescent="0.3">
      <c r="A1201" s="2">
        <v>42426</v>
      </c>
      <c r="B1201" s="1">
        <v>24.227499999999999</v>
      </c>
      <c r="C1201" s="1">
        <f>'Historical Simulation'!D1201</f>
        <v>107.92</v>
      </c>
      <c r="D1201" s="22">
        <f t="shared" si="76"/>
        <v>580.95314231930126</v>
      </c>
      <c r="E1201" s="23">
        <f t="shared" si="77"/>
        <v>-1.2097570174729526</v>
      </c>
      <c r="F1201" s="23">
        <f t="shared" si="78"/>
        <v>1.2097570174729526</v>
      </c>
    </row>
    <row r="1202" spans="1:6" x14ac:dyDescent="0.3">
      <c r="A1202" s="2">
        <v>42425</v>
      </c>
      <c r="B1202" s="1">
        <v>24.19</v>
      </c>
      <c r="C1202" s="1">
        <f>'Historical Simulation'!D1202</f>
        <v>108.07</v>
      </c>
      <c r="D1202" s="22">
        <f t="shared" si="76"/>
        <v>582.16289933677422</v>
      </c>
      <c r="E1202" s="23">
        <f t="shared" si="77"/>
        <v>6.9833383621862595</v>
      </c>
      <c r="F1202" s="23">
        <f t="shared" si="78"/>
        <v>-6.9833383621862595</v>
      </c>
    </row>
    <row r="1203" spans="1:6" x14ac:dyDescent="0.3">
      <c r="A1203" s="2">
        <v>42424</v>
      </c>
      <c r="B1203" s="1">
        <v>24.024999999999999</v>
      </c>
      <c r="C1203" s="1">
        <f>'Historical Simulation'!D1203</f>
        <v>106.88</v>
      </c>
      <c r="D1203" s="22">
        <f t="shared" si="76"/>
        <v>575.17956097458796</v>
      </c>
      <c r="E1203" s="23">
        <f t="shared" si="77"/>
        <v>7.4535499528137734</v>
      </c>
      <c r="F1203" s="23">
        <f t="shared" si="78"/>
        <v>-7.4535499528137734</v>
      </c>
    </row>
    <row r="1204" spans="1:6" x14ac:dyDescent="0.3">
      <c r="A1204" s="2">
        <v>42423</v>
      </c>
      <c r="B1204" s="1">
        <v>23.672499999999999</v>
      </c>
      <c r="C1204" s="1">
        <f>'Historical Simulation'!D1204</f>
        <v>105.46</v>
      </c>
      <c r="D1204" s="22">
        <f t="shared" si="76"/>
        <v>567.72601102177418</v>
      </c>
      <c r="E1204" s="23">
        <f t="shared" si="77"/>
        <v>-8.2139731340681692</v>
      </c>
      <c r="F1204" s="23">
        <f t="shared" si="78"/>
        <v>8.2139731340681692</v>
      </c>
    </row>
    <row r="1205" spans="1:6" x14ac:dyDescent="0.3">
      <c r="A1205" s="2">
        <v>42422</v>
      </c>
      <c r="B1205" s="1">
        <v>24.22</v>
      </c>
      <c r="C1205" s="1">
        <f>'Historical Simulation'!D1205</f>
        <v>107.16</v>
      </c>
      <c r="D1205" s="22">
        <f t="shared" si="76"/>
        <v>575.93998415584235</v>
      </c>
      <c r="E1205" s="23">
        <f t="shared" si="77"/>
        <v>16.041849075125469</v>
      </c>
      <c r="F1205" s="23">
        <f t="shared" si="78"/>
        <v>-16.041849075125469</v>
      </c>
    </row>
    <row r="1206" spans="1:6" x14ac:dyDescent="0.3">
      <c r="A1206" s="2">
        <v>42419</v>
      </c>
      <c r="B1206" s="1">
        <v>24.01</v>
      </c>
      <c r="C1206" s="1">
        <f>'Historical Simulation'!D1206</f>
        <v>104.57</v>
      </c>
      <c r="D1206" s="22">
        <f t="shared" si="76"/>
        <v>559.89813508071688</v>
      </c>
      <c r="E1206" s="23">
        <f t="shared" si="77"/>
        <v>7.6281032276343694</v>
      </c>
      <c r="F1206" s="23">
        <f t="shared" si="78"/>
        <v>-7.6281032276343694</v>
      </c>
    </row>
    <row r="1207" spans="1:6" x14ac:dyDescent="0.3">
      <c r="A1207" s="2">
        <v>42418</v>
      </c>
      <c r="B1207" s="1">
        <v>24.065000000000001</v>
      </c>
      <c r="C1207" s="1">
        <f>'Historical Simulation'!D1207</f>
        <v>103.47</v>
      </c>
      <c r="D1207" s="22">
        <f t="shared" si="76"/>
        <v>552.27003185308251</v>
      </c>
      <c r="E1207" s="23">
        <f t="shared" si="77"/>
        <v>-8.8798273445520408</v>
      </c>
      <c r="F1207" s="23">
        <f t="shared" si="78"/>
        <v>8.8798273445520408</v>
      </c>
    </row>
    <row r="1208" spans="1:6" x14ac:dyDescent="0.3">
      <c r="A1208" s="2">
        <v>42417</v>
      </c>
      <c r="B1208" s="1">
        <v>24.53</v>
      </c>
      <c r="C1208" s="1">
        <f>'Historical Simulation'!D1208</f>
        <v>105.2</v>
      </c>
      <c r="D1208" s="22">
        <f t="shared" si="76"/>
        <v>561.14985919763456</v>
      </c>
      <c r="E1208" s="23">
        <f t="shared" si="77"/>
        <v>21.789560513405036</v>
      </c>
      <c r="F1208" s="23">
        <f t="shared" si="78"/>
        <v>-21.789560513405036</v>
      </c>
    </row>
    <row r="1209" spans="1:6" x14ac:dyDescent="0.3">
      <c r="A1209" s="2">
        <v>42416</v>
      </c>
      <c r="B1209" s="1">
        <v>24.16</v>
      </c>
      <c r="C1209" s="1">
        <f>'Historical Simulation'!D1209</f>
        <v>101.61</v>
      </c>
      <c r="D1209" s="22">
        <f t="shared" si="76"/>
        <v>539.36029868422952</v>
      </c>
      <c r="E1209" s="23">
        <f t="shared" si="77"/>
        <v>-6.4052897656810046</v>
      </c>
      <c r="F1209" s="23">
        <f t="shared" si="78"/>
        <v>6.4052897656810046</v>
      </c>
    </row>
    <row r="1210" spans="1:6" x14ac:dyDescent="0.3">
      <c r="A1210" s="2">
        <v>42415</v>
      </c>
      <c r="B1210" s="1">
        <v>23.497499999999999</v>
      </c>
      <c r="C1210" s="1">
        <f>'Historical Simulation'!D1210</f>
        <v>102.01</v>
      </c>
      <c r="D1210" s="22">
        <f t="shared" si="76"/>
        <v>545.76558844991052</v>
      </c>
      <c r="E1210" s="23">
        <f t="shared" si="77"/>
        <v>0</v>
      </c>
      <c r="F1210" s="23">
        <f t="shared" si="78"/>
        <v>0</v>
      </c>
    </row>
    <row r="1211" spans="1:6" x14ac:dyDescent="0.3">
      <c r="A1211" s="2">
        <v>42412</v>
      </c>
      <c r="B1211" s="1">
        <v>23.497499999999999</v>
      </c>
      <c r="C1211" s="1">
        <f>'Historical Simulation'!D1211</f>
        <v>102.01</v>
      </c>
      <c r="D1211" s="22">
        <f t="shared" si="76"/>
        <v>545.76558844991052</v>
      </c>
      <c r="E1211" s="23">
        <f t="shared" si="77"/>
        <v>0.25543102922949856</v>
      </c>
      <c r="F1211" s="23">
        <f t="shared" si="78"/>
        <v>-0.25543102922949856</v>
      </c>
    </row>
    <row r="1212" spans="1:6" x14ac:dyDescent="0.3">
      <c r="A1212" s="2">
        <v>42411</v>
      </c>
      <c r="B1212" s="1">
        <v>23.425000000000001</v>
      </c>
      <c r="C1212" s="1">
        <f>'Historical Simulation'!D1212</f>
        <v>101.91</v>
      </c>
      <c r="D1212" s="22">
        <f t="shared" si="76"/>
        <v>545.51015742068103</v>
      </c>
      <c r="E1212" s="23">
        <f t="shared" si="77"/>
        <v>6.8587693914156489</v>
      </c>
      <c r="F1212" s="23">
        <f t="shared" si="78"/>
        <v>-6.8587693914156489</v>
      </c>
    </row>
    <row r="1213" spans="1:6" x14ac:dyDescent="0.3">
      <c r="A1213" s="2">
        <v>42410</v>
      </c>
      <c r="B1213" s="1">
        <v>23.567499999999999</v>
      </c>
      <c r="C1213" s="1">
        <f>'Historical Simulation'!D1213</f>
        <v>101</v>
      </c>
      <c r="D1213" s="22">
        <f t="shared" si="76"/>
        <v>538.65138802926538</v>
      </c>
      <c r="E1213" s="23">
        <f t="shared" si="77"/>
        <v>10.729341379498237</v>
      </c>
      <c r="F1213" s="23">
        <f t="shared" si="78"/>
        <v>-10.729341379498237</v>
      </c>
    </row>
    <row r="1214" spans="1:6" x14ac:dyDescent="0.3">
      <c r="A1214" s="2">
        <v>42409</v>
      </c>
      <c r="B1214" s="1">
        <v>23.747499999999999</v>
      </c>
      <c r="C1214" s="1">
        <f>'Historical Simulation'!D1214</f>
        <v>99.54</v>
      </c>
      <c r="D1214" s="22">
        <f t="shared" si="76"/>
        <v>527.92204664976714</v>
      </c>
      <c r="E1214" s="23">
        <f t="shared" si="77"/>
        <v>-1.3686676724372546</v>
      </c>
      <c r="F1214" s="23">
        <f t="shared" si="78"/>
        <v>1.3686676724372546</v>
      </c>
    </row>
    <row r="1215" spans="1:6" x14ac:dyDescent="0.3">
      <c r="A1215" s="2">
        <v>42408</v>
      </c>
      <c r="B1215" s="1">
        <v>23.752500000000001</v>
      </c>
      <c r="C1215" s="1">
        <f>'Historical Simulation'!D1215</f>
        <v>99.75</v>
      </c>
      <c r="D1215" s="22">
        <f t="shared" si="76"/>
        <v>529.29071432220439</v>
      </c>
      <c r="E1215" s="23">
        <f t="shared" si="77"/>
        <v>-30.135680945645163</v>
      </c>
      <c r="F1215" s="23">
        <f t="shared" si="78"/>
        <v>30.135680945645163</v>
      </c>
    </row>
    <row r="1216" spans="1:6" x14ac:dyDescent="0.3">
      <c r="A1216" s="2">
        <v>42405</v>
      </c>
      <c r="B1216" s="1">
        <v>23.504999999999999</v>
      </c>
      <c r="C1216" s="1">
        <f>'Historical Simulation'!D1216</f>
        <v>104.07</v>
      </c>
      <c r="D1216" s="22">
        <f t="shared" si="76"/>
        <v>559.42639526784956</v>
      </c>
      <c r="E1216" s="23">
        <f t="shared" si="77"/>
        <v>-39.060516138172034</v>
      </c>
      <c r="F1216" s="23">
        <f t="shared" si="78"/>
        <v>39.060516138172034</v>
      </c>
    </row>
    <row r="1217" spans="1:6" x14ac:dyDescent="0.3">
      <c r="A1217" s="2">
        <v>42404</v>
      </c>
      <c r="B1217" s="1">
        <v>24.15</v>
      </c>
      <c r="C1217" s="1">
        <f>'Historical Simulation'!D1217</f>
        <v>110.49</v>
      </c>
      <c r="D1217" s="22">
        <f t="shared" si="76"/>
        <v>598.48691140602159</v>
      </c>
      <c r="E1217" s="23">
        <f t="shared" si="77"/>
        <v>-14.987734677509025</v>
      </c>
      <c r="F1217" s="23">
        <f t="shared" si="78"/>
        <v>14.987734677509025</v>
      </c>
    </row>
    <row r="1218" spans="1:6" x14ac:dyDescent="0.3">
      <c r="A1218" s="2">
        <v>42403</v>
      </c>
      <c r="B1218" s="1">
        <v>24.087499999999999</v>
      </c>
      <c r="C1218" s="1">
        <f>'Historical Simulation'!D1218</f>
        <v>112.69</v>
      </c>
      <c r="D1218" s="22">
        <f t="shared" si="76"/>
        <v>613.47464608353062</v>
      </c>
      <c r="E1218" s="23">
        <f t="shared" si="77"/>
        <v>-15.414239355824293</v>
      </c>
      <c r="F1218" s="23">
        <f t="shared" si="78"/>
        <v>15.414239355824293</v>
      </c>
    </row>
    <row r="1219" spans="1:6" x14ac:dyDescent="0.3">
      <c r="A1219" s="2">
        <v>42402</v>
      </c>
      <c r="B1219" s="1">
        <v>23.62</v>
      </c>
      <c r="C1219" s="1">
        <f>'Historical Simulation'!D1219</f>
        <v>114.61</v>
      </c>
      <c r="D1219" s="22">
        <f t="shared" si="76"/>
        <v>628.88888543935491</v>
      </c>
      <c r="E1219" s="23">
        <f t="shared" si="77"/>
        <v>-0.43760971930100823</v>
      </c>
      <c r="F1219" s="23">
        <f t="shared" si="78"/>
        <v>0.43760971930100823</v>
      </c>
    </row>
    <row r="1220" spans="1:6" x14ac:dyDescent="0.3">
      <c r="A1220" s="2">
        <v>42401</v>
      </c>
      <c r="B1220" s="1">
        <v>24.107500000000002</v>
      </c>
      <c r="C1220" s="1">
        <f>'Historical Simulation'!D1220</f>
        <v>115.09</v>
      </c>
      <c r="D1220" s="22">
        <f t="shared" si="76"/>
        <v>629.32649515865592</v>
      </c>
      <c r="E1220" s="23">
        <f t="shared" si="77"/>
        <v>20.4437063029211</v>
      </c>
      <c r="F1220" s="23">
        <f t="shared" si="78"/>
        <v>-20.4437063029211</v>
      </c>
    </row>
    <row r="1221" spans="1:6" x14ac:dyDescent="0.3">
      <c r="A1221" s="2">
        <v>42398</v>
      </c>
      <c r="B1221" s="1">
        <v>24.335000000000001</v>
      </c>
      <c r="C1221" s="1">
        <f>'Historical Simulation'!D1221</f>
        <v>112.21</v>
      </c>
      <c r="D1221" s="22">
        <f t="shared" si="76"/>
        <v>608.88278885573482</v>
      </c>
      <c r="E1221" s="23">
        <f t="shared" si="77"/>
        <v>16.029035613172027</v>
      </c>
      <c r="F1221" s="23">
        <f t="shared" si="78"/>
        <v>-16.029035613172027</v>
      </c>
    </row>
    <row r="1222" spans="1:6" x14ac:dyDescent="0.3">
      <c r="A1222" s="2">
        <v>42397</v>
      </c>
      <c r="B1222" s="1">
        <v>23.522500000000001</v>
      </c>
      <c r="C1222" s="1">
        <f>'Historical Simulation'!D1222</f>
        <v>109.11</v>
      </c>
      <c r="D1222" s="22">
        <f t="shared" ref="D1222:D1285" si="79">$M$16*B1222+(1-$M$16)*C1222</f>
        <v>592.85375324256279</v>
      </c>
      <c r="E1222" s="23">
        <f t="shared" ref="E1222:E1285" si="80">D1222-D1223</f>
        <v>96.572152403888879</v>
      </c>
      <c r="F1222" s="23">
        <f t="shared" ref="F1222:F1285" si="81">-E1222</f>
        <v>-96.572152403888879</v>
      </c>
    </row>
    <row r="1223" spans="1:6" x14ac:dyDescent="0.3">
      <c r="A1223" s="2">
        <v>42396</v>
      </c>
      <c r="B1223" s="1">
        <v>23.355</v>
      </c>
      <c r="C1223" s="1">
        <f>'Historical Simulation'!D1223</f>
        <v>94.45</v>
      </c>
      <c r="D1223" s="22">
        <f t="shared" si="79"/>
        <v>496.28160083867391</v>
      </c>
      <c r="E1223" s="23">
        <f t="shared" si="80"/>
        <v>-9.9409166895878229</v>
      </c>
      <c r="F1223" s="23">
        <f t="shared" si="81"/>
        <v>9.9409166895878229</v>
      </c>
    </row>
    <row r="1224" spans="1:6" x14ac:dyDescent="0.3">
      <c r="A1224" s="2">
        <v>42395</v>
      </c>
      <c r="B1224" s="1">
        <v>24.997499999999999</v>
      </c>
      <c r="C1224" s="1">
        <f>'Historical Simulation'!D1224</f>
        <v>97.34</v>
      </c>
      <c r="D1224" s="22">
        <f t="shared" si="79"/>
        <v>506.22251752826173</v>
      </c>
      <c r="E1224" s="23">
        <f t="shared" si="80"/>
        <v>1.4180172046056896</v>
      </c>
      <c r="F1224" s="23">
        <f t="shared" si="81"/>
        <v>-1.4180172046056896</v>
      </c>
    </row>
    <row r="1225" spans="1:6" x14ac:dyDescent="0.3">
      <c r="A1225" s="2">
        <v>42394</v>
      </c>
      <c r="B1225" s="1">
        <v>24.86</v>
      </c>
      <c r="C1225" s="1">
        <f>'Historical Simulation'!D1225</f>
        <v>97.01</v>
      </c>
      <c r="D1225" s="22">
        <f t="shared" si="79"/>
        <v>504.80450032365604</v>
      </c>
      <c r="E1225" s="23">
        <f t="shared" si="80"/>
        <v>-3.3886362805375256</v>
      </c>
      <c r="F1225" s="23">
        <f t="shared" si="81"/>
        <v>3.3886362805375256</v>
      </c>
    </row>
    <row r="1226" spans="1:6" x14ac:dyDescent="0.3">
      <c r="A1226" s="2">
        <v>42391</v>
      </c>
      <c r="B1226" s="1">
        <v>25.355</v>
      </c>
      <c r="C1226" s="1">
        <f>'Historical Simulation'!D1226</f>
        <v>97.94</v>
      </c>
      <c r="D1226" s="22">
        <f t="shared" si="79"/>
        <v>508.19313660419357</v>
      </c>
      <c r="E1226" s="23">
        <f t="shared" si="80"/>
        <v>17.910093566308262</v>
      </c>
      <c r="F1226" s="23">
        <f t="shared" si="81"/>
        <v>-17.910093566308262</v>
      </c>
    </row>
    <row r="1227" spans="1:6" x14ac:dyDescent="0.3">
      <c r="A1227" s="2">
        <v>42390</v>
      </c>
      <c r="B1227" s="1">
        <v>24.074999999999999</v>
      </c>
      <c r="C1227" s="1">
        <f>'Historical Simulation'!D1227</f>
        <v>94.16</v>
      </c>
      <c r="D1227" s="22">
        <f t="shared" si="79"/>
        <v>490.28304303788531</v>
      </c>
      <c r="E1227" s="23">
        <f t="shared" si="80"/>
        <v>-0.57151252629034843</v>
      </c>
      <c r="F1227" s="23">
        <f t="shared" si="81"/>
        <v>0.57151252629034843</v>
      </c>
    </row>
    <row r="1228" spans="1:6" x14ac:dyDescent="0.3">
      <c r="A1228" s="2">
        <v>42389</v>
      </c>
      <c r="B1228" s="1">
        <v>24.197500000000002</v>
      </c>
      <c r="C1228" s="1">
        <f>'Historical Simulation'!D1228</f>
        <v>94.35</v>
      </c>
      <c r="D1228" s="22">
        <f t="shared" si="79"/>
        <v>490.85455556417566</v>
      </c>
      <c r="E1228" s="23">
        <f t="shared" si="80"/>
        <v>-6.237045274498314</v>
      </c>
      <c r="F1228" s="23">
        <f t="shared" si="81"/>
        <v>6.237045274498314</v>
      </c>
    </row>
    <row r="1229" spans="1:6" x14ac:dyDescent="0.3">
      <c r="A1229" s="2">
        <v>42388</v>
      </c>
      <c r="B1229" s="1">
        <v>24.164999999999999</v>
      </c>
      <c r="C1229" s="1">
        <f>'Historical Simulation'!D1229</f>
        <v>95.26</v>
      </c>
      <c r="D1229" s="22">
        <f t="shared" si="79"/>
        <v>497.09160083867397</v>
      </c>
      <c r="E1229" s="23">
        <f t="shared" si="80"/>
        <v>2.5932052513083477</v>
      </c>
      <c r="F1229" s="23">
        <f t="shared" si="81"/>
        <v>-2.5932052513083477</v>
      </c>
    </row>
    <row r="1230" spans="1:6" x14ac:dyDescent="0.3">
      <c r="A1230" s="2">
        <v>42387</v>
      </c>
      <c r="B1230" s="1">
        <v>24.282499999999999</v>
      </c>
      <c r="C1230" s="1">
        <f>'Historical Simulation'!D1230</f>
        <v>94.97</v>
      </c>
      <c r="D1230" s="22">
        <f t="shared" si="79"/>
        <v>494.49839558736562</v>
      </c>
      <c r="E1230" s="23">
        <f t="shared" si="80"/>
        <v>0</v>
      </c>
      <c r="F1230" s="23">
        <f t="shared" si="81"/>
        <v>0</v>
      </c>
    </row>
    <row r="1231" spans="1:6" x14ac:dyDescent="0.3">
      <c r="A1231" s="2">
        <v>42384</v>
      </c>
      <c r="B1231" s="1">
        <v>24.282499999999999</v>
      </c>
      <c r="C1231" s="1">
        <f>'Historical Simulation'!D1231</f>
        <v>94.97</v>
      </c>
      <c r="D1231" s="22">
        <f t="shared" si="79"/>
        <v>494.49839558736562</v>
      </c>
      <c r="E1231" s="23">
        <f t="shared" si="80"/>
        <v>-19.239834887831648</v>
      </c>
      <c r="F1231" s="23">
        <f t="shared" si="81"/>
        <v>19.239834887831648</v>
      </c>
    </row>
    <row r="1232" spans="1:6" x14ac:dyDescent="0.3">
      <c r="A1232" s="2">
        <v>42383</v>
      </c>
      <c r="B1232" s="1">
        <v>24.88</v>
      </c>
      <c r="C1232" s="1">
        <f>'Historical Simulation'!D1232</f>
        <v>98.37</v>
      </c>
      <c r="D1232" s="22">
        <f t="shared" si="79"/>
        <v>513.73823047519727</v>
      </c>
      <c r="E1232" s="23">
        <f t="shared" si="80"/>
        <v>16.480759730089687</v>
      </c>
      <c r="F1232" s="23">
        <f t="shared" si="81"/>
        <v>-16.480759730089687</v>
      </c>
    </row>
    <row r="1233" spans="1:6" x14ac:dyDescent="0.3">
      <c r="A1233" s="2">
        <v>42382</v>
      </c>
      <c r="B1233" s="1">
        <v>24.3475</v>
      </c>
      <c r="C1233" s="1">
        <f>'Historical Simulation'!D1233</f>
        <v>95.44</v>
      </c>
      <c r="D1233" s="22">
        <f t="shared" si="79"/>
        <v>497.25747074510758</v>
      </c>
      <c r="E1233" s="23">
        <f t="shared" si="80"/>
        <v>-22.511073039695418</v>
      </c>
      <c r="F1233" s="23">
        <f t="shared" si="81"/>
        <v>22.511073039695418</v>
      </c>
    </row>
    <row r="1234" spans="1:6" x14ac:dyDescent="0.3">
      <c r="A1234" s="2">
        <v>42381</v>
      </c>
      <c r="B1234" s="1">
        <v>24.99</v>
      </c>
      <c r="C1234" s="1">
        <f>'Historical Simulation'!D1234</f>
        <v>99.37</v>
      </c>
      <c r="D1234" s="22">
        <f t="shared" si="79"/>
        <v>519.768543784803</v>
      </c>
      <c r="E1234" s="23">
        <f t="shared" si="80"/>
        <v>10.35218623335129</v>
      </c>
      <c r="F1234" s="23">
        <f t="shared" si="81"/>
        <v>-10.35218623335129</v>
      </c>
    </row>
    <row r="1235" spans="1:6" x14ac:dyDescent="0.3">
      <c r="A1235" s="2">
        <v>42380</v>
      </c>
      <c r="B1235" s="1">
        <v>24.6325</v>
      </c>
      <c r="C1235" s="1">
        <f>'Historical Simulation'!D1235</f>
        <v>97.51</v>
      </c>
      <c r="D1235" s="22">
        <f t="shared" si="79"/>
        <v>509.41635755145171</v>
      </c>
      <c r="E1235" s="23">
        <f t="shared" si="80"/>
        <v>-1.0210579531361645</v>
      </c>
      <c r="F1235" s="23">
        <f t="shared" si="81"/>
        <v>1.0210579531361645</v>
      </c>
    </row>
    <row r="1236" spans="1:6" x14ac:dyDescent="0.3">
      <c r="A1236" s="2">
        <v>42377</v>
      </c>
      <c r="B1236" s="1">
        <v>24.24</v>
      </c>
      <c r="C1236" s="1">
        <f>'Historical Simulation'!D1236</f>
        <v>97.33</v>
      </c>
      <c r="D1236" s="22">
        <f t="shared" si="79"/>
        <v>510.43741550458788</v>
      </c>
      <c r="E1236" s="23">
        <f t="shared" si="80"/>
        <v>-4.6453368535304662</v>
      </c>
      <c r="F1236" s="23">
        <f t="shared" si="81"/>
        <v>4.6453368535304662</v>
      </c>
    </row>
    <row r="1237" spans="1:6" x14ac:dyDescent="0.3">
      <c r="A1237" s="2">
        <v>42376</v>
      </c>
      <c r="B1237" s="1">
        <v>24.112500000000001</v>
      </c>
      <c r="C1237" s="1">
        <f>'Historical Simulation'!D1237</f>
        <v>97.92</v>
      </c>
      <c r="D1237" s="22">
        <f t="shared" si="79"/>
        <v>515.08275235811834</v>
      </c>
      <c r="E1237" s="23">
        <f t="shared" si="80"/>
        <v>-27.587499238261671</v>
      </c>
      <c r="F1237" s="23">
        <f t="shared" si="81"/>
        <v>27.587499238261671</v>
      </c>
    </row>
    <row r="1238" spans="1:6" x14ac:dyDescent="0.3">
      <c r="A1238" s="2">
        <v>42375</v>
      </c>
      <c r="B1238" s="1">
        <v>25.175000000000001</v>
      </c>
      <c r="C1238" s="1">
        <f>'Historical Simulation'!D1238</f>
        <v>102.97</v>
      </c>
      <c r="D1238" s="22">
        <f t="shared" si="79"/>
        <v>542.67025159638001</v>
      </c>
      <c r="E1238" s="23">
        <f t="shared" si="80"/>
        <v>4.4366377891935826</v>
      </c>
      <c r="F1238" s="23">
        <f t="shared" si="81"/>
        <v>-4.4366377891935826</v>
      </c>
    </row>
    <row r="1239" spans="1:6" x14ac:dyDescent="0.3">
      <c r="A1239" s="2">
        <v>42374</v>
      </c>
      <c r="B1239" s="1">
        <v>25.677499999999998</v>
      </c>
      <c r="C1239" s="1">
        <f>'Historical Simulation'!D1239</f>
        <v>102.73</v>
      </c>
      <c r="D1239" s="22">
        <f t="shared" si="79"/>
        <v>538.23361380718643</v>
      </c>
      <c r="E1239" s="23">
        <f t="shared" si="80"/>
        <v>7.1228837890323575</v>
      </c>
      <c r="F1239" s="23">
        <f t="shared" si="81"/>
        <v>-7.1228837890323575</v>
      </c>
    </row>
    <row r="1240" spans="1:6" x14ac:dyDescent="0.3">
      <c r="A1240" s="2">
        <v>42373</v>
      </c>
      <c r="B1240" s="1">
        <v>26.337499999999999</v>
      </c>
      <c r="C1240" s="1">
        <f>'Historical Simulation'!D1240</f>
        <v>102.22</v>
      </c>
      <c r="D1240" s="22">
        <f t="shared" si="79"/>
        <v>531.11073001815407</v>
      </c>
      <c r="E1240" s="23">
        <f t="shared" si="80"/>
        <v>-16.358142162813692</v>
      </c>
      <c r="F1240" s="23">
        <f t="shared" si="81"/>
        <v>16.358142162813692</v>
      </c>
    </row>
    <row r="1241" spans="1:6" x14ac:dyDescent="0.3">
      <c r="A1241" s="2">
        <v>42370</v>
      </c>
      <c r="B1241" s="1">
        <v>26.315000000000001</v>
      </c>
      <c r="C1241" s="1">
        <f>'Historical Simulation'!D1241</f>
        <v>104.66</v>
      </c>
      <c r="D1241" s="22">
        <f t="shared" si="79"/>
        <v>547.46887218096776</v>
      </c>
      <c r="E1241" s="23">
        <f t="shared" si="80"/>
        <v>0</v>
      </c>
      <c r="F1241" s="23">
        <f t="shared" si="81"/>
        <v>0</v>
      </c>
    </row>
    <row r="1242" spans="1:6" x14ac:dyDescent="0.3">
      <c r="A1242" s="2">
        <v>42369</v>
      </c>
      <c r="B1242" s="1">
        <v>26.315000000000001</v>
      </c>
      <c r="C1242" s="1">
        <f>'Historical Simulation'!D1242</f>
        <v>104.66</v>
      </c>
      <c r="D1242" s="22">
        <f t="shared" si="79"/>
        <v>547.46887218096776</v>
      </c>
      <c r="E1242" s="23">
        <f t="shared" si="80"/>
        <v>-7.4663791107169573</v>
      </c>
      <c r="F1242" s="23">
        <f t="shared" si="81"/>
        <v>7.4663791107169573</v>
      </c>
    </row>
    <row r="1243" spans="1:6" x14ac:dyDescent="0.3">
      <c r="A1243" s="2">
        <v>42368</v>
      </c>
      <c r="B1243" s="1">
        <v>26.83</v>
      </c>
      <c r="C1243" s="1">
        <f>'Historical Simulation'!D1243</f>
        <v>106.22</v>
      </c>
      <c r="D1243" s="22">
        <f t="shared" si="79"/>
        <v>554.93525129168472</v>
      </c>
      <c r="E1243" s="23">
        <f t="shared" si="80"/>
        <v>-4.9116456371683626</v>
      </c>
      <c r="F1243" s="23">
        <f t="shared" si="81"/>
        <v>4.9116456371683626</v>
      </c>
    </row>
    <row r="1244" spans="1:6" x14ac:dyDescent="0.3">
      <c r="A1244" s="2">
        <v>42367</v>
      </c>
      <c r="B1244" s="1">
        <v>27.184999999999999</v>
      </c>
      <c r="C1244" s="1">
        <f>'Historical Simulation'!D1244</f>
        <v>107.26</v>
      </c>
      <c r="D1244" s="22">
        <f t="shared" si="79"/>
        <v>559.84689692885308</v>
      </c>
      <c r="E1244" s="23">
        <f t="shared" si="80"/>
        <v>6.1342318125447264</v>
      </c>
      <c r="F1244" s="23">
        <f t="shared" si="81"/>
        <v>-6.1342318125447264</v>
      </c>
    </row>
    <row r="1245" spans="1:6" x14ac:dyDescent="0.3">
      <c r="A1245" s="2">
        <v>42366</v>
      </c>
      <c r="B1245" s="1">
        <v>26.704999999999998</v>
      </c>
      <c r="C1245" s="1">
        <f>'Historical Simulation'!D1245</f>
        <v>105.93</v>
      </c>
      <c r="D1245" s="22">
        <f t="shared" si="79"/>
        <v>553.71266511630836</v>
      </c>
      <c r="E1245" s="23">
        <f t="shared" si="80"/>
        <v>7.7630953796596032</v>
      </c>
      <c r="F1245" s="23">
        <f t="shared" si="81"/>
        <v>-7.7630953796596032</v>
      </c>
    </row>
    <row r="1246" spans="1:6" x14ac:dyDescent="0.3">
      <c r="A1246" s="2">
        <v>42363</v>
      </c>
      <c r="B1246" s="1">
        <v>27.0075</v>
      </c>
      <c r="C1246" s="1">
        <f>'Historical Simulation'!D1246</f>
        <v>105.02</v>
      </c>
      <c r="D1246" s="22">
        <f t="shared" si="79"/>
        <v>545.94956973664875</v>
      </c>
      <c r="E1246" s="23">
        <f t="shared" si="80"/>
        <v>0</v>
      </c>
      <c r="F1246" s="23">
        <f t="shared" si="81"/>
        <v>0</v>
      </c>
    </row>
    <row r="1247" spans="1:6" x14ac:dyDescent="0.3">
      <c r="A1247" s="2">
        <v>42362</v>
      </c>
      <c r="B1247" s="1">
        <v>27.0075</v>
      </c>
      <c r="C1247" s="1">
        <f>'Historical Simulation'!D1247</f>
        <v>105.02</v>
      </c>
      <c r="D1247" s="22">
        <f t="shared" si="79"/>
        <v>545.94956973664875</v>
      </c>
      <c r="E1247" s="23">
        <f t="shared" si="80"/>
        <v>3.4138400231898913</v>
      </c>
      <c r="F1247" s="23">
        <f t="shared" si="81"/>
        <v>-3.4138400231898913</v>
      </c>
    </row>
    <row r="1248" spans="1:6" x14ac:dyDescent="0.3">
      <c r="A1248" s="2">
        <v>42361</v>
      </c>
      <c r="B1248" s="1">
        <v>27.1525</v>
      </c>
      <c r="C1248" s="1">
        <f>'Historical Simulation'!D1248</f>
        <v>104.63</v>
      </c>
      <c r="D1248" s="22">
        <f t="shared" si="79"/>
        <v>542.53572971345886</v>
      </c>
      <c r="E1248" s="23">
        <f t="shared" si="80"/>
        <v>-7.8037458474910864</v>
      </c>
      <c r="F1248" s="23">
        <f t="shared" si="81"/>
        <v>7.8037458474910864</v>
      </c>
    </row>
    <row r="1249" spans="1:6" x14ac:dyDescent="0.3">
      <c r="A1249" s="2">
        <v>42360</v>
      </c>
      <c r="B1249" s="1">
        <v>26.807500000000001</v>
      </c>
      <c r="C1249" s="1">
        <f>'Historical Simulation'!D1249</f>
        <v>105.51</v>
      </c>
      <c r="D1249" s="22">
        <f t="shared" si="79"/>
        <v>550.33947556094995</v>
      </c>
      <c r="E1249" s="23">
        <f t="shared" si="80"/>
        <v>5.0638086312903852</v>
      </c>
      <c r="F1249" s="23">
        <f t="shared" si="81"/>
        <v>-5.0638086312903852</v>
      </c>
    </row>
    <row r="1250" spans="1:6" x14ac:dyDescent="0.3">
      <c r="A1250" s="2">
        <v>42359</v>
      </c>
      <c r="B1250" s="1">
        <v>26.8325</v>
      </c>
      <c r="C1250" s="1">
        <f>'Historical Simulation'!D1250</f>
        <v>104.77</v>
      </c>
      <c r="D1250" s="22">
        <f t="shared" si="79"/>
        <v>545.27566692965956</v>
      </c>
      <c r="E1250" s="23">
        <f t="shared" si="80"/>
        <v>3.0190751577417814</v>
      </c>
      <c r="F1250" s="23">
        <f t="shared" si="81"/>
        <v>-3.0190751577417814</v>
      </c>
    </row>
    <row r="1251" spans="1:6" x14ac:dyDescent="0.3">
      <c r="A1251" s="2">
        <v>42356</v>
      </c>
      <c r="B1251" s="1">
        <v>26.5075</v>
      </c>
      <c r="C1251" s="1">
        <f>'Historical Simulation'!D1251</f>
        <v>104.04</v>
      </c>
      <c r="D1251" s="22">
        <f t="shared" si="79"/>
        <v>542.25659177191778</v>
      </c>
      <c r="E1251" s="23">
        <f t="shared" si="80"/>
        <v>-10.333063987759715</v>
      </c>
      <c r="F1251" s="23">
        <f t="shared" si="81"/>
        <v>10.333063987759715</v>
      </c>
    </row>
    <row r="1252" spans="1:6" x14ac:dyDescent="0.3">
      <c r="A1252" s="2">
        <v>42355</v>
      </c>
      <c r="B1252" s="1">
        <v>27.245000000000001</v>
      </c>
      <c r="C1252" s="1">
        <f>'Historical Simulation'!D1252</f>
        <v>106.22</v>
      </c>
      <c r="D1252" s="22">
        <f t="shared" si="79"/>
        <v>552.5896557596775</v>
      </c>
      <c r="E1252" s="23">
        <f t="shared" si="80"/>
        <v>-0.45695925146958416</v>
      </c>
      <c r="F1252" s="23">
        <f t="shared" si="81"/>
        <v>0.45695925146958416</v>
      </c>
    </row>
    <row r="1253" spans="1:6" x14ac:dyDescent="0.3">
      <c r="A1253" s="2">
        <v>42354</v>
      </c>
      <c r="B1253" s="1">
        <v>27.835000000000001</v>
      </c>
      <c r="C1253" s="1">
        <f>'Historical Simulation'!D1253</f>
        <v>106.79</v>
      </c>
      <c r="D1253" s="22">
        <f t="shared" si="79"/>
        <v>553.04661501114708</v>
      </c>
      <c r="E1253" s="23">
        <f t="shared" si="80"/>
        <v>13.699505882276071</v>
      </c>
      <c r="F1253" s="23">
        <f t="shared" si="81"/>
        <v>-13.699505882276071</v>
      </c>
    </row>
    <row r="1254" spans="1:6" x14ac:dyDescent="0.3">
      <c r="A1254" s="2">
        <v>42353</v>
      </c>
      <c r="B1254" s="1">
        <v>27.622499999999999</v>
      </c>
      <c r="C1254" s="1">
        <f>'Historical Simulation'!D1254</f>
        <v>104.55</v>
      </c>
      <c r="D1254" s="22">
        <f t="shared" si="79"/>
        <v>539.34710912887101</v>
      </c>
      <c r="E1254" s="23">
        <f t="shared" si="80"/>
        <v>2.080164502777734</v>
      </c>
      <c r="F1254" s="23">
        <f t="shared" si="81"/>
        <v>-2.080164502777734</v>
      </c>
    </row>
    <row r="1255" spans="1:6" x14ac:dyDescent="0.3">
      <c r="A1255" s="2">
        <v>42352</v>
      </c>
      <c r="B1255" s="1">
        <v>28.12</v>
      </c>
      <c r="C1255" s="1">
        <f>'Historical Simulation'!D1255</f>
        <v>104.66</v>
      </c>
      <c r="D1255" s="22">
        <f t="shared" si="79"/>
        <v>537.26694462609328</v>
      </c>
      <c r="E1255" s="23">
        <f t="shared" si="80"/>
        <v>17.885281613010761</v>
      </c>
      <c r="F1255" s="23">
        <f t="shared" si="81"/>
        <v>-17.885281613010761</v>
      </c>
    </row>
    <row r="1256" spans="1:6" x14ac:dyDescent="0.3">
      <c r="A1256" s="2">
        <v>42349</v>
      </c>
      <c r="B1256" s="1">
        <v>28.295000000000002</v>
      </c>
      <c r="C1256" s="1">
        <f>'Historical Simulation'!D1256</f>
        <v>102.12</v>
      </c>
      <c r="D1256" s="22">
        <f t="shared" si="79"/>
        <v>519.38166301308252</v>
      </c>
      <c r="E1256" s="23">
        <f t="shared" si="80"/>
        <v>-17.726825531200689</v>
      </c>
      <c r="F1256" s="23">
        <f t="shared" si="81"/>
        <v>17.726825531200689</v>
      </c>
    </row>
    <row r="1257" spans="1:6" x14ac:dyDescent="0.3">
      <c r="A1257" s="2">
        <v>42348</v>
      </c>
      <c r="B1257" s="1">
        <v>29.0425</v>
      </c>
      <c r="C1257" s="1">
        <f>'Historical Simulation'!D1257</f>
        <v>105.42</v>
      </c>
      <c r="D1257" s="22">
        <f t="shared" si="79"/>
        <v>537.1084885442832</v>
      </c>
      <c r="E1257" s="23">
        <f t="shared" si="80"/>
        <v>4.677515543602226</v>
      </c>
      <c r="F1257" s="23">
        <f t="shared" si="81"/>
        <v>-4.677515543602226</v>
      </c>
    </row>
    <row r="1258" spans="1:6" x14ac:dyDescent="0.3">
      <c r="A1258" s="2">
        <v>42347</v>
      </c>
      <c r="B1258" s="1">
        <v>28.905000000000001</v>
      </c>
      <c r="C1258" s="1">
        <f>'Historical Simulation'!D1258</f>
        <v>104.6</v>
      </c>
      <c r="D1258" s="22">
        <f t="shared" si="79"/>
        <v>532.43097300068098</v>
      </c>
      <c r="E1258" s="23">
        <f t="shared" si="80"/>
        <v>-8.8843963153226468</v>
      </c>
      <c r="F1258" s="23">
        <f t="shared" si="81"/>
        <v>8.8843963153226468</v>
      </c>
    </row>
    <row r="1259" spans="1:6" x14ac:dyDescent="0.3">
      <c r="A1259" s="2">
        <v>42346</v>
      </c>
      <c r="B1259" s="1">
        <v>29.557500000000001</v>
      </c>
      <c r="C1259" s="1">
        <f>'Historical Simulation'!D1259</f>
        <v>106.49</v>
      </c>
      <c r="D1259" s="22">
        <f t="shared" si="79"/>
        <v>541.31536931600363</v>
      </c>
      <c r="E1259" s="23">
        <f t="shared" si="80"/>
        <v>5.924443403172063</v>
      </c>
      <c r="F1259" s="23">
        <f t="shared" si="81"/>
        <v>-5.924443403172063</v>
      </c>
    </row>
    <row r="1260" spans="1:6" x14ac:dyDescent="0.3">
      <c r="A1260" s="2">
        <v>42345</v>
      </c>
      <c r="B1260" s="1">
        <v>29.57</v>
      </c>
      <c r="C1260" s="1">
        <f>'Historical Simulation'!D1260</f>
        <v>105.61</v>
      </c>
      <c r="D1260" s="22">
        <f t="shared" si="79"/>
        <v>535.39092591283156</v>
      </c>
      <c r="E1260" s="23">
        <f t="shared" si="80"/>
        <v>-2.7319043156452381</v>
      </c>
      <c r="F1260" s="23">
        <f t="shared" si="81"/>
        <v>2.7319043156452381</v>
      </c>
    </row>
    <row r="1261" spans="1:6" x14ac:dyDescent="0.3">
      <c r="A1261" s="2">
        <v>42342</v>
      </c>
      <c r="B1261" s="1">
        <v>29.7575</v>
      </c>
      <c r="C1261" s="1">
        <f>'Historical Simulation'!D1261</f>
        <v>106.18</v>
      </c>
      <c r="D1261" s="22">
        <f t="shared" si="79"/>
        <v>538.1228302284768</v>
      </c>
      <c r="E1261" s="23">
        <f t="shared" si="80"/>
        <v>6.5618415318459711</v>
      </c>
      <c r="F1261" s="23">
        <f t="shared" si="81"/>
        <v>-6.5618415318459711</v>
      </c>
    </row>
    <row r="1262" spans="1:6" x14ac:dyDescent="0.3">
      <c r="A1262" s="2">
        <v>42341</v>
      </c>
      <c r="B1262" s="1">
        <v>28.8</v>
      </c>
      <c r="C1262" s="1">
        <f>'Historical Simulation'!D1262</f>
        <v>104.38</v>
      </c>
      <c r="D1262" s="22">
        <f t="shared" si="79"/>
        <v>531.56098869663083</v>
      </c>
      <c r="E1262" s="23">
        <f t="shared" si="80"/>
        <v>-9.7158931456631308</v>
      </c>
      <c r="F1262" s="23">
        <f t="shared" si="81"/>
        <v>9.7158931456631308</v>
      </c>
    </row>
    <row r="1263" spans="1:6" x14ac:dyDescent="0.3">
      <c r="A1263" s="2">
        <v>42340</v>
      </c>
      <c r="B1263" s="1">
        <v>29.07</v>
      </c>
      <c r="C1263" s="1">
        <f>'Historical Simulation'!D1263</f>
        <v>106.07</v>
      </c>
      <c r="D1263" s="22">
        <f t="shared" si="79"/>
        <v>541.27688184229396</v>
      </c>
      <c r="E1263" s="23">
        <f t="shared" si="80"/>
        <v>-5.4868493798207965</v>
      </c>
      <c r="F1263" s="23">
        <f t="shared" si="81"/>
        <v>5.4868493798207965</v>
      </c>
    </row>
    <row r="1264" spans="1:6" x14ac:dyDescent="0.3">
      <c r="A1264" s="2">
        <v>42339</v>
      </c>
      <c r="B1264" s="1">
        <v>29.335000000000001</v>
      </c>
      <c r="C1264" s="1">
        <f>'Historical Simulation'!D1264</f>
        <v>107.12</v>
      </c>
      <c r="D1264" s="22">
        <f t="shared" si="79"/>
        <v>546.76373122211476</v>
      </c>
      <c r="E1264" s="23">
        <f t="shared" si="80"/>
        <v>20.51435677075267</v>
      </c>
      <c r="F1264" s="23">
        <f t="shared" si="81"/>
        <v>-20.51435677075267</v>
      </c>
    </row>
    <row r="1265" spans="1:6" x14ac:dyDescent="0.3">
      <c r="A1265" s="2">
        <v>42338</v>
      </c>
      <c r="B1265" s="1">
        <v>29.574999999999999</v>
      </c>
      <c r="C1265" s="1">
        <f>'Historical Simulation'!D1265</f>
        <v>104.24</v>
      </c>
      <c r="D1265" s="22">
        <f t="shared" si="79"/>
        <v>526.24937445136209</v>
      </c>
      <c r="E1265" s="23">
        <f t="shared" si="80"/>
        <v>-8.7413398708423529</v>
      </c>
      <c r="F1265" s="23">
        <f t="shared" si="81"/>
        <v>8.7413398708423529</v>
      </c>
    </row>
    <row r="1266" spans="1:6" x14ac:dyDescent="0.3">
      <c r="A1266" s="2">
        <v>42335</v>
      </c>
      <c r="B1266" s="1">
        <v>29.452500000000001</v>
      </c>
      <c r="C1266" s="1">
        <f>'Historical Simulation'!D1266</f>
        <v>105.45</v>
      </c>
      <c r="D1266" s="22">
        <f t="shared" si="79"/>
        <v>534.99071432220444</v>
      </c>
      <c r="E1266" s="23">
        <f t="shared" si="80"/>
        <v>0.576943555519847</v>
      </c>
      <c r="F1266" s="23">
        <f t="shared" si="81"/>
        <v>-0.576943555519847</v>
      </c>
    </row>
    <row r="1267" spans="1:6" x14ac:dyDescent="0.3">
      <c r="A1267" s="2">
        <v>42334</v>
      </c>
      <c r="B1267" s="1">
        <v>29.5075</v>
      </c>
      <c r="C1267" s="1">
        <f>'Historical Simulation'!D1267</f>
        <v>105.41</v>
      </c>
      <c r="D1267" s="22">
        <f t="shared" si="79"/>
        <v>534.41377076668459</v>
      </c>
      <c r="E1267" s="23">
        <f t="shared" si="80"/>
        <v>0</v>
      </c>
      <c r="F1267" s="23">
        <f t="shared" si="81"/>
        <v>0</v>
      </c>
    </row>
    <row r="1268" spans="1:6" x14ac:dyDescent="0.3">
      <c r="A1268" s="2">
        <v>42333</v>
      </c>
      <c r="B1268" s="1">
        <v>29.5075</v>
      </c>
      <c r="C1268" s="1">
        <f>'Historical Simulation'!D1268</f>
        <v>105.41</v>
      </c>
      <c r="D1268" s="22">
        <f t="shared" si="79"/>
        <v>534.41377076668459</v>
      </c>
      <c r="E1268" s="23">
        <f t="shared" si="80"/>
        <v>-0.99411439761661313</v>
      </c>
      <c r="F1268" s="23">
        <f t="shared" si="81"/>
        <v>0.99411439761661313</v>
      </c>
    </row>
    <row r="1269" spans="1:6" x14ac:dyDescent="0.3">
      <c r="A1269" s="2">
        <v>42332</v>
      </c>
      <c r="B1269" s="1">
        <v>29.72</v>
      </c>
      <c r="C1269" s="1">
        <f>'Historical Simulation'!D1269</f>
        <v>105.74</v>
      </c>
      <c r="D1269" s="22">
        <f t="shared" si="79"/>
        <v>535.40788516430121</v>
      </c>
      <c r="E1269" s="23">
        <f t="shared" si="80"/>
        <v>-9.6456658590859661</v>
      </c>
      <c r="F1269" s="23">
        <f t="shared" si="81"/>
        <v>9.6456658590859661</v>
      </c>
    </row>
    <row r="1270" spans="1:6" x14ac:dyDescent="0.3">
      <c r="A1270" s="2">
        <v>42331</v>
      </c>
      <c r="B1270" s="1">
        <v>29.4375</v>
      </c>
      <c r="C1270" s="1">
        <f>'Historical Simulation'!D1270</f>
        <v>106.95</v>
      </c>
      <c r="D1270" s="22">
        <f t="shared" si="79"/>
        <v>545.05355102338717</v>
      </c>
      <c r="E1270" s="23">
        <f t="shared" si="80"/>
        <v>-0.27108934503576165</v>
      </c>
      <c r="F1270" s="23">
        <f t="shared" si="81"/>
        <v>0.27108934503576165</v>
      </c>
    </row>
    <row r="1271" spans="1:6" x14ac:dyDescent="0.3">
      <c r="A1271" s="2">
        <v>42328</v>
      </c>
      <c r="B1271" s="1">
        <v>29.824999999999999</v>
      </c>
      <c r="C1271" s="1">
        <f>'Historical Simulation'!D1271</f>
        <v>107.32</v>
      </c>
      <c r="D1271" s="22">
        <f t="shared" si="79"/>
        <v>545.32464036842293</v>
      </c>
      <c r="E1271" s="23">
        <f t="shared" si="80"/>
        <v>6.316394806666608</v>
      </c>
      <c r="F1271" s="23">
        <f t="shared" si="81"/>
        <v>-6.316394806666608</v>
      </c>
    </row>
    <row r="1272" spans="1:6" x14ac:dyDescent="0.3">
      <c r="A1272" s="2">
        <v>42327</v>
      </c>
      <c r="B1272" s="1">
        <v>29.695</v>
      </c>
      <c r="C1272" s="1">
        <f>'Historical Simulation'!D1272</f>
        <v>106.26</v>
      </c>
      <c r="D1272" s="22">
        <f t="shared" si="79"/>
        <v>539.00824556175633</v>
      </c>
      <c r="E1272" s="23">
        <f t="shared" si="80"/>
        <v>-12.149960455430119</v>
      </c>
      <c r="F1272" s="23">
        <f t="shared" si="81"/>
        <v>12.149960455430119</v>
      </c>
    </row>
    <row r="1273" spans="1:6" x14ac:dyDescent="0.3">
      <c r="A1273" s="2">
        <v>42326</v>
      </c>
      <c r="B1273" s="1">
        <v>29.322500000000002</v>
      </c>
      <c r="C1273" s="1">
        <f>'Historical Simulation'!D1273</f>
        <v>107.77</v>
      </c>
      <c r="D1273" s="22">
        <f t="shared" si="79"/>
        <v>551.15820601718644</v>
      </c>
      <c r="E1273" s="23">
        <f t="shared" si="80"/>
        <v>12.474545122150516</v>
      </c>
      <c r="F1273" s="23">
        <f t="shared" si="81"/>
        <v>-12.474545122150516</v>
      </c>
    </row>
    <row r="1274" spans="1:6" x14ac:dyDescent="0.3">
      <c r="A1274" s="2">
        <v>42325</v>
      </c>
      <c r="B1274" s="1">
        <v>28.422499999999999</v>
      </c>
      <c r="C1274" s="1">
        <f>'Historical Simulation'!D1274</f>
        <v>105.13</v>
      </c>
      <c r="D1274" s="22">
        <f t="shared" si="79"/>
        <v>538.68366089503593</v>
      </c>
      <c r="E1274" s="23">
        <f t="shared" si="80"/>
        <v>7.9357477310049944</v>
      </c>
      <c r="F1274" s="23">
        <f t="shared" si="81"/>
        <v>-7.9357477310049944</v>
      </c>
    </row>
    <row r="1275" spans="1:6" x14ac:dyDescent="0.3">
      <c r="A1275" s="2">
        <v>42324</v>
      </c>
      <c r="B1275" s="1">
        <v>28.543700000000001</v>
      </c>
      <c r="C1275" s="1">
        <f>'Historical Simulation'!D1275</f>
        <v>104.04</v>
      </c>
      <c r="D1275" s="22">
        <f t="shared" si="79"/>
        <v>530.74791316403093</v>
      </c>
      <c r="E1275" s="23">
        <f t="shared" si="80"/>
        <v>-1.9939061991591416</v>
      </c>
      <c r="F1275" s="23">
        <f t="shared" si="81"/>
        <v>1.9939061991591416</v>
      </c>
    </row>
    <row r="1276" spans="1:6" x14ac:dyDescent="0.3">
      <c r="A1276" s="2">
        <v>42321</v>
      </c>
      <c r="B1276" s="1">
        <v>28.085000000000001</v>
      </c>
      <c r="C1276" s="1">
        <f>'Historical Simulation'!D1276</f>
        <v>103.95</v>
      </c>
      <c r="D1276" s="22">
        <f t="shared" si="79"/>
        <v>532.74181936319007</v>
      </c>
      <c r="E1276" s="23">
        <f t="shared" si="80"/>
        <v>-22.297820700537613</v>
      </c>
      <c r="F1276" s="23">
        <f t="shared" si="81"/>
        <v>22.297820700537613</v>
      </c>
    </row>
    <row r="1277" spans="1:6" x14ac:dyDescent="0.3">
      <c r="A1277" s="2">
        <v>42320</v>
      </c>
      <c r="B1277" s="1">
        <v>28.93</v>
      </c>
      <c r="C1277" s="1">
        <f>'Historical Simulation'!D1277</f>
        <v>108.02</v>
      </c>
      <c r="D1277" s="22">
        <f t="shared" si="79"/>
        <v>555.03964006372769</v>
      </c>
      <c r="E1277" s="23">
        <f t="shared" si="80"/>
        <v>-6.0344434031720766</v>
      </c>
      <c r="F1277" s="23">
        <f t="shared" si="81"/>
        <v>6.0344434031720766</v>
      </c>
    </row>
    <row r="1278" spans="1:6" x14ac:dyDescent="0.3">
      <c r="A1278" s="2">
        <v>42319</v>
      </c>
      <c r="B1278" s="1">
        <v>29.0275</v>
      </c>
      <c r="C1278" s="1">
        <f>'Historical Simulation'!D1278</f>
        <v>109.01</v>
      </c>
      <c r="D1278" s="22">
        <f t="shared" si="79"/>
        <v>561.07408346689976</v>
      </c>
      <c r="E1278" s="23">
        <f t="shared" si="80"/>
        <v>8.2498273445520454</v>
      </c>
      <c r="F1278" s="23">
        <f t="shared" si="81"/>
        <v>-8.2498273445520454</v>
      </c>
    </row>
    <row r="1279" spans="1:6" x14ac:dyDescent="0.3">
      <c r="A1279" s="2">
        <v>42318</v>
      </c>
      <c r="B1279" s="1">
        <v>29.192499999999999</v>
      </c>
      <c r="C1279" s="1">
        <f>'Historical Simulation'!D1279</f>
        <v>107.91</v>
      </c>
      <c r="D1279" s="22">
        <f t="shared" si="79"/>
        <v>552.82425612234772</v>
      </c>
      <c r="E1279" s="23">
        <f t="shared" si="80"/>
        <v>14.815328700860164</v>
      </c>
      <c r="F1279" s="23">
        <f t="shared" si="81"/>
        <v>-14.815328700860164</v>
      </c>
    </row>
    <row r="1280" spans="1:6" x14ac:dyDescent="0.3">
      <c r="A1280" s="2">
        <v>42317</v>
      </c>
      <c r="B1280" s="1">
        <v>30.142499999999998</v>
      </c>
      <c r="C1280" s="1">
        <f>'Historical Simulation'!D1280</f>
        <v>106.49</v>
      </c>
      <c r="D1280" s="22">
        <f t="shared" si="79"/>
        <v>538.00892742148756</v>
      </c>
      <c r="E1280" s="23">
        <f t="shared" si="80"/>
        <v>-3.3321080582974218</v>
      </c>
      <c r="F1280" s="23">
        <f t="shared" si="81"/>
        <v>3.3321080582974218</v>
      </c>
    </row>
    <row r="1281" spans="1:6" x14ac:dyDescent="0.3">
      <c r="A1281" s="2">
        <v>42314</v>
      </c>
      <c r="B1281" s="1">
        <v>30.265000000000001</v>
      </c>
      <c r="C1281" s="1">
        <f>'Historical Simulation'!D1281</f>
        <v>107.095</v>
      </c>
      <c r="D1281" s="22">
        <f t="shared" si="79"/>
        <v>541.34103547978498</v>
      </c>
      <c r="E1281" s="23">
        <f t="shared" si="80"/>
        <v>-11.273463625089562</v>
      </c>
      <c r="F1281" s="23">
        <f t="shared" si="81"/>
        <v>11.273463625089562</v>
      </c>
    </row>
    <row r="1282" spans="1:6" x14ac:dyDescent="0.3">
      <c r="A1282" s="2">
        <v>42313</v>
      </c>
      <c r="B1282" s="1">
        <v>30.23</v>
      </c>
      <c r="C1282" s="1">
        <f>'Historical Simulation'!D1282</f>
        <v>108.76</v>
      </c>
      <c r="D1282" s="22">
        <f t="shared" si="79"/>
        <v>552.61449910487454</v>
      </c>
      <c r="E1282" s="23">
        <f t="shared" si="80"/>
        <v>33.588870501003612</v>
      </c>
      <c r="F1282" s="23">
        <f t="shared" si="81"/>
        <v>-33.588870501003612</v>
      </c>
    </row>
    <row r="1283" spans="1:6" x14ac:dyDescent="0.3">
      <c r="A1283" s="2">
        <v>42312</v>
      </c>
      <c r="B1283" s="1">
        <v>30.5</v>
      </c>
      <c r="C1283" s="1">
        <f>'Historical Simulation'!D1283</f>
        <v>103.94</v>
      </c>
      <c r="D1283" s="22">
        <f t="shared" si="79"/>
        <v>519.02562860387093</v>
      </c>
      <c r="E1283" s="23">
        <f t="shared" si="80"/>
        <v>9.8521862333511763</v>
      </c>
      <c r="F1283" s="23">
        <f t="shared" si="81"/>
        <v>-9.8521862333511763</v>
      </c>
    </row>
    <row r="1284" spans="1:6" x14ac:dyDescent="0.3">
      <c r="A1284" s="2">
        <v>42311</v>
      </c>
      <c r="B1284" s="1">
        <v>30.642499999999998</v>
      </c>
      <c r="C1284" s="1">
        <f>'Historical Simulation'!D1284</f>
        <v>102.58</v>
      </c>
      <c r="D1284" s="22">
        <f t="shared" si="79"/>
        <v>509.17344237051975</v>
      </c>
      <c r="E1284" s="23">
        <f t="shared" si="80"/>
        <v>-6.8200703270788381</v>
      </c>
      <c r="F1284" s="23">
        <f t="shared" si="81"/>
        <v>6.8200703270788381</v>
      </c>
    </row>
    <row r="1285" spans="1:6" x14ac:dyDescent="0.3">
      <c r="A1285" s="2">
        <v>42310</v>
      </c>
      <c r="B1285" s="1">
        <v>30.295000000000002</v>
      </c>
      <c r="C1285" s="1">
        <f>'Historical Simulation'!D1285</f>
        <v>103.31</v>
      </c>
      <c r="D1285" s="22">
        <f t="shared" si="79"/>
        <v>515.99351269759859</v>
      </c>
      <c r="E1285" s="23">
        <f t="shared" si="80"/>
        <v>6.5398744324014615</v>
      </c>
      <c r="F1285" s="23">
        <f t="shared" si="81"/>
        <v>-6.5398744324014615</v>
      </c>
    </row>
    <row r="1286" spans="1:6" x14ac:dyDescent="0.3">
      <c r="A1286" s="2">
        <v>42307</v>
      </c>
      <c r="B1286" s="1">
        <v>29.875</v>
      </c>
      <c r="C1286" s="1">
        <f>'Historical Simulation'!D1286</f>
        <v>101.97</v>
      </c>
      <c r="D1286" s="22">
        <f t="shared" ref="D1286:D1304" si="82">$M$16*B1286+(1-$M$16)*C1286</f>
        <v>509.45363826519713</v>
      </c>
      <c r="E1286" s="23">
        <f t="shared" ref="E1286:E1303" si="83">D1286-D1287</f>
        <v>-17.902029273853145</v>
      </c>
      <c r="F1286" s="23">
        <f t="shared" ref="F1286:F1303" si="84">-E1286</f>
        <v>17.902029273853145</v>
      </c>
    </row>
    <row r="1287" spans="1:6" x14ac:dyDescent="0.3">
      <c r="A1287" s="2">
        <v>42306</v>
      </c>
      <c r="B1287" s="1">
        <v>30.1325</v>
      </c>
      <c r="C1287" s="1">
        <f>'Historical Simulation'!D1287</f>
        <v>104.88</v>
      </c>
      <c r="D1287" s="22">
        <f t="shared" si="82"/>
        <v>527.35566753905027</v>
      </c>
      <c r="E1287" s="23">
        <f t="shared" si="83"/>
        <v>2.7429936606808951</v>
      </c>
      <c r="F1287" s="23">
        <f t="shared" si="84"/>
        <v>-2.7429936606808951</v>
      </c>
    </row>
    <row r="1288" spans="1:6" x14ac:dyDescent="0.3">
      <c r="A1288" s="2">
        <v>42305</v>
      </c>
      <c r="B1288" s="1">
        <v>29.817499999999999</v>
      </c>
      <c r="C1288" s="1">
        <f>'Historical Simulation'!D1288</f>
        <v>104.2</v>
      </c>
      <c r="D1288" s="22">
        <f t="shared" si="82"/>
        <v>524.61267387836938</v>
      </c>
      <c r="E1288" s="23">
        <f t="shared" si="83"/>
        <v>-3.3433854500358393</v>
      </c>
      <c r="F1288" s="23">
        <f t="shared" si="84"/>
        <v>3.3433854500358393</v>
      </c>
    </row>
    <row r="1289" spans="1:6" x14ac:dyDescent="0.3">
      <c r="A1289" s="2">
        <v>42304</v>
      </c>
      <c r="B1289" s="1">
        <v>28.637499999999999</v>
      </c>
      <c r="C1289" s="1">
        <f>'Historical Simulation'!D1289</f>
        <v>103.7</v>
      </c>
      <c r="D1289" s="22">
        <f t="shared" si="82"/>
        <v>527.95605932840522</v>
      </c>
      <c r="E1289" s="23">
        <f t="shared" si="83"/>
        <v>0.56585421048396256</v>
      </c>
      <c r="F1289" s="23">
        <f t="shared" si="84"/>
        <v>-0.56585421048396256</v>
      </c>
    </row>
    <row r="1290" spans="1:6" x14ac:dyDescent="0.3">
      <c r="A1290" s="2">
        <v>42303</v>
      </c>
      <c r="B1290" s="1">
        <v>28.82</v>
      </c>
      <c r="C1290" s="1">
        <f>'Historical Simulation'!D1290</f>
        <v>103.77</v>
      </c>
      <c r="D1290" s="22">
        <f t="shared" si="82"/>
        <v>527.39020511792125</v>
      </c>
      <c r="E1290" s="23">
        <f t="shared" si="83"/>
        <v>15.879654689103972</v>
      </c>
      <c r="F1290" s="23">
        <f t="shared" si="84"/>
        <v>-15.879654689103972</v>
      </c>
    </row>
    <row r="1291" spans="1:6" x14ac:dyDescent="0.3">
      <c r="A1291" s="2">
        <v>42300</v>
      </c>
      <c r="B1291" s="1">
        <v>29.77</v>
      </c>
      <c r="C1291" s="1">
        <f>'Historical Simulation'!D1291</f>
        <v>102.19</v>
      </c>
      <c r="D1291" s="22">
        <f t="shared" si="82"/>
        <v>511.51055042881728</v>
      </c>
      <c r="E1291" s="23">
        <f t="shared" si="83"/>
        <v>11.70456081810039</v>
      </c>
      <c r="F1291" s="23">
        <f t="shared" si="84"/>
        <v>-11.70456081810039</v>
      </c>
    </row>
    <row r="1292" spans="1:6" x14ac:dyDescent="0.3">
      <c r="A1292" s="2">
        <v>42299</v>
      </c>
      <c r="B1292" s="1">
        <v>28.875</v>
      </c>
      <c r="C1292" s="1">
        <f>'Historical Simulation'!D1292</f>
        <v>99.67</v>
      </c>
      <c r="D1292" s="22">
        <f t="shared" si="82"/>
        <v>499.80598961071689</v>
      </c>
      <c r="E1292" s="23">
        <f t="shared" si="83"/>
        <v>14.570579531362057</v>
      </c>
      <c r="F1292" s="23">
        <f t="shared" si="84"/>
        <v>-14.570579531362057</v>
      </c>
    </row>
    <row r="1293" spans="1:6" x14ac:dyDescent="0.3">
      <c r="A1293" s="2">
        <v>42298</v>
      </c>
      <c r="B1293" s="1">
        <v>28.44</v>
      </c>
      <c r="C1293" s="1">
        <f>'Historical Simulation'!D1293</f>
        <v>97.11</v>
      </c>
      <c r="D1293" s="22">
        <f t="shared" si="82"/>
        <v>485.23541007935484</v>
      </c>
      <c r="E1293" s="23">
        <f t="shared" si="83"/>
        <v>0.74585421048374201</v>
      </c>
      <c r="F1293" s="23">
        <f t="shared" si="84"/>
        <v>-0.74585421048374201</v>
      </c>
    </row>
    <row r="1294" spans="1:6" x14ac:dyDescent="0.3">
      <c r="A1294" s="2">
        <v>42297</v>
      </c>
      <c r="B1294" s="1">
        <v>28.442499999999999</v>
      </c>
      <c r="C1294" s="1">
        <f>'Historical Simulation'!D1294</f>
        <v>97</v>
      </c>
      <c r="D1294" s="22">
        <f t="shared" si="82"/>
        <v>484.48955586887109</v>
      </c>
      <c r="E1294" s="23">
        <f t="shared" si="83"/>
        <v>-12.661034104516034</v>
      </c>
      <c r="F1294" s="23">
        <f t="shared" si="84"/>
        <v>12.661034104516034</v>
      </c>
    </row>
    <row r="1295" spans="1:6" x14ac:dyDescent="0.3">
      <c r="A1295" s="2">
        <v>42296</v>
      </c>
      <c r="B1295" s="1">
        <v>27.932500000000001</v>
      </c>
      <c r="C1295" s="1">
        <f>'Historical Simulation'!D1295</f>
        <v>98.47</v>
      </c>
      <c r="D1295" s="22">
        <f t="shared" si="82"/>
        <v>497.15058997338713</v>
      </c>
      <c r="E1295" s="23">
        <f t="shared" si="83"/>
        <v>5.2114183505913729</v>
      </c>
      <c r="F1295" s="23">
        <f t="shared" si="84"/>
        <v>-5.2114183505913729</v>
      </c>
    </row>
    <row r="1296" spans="1:6" x14ac:dyDescent="0.3">
      <c r="A1296" s="2">
        <v>42293</v>
      </c>
      <c r="B1296" s="1">
        <v>27.76</v>
      </c>
      <c r="C1296" s="1">
        <f>'Historical Simulation'!D1296</f>
        <v>97.54</v>
      </c>
      <c r="D1296" s="22">
        <f t="shared" si="82"/>
        <v>491.93917162279575</v>
      </c>
      <c r="E1296" s="23">
        <f t="shared" si="83"/>
        <v>11.668886806344119</v>
      </c>
      <c r="F1296" s="23">
        <f t="shared" si="84"/>
        <v>-11.668886806344119</v>
      </c>
    </row>
    <row r="1297" spans="1:6" x14ac:dyDescent="0.3">
      <c r="A1297" s="2">
        <v>42292</v>
      </c>
      <c r="B1297" s="1">
        <v>27.965</v>
      </c>
      <c r="C1297" s="1">
        <f>'Historical Simulation'!D1297</f>
        <v>95.96</v>
      </c>
      <c r="D1297" s="22">
        <f t="shared" si="82"/>
        <v>480.27028481645164</v>
      </c>
      <c r="E1297" s="23">
        <f t="shared" si="83"/>
        <v>10.240885297688124</v>
      </c>
      <c r="F1297" s="23">
        <f t="shared" si="84"/>
        <v>-10.240885297688124</v>
      </c>
    </row>
    <row r="1298" spans="1:6" x14ac:dyDescent="0.3">
      <c r="A1298" s="2">
        <v>42291</v>
      </c>
      <c r="B1298" s="1">
        <v>27.552499999999998</v>
      </c>
      <c r="C1298" s="1">
        <f>'Historical Simulation'!D1298</f>
        <v>94.07</v>
      </c>
      <c r="D1298" s="22">
        <f t="shared" si="82"/>
        <v>470.02939951876351</v>
      </c>
      <c r="E1298" s="23">
        <f t="shared" si="83"/>
        <v>1.8999529121505248</v>
      </c>
      <c r="F1298" s="23">
        <f t="shared" si="84"/>
        <v>-1.8999529121505248</v>
      </c>
    </row>
    <row r="1299" spans="1:6" x14ac:dyDescent="0.3">
      <c r="A1299" s="2">
        <v>42290</v>
      </c>
      <c r="B1299" s="1">
        <v>27.947500000000002</v>
      </c>
      <c r="C1299" s="1">
        <f>'Historical Simulation'!D1299</f>
        <v>94.12</v>
      </c>
      <c r="D1299" s="22">
        <f t="shared" si="82"/>
        <v>468.12944660661299</v>
      </c>
      <c r="E1299" s="23">
        <f t="shared" si="83"/>
        <v>-1.1997570174731891</v>
      </c>
      <c r="F1299" s="23">
        <f t="shared" si="84"/>
        <v>1.1997570174731891</v>
      </c>
    </row>
    <row r="1300" spans="1:6" x14ac:dyDescent="0.3">
      <c r="A1300" s="2">
        <v>42289</v>
      </c>
      <c r="B1300" s="1">
        <v>27.9</v>
      </c>
      <c r="C1300" s="1">
        <f>'Historical Simulation'!D1300</f>
        <v>94.26</v>
      </c>
      <c r="D1300" s="22">
        <f t="shared" si="82"/>
        <v>469.32920362408618</v>
      </c>
      <c r="E1300" s="23">
        <f t="shared" si="83"/>
        <v>7.5198430405018826</v>
      </c>
      <c r="F1300" s="23">
        <f t="shared" si="84"/>
        <v>-7.5198430405018826</v>
      </c>
    </row>
    <row r="1301" spans="1:6" x14ac:dyDescent="0.3">
      <c r="A1301" s="2">
        <v>42286</v>
      </c>
      <c r="B1301" s="1">
        <v>28.03</v>
      </c>
      <c r="C1301" s="1">
        <f>'Historical Simulation'!D1301</f>
        <v>93.24</v>
      </c>
      <c r="D1301" s="22">
        <f t="shared" si="82"/>
        <v>461.80936058358429</v>
      </c>
      <c r="E1301" s="23">
        <f t="shared" si="83"/>
        <v>1.4199843040502174</v>
      </c>
      <c r="F1301" s="23">
        <f t="shared" si="84"/>
        <v>-1.4199843040502174</v>
      </c>
    </row>
    <row r="1302" spans="1:6" x14ac:dyDescent="0.3">
      <c r="A1302" s="2">
        <v>42285</v>
      </c>
      <c r="B1302" s="1">
        <v>27.375</v>
      </c>
      <c r="C1302" s="1">
        <f>'Historical Simulation'!D1302</f>
        <v>92.47</v>
      </c>
      <c r="D1302" s="22">
        <f t="shared" si="82"/>
        <v>460.38937627953408</v>
      </c>
      <c r="E1302" s="23">
        <f t="shared" si="83"/>
        <v>2.2742945963440206</v>
      </c>
      <c r="F1302" s="23">
        <f t="shared" si="84"/>
        <v>-2.2742945963440206</v>
      </c>
    </row>
    <row r="1303" spans="1:6" x14ac:dyDescent="0.3">
      <c r="A1303" s="2">
        <v>42284</v>
      </c>
      <c r="B1303" s="1">
        <v>27.695</v>
      </c>
      <c r="C1303" s="1">
        <f>'Historical Simulation'!D1303</f>
        <v>92.4</v>
      </c>
      <c r="D1303" s="22">
        <f t="shared" si="82"/>
        <v>458.11508168319006</v>
      </c>
      <c r="E1303" s="23">
        <f t="shared" si="83"/>
        <v>-1.9119200115949866</v>
      </c>
      <c r="F1303" s="23">
        <f t="shared" si="84"/>
        <v>1.9119200115949866</v>
      </c>
    </row>
    <row r="1304" spans="1:6" x14ac:dyDescent="0.3">
      <c r="A1304" s="2"/>
      <c r="B1304" s="1">
        <v>27.827500000000001</v>
      </c>
      <c r="C1304" s="1">
        <f>'Historical Simulation'!D1304</f>
        <v>92.8</v>
      </c>
      <c r="D1304" s="22">
        <f t="shared" si="82"/>
        <v>460.02700169478504</v>
      </c>
    </row>
  </sheetData>
  <mergeCells count="2">
    <mergeCell ref="H3:R3"/>
    <mergeCell ref="H6:I6"/>
  </mergeCells>
  <dataValidations count="1">
    <dataValidation allowBlank="1" showErrorMessage="1" promptTitle="TRAFO" prompt="$A$1:$D$1310" sqref="A1" xr:uid="{131AB74E-7B69-46E7-B2B6-16CD6EB09970}"/>
  </dataValidation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E63A-9FFF-43F4-AF6F-AC862C5CC297}">
  <dimension ref="A1:AB1304"/>
  <sheetViews>
    <sheetView topLeftCell="E1" zoomScale="85" zoomScaleNormal="85" workbookViewId="0">
      <selection activeCell="L8" sqref="L8"/>
    </sheetView>
  </sheetViews>
  <sheetFormatPr defaultColWidth="8.77734375" defaultRowHeight="14.4" x14ac:dyDescent="0.3"/>
  <cols>
    <col min="1" max="3" width="18.6640625" style="1" customWidth="1"/>
    <col min="4" max="4" width="28.6640625" style="6" customWidth="1"/>
    <col min="5" max="5" width="18.33203125" style="4" customWidth="1"/>
    <col min="6" max="6" width="10.44140625" style="4" customWidth="1"/>
    <col min="8" max="9" width="13.6640625" customWidth="1"/>
    <col min="10" max="10" width="24.77734375" bestFit="1" customWidth="1"/>
    <col min="12" max="12" width="18.6640625" bestFit="1" customWidth="1"/>
    <col min="13" max="13" width="9.88671875" bestFit="1" customWidth="1"/>
  </cols>
  <sheetData>
    <row r="1" spans="1:28" x14ac:dyDescent="0.3">
      <c r="A1" s="1" t="e">
        <f ca="1">_xll.Thomson.Reuters.AFOSpreadsheetFormulas.DSGRID("@AAPL,@AMZN,@FB"," ","-5Y","","D","RowHeader=true;ColHeader=true;Heading=true;LatestFirstValue=true;DispSeriesDescription=false;YearlyTSFormat=false;QuarterlyTSFormat=false","")</f>
        <v>#NAME?</v>
      </c>
      <c r="B1" s="2">
        <v>42283</v>
      </c>
    </row>
    <row r="2" spans="1:28" x14ac:dyDescent="0.3">
      <c r="A2" s="1" t="s">
        <v>0</v>
      </c>
      <c r="B2" s="2">
        <v>44110</v>
      </c>
    </row>
    <row r="3" spans="1:28" x14ac:dyDescent="0.3">
      <c r="A3" s="1" t="s">
        <v>1</v>
      </c>
      <c r="B3" s="1" t="s">
        <v>2</v>
      </c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1:28" x14ac:dyDescent="0.3">
      <c r="A4" s="10" t="s">
        <v>3</v>
      </c>
      <c r="B4" s="10" t="s">
        <v>4</v>
      </c>
      <c r="C4" s="10" t="str">
        <f>'Historical Simulation'!D4</f>
        <v>FACEBOOK CLASS A</v>
      </c>
      <c r="D4" s="11" t="s">
        <v>15</v>
      </c>
      <c r="E4" s="12" t="s">
        <v>7</v>
      </c>
      <c r="F4" s="12" t="s">
        <v>8</v>
      </c>
    </row>
    <row r="5" spans="1:28" x14ac:dyDescent="0.3">
      <c r="A5" s="2">
        <v>44110</v>
      </c>
      <c r="B5" s="1">
        <v>113.16</v>
      </c>
      <c r="C5" s="1">
        <f>'Historical Simulation'!D5</f>
        <v>258.65989999999999</v>
      </c>
      <c r="D5" s="22">
        <f>$M$16*B5+(1-$M$16)*C5</f>
        <v>583.21727653160781</v>
      </c>
      <c r="E5" s="23">
        <f>D5-D6</f>
        <v>-11.901186521837872</v>
      </c>
      <c r="F5" s="23">
        <f>-E5</f>
        <v>11.901186521837872</v>
      </c>
      <c r="G5" s="13"/>
      <c r="H5" s="14"/>
      <c r="I5" s="14"/>
      <c r="J5" s="1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3">
      <c r="A6" s="2">
        <v>44109</v>
      </c>
      <c r="B6" s="1">
        <v>116.5</v>
      </c>
      <c r="C6" s="1">
        <f>'Historical Simulation'!D6</f>
        <v>264.6499</v>
      </c>
      <c r="D6" s="22">
        <f t="shared" ref="D6:D69" si="0">$M$16*B6+(1-$M$16)*C6</f>
        <v>595.11846305344568</v>
      </c>
      <c r="E6" s="23">
        <f t="shared" ref="E6:E69" si="1">D6-D7</f>
        <v>7.4536828007020404</v>
      </c>
      <c r="F6" s="23">
        <f t="shared" ref="F6:F69" si="2">-E6</f>
        <v>-7.4536828007020404</v>
      </c>
      <c r="G6" s="13"/>
      <c r="H6" s="56" t="s">
        <v>10</v>
      </c>
      <c r="I6" s="56"/>
      <c r="J6" s="13"/>
    </row>
    <row r="7" spans="1:28" x14ac:dyDescent="0.3">
      <c r="A7" s="2">
        <v>44106</v>
      </c>
      <c r="B7" s="1">
        <v>113.02</v>
      </c>
      <c r="C7" s="1">
        <f>'Historical Simulation'!D7</f>
        <v>259.93990000000002</v>
      </c>
      <c r="D7" s="22">
        <f t="shared" si="0"/>
        <v>587.66478025274364</v>
      </c>
      <c r="E7" s="23">
        <f t="shared" si="1"/>
        <v>-13.203458356138299</v>
      </c>
      <c r="F7" s="23">
        <f t="shared" si="2"/>
        <v>13.203458356138299</v>
      </c>
      <c r="G7" s="13"/>
      <c r="H7" s="13">
        <v>1</v>
      </c>
      <c r="I7" s="14">
        <f>COUNTIF($F:$F,"&gt;"&amp;H7)/COUNT(F:F)</f>
        <v>0.38799076212471134</v>
      </c>
      <c r="J7" s="13"/>
      <c r="L7" t="s">
        <v>42</v>
      </c>
      <c r="M7">
        <f>M16*'Historical Simulation'!AC5+'Punto 4'!N16*'Historical Simulation'!AE5</f>
        <v>1.4051768030416125E-4</v>
      </c>
    </row>
    <row r="8" spans="1:28" x14ac:dyDescent="0.3">
      <c r="A8" s="2">
        <v>44105</v>
      </c>
      <c r="B8" s="1">
        <v>116.79</v>
      </c>
      <c r="C8" s="1">
        <f>'Historical Simulation'!D8</f>
        <v>266.62990000000002</v>
      </c>
      <c r="D8" s="22">
        <f t="shared" si="0"/>
        <v>600.86823860888194</v>
      </c>
      <c r="E8" s="23">
        <f t="shared" si="1"/>
        <v>13.09488658750638</v>
      </c>
      <c r="F8" s="23">
        <f t="shared" si="2"/>
        <v>-13.09488658750638</v>
      </c>
      <c r="G8" s="13"/>
      <c r="H8" s="13">
        <v>2</v>
      </c>
      <c r="I8" s="14">
        <f t="shared" ref="I8:I52" si="3">COUNTIF($F:$F,"&gt;"&amp;H8)/COUNT(F:F)</f>
        <v>0.32024634334103158</v>
      </c>
      <c r="J8" s="13"/>
    </row>
    <row r="9" spans="1:28" x14ac:dyDescent="0.3">
      <c r="A9" s="2">
        <v>44104</v>
      </c>
      <c r="B9" s="1">
        <v>115.81</v>
      </c>
      <c r="C9" s="1">
        <f>'Historical Simulation'!D9</f>
        <v>261.8999</v>
      </c>
      <c r="D9" s="22">
        <f t="shared" si="0"/>
        <v>587.77335202137556</v>
      </c>
      <c r="E9" s="23">
        <f t="shared" si="1"/>
        <v>-3.4816477052117989</v>
      </c>
      <c r="F9" s="23">
        <f t="shared" si="2"/>
        <v>3.4816477052117989</v>
      </c>
      <c r="G9" s="13"/>
      <c r="H9" s="13">
        <v>3</v>
      </c>
      <c r="I9" s="14">
        <f t="shared" si="3"/>
        <v>0.26789838337182448</v>
      </c>
      <c r="J9" s="13"/>
    </row>
    <row r="10" spans="1:28" x14ac:dyDescent="0.3">
      <c r="A10" s="2">
        <v>44103</v>
      </c>
      <c r="B10" s="1">
        <v>114.09</v>
      </c>
      <c r="C10" s="1">
        <f>'Historical Simulation'!D10</f>
        <v>261.79000000000002</v>
      </c>
      <c r="D10" s="22">
        <f t="shared" si="0"/>
        <v>591.25499972658736</v>
      </c>
      <c r="E10" s="23">
        <f t="shared" si="1"/>
        <v>17.996593648634416</v>
      </c>
      <c r="F10" s="23">
        <f t="shared" si="2"/>
        <v>-17.996593648634416</v>
      </c>
      <c r="G10" s="13"/>
      <c r="H10" s="13">
        <v>4</v>
      </c>
      <c r="I10" s="14">
        <f t="shared" si="3"/>
        <v>0.22324865280985373</v>
      </c>
      <c r="J10" s="13"/>
    </row>
    <row r="11" spans="1:28" x14ac:dyDescent="0.3">
      <c r="A11" s="2">
        <v>44102</v>
      </c>
      <c r="B11" s="1">
        <v>114.96</v>
      </c>
      <c r="C11" s="1">
        <f>'Historical Simulation'!D11</f>
        <v>256.82010000000002</v>
      </c>
      <c r="D11" s="22">
        <f t="shared" si="0"/>
        <v>573.25840607795294</v>
      </c>
      <c r="E11" s="23">
        <f t="shared" si="1"/>
        <v>0.48349029577457259</v>
      </c>
      <c r="F11" s="23">
        <f t="shared" si="2"/>
        <v>-0.48349029577457259</v>
      </c>
      <c r="G11" s="13"/>
      <c r="H11" s="13">
        <v>5</v>
      </c>
      <c r="I11" s="14">
        <f t="shared" si="3"/>
        <v>0.1855273287143957</v>
      </c>
      <c r="J11" s="13"/>
    </row>
    <row r="12" spans="1:28" x14ac:dyDescent="0.3">
      <c r="A12" s="2">
        <v>44099</v>
      </c>
      <c r="B12" s="1">
        <v>112.28</v>
      </c>
      <c r="C12" s="1">
        <f>'Historical Simulation'!D12</f>
        <v>254.82</v>
      </c>
      <c r="D12" s="22">
        <f t="shared" si="0"/>
        <v>572.77491578217837</v>
      </c>
      <c r="E12" s="23">
        <f t="shared" si="1"/>
        <v>8.0336828007020813</v>
      </c>
      <c r="F12" s="23">
        <f t="shared" si="2"/>
        <v>-8.0336828007020813</v>
      </c>
      <c r="G12" s="13"/>
      <c r="H12" s="13">
        <v>6</v>
      </c>
      <c r="I12" s="14">
        <f t="shared" si="3"/>
        <v>0.15550423402617397</v>
      </c>
      <c r="J12" s="13"/>
    </row>
    <row r="13" spans="1:28" x14ac:dyDescent="0.3">
      <c r="A13" s="2">
        <v>44098</v>
      </c>
      <c r="B13" s="1">
        <v>108.22</v>
      </c>
      <c r="C13" s="1">
        <f>'Historical Simulation'!D13</f>
        <v>249.53</v>
      </c>
      <c r="D13" s="22">
        <f t="shared" si="0"/>
        <v>564.74123298147629</v>
      </c>
      <c r="E13" s="23">
        <f t="shared" si="1"/>
        <v>-0.8060754897676361</v>
      </c>
      <c r="F13" s="23">
        <f t="shared" si="2"/>
        <v>0.8060754897676361</v>
      </c>
      <c r="G13" s="13"/>
      <c r="H13" s="13">
        <v>7</v>
      </c>
      <c r="I13" s="14">
        <f t="shared" si="3"/>
        <v>0.14241724403387221</v>
      </c>
      <c r="J13" s="13"/>
    </row>
    <row r="14" spans="1:28" x14ac:dyDescent="0.3">
      <c r="A14" s="2">
        <v>44097</v>
      </c>
      <c r="B14" s="1">
        <v>107.12</v>
      </c>
      <c r="C14" s="1">
        <f>'Historical Simulation'!D14</f>
        <v>249.02</v>
      </c>
      <c r="D14" s="22">
        <f t="shared" si="0"/>
        <v>565.54730847124392</v>
      </c>
      <c r="E14" s="23">
        <f t="shared" si="1"/>
        <v>-8.049861880268395</v>
      </c>
      <c r="F14" s="23">
        <f t="shared" si="2"/>
        <v>8.049861880268395</v>
      </c>
      <c r="G14" s="13"/>
      <c r="H14" s="13">
        <v>8</v>
      </c>
      <c r="I14" s="14">
        <f t="shared" si="3"/>
        <v>0.12240184757505773</v>
      </c>
      <c r="J14" s="13"/>
    </row>
    <row r="15" spans="1:28" x14ac:dyDescent="0.3">
      <c r="A15" s="2">
        <v>44096</v>
      </c>
      <c r="B15" s="1">
        <v>111.81</v>
      </c>
      <c r="C15" s="1">
        <f>'Historical Simulation'!D15</f>
        <v>254.75</v>
      </c>
      <c r="D15" s="22">
        <f t="shared" si="0"/>
        <v>573.59717035151232</v>
      </c>
      <c r="E15" s="23">
        <f t="shared" si="1"/>
        <v>17.46319938164163</v>
      </c>
      <c r="F15" s="23">
        <f t="shared" si="2"/>
        <v>-17.46319938164163</v>
      </c>
      <c r="G15" s="13"/>
      <c r="H15" s="13">
        <v>9</v>
      </c>
      <c r="I15" s="14">
        <f t="shared" si="3"/>
        <v>0.10700538876058506</v>
      </c>
      <c r="J15" s="13"/>
    </row>
    <row r="16" spans="1:28" x14ac:dyDescent="0.3">
      <c r="A16" s="2">
        <v>44095</v>
      </c>
      <c r="B16" s="1">
        <v>110.08</v>
      </c>
      <c r="C16" s="1">
        <f>'Historical Simulation'!D16</f>
        <v>248.15</v>
      </c>
      <c r="D16" s="22">
        <f t="shared" si="0"/>
        <v>556.13397096987069</v>
      </c>
      <c r="E16" s="23">
        <f t="shared" si="1"/>
        <v>-21.377449545813079</v>
      </c>
      <c r="F16" s="23">
        <f t="shared" si="2"/>
        <v>21.377449545813079</v>
      </c>
      <c r="G16" s="13"/>
      <c r="H16" s="13">
        <v>10</v>
      </c>
      <c r="I16" s="14">
        <f t="shared" si="3"/>
        <v>9.237875288683603E-2</v>
      </c>
      <c r="J16" s="13"/>
      <c r="L16" s="5" t="s">
        <v>16</v>
      </c>
      <c r="M16" s="8">
        <v>-2.2306364233350524</v>
      </c>
      <c r="N16">
        <f>1-M16</f>
        <v>3.2306364233350524</v>
      </c>
    </row>
    <row r="17" spans="1:13" x14ac:dyDescent="0.3">
      <c r="A17" s="2">
        <v>44092</v>
      </c>
      <c r="B17" s="1">
        <v>106.84</v>
      </c>
      <c r="C17" s="1">
        <f>'Historical Simulation'!D17</f>
        <v>252.53</v>
      </c>
      <c r="D17" s="22">
        <f t="shared" si="0"/>
        <v>577.51142051568377</v>
      </c>
      <c r="E17" s="23">
        <f t="shared" si="1"/>
        <v>0.40907007223540859</v>
      </c>
      <c r="F17" s="23">
        <f t="shared" si="2"/>
        <v>-0.40907007223540859</v>
      </c>
      <c r="G17" s="13"/>
      <c r="H17" s="13">
        <v>11</v>
      </c>
      <c r="I17" s="14">
        <f t="shared" si="3"/>
        <v>8.2371054657428791E-2</v>
      </c>
      <c r="J17" s="13"/>
      <c r="L17" s="9" t="s">
        <v>12</v>
      </c>
      <c r="M17" s="21">
        <v>28</v>
      </c>
    </row>
    <row r="18" spans="1:13" x14ac:dyDescent="0.3">
      <c r="A18" s="2">
        <v>44091</v>
      </c>
      <c r="B18" s="1">
        <v>110.34</v>
      </c>
      <c r="C18" s="1">
        <f>'Historical Simulation'!D18</f>
        <v>254.82</v>
      </c>
      <c r="D18" s="22">
        <f t="shared" si="0"/>
        <v>577.10235044344836</v>
      </c>
      <c r="E18" s="23">
        <f t="shared" si="1"/>
        <v>-24.113697685245143</v>
      </c>
      <c r="F18" s="23">
        <f t="shared" si="2"/>
        <v>24.113697685245143</v>
      </c>
      <c r="G18" s="13"/>
      <c r="H18" s="13">
        <v>12</v>
      </c>
      <c r="I18" s="14">
        <f t="shared" si="3"/>
        <v>6.3895304080061582E-2</v>
      </c>
      <c r="J18" s="13"/>
    </row>
    <row r="19" spans="1:13" x14ac:dyDescent="0.3">
      <c r="A19" s="2">
        <v>44090</v>
      </c>
      <c r="B19" s="1">
        <v>112.13</v>
      </c>
      <c r="C19" s="1">
        <f>'Historical Simulation'!D19</f>
        <v>263.52</v>
      </c>
      <c r="D19" s="22">
        <f t="shared" si="0"/>
        <v>601.2160481286935</v>
      </c>
      <c r="E19" s="23">
        <f t="shared" si="1"/>
        <v>-21.145870900467116</v>
      </c>
      <c r="F19" s="23">
        <f t="shared" si="2"/>
        <v>21.145870900467116</v>
      </c>
      <c r="G19" s="13"/>
      <c r="H19" s="13">
        <v>13</v>
      </c>
      <c r="I19" s="14">
        <f t="shared" si="3"/>
        <v>5.9276366435719784E-2</v>
      </c>
      <c r="J19" s="13"/>
    </row>
    <row r="20" spans="1:13" x14ac:dyDescent="0.3">
      <c r="A20" s="2">
        <v>44089</v>
      </c>
      <c r="B20" s="1">
        <v>115.54</v>
      </c>
      <c r="C20" s="1">
        <f>'Historical Simulation'!D20</f>
        <v>272.41989999999998</v>
      </c>
      <c r="D20" s="22">
        <f t="shared" si="0"/>
        <v>622.36191902916062</v>
      </c>
      <c r="E20" s="23">
        <f t="shared" si="1"/>
        <v>19.843422635993647</v>
      </c>
      <c r="F20" s="23">
        <f t="shared" si="2"/>
        <v>-19.843422635993647</v>
      </c>
      <c r="G20" s="13"/>
      <c r="H20" s="13">
        <v>14</v>
      </c>
      <c r="I20" s="14">
        <f t="shared" si="3"/>
        <v>5.0038491147036179E-2</v>
      </c>
      <c r="J20" s="20"/>
    </row>
    <row r="21" spans="1:13" x14ac:dyDescent="0.3">
      <c r="A21" s="2">
        <v>44088</v>
      </c>
      <c r="B21" s="1">
        <v>115.355</v>
      </c>
      <c r="C21" s="1">
        <f>'Historical Simulation'!D21</f>
        <v>266.1499</v>
      </c>
      <c r="D21" s="22">
        <f t="shared" si="0"/>
        <v>602.51849639316697</v>
      </c>
      <c r="E21" s="23">
        <f t="shared" si="1"/>
        <v>-8.9705240823077474</v>
      </c>
      <c r="F21" s="23">
        <f t="shared" si="2"/>
        <v>8.9705240823077474</v>
      </c>
      <c r="G21" s="13"/>
      <c r="H21" s="13">
        <v>15</v>
      </c>
      <c r="I21" s="14">
        <f t="shared" si="3"/>
        <v>4.3879907621247112E-2</v>
      </c>
      <c r="J21" s="20"/>
    </row>
    <row r="22" spans="1:13" x14ac:dyDescent="0.3">
      <c r="A22" s="2">
        <v>44085</v>
      </c>
      <c r="B22" s="1">
        <v>112</v>
      </c>
      <c r="C22" s="1">
        <f>'Historical Simulation'!D22</f>
        <v>266.61009999999999</v>
      </c>
      <c r="D22" s="22">
        <f t="shared" si="0"/>
        <v>611.48902047547472</v>
      </c>
      <c r="E22" s="23">
        <f t="shared" si="1"/>
        <v>-1.4576936357667591</v>
      </c>
      <c r="F22" s="23">
        <f t="shared" si="2"/>
        <v>1.4576936357667591</v>
      </c>
      <c r="G22" s="13"/>
      <c r="H22" s="13">
        <v>16</v>
      </c>
      <c r="I22" s="14">
        <f t="shared" si="3"/>
        <v>3.6181678214010776E-2</v>
      </c>
      <c r="J22" s="13"/>
    </row>
    <row r="23" spans="1:13" x14ac:dyDescent="0.3">
      <c r="A23" s="2">
        <v>44084</v>
      </c>
      <c r="B23" s="1">
        <v>113.49</v>
      </c>
      <c r="C23" s="1">
        <f>'Historical Simulation'!D23</f>
        <v>268.09010000000001</v>
      </c>
      <c r="D23" s="22">
        <f t="shared" si="0"/>
        <v>612.94671411124148</v>
      </c>
      <c r="E23" s="23">
        <f t="shared" si="1"/>
        <v>-9.6448224983607815</v>
      </c>
      <c r="F23" s="23">
        <f t="shared" si="2"/>
        <v>9.6448224983607815</v>
      </c>
      <c r="G23" s="13"/>
      <c r="H23" s="13">
        <v>17</v>
      </c>
      <c r="I23" s="14">
        <f t="shared" si="3"/>
        <v>3.3872209391839873E-2</v>
      </c>
      <c r="J23" s="13"/>
    </row>
    <row r="24" spans="1:13" x14ac:dyDescent="0.3">
      <c r="A24" s="2">
        <v>44083</v>
      </c>
      <c r="B24" s="1">
        <v>117.32</v>
      </c>
      <c r="C24" s="1">
        <f>'Historical Simulation'!D24</f>
        <v>273.72000000000003</v>
      </c>
      <c r="D24" s="22">
        <f t="shared" si="0"/>
        <v>622.59153660960226</v>
      </c>
      <c r="E24" s="23">
        <f t="shared" si="1"/>
        <v>-1.7671115976276042</v>
      </c>
      <c r="F24" s="23">
        <f t="shared" si="2"/>
        <v>1.7671115976276042</v>
      </c>
      <c r="G24" s="13"/>
      <c r="H24" s="13">
        <v>18</v>
      </c>
      <c r="I24" s="14">
        <f t="shared" si="3"/>
        <v>3.0792917628945343E-2</v>
      </c>
      <c r="J24" s="13"/>
    </row>
    <row r="25" spans="1:13" x14ac:dyDescent="0.3">
      <c r="A25" s="2">
        <v>44082</v>
      </c>
      <c r="B25" s="1">
        <v>112.82</v>
      </c>
      <c r="C25" s="1">
        <f>'Historical Simulation'!D25</f>
        <v>271.15989999999999</v>
      </c>
      <c r="D25" s="22">
        <f t="shared" si="0"/>
        <v>624.35864820722986</v>
      </c>
      <c r="E25" s="23">
        <f t="shared" si="1"/>
        <v>-19.221405995681607</v>
      </c>
      <c r="F25" s="23">
        <f t="shared" si="2"/>
        <v>19.221405995681607</v>
      </c>
      <c r="G25" s="13"/>
      <c r="H25" s="13">
        <v>19</v>
      </c>
      <c r="I25" s="14">
        <f t="shared" si="3"/>
        <v>2.771362586605081E-2</v>
      </c>
      <c r="J25" s="13"/>
    </row>
    <row r="26" spans="1:13" x14ac:dyDescent="0.3">
      <c r="A26" s="2">
        <v>44078</v>
      </c>
      <c r="B26" s="1">
        <v>120.96</v>
      </c>
      <c r="C26" s="1">
        <f>'Historical Simulation'!D26</f>
        <v>282.73</v>
      </c>
      <c r="D26" s="22">
        <f t="shared" si="0"/>
        <v>643.58005420291147</v>
      </c>
      <c r="E26" s="23">
        <f t="shared" si="1"/>
        <v>-27.283813569290032</v>
      </c>
      <c r="F26" s="23">
        <f t="shared" si="2"/>
        <v>27.283813569290032</v>
      </c>
      <c r="G26" s="13"/>
      <c r="H26" s="13">
        <v>20</v>
      </c>
      <c r="I26" s="14">
        <f t="shared" si="3"/>
        <v>2.5404157043879907E-2</v>
      </c>
      <c r="J26" s="13"/>
    </row>
    <row r="27" spans="1:13" x14ac:dyDescent="0.3">
      <c r="A27" s="2">
        <v>44077</v>
      </c>
      <c r="B27" s="1">
        <v>120.88</v>
      </c>
      <c r="C27" s="1">
        <f>'Historical Simulation'!D27</f>
        <v>291.12009999999998</v>
      </c>
      <c r="D27" s="22">
        <f t="shared" si="0"/>
        <v>670.8638677722015</v>
      </c>
      <c r="E27" s="23">
        <f t="shared" si="1"/>
        <v>-13.298024260426018</v>
      </c>
      <c r="F27" s="23">
        <f t="shared" si="2"/>
        <v>13.298024260426018</v>
      </c>
      <c r="G27" s="13"/>
      <c r="H27" s="13">
        <v>21</v>
      </c>
      <c r="I27" s="14">
        <f t="shared" si="3"/>
        <v>2.3864511162432642E-2</v>
      </c>
      <c r="J27" s="13"/>
    </row>
    <row r="28" spans="1:13" x14ac:dyDescent="0.3">
      <c r="A28" s="2">
        <v>44076</v>
      </c>
      <c r="B28" s="1">
        <v>131.4</v>
      </c>
      <c r="C28" s="1">
        <f>'Historical Simulation'!D28</f>
        <v>302.5</v>
      </c>
      <c r="D28" s="22">
        <f t="shared" si="0"/>
        <v>684.16189203262752</v>
      </c>
      <c r="E28" s="23">
        <f t="shared" si="1"/>
        <v>29.009785469259214</v>
      </c>
      <c r="F28" s="23">
        <f t="shared" si="2"/>
        <v>-29.009785469259214</v>
      </c>
      <c r="G28" s="13"/>
      <c r="H28" s="13">
        <v>22</v>
      </c>
      <c r="I28" s="14">
        <f t="shared" si="3"/>
        <v>2.0015396458814474E-2</v>
      </c>
      <c r="J28" s="13"/>
    </row>
    <row r="29" spans="1:13" x14ac:dyDescent="0.3">
      <c r="A29" s="2">
        <v>44075</v>
      </c>
      <c r="B29" s="1">
        <v>134.18</v>
      </c>
      <c r="C29" s="1">
        <f>'Historical Simulation'!D29</f>
        <v>295.43990000000002</v>
      </c>
      <c r="D29" s="22">
        <f t="shared" si="0"/>
        <v>655.15210656336831</v>
      </c>
      <c r="E29" s="23">
        <f t="shared" si="1"/>
        <v>-4.2291686913139301</v>
      </c>
      <c r="F29" s="23">
        <f t="shared" si="2"/>
        <v>4.2291686913139301</v>
      </c>
      <c r="G29" s="13"/>
      <c r="H29" s="13">
        <v>23</v>
      </c>
      <c r="I29" s="14">
        <f t="shared" si="3"/>
        <v>1.6166281755196306E-2</v>
      </c>
      <c r="J29" s="13"/>
    </row>
    <row r="30" spans="1:13" x14ac:dyDescent="0.3">
      <c r="A30" s="2">
        <v>44074</v>
      </c>
      <c r="B30" s="1">
        <v>129.04</v>
      </c>
      <c r="C30" s="1">
        <f>'Historical Simulation'!D30</f>
        <v>293.2</v>
      </c>
      <c r="D30" s="22">
        <f t="shared" si="0"/>
        <v>659.38127525468224</v>
      </c>
      <c r="E30" s="23">
        <f t="shared" si="1"/>
        <v>-10.926938352857292</v>
      </c>
      <c r="F30" s="23">
        <f t="shared" si="2"/>
        <v>10.926938352857292</v>
      </c>
      <c r="G30" s="13"/>
      <c r="H30" s="13">
        <v>24</v>
      </c>
      <c r="I30" s="14">
        <f t="shared" si="3"/>
        <v>1.4626635873749037E-2</v>
      </c>
      <c r="J30" s="13"/>
    </row>
    <row r="31" spans="1:13" x14ac:dyDescent="0.3">
      <c r="A31" s="2">
        <v>44071</v>
      </c>
      <c r="B31" s="1">
        <v>124.8075</v>
      </c>
      <c r="C31" s="1">
        <f>'Historical Simulation'!D31</f>
        <v>293.65989999999999</v>
      </c>
      <c r="D31" s="22">
        <f t="shared" si="0"/>
        <v>670.30821360753953</v>
      </c>
      <c r="E31" s="23">
        <f t="shared" si="1"/>
        <v>1.8728608383503342</v>
      </c>
      <c r="F31" s="23">
        <f t="shared" si="2"/>
        <v>-1.8728608383503342</v>
      </c>
      <c r="G31" s="13"/>
      <c r="H31" s="13">
        <v>25</v>
      </c>
      <c r="I31" s="14">
        <f t="shared" si="3"/>
        <v>1.1547344110854504E-2</v>
      </c>
      <c r="J31" s="13"/>
    </row>
    <row r="32" spans="1:13" x14ac:dyDescent="0.3">
      <c r="A32" s="2">
        <v>44070</v>
      </c>
      <c r="B32" s="1">
        <v>125.01</v>
      </c>
      <c r="C32" s="1">
        <f>'Historical Simulation'!D32</f>
        <v>293.22000000000003</v>
      </c>
      <c r="D32" s="22">
        <f t="shared" si="0"/>
        <v>668.43535276918919</v>
      </c>
      <c r="E32" s="23">
        <f t="shared" si="1"/>
        <v>-31.16134271151509</v>
      </c>
      <c r="F32" s="23">
        <f t="shared" si="2"/>
        <v>31.16134271151509</v>
      </c>
      <c r="G32" s="13"/>
      <c r="H32" s="13">
        <v>26</v>
      </c>
      <c r="I32" s="14">
        <f t="shared" si="3"/>
        <v>1.0777521170130869E-2</v>
      </c>
      <c r="J32" s="13"/>
    </row>
    <row r="33" spans="1:13" x14ac:dyDescent="0.3">
      <c r="A33" s="2">
        <v>44069</v>
      </c>
      <c r="B33" s="1">
        <v>126.52249999999999</v>
      </c>
      <c r="C33" s="1">
        <f>'Historical Simulation'!D33</f>
        <v>303.90989999999999</v>
      </c>
      <c r="D33" s="22">
        <f t="shared" si="0"/>
        <v>699.59669548070428</v>
      </c>
      <c r="E33" s="23">
        <f t="shared" si="1"/>
        <v>70.808243558910362</v>
      </c>
      <c r="F33" s="23">
        <f t="shared" si="2"/>
        <v>-70.808243558910362</v>
      </c>
      <c r="G33" s="13"/>
      <c r="H33" s="13">
        <v>27</v>
      </c>
      <c r="I33" s="19">
        <f t="shared" si="3"/>
        <v>1.0007698229407237E-2</v>
      </c>
      <c r="J33" s="13" t="s">
        <v>35</v>
      </c>
    </row>
    <row r="34" spans="1:13" x14ac:dyDescent="0.3">
      <c r="A34" s="2">
        <v>44068</v>
      </c>
      <c r="B34" s="1">
        <v>124.825</v>
      </c>
      <c r="C34" s="1">
        <f>'Historical Simulation'!D34</f>
        <v>280.82010000000002</v>
      </c>
      <c r="D34" s="22">
        <f t="shared" si="0"/>
        <v>628.78845192179392</v>
      </c>
      <c r="E34" s="23">
        <f t="shared" si="1"/>
        <v>32.768679706427747</v>
      </c>
      <c r="F34" s="23">
        <f t="shared" si="2"/>
        <v>-32.768679706427747</v>
      </c>
      <c r="G34" s="13"/>
      <c r="H34" s="25">
        <v>28</v>
      </c>
      <c r="I34" s="24">
        <f>COUNTIF($F:$F,"&gt;"&amp;H34)/COUNT(F:F)</f>
        <v>9.2378752886836026E-3</v>
      </c>
      <c r="J34" s="13">
        <f>COUNTIF($F:$F,"&gt;"&amp;H34)</f>
        <v>12</v>
      </c>
      <c r="K34">
        <f>J34-J35</f>
        <v>2</v>
      </c>
      <c r="L34">
        <f>K34/COUNT(F:F)</f>
        <v>1.539645881447267E-3</v>
      </c>
      <c r="M34">
        <f>L34*H34</f>
        <v>4.3110084680523478E-2</v>
      </c>
    </row>
    <row r="35" spans="1:13" x14ac:dyDescent="0.3">
      <c r="A35" s="2">
        <v>44067</v>
      </c>
      <c r="B35" s="1">
        <v>125.8575</v>
      </c>
      <c r="C35" s="1">
        <f>'Historical Simulation'!D35</f>
        <v>271.38990000000001</v>
      </c>
      <c r="D35" s="22">
        <f t="shared" si="0"/>
        <v>596.01977221536617</v>
      </c>
      <c r="E35" s="23">
        <f t="shared" si="1"/>
        <v>10.831792790854252</v>
      </c>
      <c r="F35" s="23">
        <f t="shared" si="2"/>
        <v>-10.831792790854252</v>
      </c>
      <c r="G35" s="13"/>
      <c r="H35" s="13">
        <v>29</v>
      </c>
      <c r="I35" s="14">
        <f t="shared" si="3"/>
        <v>7.6982294072363358E-3</v>
      </c>
      <c r="J35" s="13">
        <f t="shared" ref="J35:J98" si="4">COUNTIF($F:$F,"&gt;"&amp;H35)</f>
        <v>10</v>
      </c>
      <c r="K35">
        <f t="shared" ref="K35:K98" si="5">J35-J36</f>
        <v>0</v>
      </c>
      <c r="L35">
        <f t="shared" ref="L35:L98" si="6">K35/COUNT(F:F)</f>
        <v>0</v>
      </c>
      <c r="M35">
        <f t="shared" ref="M35:M98" si="7">L35*H35</f>
        <v>0</v>
      </c>
    </row>
    <row r="36" spans="1:13" x14ac:dyDescent="0.3">
      <c r="A36" s="2">
        <v>44064</v>
      </c>
      <c r="B36" s="1">
        <v>124.37</v>
      </c>
      <c r="C36" s="1">
        <f>'Historical Simulation'!D36</f>
        <v>267.01</v>
      </c>
      <c r="D36" s="22">
        <f t="shared" si="0"/>
        <v>585.18797942451192</v>
      </c>
      <c r="E36" s="23">
        <f t="shared" si="1"/>
        <v>-20.057001846897265</v>
      </c>
      <c r="F36" s="23">
        <f t="shared" si="2"/>
        <v>20.057001846897265</v>
      </c>
      <c r="G36" s="13"/>
      <c r="H36" s="13">
        <v>30</v>
      </c>
      <c r="I36" s="14">
        <f t="shared" si="3"/>
        <v>7.6982294072363358E-3</v>
      </c>
      <c r="J36" s="13">
        <f t="shared" si="4"/>
        <v>10</v>
      </c>
      <c r="K36">
        <f t="shared" si="5"/>
        <v>2</v>
      </c>
      <c r="L36">
        <f t="shared" si="6"/>
        <v>1.539645881447267E-3</v>
      </c>
      <c r="M36">
        <f t="shared" si="7"/>
        <v>4.6189376443418008E-2</v>
      </c>
    </row>
    <row r="37" spans="1:13" x14ac:dyDescent="0.3">
      <c r="A37" s="2">
        <v>44063</v>
      </c>
      <c r="B37" s="1">
        <v>118.27500000000001</v>
      </c>
      <c r="C37" s="1">
        <f>'Historical Simulation'!D37</f>
        <v>269.01</v>
      </c>
      <c r="D37" s="22">
        <f t="shared" si="0"/>
        <v>605.24498127140919</v>
      </c>
      <c r="E37" s="23">
        <f t="shared" si="1"/>
        <v>15.013203757255951</v>
      </c>
      <c r="F37" s="23">
        <f t="shared" si="2"/>
        <v>-15.013203757255951</v>
      </c>
      <c r="G37" s="13"/>
      <c r="H37" s="13">
        <v>31</v>
      </c>
      <c r="I37" s="14">
        <f t="shared" si="3"/>
        <v>6.1585835257890681E-3</v>
      </c>
      <c r="J37" s="13">
        <f t="shared" si="4"/>
        <v>8</v>
      </c>
      <c r="K37">
        <f t="shared" si="5"/>
        <v>1</v>
      </c>
      <c r="L37">
        <f t="shared" si="6"/>
        <v>7.6982294072363352E-4</v>
      </c>
      <c r="M37">
        <f t="shared" si="7"/>
        <v>2.3864511162432638E-2</v>
      </c>
    </row>
    <row r="38" spans="1:13" x14ac:dyDescent="0.3">
      <c r="A38" s="2">
        <v>44062</v>
      </c>
      <c r="B38" s="1">
        <v>115.7075</v>
      </c>
      <c r="C38" s="1">
        <f>'Historical Simulation'!D38</f>
        <v>262.59010000000001</v>
      </c>
      <c r="D38" s="22">
        <f t="shared" si="0"/>
        <v>590.23177751415324</v>
      </c>
      <c r="E38" s="23">
        <f t="shared" si="1"/>
        <v>0.48421682445018632</v>
      </c>
      <c r="F38" s="23">
        <f t="shared" si="2"/>
        <v>-0.48421682445018632</v>
      </c>
      <c r="G38" s="13"/>
      <c r="H38" s="13">
        <v>32</v>
      </c>
      <c r="I38" s="14">
        <f t="shared" si="3"/>
        <v>5.3887605850654347E-3</v>
      </c>
      <c r="J38" s="13">
        <f t="shared" si="4"/>
        <v>7</v>
      </c>
      <c r="K38">
        <f t="shared" si="5"/>
        <v>0</v>
      </c>
      <c r="L38">
        <f t="shared" si="6"/>
        <v>0</v>
      </c>
      <c r="M38">
        <f t="shared" si="7"/>
        <v>0</v>
      </c>
    </row>
    <row r="39" spans="1:13" x14ac:dyDescent="0.3">
      <c r="A39" s="2">
        <v>44061</v>
      </c>
      <c r="B39" s="1">
        <v>115.5625</v>
      </c>
      <c r="C39" s="1">
        <f>'Historical Simulation'!D39</f>
        <v>262.34010000000001</v>
      </c>
      <c r="D39" s="22">
        <f t="shared" si="0"/>
        <v>589.74756068970305</v>
      </c>
      <c r="E39" s="23">
        <f t="shared" si="1"/>
        <v>1.682539322535149</v>
      </c>
      <c r="F39" s="23">
        <f t="shared" si="2"/>
        <v>-1.682539322535149</v>
      </c>
      <c r="G39" s="13"/>
      <c r="H39" s="13">
        <v>33</v>
      </c>
      <c r="I39" s="14">
        <f t="shared" si="3"/>
        <v>5.3887605850654347E-3</v>
      </c>
      <c r="J39" s="13">
        <f t="shared" si="4"/>
        <v>7</v>
      </c>
      <c r="K39">
        <f t="shared" si="5"/>
        <v>0</v>
      </c>
      <c r="L39">
        <f t="shared" si="6"/>
        <v>0</v>
      </c>
      <c r="M39">
        <f t="shared" si="7"/>
        <v>0</v>
      </c>
    </row>
    <row r="40" spans="1:13" x14ac:dyDescent="0.3">
      <c r="A40" s="2">
        <v>44060</v>
      </c>
      <c r="B40" s="1">
        <v>114.6075</v>
      </c>
      <c r="C40" s="1">
        <f>'Historical Simulation'!D40</f>
        <v>261.15989999999999</v>
      </c>
      <c r="D40" s="22">
        <f t="shared" si="0"/>
        <v>588.0650213671679</v>
      </c>
      <c r="E40" s="23">
        <f t="shared" si="1"/>
        <v>0.41041694949126395</v>
      </c>
      <c r="F40" s="23">
        <f t="shared" si="2"/>
        <v>-0.41041694949126395</v>
      </c>
      <c r="G40" s="13"/>
      <c r="H40" s="13">
        <v>34</v>
      </c>
      <c r="I40" s="14">
        <f t="shared" si="3"/>
        <v>5.3887605850654347E-3</v>
      </c>
      <c r="J40" s="13">
        <f t="shared" si="4"/>
        <v>7</v>
      </c>
      <c r="K40">
        <f t="shared" si="5"/>
        <v>0</v>
      </c>
      <c r="L40">
        <f t="shared" si="6"/>
        <v>0</v>
      </c>
      <c r="M40">
        <f t="shared" si="7"/>
        <v>0</v>
      </c>
    </row>
    <row r="41" spans="1:13" x14ac:dyDescent="0.3">
      <c r="A41" s="2">
        <v>44057</v>
      </c>
      <c r="B41" s="1">
        <v>114.9075</v>
      </c>
      <c r="C41" s="1">
        <f>'Historical Simulation'!D41</f>
        <v>261.24</v>
      </c>
      <c r="D41" s="22">
        <f t="shared" si="0"/>
        <v>587.65460441767664</v>
      </c>
      <c r="E41" s="23">
        <f t="shared" si="1"/>
        <v>3.4802047991888685E-2</v>
      </c>
      <c r="F41" s="23">
        <f t="shared" si="2"/>
        <v>-3.4802047991888685E-2</v>
      </c>
      <c r="G41" s="13"/>
      <c r="H41" s="13">
        <v>35</v>
      </c>
      <c r="I41" s="14">
        <f t="shared" si="3"/>
        <v>5.3887605850654347E-3</v>
      </c>
      <c r="J41" s="13">
        <f t="shared" si="4"/>
        <v>7</v>
      </c>
      <c r="K41">
        <f t="shared" si="5"/>
        <v>1</v>
      </c>
      <c r="L41">
        <f t="shared" si="6"/>
        <v>7.6982294072363352E-4</v>
      </c>
      <c r="M41">
        <f t="shared" si="7"/>
        <v>2.6943802925327172E-2</v>
      </c>
    </row>
    <row r="42" spans="1:13" x14ac:dyDescent="0.3">
      <c r="A42" s="2">
        <v>44056</v>
      </c>
      <c r="B42" s="1">
        <v>115.01</v>
      </c>
      <c r="C42" s="1">
        <f>'Historical Simulation'!D42</f>
        <v>261.3</v>
      </c>
      <c r="D42" s="22">
        <f t="shared" si="0"/>
        <v>587.61980236968475</v>
      </c>
      <c r="E42" s="23">
        <f t="shared" si="1"/>
        <v>9.4247573874554291E-2</v>
      </c>
      <c r="F42" s="23">
        <f t="shared" si="2"/>
        <v>-9.4247573874554291E-2</v>
      </c>
      <c r="G42" s="13"/>
      <c r="H42" s="13">
        <v>36</v>
      </c>
      <c r="I42" s="14">
        <f t="shared" si="3"/>
        <v>4.6189376443418013E-3</v>
      </c>
      <c r="J42" s="13">
        <f t="shared" si="4"/>
        <v>6</v>
      </c>
      <c r="K42">
        <f t="shared" si="5"/>
        <v>0</v>
      </c>
      <c r="L42">
        <f t="shared" si="6"/>
        <v>0</v>
      </c>
      <c r="M42">
        <f t="shared" si="7"/>
        <v>0</v>
      </c>
    </row>
    <row r="43" spans="1:13" x14ac:dyDescent="0.3">
      <c r="A43" s="2">
        <v>44055</v>
      </c>
      <c r="B43" s="1">
        <v>113.01</v>
      </c>
      <c r="C43" s="1">
        <f>'Historical Simulation'!D43</f>
        <v>259.88990000000001</v>
      </c>
      <c r="D43" s="22">
        <f t="shared" si="0"/>
        <v>587.52555479581019</v>
      </c>
      <c r="E43" s="23">
        <f t="shared" si="1"/>
        <v>4.038829552916809</v>
      </c>
      <c r="F43" s="23">
        <f t="shared" si="2"/>
        <v>-4.038829552916809</v>
      </c>
      <c r="G43" s="13"/>
      <c r="H43" s="13">
        <v>37</v>
      </c>
      <c r="I43" s="14">
        <f t="shared" si="3"/>
        <v>4.6189376443418013E-3</v>
      </c>
      <c r="J43" s="13">
        <f t="shared" si="4"/>
        <v>6</v>
      </c>
      <c r="K43">
        <f t="shared" si="5"/>
        <v>0</v>
      </c>
      <c r="L43">
        <f t="shared" si="6"/>
        <v>0</v>
      </c>
      <c r="M43">
        <f t="shared" si="7"/>
        <v>0</v>
      </c>
    </row>
    <row r="44" spans="1:13" x14ac:dyDescent="0.3">
      <c r="A44" s="2">
        <v>44054</v>
      </c>
      <c r="B44" s="1">
        <v>109.375</v>
      </c>
      <c r="C44" s="1">
        <f>'Historical Simulation'!D44</f>
        <v>256.12990000000002</v>
      </c>
      <c r="D44" s="22">
        <f t="shared" si="0"/>
        <v>583.48672524289339</v>
      </c>
      <c r="E44" s="23">
        <f t="shared" si="1"/>
        <v>-14.716809746365584</v>
      </c>
      <c r="F44" s="23">
        <f t="shared" si="2"/>
        <v>14.716809746365584</v>
      </c>
      <c r="G44" s="13"/>
      <c r="H44" s="13">
        <v>38</v>
      </c>
      <c r="I44" s="14">
        <f t="shared" si="3"/>
        <v>4.6189376443418013E-3</v>
      </c>
      <c r="J44" s="13">
        <f t="shared" si="4"/>
        <v>6</v>
      </c>
      <c r="K44">
        <f t="shared" si="5"/>
        <v>1</v>
      </c>
      <c r="L44">
        <f t="shared" si="6"/>
        <v>7.6982294072363352E-4</v>
      </c>
      <c r="M44">
        <f t="shared" si="7"/>
        <v>2.9253271747498075E-2</v>
      </c>
    </row>
    <row r="45" spans="1:13" x14ac:dyDescent="0.3">
      <c r="A45" s="2">
        <v>44053</v>
      </c>
      <c r="B45" s="1">
        <v>112.7274</v>
      </c>
      <c r="C45" s="1">
        <f>'Historical Simulation'!D45</f>
        <v>263</v>
      </c>
      <c r="D45" s="22">
        <f t="shared" si="0"/>
        <v>598.20353498925897</v>
      </c>
      <c r="E45" s="23">
        <f t="shared" si="1"/>
        <v>-21.176593839344264</v>
      </c>
      <c r="F45" s="23">
        <f t="shared" si="2"/>
        <v>21.176593839344264</v>
      </c>
      <c r="G45" s="13"/>
      <c r="H45" s="13">
        <v>39</v>
      </c>
      <c r="I45" s="14">
        <f t="shared" si="3"/>
        <v>3.8491147036181679E-3</v>
      </c>
      <c r="J45" s="13">
        <f t="shared" si="4"/>
        <v>5</v>
      </c>
      <c r="K45">
        <f t="shared" si="5"/>
        <v>0</v>
      </c>
      <c r="L45">
        <f t="shared" si="6"/>
        <v>0</v>
      </c>
      <c r="M45">
        <f t="shared" si="7"/>
        <v>0</v>
      </c>
    </row>
    <row r="46" spans="1:13" x14ac:dyDescent="0.3">
      <c r="A46" s="2">
        <v>44050</v>
      </c>
      <c r="B46" s="1">
        <v>111.1125</v>
      </c>
      <c r="C46" s="1">
        <f>'Historical Simulation'!D46</f>
        <v>268.43990000000002</v>
      </c>
      <c r="D46" s="22">
        <f t="shared" si="0"/>
        <v>619.38012882860323</v>
      </c>
      <c r="E46" s="23">
        <f t="shared" si="1"/>
        <v>16.431963655201457</v>
      </c>
      <c r="F46" s="23">
        <f t="shared" si="2"/>
        <v>-16.431963655201457</v>
      </c>
      <c r="G46" s="13"/>
      <c r="H46" s="13">
        <v>40</v>
      </c>
      <c r="I46" s="14">
        <f t="shared" si="3"/>
        <v>3.8491147036181679E-3</v>
      </c>
      <c r="J46" s="13">
        <f t="shared" si="4"/>
        <v>5</v>
      </c>
      <c r="K46">
        <f t="shared" si="5"/>
        <v>0</v>
      </c>
      <c r="L46">
        <f t="shared" si="6"/>
        <v>0</v>
      </c>
      <c r="M46">
        <f t="shared" si="7"/>
        <v>0</v>
      </c>
    </row>
    <row r="47" spans="1:13" x14ac:dyDescent="0.3">
      <c r="A47" s="2">
        <v>44049</v>
      </c>
      <c r="B47" s="1">
        <v>113.9025</v>
      </c>
      <c r="C47" s="1">
        <f>'Historical Simulation'!D47</f>
        <v>265.27999999999997</v>
      </c>
      <c r="D47" s="22">
        <f t="shared" si="0"/>
        <v>602.94816517340178</v>
      </c>
      <c r="E47" s="23">
        <f t="shared" si="1"/>
        <v>43.641440735487777</v>
      </c>
      <c r="F47" s="23">
        <f t="shared" si="2"/>
        <v>-43.641440735487777</v>
      </c>
      <c r="G47" s="13"/>
      <c r="H47" s="13">
        <v>41</v>
      </c>
      <c r="I47" s="14">
        <f t="shared" si="3"/>
        <v>3.8491147036181679E-3</v>
      </c>
      <c r="J47" s="13">
        <f t="shared" si="4"/>
        <v>5</v>
      </c>
      <c r="K47">
        <f t="shared" si="5"/>
        <v>0</v>
      </c>
      <c r="L47">
        <f t="shared" si="6"/>
        <v>0</v>
      </c>
      <c r="M47">
        <f t="shared" si="7"/>
        <v>0</v>
      </c>
    </row>
    <row r="48" spans="1:13" x14ac:dyDescent="0.3">
      <c r="A48" s="2">
        <v>44048</v>
      </c>
      <c r="B48" s="1">
        <v>110.0625</v>
      </c>
      <c r="C48" s="1">
        <f>'Historical Simulation'!D48</f>
        <v>249.12</v>
      </c>
      <c r="D48" s="22">
        <f t="shared" si="0"/>
        <v>559.306724437914</v>
      </c>
      <c r="E48" s="23">
        <f t="shared" si="1"/>
        <v>-3.1804298388436791</v>
      </c>
      <c r="F48" s="23">
        <f t="shared" si="2"/>
        <v>3.1804298388436791</v>
      </c>
      <c r="G48" s="13"/>
      <c r="H48" s="13">
        <v>42</v>
      </c>
      <c r="I48" s="14">
        <f t="shared" si="3"/>
        <v>3.8491147036181679E-3</v>
      </c>
      <c r="J48" s="13">
        <f t="shared" si="4"/>
        <v>5</v>
      </c>
      <c r="K48">
        <f t="shared" si="5"/>
        <v>1</v>
      </c>
      <c r="L48">
        <f t="shared" si="6"/>
        <v>7.6982294072363352E-4</v>
      </c>
      <c r="M48">
        <f t="shared" si="7"/>
        <v>3.2332563510392605E-2</v>
      </c>
    </row>
    <row r="49" spans="1:13" x14ac:dyDescent="0.3">
      <c r="A49" s="2">
        <v>44047</v>
      </c>
      <c r="B49" s="1">
        <v>109.66500000000001</v>
      </c>
      <c r="C49" s="1">
        <f>'Historical Simulation'!D49</f>
        <v>249.83</v>
      </c>
      <c r="D49" s="22">
        <f t="shared" si="0"/>
        <v>562.48715427675768</v>
      </c>
      <c r="E49" s="23">
        <f t="shared" si="1"/>
        <v>-8.5040435796798874</v>
      </c>
      <c r="F49" s="23">
        <f t="shared" si="2"/>
        <v>8.5040435796798874</v>
      </c>
      <c r="G49" s="13"/>
      <c r="H49" s="13">
        <v>43</v>
      </c>
      <c r="I49" s="14">
        <f t="shared" si="3"/>
        <v>3.0792917628945341E-3</v>
      </c>
      <c r="J49" s="13">
        <f t="shared" si="4"/>
        <v>4</v>
      </c>
      <c r="K49">
        <f t="shared" si="5"/>
        <v>1</v>
      </c>
      <c r="L49">
        <f t="shared" si="6"/>
        <v>7.6982294072363352E-4</v>
      </c>
      <c r="M49">
        <f t="shared" si="7"/>
        <v>3.3102386451116239E-2</v>
      </c>
    </row>
    <row r="50" spans="1:13" x14ac:dyDescent="0.3">
      <c r="A50" s="2">
        <v>44046</v>
      </c>
      <c r="B50" s="1">
        <v>108.9375</v>
      </c>
      <c r="C50" s="1">
        <f>'Historical Simulation'!D50</f>
        <v>251.96</v>
      </c>
      <c r="D50" s="22">
        <f t="shared" si="0"/>
        <v>570.99119785643757</v>
      </c>
      <c r="E50" s="23">
        <f t="shared" si="1"/>
        <v>-11.496917307382546</v>
      </c>
      <c r="F50" s="23">
        <f t="shared" si="2"/>
        <v>11.496917307382546</v>
      </c>
      <c r="G50" s="13"/>
      <c r="H50" s="13">
        <v>44</v>
      </c>
      <c r="I50" s="14">
        <f t="shared" si="3"/>
        <v>2.3094688221709007E-3</v>
      </c>
      <c r="J50" s="13">
        <f t="shared" si="4"/>
        <v>3</v>
      </c>
      <c r="K50">
        <f t="shared" si="5"/>
        <v>0</v>
      </c>
      <c r="L50">
        <f t="shared" si="6"/>
        <v>0</v>
      </c>
      <c r="M50">
        <f t="shared" si="7"/>
        <v>0</v>
      </c>
    </row>
    <row r="51" spans="1:13" x14ac:dyDescent="0.3">
      <c r="A51" s="2">
        <v>44043</v>
      </c>
      <c r="B51" s="1">
        <v>106.26</v>
      </c>
      <c r="C51" s="1">
        <f>'Historical Simulation'!D51</f>
        <v>253.67</v>
      </c>
      <c r="D51" s="22">
        <f t="shared" si="0"/>
        <v>582.48811516382011</v>
      </c>
      <c r="E51" s="23">
        <f t="shared" si="1"/>
        <v>39.468791452349024</v>
      </c>
      <c r="F51" s="23">
        <f t="shared" si="2"/>
        <v>-39.468791452349024</v>
      </c>
      <c r="G51" s="13"/>
      <c r="H51" s="13">
        <v>45</v>
      </c>
      <c r="I51" s="14">
        <f t="shared" si="3"/>
        <v>2.3094688221709007E-3</v>
      </c>
      <c r="J51" s="13">
        <f t="shared" si="4"/>
        <v>3</v>
      </c>
      <c r="K51">
        <f t="shared" si="5"/>
        <v>0</v>
      </c>
      <c r="L51">
        <f t="shared" si="6"/>
        <v>0</v>
      </c>
      <c r="M51">
        <f t="shared" si="7"/>
        <v>0</v>
      </c>
    </row>
    <row r="52" spans="1:13" x14ac:dyDescent="0.3">
      <c r="A52" s="2">
        <v>44042</v>
      </c>
      <c r="B52" s="1">
        <v>96.19</v>
      </c>
      <c r="C52" s="1">
        <f>'Historical Simulation'!D52</f>
        <v>234.5</v>
      </c>
      <c r="D52" s="22">
        <f t="shared" si="0"/>
        <v>543.01932371147109</v>
      </c>
      <c r="E52" s="23">
        <f t="shared" si="1"/>
        <v>1.3438381854000454</v>
      </c>
      <c r="F52" s="23">
        <f t="shared" si="2"/>
        <v>-1.3438381854000454</v>
      </c>
      <c r="G52" s="13"/>
      <c r="H52" s="13">
        <v>46</v>
      </c>
      <c r="I52" s="14">
        <f t="shared" si="3"/>
        <v>2.3094688221709007E-3</v>
      </c>
      <c r="J52" s="13">
        <f t="shared" si="4"/>
        <v>3</v>
      </c>
      <c r="K52">
        <f t="shared" si="5"/>
        <v>0</v>
      </c>
      <c r="L52">
        <f t="shared" si="6"/>
        <v>0</v>
      </c>
      <c r="M52">
        <f t="shared" si="7"/>
        <v>0</v>
      </c>
    </row>
    <row r="53" spans="1:13" x14ac:dyDescent="0.3">
      <c r="A53" s="2">
        <v>44041</v>
      </c>
      <c r="B53" s="1">
        <v>95.04</v>
      </c>
      <c r="C53" s="1">
        <f>'Historical Simulation'!D53</f>
        <v>233.29</v>
      </c>
      <c r="D53" s="22">
        <f t="shared" si="0"/>
        <v>541.67548552607104</v>
      </c>
      <c r="E53" s="23">
        <f t="shared" si="1"/>
        <v>6.2538548552606699</v>
      </c>
      <c r="F53" s="23">
        <f t="shared" si="2"/>
        <v>-6.2538548552606699</v>
      </c>
      <c r="G53" s="13"/>
      <c r="H53" s="13">
        <v>47</v>
      </c>
      <c r="I53" s="14">
        <f t="shared" ref="I53:I116" si="8">COUNTIF($F:$F,"&gt;"&amp;H53)/COUNT(F:F)</f>
        <v>2.3094688221709007E-3</v>
      </c>
      <c r="J53" s="13">
        <f t="shared" si="4"/>
        <v>3</v>
      </c>
      <c r="K53">
        <f t="shared" si="5"/>
        <v>0</v>
      </c>
      <c r="L53">
        <f t="shared" si="6"/>
        <v>0</v>
      </c>
      <c r="M53">
        <f t="shared" si="7"/>
        <v>0</v>
      </c>
    </row>
    <row r="54" spans="1:13" x14ac:dyDescent="0.3">
      <c r="A54" s="2">
        <v>44040</v>
      </c>
      <c r="B54" s="1">
        <v>93.252499999999998</v>
      </c>
      <c r="C54" s="1">
        <f>'Historical Simulation'!D54</f>
        <v>230.12</v>
      </c>
      <c r="D54" s="22">
        <f t="shared" si="0"/>
        <v>535.42163067081037</v>
      </c>
      <c r="E54" s="23">
        <f t="shared" si="1"/>
        <v>-7.4453348815280833</v>
      </c>
      <c r="F54" s="23">
        <f t="shared" si="2"/>
        <v>7.4453348815280833</v>
      </c>
      <c r="H54" s="13">
        <v>48</v>
      </c>
      <c r="I54" s="14">
        <f t="shared" si="8"/>
        <v>2.3094688221709007E-3</v>
      </c>
      <c r="J54" s="13">
        <f t="shared" si="4"/>
        <v>3</v>
      </c>
      <c r="K54">
        <f t="shared" si="5"/>
        <v>0</v>
      </c>
      <c r="L54">
        <f t="shared" si="6"/>
        <v>0</v>
      </c>
      <c r="M54">
        <f t="shared" si="7"/>
        <v>0</v>
      </c>
    </row>
    <row r="55" spans="1:13" x14ac:dyDescent="0.3">
      <c r="A55" s="2">
        <v>44039</v>
      </c>
      <c r="B55" s="1">
        <v>94.81</v>
      </c>
      <c r="C55" s="1">
        <f>'Historical Simulation'!D55</f>
        <v>233.5</v>
      </c>
      <c r="D55" s="22">
        <f t="shared" si="0"/>
        <v>542.86696555233846</v>
      </c>
      <c r="E55" s="23">
        <f t="shared" si="1"/>
        <v>4.1172286718843907</v>
      </c>
      <c r="F55" s="23">
        <f t="shared" si="2"/>
        <v>-4.1172286718843907</v>
      </c>
      <c r="H55" s="13">
        <v>49</v>
      </c>
      <c r="I55" s="14">
        <f t="shared" si="8"/>
        <v>2.3094688221709007E-3</v>
      </c>
      <c r="J55" s="13">
        <f t="shared" si="4"/>
        <v>3</v>
      </c>
      <c r="K55">
        <f t="shared" si="5"/>
        <v>0</v>
      </c>
      <c r="L55">
        <f t="shared" si="6"/>
        <v>0</v>
      </c>
      <c r="M55">
        <f t="shared" si="7"/>
        <v>0</v>
      </c>
    </row>
    <row r="56" spans="1:13" x14ac:dyDescent="0.3">
      <c r="A56" s="2">
        <v>44036</v>
      </c>
      <c r="B56" s="1">
        <v>92.614999999999995</v>
      </c>
      <c r="C56" s="1">
        <f>'Historical Simulation'!D56</f>
        <v>230.71</v>
      </c>
      <c r="D56" s="22">
        <f t="shared" si="0"/>
        <v>538.74973688045407</v>
      </c>
      <c r="E56" s="23">
        <f t="shared" si="1"/>
        <v>-5.5928564627362221</v>
      </c>
      <c r="F56" s="23">
        <f t="shared" si="2"/>
        <v>5.5928564627362221</v>
      </c>
      <c r="H56" s="13">
        <v>50</v>
      </c>
      <c r="I56" s="14">
        <f t="shared" si="8"/>
        <v>2.3094688221709007E-3</v>
      </c>
      <c r="J56" s="13">
        <f t="shared" si="4"/>
        <v>3</v>
      </c>
      <c r="K56">
        <f t="shared" si="5"/>
        <v>0</v>
      </c>
      <c r="L56">
        <f t="shared" si="6"/>
        <v>0</v>
      </c>
      <c r="M56">
        <f t="shared" si="7"/>
        <v>0</v>
      </c>
    </row>
    <row r="57" spans="1:13" x14ac:dyDescent="0.3">
      <c r="A57" s="2">
        <v>44035</v>
      </c>
      <c r="B57" s="1">
        <v>92.844999999999999</v>
      </c>
      <c r="C57" s="1">
        <f>'Historical Simulation'!D57</f>
        <v>232.6</v>
      </c>
      <c r="D57" s="22">
        <f t="shared" si="0"/>
        <v>544.34259334319029</v>
      </c>
      <c r="E57" s="23">
        <f t="shared" si="1"/>
        <v>-13.610584033329815</v>
      </c>
      <c r="F57" s="23">
        <f t="shared" si="2"/>
        <v>13.610584033329815</v>
      </c>
      <c r="H57" s="13">
        <v>51</v>
      </c>
      <c r="I57" s="14">
        <f t="shared" si="8"/>
        <v>2.3094688221709007E-3</v>
      </c>
      <c r="J57" s="13">
        <f t="shared" si="4"/>
        <v>3</v>
      </c>
      <c r="K57">
        <f t="shared" si="5"/>
        <v>0</v>
      </c>
      <c r="L57">
        <f t="shared" si="6"/>
        <v>0</v>
      </c>
      <c r="M57">
        <f t="shared" si="7"/>
        <v>0</v>
      </c>
    </row>
    <row r="58" spans="1:13" x14ac:dyDescent="0.3">
      <c r="A58" s="2">
        <v>44034</v>
      </c>
      <c r="B58" s="1">
        <v>97.272499999999994</v>
      </c>
      <c r="C58" s="1">
        <f>'Historical Simulation'!D58</f>
        <v>239.87</v>
      </c>
      <c r="D58" s="22">
        <f t="shared" si="0"/>
        <v>557.9531773765201</v>
      </c>
      <c r="E58" s="23">
        <f t="shared" si="1"/>
        <v>-6.6814449012287014</v>
      </c>
      <c r="F58" s="23">
        <f t="shared" si="2"/>
        <v>6.6814449012287014</v>
      </c>
      <c r="H58" s="13">
        <v>52</v>
      </c>
      <c r="I58" s="14">
        <f t="shared" si="8"/>
        <v>2.3094688221709007E-3</v>
      </c>
      <c r="J58" s="13">
        <f t="shared" si="4"/>
        <v>3</v>
      </c>
      <c r="K58">
        <f t="shared" si="5"/>
        <v>0</v>
      </c>
      <c r="L58">
        <f t="shared" si="6"/>
        <v>0</v>
      </c>
      <c r="M58">
        <f t="shared" si="7"/>
        <v>0</v>
      </c>
    </row>
    <row r="59" spans="1:13" x14ac:dyDescent="0.3">
      <c r="A59" s="2">
        <v>44033</v>
      </c>
      <c r="B59" s="1">
        <v>97</v>
      </c>
      <c r="C59" s="1">
        <f>'Historical Simulation'!D59</f>
        <v>241.75</v>
      </c>
      <c r="D59" s="22">
        <f t="shared" si="0"/>
        <v>564.6346222777488</v>
      </c>
      <c r="E59" s="23">
        <f t="shared" si="1"/>
        <v>-8.8283467289622877</v>
      </c>
      <c r="F59" s="23">
        <f t="shared" si="2"/>
        <v>8.8283467289622877</v>
      </c>
      <c r="H59" s="13">
        <v>53</v>
      </c>
      <c r="I59" s="14">
        <f t="shared" si="8"/>
        <v>2.3094688221709007E-3</v>
      </c>
      <c r="J59" s="13">
        <f t="shared" si="4"/>
        <v>3</v>
      </c>
      <c r="K59">
        <f t="shared" si="5"/>
        <v>0</v>
      </c>
      <c r="L59">
        <f t="shared" si="6"/>
        <v>0</v>
      </c>
      <c r="M59">
        <f t="shared" si="7"/>
        <v>0</v>
      </c>
    </row>
    <row r="60" spans="1:13" x14ac:dyDescent="0.3">
      <c r="A60" s="2">
        <v>44032</v>
      </c>
      <c r="B60" s="1">
        <v>98.357500000000002</v>
      </c>
      <c r="C60" s="1">
        <f>'Historical Simulation'!D60</f>
        <v>245.42</v>
      </c>
      <c r="D60" s="22">
        <f t="shared" si="0"/>
        <v>573.46296900671109</v>
      </c>
      <c r="E60" s="23">
        <f t="shared" si="1"/>
        <v>6.4236655357356085</v>
      </c>
      <c r="F60" s="23">
        <f t="shared" si="2"/>
        <v>-6.4236655357356085</v>
      </c>
      <c r="H60" s="13">
        <v>54</v>
      </c>
      <c r="I60" s="14">
        <f t="shared" si="8"/>
        <v>2.3094688221709007E-3</v>
      </c>
      <c r="J60" s="13">
        <f t="shared" si="4"/>
        <v>3</v>
      </c>
      <c r="K60">
        <f t="shared" si="5"/>
        <v>0</v>
      </c>
      <c r="L60">
        <f t="shared" si="6"/>
        <v>0</v>
      </c>
      <c r="M60">
        <f t="shared" si="7"/>
        <v>0</v>
      </c>
    </row>
    <row r="61" spans="1:13" x14ac:dyDescent="0.3">
      <c r="A61" s="2">
        <v>44029</v>
      </c>
      <c r="B61" s="1">
        <v>96.327500000000001</v>
      </c>
      <c r="C61" s="1">
        <f>'Historical Simulation'!D61</f>
        <v>242.03</v>
      </c>
      <c r="D61" s="22">
        <f t="shared" si="0"/>
        <v>567.03930347097548</v>
      </c>
      <c r="E61" s="23">
        <f t="shared" si="1"/>
        <v>3.9886741682188358</v>
      </c>
      <c r="F61" s="23">
        <f t="shared" si="2"/>
        <v>-3.9886741682188358</v>
      </c>
      <c r="H61" s="13">
        <v>55</v>
      </c>
      <c r="I61" s="14">
        <f t="shared" si="8"/>
        <v>2.3094688221709007E-3</v>
      </c>
      <c r="J61" s="13">
        <f t="shared" si="4"/>
        <v>3</v>
      </c>
      <c r="K61">
        <f t="shared" si="5"/>
        <v>0</v>
      </c>
      <c r="L61">
        <f t="shared" si="6"/>
        <v>0</v>
      </c>
      <c r="M61">
        <f t="shared" si="7"/>
        <v>0</v>
      </c>
    </row>
    <row r="62" spans="1:13" x14ac:dyDescent="0.3">
      <c r="A62" s="2">
        <v>44028</v>
      </c>
      <c r="B62" s="1">
        <v>96.522499999999994</v>
      </c>
      <c r="C62" s="1">
        <f>'Historical Simulation'!D62</f>
        <v>240.93</v>
      </c>
      <c r="D62" s="22">
        <f t="shared" si="0"/>
        <v>563.05062930275665</v>
      </c>
      <c r="E62" s="23">
        <f t="shared" si="1"/>
        <v>4.782253974228297</v>
      </c>
      <c r="F62" s="23">
        <f t="shared" si="2"/>
        <v>-4.782253974228297</v>
      </c>
      <c r="H62" s="13">
        <v>56</v>
      </c>
      <c r="I62" s="14">
        <f t="shared" si="8"/>
        <v>2.3094688221709007E-3</v>
      </c>
      <c r="J62" s="13">
        <f t="shared" si="4"/>
        <v>3</v>
      </c>
      <c r="K62">
        <f t="shared" si="5"/>
        <v>0</v>
      </c>
      <c r="L62">
        <f t="shared" si="6"/>
        <v>0</v>
      </c>
      <c r="M62">
        <f t="shared" si="7"/>
        <v>0</v>
      </c>
    </row>
    <row r="63" spans="1:13" x14ac:dyDescent="0.3">
      <c r="A63" s="2">
        <v>44027</v>
      </c>
      <c r="B63" s="1">
        <v>97.724999999999994</v>
      </c>
      <c r="C63" s="1">
        <f>'Historical Simulation'!D63</f>
        <v>240.28</v>
      </c>
      <c r="D63" s="22">
        <f t="shared" si="0"/>
        <v>558.26837532852835</v>
      </c>
      <c r="E63" s="23">
        <f t="shared" si="1"/>
        <v>0.28790022025816597</v>
      </c>
      <c r="F63" s="23">
        <f t="shared" si="2"/>
        <v>-0.28790022025816597</v>
      </c>
      <c r="H63" s="13">
        <v>57</v>
      </c>
      <c r="I63" s="14">
        <f t="shared" si="8"/>
        <v>2.3094688221709007E-3</v>
      </c>
      <c r="J63" s="13">
        <f t="shared" si="4"/>
        <v>3</v>
      </c>
      <c r="K63">
        <f t="shared" si="5"/>
        <v>1</v>
      </c>
      <c r="L63">
        <f t="shared" si="6"/>
        <v>7.6982294072363352E-4</v>
      </c>
      <c r="M63">
        <f t="shared" si="7"/>
        <v>4.3879907621247112E-2</v>
      </c>
    </row>
    <row r="64" spans="1:13" x14ac:dyDescent="0.3">
      <c r="A64" s="2">
        <v>44026</v>
      </c>
      <c r="B64" s="1">
        <v>97.057500000000005</v>
      </c>
      <c r="C64" s="1">
        <f>'Historical Simulation'!D64</f>
        <v>239.73</v>
      </c>
      <c r="D64" s="22">
        <f t="shared" si="0"/>
        <v>557.98047510827018</v>
      </c>
      <c r="E64" s="23">
        <f t="shared" si="1"/>
        <v>-1.1660409598348451</v>
      </c>
      <c r="F64" s="23">
        <f t="shared" si="2"/>
        <v>1.1660409598348451</v>
      </c>
      <c r="H64" s="13">
        <v>58</v>
      </c>
      <c r="I64" s="14">
        <f t="shared" si="8"/>
        <v>1.539645881447267E-3</v>
      </c>
      <c r="J64" s="13">
        <f t="shared" si="4"/>
        <v>2</v>
      </c>
      <c r="K64">
        <f t="shared" si="5"/>
        <v>1</v>
      </c>
      <c r="L64">
        <f t="shared" si="6"/>
        <v>7.6982294072363352E-4</v>
      </c>
      <c r="M64">
        <f t="shared" si="7"/>
        <v>4.4649730561970746E-2</v>
      </c>
    </row>
    <row r="65" spans="1:13" x14ac:dyDescent="0.3">
      <c r="A65" s="2">
        <v>44025</v>
      </c>
      <c r="B65" s="1">
        <v>95.477500000000006</v>
      </c>
      <c r="C65" s="1">
        <f>'Historical Simulation'!D65</f>
        <v>239</v>
      </c>
      <c r="D65" s="22">
        <f t="shared" si="0"/>
        <v>559.14651606810503</v>
      </c>
      <c r="E65" s="23">
        <f t="shared" si="1"/>
        <v>-18.62290647231805</v>
      </c>
      <c r="F65" s="23">
        <f t="shared" si="2"/>
        <v>18.62290647231805</v>
      </c>
      <c r="H65" s="13">
        <v>59</v>
      </c>
      <c r="I65" s="14">
        <f t="shared" si="8"/>
        <v>7.6982294072363352E-4</v>
      </c>
      <c r="J65" s="13">
        <f t="shared" si="4"/>
        <v>1</v>
      </c>
      <c r="K65">
        <f t="shared" si="5"/>
        <v>0</v>
      </c>
      <c r="L65">
        <f t="shared" si="6"/>
        <v>0</v>
      </c>
      <c r="M65">
        <f t="shared" si="7"/>
        <v>0</v>
      </c>
    </row>
    <row r="66" spans="1:13" x14ac:dyDescent="0.3">
      <c r="A66" s="2">
        <v>44022</v>
      </c>
      <c r="B66" s="1">
        <v>95.92</v>
      </c>
      <c r="C66" s="1">
        <f>'Historical Simulation'!D66</f>
        <v>245.07</v>
      </c>
      <c r="D66" s="22">
        <f t="shared" si="0"/>
        <v>577.76942254042308</v>
      </c>
      <c r="E66" s="23">
        <f t="shared" si="1"/>
        <v>1.3116866107588976</v>
      </c>
      <c r="F66" s="23">
        <f t="shared" si="2"/>
        <v>-1.3116866107588976</v>
      </c>
      <c r="H66" s="13">
        <v>60</v>
      </c>
      <c r="I66" s="14">
        <f t="shared" si="8"/>
        <v>7.6982294072363352E-4</v>
      </c>
      <c r="J66" s="13">
        <f t="shared" si="4"/>
        <v>1</v>
      </c>
      <c r="K66">
        <f t="shared" si="5"/>
        <v>0</v>
      </c>
      <c r="L66">
        <f t="shared" si="6"/>
        <v>0</v>
      </c>
      <c r="M66">
        <f t="shared" si="7"/>
        <v>0</v>
      </c>
    </row>
    <row r="67" spans="1:13" x14ac:dyDescent="0.3">
      <c r="A67" s="2">
        <v>44021</v>
      </c>
      <c r="B67" s="1">
        <v>95.682500000000005</v>
      </c>
      <c r="C67" s="1">
        <f>'Historical Simulation'!D67</f>
        <v>244.5</v>
      </c>
      <c r="D67" s="22">
        <f t="shared" si="0"/>
        <v>576.45773592966418</v>
      </c>
      <c r="E67" s="23">
        <f t="shared" si="1"/>
        <v>2.2137691255342133</v>
      </c>
      <c r="F67" s="23">
        <f t="shared" si="2"/>
        <v>-2.2137691255342133</v>
      </c>
      <c r="H67" s="13">
        <v>61</v>
      </c>
      <c r="I67" s="14">
        <f t="shared" si="8"/>
        <v>7.6982294072363352E-4</v>
      </c>
      <c r="J67" s="13">
        <f t="shared" si="4"/>
        <v>1</v>
      </c>
      <c r="K67">
        <f t="shared" si="5"/>
        <v>0</v>
      </c>
      <c r="L67">
        <f t="shared" si="6"/>
        <v>0</v>
      </c>
      <c r="M67">
        <f t="shared" si="7"/>
        <v>0</v>
      </c>
    </row>
    <row r="68" spans="1:13" x14ac:dyDescent="0.3">
      <c r="A68" s="2">
        <v>44020</v>
      </c>
      <c r="B68" s="1">
        <v>95.342500000000001</v>
      </c>
      <c r="C68" s="1">
        <f>'Historical Simulation'!D68</f>
        <v>243.58</v>
      </c>
      <c r="D68" s="22">
        <f t="shared" si="0"/>
        <v>574.24396680412997</v>
      </c>
      <c r="E68" s="23">
        <f t="shared" si="1"/>
        <v>3.9468500328343907</v>
      </c>
      <c r="F68" s="23">
        <f t="shared" si="2"/>
        <v>-3.9468500328343907</v>
      </c>
      <c r="H68" s="13">
        <v>62</v>
      </c>
      <c r="I68" s="14">
        <f t="shared" si="8"/>
        <v>7.6982294072363352E-4</v>
      </c>
      <c r="J68" s="13">
        <f t="shared" si="4"/>
        <v>1</v>
      </c>
      <c r="K68">
        <f t="shared" si="5"/>
        <v>0</v>
      </c>
      <c r="L68">
        <f t="shared" si="6"/>
        <v>0</v>
      </c>
      <c r="M68">
        <f t="shared" si="7"/>
        <v>0</v>
      </c>
    </row>
    <row r="69" spans="1:13" x14ac:dyDescent="0.3">
      <c r="A69" s="2">
        <v>44019</v>
      </c>
      <c r="B69" s="1">
        <v>93.172499999999999</v>
      </c>
      <c r="C69" s="1">
        <f>'Historical Simulation'!D69</f>
        <v>240.86</v>
      </c>
      <c r="D69" s="22">
        <f t="shared" si="0"/>
        <v>570.29711677129558</v>
      </c>
      <c r="E69" s="23">
        <f t="shared" si="1"/>
        <v>2.520653688301536</v>
      </c>
      <c r="F69" s="23">
        <f t="shared" si="2"/>
        <v>-2.520653688301536</v>
      </c>
      <c r="H69" s="13">
        <v>63</v>
      </c>
      <c r="I69" s="14">
        <f t="shared" si="8"/>
        <v>7.6982294072363352E-4</v>
      </c>
      <c r="J69" s="13">
        <f t="shared" si="4"/>
        <v>1</v>
      </c>
      <c r="K69">
        <f t="shared" si="5"/>
        <v>0</v>
      </c>
      <c r="L69">
        <f t="shared" si="6"/>
        <v>0</v>
      </c>
      <c r="M69">
        <f t="shared" si="7"/>
        <v>0</v>
      </c>
    </row>
    <row r="70" spans="1:13" x14ac:dyDescent="0.3">
      <c r="A70" s="2">
        <v>44018</v>
      </c>
      <c r="B70" s="1">
        <v>93.462500000000006</v>
      </c>
      <c r="C70" s="1">
        <f>'Historical Simulation'!D70</f>
        <v>240.28</v>
      </c>
      <c r="D70" s="22">
        <f t="shared" ref="D70:D133" si="9">$M$16*B70+(1-$M$16)*C70</f>
        <v>567.77646308299404</v>
      </c>
      <c r="E70" s="23">
        <f t="shared" ref="E70:E133" si="10">D70-D71</f>
        <v>16.730566173257671</v>
      </c>
      <c r="F70" s="23">
        <f t="shared" ref="F70:F133" si="11">-E70</f>
        <v>-16.730566173257671</v>
      </c>
      <c r="H70" s="13">
        <v>64</v>
      </c>
      <c r="I70" s="14">
        <f t="shared" si="8"/>
        <v>7.6982294072363352E-4</v>
      </c>
      <c r="J70" s="13">
        <f t="shared" si="4"/>
        <v>1</v>
      </c>
      <c r="K70">
        <f t="shared" si="5"/>
        <v>0</v>
      </c>
      <c r="L70">
        <f t="shared" si="6"/>
        <v>0</v>
      </c>
      <c r="M70">
        <f t="shared" si="7"/>
        <v>0</v>
      </c>
    </row>
    <row r="71" spans="1:13" x14ac:dyDescent="0.3">
      <c r="A71" s="2">
        <v>44014</v>
      </c>
      <c r="B71" s="1">
        <v>91.027500000000003</v>
      </c>
      <c r="C71" s="1">
        <f>'Historical Simulation'!D71</f>
        <v>233.42</v>
      </c>
      <c r="D71" s="22">
        <f t="shared" si="9"/>
        <v>551.04589690973637</v>
      </c>
      <c r="E71" s="23">
        <f t="shared" si="10"/>
        <v>-13.342528428373839</v>
      </c>
      <c r="F71" s="23">
        <f t="shared" si="11"/>
        <v>13.342528428373839</v>
      </c>
      <c r="H71" s="13">
        <v>65</v>
      </c>
      <c r="I71" s="14">
        <f t="shared" si="8"/>
        <v>7.6982294072363352E-4</v>
      </c>
      <c r="J71" s="13">
        <f t="shared" si="4"/>
        <v>1</v>
      </c>
      <c r="K71">
        <f t="shared" si="5"/>
        <v>0</v>
      </c>
      <c r="L71">
        <f t="shared" si="6"/>
        <v>0</v>
      </c>
      <c r="M71">
        <f t="shared" si="7"/>
        <v>0</v>
      </c>
    </row>
    <row r="72" spans="1:13" x14ac:dyDescent="0.3">
      <c r="A72" s="2">
        <v>44013</v>
      </c>
      <c r="B72" s="1">
        <v>91.027500000000003</v>
      </c>
      <c r="C72" s="1">
        <f>'Historical Simulation'!D72</f>
        <v>237.55</v>
      </c>
      <c r="D72" s="22">
        <f t="shared" si="9"/>
        <v>564.38842533811021</v>
      </c>
      <c r="E72" s="23">
        <f t="shared" si="10"/>
        <v>34.241854499576675</v>
      </c>
      <c r="F72" s="23">
        <f t="shared" si="11"/>
        <v>-34.241854499576675</v>
      </c>
      <c r="H72" s="13">
        <v>66</v>
      </c>
      <c r="I72" s="14">
        <f t="shared" si="8"/>
        <v>7.6982294072363352E-4</v>
      </c>
      <c r="J72" s="13">
        <f t="shared" si="4"/>
        <v>1</v>
      </c>
      <c r="K72">
        <f t="shared" si="5"/>
        <v>0</v>
      </c>
      <c r="L72">
        <f t="shared" si="6"/>
        <v>0</v>
      </c>
      <c r="M72">
        <f t="shared" si="7"/>
        <v>0</v>
      </c>
    </row>
    <row r="73" spans="1:13" x14ac:dyDescent="0.3">
      <c r="A73" s="2">
        <v>44012</v>
      </c>
      <c r="B73" s="1">
        <v>91.2</v>
      </c>
      <c r="C73" s="1">
        <f>'Historical Simulation'!D73</f>
        <v>227.07</v>
      </c>
      <c r="D73" s="22">
        <f t="shared" si="9"/>
        <v>530.14657083853353</v>
      </c>
      <c r="E73" s="23">
        <f t="shared" si="10"/>
        <v>19.08886170242647</v>
      </c>
      <c r="F73" s="23">
        <f t="shared" si="11"/>
        <v>-19.08886170242647</v>
      </c>
      <c r="H73" s="13">
        <v>67</v>
      </c>
      <c r="I73" s="14">
        <f t="shared" si="8"/>
        <v>7.6982294072363352E-4</v>
      </c>
      <c r="J73" s="13">
        <f t="shared" si="4"/>
        <v>1</v>
      </c>
      <c r="K73">
        <f t="shared" si="5"/>
        <v>0</v>
      </c>
      <c r="L73">
        <f t="shared" si="6"/>
        <v>0</v>
      </c>
      <c r="M73">
        <f t="shared" si="7"/>
        <v>0</v>
      </c>
    </row>
    <row r="74" spans="1:13" x14ac:dyDescent="0.3">
      <c r="A74" s="2">
        <v>44011</v>
      </c>
      <c r="B74" s="1">
        <v>90.444999999999993</v>
      </c>
      <c r="C74" s="1">
        <f>'Historical Simulation'!D74</f>
        <v>220.64</v>
      </c>
      <c r="D74" s="22">
        <f t="shared" si="9"/>
        <v>511.05770913610706</v>
      </c>
      <c r="E74" s="23">
        <f t="shared" si="10"/>
        <v>10.186780377862533</v>
      </c>
      <c r="F74" s="23">
        <f t="shared" si="11"/>
        <v>-10.186780377862533</v>
      </c>
      <c r="H74" s="13">
        <v>68</v>
      </c>
      <c r="I74" s="14">
        <f t="shared" si="8"/>
        <v>7.6982294072363352E-4</v>
      </c>
      <c r="J74" s="13">
        <f t="shared" si="4"/>
        <v>1</v>
      </c>
      <c r="K74">
        <f t="shared" si="5"/>
        <v>0</v>
      </c>
      <c r="L74">
        <f t="shared" si="6"/>
        <v>0</v>
      </c>
      <c r="M74">
        <f t="shared" si="7"/>
        <v>0</v>
      </c>
    </row>
    <row r="75" spans="1:13" x14ac:dyDescent="0.3">
      <c r="A75" s="2">
        <v>44008</v>
      </c>
      <c r="B75" s="1">
        <v>88.407499999999999</v>
      </c>
      <c r="C75" s="1">
        <f>'Historical Simulation'!D75</f>
        <v>216.08</v>
      </c>
      <c r="D75" s="22">
        <f t="shared" si="9"/>
        <v>500.87092875824453</v>
      </c>
      <c r="E75" s="23">
        <f t="shared" si="10"/>
        <v>-57.069115320970582</v>
      </c>
      <c r="F75" s="23">
        <f t="shared" si="11"/>
        <v>57.069115320970582</v>
      </c>
      <c r="H75" s="13">
        <v>69</v>
      </c>
      <c r="I75" s="14">
        <f t="shared" si="8"/>
        <v>7.6982294072363352E-4</v>
      </c>
      <c r="J75" s="13">
        <f t="shared" si="4"/>
        <v>1</v>
      </c>
      <c r="K75">
        <f t="shared" si="5"/>
        <v>0</v>
      </c>
      <c r="L75">
        <f t="shared" si="6"/>
        <v>0</v>
      </c>
      <c r="M75">
        <f t="shared" si="7"/>
        <v>0</v>
      </c>
    </row>
    <row r="76" spans="1:13" x14ac:dyDescent="0.3">
      <c r="A76" s="2">
        <v>44007</v>
      </c>
      <c r="B76" s="1">
        <v>91.21</v>
      </c>
      <c r="C76" s="1">
        <f>'Historical Simulation'!D76</f>
        <v>235.68</v>
      </c>
      <c r="D76" s="22">
        <f t="shared" si="9"/>
        <v>557.94004407921511</v>
      </c>
      <c r="E76" s="23">
        <f t="shared" si="10"/>
        <v>2.6972459368507771</v>
      </c>
      <c r="F76" s="23">
        <f t="shared" si="11"/>
        <v>-2.6972459368507771</v>
      </c>
      <c r="H76" s="13">
        <v>70</v>
      </c>
      <c r="I76" s="14">
        <f t="shared" si="8"/>
        <v>7.6982294072363352E-4</v>
      </c>
      <c r="J76" s="13">
        <f t="shared" si="4"/>
        <v>1</v>
      </c>
      <c r="K76">
        <f t="shared" si="5"/>
        <v>0</v>
      </c>
      <c r="L76">
        <f t="shared" si="6"/>
        <v>0</v>
      </c>
      <c r="M76">
        <f t="shared" si="7"/>
        <v>0</v>
      </c>
    </row>
    <row r="77" spans="1:13" x14ac:dyDescent="0.3">
      <c r="A77" s="2">
        <v>44006</v>
      </c>
      <c r="B77" s="1">
        <v>90.015000000000001</v>
      </c>
      <c r="C77" s="1">
        <f>'Historical Simulation'!D77</f>
        <v>234.02</v>
      </c>
      <c r="D77" s="22">
        <f t="shared" si="9"/>
        <v>555.24279814236434</v>
      </c>
      <c r="E77" s="23">
        <f t="shared" si="10"/>
        <v>-22.947776985069595</v>
      </c>
      <c r="F77" s="23">
        <f t="shared" si="11"/>
        <v>22.947776985069595</v>
      </c>
      <c r="H77" s="13">
        <v>71</v>
      </c>
      <c r="I77" s="14">
        <f t="shared" si="8"/>
        <v>7.6982294072363352E-4</v>
      </c>
      <c r="J77" s="13">
        <f t="shared" si="4"/>
        <v>1</v>
      </c>
      <c r="K77">
        <f t="shared" si="5"/>
        <v>0</v>
      </c>
      <c r="L77">
        <f t="shared" si="6"/>
        <v>0</v>
      </c>
      <c r="M77">
        <f t="shared" si="7"/>
        <v>0</v>
      </c>
    </row>
    <row r="78" spans="1:13" x14ac:dyDescent="0.3">
      <c r="A78" s="2">
        <v>44005</v>
      </c>
      <c r="B78" s="1">
        <v>91.632499999999993</v>
      </c>
      <c r="C78" s="1">
        <f>'Historical Simulation'!D78</f>
        <v>242.24</v>
      </c>
      <c r="D78" s="22">
        <f t="shared" si="9"/>
        <v>578.19057512743393</v>
      </c>
      <c r="E78" s="23">
        <f t="shared" si="10"/>
        <v>5.4848532477851677</v>
      </c>
      <c r="F78" s="23">
        <f t="shared" si="11"/>
        <v>-5.4848532477851677</v>
      </c>
      <c r="H78" s="13">
        <v>72</v>
      </c>
      <c r="I78" s="14">
        <f t="shared" si="8"/>
        <v>7.6982294072363352E-4</v>
      </c>
      <c r="J78" s="13">
        <f t="shared" si="4"/>
        <v>1</v>
      </c>
      <c r="K78">
        <f t="shared" si="5"/>
        <v>0</v>
      </c>
      <c r="L78">
        <f t="shared" si="6"/>
        <v>0</v>
      </c>
      <c r="M78">
        <f t="shared" si="7"/>
        <v>0</v>
      </c>
    </row>
    <row r="79" spans="1:13" x14ac:dyDescent="0.3">
      <c r="A79" s="2">
        <v>44004</v>
      </c>
      <c r="B79" s="1">
        <v>89.717500000000001</v>
      </c>
      <c r="C79" s="1">
        <f>'Historical Simulation'!D79</f>
        <v>239.22</v>
      </c>
      <c r="D79" s="22">
        <f t="shared" si="9"/>
        <v>572.70572187964876</v>
      </c>
      <c r="E79" s="23">
        <f t="shared" si="10"/>
        <v>-3.7134071563447151</v>
      </c>
      <c r="F79" s="23">
        <f t="shared" si="11"/>
        <v>3.7134071563447151</v>
      </c>
      <c r="H79" s="13">
        <v>73</v>
      </c>
      <c r="I79" s="14">
        <f t="shared" si="8"/>
        <v>7.6982294072363352E-4</v>
      </c>
      <c r="J79" s="13">
        <f t="shared" si="4"/>
        <v>1</v>
      </c>
      <c r="K79">
        <f t="shared" si="5"/>
        <v>0</v>
      </c>
      <c r="L79">
        <f t="shared" si="6"/>
        <v>0</v>
      </c>
      <c r="M79">
        <f t="shared" si="7"/>
        <v>0</v>
      </c>
    </row>
    <row r="80" spans="1:13" x14ac:dyDescent="0.3">
      <c r="A80" s="2">
        <v>44001</v>
      </c>
      <c r="B80" s="1">
        <v>87.43</v>
      </c>
      <c r="C80" s="1">
        <f>'Historical Simulation'!D80</f>
        <v>238.79</v>
      </c>
      <c r="D80" s="22">
        <f t="shared" si="9"/>
        <v>576.41912903599348</v>
      </c>
      <c r="E80" s="23">
        <f t="shared" si="10"/>
        <v>10.328208609230728</v>
      </c>
      <c r="F80" s="23">
        <f t="shared" si="11"/>
        <v>-10.328208609230728</v>
      </c>
      <c r="H80" s="13">
        <v>74</v>
      </c>
      <c r="I80" s="14">
        <f t="shared" si="8"/>
        <v>7.6982294072363352E-4</v>
      </c>
      <c r="J80" s="13">
        <f t="shared" si="4"/>
        <v>1</v>
      </c>
      <c r="K80">
        <f t="shared" si="5"/>
        <v>0</v>
      </c>
      <c r="L80">
        <f t="shared" si="6"/>
        <v>0</v>
      </c>
      <c r="M80">
        <f t="shared" si="7"/>
        <v>0</v>
      </c>
    </row>
    <row r="81" spans="1:13" x14ac:dyDescent="0.3">
      <c r="A81" s="2">
        <v>44000</v>
      </c>
      <c r="B81" s="1">
        <v>87.932500000000005</v>
      </c>
      <c r="C81" s="1">
        <f>'Historical Simulation'!D81</f>
        <v>235.94</v>
      </c>
      <c r="D81" s="22">
        <f t="shared" si="9"/>
        <v>566.09092042676275</v>
      </c>
      <c r="E81" s="23">
        <f t="shared" si="10"/>
        <v>1.2464886587506498</v>
      </c>
      <c r="F81" s="23">
        <f t="shared" si="11"/>
        <v>-1.2464886587506498</v>
      </c>
      <c r="H81" s="13">
        <v>75</v>
      </c>
      <c r="I81" s="14">
        <f t="shared" si="8"/>
        <v>7.6982294072363352E-4</v>
      </c>
      <c r="J81" s="13">
        <f t="shared" si="4"/>
        <v>1</v>
      </c>
      <c r="K81">
        <f t="shared" si="5"/>
        <v>0</v>
      </c>
      <c r="L81">
        <f t="shared" si="6"/>
        <v>0</v>
      </c>
      <c r="M81">
        <f t="shared" si="7"/>
        <v>0</v>
      </c>
    </row>
    <row r="82" spans="1:13" x14ac:dyDescent="0.3">
      <c r="A82" s="2">
        <v>43999</v>
      </c>
      <c r="B82" s="1">
        <v>87.897499999999994</v>
      </c>
      <c r="C82" s="1">
        <f>'Historical Simulation'!D82</f>
        <v>235.53</v>
      </c>
      <c r="D82" s="22">
        <f t="shared" si="9"/>
        <v>564.8444317680121</v>
      </c>
      <c r="E82" s="23">
        <f t="shared" si="10"/>
        <v>-0.11442340894177505</v>
      </c>
      <c r="F82" s="23">
        <f t="shared" si="11"/>
        <v>0.11442340894177505</v>
      </c>
      <c r="H82" s="13">
        <v>76</v>
      </c>
      <c r="I82" s="14">
        <f t="shared" si="8"/>
        <v>7.6982294072363352E-4</v>
      </c>
      <c r="J82" s="13">
        <f t="shared" si="4"/>
        <v>1</v>
      </c>
      <c r="K82">
        <f t="shared" si="5"/>
        <v>0</v>
      </c>
      <c r="L82">
        <f t="shared" si="6"/>
        <v>0</v>
      </c>
      <c r="M82">
        <f t="shared" si="7"/>
        <v>0</v>
      </c>
    </row>
    <row r="83" spans="1:13" x14ac:dyDescent="0.3">
      <c r="A83" s="2">
        <v>43998</v>
      </c>
      <c r="B83" s="1">
        <v>88.02</v>
      </c>
      <c r="C83" s="1">
        <f>'Historical Simulation'!D83</f>
        <v>235.65</v>
      </c>
      <c r="D83" s="22">
        <f t="shared" si="9"/>
        <v>564.95885517695388</v>
      </c>
      <c r="E83" s="23">
        <f t="shared" si="10"/>
        <v>5.1073834614766156</v>
      </c>
      <c r="F83" s="23">
        <f t="shared" si="11"/>
        <v>-5.1073834614766156</v>
      </c>
      <c r="H83" s="13">
        <v>77</v>
      </c>
      <c r="I83" s="14">
        <f t="shared" si="8"/>
        <v>7.6982294072363352E-4</v>
      </c>
      <c r="J83" s="13">
        <f t="shared" si="4"/>
        <v>1</v>
      </c>
      <c r="K83">
        <f t="shared" si="5"/>
        <v>0</v>
      </c>
      <c r="L83">
        <f t="shared" si="6"/>
        <v>0</v>
      </c>
      <c r="M83">
        <f t="shared" si="7"/>
        <v>0</v>
      </c>
    </row>
    <row r="84" spans="1:13" x14ac:dyDescent="0.3">
      <c r="A84" s="2">
        <v>43997</v>
      </c>
      <c r="B84" s="1">
        <v>85.747500000000002</v>
      </c>
      <c r="C84" s="1">
        <f>'Historical Simulation'!D84</f>
        <v>232.5</v>
      </c>
      <c r="D84" s="22">
        <f t="shared" si="9"/>
        <v>559.85147171547726</v>
      </c>
      <c r="E84" s="23">
        <f t="shared" si="10"/>
        <v>10.32750312602991</v>
      </c>
      <c r="F84" s="23">
        <f t="shared" si="11"/>
        <v>-10.32750312602991</v>
      </c>
      <c r="H84" s="13">
        <v>78</v>
      </c>
      <c r="I84" s="14">
        <f t="shared" si="8"/>
        <v>7.6982294072363352E-4</v>
      </c>
      <c r="J84" s="13">
        <f t="shared" si="4"/>
        <v>1</v>
      </c>
      <c r="K84">
        <f t="shared" si="5"/>
        <v>0</v>
      </c>
      <c r="L84">
        <f t="shared" si="6"/>
        <v>0</v>
      </c>
      <c r="M84">
        <f t="shared" si="7"/>
        <v>0</v>
      </c>
    </row>
    <row r="85" spans="1:13" x14ac:dyDescent="0.3">
      <c r="A85" s="2">
        <v>43994</v>
      </c>
      <c r="B85" s="1">
        <v>84.7</v>
      </c>
      <c r="C85" s="1">
        <f>'Historical Simulation'!D85</f>
        <v>228.58</v>
      </c>
      <c r="D85" s="22">
        <f t="shared" si="9"/>
        <v>549.52396858944735</v>
      </c>
      <c r="E85" s="23">
        <f t="shared" si="10"/>
        <v>11.789929749922521</v>
      </c>
      <c r="F85" s="23">
        <f t="shared" si="11"/>
        <v>-11.789929749922521</v>
      </c>
      <c r="H85" s="13">
        <v>79</v>
      </c>
      <c r="I85" s="14">
        <f t="shared" si="8"/>
        <v>7.6982294072363352E-4</v>
      </c>
      <c r="J85" s="13">
        <f t="shared" si="4"/>
        <v>1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x14ac:dyDescent="0.3">
      <c r="A86" s="2">
        <v>43993</v>
      </c>
      <c r="B86" s="1">
        <v>83.974999999999994</v>
      </c>
      <c r="C86" s="1">
        <f>'Historical Simulation'!D86</f>
        <v>224.43</v>
      </c>
      <c r="D86" s="22">
        <f t="shared" si="9"/>
        <v>537.73403883952483</v>
      </c>
      <c r="E86" s="23">
        <f t="shared" si="10"/>
        <v>-30.290082754197101</v>
      </c>
      <c r="F86" s="23">
        <f t="shared" si="11"/>
        <v>30.290082754197101</v>
      </c>
      <c r="H86" s="13">
        <v>80</v>
      </c>
      <c r="I86" s="14">
        <f t="shared" si="8"/>
        <v>7.6982294072363352E-4</v>
      </c>
      <c r="J86" s="13">
        <f t="shared" si="4"/>
        <v>1</v>
      </c>
      <c r="K86">
        <f t="shared" si="5"/>
        <v>0</v>
      </c>
      <c r="L86">
        <f t="shared" si="6"/>
        <v>0</v>
      </c>
      <c r="M86">
        <f t="shared" si="7"/>
        <v>0</v>
      </c>
    </row>
    <row r="87" spans="1:13" x14ac:dyDescent="0.3">
      <c r="A87" s="2">
        <v>43992</v>
      </c>
      <c r="B87" s="1">
        <v>88.21</v>
      </c>
      <c r="C87" s="1">
        <f>'Historical Simulation'!D87</f>
        <v>236.73</v>
      </c>
      <c r="D87" s="22">
        <f t="shared" si="9"/>
        <v>568.02412159372193</v>
      </c>
      <c r="E87" s="23">
        <f t="shared" si="10"/>
        <v>-11.202717747898873</v>
      </c>
      <c r="F87" s="23">
        <f t="shared" si="11"/>
        <v>11.202717747898873</v>
      </c>
      <c r="H87" s="13">
        <v>81</v>
      </c>
      <c r="I87" s="14">
        <f t="shared" si="8"/>
        <v>7.6982294072363352E-4</v>
      </c>
      <c r="J87" s="13">
        <f t="shared" si="4"/>
        <v>1</v>
      </c>
      <c r="K87">
        <f t="shared" si="5"/>
        <v>0</v>
      </c>
      <c r="L87">
        <f t="shared" si="6"/>
        <v>0</v>
      </c>
      <c r="M87">
        <f t="shared" si="7"/>
        <v>0</v>
      </c>
    </row>
    <row r="88" spans="1:13" x14ac:dyDescent="0.3">
      <c r="A88" s="2">
        <v>43991</v>
      </c>
      <c r="B88" s="1">
        <v>85.997500000000002</v>
      </c>
      <c r="C88" s="1">
        <f>'Historical Simulation'!D88</f>
        <v>238.67</v>
      </c>
      <c r="D88" s="22">
        <f t="shared" si="9"/>
        <v>579.2268393416208</v>
      </c>
      <c r="E88" s="23">
        <f t="shared" si="10"/>
        <v>17.614576413216241</v>
      </c>
      <c r="F88" s="23">
        <f t="shared" si="11"/>
        <v>-17.614576413216241</v>
      </c>
      <c r="H88" s="13">
        <v>82</v>
      </c>
      <c r="I88" s="14">
        <f t="shared" si="8"/>
        <v>7.6982294072363352E-4</v>
      </c>
      <c r="J88" s="13">
        <f t="shared" si="4"/>
        <v>1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1:13" x14ac:dyDescent="0.3">
      <c r="A89" s="2">
        <v>43990</v>
      </c>
      <c r="B89" s="1">
        <v>83.364999999999995</v>
      </c>
      <c r="C89" s="1">
        <f>'Historical Simulation'!D89</f>
        <v>231.4</v>
      </c>
      <c r="D89" s="22">
        <f t="shared" si="9"/>
        <v>561.61226292840456</v>
      </c>
      <c r="E89" s="23">
        <f t="shared" si="10"/>
        <v>0.94228909926698634</v>
      </c>
      <c r="F89" s="23">
        <f t="shared" si="11"/>
        <v>-0.94228909926698634</v>
      </c>
      <c r="H89" s="13">
        <v>83</v>
      </c>
      <c r="I89" s="14">
        <f t="shared" si="8"/>
        <v>7.6982294072363352E-4</v>
      </c>
      <c r="J89" s="13">
        <f t="shared" si="4"/>
        <v>1</v>
      </c>
      <c r="K89">
        <f t="shared" si="5"/>
        <v>0</v>
      </c>
      <c r="L89">
        <f t="shared" si="6"/>
        <v>0</v>
      </c>
      <c r="M89">
        <f t="shared" si="7"/>
        <v>0</v>
      </c>
    </row>
    <row r="90" spans="1:13" x14ac:dyDescent="0.3">
      <c r="A90" s="2">
        <v>43987</v>
      </c>
      <c r="B90" s="1">
        <v>82.875</v>
      </c>
      <c r="C90" s="1">
        <f>'Historical Simulation'!D90</f>
        <v>230.77</v>
      </c>
      <c r="D90" s="22">
        <f t="shared" si="9"/>
        <v>560.66997382913758</v>
      </c>
      <c r="E90" s="23">
        <f t="shared" si="10"/>
        <v>9.3539405849871855</v>
      </c>
      <c r="F90" s="23">
        <f t="shared" si="11"/>
        <v>-9.3539405849871855</v>
      </c>
      <c r="H90" s="13">
        <v>84</v>
      </c>
      <c r="I90" s="14">
        <f t="shared" si="8"/>
        <v>7.6982294072363352E-4</v>
      </c>
      <c r="J90" s="13">
        <f t="shared" si="4"/>
        <v>1</v>
      </c>
      <c r="K90">
        <f t="shared" si="5"/>
        <v>0</v>
      </c>
      <c r="L90">
        <f t="shared" si="6"/>
        <v>0</v>
      </c>
      <c r="M90">
        <f t="shared" si="7"/>
        <v>0</v>
      </c>
    </row>
    <row r="91" spans="1:13" x14ac:dyDescent="0.3">
      <c r="A91" s="2">
        <v>43986</v>
      </c>
      <c r="B91" s="1">
        <v>80.58</v>
      </c>
      <c r="C91" s="1">
        <f>'Historical Simulation'!D91</f>
        <v>226.29</v>
      </c>
      <c r="D91" s="22">
        <f t="shared" si="9"/>
        <v>551.31603324415039</v>
      </c>
      <c r="E91" s="23">
        <f t="shared" si="10"/>
        <v>-10.941117461972226</v>
      </c>
      <c r="F91" s="23">
        <f t="shared" si="11"/>
        <v>10.941117461972226</v>
      </c>
      <c r="H91" s="13">
        <v>85</v>
      </c>
      <c r="I91" s="14">
        <f t="shared" si="8"/>
        <v>7.6982294072363352E-4</v>
      </c>
      <c r="J91" s="13">
        <f t="shared" si="4"/>
        <v>1</v>
      </c>
      <c r="K91">
        <f t="shared" si="5"/>
        <v>0</v>
      </c>
      <c r="L91">
        <f t="shared" si="6"/>
        <v>0</v>
      </c>
      <c r="M91">
        <f t="shared" si="7"/>
        <v>0</v>
      </c>
    </row>
    <row r="92" spans="1:13" x14ac:dyDescent="0.3">
      <c r="A92" s="2">
        <v>43985</v>
      </c>
      <c r="B92" s="1">
        <v>81.28</v>
      </c>
      <c r="C92" s="1">
        <f>'Historical Simulation'!D92</f>
        <v>230.16</v>
      </c>
      <c r="D92" s="22">
        <f t="shared" si="9"/>
        <v>562.25715070612262</v>
      </c>
      <c r="E92" s="23">
        <f t="shared" si="10"/>
        <v>-9.2630624521218579</v>
      </c>
      <c r="F92" s="23">
        <f t="shared" si="11"/>
        <v>9.2630624521218579</v>
      </c>
      <c r="H92" s="13">
        <v>86</v>
      </c>
      <c r="I92" s="14">
        <f t="shared" si="8"/>
        <v>7.6982294072363352E-4</v>
      </c>
      <c r="J92" s="13">
        <f t="shared" si="4"/>
        <v>1</v>
      </c>
      <c r="K92">
        <f t="shared" si="5"/>
        <v>0</v>
      </c>
      <c r="L92">
        <f t="shared" si="6"/>
        <v>0</v>
      </c>
      <c r="M92">
        <f t="shared" si="7"/>
        <v>0</v>
      </c>
    </row>
    <row r="93" spans="1:13" x14ac:dyDescent="0.3">
      <c r="A93" s="2">
        <v>43984</v>
      </c>
      <c r="B93" s="1">
        <v>80.834999999999994</v>
      </c>
      <c r="C93" s="1">
        <f>'Historical Simulation'!D93</f>
        <v>232.72</v>
      </c>
      <c r="D93" s="22">
        <f t="shared" si="9"/>
        <v>571.52021315824447</v>
      </c>
      <c r="E93" s="23">
        <f t="shared" si="10"/>
        <v>1.785903435209093</v>
      </c>
      <c r="F93" s="23">
        <f t="shared" si="11"/>
        <v>-1.785903435209093</v>
      </c>
      <c r="H93" s="13">
        <v>87</v>
      </c>
      <c r="I93" s="14">
        <f t="shared" si="8"/>
        <v>7.6982294072363352E-4</v>
      </c>
      <c r="J93" s="13">
        <f t="shared" si="4"/>
        <v>1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x14ac:dyDescent="0.3">
      <c r="A94" s="2">
        <v>43983</v>
      </c>
      <c r="B94" s="1">
        <v>80.462500000000006</v>
      </c>
      <c r="C94" s="1">
        <f>'Historical Simulation'!D94</f>
        <v>231.91</v>
      </c>
      <c r="D94" s="22">
        <f t="shared" si="9"/>
        <v>569.73430972303538</v>
      </c>
      <c r="E94" s="23">
        <f t="shared" si="10"/>
        <v>19.852493303334995</v>
      </c>
      <c r="F94" s="23">
        <f t="shared" si="11"/>
        <v>-19.852493303334995</v>
      </c>
      <c r="H94" s="13">
        <v>88</v>
      </c>
      <c r="I94" s="14">
        <f t="shared" si="8"/>
        <v>7.6982294072363352E-4</v>
      </c>
      <c r="J94" s="13">
        <f t="shared" si="4"/>
        <v>1</v>
      </c>
      <c r="K94">
        <f t="shared" si="5"/>
        <v>0</v>
      </c>
      <c r="L94">
        <f t="shared" si="6"/>
        <v>0</v>
      </c>
      <c r="M94">
        <f t="shared" si="7"/>
        <v>0</v>
      </c>
    </row>
    <row r="95" spans="1:13" x14ac:dyDescent="0.3">
      <c r="A95" s="2">
        <v>43980</v>
      </c>
      <c r="B95" s="1">
        <v>79.484999999999999</v>
      </c>
      <c r="C95" s="1">
        <f>'Historical Simulation'!D95</f>
        <v>225.09</v>
      </c>
      <c r="D95" s="22">
        <f t="shared" si="9"/>
        <v>549.88181641970039</v>
      </c>
      <c r="E95" s="23">
        <f t="shared" si="10"/>
        <v>-1.0224611538254749</v>
      </c>
      <c r="F95" s="23">
        <f t="shared" si="11"/>
        <v>1.0224611538254749</v>
      </c>
      <c r="H95" s="13">
        <v>89</v>
      </c>
      <c r="I95" s="14">
        <f t="shared" si="8"/>
        <v>7.6982294072363352E-4</v>
      </c>
      <c r="J95" s="13">
        <f t="shared" si="4"/>
        <v>1</v>
      </c>
      <c r="K95">
        <f t="shared" si="5"/>
        <v>0</v>
      </c>
      <c r="L95">
        <f t="shared" si="6"/>
        <v>0</v>
      </c>
      <c r="M95">
        <f t="shared" si="7"/>
        <v>0</v>
      </c>
    </row>
    <row r="96" spans="1:13" x14ac:dyDescent="0.3">
      <c r="A96" s="2">
        <v>43979</v>
      </c>
      <c r="B96" s="1">
        <v>79.5625</v>
      </c>
      <c r="C96" s="1">
        <f>'Historical Simulation'!D96</f>
        <v>225.46</v>
      </c>
      <c r="D96" s="22">
        <f t="shared" si="9"/>
        <v>550.90427757352586</v>
      </c>
      <c r="E96" s="23">
        <f t="shared" si="10"/>
        <v>-11.966814312689621</v>
      </c>
      <c r="F96" s="23">
        <f t="shared" si="11"/>
        <v>11.966814312689621</v>
      </c>
      <c r="H96" s="13">
        <v>90</v>
      </c>
      <c r="I96" s="14">
        <f t="shared" si="8"/>
        <v>7.6982294072363352E-4</v>
      </c>
      <c r="J96" s="13">
        <f t="shared" si="4"/>
        <v>1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x14ac:dyDescent="0.3">
      <c r="A97" s="2">
        <v>43978</v>
      </c>
      <c r="B97" s="1">
        <v>79.527500000000003</v>
      </c>
      <c r="C97" s="1">
        <f>'Historical Simulation'!D97</f>
        <v>229.14</v>
      </c>
      <c r="D97" s="22">
        <f t="shared" si="9"/>
        <v>562.87109188621548</v>
      </c>
      <c r="E97" s="23">
        <f t="shared" si="10"/>
        <v>-10.655317021455858</v>
      </c>
      <c r="F97" s="23">
        <f t="shared" si="11"/>
        <v>10.655317021455858</v>
      </c>
      <c r="H97" s="13">
        <v>91</v>
      </c>
      <c r="I97" s="14">
        <f t="shared" si="8"/>
        <v>7.6982294072363352E-4</v>
      </c>
      <c r="J97" s="13">
        <f t="shared" si="4"/>
        <v>1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x14ac:dyDescent="0.3">
      <c r="A98" s="2">
        <v>43977</v>
      </c>
      <c r="B98" s="1">
        <v>79.182500000000005</v>
      </c>
      <c r="C98" s="1">
        <f>'Historical Simulation'!D98</f>
        <v>232.2</v>
      </c>
      <c r="D98" s="22">
        <f t="shared" si="9"/>
        <v>573.52640890767134</v>
      </c>
      <c r="E98" s="23">
        <f t="shared" si="10"/>
        <v>-7.5504810386371446</v>
      </c>
      <c r="F98" s="23">
        <f t="shared" si="11"/>
        <v>7.5504810386371446</v>
      </c>
      <c r="H98" s="13">
        <v>92</v>
      </c>
      <c r="I98" s="14">
        <f t="shared" si="8"/>
        <v>7.6982294072363352E-4</v>
      </c>
      <c r="J98" s="13">
        <f t="shared" si="4"/>
        <v>1</v>
      </c>
      <c r="K98">
        <f t="shared" si="5"/>
        <v>0</v>
      </c>
      <c r="L98">
        <f t="shared" si="6"/>
        <v>0</v>
      </c>
      <c r="M98">
        <f t="shared" si="7"/>
        <v>0</v>
      </c>
    </row>
    <row r="99" spans="1:13" x14ac:dyDescent="0.3">
      <c r="A99" s="2">
        <v>43973</v>
      </c>
      <c r="B99" s="1">
        <v>79.722499999999997</v>
      </c>
      <c r="C99" s="1">
        <f>'Historical Simulation'!D99</f>
        <v>234.91</v>
      </c>
      <c r="D99" s="22">
        <f t="shared" si="9"/>
        <v>581.07688994630848</v>
      </c>
      <c r="E99" s="23">
        <f t="shared" si="10"/>
        <v>10.234215634238694</v>
      </c>
      <c r="F99" s="23">
        <f t="shared" si="11"/>
        <v>-10.234215634238694</v>
      </c>
      <c r="H99" s="13">
        <v>93</v>
      </c>
      <c r="I99" s="14">
        <f t="shared" si="8"/>
        <v>7.6982294072363352E-4</v>
      </c>
      <c r="J99" s="13">
        <f t="shared" ref="J99:J139" si="12">COUNTIF($F:$F,"&gt;"&amp;H99)</f>
        <v>1</v>
      </c>
      <c r="K99">
        <f t="shared" ref="K99:K139" si="13">J99-J100</f>
        <v>0</v>
      </c>
      <c r="L99">
        <f t="shared" ref="L99:L139" si="14">K99/COUNT(F:F)</f>
        <v>0</v>
      </c>
      <c r="M99">
        <f t="shared" ref="M99:M139" si="15">L99*H99</f>
        <v>0</v>
      </c>
    </row>
    <row r="100" spans="1:13" x14ac:dyDescent="0.3">
      <c r="A100" s="2">
        <v>43972</v>
      </c>
      <c r="B100" s="1">
        <v>79.212500000000006</v>
      </c>
      <c r="C100" s="1">
        <f>'Historical Simulation'!D100</f>
        <v>231.39</v>
      </c>
      <c r="D100" s="22">
        <f t="shared" si="9"/>
        <v>570.84267431206979</v>
      </c>
      <c r="E100" s="23">
        <f t="shared" si="10"/>
        <v>5.9147323930200173</v>
      </c>
      <c r="F100" s="23">
        <f t="shared" si="11"/>
        <v>-5.9147323930200173</v>
      </c>
      <c r="H100" s="13">
        <v>94</v>
      </c>
      <c r="I100" s="14">
        <f t="shared" si="8"/>
        <v>7.6982294072363352E-4</v>
      </c>
      <c r="J100" s="13">
        <f t="shared" si="12"/>
        <v>1</v>
      </c>
      <c r="K100">
        <f t="shared" si="13"/>
        <v>0</v>
      </c>
      <c r="L100">
        <f t="shared" si="14"/>
        <v>0</v>
      </c>
      <c r="M100">
        <f t="shared" si="15"/>
        <v>0</v>
      </c>
    </row>
    <row r="101" spans="1:13" x14ac:dyDescent="0.3">
      <c r="A101" s="2">
        <v>43971</v>
      </c>
      <c r="B101" s="1">
        <v>79.807500000000005</v>
      </c>
      <c r="C101" s="1">
        <f>'Historical Simulation'!D101</f>
        <v>229.97</v>
      </c>
      <c r="D101" s="22">
        <f t="shared" si="9"/>
        <v>564.92794191904977</v>
      </c>
      <c r="E101" s="23">
        <f t="shared" si="10"/>
        <v>38.892886826928134</v>
      </c>
      <c r="F101" s="23">
        <f t="shared" si="11"/>
        <v>-38.892886826928134</v>
      </c>
      <c r="H101" s="13">
        <v>95</v>
      </c>
      <c r="I101" s="14">
        <f t="shared" si="8"/>
        <v>7.6982294072363352E-4</v>
      </c>
      <c r="J101" s="13">
        <f t="shared" si="12"/>
        <v>1</v>
      </c>
      <c r="K101">
        <f t="shared" si="13"/>
        <v>0</v>
      </c>
      <c r="L101">
        <f t="shared" si="14"/>
        <v>0</v>
      </c>
      <c r="M101">
        <f t="shared" si="15"/>
        <v>0</v>
      </c>
    </row>
    <row r="102" spans="1:13" x14ac:dyDescent="0.3">
      <c r="A102" s="2">
        <v>43970</v>
      </c>
      <c r="B102" s="1">
        <v>78.284999999999997</v>
      </c>
      <c r="C102" s="1">
        <f>'Historical Simulation'!D102</f>
        <v>216.88</v>
      </c>
      <c r="D102" s="22">
        <f t="shared" si="9"/>
        <v>526.03505509212164</v>
      </c>
      <c r="E102" s="23">
        <f t="shared" si="10"/>
        <v>12.935987974723844</v>
      </c>
      <c r="F102" s="23">
        <f t="shared" si="11"/>
        <v>-12.935987974723844</v>
      </c>
      <c r="H102" s="13">
        <v>96</v>
      </c>
      <c r="I102" s="14">
        <f t="shared" si="8"/>
        <v>7.6982294072363352E-4</v>
      </c>
      <c r="J102" s="13">
        <f t="shared" si="12"/>
        <v>1</v>
      </c>
      <c r="K102">
        <f t="shared" si="13"/>
        <v>0</v>
      </c>
      <c r="L102">
        <f t="shared" si="14"/>
        <v>0</v>
      </c>
      <c r="M102">
        <f t="shared" si="15"/>
        <v>0</v>
      </c>
    </row>
    <row r="103" spans="1:13" x14ac:dyDescent="0.3">
      <c r="A103" s="2">
        <v>43969</v>
      </c>
      <c r="B103" s="1">
        <v>78.739999999999995</v>
      </c>
      <c r="C103" s="1">
        <f>'Historical Simulation'!D103</f>
        <v>213.19</v>
      </c>
      <c r="D103" s="22">
        <f t="shared" si="9"/>
        <v>513.09906711739779</v>
      </c>
      <c r="E103" s="23">
        <f t="shared" si="10"/>
        <v>3.4197416206092157</v>
      </c>
      <c r="F103" s="23">
        <f t="shared" si="11"/>
        <v>-3.4197416206092157</v>
      </c>
      <c r="H103" s="13">
        <v>97</v>
      </c>
      <c r="I103" s="14">
        <f t="shared" si="8"/>
        <v>7.6982294072363352E-4</v>
      </c>
      <c r="J103" s="13">
        <f t="shared" si="12"/>
        <v>1</v>
      </c>
      <c r="K103">
        <f t="shared" si="13"/>
        <v>0</v>
      </c>
      <c r="L103">
        <f t="shared" si="14"/>
        <v>0</v>
      </c>
      <c r="M103">
        <f t="shared" si="15"/>
        <v>0</v>
      </c>
    </row>
    <row r="104" spans="1:13" x14ac:dyDescent="0.3">
      <c r="A104" s="2">
        <v>43966</v>
      </c>
      <c r="B104" s="1">
        <v>76.927499999999995</v>
      </c>
      <c r="C104" s="1">
        <f>'Historical Simulation'!D104</f>
        <v>210.88</v>
      </c>
      <c r="D104" s="22">
        <f t="shared" si="9"/>
        <v>509.67932549678858</v>
      </c>
      <c r="E104" s="23">
        <f t="shared" si="10"/>
        <v>14.169206406649437</v>
      </c>
      <c r="F104" s="23">
        <f t="shared" si="11"/>
        <v>-14.169206406649437</v>
      </c>
      <c r="H104" s="13">
        <v>98</v>
      </c>
      <c r="I104" s="14">
        <f t="shared" si="8"/>
        <v>7.6982294072363352E-4</v>
      </c>
      <c r="J104" s="13">
        <f t="shared" si="12"/>
        <v>1</v>
      </c>
      <c r="K104">
        <f t="shared" si="13"/>
        <v>0</v>
      </c>
      <c r="L104">
        <f t="shared" si="14"/>
        <v>0</v>
      </c>
      <c r="M104">
        <f t="shared" si="15"/>
        <v>0</v>
      </c>
    </row>
    <row r="105" spans="1:13" x14ac:dyDescent="0.3">
      <c r="A105" s="2">
        <v>43965</v>
      </c>
      <c r="B105" s="1">
        <v>77.385000000000005</v>
      </c>
      <c r="C105" s="1">
        <f>'Historical Simulation'!D105</f>
        <v>206.81</v>
      </c>
      <c r="D105" s="22">
        <f t="shared" si="9"/>
        <v>495.51011909013914</v>
      </c>
      <c r="E105" s="23">
        <f t="shared" si="10"/>
        <v>4.4704125738771268</v>
      </c>
      <c r="F105" s="23">
        <f t="shared" si="11"/>
        <v>-4.4704125738771268</v>
      </c>
      <c r="H105" s="13">
        <v>99</v>
      </c>
      <c r="I105" s="14">
        <f t="shared" si="8"/>
        <v>7.6982294072363352E-4</v>
      </c>
      <c r="J105" s="13">
        <f t="shared" si="12"/>
        <v>1</v>
      </c>
      <c r="K105">
        <f t="shared" si="13"/>
        <v>0</v>
      </c>
      <c r="L105">
        <f t="shared" si="14"/>
        <v>0</v>
      </c>
      <c r="M105">
        <f t="shared" si="15"/>
        <v>0</v>
      </c>
    </row>
    <row r="106" spans="1:13" x14ac:dyDescent="0.3">
      <c r="A106" s="2">
        <v>43964</v>
      </c>
      <c r="B106" s="1">
        <v>76.912499999999994</v>
      </c>
      <c r="C106" s="1">
        <f>'Historical Simulation'!D106</f>
        <v>205.1</v>
      </c>
      <c r="D106" s="22">
        <f t="shared" si="9"/>
        <v>491.03970651626202</v>
      </c>
      <c r="E106" s="23">
        <f t="shared" si="10"/>
        <v>-14.056383878740291</v>
      </c>
      <c r="F106" s="23">
        <f t="shared" si="11"/>
        <v>14.056383878740291</v>
      </c>
      <c r="H106" s="13">
        <v>100</v>
      </c>
      <c r="I106" s="14">
        <f t="shared" si="8"/>
        <v>7.6982294072363352E-4</v>
      </c>
      <c r="J106" s="13">
        <f t="shared" si="12"/>
        <v>1</v>
      </c>
      <c r="K106">
        <f t="shared" si="13"/>
        <v>0</v>
      </c>
      <c r="L106">
        <f t="shared" si="14"/>
        <v>0</v>
      </c>
      <c r="M106">
        <f t="shared" si="15"/>
        <v>0</v>
      </c>
    </row>
    <row r="107" spans="1:13" x14ac:dyDescent="0.3">
      <c r="A107" s="2">
        <v>43963</v>
      </c>
      <c r="B107" s="1">
        <v>77.852500000000006</v>
      </c>
      <c r="C107" s="1">
        <f>'Historical Simulation'!D107</f>
        <v>210.1</v>
      </c>
      <c r="D107" s="22">
        <f t="shared" si="9"/>
        <v>505.09609039500231</v>
      </c>
      <c r="E107" s="23">
        <f t="shared" si="10"/>
        <v>-7.9427874028705219</v>
      </c>
      <c r="F107" s="23">
        <f t="shared" si="11"/>
        <v>7.9427874028705219</v>
      </c>
      <c r="H107" s="13">
        <v>101</v>
      </c>
      <c r="I107" s="14">
        <f t="shared" si="8"/>
        <v>7.6982294072363352E-4</v>
      </c>
      <c r="J107" s="13">
        <f t="shared" si="12"/>
        <v>1</v>
      </c>
      <c r="K107">
        <f t="shared" si="13"/>
        <v>0</v>
      </c>
      <c r="L107">
        <f t="shared" si="14"/>
        <v>0</v>
      </c>
      <c r="M107">
        <f t="shared" si="15"/>
        <v>0</v>
      </c>
    </row>
    <row r="108" spans="1:13" x14ac:dyDescent="0.3">
      <c r="A108" s="2">
        <v>43962</v>
      </c>
      <c r="B108" s="1">
        <v>78.752499999999998</v>
      </c>
      <c r="C108" s="1">
        <f>'Historical Simulation'!D108</f>
        <v>213.18</v>
      </c>
      <c r="D108" s="22">
        <f t="shared" si="9"/>
        <v>513.03887779787283</v>
      </c>
      <c r="E108" s="23">
        <f t="shared" si="10"/>
        <v>-4.0171268742824395E-2</v>
      </c>
      <c r="F108" s="23">
        <f t="shared" si="11"/>
        <v>4.0171268742824395E-2</v>
      </c>
      <c r="H108" s="13">
        <v>102</v>
      </c>
      <c r="I108" s="14">
        <f t="shared" si="8"/>
        <v>7.6982294072363352E-4</v>
      </c>
      <c r="J108" s="13">
        <f t="shared" si="12"/>
        <v>1</v>
      </c>
      <c r="K108">
        <f t="shared" si="13"/>
        <v>0</v>
      </c>
      <c r="L108">
        <f t="shared" si="14"/>
        <v>0</v>
      </c>
      <c r="M108">
        <f t="shared" si="15"/>
        <v>0</v>
      </c>
    </row>
    <row r="109" spans="1:13" x14ac:dyDescent="0.3">
      <c r="A109" s="2">
        <v>43959</v>
      </c>
      <c r="B109" s="1">
        <v>77.532399999999996</v>
      </c>
      <c r="C109" s="1">
        <f>'Historical Simulation'!D109</f>
        <v>212.35</v>
      </c>
      <c r="D109" s="22">
        <f t="shared" si="9"/>
        <v>513.07904906661565</v>
      </c>
      <c r="E109" s="23">
        <f t="shared" si="10"/>
        <v>-4.1824921200259269E-2</v>
      </c>
      <c r="F109" s="23">
        <f t="shared" si="11"/>
        <v>4.1824921200259269E-2</v>
      </c>
      <c r="H109" s="13">
        <v>103</v>
      </c>
      <c r="I109" s="14">
        <f t="shared" si="8"/>
        <v>7.6982294072363352E-4</v>
      </c>
      <c r="J109" s="13">
        <f t="shared" si="12"/>
        <v>1</v>
      </c>
      <c r="K109">
        <f t="shared" si="13"/>
        <v>0</v>
      </c>
      <c r="L109">
        <f t="shared" si="14"/>
        <v>0</v>
      </c>
      <c r="M109">
        <f t="shared" si="15"/>
        <v>0</v>
      </c>
    </row>
    <row r="110" spans="1:13" x14ac:dyDescent="0.3">
      <c r="A110" s="2">
        <v>43958</v>
      </c>
      <c r="B110" s="1">
        <v>75.935000000000002</v>
      </c>
      <c r="C110" s="1">
        <f>'Historical Simulation'!D110</f>
        <v>211.26</v>
      </c>
      <c r="D110" s="22">
        <f t="shared" si="9"/>
        <v>513.12087398781591</v>
      </c>
      <c r="E110" s="23">
        <f t="shared" si="10"/>
        <v>7.2791558019617923</v>
      </c>
      <c r="F110" s="23">
        <f t="shared" si="11"/>
        <v>-7.2791558019617923</v>
      </c>
      <c r="H110" s="13">
        <v>104</v>
      </c>
      <c r="I110" s="14">
        <f t="shared" si="8"/>
        <v>7.6982294072363352E-4</v>
      </c>
      <c r="J110" s="13">
        <f t="shared" si="12"/>
        <v>1</v>
      </c>
      <c r="K110">
        <f t="shared" si="13"/>
        <v>0</v>
      </c>
      <c r="L110">
        <f t="shared" si="14"/>
        <v>0</v>
      </c>
      <c r="M110">
        <f t="shared" si="15"/>
        <v>0</v>
      </c>
    </row>
    <row r="111" spans="1:13" x14ac:dyDescent="0.3">
      <c r="A111" s="2">
        <v>43957</v>
      </c>
      <c r="B111" s="1">
        <v>75.157499999999999</v>
      </c>
      <c r="C111" s="1">
        <f>'Historical Simulation'!D111</f>
        <v>208.47</v>
      </c>
      <c r="D111" s="22">
        <f t="shared" si="9"/>
        <v>505.84171818585412</v>
      </c>
      <c r="E111" s="23">
        <f t="shared" si="10"/>
        <v>2.8108775377594384</v>
      </c>
      <c r="F111" s="23">
        <f t="shared" si="11"/>
        <v>-2.8108775377594384</v>
      </c>
      <c r="H111" s="13">
        <v>105</v>
      </c>
      <c r="I111" s="14">
        <f t="shared" si="8"/>
        <v>7.6982294072363352E-4</v>
      </c>
      <c r="J111" s="13">
        <f t="shared" si="12"/>
        <v>1</v>
      </c>
      <c r="K111">
        <f t="shared" si="13"/>
        <v>0</v>
      </c>
      <c r="L111">
        <f t="shared" si="14"/>
        <v>0</v>
      </c>
      <c r="M111">
        <f t="shared" si="15"/>
        <v>0</v>
      </c>
    </row>
    <row r="112" spans="1:13" x14ac:dyDescent="0.3">
      <c r="A112" s="2">
        <v>43956</v>
      </c>
      <c r="B112" s="1">
        <v>74.39</v>
      </c>
      <c r="C112" s="1">
        <f>'Historical Simulation'!D112</f>
        <v>207.07</v>
      </c>
      <c r="D112" s="22">
        <f t="shared" si="9"/>
        <v>503.03084064809468</v>
      </c>
      <c r="E112" s="23">
        <f t="shared" si="10"/>
        <v>3.3937518605678747</v>
      </c>
      <c r="F112" s="23">
        <f t="shared" si="11"/>
        <v>-3.3937518605678747</v>
      </c>
      <c r="H112" s="13">
        <v>106</v>
      </c>
      <c r="I112" s="14">
        <f t="shared" si="8"/>
        <v>7.6982294072363352E-4</v>
      </c>
      <c r="J112" s="13">
        <f t="shared" si="12"/>
        <v>1</v>
      </c>
      <c r="K112">
        <f t="shared" si="13"/>
        <v>0</v>
      </c>
      <c r="L112">
        <f t="shared" si="14"/>
        <v>0</v>
      </c>
      <c r="M112">
        <f t="shared" si="15"/>
        <v>0</v>
      </c>
    </row>
    <row r="113" spans="1:13" x14ac:dyDescent="0.3">
      <c r="A113" s="2">
        <v>43955</v>
      </c>
      <c r="B113" s="1">
        <v>73.290000000000006</v>
      </c>
      <c r="C113" s="1">
        <f>'Historical Simulation'!D113</f>
        <v>205.26</v>
      </c>
      <c r="D113" s="22">
        <f t="shared" si="9"/>
        <v>499.63708878752681</v>
      </c>
      <c r="E113" s="23">
        <f t="shared" si="10"/>
        <v>7.3787771629116037</v>
      </c>
      <c r="F113" s="23">
        <f t="shared" si="11"/>
        <v>-7.3787771629116037</v>
      </c>
      <c r="H113" s="13">
        <v>107</v>
      </c>
      <c r="I113" s="14">
        <f t="shared" si="8"/>
        <v>7.6982294072363352E-4</v>
      </c>
      <c r="J113" s="13">
        <f t="shared" si="12"/>
        <v>1</v>
      </c>
      <c r="K113">
        <f t="shared" si="13"/>
        <v>0</v>
      </c>
      <c r="L113">
        <f t="shared" si="14"/>
        <v>0</v>
      </c>
      <c r="M113">
        <f t="shared" si="15"/>
        <v>0</v>
      </c>
    </row>
    <row r="114" spans="1:13" x14ac:dyDescent="0.3">
      <c r="A114" s="2">
        <v>43952</v>
      </c>
      <c r="B114" s="1">
        <v>72.267499999999998</v>
      </c>
      <c r="C114" s="1">
        <f>'Historical Simulation'!D114</f>
        <v>202.27</v>
      </c>
      <c r="D114" s="22">
        <f t="shared" si="9"/>
        <v>492.2583116246152</v>
      </c>
      <c r="E114" s="23">
        <f t="shared" si="10"/>
        <v>-5.2450253023438336</v>
      </c>
      <c r="F114" s="23">
        <f t="shared" si="11"/>
        <v>5.2450253023438336</v>
      </c>
      <c r="H114" s="13">
        <v>108</v>
      </c>
      <c r="I114" s="14">
        <f t="shared" si="8"/>
        <v>7.6982294072363352E-4</v>
      </c>
      <c r="J114" s="13">
        <f t="shared" si="12"/>
        <v>1</v>
      </c>
      <c r="K114">
        <f t="shared" si="13"/>
        <v>0</v>
      </c>
      <c r="L114">
        <f t="shared" si="14"/>
        <v>0</v>
      </c>
      <c r="M114">
        <f t="shared" si="15"/>
        <v>0</v>
      </c>
    </row>
    <row r="115" spans="1:13" x14ac:dyDescent="0.3">
      <c r="A115" s="2">
        <v>43951</v>
      </c>
      <c r="B115" s="1">
        <v>73.45</v>
      </c>
      <c r="C115" s="1">
        <f>'Historical Simulation'!D115</f>
        <v>204.71</v>
      </c>
      <c r="D115" s="22">
        <f t="shared" si="9"/>
        <v>497.50333692695904</v>
      </c>
      <c r="E115" s="23">
        <f t="shared" si="10"/>
        <v>30.601304401073889</v>
      </c>
      <c r="F115" s="23">
        <f t="shared" si="11"/>
        <v>-30.601304401073889</v>
      </c>
      <c r="H115" s="13">
        <v>109</v>
      </c>
      <c r="I115" s="14">
        <f t="shared" si="8"/>
        <v>7.6982294072363352E-4</v>
      </c>
      <c r="J115" s="13">
        <f t="shared" si="12"/>
        <v>1</v>
      </c>
      <c r="K115">
        <f t="shared" si="13"/>
        <v>0</v>
      </c>
      <c r="L115">
        <f t="shared" si="14"/>
        <v>0</v>
      </c>
      <c r="M115">
        <f t="shared" si="15"/>
        <v>0</v>
      </c>
    </row>
    <row r="116" spans="1:13" x14ac:dyDescent="0.3">
      <c r="A116" s="2">
        <v>43950</v>
      </c>
      <c r="B116" s="1">
        <v>71.932500000000005</v>
      </c>
      <c r="C116" s="1">
        <f>'Historical Simulation'!D116</f>
        <v>194.19</v>
      </c>
      <c r="D116" s="22">
        <f t="shared" si="9"/>
        <v>466.90203252588515</v>
      </c>
      <c r="E116" s="23">
        <f t="shared" si="10"/>
        <v>31.338998036840451</v>
      </c>
      <c r="F116" s="23">
        <f t="shared" si="11"/>
        <v>-31.338998036840451</v>
      </c>
      <c r="H116" s="13">
        <v>110</v>
      </c>
      <c r="I116" s="14">
        <f t="shared" si="8"/>
        <v>7.6982294072363352E-4</v>
      </c>
      <c r="J116" s="13">
        <f t="shared" si="12"/>
        <v>1</v>
      </c>
      <c r="K116">
        <f t="shared" si="13"/>
        <v>0</v>
      </c>
      <c r="L116">
        <f t="shared" si="14"/>
        <v>0</v>
      </c>
      <c r="M116">
        <f t="shared" si="15"/>
        <v>0</v>
      </c>
    </row>
    <row r="117" spans="1:13" x14ac:dyDescent="0.3">
      <c r="A117" s="2">
        <v>43949</v>
      </c>
      <c r="B117" s="1">
        <v>69.644999999999996</v>
      </c>
      <c r="C117" s="1">
        <f>'Historical Simulation'!D117</f>
        <v>182.91</v>
      </c>
      <c r="D117" s="22">
        <f t="shared" si="9"/>
        <v>435.5630344890447</v>
      </c>
      <c r="E117" s="23">
        <f t="shared" si="10"/>
        <v>-12.268965887330921</v>
      </c>
      <c r="F117" s="23">
        <f t="shared" si="11"/>
        <v>12.268965887330921</v>
      </c>
      <c r="H117" s="13">
        <v>111</v>
      </c>
      <c r="I117" s="14">
        <f t="shared" ref="I117:I139" si="16">COUNTIF($F:$F,"&gt;"&amp;H117)/COUNT(F:F)</f>
        <v>7.6982294072363352E-4</v>
      </c>
      <c r="J117" s="13">
        <f t="shared" si="12"/>
        <v>1</v>
      </c>
      <c r="K117">
        <f t="shared" si="13"/>
        <v>0</v>
      </c>
      <c r="L117">
        <f t="shared" si="14"/>
        <v>0</v>
      </c>
      <c r="M117">
        <f t="shared" si="15"/>
        <v>0</v>
      </c>
    </row>
    <row r="118" spans="1:13" x14ac:dyDescent="0.3">
      <c r="A118" s="2">
        <v>43948</v>
      </c>
      <c r="B118" s="1">
        <v>70.792500000000004</v>
      </c>
      <c r="C118" s="1">
        <f>'Historical Simulation'!D118</f>
        <v>187.5</v>
      </c>
      <c r="D118" s="22">
        <f t="shared" si="9"/>
        <v>447.83200037637562</v>
      </c>
      <c r="E118" s="23">
        <f t="shared" si="10"/>
        <v>-8.4142674291377944</v>
      </c>
      <c r="F118" s="23">
        <f t="shared" si="11"/>
        <v>8.4142674291377944</v>
      </c>
      <c r="H118" s="13">
        <v>112</v>
      </c>
      <c r="I118" s="14">
        <f t="shared" si="16"/>
        <v>7.6982294072363352E-4</v>
      </c>
      <c r="J118" s="13">
        <f t="shared" si="12"/>
        <v>1</v>
      </c>
      <c r="K118">
        <f t="shared" si="13"/>
        <v>0</v>
      </c>
      <c r="L118">
        <f t="shared" si="14"/>
        <v>0</v>
      </c>
      <c r="M118">
        <f t="shared" si="15"/>
        <v>0</v>
      </c>
    </row>
    <row r="119" spans="1:13" x14ac:dyDescent="0.3">
      <c r="A119" s="2">
        <v>43945</v>
      </c>
      <c r="B119" s="1">
        <v>70.742500000000007</v>
      </c>
      <c r="C119" s="1">
        <f>'Historical Simulation'!D119</f>
        <v>190.07</v>
      </c>
      <c r="D119" s="22">
        <f t="shared" si="9"/>
        <v>456.24626780551341</v>
      </c>
      <c r="E119" s="23">
        <f t="shared" si="10"/>
        <v>11.531530630955103</v>
      </c>
      <c r="F119" s="23">
        <f t="shared" si="11"/>
        <v>-11.531530630955103</v>
      </c>
      <c r="H119" s="13">
        <v>113</v>
      </c>
      <c r="I119" s="14">
        <f t="shared" si="16"/>
        <v>7.6982294072363352E-4</v>
      </c>
      <c r="J119" s="13">
        <f t="shared" si="12"/>
        <v>1</v>
      </c>
      <c r="K119">
        <f t="shared" si="13"/>
        <v>0</v>
      </c>
      <c r="L119">
        <f t="shared" si="14"/>
        <v>0</v>
      </c>
      <c r="M119">
        <f t="shared" si="15"/>
        <v>0</v>
      </c>
    </row>
    <row r="120" spans="1:13" x14ac:dyDescent="0.3">
      <c r="A120" s="2">
        <v>43944</v>
      </c>
      <c r="B120" s="1">
        <v>68.757499999999993</v>
      </c>
      <c r="C120" s="1">
        <f>'Historical Simulation'!D120</f>
        <v>185.13</v>
      </c>
      <c r="D120" s="22">
        <f t="shared" si="9"/>
        <v>444.71473717455831</v>
      </c>
      <c r="E120" s="23">
        <f t="shared" si="10"/>
        <v>9.8040090497470374</v>
      </c>
      <c r="F120" s="23">
        <f t="shared" si="11"/>
        <v>-9.8040090497470374</v>
      </c>
      <c r="H120" s="13">
        <v>114</v>
      </c>
      <c r="I120" s="14">
        <f t="shared" si="16"/>
        <v>7.6982294072363352E-4</v>
      </c>
      <c r="J120" s="13">
        <f t="shared" si="12"/>
        <v>1</v>
      </c>
      <c r="K120">
        <f t="shared" si="13"/>
        <v>0</v>
      </c>
      <c r="L120">
        <f t="shared" si="14"/>
        <v>0</v>
      </c>
      <c r="M120">
        <f t="shared" si="15"/>
        <v>0</v>
      </c>
    </row>
    <row r="121" spans="1:13" x14ac:dyDescent="0.3">
      <c r="A121" s="2">
        <v>43943</v>
      </c>
      <c r="B121" s="1">
        <v>69.025000000000006</v>
      </c>
      <c r="C121" s="1">
        <f>'Historical Simulation'!D121</f>
        <v>182.28</v>
      </c>
      <c r="D121" s="22">
        <f t="shared" si="9"/>
        <v>434.91072812481127</v>
      </c>
      <c r="E121" s="23">
        <f t="shared" si="10"/>
        <v>32.777001251791262</v>
      </c>
      <c r="F121" s="23">
        <f t="shared" si="11"/>
        <v>-32.777001251791262</v>
      </c>
      <c r="H121" s="13">
        <v>115</v>
      </c>
      <c r="I121" s="14">
        <f t="shared" si="16"/>
        <v>7.6982294072363352E-4</v>
      </c>
      <c r="J121" s="13">
        <f t="shared" si="12"/>
        <v>1</v>
      </c>
      <c r="K121">
        <f t="shared" si="13"/>
        <v>0</v>
      </c>
      <c r="L121">
        <f t="shared" si="14"/>
        <v>0</v>
      </c>
      <c r="M121">
        <f t="shared" si="15"/>
        <v>0</v>
      </c>
    </row>
    <row r="122" spans="1:13" x14ac:dyDescent="0.3">
      <c r="A122" s="2">
        <v>43942</v>
      </c>
      <c r="B122" s="1">
        <v>67.092500000000001</v>
      </c>
      <c r="C122" s="1">
        <f>'Historical Simulation'!D122</f>
        <v>170.8</v>
      </c>
      <c r="D122" s="22">
        <f t="shared" si="9"/>
        <v>402.13372687302001</v>
      </c>
      <c r="E122" s="23">
        <f t="shared" si="10"/>
        <v>-19.262373043675723</v>
      </c>
      <c r="F122" s="23">
        <f t="shared" si="11"/>
        <v>19.262373043675723</v>
      </c>
      <c r="H122" s="13">
        <v>116</v>
      </c>
      <c r="I122" s="14">
        <f t="shared" si="16"/>
        <v>7.6982294072363352E-4</v>
      </c>
      <c r="J122" s="13">
        <f t="shared" si="12"/>
        <v>1</v>
      </c>
      <c r="K122">
        <f t="shared" si="13"/>
        <v>0</v>
      </c>
      <c r="L122">
        <f t="shared" si="14"/>
        <v>0</v>
      </c>
      <c r="M122">
        <f t="shared" si="15"/>
        <v>0</v>
      </c>
    </row>
    <row r="123" spans="1:13" x14ac:dyDescent="0.3">
      <c r="A123" s="2">
        <v>43941</v>
      </c>
      <c r="B123" s="1">
        <v>69.232500000000002</v>
      </c>
      <c r="C123" s="1">
        <f>'Historical Simulation'!D123</f>
        <v>178.24</v>
      </c>
      <c r="D123" s="22">
        <f t="shared" si="9"/>
        <v>421.39609991669573</v>
      </c>
      <c r="E123" s="23">
        <f t="shared" si="10"/>
        <v>4.2822527909095243E-2</v>
      </c>
      <c r="F123" s="23">
        <f t="shared" si="11"/>
        <v>-4.2822527909095243E-2</v>
      </c>
      <c r="H123" s="13">
        <v>117</v>
      </c>
      <c r="I123" s="14">
        <f t="shared" si="16"/>
        <v>7.6982294072363352E-4</v>
      </c>
      <c r="J123" s="13">
        <f t="shared" si="12"/>
        <v>1</v>
      </c>
      <c r="K123">
        <f t="shared" si="13"/>
        <v>0</v>
      </c>
      <c r="L123">
        <f t="shared" si="14"/>
        <v>0</v>
      </c>
      <c r="M123">
        <f t="shared" si="15"/>
        <v>0</v>
      </c>
    </row>
    <row r="124" spans="1:13" x14ac:dyDescent="0.3">
      <c r="A124" s="2">
        <v>43938</v>
      </c>
      <c r="B124" s="1">
        <v>70.7</v>
      </c>
      <c r="C124" s="1">
        <f>'Historical Simulation'!D124</f>
        <v>179.24</v>
      </c>
      <c r="D124" s="22">
        <f t="shared" si="9"/>
        <v>421.35327738878664</v>
      </c>
      <c r="E124" s="23">
        <f t="shared" si="10"/>
        <v>11.828896827465201</v>
      </c>
      <c r="F124" s="23">
        <f t="shared" si="11"/>
        <v>-11.828896827465201</v>
      </c>
      <c r="H124" s="13">
        <v>118</v>
      </c>
      <c r="I124" s="14">
        <f t="shared" si="16"/>
        <v>7.6982294072363352E-4</v>
      </c>
      <c r="J124" s="13">
        <f t="shared" si="12"/>
        <v>1</v>
      </c>
      <c r="K124">
        <f t="shared" si="13"/>
        <v>0</v>
      </c>
      <c r="L124">
        <f t="shared" si="14"/>
        <v>0</v>
      </c>
      <c r="M124">
        <f t="shared" si="15"/>
        <v>0</v>
      </c>
    </row>
    <row r="125" spans="1:13" x14ac:dyDescent="0.3">
      <c r="A125" s="2">
        <v>43937</v>
      </c>
      <c r="B125" s="1">
        <v>71.672499999999999</v>
      </c>
      <c r="C125" s="1">
        <f>'Historical Simulation'!D125</f>
        <v>176.25</v>
      </c>
      <c r="D125" s="22">
        <f t="shared" si="9"/>
        <v>409.52438056132144</v>
      </c>
      <c r="E125" s="23">
        <f t="shared" si="10"/>
        <v>-3.5863678039855813</v>
      </c>
      <c r="F125" s="23">
        <f t="shared" si="11"/>
        <v>3.5863678039855813</v>
      </c>
      <c r="H125" s="13">
        <v>119</v>
      </c>
      <c r="I125" s="14">
        <f t="shared" si="16"/>
        <v>7.6982294072363352E-4</v>
      </c>
      <c r="J125" s="13">
        <f t="shared" si="12"/>
        <v>1</v>
      </c>
      <c r="K125">
        <f t="shared" si="13"/>
        <v>0</v>
      </c>
      <c r="L125">
        <f t="shared" si="14"/>
        <v>0</v>
      </c>
      <c r="M125">
        <f t="shared" si="15"/>
        <v>0</v>
      </c>
    </row>
    <row r="126" spans="1:13" x14ac:dyDescent="0.3">
      <c r="A126" s="2">
        <v>43936</v>
      </c>
      <c r="B126" s="1">
        <v>71.107500000000002</v>
      </c>
      <c r="C126" s="1">
        <f>'Historical Simulation'!D126</f>
        <v>176.97</v>
      </c>
      <c r="D126" s="22">
        <f t="shared" si="9"/>
        <v>413.11074836530702</v>
      </c>
      <c r="E126" s="23">
        <f t="shared" si="10"/>
        <v>-2.4156968507174952</v>
      </c>
      <c r="F126" s="23">
        <f t="shared" si="11"/>
        <v>2.4156968507174952</v>
      </c>
      <c r="H126" s="13">
        <v>120</v>
      </c>
      <c r="I126" s="14">
        <f t="shared" si="16"/>
        <v>7.6982294072363352E-4</v>
      </c>
      <c r="J126" s="13">
        <f t="shared" si="12"/>
        <v>1</v>
      </c>
      <c r="K126">
        <f t="shared" si="13"/>
        <v>0</v>
      </c>
      <c r="L126">
        <f t="shared" si="14"/>
        <v>0</v>
      </c>
      <c r="M126">
        <f t="shared" si="15"/>
        <v>0</v>
      </c>
    </row>
    <row r="127" spans="1:13" x14ac:dyDescent="0.3">
      <c r="A127" s="2">
        <v>43935</v>
      </c>
      <c r="B127" s="1">
        <v>71.762500000000003</v>
      </c>
      <c r="C127" s="1">
        <f>'Historical Simulation'!D127</f>
        <v>178.17</v>
      </c>
      <c r="D127" s="22">
        <f t="shared" si="9"/>
        <v>415.52644521602451</v>
      </c>
      <c r="E127" s="23">
        <f t="shared" si="10"/>
        <v>3.2238554503664432</v>
      </c>
      <c r="F127" s="23">
        <f t="shared" si="11"/>
        <v>-3.2238554503664432</v>
      </c>
      <c r="H127" s="13">
        <v>121</v>
      </c>
      <c r="I127" s="14">
        <f t="shared" si="16"/>
        <v>7.6982294072363352E-4</v>
      </c>
      <c r="J127" s="13">
        <f t="shared" si="12"/>
        <v>1</v>
      </c>
      <c r="K127">
        <f t="shared" si="13"/>
        <v>0</v>
      </c>
      <c r="L127">
        <f t="shared" si="14"/>
        <v>0</v>
      </c>
      <c r="M127">
        <f t="shared" si="15"/>
        <v>0</v>
      </c>
    </row>
    <row r="128" spans="1:13" x14ac:dyDescent="0.3">
      <c r="A128" s="2">
        <v>43934</v>
      </c>
      <c r="B128" s="1">
        <v>68.3125</v>
      </c>
      <c r="C128" s="1">
        <f>'Historical Simulation'!D128</f>
        <v>174.79</v>
      </c>
      <c r="D128" s="22">
        <f t="shared" si="9"/>
        <v>412.30258976565807</v>
      </c>
      <c r="E128" s="23">
        <f t="shared" si="10"/>
        <v>-4.2255414660195925</v>
      </c>
      <c r="F128" s="23">
        <f t="shared" si="11"/>
        <v>4.2255414660195925</v>
      </c>
      <c r="H128" s="13">
        <v>122</v>
      </c>
      <c r="I128" s="14">
        <f t="shared" si="16"/>
        <v>7.6982294072363352E-4</v>
      </c>
      <c r="J128" s="13">
        <f t="shared" si="12"/>
        <v>1</v>
      </c>
      <c r="K128">
        <f t="shared" si="13"/>
        <v>0</v>
      </c>
      <c r="L128">
        <f t="shared" si="14"/>
        <v>0</v>
      </c>
      <c r="M128">
        <f t="shared" si="15"/>
        <v>0</v>
      </c>
    </row>
    <row r="129" spans="1:13" x14ac:dyDescent="0.3">
      <c r="A129" s="2">
        <v>43930</v>
      </c>
      <c r="B129" s="1">
        <v>66.997500000000002</v>
      </c>
      <c r="C129" s="1">
        <f>'Historical Simulation'!D129</f>
        <v>175.19</v>
      </c>
      <c r="D129" s="22">
        <f t="shared" si="9"/>
        <v>416.52813123167766</v>
      </c>
      <c r="E129" s="23">
        <f t="shared" si="10"/>
        <v>1.8691736620340293</v>
      </c>
      <c r="F129" s="23">
        <f t="shared" si="11"/>
        <v>-1.8691736620340293</v>
      </c>
      <c r="H129" s="13">
        <v>123</v>
      </c>
      <c r="I129" s="14">
        <f t="shared" si="16"/>
        <v>7.6982294072363352E-4</v>
      </c>
      <c r="J129" s="13">
        <f t="shared" si="12"/>
        <v>1</v>
      </c>
      <c r="K129">
        <f t="shared" si="13"/>
        <v>0</v>
      </c>
      <c r="L129">
        <f t="shared" si="14"/>
        <v>0</v>
      </c>
      <c r="M129">
        <f t="shared" si="15"/>
        <v>0</v>
      </c>
    </row>
    <row r="130" spans="1:13" x14ac:dyDescent="0.3">
      <c r="A130" s="2">
        <v>43929</v>
      </c>
      <c r="B130" s="1">
        <v>66.517499999999998</v>
      </c>
      <c r="C130" s="1">
        <f>'Historical Simulation'!D130</f>
        <v>174.28</v>
      </c>
      <c r="D130" s="22">
        <f t="shared" si="9"/>
        <v>414.65895756964363</v>
      </c>
      <c r="E130" s="23">
        <f t="shared" si="10"/>
        <v>13.904112044439842</v>
      </c>
      <c r="F130" s="23">
        <f t="shared" si="11"/>
        <v>-13.904112044439842</v>
      </c>
      <c r="H130" s="13">
        <v>124</v>
      </c>
      <c r="I130" s="14">
        <f t="shared" si="16"/>
        <v>7.6982294072363352E-4</v>
      </c>
      <c r="J130" s="13">
        <f t="shared" si="12"/>
        <v>1</v>
      </c>
      <c r="K130">
        <f t="shared" si="13"/>
        <v>0</v>
      </c>
      <c r="L130">
        <f t="shared" si="14"/>
        <v>0</v>
      </c>
      <c r="M130">
        <f t="shared" si="15"/>
        <v>0</v>
      </c>
    </row>
    <row r="131" spans="1:13" x14ac:dyDescent="0.3">
      <c r="A131" s="2">
        <v>43928</v>
      </c>
      <c r="B131" s="1">
        <v>64.857500000000002</v>
      </c>
      <c r="C131" s="1">
        <f>'Historical Simulation'!D131</f>
        <v>168.83</v>
      </c>
      <c r="D131" s="22">
        <f t="shared" si="9"/>
        <v>400.75484552520379</v>
      </c>
      <c r="E131" s="23">
        <f t="shared" si="10"/>
        <v>12.291771150273576</v>
      </c>
      <c r="F131" s="23">
        <f t="shared" si="11"/>
        <v>-12.291771150273576</v>
      </c>
      <c r="H131" s="13">
        <v>125</v>
      </c>
      <c r="I131" s="14">
        <f t="shared" si="16"/>
        <v>7.6982294072363352E-4</v>
      </c>
      <c r="J131" s="13">
        <f t="shared" si="12"/>
        <v>1</v>
      </c>
      <c r="K131">
        <f t="shared" si="13"/>
        <v>0</v>
      </c>
      <c r="L131">
        <f t="shared" si="14"/>
        <v>0</v>
      </c>
      <c r="M131">
        <f t="shared" si="15"/>
        <v>0</v>
      </c>
    </row>
    <row r="132" spans="1:13" x14ac:dyDescent="0.3">
      <c r="A132" s="2">
        <v>43927</v>
      </c>
      <c r="B132" s="1">
        <v>65.617500000000007</v>
      </c>
      <c r="C132" s="1">
        <f>'Historical Simulation'!D132</f>
        <v>165.55</v>
      </c>
      <c r="D132" s="22">
        <f t="shared" si="9"/>
        <v>388.46307437493022</v>
      </c>
      <c r="E132" s="23">
        <f t="shared" si="10"/>
        <v>24.988035364460586</v>
      </c>
      <c r="F132" s="23">
        <f t="shared" si="11"/>
        <v>-24.988035364460586</v>
      </c>
      <c r="H132" s="13">
        <v>126</v>
      </c>
      <c r="I132" s="14">
        <f t="shared" si="16"/>
        <v>7.6982294072363352E-4</v>
      </c>
      <c r="J132" s="13">
        <f t="shared" si="12"/>
        <v>1</v>
      </c>
      <c r="K132">
        <f t="shared" si="13"/>
        <v>0</v>
      </c>
      <c r="L132">
        <f t="shared" si="14"/>
        <v>0</v>
      </c>
      <c r="M132">
        <f t="shared" si="15"/>
        <v>0</v>
      </c>
    </row>
    <row r="133" spans="1:13" x14ac:dyDescent="0.3">
      <c r="A133" s="2">
        <v>43924</v>
      </c>
      <c r="B133" s="1">
        <v>60.352499999999999</v>
      </c>
      <c r="C133" s="1">
        <f>'Historical Simulation'!D133</f>
        <v>154.18</v>
      </c>
      <c r="D133" s="22">
        <f t="shared" si="9"/>
        <v>363.47503901046963</v>
      </c>
      <c r="E133" s="23">
        <f t="shared" si="10"/>
        <v>-10.991892005038665</v>
      </c>
      <c r="F133" s="23">
        <f t="shared" si="11"/>
        <v>10.991892005038665</v>
      </c>
      <c r="H133" s="13">
        <v>127</v>
      </c>
      <c r="I133" s="14">
        <f t="shared" si="16"/>
        <v>7.6982294072363352E-4</v>
      </c>
      <c r="J133" s="13">
        <f t="shared" si="12"/>
        <v>1</v>
      </c>
      <c r="K133">
        <f t="shared" si="13"/>
        <v>0</v>
      </c>
      <c r="L133">
        <f t="shared" si="14"/>
        <v>0</v>
      </c>
      <c r="M133">
        <f t="shared" si="15"/>
        <v>0</v>
      </c>
    </row>
    <row r="134" spans="1:13" x14ac:dyDescent="0.3">
      <c r="A134" s="2">
        <v>43923</v>
      </c>
      <c r="B134" s="1">
        <v>61.232500000000002</v>
      </c>
      <c r="C134" s="1">
        <f>'Historical Simulation'!D134</f>
        <v>158.19</v>
      </c>
      <c r="D134" s="22">
        <f t="shared" ref="D134:D197" si="17">$M$16*B134+(1-$M$16)*C134</f>
        <v>374.46693101550829</v>
      </c>
      <c r="E134" s="23">
        <f t="shared" ref="E134:E197" si="18">D134-D135</f>
        <v>-6.7969869623541967</v>
      </c>
      <c r="F134" s="23">
        <f t="shared" ref="F134:F197" si="19">-E134</f>
        <v>6.7969869623541967</v>
      </c>
      <c r="H134" s="13">
        <v>128</v>
      </c>
      <c r="I134" s="14">
        <f t="shared" si="16"/>
        <v>7.6982294072363352E-4</v>
      </c>
      <c r="J134" s="13">
        <f t="shared" si="12"/>
        <v>1</v>
      </c>
      <c r="K134">
        <f t="shared" si="13"/>
        <v>0</v>
      </c>
      <c r="L134">
        <f t="shared" si="14"/>
        <v>0</v>
      </c>
      <c r="M134">
        <f t="shared" si="15"/>
        <v>0</v>
      </c>
    </row>
    <row r="135" spans="1:13" x14ac:dyDescent="0.3">
      <c r="A135" s="2">
        <v>43922</v>
      </c>
      <c r="B135" s="1">
        <v>60.227499999999999</v>
      </c>
      <c r="C135" s="1">
        <f>'Historical Simulation'!D135</f>
        <v>159.6</v>
      </c>
      <c r="D135" s="22">
        <f t="shared" si="17"/>
        <v>381.26391797786249</v>
      </c>
      <c r="E135" s="23">
        <f t="shared" si="18"/>
        <v>-15.799103411956651</v>
      </c>
      <c r="F135" s="23">
        <f t="shared" si="19"/>
        <v>15.799103411956651</v>
      </c>
      <c r="H135" s="13">
        <v>129</v>
      </c>
      <c r="I135" s="14">
        <f t="shared" si="16"/>
        <v>7.6982294072363352E-4</v>
      </c>
      <c r="J135" s="13">
        <f t="shared" si="12"/>
        <v>1</v>
      </c>
      <c r="K135">
        <f t="shared" si="13"/>
        <v>0</v>
      </c>
      <c r="L135">
        <f t="shared" si="14"/>
        <v>0</v>
      </c>
      <c r="M135">
        <f t="shared" si="15"/>
        <v>0</v>
      </c>
    </row>
    <row r="136" spans="1:13" x14ac:dyDescent="0.3">
      <c r="A136" s="2">
        <v>43921</v>
      </c>
      <c r="B136" s="1">
        <v>63.572499999999998</v>
      </c>
      <c r="C136" s="1">
        <f>'Historical Simulation'!D136</f>
        <v>166.8</v>
      </c>
      <c r="D136" s="22">
        <f t="shared" si="17"/>
        <v>397.06302138981914</v>
      </c>
      <c r="E136" s="23">
        <f t="shared" si="18"/>
        <v>3.0360236948684474</v>
      </c>
      <c r="F136" s="23">
        <f t="shared" si="19"/>
        <v>-3.0360236948684474</v>
      </c>
      <c r="H136" s="13">
        <v>130</v>
      </c>
      <c r="I136" s="14">
        <f t="shared" si="16"/>
        <v>7.6982294072363352E-4</v>
      </c>
      <c r="J136" s="13">
        <f t="shared" si="12"/>
        <v>1</v>
      </c>
      <c r="K136">
        <f t="shared" si="13"/>
        <v>0</v>
      </c>
      <c r="L136">
        <f t="shared" si="14"/>
        <v>0</v>
      </c>
      <c r="M136">
        <f t="shared" si="15"/>
        <v>0</v>
      </c>
    </row>
    <row r="137" spans="1:13" x14ac:dyDescent="0.3">
      <c r="A137" s="2">
        <v>43920</v>
      </c>
      <c r="B137" s="1">
        <v>63.702500000000001</v>
      </c>
      <c r="C137" s="1">
        <f>'Historical Simulation'!D137</f>
        <v>165.95</v>
      </c>
      <c r="D137" s="22">
        <f t="shared" si="17"/>
        <v>394.02699769495069</v>
      </c>
      <c r="E137" s="23">
        <f t="shared" si="18"/>
        <v>25.649979759504333</v>
      </c>
      <c r="F137" s="23">
        <f t="shared" si="19"/>
        <v>-25.649979759504333</v>
      </c>
      <c r="H137" s="13">
        <v>131</v>
      </c>
      <c r="I137" s="14">
        <f t="shared" si="16"/>
        <v>7.6982294072363352E-4</v>
      </c>
      <c r="J137" s="13">
        <f t="shared" si="12"/>
        <v>1</v>
      </c>
      <c r="K137">
        <f t="shared" si="13"/>
        <v>0</v>
      </c>
      <c r="L137">
        <f t="shared" si="14"/>
        <v>0</v>
      </c>
      <c r="M137">
        <f t="shared" si="15"/>
        <v>0</v>
      </c>
    </row>
    <row r="138" spans="1:13" x14ac:dyDescent="0.3">
      <c r="A138" s="2">
        <v>43917</v>
      </c>
      <c r="B138" s="1">
        <v>61.935000000000002</v>
      </c>
      <c r="C138" s="1">
        <f>'Historical Simulation'!D138</f>
        <v>156.79</v>
      </c>
      <c r="D138" s="22">
        <f t="shared" si="17"/>
        <v>368.37701793544636</v>
      </c>
      <c r="E138" s="23">
        <f t="shared" si="18"/>
        <v>-15.193716140423362</v>
      </c>
      <c r="F138" s="23">
        <f t="shared" si="19"/>
        <v>15.193716140423362</v>
      </c>
      <c r="H138" s="13">
        <v>132</v>
      </c>
      <c r="I138" s="14">
        <f t="shared" si="16"/>
        <v>7.6982294072363352E-4</v>
      </c>
      <c r="J138" s="13">
        <f t="shared" si="12"/>
        <v>1</v>
      </c>
      <c r="K138">
        <f t="shared" si="13"/>
        <v>1</v>
      </c>
      <c r="L138">
        <f t="shared" si="14"/>
        <v>7.6982294072363352E-4</v>
      </c>
      <c r="M138">
        <f t="shared" si="15"/>
        <v>0.10161662817551963</v>
      </c>
    </row>
    <row r="139" spans="1:13" x14ac:dyDescent="0.3">
      <c r="A139" s="2">
        <v>43916</v>
      </c>
      <c r="B139" s="1">
        <v>64.61</v>
      </c>
      <c r="C139" s="1">
        <f>'Historical Simulation'!D139</f>
        <v>163.34</v>
      </c>
      <c r="D139" s="22">
        <f t="shared" si="17"/>
        <v>383.57073407586972</v>
      </c>
      <c r="E139" s="23">
        <f t="shared" si="18"/>
        <v>15.829482051006664</v>
      </c>
      <c r="F139" s="23">
        <f t="shared" si="19"/>
        <v>-15.829482051006664</v>
      </c>
      <c r="H139" s="13">
        <v>133</v>
      </c>
      <c r="I139" s="42">
        <f t="shared" si="16"/>
        <v>0</v>
      </c>
      <c r="J139" s="13">
        <f t="shared" si="12"/>
        <v>0</v>
      </c>
      <c r="K139">
        <f t="shared" si="13"/>
        <v>0</v>
      </c>
      <c r="L139">
        <f t="shared" si="14"/>
        <v>0</v>
      </c>
      <c r="M139">
        <f t="shared" si="15"/>
        <v>0</v>
      </c>
    </row>
    <row r="140" spans="1:13" x14ac:dyDescent="0.3">
      <c r="A140" s="2">
        <v>43915</v>
      </c>
      <c r="B140" s="1">
        <v>61.38</v>
      </c>
      <c r="C140" s="1">
        <f>'Historical Simulation'!D140</f>
        <v>156.21</v>
      </c>
      <c r="D140" s="22">
        <f t="shared" si="17"/>
        <v>367.74125202486306</v>
      </c>
      <c r="E140" s="23">
        <f t="shared" si="18"/>
        <v>-14.651719355374269</v>
      </c>
      <c r="F140" s="23">
        <f t="shared" si="19"/>
        <v>14.651719355374269</v>
      </c>
      <c r="H140" s="13"/>
      <c r="I140" s="14"/>
    </row>
    <row r="141" spans="1:13" x14ac:dyDescent="0.3">
      <c r="A141" s="2">
        <v>43914</v>
      </c>
      <c r="B141" s="1">
        <v>61.72</v>
      </c>
      <c r="C141" s="1">
        <f>'Historical Simulation'!D141</f>
        <v>160.97999999999999</v>
      </c>
      <c r="D141" s="22">
        <f t="shared" si="17"/>
        <v>382.39297138023733</v>
      </c>
      <c r="E141" s="23">
        <f t="shared" si="18"/>
        <v>29.05769066023754</v>
      </c>
      <c r="F141" s="23">
        <f t="shared" si="19"/>
        <v>-29.05769066023754</v>
      </c>
      <c r="H141" s="13"/>
      <c r="I141" s="14"/>
    </row>
    <row r="142" spans="1:13" x14ac:dyDescent="0.3">
      <c r="A142" s="2">
        <v>43913</v>
      </c>
      <c r="B142" s="1">
        <v>56.092500000000001</v>
      </c>
      <c r="C142" s="1">
        <f>'Historical Simulation'!D142</f>
        <v>148.1</v>
      </c>
      <c r="D142" s="22">
        <f t="shared" si="17"/>
        <v>353.33528071999979</v>
      </c>
      <c r="E142" s="23">
        <f t="shared" si="18"/>
        <v>-2.5501375246257112</v>
      </c>
      <c r="F142" s="23">
        <f t="shared" si="19"/>
        <v>2.5501375246257112</v>
      </c>
      <c r="H142" s="13"/>
      <c r="I142" s="14"/>
    </row>
    <row r="143" spans="1:13" x14ac:dyDescent="0.3">
      <c r="A143" s="2">
        <v>43910</v>
      </c>
      <c r="B143" s="1">
        <v>57.31</v>
      </c>
      <c r="C143" s="1">
        <f>'Historical Simulation'!D143</f>
        <v>149.72999999999999</v>
      </c>
      <c r="D143" s="22">
        <f t="shared" si="17"/>
        <v>355.8854182446255</v>
      </c>
      <c r="E143" s="23">
        <f t="shared" si="18"/>
        <v>-2.3181413346825366</v>
      </c>
      <c r="F143" s="23">
        <f t="shared" si="19"/>
        <v>2.3181413346825366</v>
      </c>
      <c r="H143" s="13"/>
      <c r="I143" s="14"/>
    </row>
    <row r="144" spans="1:13" x14ac:dyDescent="0.3">
      <c r="A144" s="2">
        <v>43909</v>
      </c>
      <c r="B144" s="1">
        <v>61.195</v>
      </c>
      <c r="C144" s="1">
        <f>'Historical Simulation'!D144</f>
        <v>153.13</v>
      </c>
      <c r="D144" s="22">
        <f t="shared" si="17"/>
        <v>358.20355957930803</v>
      </c>
      <c r="E144" s="23">
        <f t="shared" si="18"/>
        <v>20.987002442003018</v>
      </c>
      <c r="F144" s="23">
        <f t="shared" si="19"/>
        <v>-20.987002442003018</v>
      </c>
      <c r="H144" s="13"/>
      <c r="I144" s="14"/>
    </row>
    <row r="145" spans="1:9" x14ac:dyDescent="0.3">
      <c r="A145" s="2">
        <v>43908</v>
      </c>
      <c r="B145" s="1">
        <v>61.667499999999997</v>
      </c>
      <c r="C145" s="1">
        <f>'Historical Simulation'!D145</f>
        <v>146.96</v>
      </c>
      <c r="D145" s="22">
        <f t="shared" si="17"/>
        <v>337.21655713730502</v>
      </c>
      <c r="E145" s="23">
        <f t="shared" si="18"/>
        <v>-4.4954557362931382</v>
      </c>
      <c r="F145" s="23">
        <f t="shared" si="19"/>
        <v>4.4954557362931382</v>
      </c>
      <c r="H145" s="13"/>
      <c r="I145" s="14"/>
    </row>
    <row r="146" spans="1:9" x14ac:dyDescent="0.3">
      <c r="A146" s="2">
        <v>43907</v>
      </c>
      <c r="B146" s="1">
        <v>63.215000000000003</v>
      </c>
      <c r="C146" s="1">
        <f>'Historical Simulation'!D146</f>
        <v>149.41999999999999</v>
      </c>
      <c r="D146" s="22">
        <f t="shared" si="17"/>
        <v>341.71201287359816</v>
      </c>
      <c r="E146" s="23">
        <f t="shared" si="18"/>
        <v>5.0774007264429883</v>
      </c>
      <c r="F146" s="23">
        <f t="shared" si="19"/>
        <v>-5.0774007264429883</v>
      </c>
      <c r="H146" s="13"/>
      <c r="I146" s="14"/>
    </row>
    <row r="147" spans="1:9" x14ac:dyDescent="0.3">
      <c r="A147" s="2">
        <v>43906</v>
      </c>
      <c r="B147" s="1">
        <v>60.552500000000002</v>
      </c>
      <c r="C147" s="1">
        <f>'Historical Simulation'!D147</f>
        <v>146.01</v>
      </c>
      <c r="D147" s="22">
        <f t="shared" si="17"/>
        <v>336.63461214715517</v>
      </c>
      <c r="E147" s="23">
        <f t="shared" si="18"/>
        <v>-58.465656369726446</v>
      </c>
      <c r="F147" s="23">
        <f t="shared" si="19"/>
        <v>58.465656369726446</v>
      </c>
      <c r="H147" s="13"/>
      <c r="I147" s="14"/>
    </row>
    <row r="148" spans="1:9" x14ac:dyDescent="0.3">
      <c r="A148" s="2">
        <v>43903</v>
      </c>
      <c r="B148" s="1">
        <v>69.492500000000007</v>
      </c>
      <c r="C148" s="1">
        <f>'Historical Simulation'!D148</f>
        <v>170.28</v>
      </c>
      <c r="D148" s="22">
        <f t="shared" si="17"/>
        <v>395.10026851688161</v>
      </c>
      <c r="E148" s="23">
        <f t="shared" si="18"/>
        <v>34.491580045431135</v>
      </c>
      <c r="F148" s="23">
        <f t="shared" si="19"/>
        <v>-34.491580045431135</v>
      </c>
      <c r="H148" s="13"/>
      <c r="I148" s="14"/>
    </row>
    <row r="149" spans="1:9" x14ac:dyDescent="0.3">
      <c r="A149" s="2">
        <v>43902</v>
      </c>
      <c r="B149" s="1">
        <v>62.057499999999997</v>
      </c>
      <c r="C149" s="1">
        <f>'Historical Simulation'!D149</f>
        <v>154.47</v>
      </c>
      <c r="D149" s="22">
        <f t="shared" si="17"/>
        <v>360.60868847145048</v>
      </c>
      <c r="E149" s="23">
        <f t="shared" si="18"/>
        <v>-35.778808717315542</v>
      </c>
      <c r="F149" s="23">
        <f t="shared" si="19"/>
        <v>35.778808717315542</v>
      </c>
      <c r="H149" s="13"/>
      <c r="I149" s="14"/>
    </row>
    <row r="150" spans="1:9" x14ac:dyDescent="0.3">
      <c r="A150" s="2">
        <v>43901</v>
      </c>
      <c r="B150" s="1">
        <v>68.857500000000002</v>
      </c>
      <c r="C150" s="1">
        <f>'Historical Simulation'!D150</f>
        <v>170.24</v>
      </c>
      <c r="D150" s="22">
        <f t="shared" si="17"/>
        <v>396.38749718876602</v>
      </c>
      <c r="E150" s="23">
        <f t="shared" si="18"/>
        <v>-20.157157826700995</v>
      </c>
      <c r="F150" s="23">
        <f t="shared" si="19"/>
        <v>20.157157826700995</v>
      </c>
      <c r="H150" s="13"/>
      <c r="I150" s="14"/>
    </row>
    <row r="151" spans="1:9" x14ac:dyDescent="0.3">
      <c r="A151" s="2">
        <v>43900</v>
      </c>
      <c r="B151" s="1">
        <v>71.334999999999994</v>
      </c>
      <c r="C151" s="1">
        <f>'Historical Simulation'!D151</f>
        <v>178.19</v>
      </c>
      <c r="D151" s="22">
        <f t="shared" si="17"/>
        <v>416.54465501546701</v>
      </c>
      <c r="E151" s="23">
        <f t="shared" si="18"/>
        <v>17.383682396305971</v>
      </c>
      <c r="F151" s="23">
        <f t="shared" si="19"/>
        <v>-17.383682396305971</v>
      </c>
      <c r="H151" s="13"/>
      <c r="I151" s="14"/>
    </row>
    <row r="152" spans="1:9" x14ac:dyDescent="0.3">
      <c r="A152" s="2">
        <v>43899</v>
      </c>
      <c r="B152" s="1">
        <v>66.542400000000001</v>
      </c>
      <c r="C152" s="1">
        <f>'Historical Simulation'!D152</f>
        <v>169.5</v>
      </c>
      <c r="D152" s="22">
        <f t="shared" si="17"/>
        <v>399.16097261916104</v>
      </c>
      <c r="E152" s="23">
        <f t="shared" si="18"/>
        <v>-24.694765923451087</v>
      </c>
      <c r="F152" s="23">
        <f t="shared" si="19"/>
        <v>24.694765923451087</v>
      </c>
      <c r="H152" s="13"/>
      <c r="I152" s="14"/>
    </row>
    <row r="153" spans="1:9" x14ac:dyDescent="0.3">
      <c r="A153" s="2">
        <v>43896</v>
      </c>
      <c r="B153" s="1">
        <v>72.257499999999993</v>
      </c>
      <c r="C153" s="1">
        <f>'Historical Simulation'!D153</f>
        <v>181.09</v>
      </c>
      <c r="D153" s="22">
        <f t="shared" si="17"/>
        <v>423.85573854261213</v>
      </c>
      <c r="E153" s="23">
        <f t="shared" si="18"/>
        <v>-11.011702685513626</v>
      </c>
      <c r="F153" s="23">
        <f t="shared" si="19"/>
        <v>11.011702685513626</v>
      </c>
      <c r="H153" s="13"/>
      <c r="I153" s="14"/>
    </row>
    <row r="154" spans="1:9" x14ac:dyDescent="0.3">
      <c r="A154" s="2">
        <v>43895</v>
      </c>
      <c r="B154" s="1">
        <v>73.23</v>
      </c>
      <c r="C154" s="1">
        <f>'Historical Simulation'!D154</f>
        <v>185.17</v>
      </c>
      <c r="D154" s="22">
        <f t="shared" si="17"/>
        <v>434.86744122812576</v>
      </c>
      <c r="E154" s="23">
        <f t="shared" si="18"/>
        <v>-15.813681610490448</v>
      </c>
      <c r="F154" s="23">
        <f t="shared" si="19"/>
        <v>15.813681610490448</v>
      </c>
      <c r="H154" s="13"/>
      <c r="I154" s="14"/>
    </row>
    <row r="155" spans="1:9" x14ac:dyDescent="0.3">
      <c r="A155" s="2">
        <v>43894</v>
      </c>
      <c r="B155" s="1">
        <v>75.685000000000002</v>
      </c>
      <c r="C155" s="1">
        <f>'Historical Simulation'!D155</f>
        <v>191.76</v>
      </c>
      <c r="D155" s="22">
        <f t="shared" si="17"/>
        <v>450.6811228386162</v>
      </c>
      <c r="E155" s="23">
        <f t="shared" si="18"/>
        <v>11.480050604687733</v>
      </c>
      <c r="F155" s="23">
        <f t="shared" si="19"/>
        <v>-11.480050604687733</v>
      </c>
      <c r="H155" s="13"/>
      <c r="I155" s="14"/>
    </row>
    <row r="156" spans="1:9" x14ac:dyDescent="0.3">
      <c r="A156" s="2">
        <v>43893</v>
      </c>
      <c r="B156" s="1">
        <v>72.33</v>
      </c>
      <c r="C156" s="1">
        <f>'Historical Simulation'!D156</f>
        <v>185.89</v>
      </c>
      <c r="D156" s="22">
        <f t="shared" si="17"/>
        <v>439.20107223392847</v>
      </c>
      <c r="E156" s="23">
        <f t="shared" si="18"/>
        <v>-28.791029351822431</v>
      </c>
      <c r="F156" s="23">
        <f t="shared" si="19"/>
        <v>28.791029351822431</v>
      </c>
      <c r="H156" s="13"/>
      <c r="I156" s="14"/>
    </row>
    <row r="157" spans="1:9" x14ac:dyDescent="0.3">
      <c r="A157" s="2">
        <v>43892</v>
      </c>
      <c r="B157" s="1">
        <v>74.702500000000001</v>
      </c>
      <c r="C157" s="1">
        <f>'Historical Simulation'!D157</f>
        <v>196.44</v>
      </c>
      <c r="D157" s="22">
        <f t="shared" si="17"/>
        <v>467.9921015857509</v>
      </c>
      <c r="E157" s="23">
        <f t="shared" si="18"/>
        <v>-1.3667976428291695</v>
      </c>
      <c r="F157" s="23">
        <f t="shared" si="19"/>
        <v>1.3667976428291695</v>
      </c>
      <c r="H157" s="13"/>
      <c r="I157" s="14"/>
    </row>
    <row r="158" spans="1:9" x14ac:dyDescent="0.3">
      <c r="A158" s="2">
        <v>43889</v>
      </c>
      <c r="B158" s="1">
        <v>68.34</v>
      </c>
      <c r="C158" s="1">
        <f>'Historical Simulation'!D158</f>
        <v>192.47</v>
      </c>
      <c r="D158" s="22">
        <f t="shared" si="17"/>
        <v>469.35889922858007</v>
      </c>
      <c r="E158" s="23">
        <f t="shared" si="18"/>
        <v>8.8765565284047625</v>
      </c>
      <c r="F158" s="23">
        <f t="shared" si="19"/>
        <v>-8.8765565284047625</v>
      </c>
      <c r="H158" s="13"/>
      <c r="I158" s="14"/>
    </row>
    <row r="159" spans="1:9" x14ac:dyDescent="0.3">
      <c r="A159" s="2">
        <v>43888</v>
      </c>
      <c r="B159" s="1">
        <v>68.38</v>
      </c>
      <c r="C159" s="1">
        <f>'Historical Simulation'!D159</f>
        <v>189.75</v>
      </c>
      <c r="D159" s="22">
        <f t="shared" si="17"/>
        <v>460.48234270017531</v>
      </c>
      <c r="E159" s="23">
        <f t="shared" si="18"/>
        <v>-13.400445722888549</v>
      </c>
      <c r="F159" s="23">
        <f t="shared" si="19"/>
        <v>13.400445722888549</v>
      </c>
      <c r="H159" s="13"/>
      <c r="I159" s="14"/>
    </row>
    <row r="160" spans="1:9" x14ac:dyDescent="0.3">
      <c r="A160" s="2">
        <v>43887</v>
      </c>
      <c r="B160" s="1">
        <v>73.162400000000005</v>
      </c>
      <c r="C160" s="1">
        <f>'Historical Simulation'!D160</f>
        <v>197.2</v>
      </c>
      <c r="D160" s="22">
        <f t="shared" si="17"/>
        <v>473.88278842306386</v>
      </c>
      <c r="E160" s="23">
        <f t="shared" si="18"/>
        <v>-1.1591053879840274</v>
      </c>
      <c r="F160" s="23">
        <f t="shared" si="19"/>
        <v>1.1591053879840274</v>
      </c>
      <c r="H160" s="13"/>
      <c r="I160" s="14"/>
    </row>
    <row r="161" spans="1:9" x14ac:dyDescent="0.3">
      <c r="A161" s="2">
        <v>43886</v>
      </c>
      <c r="B161" s="1">
        <v>72.02</v>
      </c>
      <c r="C161" s="1">
        <f>'Historical Simulation'!D161</f>
        <v>196.77</v>
      </c>
      <c r="D161" s="22">
        <f t="shared" si="17"/>
        <v>475.04189381104788</v>
      </c>
      <c r="E161" s="23">
        <f t="shared" si="18"/>
        <v>-7.128656903252363</v>
      </c>
      <c r="F161" s="23">
        <f t="shared" si="19"/>
        <v>7.128656903252363</v>
      </c>
      <c r="H161" s="13"/>
      <c r="I161" s="14"/>
    </row>
    <row r="162" spans="1:9" x14ac:dyDescent="0.3">
      <c r="A162" s="2">
        <v>43885</v>
      </c>
      <c r="B162" s="1">
        <v>74.545000000000002</v>
      </c>
      <c r="C162" s="1">
        <f>'Historical Simulation'!D162</f>
        <v>200.72</v>
      </c>
      <c r="D162" s="22">
        <f t="shared" si="17"/>
        <v>482.17055071430025</v>
      </c>
      <c r="E162" s="23">
        <f t="shared" si="18"/>
        <v>-22.269429661001595</v>
      </c>
      <c r="F162" s="23">
        <f t="shared" si="19"/>
        <v>22.269429661001595</v>
      </c>
      <c r="H162" s="13"/>
      <c r="I162" s="14"/>
    </row>
    <row r="163" spans="1:9" x14ac:dyDescent="0.3">
      <c r="A163" s="2">
        <v>43882</v>
      </c>
      <c r="B163" s="1">
        <v>78.262500000000003</v>
      </c>
      <c r="C163" s="1">
        <f>'Historical Simulation'!D163</f>
        <v>210.18</v>
      </c>
      <c r="D163" s="22">
        <f t="shared" si="17"/>
        <v>504.43998037530184</v>
      </c>
      <c r="E163" s="23">
        <f t="shared" si="18"/>
        <v>-10.171771745379374</v>
      </c>
      <c r="F163" s="23">
        <f t="shared" si="19"/>
        <v>10.171771745379374</v>
      </c>
      <c r="H163" s="13"/>
      <c r="I163" s="14"/>
    </row>
    <row r="164" spans="1:9" x14ac:dyDescent="0.3">
      <c r="A164" s="2">
        <v>43881</v>
      </c>
      <c r="B164" s="1">
        <v>80.075000000000003</v>
      </c>
      <c r="C164" s="1">
        <f>'Historical Simulation'!D164</f>
        <v>214.58</v>
      </c>
      <c r="D164" s="22">
        <f t="shared" si="17"/>
        <v>514.61175212068122</v>
      </c>
      <c r="E164" s="23">
        <f t="shared" si="18"/>
        <v>-7.5497237605369492</v>
      </c>
      <c r="F164" s="23">
        <f t="shared" si="19"/>
        <v>7.5497237605369492</v>
      </c>
      <c r="H164" s="13"/>
      <c r="I164" s="14"/>
    </row>
    <row r="165" spans="1:9" x14ac:dyDescent="0.3">
      <c r="A165" s="2">
        <v>43880</v>
      </c>
      <c r="B165" s="1">
        <v>80.905000000000001</v>
      </c>
      <c r="C165" s="1">
        <f>'Historical Simulation'!D165</f>
        <v>217.49</v>
      </c>
      <c r="D165" s="22">
        <f t="shared" si="17"/>
        <v>522.16147588121817</v>
      </c>
      <c r="E165" s="23">
        <f t="shared" si="18"/>
        <v>-3.5778823601858676</v>
      </c>
      <c r="F165" s="23">
        <f t="shared" si="19"/>
        <v>3.5778823601858676</v>
      </c>
      <c r="H165" s="13"/>
      <c r="I165" s="14"/>
    </row>
    <row r="166" spans="1:9" x14ac:dyDescent="0.3">
      <c r="A166" s="2">
        <v>43879</v>
      </c>
      <c r="B166" s="1">
        <v>79.75</v>
      </c>
      <c r="C166" s="1">
        <f>'Historical Simulation'!D166</f>
        <v>217.8</v>
      </c>
      <c r="D166" s="22">
        <f t="shared" si="17"/>
        <v>525.73935824140403</v>
      </c>
      <c r="E166" s="23">
        <f t="shared" si="18"/>
        <v>15.012975532183759</v>
      </c>
      <c r="F166" s="23">
        <f t="shared" si="19"/>
        <v>-15.012975532183759</v>
      </c>
      <c r="H166" s="13"/>
      <c r="I166" s="14"/>
    </row>
    <row r="167" spans="1:9" x14ac:dyDescent="0.3">
      <c r="A167" s="2">
        <v>43875</v>
      </c>
      <c r="B167" s="1">
        <v>81.237499999999997</v>
      </c>
      <c r="C167" s="1">
        <f>'Historical Simulation'!D167</f>
        <v>214.18</v>
      </c>
      <c r="D167" s="22">
        <f t="shared" si="17"/>
        <v>510.72638270922027</v>
      </c>
      <c r="E167" s="23">
        <f t="shared" si="18"/>
        <v>3.3152491518018792</v>
      </c>
      <c r="F167" s="23">
        <f t="shared" si="19"/>
        <v>-3.3152491518018792</v>
      </c>
      <c r="H167" s="13"/>
      <c r="I167" s="14"/>
    </row>
    <row r="168" spans="1:9" x14ac:dyDescent="0.3">
      <c r="A168" s="2">
        <v>43874</v>
      </c>
      <c r="B168" s="1">
        <v>81.217500000000001</v>
      </c>
      <c r="C168" s="1">
        <f>'Historical Simulation'!D168</f>
        <v>213.14</v>
      </c>
      <c r="D168" s="22">
        <f t="shared" si="17"/>
        <v>507.4111335574184</v>
      </c>
      <c r="E168" s="23">
        <f t="shared" si="18"/>
        <v>8.9882604041300169</v>
      </c>
      <c r="F168" s="23">
        <f t="shared" si="19"/>
        <v>-8.9882604041300169</v>
      </c>
      <c r="H168" s="13"/>
      <c r="I168" s="14"/>
    </row>
    <row r="169" spans="1:9" x14ac:dyDescent="0.3">
      <c r="A169" s="2">
        <v>43873</v>
      </c>
      <c r="B169" s="1">
        <v>81.8</v>
      </c>
      <c r="C169" s="1">
        <f>'Historical Simulation'!D169</f>
        <v>210.76</v>
      </c>
      <c r="D169" s="22">
        <f t="shared" si="17"/>
        <v>498.42287315328838</v>
      </c>
      <c r="E169" s="23">
        <f t="shared" si="18"/>
        <v>7.300739418027888</v>
      </c>
      <c r="F169" s="23">
        <f t="shared" si="19"/>
        <v>-7.300739418027888</v>
      </c>
      <c r="H169" s="13"/>
      <c r="I169" s="14"/>
    </row>
    <row r="170" spans="1:9" x14ac:dyDescent="0.3">
      <c r="A170" s="2">
        <v>43872</v>
      </c>
      <c r="B170" s="1">
        <v>79.902500000000003</v>
      </c>
      <c r="C170" s="1">
        <f>'Historical Simulation'!D170</f>
        <v>207.19</v>
      </c>
      <c r="D170" s="22">
        <f t="shared" si="17"/>
        <v>491.12213373526049</v>
      </c>
      <c r="E170" s="23">
        <f t="shared" si="18"/>
        <v>-17.88197713965917</v>
      </c>
      <c r="F170" s="23">
        <f t="shared" si="19"/>
        <v>17.88197713965917</v>
      </c>
      <c r="H170" s="13"/>
      <c r="I170" s="14"/>
    </row>
    <row r="171" spans="1:9" x14ac:dyDescent="0.3">
      <c r="A171" s="2">
        <v>43871</v>
      </c>
      <c r="B171" s="1">
        <v>80.387500000000003</v>
      </c>
      <c r="C171" s="1">
        <f>'Historical Simulation'!D171</f>
        <v>213.06</v>
      </c>
      <c r="D171" s="22">
        <f t="shared" si="17"/>
        <v>509.00411087491966</v>
      </c>
      <c r="E171" s="23">
        <f t="shared" si="18"/>
        <v>1.5107227481671544</v>
      </c>
      <c r="F171" s="23">
        <f t="shared" si="19"/>
        <v>-1.5107227481671544</v>
      </c>
      <c r="H171" s="13"/>
      <c r="I171" s="14"/>
    </row>
    <row r="172" spans="1:9" x14ac:dyDescent="0.3">
      <c r="A172" s="2">
        <v>43868</v>
      </c>
      <c r="B172" s="1">
        <v>80.007499999999993</v>
      </c>
      <c r="C172" s="1">
        <f>'Historical Simulation'!D172</f>
        <v>212.33</v>
      </c>
      <c r="D172" s="22">
        <f t="shared" si="17"/>
        <v>507.49338812675251</v>
      </c>
      <c r="E172" s="23">
        <f t="shared" si="18"/>
        <v>7.6700160747548125</v>
      </c>
      <c r="F172" s="23">
        <f t="shared" si="19"/>
        <v>-7.6700160747548125</v>
      </c>
      <c r="H172" s="13"/>
      <c r="I172" s="14"/>
    </row>
    <row r="173" spans="1:9" x14ac:dyDescent="0.3">
      <c r="A173" s="2">
        <v>43867</v>
      </c>
      <c r="B173" s="1">
        <v>81.302499999999995</v>
      </c>
      <c r="C173" s="1">
        <f>'Historical Simulation'!D173</f>
        <v>210.85</v>
      </c>
      <c r="D173" s="22">
        <f t="shared" si="17"/>
        <v>499.82337205199769</v>
      </c>
      <c r="E173" s="23">
        <f t="shared" si="18"/>
        <v>0.2938727153328955</v>
      </c>
      <c r="F173" s="23">
        <f t="shared" si="19"/>
        <v>-0.2938727153328955</v>
      </c>
      <c r="H173" s="13"/>
      <c r="I173" s="14"/>
    </row>
    <row r="174" spans="1:9" x14ac:dyDescent="0.3">
      <c r="A174" s="2">
        <v>43866</v>
      </c>
      <c r="B174" s="1">
        <v>80.362499999999997</v>
      </c>
      <c r="C174" s="1">
        <f>'Historical Simulation'!D174</f>
        <v>210.11</v>
      </c>
      <c r="D174" s="22">
        <f t="shared" si="17"/>
        <v>499.5294993366648</v>
      </c>
      <c r="E174" s="23">
        <f t="shared" si="18"/>
        <v>-0.54533547663390891</v>
      </c>
      <c r="F174" s="23">
        <f t="shared" si="19"/>
        <v>0.54533547663390891</v>
      </c>
      <c r="H174" s="13"/>
      <c r="I174" s="14"/>
    </row>
    <row r="175" spans="1:9" x14ac:dyDescent="0.3">
      <c r="A175" s="2">
        <v>43865</v>
      </c>
      <c r="B175" s="1">
        <v>79.712500000000006</v>
      </c>
      <c r="C175" s="1">
        <f>'Historical Simulation'!D175</f>
        <v>209.83</v>
      </c>
      <c r="D175" s="22">
        <f t="shared" si="17"/>
        <v>500.07483481329871</v>
      </c>
      <c r="E175" s="23">
        <f t="shared" si="18"/>
        <v>12.538243139163683</v>
      </c>
      <c r="F175" s="23">
        <f t="shared" si="19"/>
        <v>-12.538243139163683</v>
      </c>
      <c r="H175" s="13"/>
      <c r="I175" s="14"/>
    </row>
    <row r="176" spans="1:9" x14ac:dyDescent="0.3">
      <c r="A176" s="2">
        <v>43864</v>
      </c>
      <c r="B176" s="1">
        <v>77.165000000000006</v>
      </c>
      <c r="C176" s="1">
        <f>'Historical Simulation'!D176</f>
        <v>204.19</v>
      </c>
      <c r="D176" s="22">
        <f t="shared" si="17"/>
        <v>487.53659167413502</v>
      </c>
      <c r="E176" s="23">
        <f t="shared" si="18"/>
        <v>7.8398612851625558</v>
      </c>
      <c r="F176" s="23">
        <f t="shared" si="19"/>
        <v>-7.8398612851625558</v>
      </c>
      <c r="H176" s="13"/>
      <c r="I176" s="14"/>
    </row>
    <row r="177" spans="1:9" x14ac:dyDescent="0.3">
      <c r="A177" s="2">
        <v>43861</v>
      </c>
      <c r="B177" s="1">
        <v>77.377499999999998</v>
      </c>
      <c r="C177" s="1">
        <f>'Historical Simulation'!D177</f>
        <v>201.91</v>
      </c>
      <c r="D177" s="22">
        <f t="shared" si="17"/>
        <v>479.69673038897247</v>
      </c>
      <c r="E177" s="23">
        <f t="shared" si="18"/>
        <v>-16.609464786040235</v>
      </c>
      <c r="F177" s="23">
        <f t="shared" si="19"/>
        <v>16.609464786040235</v>
      </c>
      <c r="H177" s="13"/>
      <c r="I177" s="14"/>
    </row>
    <row r="178" spans="1:9" x14ac:dyDescent="0.3">
      <c r="A178" s="2">
        <v>43860</v>
      </c>
      <c r="B178" s="1">
        <v>80.967500000000001</v>
      </c>
      <c r="C178" s="1">
        <f>'Historical Simulation'!D178</f>
        <v>209.53</v>
      </c>
      <c r="D178" s="22">
        <f t="shared" si="17"/>
        <v>496.3061951750127</v>
      </c>
      <c r="E178" s="23">
        <f t="shared" si="18"/>
        <v>-43.997619219948319</v>
      </c>
      <c r="F178" s="23">
        <f t="shared" si="19"/>
        <v>43.997619219948319</v>
      </c>
      <c r="H178" s="13"/>
      <c r="I178" s="14"/>
    </row>
    <row r="179" spans="1:9" x14ac:dyDescent="0.3">
      <c r="A179" s="2">
        <v>43859</v>
      </c>
      <c r="B179" s="1">
        <v>81.084999999999994</v>
      </c>
      <c r="C179" s="1">
        <f>'Historical Simulation'!D179</f>
        <v>223.23</v>
      </c>
      <c r="D179" s="22">
        <f t="shared" si="17"/>
        <v>540.30381439496102</v>
      </c>
      <c r="E179" s="23">
        <f t="shared" si="18"/>
        <v>13.866229089148078</v>
      </c>
      <c r="F179" s="23">
        <f t="shared" si="19"/>
        <v>-13.866229089148078</v>
      </c>
      <c r="H179" s="13"/>
      <c r="I179" s="14"/>
    </row>
    <row r="180" spans="1:9" x14ac:dyDescent="0.3">
      <c r="A180" s="2">
        <v>43858</v>
      </c>
      <c r="B180" s="1">
        <v>79.422499999999999</v>
      </c>
      <c r="C180" s="1">
        <f>'Historical Simulation'!D180</f>
        <v>217.79</v>
      </c>
      <c r="D180" s="22">
        <f t="shared" si="17"/>
        <v>526.43758530581295</v>
      </c>
      <c r="E180" s="23">
        <f t="shared" si="18"/>
        <v>4.5595177711512633</v>
      </c>
      <c r="F180" s="23">
        <f t="shared" si="19"/>
        <v>-4.5595177711512633</v>
      </c>
      <c r="H180" s="13"/>
      <c r="I180" s="14"/>
    </row>
    <row r="181" spans="1:9" x14ac:dyDescent="0.3">
      <c r="A181" s="2">
        <v>43857</v>
      </c>
      <c r="B181" s="1">
        <v>77.237499999999997</v>
      </c>
      <c r="C181" s="1">
        <f>'Historical Simulation'!D181</f>
        <v>214.87</v>
      </c>
      <c r="D181" s="22">
        <f t="shared" si="17"/>
        <v>521.87806753466168</v>
      </c>
      <c r="E181" s="23">
        <f t="shared" si="18"/>
        <v>-4.6983645890344405</v>
      </c>
      <c r="F181" s="23">
        <f t="shared" si="19"/>
        <v>4.6983645890344405</v>
      </c>
      <c r="H181" s="13"/>
      <c r="I181" s="14"/>
    </row>
    <row r="182" spans="1:9" x14ac:dyDescent="0.3">
      <c r="A182" s="2">
        <v>43854</v>
      </c>
      <c r="B182" s="1">
        <v>79.577500000000001</v>
      </c>
      <c r="C182" s="1">
        <f>'Historical Simulation'!D182</f>
        <v>217.94</v>
      </c>
      <c r="D182" s="22">
        <f t="shared" si="17"/>
        <v>526.57643212369612</v>
      </c>
      <c r="E182" s="23">
        <f t="shared" si="18"/>
        <v>-5.3667119131027903</v>
      </c>
      <c r="F182" s="23">
        <f t="shared" si="19"/>
        <v>5.3667119131027903</v>
      </c>
      <c r="H182" s="13"/>
      <c r="I182" s="14"/>
    </row>
    <row r="183" spans="1:9" x14ac:dyDescent="0.3">
      <c r="A183" s="2">
        <v>43853</v>
      </c>
      <c r="B183" s="1">
        <v>79.807500000000005</v>
      </c>
      <c r="C183" s="1">
        <f>'Historical Simulation'!D183</f>
        <v>219.76</v>
      </c>
      <c r="D183" s="22">
        <f t="shared" si="17"/>
        <v>531.94314403679891</v>
      </c>
      <c r="E183" s="23">
        <f t="shared" si="18"/>
        <v>-5.8930112523283924</v>
      </c>
      <c r="F183" s="23">
        <f t="shared" si="19"/>
        <v>5.8930112523283924</v>
      </c>
      <c r="H183" s="13"/>
      <c r="I183" s="14"/>
    </row>
    <row r="184" spans="1:9" x14ac:dyDescent="0.3">
      <c r="A184" s="2">
        <v>43852</v>
      </c>
      <c r="B184" s="1">
        <v>79.424999999999997</v>
      </c>
      <c r="C184" s="1">
        <f>'Historical Simulation'!D184</f>
        <v>221.32</v>
      </c>
      <c r="D184" s="22">
        <f t="shared" si="17"/>
        <v>537.8361552891273</v>
      </c>
      <c r="E184" s="23">
        <f t="shared" si="18"/>
        <v>-1.0178311603923476</v>
      </c>
      <c r="F184" s="23">
        <f t="shared" si="19"/>
        <v>1.0178311603923476</v>
      </c>
      <c r="H184" s="13"/>
      <c r="I184" s="14"/>
    </row>
    <row r="185" spans="1:9" x14ac:dyDescent="0.3">
      <c r="A185" s="2">
        <v>43851</v>
      </c>
      <c r="B185" s="1">
        <v>79.142499999999998</v>
      </c>
      <c r="C185" s="1">
        <f>'Historical Simulation'!D185</f>
        <v>221.44</v>
      </c>
      <c r="D185" s="22">
        <f t="shared" si="17"/>
        <v>538.85398644951965</v>
      </c>
      <c r="E185" s="23">
        <f t="shared" si="18"/>
        <v>-1.0569018277335545</v>
      </c>
      <c r="F185" s="23">
        <f t="shared" si="19"/>
        <v>1.0569018277335545</v>
      </c>
      <c r="H185" s="13"/>
      <c r="I185" s="14"/>
    </row>
    <row r="186" spans="1:9" x14ac:dyDescent="0.3">
      <c r="A186" s="2">
        <v>43847</v>
      </c>
      <c r="B186" s="1">
        <v>79.682500000000005</v>
      </c>
      <c r="C186" s="1">
        <f>'Historical Simulation'!D186</f>
        <v>222.14</v>
      </c>
      <c r="D186" s="22">
        <f t="shared" si="17"/>
        <v>539.91088827725321</v>
      </c>
      <c r="E186" s="23">
        <f t="shared" si="18"/>
        <v>-0.7508948027259521</v>
      </c>
      <c r="F186" s="23">
        <f t="shared" si="19"/>
        <v>0.7508948027259521</v>
      </c>
      <c r="H186" s="13"/>
      <c r="I186" s="14"/>
    </row>
    <row r="187" spans="1:9" x14ac:dyDescent="0.3">
      <c r="A187" s="2">
        <v>43846</v>
      </c>
      <c r="B187" s="1">
        <v>78.81</v>
      </c>
      <c r="C187" s="1">
        <f>'Historical Simulation'!D187</f>
        <v>221.77</v>
      </c>
      <c r="D187" s="22">
        <f t="shared" si="17"/>
        <v>540.66178307997916</v>
      </c>
      <c r="E187" s="23">
        <f t="shared" si="18"/>
        <v>-0.17187593028393167</v>
      </c>
      <c r="F187" s="23">
        <f t="shared" si="19"/>
        <v>0.17187593028393167</v>
      </c>
      <c r="H187" s="13"/>
      <c r="I187" s="14"/>
    </row>
    <row r="188" spans="1:9" x14ac:dyDescent="0.3">
      <c r="A188" s="2">
        <v>43845</v>
      </c>
      <c r="B188" s="1">
        <v>77.834999999999994</v>
      </c>
      <c r="C188" s="1">
        <f>'Historical Simulation'!D188</f>
        <v>221.15</v>
      </c>
      <c r="D188" s="22">
        <f t="shared" si="17"/>
        <v>540.83365901026309</v>
      </c>
      <c r="E188" s="23">
        <f t="shared" si="18"/>
        <v>7.4992933265875763</v>
      </c>
      <c r="F188" s="23">
        <f t="shared" si="19"/>
        <v>-7.4992933265875763</v>
      </c>
      <c r="H188" s="13"/>
      <c r="I188" s="14"/>
    </row>
    <row r="189" spans="1:9" x14ac:dyDescent="0.3">
      <c r="A189" s="2">
        <v>43844</v>
      </c>
      <c r="B189" s="1">
        <v>78.17</v>
      </c>
      <c r="C189" s="1">
        <f>'Historical Simulation'!D189</f>
        <v>219.06</v>
      </c>
      <c r="D189" s="22">
        <f t="shared" si="17"/>
        <v>533.33436568367551</v>
      </c>
      <c r="E189" s="23">
        <f t="shared" si="18"/>
        <v>-6.8205328335363902</v>
      </c>
      <c r="F189" s="23">
        <f t="shared" si="19"/>
        <v>6.8205328335363902</v>
      </c>
      <c r="H189" s="13"/>
      <c r="I189" s="14"/>
    </row>
    <row r="190" spans="1:9" x14ac:dyDescent="0.3">
      <c r="A190" s="2">
        <v>43843</v>
      </c>
      <c r="B190" s="1">
        <v>79.239999999999995</v>
      </c>
      <c r="C190" s="1">
        <f>'Historical Simulation'!D190</f>
        <v>221.91</v>
      </c>
      <c r="D190" s="22">
        <f t="shared" si="17"/>
        <v>540.1548985172119</v>
      </c>
      <c r="E190" s="23">
        <f t="shared" si="18"/>
        <v>8.7406703581619922</v>
      </c>
      <c r="F190" s="23">
        <f t="shared" si="19"/>
        <v>-8.7406703581619922</v>
      </c>
      <c r="H190" s="13"/>
      <c r="I190" s="14"/>
    </row>
    <row r="191" spans="1:9" x14ac:dyDescent="0.3">
      <c r="A191" s="2">
        <v>43840</v>
      </c>
      <c r="B191" s="1">
        <v>77.582499999999996</v>
      </c>
      <c r="C191" s="1">
        <f>'Historical Simulation'!D191</f>
        <v>218.06</v>
      </c>
      <c r="D191" s="22">
        <f t="shared" si="17"/>
        <v>531.41422815904991</v>
      </c>
      <c r="E191" s="23">
        <f t="shared" si="18"/>
        <v>-1.1657141156839543</v>
      </c>
      <c r="F191" s="23">
        <f t="shared" si="19"/>
        <v>1.1657141156839543</v>
      </c>
      <c r="H191" s="13"/>
      <c r="I191" s="14"/>
    </row>
    <row r="192" spans="1:9" x14ac:dyDescent="0.3">
      <c r="A192" s="2">
        <v>43839</v>
      </c>
      <c r="B192" s="1">
        <v>77.407499999999999</v>
      </c>
      <c r="C192" s="1">
        <f>'Historical Simulation'!D192</f>
        <v>218.3</v>
      </c>
      <c r="D192" s="22">
        <f t="shared" si="17"/>
        <v>532.57994227473387</v>
      </c>
      <c r="E192" s="23">
        <f t="shared" si="18"/>
        <v>6.3590355423025358</v>
      </c>
      <c r="F192" s="23">
        <f t="shared" si="19"/>
        <v>-6.3590355423025358</v>
      </c>
      <c r="H192" s="13"/>
      <c r="I192" s="14"/>
    </row>
    <row r="193" spans="1:9" x14ac:dyDescent="0.3">
      <c r="A193" s="2">
        <v>43838</v>
      </c>
      <c r="B193" s="1">
        <v>75.797499999999999</v>
      </c>
      <c r="C193" s="1">
        <f>'Historical Simulation'!D193</f>
        <v>215.22</v>
      </c>
      <c r="D193" s="22">
        <f t="shared" si="17"/>
        <v>526.22090673243133</v>
      </c>
      <c r="E193" s="23">
        <f t="shared" si="18"/>
        <v>4.3014109664017042</v>
      </c>
      <c r="F193" s="23">
        <f t="shared" si="19"/>
        <v>-4.3014109664017042</v>
      </c>
      <c r="H193" s="13"/>
      <c r="I193" s="14"/>
    </row>
    <row r="194" spans="1:9" x14ac:dyDescent="0.3">
      <c r="A194" s="2">
        <v>43837</v>
      </c>
      <c r="B194" s="1">
        <v>74.597499999999997</v>
      </c>
      <c r="C194" s="1">
        <f>'Historical Simulation'!D194</f>
        <v>213.06</v>
      </c>
      <c r="D194" s="22">
        <f t="shared" si="17"/>
        <v>521.91949576602963</v>
      </c>
      <c r="E194" s="23">
        <f t="shared" si="18"/>
        <v>2.2723920939597519</v>
      </c>
      <c r="F194" s="23">
        <f t="shared" si="19"/>
        <v>-2.2723920939597519</v>
      </c>
      <c r="H194" s="13"/>
      <c r="I194" s="14"/>
    </row>
    <row r="195" spans="1:9" x14ac:dyDescent="0.3">
      <c r="A195" s="2">
        <v>43836</v>
      </c>
      <c r="B195" s="1">
        <v>74.95</v>
      </c>
      <c r="C195" s="1">
        <f>'Historical Simulation'!D195</f>
        <v>212.6</v>
      </c>
      <c r="D195" s="22">
        <f t="shared" si="17"/>
        <v>519.64710367206987</v>
      </c>
      <c r="E195" s="23">
        <f t="shared" si="18"/>
        <v>11.374749062880653</v>
      </c>
      <c r="F195" s="23">
        <f t="shared" si="19"/>
        <v>-11.374749062880653</v>
      </c>
      <c r="H195" s="13"/>
      <c r="I195" s="14"/>
    </row>
    <row r="196" spans="1:9" x14ac:dyDescent="0.3">
      <c r="A196" s="2">
        <v>43833</v>
      </c>
      <c r="B196" s="1">
        <v>74.357500000000002</v>
      </c>
      <c r="C196" s="1">
        <f>'Historical Simulation'!D196</f>
        <v>208.67</v>
      </c>
      <c r="D196" s="22">
        <f t="shared" si="17"/>
        <v>508.27235460918922</v>
      </c>
      <c r="E196" s="23">
        <f t="shared" si="18"/>
        <v>-1.9576418408673248</v>
      </c>
      <c r="F196" s="23">
        <f t="shared" si="19"/>
        <v>1.9576418408673248</v>
      </c>
      <c r="H196" s="13"/>
      <c r="I196" s="14"/>
    </row>
    <row r="197" spans="1:9" x14ac:dyDescent="0.3">
      <c r="A197" s="2">
        <v>43832</v>
      </c>
      <c r="B197" s="1">
        <v>75.087500000000006</v>
      </c>
      <c r="C197" s="1">
        <f>'Historical Simulation'!D197</f>
        <v>209.78</v>
      </c>
      <c r="D197" s="22">
        <f t="shared" si="17"/>
        <v>510.22999645005655</v>
      </c>
      <c r="E197" s="23">
        <f t="shared" si="18"/>
        <v>10.898466988621635</v>
      </c>
      <c r="F197" s="23">
        <f t="shared" si="19"/>
        <v>-10.898466988621635</v>
      </c>
      <c r="H197" s="13"/>
      <c r="I197" s="14"/>
    </row>
    <row r="198" spans="1:9" x14ac:dyDescent="0.3">
      <c r="A198" s="2">
        <v>43831</v>
      </c>
      <c r="B198" s="1">
        <v>73.412499999999994</v>
      </c>
      <c r="C198" s="1">
        <f>'Historical Simulation'!D198</f>
        <v>205.25</v>
      </c>
      <c r="D198" s="22">
        <f t="shared" ref="D198:D261" si="20">$M$16*B198+(1-$M$16)*C198</f>
        <v>499.33152946143491</v>
      </c>
      <c r="E198" s="23">
        <f t="shared" ref="E198:E261" si="21">D198-D199</f>
        <v>0</v>
      </c>
      <c r="F198" s="23">
        <f t="shared" ref="F198:F261" si="22">-E198</f>
        <v>0</v>
      </c>
      <c r="H198" s="13"/>
      <c r="I198" s="14"/>
    </row>
    <row r="199" spans="1:9" x14ac:dyDescent="0.3">
      <c r="A199" s="2">
        <v>43830</v>
      </c>
      <c r="B199" s="1">
        <v>73.412499999999994</v>
      </c>
      <c r="C199" s="1">
        <f>'Historical Simulation'!D199</f>
        <v>205.25</v>
      </c>
      <c r="D199" s="22">
        <f t="shared" si="20"/>
        <v>499.33152946143491</v>
      </c>
      <c r="E199" s="23">
        <f t="shared" si="21"/>
        <v>1.5259207001754476</v>
      </c>
      <c r="F199" s="23">
        <f t="shared" si="22"/>
        <v>-1.5259207001754476</v>
      </c>
      <c r="H199" s="13"/>
      <c r="I199" s="14"/>
    </row>
    <row r="200" spans="1:9" x14ac:dyDescent="0.3">
      <c r="A200" s="2">
        <v>43829</v>
      </c>
      <c r="B200" s="1">
        <v>72.88</v>
      </c>
      <c r="C200" s="1">
        <f>'Historical Simulation'!D200</f>
        <v>204.41</v>
      </c>
      <c r="D200" s="22">
        <f t="shared" si="20"/>
        <v>497.80560876125946</v>
      </c>
      <c r="E200" s="23">
        <f t="shared" si="21"/>
        <v>-12.880222064140298</v>
      </c>
      <c r="F200" s="23">
        <f t="shared" si="22"/>
        <v>12.880222064140298</v>
      </c>
      <c r="H200" s="13"/>
      <c r="I200" s="14"/>
    </row>
    <row r="201" spans="1:9" x14ac:dyDescent="0.3">
      <c r="A201" s="2">
        <v>43826</v>
      </c>
      <c r="B201" s="1">
        <v>72.45</v>
      </c>
      <c r="C201" s="1">
        <f>'Historical Simulation'!D201</f>
        <v>208.1</v>
      </c>
      <c r="D201" s="22">
        <f t="shared" si="20"/>
        <v>510.68583082539976</v>
      </c>
      <c r="E201" s="23">
        <f t="shared" si="21"/>
        <v>1.0628397928754794</v>
      </c>
      <c r="F201" s="23">
        <f t="shared" si="22"/>
        <v>-1.0628397928754794</v>
      </c>
      <c r="H201" s="13"/>
      <c r="I201" s="14"/>
    </row>
    <row r="202" spans="1:9" x14ac:dyDescent="0.3">
      <c r="A202" s="2">
        <v>43825</v>
      </c>
      <c r="B202" s="1">
        <v>72.477500000000006</v>
      </c>
      <c r="C202" s="1">
        <f>'Historical Simulation'!D202</f>
        <v>207.79</v>
      </c>
      <c r="D202" s="22">
        <f t="shared" si="20"/>
        <v>509.62299103252428</v>
      </c>
      <c r="E202" s="23">
        <f t="shared" si="21"/>
        <v>5.4806018934021381</v>
      </c>
      <c r="F202" s="23">
        <f t="shared" si="22"/>
        <v>-5.4806018934021381</v>
      </c>
      <c r="H202" s="13"/>
      <c r="I202" s="14"/>
    </row>
    <row r="203" spans="1:9" x14ac:dyDescent="0.3">
      <c r="A203" s="2">
        <v>43824</v>
      </c>
      <c r="B203" s="1">
        <v>71.067499999999995</v>
      </c>
      <c r="C203" s="1">
        <f>'Historical Simulation'!D203</f>
        <v>205.12</v>
      </c>
      <c r="D203" s="22">
        <f t="shared" si="20"/>
        <v>504.14238913912214</v>
      </c>
      <c r="E203" s="23">
        <f t="shared" si="21"/>
        <v>0</v>
      </c>
      <c r="F203" s="23">
        <f t="shared" si="22"/>
        <v>0</v>
      </c>
      <c r="H203" s="13"/>
      <c r="I203" s="14"/>
    </row>
    <row r="204" spans="1:9" x14ac:dyDescent="0.3">
      <c r="A204" s="2">
        <v>43823</v>
      </c>
      <c r="B204" s="1">
        <v>71.067499999999995</v>
      </c>
      <c r="C204" s="1">
        <f>'Historical Simulation'!D204</f>
        <v>205.12</v>
      </c>
      <c r="D204" s="22">
        <f t="shared" si="20"/>
        <v>504.14238913912214</v>
      </c>
      <c r="E204" s="23">
        <f t="shared" si="21"/>
        <v>-3.5750425673102768</v>
      </c>
      <c r="F204" s="23">
        <f t="shared" si="22"/>
        <v>3.5750425673102768</v>
      </c>
      <c r="H204" s="13"/>
      <c r="I204" s="14"/>
    </row>
    <row r="205" spans="1:9" x14ac:dyDescent="0.3">
      <c r="A205" s="2">
        <v>43822</v>
      </c>
      <c r="B205" s="1">
        <v>71</v>
      </c>
      <c r="C205" s="1">
        <f>'Historical Simulation'!D205</f>
        <v>206.18</v>
      </c>
      <c r="D205" s="22">
        <f t="shared" si="20"/>
        <v>507.71743170643242</v>
      </c>
      <c r="E205" s="23">
        <f t="shared" si="21"/>
        <v>-2.9306018934022404</v>
      </c>
      <c r="F205" s="23">
        <f t="shared" si="22"/>
        <v>2.9306018934022404</v>
      </c>
      <c r="H205" s="13"/>
      <c r="I205" s="14"/>
    </row>
    <row r="206" spans="1:9" x14ac:dyDescent="0.3">
      <c r="A206" s="2">
        <v>43819</v>
      </c>
      <c r="B206" s="1">
        <v>69.86</v>
      </c>
      <c r="C206" s="1">
        <f>'Historical Simulation'!D206</f>
        <v>206.3</v>
      </c>
      <c r="D206" s="22">
        <f t="shared" si="20"/>
        <v>510.64803359983466</v>
      </c>
      <c r="E206" s="23">
        <f t="shared" si="21"/>
        <v>1.0987950229840635</v>
      </c>
      <c r="F206" s="23">
        <f t="shared" si="22"/>
        <v>-1.0987950229840635</v>
      </c>
      <c r="H206" s="13"/>
      <c r="I206" s="14"/>
    </row>
    <row r="207" spans="1:9" x14ac:dyDescent="0.3">
      <c r="A207" s="2">
        <v>43818</v>
      </c>
      <c r="B207" s="1">
        <v>70.004999999999995</v>
      </c>
      <c r="C207" s="1">
        <f>'Historical Simulation'!D207</f>
        <v>206.06</v>
      </c>
      <c r="D207" s="22">
        <f t="shared" si="20"/>
        <v>509.5492385768506</v>
      </c>
      <c r="E207" s="23">
        <f t="shared" si="21"/>
        <v>11.344921117439412</v>
      </c>
      <c r="F207" s="23">
        <f t="shared" si="22"/>
        <v>-11.344921117439412</v>
      </c>
      <c r="H207" s="13"/>
      <c r="I207" s="14"/>
    </row>
    <row r="208" spans="1:9" x14ac:dyDescent="0.3">
      <c r="A208" s="2">
        <v>43817</v>
      </c>
      <c r="B208" s="1">
        <v>69.935000000000002</v>
      </c>
      <c r="C208" s="1">
        <f>'Historical Simulation'!D208</f>
        <v>202.5</v>
      </c>
      <c r="D208" s="22">
        <f t="shared" si="20"/>
        <v>498.20431745941119</v>
      </c>
      <c r="E208" s="23">
        <f t="shared" si="21"/>
        <v>13.651547300815764</v>
      </c>
      <c r="F208" s="23">
        <f t="shared" si="22"/>
        <v>-13.651547300815764</v>
      </c>
      <c r="H208" s="13"/>
      <c r="I208" s="14"/>
    </row>
    <row r="209" spans="1:9" x14ac:dyDescent="0.3">
      <c r="A209" s="2">
        <v>43816</v>
      </c>
      <c r="B209" s="1">
        <v>70.102500000000006</v>
      </c>
      <c r="C209" s="1">
        <f>'Historical Simulation'!D209</f>
        <v>198.39</v>
      </c>
      <c r="D209" s="22">
        <f t="shared" si="20"/>
        <v>484.55277015859542</v>
      </c>
      <c r="E209" s="23">
        <f t="shared" si="21"/>
        <v>1.2116866107587612</v>
      </c>
      <c r="F209" s="23">
        <f t="shared" si="22"/>
        <v>-1.2116866107587612</v>
      </c>
      <c r="H209" s="13"/>
      <c r="I209" s="14"/>
    </row>
    <row r="210" spans="1:9" x14ac:dyDescent="0.3">
      <c r="A210" s="2">
        <v>43815</v>
      </c>
      <c r="B210" s="1">
        <v>69.965000000000003</v>
      </c>
      <c r="C210" s="1">
        <f>'Historical Simulation'!D210</f>
        <v>197.92</v>
      </c>
      <c r="D210" s="22">
        <f t="shared" si="20"/>
        <v>483.34108354783666</v>
      </c>
      <c r="E210" s="23">
        <f t="shared" si="21"/>
        <v>9.6821503844295194</v>
      </c>
      <c r="F210" s="23">
        <f t="shared" si="22"/>
        <v>-9.6821503844295194</v>
      </c>
      <c r="H210" s="13"/>
      <c r="I210" s="14"/>
    </row>
    <row r="211" spans="1:9" x14ac:dyDescent="0.3">
      <c r="A211" s="2">
        <v>43812</v>
      </c>
      <c r="B211" s="1">
        <v>68.787499999999994</v>
      </c>
      <c r="C211" s="1">
        <f>'Historical Simulation'!D211</f>
        <v>194.11</v>
      </c>
      <c r="D211" s="22">
        <f t="shared" si="20"/>
        <v>473.65893316340714</v>
      </c>
      <c r="E211" s="23">
        <f t="shared" si="21"/>
        <v>-10.586642258131064</v>
      </c>
      <c r="F211" s="23">
        <f t="shared" si="22"/>
        <v>10.586642258131064</v>
      </c>
      <c r="H211" s="13"/>
      <c r="I211" s="14"/>
    </row>
    <row r="212" spans="1:9" x14ac:dyDescent="0.3">
      <c r="A212" s="2">
        <v>43811</v>
      </c>
      <c r="B212" s="1">
        <v>67.864999999999995</v>
      </c>
      <c r="C212" s="1">
        <f>'Historical Simulation'!D212</f>
        <v>196.75</v>
      </c>
      <c r="D212" s="22">
        <f t="shared" si="20"/>
        <v>484.24557542153821</v>
      </c>
      <c r="E212" s="23">
        <f t="shared" si="21"/>
        <v>-18.185591475601484</v>
      </c>
      <c r="F212" s="23">
        <f t="shared" si="22"/>
        <v>18.185591475601484</v>
      </c>
      <c r="H212" s="13"/>
      <c r="I212" s="14"/>
    </row>
    <row r="213" spans="1:9" x14ac:dyDescent="0.3">
      <c r="A213" s="2">
        <v>43810</v>
      </c>
      <c r="B213" s="1">
        <v>67.692499999999995</v>
      </c>
      <c r="C213" s="1">
        <f>'Historical Simulation'!D213</f>
        <v>202.26</v>
      </c>
      <c r="D213" s="22">
        <f t="shared" si="20"/>
        <v>502.43116689713969</v>
      </c>
      <c r="E213" s="23">
        <f t="shared" si="21"/>
        <v>3.2135452760764451</v>
      </c>
      <c r="F213" s="23">
        <f t="shared" si="22"/>
        <v>-3.2135452760764451</v>
      </c>
      <c r="H213" s="13"/>
      <c r="I213" s="14"/>
    </row>
    <row r="214" spans="1:9" x14ac:dyDescent="0.3">
      <c r="A214" s="2">
        <v>43809</v>
      </c>
      <c r="B214" s="1">
        <v>67.12</v>
      </c>
      <c r="C214" s="1">
        <f>'Historical Simulation'!D214</f>
        <v>200.87</v>
      </c>
      <c r="D214" s="22">
        <f t="shared" si="20"/>
        <v>499.21762162106324</v>
      </c>
      <c r="E214" s="23">
        <f t="shared" si="21"/>
        <v>-2.3883473240682065</v>
      </c>
      <c r="F214" s="23">
        <f t="shared" si="22"/>
        <v>2.3883473240682065</v>
      </c>
      <c r="H214" s="13"/>
      <c r="I214" s="14"/>
    </row>
    <row r="215" spans="1:9" x14ac:dyDescent="0.3">
      <c r="A215" s="2">
        <v>43808</v>
      </c>
      <c r="B215" s="1">
        <v>66.73</v>
      </c>
      <c r="C215" s="1">
        <f>'Historical Simulation'!D215</f>
        <v>201.34</v>
      </c>
      <c r="D215" s="22">
        <f t="shared" si="20"/>
        <v>501.60596894513145</v>
      </c>
      <c r="E215" s="23">
        <f t="shared" si="21"/>
        <v>3.0504125738771677</v>
      </c>
      <c r="F215" s="23">
        <f t="shared" si="22"/>
        <v>-3.0504125738771677</v>
      </c>
      <c r="H215" s="13"/>
      <c r="I215" s="14"/>
    </row>
    <row r="216" spans="1:9" x14ac:dyDescent="0.3">
      <c r="A216" s="2">
        <v>43805</v>
      </c>
      <c r="B216" s="1">
        <v>67.677499999999995</v>
      </c>
      <c r="C216" s="1">
        <f>'Historical Simulation'!D216</f>
        <v>201.05</v>
      </c>
      <c r="D216" s="22">
        <f t="shared" si="20"/>
        <v>498.55555637125428</v>
      </c>
      <c r="E216" s="23">
        <f t="shared" si="21"/>
        <v>2.5989843425089703</v>
      </c>
      <c r="F216" s="23">
        <f t="shared" si="22"/>
        <v>-2.5989843425089703</v>
      </c>
      <c r="H216" s="13"/>
      <c r="I216" s="14"/>
    </row>
    <row r="217" spans="1:9" x14ac:dyDescent="0.3">
      <c r="A217" s="2">
        <v>43804</v>
      </c>
      <c r="B217" s="1">
        <v>66.394999999999996</v>
      </c>
      <c r="C217" s="1">
        <f>'Historical Simulation'!D217</f>
        <v>199.36</v>
      </c>
      <c r="D217" s="22">
        <f t="shared" si="20"/>
        <v>495.95657202874531</v>
      </c>
      <c r="E217" s="23">
        <f t="shared" si="21"/>
        <v>-4.1497291233781652E-2</v>
      </c>
      <c r="F217" s="23">
        <f t="shared" si="22"/>
        <v>4.1497291233781652E-2</v>
      </c>
      <c r="H217" s="13"/>
      <c r="I217" s="14"/>
    </row>
    <row r="218" spans="1:9" x14ac:dyDescent="0.3">
      <c r="A218" s="2">
        <v>43803</v>
      </c>
      <c r="B218" s="1">
        <v>65.435000000000002</v>
      </c>
      <c r="C218" s="1">
        <f>'Historical Simulation'!D218</f>
        <v>198.71</v>
      </c>
      <c r="D218" s="22">
        <f t="shared" si="20"/>
        <v>495.99806931997909</v>
      </c>
      <c r="E218" s="23">
        <f t="shared" si="21"/>
        <v>-1.6324093589261111</v>
      </c>
      <c r="F218" s="23">
        <f t="shared" si="22"/>
        <v>1.6324093589261111</v>
      </c>
      <c r="H218" s="13"/>
      <c r="I218" s="14"/>
    </row>
    <row r="219" spans="1:9" x14ac:dyDescent="0.3">
      <c r="A219" s="2">
        <v>43802</v>
      </c>
      <c r="B219" s="1">
        <v>64.862499999999997</v>
      </c>
      <c r="C219" s="1">
        <f>'Historical Simulation'!D219</f>
        <v>198.82</v>
      </c>
      <c r="D219" s="22">
        <f t="shared" si="20"/>
        <v>497.63047867890521</v>
      </c>
      <c r="E219" s="23">
        <f t="shared" si="21"/>
        <v>-0.21638566405783877</v>
      </c>
      <c r="F219" s="23">
        <f t="shared" si="22"/>
        <v>0.21638566405783877</v>
      </c>
      <c r="H219" s="13"/>
      <c r="I219" s="14"/>
    </row>
    <row r="220" spans="1:9" x14ac:dyDescent="0.3">
      <c r="A220" s="2">
        <v>43801</v>
      </c>
      <c r="B220" s="1">
        <v>66.040000000000006</v>
      </c>
      <c r="C220" s="1">
        <f>'Historical Simulation'!D220</f>
        <v>199.7</v>
      </c>
      <c r="D220" s="22">
        <f t="shared" si="20"/>
        <v>497.84686434296304</v>
      </c>
      <c r="E220" s="23">
        <f t="shared" si="21"/>
        <v>-4.5442680242437063</v>
      </c>
      <c r="F220" s="23">
        <f t="shared" si="22"/>
        <v>4.5442680242437063</v>
      </c>
      <c r="H220" s="13"/>
      <c r="I220" s="14"/>
    </row>
    <row r="221" spans="1:9" x14ac:dyDescent="0.3">
      <c r="A221" s="2">
        <v>43798</v>
      </c>
      <c r="B221" s="1">
        <v>66.8125</v>
      </c>
      <c r="C221" s="1">
        <f>'Historical Simulation'!D221</f>
        <v>201.64</v>
      </c>
      <c r="D221" s="22">
        <f t="shared" si="20"/>
        <v>502.39113236720675</v>
      </c>
      <c r="E221" s="23">
        <f t="shared" si="21"/>
        <v>-0.83401023995872947</v>
      </c>
      <c r="F221" s="23">
        <f t="shared" si="22"/>
        <v>0.83401023995872947</v>
      </c>
      <c r="H221" s="13"/>
      <c r="I221" s="14"/>
    </row>
    <row r="222" spans="1:9" x14ac:dyDescent="0.3">
      <c r="A222" s="2">
        <v>43797</v>
      </c>
      <c r="B222" s="1">
        <v>66.959999999999994</v>
      </c>
      <c r="C222" s="1">
        <f>'Historical Simulation'!D222</f>
        <v>202</v>
      </c>
      <c r="D222" s="22">
        <f t="shared" si="20"/>
        <v>503.22514260716548</v>
      </c>
      <c r="E222" s="23">
        <f t="shared" si="21"/>
        <v>0</v>
      </c>
      <c r="F222" s="23">
        <f t="shared" si="22"/>
        <v>0</v>
      </c>
      <c r="H222" s="13"/>
      <c r="I222" s="14"/>
    </row>
    <row r="223" spans="1:9" x14ac:dyDescent="0.3">
      <c r="A223" s="2">
        <v>43796</v>
      </c>
      <c r="B223" s="1">
        <v>66.959999999999994</v>
      </c>
      <c r="C223" s="1">
        <f>'Historical Simulation'!D223</f>
        <v>202</v>
      </c>
      <c r="D223" s="22">
        <f t="shared" si="20"/>
        <v>503.22514260716548</v>
      </c>
      <c r="E223" s="23">
        <f t="shared" si="21"/>
        <v>7.8091385369953059</v>
      </c>
      <c r="F223" s="23">
        <f t="shared" si="22"/>
        <v>-7.8091385369953059</v>
      </c>
      <c r="H223" s="13"/>
      <c r="I223" s="14"/>
    </row>
    <row r="224" spans="1:9" x14ac:dyDescent="0.3">
      <c r="A224" s="2">
        <v>43795</v>
      </c>
      <c r="B224" s="1">
        <v>66.072500000000005</v>
      </c>
      <c r="C224" s="1">
        <f>'Historical Simulation'!D224</f>
        <v>198.97</v>
      </c>
      <c r="D224" s="22">
        <f t="shared" si="20"/>
        <v>495.41600407017017</v>
      </c>
      <c r="E224" s="23">
        <f t="shared" si="21"/>
        <v>-1.4891909270004362</v>
      </c>
      <c r="F224" s="23">
        <f t="shared" si="22"/>
        <v>1.4891909270004362</v>
      </c>
      <c r="H224" s="13"/>
      <c r="I224" s="14"/>
    </row>
    <row r="225" spans="1:9" x14ac:dyDescent="0.3">
      <c r="A225" s="2">
        <v>43794</v>
      </c>
      <c r="B225" s="1">
        <v>66.592500000000001</v>
      </c>
      <c r="C225" s="1">
        <f>'Historical Simulation'!D225</f>
        <v>199.79</v>
      </c>
      <c r="D225" s="22">
        <f t="shared" si="20"/>
        <v>496.90519499717061</v>
      </c>
      <c r="E225" s="23">
        <f t="shared" si="21"/>
        <v>0.57406203485805918</v>
      </c>
      <c r="F225" s="23">
        <f t="shared" si="22"/>
        <v>-0.57406203485805918</v>
      </c>
      <c r="H225" s="13"/>
      <c r="I225" s="14"/>
    </row>
    <row r="226" spans="1:9" x14ac:dyDescent="0.3">
      <c r="A226" s="2">
        <v>43791</v>
      </c>
      <c r="B226" s="1">
        <v>65.444999999999993</v>
      </c>
      <c r="C226" s="1">
        <f>'Historical Simulation'!D226</f>
        <v>198.82</v>
      </c>
      <c r="D226" s="22">
        <f t="shared" si="20"/>
        <v>496.33113296231255</v>
      </c>
      <c r="E226" s="23">
        <f t="shared" si="21"/>
        <v>3.0035280111098359</v>
      </c>
      <c r="F226" s="23">
        <f t="shared" si="22"/>
        <v>-3.0035280111098359</v>
      </c>
      <c r="H226" s="13"/>
      <c r="I226" s="14"/>
    </row>
    <row r="227" spans="1:9" x14ac:dyDescent="0.3">
      <c r="A227" s="2">
        <v>43790</v>
      </c>
      <c r="B227" s="1">
        <v>65.502499999999998</v>
      </c>
      <c r="C227" s="1">
        <f>'Historical Simulation'!D227</f>
        <v>197.93</v>
      </c>
      <c r="D227" s="22">
        <f t="shared" si="20"/>
        <v>493.32760495120272</v>
      </c>
      <c r="E227" s="23">
        <f t="shared" si="21"/>
        <v>2.0149050426846884</v>
      </c>
      <c r="F227" s="23">
        <f t="shared" si="22"/>
        <v>-2.0149050426846884</v>
      </c>
      <c r="H227" s="13"/>
      <c r="I227" s="14"/>
    </row>
    <row r="228" spans="1:9" x14ac:dyDescent="0.3">
      <c r="A228" s="2">
        <v>43789</v>
      </c>
      <c r="B228" s="1">
        <v>65.797499999999999</v>
      </c>
      <c r="C228" s="1">
        <f>'Historical Simulation'!D228</f>
        <v>197.51</v>
      </c>
      <c r="D228" s="22">
        <f t="shared" si="20"/>
        <v>491.31269990851803</v>
      </c>
      <c r="E228" s="23">
        <f t="shared" si="21"/>
        <v>-4.1187086981518632</v>
      </c>
      <c r="F228" s="23">
        <f t="shared" si="22"/>
        <v>4.1187086981518632</v>
      </c>
      <c r="H228" s="13"/>
      <c r="I228" s="14"/>
    </row>
    <row r="229" spans="1:9" x14ac:dyDescent="0.3">
      <c r="A229" s="2">
        <v>43788</v>
      </c>
      <c r="B229" s="1">
        <v>66.572500000000005</v>
      </c>
      <c r="C229" s="1">
        <f>'Historical Simulation'!D229</f>
        <v>199.32</v>
      </c>
      <c r="D229" s="22">
        <f t="shared" si="20"/>
        <v>495.43140860666989</v>
      </c>
      <c r="E229" s="23">
        <f t="shared" si="21"/>
        <v>6.6545258085287173</v>
      </c>
      <c r="F229" s="23">
        <f t="shared" si="22"/>
        <v>-6.6545258085287173</v>
      </c>
      <c r="H229" s="13"/>
      <c r="I229" s="14"/>
    </row>
    <row r="230" spans="1:9" x14ac:dyDescent="0.3">
      <c r="A230" s="2">
        <v>43787</v>
      </c>
      <c r="B230" s="1">
        <v>66.775000000000006</v>
      </c>
      <c r="C230" s="1">
        <f>'Historical Simulation'!D230</f>
        <v>197.4</v>
      </c>
      <c r="D230" s="22">
        <f t="shared" si="20"/>
        <v>488.77688279814117</v>
      </c>
      <c r="E230" s="23">
        <f t="shared" si="21"/>
        <v>6.6832005718533765</v>
      </c>
      <c r="F230" s="23">
        <f t="shared" si="22"/>
        <v>-6.6832005718533765</v>
      </c>
      <c r="H230" s="13"/>
      <c r="I230" s="14"/>
    </row>
    <row r="231" spans="1:9" x14ac:dyDescent="0.3">
      <c r="A231" s="2">
        <v>43784</v>
      </c>
      <c r="B231" s="1">
        <v>66.44</v>
      </c>
      <c r="C231" s="1">
        <f>'Historical Simulation'!D231</f>
        <v>195.1</v>
      </c>
      <c r="D231" s="22">
        <f t="shared" si="20"/>
        <v>482.0936822262878</v>
      </c>
      <c r="E231" s="23">
        <f t="shared" si="21"/>
        <v>4.5598446153019268</v>
      </c>
      <c r="F231" s="23">
        <f t="shared" si="22"/>
        <v>-4.5598446153019268</v>
      </c>
      <c r="H231" s="13"/>
      <c r="I231" s="14"/>
    </row>
    <row r="232" spans="1:9" x14ac:dyDescent="0.3">
      <c r="A232" s="2">
        <v>43783</v>
      </c>
      <c r="B232" s="1">
        <v>65.66</v>
      </c>
      <c r="C232" s="1">
        <f>'Historical Simulation'!D232</f>
        <v>193.15</v>
      </c>
      <c r="D232" s="22">
        <f t="shared" si="20"/>
        <v>477.53383761098587</v>
      </c>
      <c r="E232" s="23">
        <f t="shared" si="21"/>
        <v>0.89129070674249533</v>
      </c>
      <c r="F232" s="23">
        <f t="shared" si="22"/>
        <v>-0.89129070674249533</v>
      </c>
      <c r="H232" s="13"/>
      <c r="I232" s="14"/>
    </row>
    <row r="233" spans="1:9" x14ac:dyDescent="0.3">
      <c r="A233" s="2">
        <v>43782</v>
      </c>
      <c r="B233" s="1">
        <v>66.117500000000007</v>
      </c>
      <c r="C233" s="1">
        <f>'Historical Simulation'!D233</f>
        <v>193.19</v>
      </c>
      <c r="D233" s="22">
        <f t="shared" si="20"/>
        <v>476.64254690424337</v>
      </c>
      <c r="E233" s="23">
        <f t="shared" si="21"/>
        <v>-5.5349389775117288</v>
      </c>
      <c r="F233" s="23">
        <f t="shared" si="22"/>
        <v>5.5349389775117288</v>
      </c>
      <c r="H233" s="13"/>
      <c r="I233" s="14"/>
    </row>
    <row r="234" spans="1:9" x14ac:dyDescent="0.3">
      <c r="A234" s="2">
        <v>43781</v>
      </c>
      <c r="B234" s="1">
        <v>65.489999999999995</v>
      </c>
      <c r="C234" s="1">
        <f>'Historical Simulation'!D234</f>
        <v>194.47</v>
      </c>
      <c r="D234" s="22">
        <f t="shared" si="20"/>
        <v>482.1774858817551</v>
      </c>
      <c r="E234" s="23">
        <f t="shared" si="21"/>
        <v>15.834731202808484</v>
      </c>
      <c r="F234" s="23">
        <f t="shared" si="22"/>
        <v>-15.834731202808484</v>
      </c>
      <c r="H234" s="13"/>
      <c r="I234" s="14"/>
    </row>
    <row r="235" spans="1:9" x14ac:dyDescent="0.3">
      <c r="A235" s="2">
        <v>43780</v>
      </c>
      <c r="B235" s="1">
        <v>65.55</v>
      </c>
      <c r="C235" s="1">
        <f>'Historical Simulation'!D235</f>
        <v>189.61</v>
      </c>
      <c r="D235" s="22">
        <f t="shared" si="20"/>
        <v>466.34275467894662</v>
      </c>
      <c r="E235" s="23">
        <f t="shared" si="21"/>
        <v>-5.1224605587196947</v>
      </c>
      <c r="F235" s="23">
        <f t="shared" si="22"/>
        <v>5.1224605587196947</v>
      </c>
      <c r="H235" s="13"/>
      <c r="I235" s="14"/>
    </row>
    <row r="236" spans="1:9" x14ac:dyDescent="0.3">
      <c r="A236" s="2">
        <v>43777</v>
      </c>
      <c r="B236" s="1">
        <v>65.034999999999997</v>
      </c>
      <c r="C236" s="1">
        <f>'Historical Simulation'!D236</f>
        <v>190.84</v>
      </c>
      <c r="D236" s="22">
        <f t="shared" si="20"/>
        <v>471.46521523766631</v>
      </c>
      <c r="E236" s="23">
        <f t="shared" si="21"/>
        <v>0.96092933265884994</v>
      </c>
      <c r="F236" s="23">
        <f t="shared" si="22"/>
        <v>-0.96092933265884994</v>
      </c>
      <c r="H236" s="13"/>
      <c r="I236" s="14"/>
    </row>
    <row r="237" spans="1:9" x14ac:dyDescent="0.3">
      <c r="A237" s="2">
        <v>43776</v>
      </c>
      <c r="B237" s="1">
        <v>64.857500000000002</v>
      </c>
      <c r="C237" s="1">
        <f>'Historical Simulation'!D237</f>
        <v>190.42</v>
      </c>
      <c r="D237" s="22">
        <f t="shared" si="20"/>
        <v>470.50428590500746</v>
      </c>
      <c r="E237" s="23">
        <f t="shared" si="21"/>
        <v>-4.8718926001446334</v>
      </c>
      <c r="F237" s="23">
        <f t="shared" si="22"/>
        <v>4.8718926001446334</v>
      </c>
      <c r="H237" s="13"/>
      <c r="I237" s="14"/>
    </row>
    <row r="238" spans="1:9" x14ac:dyDescent="0.3">
      <c r="A238" s="2">
        <v>43775</v>
      </c>
      <c r="B238" s="1">
        <v>64.31</v>
      </c>
      <c r="C238" s="1">
        <f>'Historical Simulation'!D238</f>
        <v>191.55</v>
      </c>
      <c r="D238" s="22">
        <f t="shared" si="20"/>
        <v>475.3761785051521</v>
      </c>
      <c r="E238" s="23">
        <f t="shared" si="21"/>
        <v>-9.0102053942797511</v>
      </c>
      <c r="F238" s="23">
        <f t="shared" si="22"/>
        <v>9.0102053942797511</v>
      </c>
      <c r="H238" s="13"/>
      <c r="I238" s="14"/>
    </row>
    <row r="239" spans="1:9" x14ac:dyDescent="0.3">
      <c r="A239" s="2">
        <v>43774</v>
      </c>
      <c r="B239" s="1">
        <v>64.282499999999999</v>
      </c>
      <c r="C239" s="1">
        <f>'Historical Simulation'!D239</f>
        <v>194.32</v>
      </c>
      <c r="D239" s="22">
        <f t="shared" si="20"/>
        <v>484.38638389943185</v>
      </c>
      <c r="E239" s="23">
        <f t="shared" si="21"/>
        <v>-1.0859207001755635</v>
      </c>
      <c r="F239" s="23">
        <f t="shared" si="22"/>
        <v>1.0859207001755635</v>
      </c>
      <c r="H239" s="13"/>
      <c r="I239" s="14"/>
    </row>
    <row r="240" spans="1:9" x14ac:dyDescent="0.3">
      <c r="A240" s="2">
        <v>43773</v>
      </c>
      <c r="B240" s="1">
        <v>64.375</v>
      </c>
      <c r="C240" s="1">
        <f>'Historical Simulation'!D240</f>
        <v>194.72</v>
      </c>
      <c r="D240" s="22">
        <f t="shared" si="20"/>
        <v>485.47230459960741</v>
      </c>
      <c r="E240" s="23">
        <f t="shared" si="21"/>
        <v>2.616832767867777</v>
      </c>
      <c r="F240" s="23">
        <f t="shared" si="22"/>
        <v>-2.616832767867777</v>
      </c>
      <c r="H240" s="13"/>
      <c r="I240" s="14"/>
    </row>
    <row r="241" spans="1:9" x14ac:dyDescent="0.3">
      <c r="A241" s="2">
        <v>43770</v>
      </c>
      <c r="B241" s="1">
        <v>63.954999999999998</v>
      </c>
      <c r="C241" s="1">
        <f>'Historical Simulation'!D241</f>
        <v>193.62</v>
      </c>
      <c r="D241" s="22">
        <f t="shared" si="20"/>
        <v>482.85547183173964</v>
      </c>
      <c r="E241" s="23">
        <f t="shared" si="21"/>
        <v>2.4272804667837704</v>
      </c>
      <c r="F241" s="23">
        <f t="shared" si="22"/>
        <v>-2.4272804667837704</v>
      </c>
      <c r="H241" s="13"/>
      <c r="I241" s="14"/>
    </row>
    <row r="242" spans="1:9" x14ac:dyDescent="0.3">
      <c r="A242" s="2">
        <v>43769</v>
      </c>
      <c r="B242" s="1">
        <v>62.19</v>
      </c>
      <c r="C242" s="1">
        <f>'Historical Simulation'!D242</f>
        <v>191.65</v>
      </c>
      <c r="D242" s="22">
        <f t="shared" si="20"/>
        <v>480.42819136495586</v>
      </c>
      <c r="E242" s="23">
        <f t="shared" si="21"/>
        <v>7.9170387572534082</v>
      </c>
      <c r="F242" s="23">
        <f t="shared" si="22"/>
        <v>-7.9170387572534082</v>
      </c>
      <c r="H242" s="13"/>
      <c r="I242" s="14"/>
    </row>
    <row r="243" spans="1:9" x14ac:dyDescent="0.3">
      <c r="A243" s="2">
        <v>43768</v>
      </c>
      <c r="B243" s="1">
        <v>60.814999999999998</v>
      </c>
      <c r="C243" s="1">
        <f>'Historical Simulation'!D243</f>
        <v>188.25</v>
      </c>
      <c r="D243" s="22">
        <f t="shared" si="20"/>
        <v>472.51115260770246</v>
      </c>
      <c r="E243" s="23">
        <f t="shared" si="21"/>
        <v>-3.4077448355600382</v>
      </c>
      <c r="F243" s="23">
        <f t="shared" si="22"/>
        <v>3.4077448355600382</v>
      </c>
      <c r="H243" s="13"/>
      <c r="I243" s="14"/>
    </row>
    <row r="244" spans="1:9" x14ac:dyDescent="0.3">
      <c r="A244" s="2">
        <v>43767</v>
      </c>
      <c r="B244" s="1">
        <v>60.822499999999998</v>
      </c>
      <c r="C244" s="1">
        <f>'Historical Simulation'!D244</f>
        <v>189.31</v>
      </c>
      <c r="D244" s="22">
        <f t="shared" si="20"/>
        <v>475.91889744326249</v>
      </c>
      <c r="E244" s="23">
        <f t="shared" si="21"/>
        <v>2.9213591715023313</v>
      </c>
      <c r="F244" s="23">
        <f t="shared" si="22"/>
        <v>-2.9213591715023313</v>
      </c>
      <c r="H244" s="13"/>
      <c r="I244" s="14"/>
    </row>
    <row r="245" spans="1:9" x14ac:dyDescent="0.3">
      <c r="A245" s="2">
        <v>43766</v>
      </c>
      <c r="B245" s="1">
        <v>62.262500000000003</v>
      </c>
      <c r="C245" s="1">
        <f>'Historical Simulation'!D245</f>
        <v>189.4</v>
      </c>
      <c r="D245" s="22">
        <f t="shared" si="20"/>
        <v>472.99753827176016</v>
      </c>
      <c r="E245" s="23">
        <f t="shared" si="21"/>
        <v>3.5008430078265746</v>
      </c>
      <c r="F245" s="23">
        <f t="shared" si="22"/>
        <v>-3.5008430078265746</v>
      </c>
      <c r="H245" s="13"/>
      <c r="I245" s="14"/>
    </row>
    <row r="246" spans="1:9" x14ac:dyDescent="0.3">
      <c r="A246" s="2">
        <v>43763</v>
      </c>
      <c r="B246" s="1">
        <v>61.645000000000003</v>
      </c>
      <c r="C246" s="1">
        <f>'Historical Simulation'!D246</f>
        <v>187.89</v>
      </c>
      <c r="D246" s="22">
        <f t="shared" si="20"/>
        <v>469.49669526393359</v>
      </c>
      <c r="E246" s="23">
        <f t="shared" si="21"/>
        <v>3.2052836817345565</v>
      </c>
      <c r="F246" s="23">
        <f t="shared" si="22"/>
        <v>-3.2052836817345565</v>
      </c>
    </row>
    <row r="247" spans="1:9" x14ac:dyDescent="0.3">
      <c r="A247" s="2">
        <v>43762</v>
      </c>
      <c r="B247" s="1">
        <v>60.895000000000003</v>
      </c>
      <c r="C247" s="1">
        <f>'Historical Simulation'!D247</f>
        <v>186.38</v>
      </c>
      <c r="D247" s="22">
        <f t="shared" si="20"/>
        <v>466.29141158219903</v>
      </c>
      <c r="E247" s="23">
        <f t="shared" si="21"/>
        <v>0.51998273503352266</v>
      </c>
      <c r="F247" s="23">
        <f t="shared" si="22"/>
        <v>-0.51998273503352266</v>
      </c>
    </row>
    <row r="248" spans="1:9" x14ac:dyDescent="0.3">
      <c r="A248" s="2">
        <v>43761</v>
      </c>
      <c r="B248" s="1">
        <v>60.795000000000002</v>
      </c>
      <c r="C248" s="1">
        <f>'Historical Simulation'!D248</f>
        <v>186.15</v>
      </c>
      <c r="D248" s="22">
        <f t="shared" si="20"/>
        <v>465.77142884716551</v>
      </c>
      <c r="E248" s="23">
        <f t="shared" si="21"/>
        <v>10.513062452121801</v>
      </c>
      <c r="F248" s="23">
        <f t="shared" si="22"/>
        <v>-10.513062452121801</v>
      </c>
    </row>
    <row r="249" spans="1:9" x14ac:dyDescent="0.3">
      <c r="A249" s="2">
        <v>43760</v>
      </c>
      <c r="B249" s="1">
        <v>59.99</v>
      </c>
      <c r="C249" s="1">
        <f>'Historical Simulation'!D249</f>
        <v>182.34</v>
      </c>
      <c r="D249" s="22">
        <f t="shared" si="20"/>
        <v>455.25836639504371</v>
      </c>
      <c r="E249" s="23">
        <f t="shared" si="21"/>
        <v>-23.664609752937508</v>
      </c>
      <c r="F249" s="23">
        <f t="shared" si="22"/>
        <v>23.664609752937508</v>
      </c>
    </row>
    <row r="250" spans="1:9" x14ac:dyDescent="0.3">
      <c r="A250" s="2">
        <v>43759</v>
      </c>
      <c r="B250" s="1">
        <v>60.127499999999998</v>
      </c>
      <c r="C250" s="1">
        <f>'Historical Simulation'!D250</f>
        <v>189.76</v>
      </c>
      <c r="D250" s="22">
        <f t="shared" si="20"/>
        <v>478.92297614798122</v>
      </c>
      <c r="E250" s="23">
        <f t="shared" si="21"/>
        <v>10.345386081321692</v>
      </c>
      <c r="F250" s="23">
        <f t="shared" si="22"/>
        <v>-10.345386081321692</v>
      </c>
    </row>
    <row r="251" spans="1:9" x14ac:dyDescent="0.3">
      <c r="A251" s="2">
        <v>43756</v>
      </c>
      <c r="B251" s="1">
        <v>59.102499999999999</v>
      </c>
      <c r="C251" s="1">
        <f>'Historical Simulation'!D251</f>
        <v>185.85</v>
      </c>
      <c r="D251" s="22">
        <f t="shared" si="20"/>
        <v>468.57759006665952</v>
      </c>
      <c r="E251" s="23">
        <f t="shared" si="21"/>
        <v>-15.297244151533221</v>
      </c>
      <c r="F251" s="23">
        <f t="shared" si="22"/>
        <v>15.297244151533221</v>
      </c>
    </row>
    <row r="252" spans="1:9" x14ac:dyDescent="0.3">
      <c r="A252" s="2">
        <v>43755</v>
      </c>
      <c r="B252" s="1">
        <v>58.82</v>
      </c>
      <c r="C252" s="1">
        <f>'Historical Simulation'!D252</f>
        <v>190.39</v>
      </c>
      <c r="D252" s="22">
        <f t="shared" si="20"/>
        <v>483.87483421819275</v>
      </c>
      <c r="E252" s="23">
        <f t="shared" si="21"/>
        <v>2.206264809292577</v>
      </c>
      <c r="F252" s="23">
        <f t="shared" si="22"/>
        <v>-2.206264809292577</v>
      </c>
    </row>
    <row r="253" spans="1:9" x14ac:dyDescent="0.3">
      <c r="A253" s="2">
        <v>43754</v>
      </c>
      <c r="B253" s="1">
        <v>58.592500000000001</v>
      </c>
      <c r="C253" s="1">
        <f>'Historical Simulation'!D253</f>
        <v>189.55</v>
      </c>
      <c r="D253" s="22">
        <f t="shared" si="20"/>
        <v>481.66856940890017</v>
      </c>
      <c r="E253" s="23">
        <f t="shared" si="21"/>
        <v>2.6619961899432951</v>
      </c>
      <c r="F253" s="23">
        <f t="shared" si="22"/>
        <v>-2.6619961899432951</v>
      </c>
    </row>
    <row r="254" spans="1:9" x14ac:dyDescent="0.3">
      <c r="A254" s="2">
        <v>43753</v>
      </c>
      <c r="B254" s="1">
        <v>58.83</v>
      </c>
      <c r="C254" s="1">
        <f>'Historical Simulation'!D254</f>
        <v>188.89</v>
      </c>
      <c r="D254" s="22">
        <f t="shared" si="20"/>
        <v>479.00657321895687</v>
      </c>
      <c r="E254" s="23">
        <f t="shared" si="21"/>
        <v>18.430582843118145</v>
      </c>
      <c r="F254" s="23">
        <f t="shared" si="22"/>
        <v>-18.430582843118145</v>
      </c>
    </row>
    <row r="255" spans="1:9" x14ac:dyDescent="0.3">
      <c r="A255" s="2">
        <v>43752</v>
      </c>
      <c r="B255" s="1">
        <v>58.967500000000001</v>
      </c>
      <c r="C255" s="1">
        <f>'Historical Simulation'!D255</f>
        <v>183.28</v>
      </c>
      <c r="D255" s="22">
        <f t="shared" si="20"/>
        <v>460.57599037583873</v>
      </c>
      <c r="E255" s="23">
        <f t="shared" si="21"/>
        <v>-2.7502750492513428</v>
      </c>
      <c r="F255" s="23">
        <f t="shared" si="22"/>
        <v>2.7502750492513428</v>
      </c>
    </row>
    <row r="256" spans="1:9" x14ac:dyDescent="0.3">
      <c r="A256" s="2">
        <v>43749</v>
      </c>
      <c r="B256" s="1">
        <v>59.052500000000002</v>
      </c>
      <c r="C256" s="1">
        <f>'Historical Simulation'!D256</f>
        <v>184.19</v>
      </c>
      <c r="D256" s="22">
        <f t="shared" si="20"/>
        <v>463.32626542509007</v>
      </c>
      <c r="E256" s="23">
        <f t="shared" si="21"/>
        <v>10.026573793371142</v>
      </c>
      <c r="F256" s="23">
        <f t="shared" si="22"/>
        <v>-10.026573793371142</v>
      </c>
    </row>
    <row r="257" spans="1:6" x14ac:dyDescent="0.3">
      <c r="A257" s="2">
        <v>43748</v>
      </c>
      <c r="B257" s="1">
        <v>57.522500000000001</v>
      </c>
      <c r="C257" s="1">
        <f>'Historical Simulation'!D257</f>
        <v>180.03</v>
      </c>
      <c r="D257" s="22">
        <f t="shared" si="20"/>
        <v>453.29969163171893</v>
      </c>
      <c r="E257" s="23">
        <f t="shared" si="21"/>
        <v>-1.1249223076509907</v>
      </c>
      <c r="F257" s="23">
        <f t="shared" si="22"/>
        <v>1.1249223076509907</v>
      </c>
    </row>
    <row r="258" spans="1:6" x14ac:dyDescent="0.3">
      <c r="A258" s="2">
        <v>43747</v>
      </c>
      <c r="B258" s="1">
        <v>56.7575</v>
      </c>
      <c r="C258" s="1">
        <f>'Historical Simulation'!D258</f>
        <v>179.85</v>
      </c>
      <c r="D258" s="22">
        <f t="shared" si="20"/>
        <v>454.42461393936992</v>
      </c>
      <c r="E258" s="23">
        <f t="shared" si="21"/>
        <v>5.3176930406607426</v>
      </c>
      <c r="F258" s="23">
        <f t="shared" si="22"/>
        <v>-5.3176930406607426</v>
      </c>
    </row>
    <row r="259" spans="1:6" x14ac:dyDescent="0.3">
      <c r="A259" s="2">
        <v>43746</v>
      </c>
      <c r="B259" s="1">
        <v>56.1</v>
      </c>
      <c r="C259" s="1">
        <f>'Historical Simulation'!D259</f>
        <v>177.75</v>
      </c>
      <c r="D259" s="22">
        <f t="shared" si="20"/>
        <v>449.10692089870918</v>
      </c>
      <c r="E259" s="23">
        <f t="shared" si="21"/>
        <v>-4.7517550755188722</v>
      </c>
      <c r="F259" s="23">
        <f t="shared" si="22"/>
        <v>4.7517550755188722</v>
      </c>
    </row>
    <row r="260" spans="1:6" x14ac:dyDescent="0.3">
      <c r="A260" s="2">
        <v>43745</v>
      </c>
      <c r="B260" s="1">
        <v>56.765000000000001</v>
      </c>
      <c r="C260" s="1">
        <f>'Historical Simulation'!D260</f>
        <v>179.68</v>
      </c>
      <c r="D260" s="22">
        <f t="shared" si="20"/>
        <v>453.85867597422805</v>
      </c>
      <c r="E260" s="23">
        <f t="shared" si="21"/>
        <v>-2.5154730012595792</v>
      </c>
      <c r="F260" s="23">
        <f t="shared" si="22"/>
        <v>2.5154730012595792</v>
      </c>
    </row>
    <row r="261" spans="1:6" x14ac:dyDescent="0.3">
      <c r="A261" s="2">
        <v>43742</v>
      </c>
      <c r="B261" s="1">
        <v>56.752499999999998</v>
      </c>
      <c r="C261" s="1">
        <f>'Historical Simulation'!D261</f>
        <v>180.45</v>
      </c>
      <c r="D261" s="22">
        <f t="shared" si="20"/>
        <v>456.37414897548763</v>
      </c>
      <c r="E261" s="23">
        <f t="shared" si="21"/>
        <v>4.8711078574683597E-3</v>
      </c>
      <c r="F261" s="23">
        <f t="shared" si="22"/>
        <v>-4.8711078574683597E-3</v>
      </c>
    </row>
    <row r="262" spans="1:6" x14ac:dyDescent="0.3">
      <c r="A262" s="2">
        <v>43741</v>
      </c>
      <c r="B262" s="1">
        <v>55.204999999999998</v>
      </c>
      <c r="C262" s="1">
        <f>'Historical Simulation'!D262</f>
        <v>179.38</v>
      </c>
      <c r="D262" s="22">
        <f t="shared" ref="D262:D325" si="23">$M$16*B262+(1-$M$16)*C262</f>
        <v>456.36927786763016</v>
      </c>
      <c r="E262" s="23">
        <f t="shared" ref="E262:E325" si="24">D262-D263</f>
        <v>14.405196166690757</v>
      </c>
      <c r="F262" s="23">
        <f t="shared" ref="F262:F325" si="25">-E262</f>
        <v>-14.405196166690757</v>
      </c>
    </row>
    <row r="263" spans="1:6" x14ac:dyDescent="0.3">
      <c r="A263" s="2">
        <v>43740</v>
      </c>
      <c r="B263" s="1">
        <v>54.74</v>
      </c>
      <c r="C263" s="1">
        <f>'Historical Simulation'!D263</f>
        <v>174.6</v>
      </c>
      <c r="D263" s="22">
        <f t="shared" si="23"/>
        <v>441.9640817009394</v>
      </c>
      <c r="E263" s="23">
        <f t="shared" si="24"/>
        <v>-0.76944930639132281</v>
      </c>
      <c r="F263" s="23">
        <f t="shared" si="25"/>
        <v>0.76944930639132281</v>
      </c>
    </row>
    <row r="264" spans="1:6" x14ac:dyDescent="0.3">
      <c r="A264" s="2">
        <v>43739</v>
      </c>
      <c r="B264" s="1">
        <v>56.147500000000001</v>
      </c>
      <c r="C264" s="1">
        <f>'Historical Simulation'!D264</f>
        <v>175.81</v>
      </c>
      <c r="D264" s="22">
        <f t="shared" si="23"/>
        <v>442.73353100733073</v>
      </c>
      <c r="E264" s="23">
        <f t="shared" si="24"/>
        <v>-7.6792933265875263</v>
      </c>
      <c r="F264" s="23">
        <f t="shared" si="25"/>
        <v>7.6792933265875263</v>
      </c>
    </row>
    <row r="265" spans="1:6" x14ac:dyDescent="0.3">
      <c r="A265" s="2">
        <v>43738</v>
      </c>
      <c r="B265" s="1">
        <v>55.9925</v>
      </c>
      <c r="C265" s="1">
        <f>'Historical Simulation'!D265</f>
        <v>178.08</v>
      </c>
      <c r="D265" s="22">
        <f t="shared" si="23"/>
        <v>450.41282433391825</v>
      </c>
      <c r="E265" s="23">
        <f t="shared" si="24"/>
        <v>0.29407929982448877</v>
      </c>
      <c r="F265" s="23">
        <f t="shared" si="25"/>
        <v>-0.29407929982448877</v>
      </c>
    </row>
    <row r="266" spans="1:6" x14ac:dyDescent="0.3">
      <c r="A266" s="2">
        <v>43735</v>
      </c>
      <c r="B266" s="1">
        <v>54.704999999999998</v>
      </c>
      <c r="C266" s="1">
        <f>'Historical Simulation'!D266</f>
        <v>177.1</v>
      </c>
      <c r="D266" s="22">
        <f t="shared" si="23"/>
        <v>450.11874503409376</v>
      </c>
      <c r="E266" s="23">
        <f t="shared" si="24"/>
        <v>-9.1275203909964375</v>
      </c>
      <c r="F266" s="23">
        <f t="shared" si="25"/>
        <v>9.1275203909964375</v>
      </c>
    </row>
    <row r="267" spans="1:6" x14ac:dyDescent="0.3">
      <c r="A267" s="2">
        <v>43734</v>
      </c>
      <c r="B267" s="1">
        <v>54.972499999999997</v>
      </c>
      <c r="C267" s="1">
        <f>'Historical Simulation'!D267</f>
        <v>180.11</v>
      </c>
      <c r="D267" s="22">
        <f t="shared" si="23"/>
        <v>459.2462654250902</v>
      </c>
      <c r="E267" s="23">
        <f t="shared" si="24"/>
        <v>-8.0546805981207967</v>
      </c>
      <c r="F267" s="23">
        <f t="shared" si="25"/>
        <v>8.0546805981207967</v>
      </c>
    </row>
    <row r="268" spans="1:6" x14ac:dyDescent="0.3">
      <c r="A268" s="2">
        <v>43733</v>
      </c>
      <c r="B268" s="1">
        <v>55.2575</v>
      </c>
      <c r="C268" s="1">
        <f>'Historical Simulation'!D268</f>
        <v>182.8</v>
      </c>
      <c r="D268" s="22">
        <f t="shared" si="23"/>
        <v>467.300946023211</v>
      </c>
      <c r="E268" s="23">
        <f t="shared" si="24"/>
        <v>3.0424093589262498</v>
      </c>
      <c r="F268" s="23">
        <f t="shared" si="25"/>
        <v>-3.0424093589262498</v>
      </c>
    </row>
    <row r="269" spans="1:6" x14ac:dyDescent="0.3">
      <c r="A269" s="2">
        <v>43732</v>
      </c>
      <c r="B269" s="1">
        <v>54.42</v>
      </c>
      <c r="C269" s="1">
        <f>'Historical Simulation'!D269</f>
        <v>181.28</v>
      </c>
      <c r="D269" s="22">
        <f t="shared" si="23"/>
        <v>464.25853666428475</v>
      </c>
      <c r="E269" s="23">
        <f t="shared" si="24"/>
        <v>-17.317760315209057</v>
      </c>
      <c r="F269" s="23">
        <f t="shared" si="25"/>
        <v>17.317760315209057</v>
      </c>
    </row>
    <row r="270" spans="1:6" x14ac:dyDescent="0.3">
      <c r="A270" s="2">
        <v>43731</v>
      </c>
      <c r="B270" s="1">
        <v>54.68</v>
      </c>
      <c r="C270" s="1">
        <f>'Historical Simulation'!D270</f>
        <v>186.82</v>
      </c>
      <c r="D270" s="22">
        <f t="shared" si="23"/>
        <v>481.5762969794938</v>
      </c>
      <c r="E270" s="23">
        <f t="shared" si="24"/>
        <v>-10.599361791347462</v>
      </c>
      <c r="F270" s="23">
        <f t="shared" si="25"/>
        <v>10.599361791347462</v>
      </c>
    </row>
    <row r="271" spans="1:6" x14ac:dyDescent="0.3">
      <c r="A271" s="2">
        <v>43728</v>
      </c>
      <c r="B271" s="1">
        <v>54.432499999999997</v>
      </c>
      <c r="C271" s="1">
        <f>'Historical Simulation'!D271</f>
        <v>189.93</v>
      </c>
      <c r="D271" s="22">
        <f t="shared" si="23"/>
        <v>492.17565877084127</v>
      </c>
      <c r="E271" s="23">
        <f t="shared" si="24"/>
        <v>1.1228052629427907</v>
      </c>
      <c r="F271" s="23">
        <f t="shared" si="25"/>
        <v>-1.1228052629427907</v>
      </c>
    </row>
    <row r="272" spans="1:6" x14ac:dyDescent="0.3">
      <c r="A272" s="2">
        <v>43727</v>
      </c>
      <c r="B272" s="1">
        <v>55.24</v>
      </c>
      <c r="C272" s="1">
        <f>'Historical Simulation'!D272</f>
        <v>190.14</v>
      </c>
      <c r="D272" s="22">
        <f t="shared" si="23"/>
        <v>491.05285350789848</v>
      </c>
      <c r="E272" s="23">
        <f t="shared" si="24"/>
        <v>7.4706358282292058</v>
      </c>
      <c r="F272" s="23">
        <f t="shared" si="25"/>
        <v>-7.4706358282292058</v>
      </c>
    </row>
    <row r="273" spans="1:6" x14ac:dyDescent="0.3">
      <c r="A273" s="2">
        <v>43726</v>
      </c>
      <c r="B273" s="1">
        <v>55.692500000000003</v>
      </c>
      <c r="C273" s="1">
        <f>'Historical Simulation'!D273</f>
        <v>188.14</v>
      </c>
      <c r="D273" s="22">
        <f t="shared" si="23"/>
        <v>483.58221767966927</v>
      </c>
      <c r="E273" s="23">
        <f t="shared" si="24"/>
        <v>-0.96051616367594761</v>
      </c>
      <c r="F273" s="23">
        <f t="shared" si="25"/>
        <v>0.96051616367594761</v>
      </c>
    </row>
    <row r="274" spans="1:6" x14ac:dyDescent="0.3">
      <c r="A274" s="2">
        <v>43725</v>
      </c>
      <c r="B274" s="1">
        <v>55.174999999999997</v>
      </c>
      <c r="C274" s="1">
        <f>'Historical Simulation'!D274</f>
        <v>188.08</v>
      </c>
      <c r="D274" s="22">
        <f t="shared" si="23"/>
        <v>484.54273384334522</v>
      </c>
      <c r="E274" s="23">
        <f t="shared" si="24"/>
        <v>5.5628564627362493</v>
      </c>
      <c r="F274" s="23">
        <f t="shared" si="25"/>
        <v>-5.5628564627362493</v>
      </c>
    </row>
    <row r="275" spans="1:6" x14ac:dyDescent="0.3">
      <c r="A275" s="2">
        <v>43724</v>
      </c>
      <c r="B275" s="1">
        <v>54.975000000000001</v>
      </c>
      <c r="C275" s="1">
        <f>'Historical Simulation'!D275</f>
        <v>186.22</v>
      </c>
      <c r="D275" s="22">
        <f t="shared" si="23"/>
        <v>478.97987738060897</v>
      </c>
      <c r="E275" s="23">
        <f t="shared" si="24"/>
        <v>-3.7750253023438631</v>
      </c>
      <c r="F275" s="23">
        <f t="shared" si="25"/>
        <v>3.7750253023438631</v>
      </c>
    </row>
    <row r="276" spans="1:6" x14ac:dyDescent="0.3">
      <c r="A276" s="2">
        <v>43721</v>
      </c>
      <c r="B276" s="1">
        <v>54.6875</v>
      </c>
      <c r="C276" s="1">
        <f>'Historical Simulation'!D276</f>
        <v>187.19</v>
      </c>
      <c r="D276" s="22">
        <f t="shared" si="23"/>
        <v>482.75490268295283</v>
      </c>
      <c r="E276" s="23">
        <f t="shared" si="24"/>
        <v>1.5127624934344794</v>
      </c>
      <c r="F276" s="23">
        <f t="shared" si="25"/>
        <v>-1.5127624934344794</v>
      </c>
    </row>
    <row r="277" spans="1:6" x14ac:dyDescent="0.3">
      <c r="A277" s="2">
        <v>43720</v>
      </c>
      <c r="B277" s="1">
        <v>55.7712</v>
      </c>
      <c r="C277" s="1">
        <f>'Historical Simulation'!D277</f>
        <v>187.47</v>
      </c>
      <c r="D277" s="22">
        <f t="shared" si="23"/>
        <v>481.24214018951835</v>
      </c>
      <c r="E277" s="23">
        <f t="shared" si="24"/>
        <v>-3.013519771534618</v>
      </c>
      <c r="F277" s="23">
        <f t="shared" si="25"/>
        <v>3.013519771534618</v>
      </c>
    </row>
    <row r="278" spans="1:6" x14ac:dyDescent="0.3">
      <c r="A278" s="2">
        <v>43719</v>
      </c>
      <c r="B278" s="1">
        <v>55.897500000000001</v>
      </c>
      <c r="C278" s="1">
        <f>'Historical Simulation'!D278</f>
        <v>188.49</v>
      </c>
      <c r="D278" s="22">
        <f t="shared" si="23"/>
        <v>484.25565996105297</v>
      </c>
      <c r="E278" s="23">
        <f t="shared" si="24"/>
        <v>3.6528052629427634</v>
      </c>
      <c r="F278" s="23">
        <f t="shared" si="25"/>
        <v>-3.6528052629427634</v>
      </c>
    </row>
    <row r="279" spans="1:6" x14ac:dyDescent="0.3">
      <c r="A279" s="2">
        <v>43718</v>
      </c>
      <c r="B279" s="1">
        <v>54.174999999999997</v>
      </c>
      <c r="C279" s="1">
        <f>'Historical Simulation'!D279</f>
        <v>186.17</v>
      </c>
      <c r="D279" s="22">
        <f t="shared" si="23"/>
        <v>480.60285469811021</v>
      </c>
      <c r="E279" s="23">
        <f t="shared" si="24"/>
        <v>-9.7782258741971759</v>
      </c>
      <c r="F279" s="23">
        <f t="shared" si="25"/>
        <v>9.7782258741971759</v>
      </c>
    </row>
    <row r="280" spans="1:6" x14ac:dyDescent="0.3">
      <c r="A280" s="2">
        <v>43717</v>
      </c>
      <c r="B280" s="1">
        <v>53.542499999999997</v>
      </c>
      <c r="C280" s="1">
        <f>'Historical Simulation'!D280</f>
        <v>188.76</v>
      </c>
      <c r="D280" s="22">
        <f t="shared" si="23"/>
        <v>490.38108057230738</v>
      </c>
      <c r="E280" s="23">
        <f t="shared" si="24"/>
        <v>3.595438471326645</v>
      </c>
      <c r="F280" s="23">
        <f t="shared" si="25"/>
        <v>-3.595438471326645</v>
      </c>
    </row>
    <row r="281" spans="1:6" x14ac:dyDescent="0.3">
      <c r="A281" s="2">
        <v>43714</v>
      </c>
      <c r="B281" s="1">
        <v>53.314999999999998</v>
      </c>
      <c r="C281" s="1">
        <f>'Historical Simulation'!D281</f>
        <v>187.49</v>
      </c>
      <c r="D281" s="22">
        <f t="shared" si="23"/>
        <v>486.78564210098074</v>
      </c>
      <c r="E281" s="23">
        <f t="shared" si="24"/>
        <v>-11.005317021455767</v>
      </c>
      <c r="F281" s="23">
        <f t="shared" si="25"/>
        <v>11.005317021455767</v>
      </c>
    </row>
    <row r="282" spans="1:6" x14ac:dyDescent="0.3">
      <c r="A282" s="2">
        <v>43713</v>
      </c>
      <c r="B282" s="1">
        <v>53.32</v>
      </c>
      <c r="C282" s="1">
        <f>'Historical Simulation'!D282</f>
        <v>190.9</v>
      </c>
      <c r="D282" s="22">
        <f t="shared" si="23"/>
        <v>497.7909591224365</v>
      </c>
      <c r="E282" s="23">
        <f t="shared" si="24"/>
        <v>9.8663672088797512</v>
      </c>
      <c r="F282" s="23">
        <f t="shared" si="25"/>
        <v>-9.8663672088797512</v>
      </c>
    </row>
    <row r="283" spans="1:6" x14ac:dyDescent="0.3">
      <c r="A283" s="2">
        <v>43712</v>
      </c>
      <c r="B283" s="1">
        <v>52.297499999999999</v>
      </c>
      <c r="C283" s="1">
        <f>'Historical Simulation'!D283</f>
        <v>187.14</v>
      </c>
      <c r="D283" s="22">
        <f t="shared" si="23"/>
        <v>487.92459191355675</v>
      </c>
      <c r="E283" s="23">
        <f t="shared" si="24"/>
        <v>13.399292731481637</v>
      </c>
      <c r="F283" s="23">
        <f t="shared" si="25"/>
        <v>-13.399292731481637</v>
      </c>
    </row>
    <row r="284" spans="1:6" x14ac:dyDescent="0.3">
      <c r="A284" s="2">
        <v>43711</v>
      </c>
      <c r="B284" s="1">
        <v>51.424999999999997</v>
      </c>
      <c r="C284" s="1">
        <f>'Historical Simulation'!D284</f>
        <v>182.39</v>
      </c>
      <c r="D284" s="22">
        <f t="shared" si="23"/>
        <v>474.52529918207512</v>
      </c>
      <c r="E284" s="23">
        <f t="shared" si="24"/>
        <v>-8.9012037868043308</v>
      </c>
      <c r="F284" s="23">
        <f t="shared" si="25"/>
        <v>8.9012037868043308</v>
      </c>
    </row>
    <row r="285" spans="1:6" x14ac:dyDescent="0.3">
      <c r="A285" s="2">
        <v>43710</v>
      </c>
      <c r="B285" s="1">
        <v>52.185000000000002</v>
      </c>
      <c r="C285" s="1">
        <f>'Historical Simulation'!D285</f>
        <v>185.67</v>
      </c>
      <c r="D285" s="22">
        <f t="shared" si="23"/>
        <v>483.42650296887945</v>
      </c>
      <c r="E285" s="23">
        <f t="shared" si="24"/>
        <v>0</v>
      </c>
      <c r="F285" s="23">
        <f t="shared" si="25"/>
        <v>0</v>
      </c>
    </row>
    <row r="286" spans="1:6" x14ac:dyDescent="0.3">
      <c r="A286" s="2">
        <v>43707</v>
      </c>
      <c r="B286" s="1">
        <v>52.185000000000002</v>
      </c>
      <c r="C286" s="1">
        <f>'Historical Simulation'!D286</f>
        <v>185.67</v>
      </c>
      <c r="D286" s="22">
        <f t="shared" si="23"/>
        <v>483.42650296887945</v>
      </c>
      <c r="E286" s="23">
        <f t="shared" si="24"/>
        <v>0.47363160090861811</v>
      </c>
      <c r="F286" s="23">
        <f t="shared" si="25"/>
        <v>-0.47363160090861811</v>
      </c>
    </row>
    <row r="287" spans="1:6" x14ac:dyDescent="0.3">
      <c r="A287" s="2">
        <v>43706</v>
      </c>
      <c r="B287" s="1">
        <v>52.252499999999998</v>
      </c>
      <c r="C287" s="1">
        <f>'Historical Simulation'!D287</f>
        <v>185.57</v>
      </c>
      <c r="D287" s="22">
        <f t="shared" si="23"/>
        <v>482.95287136797083</v>
      </c>
      <c r="E287" s="23">
        <f t="shared" si="24"/>
        <v>10.368071084605049</v>
      </c>
      <c r="F287" s="23">
        <f t="shared" si="25"/>
        <v>-10.368071084605049</v>
      </c>
    </row>
    <row r="288" spans="1:6" x14ac:dyDescent="0.3">
      <c r="A288" s="2">
        <v>43705</v>
      </c>
      <c r="B288" s="1">
        <v>51.3825</v>
      </c>
      <c r="C288" s="1">
        <f>'Historical Simulation'!D288</f>
        <v>181.76</v>
      </c>
      <c r="D288" s="22">
        <f t="shared" si="23"/>
        <v>472.58480028336578</v>
      </c>
      <c r="E288" s="23">
        <f t="shared" si="24"/>
        <v>0.72209977974182493</v>
      </c>
      <c r="F288" s="23">
        <f t="shared" si="25"/>
        <v>-0.72209977974182493</v>
      </c>
    </row>
    <row r="289" spans="1:6" x14ac:dyDescent="0.3">
      <c r="A289" s="2">
        <v>43704</v>
      </c>
      <c r="B289" s="1">
        <v>51.04</v>
      </c>
      <c r="C289" s="1">
        <f>'Historical Simulation'!D289</f>
        <v>181.3</v>
      </c>
      <c r="D289" s="22">
        <f t="shared" si="23"/>
        <v>471.86270050362396</v>
      </c>
      <c r="E289" s="23">
        <f t="shared" si="24"/>
        <v>4.3361439545275857</v>
      </c>
      <c r="F289" s="23">
        <f t="shared" si="25"/>
        <v>-4.3361439545275857</v>
      </c>
    </row>
    <row r="290" spans="1:6" x14ac:dyDescent="0.3">
      <c r="A290" s="2">
        <v>43703</v>
      </c>
      <c r="B290" s="1">
        <v>51.622500000000002</v>
      </c>
      <c r="C290" s="1">
        <f>'Historical Simulation'!D290</f>
        <v>180.36</v>
      </c>
      <c r="D290" s="22">
        <f t="shared" si="23"/>
        <v>467.52655654909637</v>
      </c>
      <c r="E290" s="23">
        <f t="shared" si="24"/>
        <v>6.2849735074444766</v>
      </c>
      <c r="F290" s="23">
        <f t="shared" si="25"/>
        <v>-6.2849735074444766</v>
      </c>
    </row>
    <row r="291" spans="1:6" x14ac:dyDescent="0.3">
      <c r="A291" s="2">
        <v>43700</v>
      </c>
      <c r="B291" s="1">
        <v>50.66</v>
      </c>
      <c r="C291" s="1">
        <f>'Historical Simulation'!D291</f>
        <v>177.75</v>
      </c>
      <c r="D291" s="22">
        <f t="shared" si="23"/>
        <v>461.24158304165189</v>
      </c>
      <c r="E291" s="23">
        <f t="shared" si="24"/>
        <v>-8.3832178368197106</v>
      </c>
      <c r="F291" s="23">
        <f t="shared" si="25"/>
        <v>8.3832178368197106</v>
      </c>
    </row>
    <row r="292" spans="1:6" x14ac:dyDescent="0.3">
      <c r="A292" s="2">
        <v>43699</v>
      </c>
      <c r="B292" s="1">
        <v>53.115000000000002</v>
      </c>
      <c r="C292" s="1">
        <f>'Historical Simulation'!D292</f>
        <v>182.04</v>
      </c>
      <c r="D292" s="22">
        <f t="shared" si="23"/>
        <v>469.6248008784716</v>
      </c>
      <c r="E292" s="23">
        <f t="shared" si="24"/>
        <v>-4.7778823601859131</v>
      </c>
      <c r="F292" s="23">
        <f t="shared" si="25"/>
        <v>4.7778823601859131</v>
      </c>
    </row>
    <row r="293" spans="1:6" x14ac:dyDescent="0.3">
      <c r="A293" s="2">
        <v>43698</v>
      </c>
      <c r="B293" s="1">
        <v>53.16</v>
      </c>
      <c r="C293" s="1">
        <f>'Historical Simulation'!D293</f>
        <v>183.55</v>
      </c>
      <c r="D293" s="22">
        <f t="shared" si="23"/>
        <v>474.40268323865752</v>
      </c>
      <c r="E293" s="23">
        <f t="shared" si="24"/>
        <v>-2.1114282313680519</v>
      </c>
      <c r="F293" s="23">
        <f t="shared" si="25"/>
        <v>2.1114282313680519</v>
      </c>
    </row>
    <row r="294" spans="1:6" x14ac:dyDescent="0.3">
      <c r="A294" s="2">
        <v>43697</v>
      </c>
      <c r="B294" s="1">
        <v>52.59</v>
      </c>
      <c r="C294" s="1">
        <f>'Historical Simulation'!D294</f>
        <v>183.81</v>
      </c>
      <c r="D294" s="22">
        <f t="shared" si="23"/>
        <v>476.51411147002557</v>
      </c>
      <c r="E294" s="23">
        <f t="shared" si="24"/>
        <v>-7.6298785501290354</v>
      </c>
      <c r="F294" s="23">
        <f t="shared" si="25"/>
        <v>7.6298785501290354</v>
      </c>
    </row>
    <row r="295" spans="1:6" x14ac:dyDescent="0.3">
      <c r="A295" s="2">
        <v>43696</v>
      </c>
      <c r="B295" s="1">
        <v>52.587499999999999</v>
      </c>
      <c r="C295" s="1">
        <f>'Historical Simulation'!D295</f>
        <v>186.17</v>
      </c>
      <c r="D295" s="22">
        <f t="shared" si="23"/>
        <v>484.1439900201546</v>
      </c>
      <c r="E295" s="23">
        <f t="shared" si="24"/>
        <v>5.8326844081775562</v>
      </c>
      <c r="F295" s="23">
        <f t="shared" si="25"/>
        <v>-5.8326844081775562</v>
      </c>
    </row>
    <row r="296" spans="1:6" x14ac:dyDescent="0.3">
      <c r="A296" s="2">
        <v>43693</v>
      </c>
      <c r="B296" s="1">
        <v>51.625</v>
      </c>
      <c r="C296" s="1">
        <f>'Historical Simulation'!D296</f>
        <v>183.7</v>
      </c>
      <c r="D296" s="22">
        <f t="shared" si="23"/>
        <v>478.31130561197705</v>
      </c>
      <c r="E296" s="23">
        <f t="shared" si="24"/>
        <v>0.93154908613320231</v>
      </c>
      <c r="F296" s="23">
        <f t="shared" si="25"/>
        <v>-0.93154908613320231</v>
      </c>
    </row>
    <row r="297" spans="1:6" x14ac:dyDescent="0.3">
      <c r="A297" s="2">
        <v>43692</v>
      </c>
      <c r="B297" s="1">
        <v>50.435000000000002</v>
      </c>
      <c r="C297" s="1">
        <f>'Historical Simulation'!D297</f>
        <v>182.59</v>
      </c>
      <c r="D297" s="22">
        <f t="shared" si="23"/>
        <v>477.37975652584385</v>
      </c>
      <c r="E297" s="23">
        <f t="shared" si="24"/>
        <v>9.8674685960970692</v>
      </c>
      <c r="F297" s="23">
        <f t="shared" si="25"/>
        <v>-9.8674685960970692</v>
      </c>
    </row>
    <row r="298" spans="1:6" x14ac:dyDescent="0.3">
      <c r="A298" s="2">
        <v>43691</v>
      </c>
      <c r="B298" s="1">
        <v>50.6875</v>
      </c>
      <c r="C298" s="1">
        <f>'Historical Simulation'!D298</f>
        <v>179.71</v>
      </c>
      <c r="D298" s="22">
        <f t="shared" si="23"/>
        <v>467.51228792974678</v>
      </c>
      <c r="E298" s="23">
        <f t="shared" si="24"/>
        <v>-24.767122701662345</v>
      </c>
      <c r="F298" s="23">
        <f t="shared" si="25"/>
        <v>24.767122701662345</v>
      </c>
    </row>
    <row r="299" spans="1:6" x14ac:dyDescent="0.3">
      <c r="A299" s="2">
        <v>43690</v>
      </c>
      <c r="B299" s="1">
        <v>52.2425</v>
      </c>
      <c r="C299" s="1">
        <f>'Historical Simulation'!D299</f>
        <v>188.45</v>
      </c>
      <c r="D299" s="22">
        <f t="shared" si="23"/>
        <v>492.27941063140912</v>
      </c>
      <c r="E299" s="23">
        <f t="shared" si="24"/>
        <v>5.2158343753432632</v>
      </c>
      <c r="F299" s="23">
        <f t="shared" si="25"/>
        <v>-5.2158343753432632</v>
      </c>
    </row>
    <row r="300" spans="1:6" x14ac:dyDescent="0.3">
      <c r="A300" s="2">
        <v>43689</v>
      </c>
      <c r="B300" s="1">
        <v>50.12</v>
      </c>
      <c r="C300" s="1">
        <f>'Historical Simulation'!D300</f>
        <v>185.37</v>
      </c>
      <c r="D300" s="22">
        <f t="shared" si="23"/>
        <v>487.06357625606586</v>
      </c>
      <c r="E300" s="23">
        <f t="shared" si="24"/>
        <v>-7.7275721858956672</v>
      </c>
      <c r="F300" s="23">
        <f t="shared" si="25"/>
        <v>7.7275721858956672</v>
      </c>
    </row>
    <row r="301" spans="1:6" x14ac:dyDescent="0.3">
      <c r="A301" s="2">
        <v>43686</v>
      </c>
      <c r="B301" s="1">
        <v>50.247500000000002</v>
      </c>
      <c r="C301" s="1">
        <f>'Historical Simulation'!D301</f>
        <v>187.85</v>
      </c>
      <c r="D301" s="22">
        <f t="shared" si="23"/>
        <v>494.79114844196152</v>
      </c>
      <c r="E301" s="23">
        <f t="shared" si="24"/>
        <v>-6.1020819196695584</v>
      </c>
      <c r="F301" s="23">
        <f t="shared" si="25"/>
        <v>6.1020819196695584</v>
      </c>
    </row>
    <row r="302" spans="1:6" x14ac:dyDescent="0.3">
      <c r="A302" s="2">
        <v>43685</v>
      </c>
      <c r="B302" s="1">
        <v>50.857500000000002</v>
      </c>
      <c r="C302" s="1">
        <f>'Historical Simulation'!D302</f>
        <v>190.16</v>
      </c>
      <c r="D302" s="22">
        <f t="shared" si="23"/>
        <v>500.89323036163108</v>
      </c>
      <c r="E302" s="23">
        <f t="shared" si="24"/>
        <v>13.737365006298376</v>
      </c>
      <c r="F302" s="23">
        <f t="shared" si="25"/>
        <v>-13.737365006298376</v>
      </c>
    </row>
    <row r="303" spans="1:6" x14ac:dyDescent="0.3">
      <c r="A303" s="2">
        <v>43684</v>
      </c>
      <c r="B303" s="1">
        <v>49.76</v>
      </c>
      <c r="C303" s="1">
        <f>'Historical Simulation'!D303</f>
        <v>185.15</v>
      </c>
      <c r="D303" s="22">
        <f t="shared" si="23"/>
        <v>487.15586535533271</v>
      </c>
      <c r="E303" s="23">
        <f t="shared" si="24"/>
        <v>0.92998273503360451</v>
      </c>
      <c r="F303" s="23">
        <f t="shared" si="25"/>
        <v>-0.92998273503360451</v>
      </c>
    </row>
    <row r="304" spans="1:6" x14ac:dyDescent="0.3">
      <c r="A304" s="2">
        <v>43683</v>
      </c>
      <c r="B304" s="1">
        <v>49.25</v>
      </c>
      <c r="C304" s="1">
        <f>'Historical Simulation'!D304</f>
        <v>184.51</v>
      </c>
      <c r="D304" s="22">
        <f t="shared" si="23"/>
        <v>486.2258826202991</v>
      </c>
      <c r="E304" s="23">
        <f t="shared" si="24"/>
        <v>6.9401369295198947</v>
      </c>
      <c r="F304" s="23">
        <f t="shared" si="25"/>
        <v>-6.9401369295198947</v>
      </c>
    </row>
    <row r="305" spans="1:6" x14ac:dyDescent="0.3">
      <c r="A305" s="2">
        <v>43682</v>
      </c>
      <c r="B305" s="1">
        <v>48.335000000000001</v>
      </c>
      <c r="C305" s="1">
        <f>'Historical Simulation'!D305</f>
        <v>181.73</v>
      </c>
      <c r="D305" s="22">
        <f t="shared" si="23"/>
        <v>479.28574569077921</v>
      </c>
      <c r="E305" s="23">
        <f t="shared" si="24"/>
        <v>-17.595540275808105</v>
      </c>
      <c r="F305" s="23">
        <f t="shared" si="25"/>
        <v>17.595540275808105</v>
      </c>
    </row>
    <row r="306" spans="1:6" x14ac:dyDescent="0.3">
      <c r="A306" s="2">
        <v>43679</v>
      </c>
      <c r="B306" s="1">
        <v>51.005000000000003</v>
      </c>
      <c r="C306" s="1">
        <f>'Historical Simulation'!D306</f>
        <v>189.02</v>
      </c>
      <c r="D306" s="22">
        <f t="shared" si="23"/>
        <v>496.88128596658731</v>
      </c>
      <c r="E306" s="23">
        <f t="shared" si="24"/>
        <v>-9.5263844738461216</v>
      </c>
      <c r="F306" s="23">
        <f t="shared" si="25"/>
        <v>9.5263844738461216</v>
      </c>
    </row>
    <row r="307" spans="1:6" x14ac:dyDescent="0.3">
      <c r="A307" s="2">
        <v>43678</v>
      </c>
      <c r="B307" s="1">
        <v>52.107500000000002</v>
      </c>
      <c r="C307" s="1">
        <f>'Historical Simulation'!D307</f>
        <v>192.73</v>
      </c>
      <c r="D307" s="22">
        <f t="shared" si="23"/>
        <v>506.40767044043344</v>
      </c>
      <c r="E307" s="23">
        <f t="shared" si="24"/>
        <v>-2.2751461571088498</v>
      </c>
      <c r="F307" s="23">
        <f t="shared" si="25"/>
        <v>2.2751461571088498</v>
      </c>
    </row>
    <row r="308" spans="1:6" x14ac:dyDescent="0.3">
      <c r="A308" s="2">
        <v>43677</v>
      </c>
      <c r="B308" s="1">
        <v>53.26</v>
      </c>
      <c r="C308" s="1">
        <f>'Historical Simulation'!D308</f>
        <v>194.23</v>
      </c>
      <c r="D308" s="22">
        <f t="shared" si="23"/>
        <v>508.68281659754228</v>
      </c>
      <c r="E308" s="23">
        <f t="shared" si="24"/>
        <v>-11.45371614042341</v>
      </c>
      <c r="F308" s="23">
        <f t="shared" si="25"/>
        <v>11.45371614042341</v>
      </c>
    </row>
    <row r="309" spans="1:6" x14ac:dyDescent="0.3">
      <c r="A309" s="2">
        <v>43676</v>
      </c>
      <c r="B309" s="1">
        <v>52.195</v>
      </c>
      <c r="C309" s="1">
        <f>'Historical Simulation'!D309</f>
        <v>197.04</v>
      </c>
      <c r="D309" s="22">
        <f t="shared" si="23"/>
        <v>520.13653273796569</v>
      </c>
      <c r="E309" s="23">
        <f t="shared" si="24"/>
        <v>4.055593260918954</v>
      </c>
      <c r="F309" s="23">
        <f t="shared" si="25"/>
        <v>-4.055593260918954</v>
      </c>
    </row>
    <row r="310" spans="1:6" x14ac:dyDescent="0.3">
      <c r="A310" s="2">
        <v>43675</v>
      </c>
      <c r="B310" s="1">
        <v>52.42</v>
      </c>
      <c r="C310" s="1">
        <f>'Historical Simulation'!D310</f>
        <v>195.94</v>
      </c>
      <c r="D310" s="22">
        <f t="shared" si="23"/>
        <v>516.08093947704674</v>
      </c>
      <c r="E310" s="23">
        <f t="shared" si="24"/>
        <v>-13.390583438223985</v>
      </c>
      <c r="F310" s="23">
        <f t="shared" si="25"/>
        <v>13.390583438223985</v>
      </c>
    </row>
    <row r="311" spans="1:6" x14ac:dyDescent="0.3">
      <c r="A311" s="2">
        <v>43672</v>
      </c>
      <c r="B311" s="1">
        <v>51.935000000000002</v>
      </c>
      <c r="C311" s="1">
        <f>'Historical Simulation'!D311</f>
        <v>199.75</v>
      </c>
      <c r="D311" s="22">
        <f t="shared" si="23"/>
        <v>529.47152291527073</v>
      </c>
      <c r="E311" s="23">
        <f t="shared" si="24"/>
        <v>-3.5029255226020268</v>
      </c>
      <c r="F311" s="23">
        <f t="shared" si="25"/>
        <v>3.5029255226020268</v>
      </c>
    </row>
    <row r="312" spans="1:6" x14ac:dyDescent="0.3">
      <c r="A312" s="2">
        <v>43671</v>
      </c>
      <c r="B312" s="1">
        <v>51.755000000000003</v>
      </c>
      <c r="C312" s="1">
        <f>'Historical Simulation'!D312</f>
        <v>200.71</v>
      </c>
      <c r="D312" s="22">
        <f t="shared" si="23"/>
        <v>532.97444843787275</v>
      </c>
      <c r="E312" s="23">
        <f t="shared" si="24"/>
        <v>-11.840876347547692</v>
      </c>
      <c r="F312" s="23">
        <f t="shared" si="25"/>
        <v>11.840876347547692</v>
      </c>
    </row>
    <row r="313" spans="1:6" x14ac:dyDescent="0.3">
      <c r="A313" s="2">
        <v>43670</v>
      </c>
      <c r="B313" s="1">
        <v>52.167499999999997</v>
      </c>
      <c r="C313" s="1">
        <f>'Historical Simulation'!D313</f>
        <v>204.66</v>
      </c>
      <c r="D313" s="22">
        <f t="shared" si="23"/>
        <v>544.81532478542044</v>
      </c>
      <c r="E313" s="23">
        <f t="shared" si="24"/>
        <v>7.5252658216622876</v>
      </c>
      <c r="F313" s="23">
        <f t="shared" si="25"/>
        <v>-7.5252658216622876</v>
      </c>
    </row>
    <row r="314" spans="1:6" x14ac:dyDescent="0.3">
      <c r="A314" s="2">
        <v>43669</v>
      </c>
      <c r="B314" s="1">
        <v>52.21</v>
      </c>
      <c r="C314" s="1">
        <f>'Historical Simulation'!D314</f>
        <v>202.36</v>
      </c>
      <c r="D314" s="22">
        <f t="shared" si="23"/>
        <v>537.29005896375816</v>
      </c>
      <c r="E314" s="23">
        <f t="shared" si="24"/>
        <v>-0.77418229451723164</v>
      </c>
      <c r="F314" s="23">
        <f t="shared" si="25"/>
        <v>0.77418229451723164</v>
      </c>
    </row>
    <row r="315" spans="1:6" x14ac:dyDescent="0.3">
      <c r="A315" s="2">
        <v>43668</v>
      </c>
      <c r="B315" s="1">
        <v>51.805</v>
      </c>
      <c r="C315" s="1">
        <f>'Historical Simulation'!D315</f>
        <v>202.32</v>
      </c>
      <c r="D315" s="22">
        <f t="shared" si="23"/>
        <v>538.06424125827539</v>
      </c>
      <c r="E315" s="23">
        <f t="shared" si="24"/>
        <v>10.211358576396492</v>
      </c>
      <c r="F315" s="23">
        <f t="shared" si="25"/>
        <v>-10.211358576396492</v>
      </c>
    </row>
    <row r="316" spans="1:6" x14ac:dyDescent="0.3">
      <c r="A316" s="2">
        <v>43665</v>
      </c>
      <c r="B316" s="1">
        <v>50.647500000000001</v>
      </c>
      <c r="C316" s="1">
        <f>'Historical Simulation'!D316</f>
        <v>198.36</v>
      </c>
      <c r="D316" s="22">
        <f t="shared" si="23"/>
        <v>527.8528826818789</v>
      </c>
      <c r="E316" s="23">
        <f t="shared" si="24"/>
        <v>-6.1061266895611652</v>
      </c>
      <c r="F316" s="23">
        <f t="shared" si="25"/>
        <v>6.1061266895611652</v>
      </c>
    </row>
    <row r="317" spans="1:6" x14ac:dyDescent="0.3">
      <c r="A317" s="2">
        <v>43664</v>
      </c>
      <c r="B317" s="1">
        <v>51.414999999999999</v>
      </c>
      <c r="C317" s="1">
        <f>'Historical Simulation'!D317</f>
        <v>200.78</v>
      </c>
      <c r="D317" s="22">
        <f t="shared" si="23"/>
        <v>533.95900937144006</v>
      </c>
      <c r="E317" s="23">
        <f t="shared" si="24"/>
        <v>-4.5834416862778653</v>
      </c>
      <c r="F317" s="23">
        <f t="shared" si="25"/>
        <v>4.5834416862778653</v>
      </c>
    </row>
    <row r="318" spans="1:6" x14ac:dyDescent="0.3">
      <c r="A318" s="2">
        <v>43663</v>
      </c>
      <c r="B318" s="1">
        <v>50.837499999999999</v>
      </c>
      <c r="C318" s="1">
        <f>'Historical Simulation'!D318</f>
        <v>201.8</v>
      </c>
      <c r="D318" s="22">
        <f t="shared" si="23"/>
        <v>538.54245105771793</v>
      </c>
      <c r="E318" s="23">
        <f t="shared" si="24"/>
        <v>-5.9491903318946697</v>
      </c>
      <c r="F318" s="23">
        <f t="shared" si="25"/>
        <v>5.9491903318946697</v>
      </c>
    </row>
    <row r="319" spans="1:6" x14ac:dyDescent="0.3">
      <c r="A319" s="2">
        <v>43662</v>
      </c>
      <c r="B319" s="1">
        <v>51.125</v>
      </c>
      <c r="C319" s="1">
        <f>'Historical Simulation'!D319</f>
        <v>203.84</v>
      </c>
      <c r="D319" s="22">
        <f t="shared" si="23"/>
        <v>544.4916413896126</v>
      </c>
      <c r="E319" s="23">
        <f t="shared" si="24"/>
        <v>0.16979341550859317</v>
      </c>
      <c r="F319" s="23">
        <f t="shared" si="25"/>
        <v>-0.16979341550859317</v>
      </c>
    </row>
    <row r="320" spans="1:6" x14ac:dyDescent="0.3">
      <c r="A320" s="2">
        <v>43661</v>
      </c>
      <c r="B320" s="1">
        <v>51.302500000000002</v>
      </c>
      <c r="C320" s="1">
        <f>'Historical Simulation'!D320</f>
        <v>203.91</v>
      </c>
      <c r="D320" s="22">
        <f t="shared" si="23"/>
        <v>544.321847974104</v>
      </c>
      <c r="E320" s="23">
        <f t="shared" si="24"/>
        <v>-4.1665398585441835</v>
      </c>
      <c r="F320" s="23">
        <f t="shared" si="25"/>
        <v>4.1665398585441835</v>
      </c>
    </row>
    <row r="321" spans="1:6" x14ac:dyDescent="0.3">
      <c r="A321" s="2">
        <v>43658</v>
      </c>
      <c r="B321" s="1">
        <v>50.825000000000003</v>
      </c>
      <c r="C321" s="1">
        <f>'Historical Simulation'!D321</f>
        <v>204.87</v>
      </c>
      <c r="D321" s="22">
        <f t="shared" si="23"/>
        <v>548.48838783264819</v>
      </c>
      <c r="E321" s="23">
        <f t="shared" si="24"/>
        <v>10.895144966897419</v>
      </c>
      <c r="F321" s="23">
        <f t="shared" si="25"/>
        <v>-10.895144966897419</v>
      </c>
    </row>
    <row r="322" spans="1:6" x14ac:dyDescent="0.3">
      <c r="A322" s="2">
        <v>43657</v>
      </c>
      <c r="B322" s="1">
        <v>50.4375</v>
      </c>
      <c r="C322" s="1">
        <f>'Historical Simulation'!D322</f>
        <v>201.23</v>
      </c>
      <c r="D322" s="22">
        <f t="shared" si="23"/>
        <v>537.59324286575077</v>
      </c>
      <c r="E322" s="23">
        <f t="shared" si="24"/>
        <v>-4.0206191583687314</v>
      </c>
      <c r="F322" s="23">
        <f t="shared" si="25"/>
        <v>4.0206191583687314</v>
      </c>
    </row>
    <row r="323" spans="1:6" x14ac:dyDescent="0.3">
      <c r="A323" s="2">
        <v>43656</v>
      </c>
      <c r="B323" s="1">
        <v>50.807499999999997</v>
      </c>
      <c r="C323" s="1">
        <f>'Historical Simulation'!D323</f>
        <v>202.73</v>
      </c>
      <c r="D323" s="22">
        <f t="shared" si="23"/>
        <v>541.6138620241195</v>
      </c>
      <c r="E323" s="23">
        <f t="shared" si="24"/>
        <v>10.262098589530183</v>
      </c>
      <c r="F323" s="23">
        <f t="shared" si="25"/>
        <v>-10.262098589530183</v>
      </c>
    </row>
    <row r="324" spans="1:6" x14ac:dyDescent="0.3">
      <c r="A324" s="2">
        <v>43655</v>
      </c>
      <c r="B324" s="1">
        <v>50.31</v>
      </c>
      <c r="C324" s="1">
        <f>'Historical Simulation'!D324</f>
        <v>199.21</v>
      </c>
      <c r="D324" s="22">
        <f t="shared" si="23"/>
        <v>531.35176343458932</v>
      </c>
      <c r="E324" s="23">
        <f t="shared" si="24"/>
        <v>10.465351551388721</v>
      </c>
      <c r="F324" s="23">
        <f t="shared" si="25"/>
        <v>-10.465351551388721</v>
      </c>
    </row>
    <row r="325" spans="1:6" x14ac:dyDescent="0.3">
      <c r="A325" s="2">
        <v>43654</v>
      </c>
      <c r="B325" s="1">
        <v>50.005000000000003</v>
      </c>
      <c r="C325" s="1">
        <f>'Historical Simulation'!D325</f>
        <v>195.76</v>
      </c>
      <c r="D325" s="22">
        <f t="shared" si="23"/>
        <v>520.88641188320059</v>
      </c>
      <c r="E325" s="23">
        <f t="shared" si="24"/>
        <v>0.28013752462572938</v>
      </c>
      <c r="F325" s="23">
        <f t="shared" si="25"/>
        <v>-0.28013752462572938</v>
      </c>
    </row>
    <row r="326" spans="1:6" x14ac:dyDescent="0.3">
      <c r="A326" s="2">
        <v>43651</v>
      </c>
      <c r="B326" s="1">
        <v>51.057499999999997</v>
      </c>
      <c r="C326" s="1">
        <f>'Historical Simulation'!D326</f>
        <v>196.4</v>
      </c>
      <c r="D326" s="22">
        <f t="shared" ref="D326:D389" si="26">$M$16*B326+(1-$M$16)*C326</f>
        <v>520.60627435857486</v>
      </c>
      <c r="E326" s="23">
        <f t="shared" ref="E326:E389" si="27">D326-D327</f>
        <v>-2.4841304996178906</v>
      </c>
      <c r="F326" s="23">
        <f t="shared" ref="F326:F389" si="28">-E326</f>
        <v>2.4841304996178906</v>
      </c>
    </row>
    <row r="327" spans="1:6" x14ac:dyDescent="0.3">
      <c r="A327" s="2">
        <v>43650</v>
      </c>
      <c r="B327" s="1">
        <v>51.102499999999999</v>
      </c>
      <c r="C327" s="1">
        <f>'Historical Simulation'!D327</f>
        <v>197.2</v>
      </c>
      <c r="D327" s="22">
        <f t="shared" si="26"/>
        <v>523.09040485819276</v>
      </c>
      <c r="E327" s="23">
        <f t="shared" si="27"/>
        <v>0</v>
      </c>
      <c r="F327" s="23">
        <f t="shared" si="28"/>
        <v>0</v>
      </c>
    </row>
    <row r="328" spans="1:6" x14ac:dyDescent="0.3">
      <c r="A328" s="2">
        <v>43649</v>
      </c>
      <c r="B328" s="1">
        <v>51.102499999999999</v>
      </c>
      <c r="C328" s="1">
        <f>'Historical Simulation'!D328</f>
        <v>197.2</v>
      </c>
      <c r="D328" s="22">
        <f t="shared" si="26"/>
        <v>523.09040485819276</v>
      </c>
      <c r="E328" s="23">
        <f t="shared" si="27"/>
        <v>6.1705328335362992</v>
      </c>
      <c r="F328" s="23">
        <f t="shared" si="28"/>
        <v>-6.1705328335362992</v>
      </c>
    </row>
    <row r="329" spans="1:6" x14ac:dyDescent="0.3">
      <c r="A329" s="2">
        <v>43648</v>
      </c>
      <c r="B329" s="1">
        <v>50.682499999999997</v>
      </c>
      <c r="C329" s="1">
        <f>'Historical Simulation'!D329</f>
        <v>195</v>
      </c>
      <c r="D329" s="22">
        <f t="shared" si="26"/>
        <v>516.91987202465646</v>
      </c>
      <c r="E329" s="23">
        <f t="shared" si="27"/>
        <v>5.8032351017862993</v>
      </c>
      <c r="F329" s="23">
        <f t="shared" si="28"/>
        <v>-5.8032351017862993</v>
      </c>
    </row>
    <row r="330" spans="1:6" x14ac:dyDescent="0.3">
      <c r="A330" s="2">
        <v>43647</v>
      </c>
      <c r="B330" s="1">
        <v>50.387500000000003</v>
      </c>
      <c r="C330" s="1">
        <f>'Historical Simulation'!D330</f>
        <v>193</v>
      </c>
      <c r="D330" s="22">
        <f t="shared" si="26"/>
        <v>511.11663692287016</v>
      </c>
      <c r="E330" s="23">
        <f t="shared" si="27"/>
        <v>-2.0243025541766428</v>
      </c>
      <c r="F330" s="23">
        <f t="shared" si="28"/>
        <v>2.0243025541766428</v>
      </c>
    </row>
    <row r="331" spans="1:6" x14ac:dyDescent="0.3">
      <c r="A331" s="2">
        <v>43644</v>
      </c>
      <c r="B331" s="1">
        <v>49.48</v>
      </c>
      <c r="C331" s="1">
        <f>'Historical Simulation'!D331</f>
        <v>193</v>
      </c>
      <c r="D331" s="22">
        <f t="shared" si="26"/>
        <v>513.1409394770468</v>
      </c>
      <c r="E331" s="23">
        <f t="shared" si="27"/>
        <v>12.322167054290219</v>
      </c>
      <c r="F331" s="23">
        <f t="shared" si="28"/>
        <v>-12.322167054290219</v>
      </c>
    </row>
    <row r="332" spans="1:6" x14ac:dyDescent="0.3">
      <c r="A332" s="2">
        <v>43643</v>
      </c>
      <c r="B332" s="1">
        <v>49.935000000000002</v>
      </c>
      <c r="C332" s="1">
        <f>'Historical Simulation'!D332</f>
        <v>189.5</v>
      </c>
      <c r="D332" s="22">
        <f t="shared" si="26"/>
        <v>500.81877242275658</v>
      </c>
      <c r="E332" s="23">
        <f t="shared" si="27"/>
        <v>5.9778305652865242</v>
      </c>
      <c r="F332" s="23">
        <f t="shared" si="28"/>
        <v>-5.9778305652865242</v>
      </c>
    </row>
    <row r="333" spans="1:6" x14ac:dyDescent="0.3">
      <c r="A333" s="2">
        <v>43642</v>
      </c>
      <c r="B333" s="1">
        <v>49.95</v>
      </c>
      <c r="C333" s="1">
        <f>'Historical Simulation'!D333</f>
        <v>187.66</v>
      </c>
      <c r="D333" s="22">
        <f t="shared" si="26"/>
        <v>494.84094185747006</v>
      </c>
      <c r="E333" s="23">
        <f t="shared" si="27"/>
        <v>-6.1710489972122105</v>
      </c>
      <c r="F333" s="23">
        <f t="shared" si="28"/>
        <v>6.1710489972122105</v>
      </c>
    </row>
    <row r="334" spans="1:6" x14ac:dyDescent="0.3">
      <c r="A334" s="2">
        <v>43641</v>
      </c>
      <c r="B334" s="1">
        <v>48.892499999999998</v>
      </c>
      <c r="C334" s="1">
        <f>'Historical Simulation'!D334</f>
        <v>188.84</v>
      </c>
      <c r="D334" s="22">
        <f t="shared" si="26"/>
        <v>501.01199085468227</v>
      </c>
      <c r="E334" s="23">
        <f t="shared" si="27"/>
        <v>-10.468639043180133</v>
      </c>
      <c r="F334" s="23">
        <f t="shared" si="28"/>
        <v>10.468639043180133</v>
      </c>
    </row>
    <row r="335" spans="1:6" x14ac:dyDescent="0.3">
      <c r="A335" s="2">
        <v>43640</v>
      </c>
      <c r="B335" s="1">
        <v>49.645000000000003</v>
      </c>
      <c r="C335" s="1">
        <f>'Historical Simulation'!D335</f>
        <v>192.6</v>
      </c>
      <c r="D335" s="22">
        <f t="shared" si="26"/>
        <v>511.4806298978624</v>
      </c>
      <c r="E335" s="23">
        <f t="shared" si="27"/>
        <v>4.8282609992359085</v>
      </c>
      <c r="F335" s="23">
        <f t="shared" si="28"/>
        <v>-4.8282609992359085</v>
      </c>
    </row>
    <row r="336" spans="1:6" x14ac:dyDescent="0.3">
      <c r="A336" s="2">
        <v>43637</v>
      </c>
      <c r="B336" s="1">
        <v>49.695</v>
      </c>
      <c r="C336" s="1">
        <f>'Historical Simulation'!D336</f>
        <v>191.14</v>
      </c>
      <c r="D336" s="22">
        <f t="shared" si="26"/>
        <v>506.65236889862649</v>
      </c>
      <c r="E336" s="23">
        <f t="shared" si="27"/>
        <v>5.5805328335363811</v>
      </c>
      <c r="F336" s="23">
        <f t="shared" si="28"/>
        <v>-5.5805328335363811</v>
      </c>
    </row>
    <row r="337" spans="1:6" x14ac:dyDescent="0.3">
      <c r="A337" s="2">
        <v>43636</v>
      </c>
      <c r="B337" s="1">
        <v>49.865000000000002</v>
      </c>
      <c r="C337" s="1">
        <f>'Historical Simulation'!D337</f>
        <v>189.53</v>
      </c>
      <c r="D337" s="22">
        <f t="shared" si="26"/>
        <v>501.07183606509011</v>
      </c>
      <c r="E337" s="23">
        <f t="shared" si="27"/>
        <v>5.7361266895612175</v>
      </c>
      <c r="F337" s="23">
        <f t="shared" si="28"/>
        <v>-5.7361266895612175</v>
      </c>
    </row>
    <row r="338" spans="1:6" x14ac:dyDescent="0.3">
      <c r="A338" s="2">
        <v>43635</v>
      </c>
      <c r="B338" s="1">
        <v>49.467500000000001</v>
      </c>
      <c r="C338" s="1">
        <f>'Historical Simulation'!D338</f>
        <v>187.48</v>
      </c>
      <c r="D338" s="22">
        <f t="shared" si="26"/>
        <v>495.33570937552889</v>
      </c>
      <c r="E338" s="23">
        <f t="shared" si="27"/>
        <v>-2.8748877777181292</v>
      </c>
      <c r="F338" s="23">
        <f t="shared" si="28"/>
        <v>2.8748877777181292</v>
      </c>
    </row>
    <row r="339" spans="1:6" x14ac:dyDescent="0.3">
      <c r="A339" s="2">
        <v>43634</v>
      </c>
      <c r="B339" s="1">
        <v>49.612499999999997</v>
      </c>
      <c r="C339" s="1">
        <f>'Historical Simulation'!D339</f>
        <v>188.47</v>
      </c>
      <c r="D339" s="22">
        <f t="shared" si="26"/>
        <v>498.21059715324702</v>
      </c>
      <c r="E339" s="23">
        <f t="shared" si="27"/>
        <v>-4.2874691912028311</v>
      </c>
      <c r="F339" s="23">
        <f t="shared" si="28"/>
        <v>4.2874691912028311</v>
      </c>
    </row>
    <row r="340" spans="1:6" x14ac:dyDescent="0.3">
      <c r="A340" s="2">
        <v>43633</v>
      </c>
      <c r="B340" s="1">
        <v>48.472499999999997</v>
      </c>
      <c r="C340" s="1">
        <f>'Historical Simulation'!D340</f>
        <v>189.01</v>
      </c>
      <c r="D340" s="22">
        <f t="shared" si="26"/>
        <v>502.49806634444985</v>
      </c>
      <c r="E340" s="23">
        <f t="shared" si="27"/>
        <v>24.169979759504258</v>
      </c>
      <c r="F340" s="23">
        <f t="shared" si="28"/>
        <v>-24.169979759504258</v>
      </c>
    </row>
    <row r="341" spans="1:6" x14ac:dyDescent="0.3">
      <c r="A341" s="2">
        <v>43630</v>
      </c>
      <c r="B341" s="1">
        <v>48.185000000000002</v>
      </c>
      <c r="C341" s="1">
        <f>'Historical Simulation'!D341</f>
        <v>181.33</v>
      </c>
      <c r="D341" s="22">
        <f t="shared" si="26"/>
        <v>478.32808658494559</v>
      </c>
      <c r="E341" s="23">
        <f t="shared" si="27"/>
        <v>13.256555933298955</v>
      </c>
      <c r="F341" s="23">
        <f t="shared" si="28"/>
        <v>-13.256555933298955</v>
      </c>
    </row>
    <row r="342" spans="1:6" x14ac:dyDescent="0.3">
      <c r="A342" s="2">
        <v>43629</v>
      </c>
      <c r="B342" s="1">
        <v>48.537500000000001</v>
      </c>
      <c r="C342" s="1">
        <f>'Historical Simulation'!D342</f>
        <v>177.47</v>
      </c>
      <c r="D342" s="22">
        <f t="shared" si="26"/>
        <v>465.07153065164664</v>
      </c>
      <c r="E342" s="23">
        <f t="shared" si="27"/>
        <v>7.8727528729374967</v>
      </c>
      <c r="F342" s="23">
        <f t="shared" si="28"/>
        <v>-7.8727528729374967</v>
      </c>
    </row>
    <row r="343" spans="1:6" x14ac:dyDescent="0.3">
      <c r="A343" s="2">
        <v>43628</v>
      </c>
      <c r="B343" s="1">
        <v>48.547499999999999</v>
      </c>
      <c r="C343" s="1">
        <f>'Historical Simulation'!D343</f>
        <v>175.04</v>
      </c>
      <c r="D343" s="22">
        <f t="shared" si="26"/>
        <v>457.19877777870914</v>
      </c>
      <c r="E343" s="23">
        <f t="shared" si="27"/>
        <v>-9.5399988097882442</v>
      </c>
      <c r="F343" s="23">
        <f t="shared" si="28"/>
        <v>9.5399988097882442</v>
      </c>
    </row>
    <row r="344" spans="1:6" x14ac:dyDescent="0.3">
      <c r="A344" s="2">
        <v>43627</v>
      </c>
      <c r="B344" s="1">
        <v>48.702500000000001</v>
      </c>
      <c r="C344" s="1">
        <f>'Historical Simulation'!D344</f>
        <v>178.1</v>
      </c>
      <c r="D344" s="22">
        <f t="shared" si="26"/>
        <v>466.73877658849739</v>
      </c>
      <c r="E344" s="23">
        <f t="shared" si="27"/>
        <v>9.3529076625296739</v>
      </c>
      <c r="F344" s="23">
        <f t="shared" si="28"/>
        <v>-9.3529076625296739</v>
      </c>
    </row>
    <row r="345" spans="1:6" x14ac:dyDescent="0.3">
      <c r="A345" s="2">
        <v>43626</v>
      </c>
      <c r="B345" s="1">
        <v>48.145000000000003</v>
      </c>
      <c r="C345" s="1">
        <f>'Historical Simulation'!D345</f>
        <v>174.82</v>
      </c>
      <c r="D345" s="22">
        <f t="shared" si="26"/>
        <v>457.38586892596771</v>
      </c>
      <c r="E345" s="23">
        <f t="shared" si="27"/>
        <v>3.3939239151264928</v>
      </c>
      <c r="F345" s="23">
        <f t="shared" si="28"/>
        <v>-3.3939239151264928</v>
      </c>
    </row>
    <row r="346" spans="1:6" x14ac:dyDescent="0.3">
      <c r="A346" s="2">
        <v>43623</v>
      </c>
      <c r="B346" s="1">
        <v>47.537500000000001</v>
      </c>
      <c r="C346" s="1">
        <f>'Historical Simulation'!D346</f>
        <v>173.35</v>
      </c>
      <c r="D346" s="22">
        <f t="shared" si="26"/>
        <v>453.99194501084122</v>
      </c>
      <c r="E346" s="23">
        <f t="shared" si="27"/>
        <v>13.468535453381378</v>
      </c>
      <c r="F346" s="23">
        <f t="shared" si="28"/>
        <v>-13.468535453381378</v>
      </c>
    </row>
    <row r="347" spans="1:6" x14ac:dyDescent="0.3">
      <c r="A347" s="2">
        <v>43622</v>
      </c>
      <c r="B347" s="1">
        <v>46.305</v>
      </c>
      <c r="C347" s="1">
        <f>'Historical Simulation'!D347</f>
        <v>168.33</v>
      </c>
      <c r="D347" s="22">
        <f t="shared" si="26"/>
        <v>440.52340955745984</v>
      </c>
      <c r="E347" s="23">
        <f t="shared" si="27"/>
        <v>-0.97762457590079066</v>
      </c>
      <c r="F347" s="23">
        <f t="shared" si="28"/>
        <v>0.97762457590079066</v>
      </c>
    </row>
    <row r="348" spans="1:6" x14ac:dyDescent="0.3">
      <c r="A348" s="2">
        <v>43621</v>
      </c>
      <c r="B348" s="1">
        <v>45.634999999999998</v>
      </c>
      <c r="C348" s="1">
        <f>'Historical Simulation'!D348</f>
        <v>168.17</v>
      </c>
      <c r="D348" s="22">
        <f t="shared" si="26"/>
        <v>441.50103413336063</v>
      </c>
      <c r="E348" s="23">
        <f t="shared" si="27"/>
        <v>0.54731499671652273</v>
      </c>
      <c r="F348" s="23">
        <f t="shared" si="28"/>
        <v>-0.54731499671652273</v>
      </c>
    </row>
    <row r="349" spans="1:6" x14ac:dyDescent="0.3">
      <c r="A349" s="2">
        <v>43620</v>
      </c>
      <c r="B349" s="1">
        <v>44.91</v>
      </c>
      <c r="C349" s="1">
        <f>'Historical Simulation'!D349</f>
        <v>167.5</v>
      </c>
      <c r="D349" s="22">
        <f t="shared" si="26"/>
        <v>440.95371913664411</v>
      </c>
      <c r="E349" s="23">
        <f t="shared" si="27"/>
        <v>7.2870732871863879</v>
      </c>
      <c r="F349" s="23">
        <f t="shared" si="28"/>
        <v>-7.2870732871863879</v>
      </c>
    </row>
    <row r="350" spans="1:6" x14ac:dyDescent="0.3">
      <c r="A350" s="2">
        <v>43619</v>
      </c>
      <c r="B350" s="1">
        <v>43.325000000000003</v>
      </c>
      <c r="C350" s="1">
        <f>'Historical Simulation'!D350</f>
        <v>164.15</v>
      </c>
      <c r="D350" s="22">
        <f t="shared" si="26"/>
        <v>433.66664584945772</v>
      </c>
      <c r="E350" s="23">
        <f t="shared" si="27"/>
        <v>-42.045020541497138</v>
      </c>
      <c r="F350" s="23">
        <f t="shared" si="28"/>
        <v>42.045020541497138</v>
      </c>
    </row>
    <row r="351" spans="1:6" x14ac:dyDescent="0.3">
      <c r="A351" s="2">
        <v>43616</v>
      </c>
      <c r="B351" s="1">
        <v>43.767499999999998</v>
      </c>
      <c r="C351" s="1">
        <f>'Historical Simulation'!D351</f>
        <v>177.47</v>
      </c>
      <c r="D351" s="22">
        <f t="shared" si="26"/>
        <v>475.71166639095486</v>
      </c>
      <c r="E351" s="23">
        <f t="shared" si="27"/>
        <v>-16.09648687343315</v>
      </c>
      <c r="F351" s="23">
        <f t="shared" si="28"/>
        <v>16.09648687343315</v>
      </c>
    </row>
    <row r="352" spans="1:6" x14ac:dyDescent="0.3">
      <c r="A352" s="2">
        <v>43615</v>
      </c>
      <c r="B352" s="1">
        <v>44.575000000000003</v>
      </c>
      <c r="C352" s="1">
        <f>'Historical Simulation'!D352</f>
        <v>183.01</v>
      </c>
      <c r="D352" s="22">
        <f t="shared" si="26"/>
        <v>491.80815326438801</v>
      </c>
      <c r="E352" s="23">
        <f t="shared" si="27"/>
        <v>2.1360754897677907</v>
      </c>
      <c r="F352" s="23">
        <f t="shared" si="28"/>
        <v>-2.1360754897677907</v>
      </c>
    </row>
    <row r="353" spans="1:6" x14ac:dyDescent="0.3">
      <c r="A353" s="2">
        <v>43614</v>
      </c>
      <c r="B353" s="1">
        <v>44.344999999999999</v>
      </c>
      <c r="C353" s="1">
        <f>'Historical Simulation'!D353</f>
        <v>182.19</v>
      </c>
      <c r="D353" s="22">
        <f t="shared" si="26"/>
        <v>489.67207777462022</v>
      </c>
      <c r="E353" s="23">
        <f t="shared" si="27"/>
        <v>-6.3749389775117038</v>
      </c>
      <c r="F353" s="23">
        <f t="shared" si="28"/>
        <v>6.3749389775117038</v>
      </c>
    </row>
    <row r="354" spans="1:6" x14ac:dyDescent="0.3">
      <c r="A354" s="2">
        <v>43613</v>
      </c>
      <c r="B354" s="1">
        <v>44.557499999999997</v>
      </c>
      <c r="C354" s="1">
        <f>'Historical Simulation'!D354</f>
        <v>184.31</v>
      </c>
      <c r="D354" s="22">
        <f t="shared" si="26"/>
        <v>496.04701675213192</v>
      </c>
      <c r="E354" s="23">
        <f t="shared" si="27"/>
        <v>10.91223611415586</v>
      </c>
      <c r="F354" s="23">
        <f t="shared" si="28"/>
        <v>-10.91223611415586</v>
      </c>
    </row>
    <row r="355" spans="1:6" x14ac:dyDescent="0.3">
      <c r="A355" s="2">
        <v>43612</v>
      </c>
      <c r="B355" s="1">
        <v>44.7425</v>
      </c>
      <c r="C355" s="1">
        <f>'Historical Simulation'!D355</f>
        <v>181.06</v>
      </c>
      <c r="D355" s="22">
        <f t="shared" si="26"/>
        <v>485.13478063797606</v>
      </c>
      <c r="E355" s="23">
        <f t="shared" si="27"/>
        <v>0</v>
      </c>
      <c r="F355" s="23">
        <f t="shared" si="28"/>
        <v>0</v>
      </c>
    </row>
    <row r="356" spans="1:6" x14ac:dyDescent="0.3">
      <c r="A356" s="2">
        <v>43609</v>
      </c>
      <c r="B356" s="1">
        <v>44.7425</v>
      </c>
      <c r="C356" s="1">
        <f>'Historical Simulation'!D356</f>
        <v>181.06</v>
      </c>
      <c r="D356" s="22">
        <f t="shared" si="26"/>
        <v>485.13478063797606</v>
      </c>
      <c r="E356" s="23">
        <f t="shared" si="27"/>
        <v>0.99860570345896349</v>
      </c>
      <c r="F356" s="23">
        <f t="shared" si="28"/>
        <v>-0.99860570345896349</v>
      </c>
    </row>
    <row r="357" spans="1:6" x14ac:dyDescent="0.3">
      <c r="A357" s="2">
        <v>43608</v>
      </c>
      <c r="B357" s="1">
        <v>44.914999999999999</v>
      </c>
      <c r="C357" s="1">
        <f>'Historical Simulation'!D357</f>
        <v>180.87</v>
      </c>
      <c r="D357" s="22">
        <f t="shared" si="26"/>
        <v>484.1361749345171</v>
      </c>
      <c r="E357" s="23">
        <f t="shared" si="27"/>
        <v>-12.636435673639539</v>
      </c>
      <c r="F357" s="23">
        <f t="shared" si="28"/>
        <v>12.636435673639539</v>
      </c>
    </row>
    <row r="358" spans="1:6" x14ac:dyDescent="0.3">
      <c r="A358" s="2">
        <v>43607</v>
      </c>
      <c r="B358" s="1">
        <v>45.695</v>
      </c>
      <c r="C358" s="1">
        <f>'Historical Simulation'!D358</f>
        <v>185.32</v>
      </c>
      <c r="D358" s="22">
        <f t="shared" si="26"/>
        <v>496.77261060815664</v>
      </c>
      <c r="E358" s="23">
        <f t="shared" si="27"/>
        <v>3.7455759959524357</v>
      </c>
      <c r="F358" s="23">
        <f t="shared" si="28"/>
        <v>-3.7455759959524357</v>
      </c>
    </row>
    <row r="359" spans="1:6" x14ac:dyDescent="0.3">
      <c r="A359" s="2">
        <v>43606</v>
      </c>
      <c r="B359" s="1">
        <v>46.65</v>
      </c>
      <c r="C359" s="1">
        <f>'Historical Simulation'!D359</f>
        <v>184.82</v>
      </c>
      <c r="D359" s="22">
        <f t="shared" si="26"/>
        <v>493.0270346122042</v>
      </c>
      <c r="E359" s="23">
        <f t="shared" si="27"/>
        <v>4.8269530275271677</v>
      </c>
      <c r="F359" s="23">
        <f t="shared" si="28"/>
        <v>-4.8269530275271677</v>
      </c>
    </row>
    <row r="360" spans="1:6" x14ac:dyDescent="0.3">
      <c r="A360" s="2">
        <v>43605</v>
      </c>
      <c r="B360" s="1">
        <v>45.772500000000001</v>
      </c>
      <c r="C360" s="1">
        <f>'Historical Simulation'!D360</f>
        <v>182.72</v>
      </c>
      <c r="D360" s="22">
        <f t="shared" si="26"/>
        <v>488.20008158467704</v>
      </c>
      <c r="E360" s="23">
        <f t="shared" si="27"/>
        <v>-5.0392766567269973</v>
      </c>
      <c r="F360" s="23">
        <f t="shared" si="28"/>
        <v>5.0392766567269973</v>
      </c>
    </row>
    <row r="361" spans="1:6" x14ac:dyDescent="0.3">
      <c r="A361" s="2">
        <v>43602</v>
      </c>
      <c r="B361" s="1">
        <v>47.25</v>
      </c>
      <c r="C361" s="1">
        <f>'Historical Simulation'!D361</f>
        <v>185.3</v>
      </c>
      <c r="D361" s="22">
        <f t="shared" si="26"/>
        <v>493.23935824140403</v>
      </c>
      <c r="E361" s="23">
        <f t="shared" si="27"/>
        <v>-4.8575037211356857</v>
      </c>
      <c r="F361" s="23">
        <f t="shared" si="28"/>
        <v>4.8575037211356857</v>
      </c>
    </row>
    <row r="362" spans="1:6" x14ac:dyDescent="0.3">
      <c r="A362" s="2">
        <v>43601</v>
      </c>
      <c r="B362" s="1">
        <v>47.52</v>
      </c>
      <c r="C362" s="1">
        <f>'Historical Simulation'!D362</f>
        <v>186.99</v>
      </c>
      <c r="D362" s="22">
        <f t="shared" si="26"/>
        <v>498.09686196253972</v>
      </c>
      <c r="E362" s="23">
        <f t="shared" si="27"/>
        <v>2.7944918737014746</v>
      </c>
      <c r="F362" s="23">
        <f t="shared" si="28"/>
        <v>-2.7944918737014746</v>
      </c>
    </row>
    <row r="363" spans="1:6" x14ac:dyDescent="0.3">
      <c r="A363" s="2">
        <v>43600</v>
      </c>
      <c r="B363" s="1">
        <v>47.73</v>
      </c>
      <c r="C363" s="1">
        <f>'Historical Simulation'!D363</f>
        <v>186.27</v>
      </c>
      <c r="D363" s="22">
        <f t="shared" si="26"/>
        <v>495.30237008883825</v>
      </c>
      <c r="E363" s="23">
        <f t="shared" si="27"/>
        <v>16.637416206091984</v>
      </c>
      <c r="F363" s="23">
        <f t="shared" si="28"/>
        <v>-16.637416206091984</v>
      </c>
    </row>
    <row r="364" spans="1:6" x14ac:dyDescent="0.3">
      <c r="A364" s="2">
        <v>43599</v>
      </c>
      <c r="B364" s="1">
        <v>47.164999999999999</v>
      </c>
      <c r="C364" s="1">
        <f>'Historical Simulation'!D364</f>
        <v>180.73</v>
      </c>
      <c r="D364" s="22">
        <f t="shared" si="26"/>
        <v>478.66495388274626</v>
      </c>
      <c r="E364" s="23">
        <f t="shared" si="27"/>
        <v>-4.2563332740526789</v>
      </c>
      <c r="F364" s="23">
        <f t="shared" si="28"/>
        <v>4.2563332740526789</v>
      </c>
    </row>
    <row r="365" spans="1:6" x14ac:dyDescent="0.3">
      <c r="A365" s="2">
        <v>43598</v>
      </c>
      <c r="B365" s="1">
        <v>46.43</v>
      </c>
      <c r="C365" s="1">
        <f>'Historical Simulation'!D365</f>
        <v>181.54</v>
      </c>
      <c r="D365" s="22">
        <f t="shared" si="26"/>
        <v>482.92128715679894</v>
      </c>
      <c r="E365" s="23">
        <f t="shared" si="27"/>
        <v>-15.577554325823485</v>
      </c>
      <c r="F365" s="23">
        <f t="shared" si="28"/>
        <v>15.577554325823485</v>
      </c>
    </row>
    <row r="366" spans="1:6" x14ac:dyDescent="0.3">
      <c r="A366" s="2">
        <v>43595</v>
      </c>
      <c r="B366" s="1">
        <v>49.295000000000002</v>
      </c>
      <c r="C366" s="1">
        <f>'Historical Simulation'!D366</f>
        <v>188.34</v>
      </c>
      <c r="D366" s="22">
        <f t="shared" si="26"/>
        <v>498.49884148262242</v>
      </c>
      <c r="E366" s="23">
        <f t="shared" si="27"/>
        <v>0.97261594341773616</v>
      </c>
      <c r="F366" s="23">
        <f t="shared" si="28"/>
        <v>-0.97261594341773616</v>
      </c>
    </row>
    <row r="367" spans="1:6" x14ac:dyDescent="0.3">
      <c r="A367" s="2">
        <v>43594</v>
      </c>
      <c r="B367" s="1">
        <v>50.18</v>
      </c>
      <c r="C367" s="1">
        <f>'Historical Simulation'!D367</f>
        <v>188.65</v>
      </c>
      <c r="D367" s="22">
        <f t="shared" si="26"/>
        <v>497.52622553920469</v>
      </c>
      <c r="E367" s="23">
        <f t="shared" si="27"/>
        <v>-1.6595695660505498</v>
      </c>
      <c r="F367" s="23">
        <f t="shared" si="28"/>
        <v>1.6595695660505498</v>
      </c>
    </row>
    <row r="368" spans="1:6" x14ac:dyDescent="0.3">
      <c r="A368" s="2">
        <v>43593</v>
      </c>
      <c r="B368" s="1">
        <v>50.725000000000001</v>
      </c>
      <c r="C368" s="1">
        <f>'Historical Simulation'!D368</f>
        <v>189.54</v>
      </c>
      <c r="D368" s="22">
        <f t="shared" si="26"/>
        <v>499.18579510525524</v>
      </c>
      <c r="E368" s="23">
        <f t="shared" si="27"/>
        <v>-0.76535274160045219</v>
      </c>
      <c r="F368" s="23">
        <f t="shared" si="28"/>
        <v>0.76535274160045219</v>
      </c>
    </row>
    <row r="369" spans="1:6" x14ac:dyDescent="0.3">
      <c r="A369" s="2">
        <v>43592</v>
      </c>
      <c r="B369" s="1">
        <v>50.715000000000003</v>
      </c>
      <c r="C369" s="1">
        <f>'Historical Simulation'!D369</f>
        <v>189.77</v>
      </c>
      <c r="D369" s="22">
        <f t="shared" si="26"/>
        <v>499.95114784685569</v>
      </c>
      <c r="E369" s="23">
        <f t="shared" si="27"/>
        <v>-10.143871525121256</v>
      </c>
      <c r="F369" s="23">
        <f t="shared" si="28"/>
        <v>10.143871525121256</v>
      </c>
    </row>
    <row r="370" spans="1:6" x14ac:dyDescent="0.3">
      <c r="A370" s="2">
        <v>43591</v>
      </c>
      <c r="B370" s="1">
        <v>52.12</v>
      </c>
      <c r="C370" s="1">
        <f>'Historical Simulation'!D370</f>
        <v>193.88</v>
      </c>
      <c r="D370" s="22">
        <f t="shared" si="26"/>
        <v>510.09501937197695</v>
      </c>
      <c r="E370" s="23">
        <f t="shared" si="27"/>
        <v>-3.3131666370263702</v>
      </c>
      <c r="F370" s="23">
        <f t="shared" si="28"/>
        <v>3.3131666370263702</v>
      </c>
    </row>
    <row r="371" spans="1:6" x14ac:dyDescent="0.3">
      <c r="A371" s="2">
        <v>43588</v>
      </c>
      <c r="B371" s="1">
        <v>52.9375</v>
      </c>
      <c r="C371" s="1">
        <f>'Historical Simulation'!D371</f>
        <v>195.47</v>
      </c>
      <c r="D371" s="22">
        <f t="shared" si="26"/>
        <v>513.40818600900332</v>
      </c>
      <c r="E371" s="23">
        <f t="shared" si="27"/>
        <v>8.0481574094372377</v>
      </c>
      <c r="F371" s="23">
        <f t="shared" si="28"/>
        <v>-8.0481574094372377</v>
      </c>
    </row>
    <row r="372" spans="1:6" x14ac:dyDescent="0.3">
      <c r="A372" s="2">
        <v>43587</v>
      </c>
      <c r="B372" s="1">
        <v>52.287500000000001</v>
      </c>
      <c r="C372" s="1">
        <f>'Historical Simulation'!D372</f>
        <v>192.53</v>
      </c>
      <c r="D372" s="22">
        <f t="shared" si="26"/>
        <v>505.36002859956608</v>
      </c>
      <c r="E372" s="23">
        <f t="shared" si="27"/>
        <v>-0.85132523667522264</v>
      </c>
      <c r="F372" s="23">
        <f t="shared" si="28"/>
        <v>0.85132523667522264</v>
      </c>
    </row>
    <row r="373" spans="1:6" x14ac:dyDescent="0.3">
      <c r="A373" s="2">
        <v>43586</v>
      </c>
      <c r="B373" s="1">
        <v>52.63</v>
      </c>
      <c r="C373" s="1">
        <f>'Historical Simulation'!D373</f>
        <v>193.03</v>
      </c>
      <c r="D373" s="22">
        <f t="shared" si="26"/>
        <v>506.2113538362413</v>
      </c>
      <c r="E373" s="23">
        <f t="shared" si="27"/>
        <v>-6.6882776690965784</v>
      </c>
      <c r="F373" s="23">
        <f t="shared" si="28"/>
        <v>6.6882776690965784</v>
      </c>
    </row>
    <row r="374" spans="1:6" x14ac:dyDescent="0.3">
      <c r="A374" s="2">
        <v>43585</v>
      </c>
      <c r="B374" s="1">
        <v>50.167499999999997</v>
      </c>
      <c r="C374" s="1">
        <f>'Historical Simulation'!D374</f>
        <v>193.4</v>
      </c>
      <c r="D374" s="22">
        <f t="shared" si="26"/>
        <v>512.89963150533788</v>
      </c>
      <c r="E374" s="23">
        <f t="shared" si="27"/>
        <v>-2.2611013872173089</v>
      </c>
      <c r="F374" s="23">
        <f t="shared" si="28"/>
        <v>2.2611013872173089</v>
      </c>
    </row>
    <row r="375" spans="1:6" x14ac:dyDescent="0.3">
      <c r="A375" s="2">
        <v>43584</v>
      </c>
      <c r="B375" s="1">
        <v>51.152500000000003</v>
      </c>
      <c r="C375" s="1">
        <f>'Historical Simulation'!D375</f>
        <v>194.78</v>
      </c>
      <c r="D375" s="22">
        <f t="shared" si="26"/>
        <v>515.16073289255519</v>
      </c>
      <c r="E375" s="23">
        <f t="shared" si="27"/>
        <v>10.455919509963792</v>
      </c>
      <c r="F375" s="23">
        <f t="shared" si="28"/>
        <v>-10.455919509963792</v>
      </c>
    </row>
    <row r="376" spans="1:6" x14ac:dyDescent="0.3">
      <c r="A376" s="2">
        <v>43581</v>
      </c>
      <c r="B376" s="1">
        <v>51.075000000000003</v>
      </c>
      <c r="C376" s="1">
        <f>'Historical Simulation'!D376</f>
        <v>191.49</v>
      </c>
      <c r="D376" s="22">
        <f t="shared" si="26"/>
        <v>504.7048133825914</v>
      </c>
      <c r="E376" s="23">
        <f t="shared" si="27"/>
        <v>-5.1717205455858561</v>
      </c>
      <c r="F376" s="23">
        <f t="shared" si="28"/>
        <v>5.1717205455858561</v>
      </c>
    </row>
    <row r="377" spans="1:6" x14ac:dyDescent="0.3">
      <c r="A377" s="2">
        <v>43580</v>
      </c>
      <c r="B377" s="1">
        <v>51.32</v>
      </c>
      <c r="C377" s="1">
        <f>'Historical Simulation'!D377</f>
        <v>193.26</v>
      </c>
      <c r="D377" s="22">
        <f t="shared" si="26"/>
        <v>509.87653392817725</v>
      </c>
      <c r="E377" s="23">
        <f t="shared" si="27"/>
        <v>35.551596120185707</v>
      </c>
      <c r="F377" s="23">
        <f t="shared" si="28"/>
        <v>-35.551596120185707</v>
      </c>
    </row>
    <row r="378" spans="1:6" x14ac:dyDescent="0.3">
      <c r="A378" s="2">
        <v>43579</v>
      </c>
      <c r="B378" s="1">
        <v>51.79</v>
      </c>
      <c r="C378" s="1">
        <f>'Historical Simulation'!D378</f>
        <v>182.58</v>
      </c>
      <c r="D378" s="22">
        <f t="shared" si="26"/>
        <v>474.32493780799155</v>
      </c>
      <c r="E378" s="23">
        <f t="shared" si="27"/>
        <v>-3.6983127941352336</v>
      </c>
      <c r="F378" s="23">
        <f t="shared" si="28"/>
        <v>3.6983127941352336</v>
      </c>
    </row>
    <row r="379" spans="1:6" x14ac:dyDescent="0.3">
      <c r="A379" s="2">
        <v>43578</v>
      </c>
      <c r="B379" s="1">
        <v>51.87</v>
      </c>
      <c r="C379" s="1">
        <f>'Historical Simulation'!D379</f>
        <v>183.78</v>
      </c>
      <c r="D379" s="22">
        <f t="shared" si="26"/>
        <v>478.02325060212678</v>
      </c>
      <c r="E379" s="23">
        <f t="shared" si="27"/>
        <v>5.9145948683944312</v>
      </c>
      <c r="F379" s="23">
        <f t="shared" si="28"/>
        <v>-5.9145948683944312</v>
      </c>
    </row>
    <row r="380" spans="1:6" x14ac:dyDescent="0.3">
      <c r="A380" s="2">
        <v>43577</v>
      </c>
      <c r="B380" s="1">
        <v>51.1325</v>
      </c>
      <c r="C380" s="1">
        <f>'Historical Simulation'!D380</f>
        <v>181.44</v>
      </c>
      <c r="D380" s="22">
        <f t="shared" si="26"/>
        <v>472.10865573373235</v>
      </c>
      <c r="E380" s="23">
        <f t="shared" si="27"/>
        <v>9.8351794968301078</v>
      </c>
      <c r="F380" s="23">
        <f t="shared" si="28"/>
        <v>-9.8351794968301078</v>
      </c>
    </row>
    <row r="381" spans="1:6" x14ac:dyDescent="0.3">
      <c r="A381" s="2">
        <v>43574</v>
      </c>
      <c r="B381" s="1">
        <v>50.965000000000003</v>
      </c>
      <c r="C381" s="1">
        <f>'Historical Simulation'!D381</f>
        <v>178.28</v>
      </c>
      <c r="D381" s="22">
        <f t="shared" si="26"/>
        <v>462.27347623690224</v>
      </c>
      <c r="E381" s="23">
        <f t="shared" si="27"/>
        <v>0</v>
      </c>
      <c r="F381" s="23">
        <f t="shared" si="28"/>
        <v>0</v>
      </c>
    </row>
    <row r="382" spans="1:6" x14ac:dyDescent="0.3">
      <c r="A382" s="2">
        <v>43573</v>
      </c>
      <c r="B382" s="1">
        <v>50.965000000000003</v>
      </c>
      <c r="C382" s="1">
        <f>'Historical Simulation'!D382</f>
        <v>178.28</v>
      </c>
      <c r="D382" s="22">
        <f t="shared" si="26"/>
        <v>462.27347623690224</v>
      </c>
      <c r="E382" s="23">
        <f t="shared" si="27"/>
        <v>-2.0224093589261543</v>
      </c>
      <c r="F382" s="23">
        <f t="shared" si="28"/>
        <v>2.0224093589261543</v>
      </c>
    </row>
    <row r="383" spans="1:6" x14ac:dyDescent="0.3">
      <c r="A383" s="2">
        <v>43572</v>
      </c>
      <c r="B383" s="1">
        <v>50.782499999999999</v>
      </c>
      <c r="C383" s="1">
        <f>'Historical Simulation'!D383</f>
        <v>178.78</v>
      </c>
      <c r="D383" s="22">
        <f t="shared" si="26"/>
        <v>464.29588559582839</v>
      </c>
      <c r="E383" s="23">
        <f t="shared" si="27"/>
        <v>-2.4544746087351541</v>
      </c>
      <c r="F383" s="23">
        <f t="shared" si="28"/>
        <v>2.4544746087351541</v>
      </c>
    </row>
    <row r="384" spans="1:6" x14ac:dyDescent="0.3">
      <c r="A384" s="2">
        <v>43571</v>
      </c>
      <c r="B384" s="1">
        <v>49.8125</v>
      </c>
      <c r="C384" s="1">
        <f>'Historical Simulation'!D384</f>
        <v>178.87</v>
      </c>
      <c r="D384" s="22">
        <f t="shared" si="26"/>
        <v>466.75036020456355</v>
      </c>
      <c r="E384" s="23">
        <f t="shared" si="27"/>
        <v>-2.531049592318027</v>
      </c>
      <c r="F384" s="23">
        <f t="shared" si="28"/>
        <v>2.531049592318027</v>
      </c>
    </row>
    <row r="385" spans="1:6" x14ac:dyDescent="0.3">
      <c r="A385" s="2">
        <v>43570</v>
      </c>
      <c r="B385" s="1">
        <v>49.807499999999997</v>
      </c>
      <c r="C385" s="1">
        <f>'Historical Simulation'!D385</f>
        <v>179.65</v>
      </c>
      <c r="D385" s="22">
        <f t="shared" si="26"/>
        <v>469.28140979688158</v>
      </c>
      <c r="E385" s="23">
        <f t="shared" si="27"/>
        <v>1.5760927547341907</v>
      </c>
      <c r="F385" s="23">
        <f t="shared" si="28"/>
        <v>-1.5760927547341907</v>
      </c>
    </row>
    <row r="386" spans="1:6" x14ac:dyDescent="0.3">
      <c r="A386" s="2">
        <v>43567</v>
      </c>
      <c r="B386" s="1">
        <v>49.717500000000001</v>
      </c>
      <c r="C386" s="1">
        <f>'Historical Simulation'!D386</f>
        <v>179.1</v>
      </c>
      <c r="D386" s="22">
        <f t="shared" si="26"/>
        <v>467.70531704214739</v>
      </c>
      <c r="E386" s="23">
        <f t="shared" si="27"/>
        <v>5.1813246415694607</v>
      </c>
      <c r="F386" s="23">
        <f t="shared" si="28"/>
        <v>-5.1813246415694607</v>
      </c>
    </row>
    <row r="387" spans="1:6" x14ac:dyDescent="0.3">
      <c r="A387" s="2">
        <v>43566</v>
      </c>
      <c r="B387" s="1">
        <v>49.737499999999997</v>
      </c>
      <c r="C387" s="1">
        <f>'Historical Simulation'!D387</f>
        <v>177.51</v>
      </c>
      <c r="D387" s="22">
        <f t="shared" si="26"/>
        <v>462.52399240057792</v>
      </c>
      <c r="E387" s="23">
        <f t="shared" si="27"/>
        <v>-7.0206584491586455E-2</v>
      </c>
      <c r="F387" s="23">
        <f t="shared" si="28"/>
        <v>7.0206584491586455E-2</v>
      </c>
    </row>
    <row r="388" spans="1:6" x14ac:dyDescent="0.3">
      <c r="A388" s="2">
        <v>43565</v>
      </c>
      <c r="B388" s="1">
        <v>50.155000000000001</v>
      </c>
      <c r="C388" s="1">
        <f>'Historical Simulation'!D388</f>
        <v>177.82</v>
      </c>
      <c r="D388" s="22">
        <f t="shared" si="26"/>
        <v>462.59419898506951</v>
      </c>
      <c r="E388" s="23">
        <f t="shared" si="27"/>
        <v>0.15077454306657501</v>
      </c>
      <c r="F388" s="23">
        <f t="shared" si="28"/>
        <v>-0.15077454306657501</v>
      </c>
    </row>
    <row r="389" spans="1:6" x14ac:dyDescent="0.3">
      <c r="A389" s="2">
        <v>43564</v>
      </c>
      <c r="B389" s="1">
        <v>49.875</v>
      </c>
      <c r="C389" s="1">
        <f>'Historical Simulation'!D389</f>
        <v>177.58</v>
      </c>
      <c r="D389" s="22">
        <f t="shared" si="26"/>
        <v>462.44342444200294</v>
      </c>
      <c r="E389" s="23">
        <f t="shared" si="27"/>
        <v>8.8957819853382603</v>
      </c>
      <c r="F389" s="23">
        <f t="shared" si="28"/>
        <v>-8.8957819853382603</v>
      </c>
    </row>
    <row r="390" spans="1:6" x14ac:dyDescent="0.3">
      <c r="A390" s="2">
        <v>43563</v>
      </c>
      <c r="B390" s="1">
        <v>50.024999999999999</v>
      </c>
      <c r="C390" s="1">
        <f>'Historical Simulation'!D390</f>
        <v>174.93</v>
      </c>
      <c r="D390" s="22">
        <f t="shared" ref="D390:D453" si="29">$M$16*B390+(1-$M$16)*C390</f>
        <v>453.54764245666468</v>
      </c>
      <c r="E390" s="23">
        <f t="shared" ref="E390:E453" si="30">D390-D391</f>
        <v>-4.2809460025193857</v>
      </c>
      <c r="F390" s="23">
        <f t="shared" ref="F390:F453" si="31">-E390</f>
        <v>4.2809460025193857</v>
      </c>
    </row>
    <row r="391" spans="1:6" x14ac:dyDescent="0.3">
      <c r="A391" s="2">
        <v>43560</v>
      </c>
      <c r="B391" s="1">
        <v>49.25</v>
      </c>
      <c r="C391" s="1">
        <f>'Historical Simulation'!D391</f>
        <v>175.72</v>
      </c>
      <c r="D391" s="22">
        <f t="shared" si="29"/>
        <v>457.82858845918406</v>
      </c>
      <c r="E391" s="23">
        <f t="shared" si="30"/>
        <v>-1.699724355642843</v>
      </c>
      <c r="F391" s="23">
        <f t="shared" si="31"/>
        <v>1.699724355642843</v>
      </c>
    </row>
    <row r="392" spans="1:6" x14ac:dyDescent="0.3">
      <c r="A392" s="2">
        <v>43559</v>
      </c>
      <c r="B392" s="1">
        <v>48.922499999999999</v>
      </c>
      <c r="C392" s="1">
        <f>'Historical Simulation'!D392</f>
        <v>176.02</v>
      </c>
      <c r="D392" s="22">
        <f t="shared" si="29"/>
        <v>459.5283128148269</v>
      </c>
      <c r="E392" s="23">
        <f t="shared" si="30"/>
        <v>7.8223742338875581</v>
      </c>
      <c r="F392" s="23">
        <f t="shared" si="31"/>
        <v>-7.8223742338875581</v>
      </c>
    </row>
    <row r="393" spans="1:6" x14ac:dyDescent="0.3">
      <c r="A393" s="2">
        <v>43558</v>
      </c>
      <c r="B393" s="1">
        <v>48.837499999999999</v>
      </c>
      <c r="C393" s="1">
        <f>'Historical Simulation'!D393</f>
        <v>173.54</v>
      </c>
      <c r="D393" s="22">
        <f t="shared" si="29"/>
        <v>451.70593858093935</v>
      </c>
      <c r="E393" s="23">
        <f t="shared" si="30"/>
        <v>-2.873906650159995</v>
      </c>
      <c r="F393" s="23">
        <f t="shared" si="31"/>
        <v>2.873906650159995</v>
      </c>
    </row>
    <row r="394" spans="1:6" x14ac:dyDescent="0.3">
      <c r="A394" s="2">
        <v>43557</v>
      </c>
      <c r="B394" s="1">
        <v>48.505000000000003</v>
      </c>
      <c r="C394" s="1">
        <f>'Historical Simulation'!D394</f>
        <v>174.2</v>
      </c>
      <c r="D394" s="22">
        <f t="shared" si="29"/>
        <v>454.57984523109934</v>
      </c>
      <c r="E394" s="23">
        <f t="shared" si="30"/>
        <v>16.218208014124855</v>
      </c>
      <c r="F394" s="23">
        <f t="shared" si="31"/>
        <v>-16.218208014124855</v>
      </c>
    </row>
    <row r="395" spans="1:6" x14ac:dyDescent="0.3">
      <c r="A395" s="2">
        <v>43556</v>
      </c>
      <c r="B395" s="1">
        <v>47.81</v>
      </c>
      <c r="C395" s="1">
        <f>'Historical Simulation'!D395</f>
        <v>168.7</v>
      </c>
      <c r="D395" s="22">
        <f t="shared" si="29"/>
        <v>438.36163721697449</v>
      </c>
      <c r="E395" s="23">
        <f t="shared" si="30"/>
        <v>5.7741989643778879</v>
      </c>
      <c r="F395" s="23">
        <f t="shared" si="31"/>
        <v>-5.7741989643778879</v>
      </c>
    </row>
    <row r="396" spans="1:6" x14ac:dyDescent="0.3">
      <c r="A396" s="2">
        <v>43553</v>
      </c>
      <c r="B396" s="1">
        <v>47.487499999999997</v>
      </c>
      <c r="C396" s="1">
        <f>'Historical Simulation'!D396</f>
        <v>166.69</v>
      </c>
      <c r="D396" s="22">
        <f t="shared" si="29"/>
        <v>432.5874382525966</v>
      </c>
      <c r="E396" s="23">
        <f t="shared" si="30"/>
        <v>2.9970048224263905</v>
      </c>
      <c r="F396" s="23">
        <f t="shared" si="31"/>
        <v>-2.9970048224263905</v>
      </c>
    </row>
    <row r="397" spans="1:6" x14ac:dyDescent="0.3">
      <c r="A397" s="2">
        <v>43552</v>
      </c>
      <c r="B397" s="1">
        <v>47.18</v>
      </c>
      <c r="C397" s="1">
        <f>'Historical Simulation'!D397</f>
        <v>165.55</v>
      </c>
      <c r="D397" s="22">
        <f t="shared" si="29"/>
        <v>429.59043343017021</v>
      </c>
      <c r="E397" s="23">
        <f t="shared" si="30"/>
        <v>-1.1732184319256476</v>
      </c>
      <c r="F397" s="23">
        <f t="shared" si="31"/>
        <v>1.1732184319256476</v>
      </c>
    </row>
    <row r="398" spans="1:6" x14ac:dyDescent="0.3">
      <c r="A398" s="2">
        <v>43551</v>
      </c>
      <c r="B398" s="1">
        <v>47.1175</v>
      </c>
      <c r="C398" s="1">
        <f>'Historical Simulation'!D398</f>
        <v>165.87</v>
      </c>
      <c r="D398" s="22">
        <f t="shared" si="29"/>
        <v>430.76365186209586</v>
      </c>
      <c r="E398" s="23">
        <f t="shared" si="30"/>
        <v>-6.7843192240371195</v>
      </c>
      <c r="F398" s="23">
        <f t="shared" si="31"/>
        <v>6.7843192240371195</v>
      </c>
    </row>
    <row r="399" spans="1:6" x14ac:dyDescent="0.3">
      <c r="A399" s="2">
        <v>43550</v>
      </c>
      <c r="B399" s="1">
        <v>46.697499999999998</v>
      </c>
      <c r="C399" s="1">
        <f>'Historical Simulation'!D399</f>
        <v>167.68</v>
      </c>
      <c r="D399" s="22">
        <f t="shared" si="29"/>
        <v>437.54797108613297</v>
      </c>
      <c r="E399" s="23">
        <f t="shared" si="30"/>
        <v>5.5780198848115106</v>
      </c>
      <c r="F399" s="23">
        <f t="shared" si="31"/>
        <v>-5.5780198848115106</v>
      </c>
    </row>
    <row r="400" spans="1:6" x14ac:dyDescent="0.3">
      <c r="A400" s="2">
        <v>43549</v>
      </c>
      <c r="B400" s="1">
        <v>47.185000000000002</v>
      </c>
      <c r="C400" s="1">
        <f>'Historical Simulation'!D400</f>
        <v>166.29</v>
      </c>
      <c r="D400" s="22">
        <f t="shared" si="29"/>
        <v>431.96995120132146</v>
      </c>
      <c r="E400" s="23">
        <f t="shared" si="30"/>
        <v>7.5879335599794331</v>
      </c>
      <c r="F400" s="23">
        <f t="shared" si="31"/>
        <v>-7.5879335599794331</v>
      </c>
    </row>
    <row r="401" spans="1:6" x14ac:dyDescent="0.3">
      <c r="A401" s="2">
        <v>43546</v>
      </c>
      <c r="B401" s="1">
        <v>47.762500000000003</v>
      </c>
      <c r="C401" s="1">
        <f>'Historical Simulation'!D401</f>
        <v>164.34</v>
      </c>
      <c r="D401" s="22">
        <f t="shared" si="29"/>
        <v>424.38201764134203</v>
      </c>
      <c r="E401" s="23">
        <f t="shared" si="30"/>
        <v>-3.3683645890347407</v>
      </c>
      <c r="F401" s="23">
        <f t="shared" si="31"/>
        <v>3.3683645890347407</v>
      </c>
    </row>
    <row r="402" spans="1:6" x14ac:dyDescent="0.3">
      <c r="A402" s="2">
        <v>43545</v>
      </c>
      <c r="B402" s="1">
        <v>48.772500000000001</v>
      </c>
      <c r="C402" s="1">
        <f>'Historical Simulation'!D402</f>
        <v>166.08</v>
      </c>
      <c r="D402" s="22">
        <f t="shared" si="29"/>
        <v>427.75038223037677</v>
      </c>
      <c r="E402" s="23">
        <f t="shared" si="30"/>
        <v>-1.7969702924934836</v>
      </c>
      <c r="F402" s="23">
        <f t="shared" si="31"/>
        <v>1.7969702924934836</v>
      </c>
    </row>
    <row r="403" spans="1:6" x14ac:dyDescent="0.3">
      <c r="A403" s="2">
        <v>43544</v>
      </c>
      <c r="B403" s="1">
        <v>47.04</v>
      </c>
      <c r="C403" s="1">
        <f>'Historical Simulation'!D403</f>
        <v>165.44</v>
      </c>
      <c r="D403" s="22">
        <f t="shared" si="29"/>
        <v>429.54735252287026</v>
      </c>
      <c r="E403" s="23">
        <f t="shared" si="30"/>
        <v>11.593578615797696</v>
      </c>
      <c r="F403" s="23">
        <f t="shared" si="31"/>
        <v>-11.593578615797696</v>
      </c>
    </row>
    <row r="404" spans="1:6" x14ac:dyDescent="0.3">
      <c r="A404" s="2">
        <v>43543</v>
      </c>
      <c r="B404" s="1">
        <v>46.6325</v>
      </c>
      <c r="C404" s="1">
        <f>'Historical Simulation'!D404</f>
        <v>161.57</v>
      </c>
      <c r="D404" s="22">
        <f t="shared" si="29"/>
        <v>417.95377390707256</v>
      </c>
      <c r="E404" s="23">
        <f t="shared" si="30"/>
        <v>4.3846121333608608</v>
      </c>
      <c r="F404" s="23">
        <f t="shared" si="31"/>
        <v>-4.3846121333608608</v>
      </c>
    </row>
    <row r="405" spans="1:6" x14ac:dyDescent="0.3">
      <c r="A405" s="2">
        <v>43542</v>
      </c>
      <c r="B405" s="1">
        <v>47.005000000000003</v>
      </c>
      <c r="C405" s="1">
        <f>'Historical Simulation'!D405</f>
        <v>160.47</v>
      </c>
      <c r="D405" s="22">
        <f t="shared" si="29"/>
        <v>413.5691617737117</v>
      </c>
      <c r="E405" s="23">
        <f t="shared" si="30"/>
        <v>-18.86035899366027</v>
      </c>
      <c r="F405" s="23">
        <f t="shared" si="31"/>
        <v>18.86035899366027</v>
      </c>
    </row>
    <row r="406" spans="1:6" x14ac:dyDescent="0.3">
      <c r="A406" s="2">
        <v>43539</v>
      </c>
      <c r="B406" s="1">
        <v>46.53</v>
      </c>
      <c r="C406" s="1">
        <f>'Historical Simulation'!D406</f>
        <v>165.98</v>
      </c>
      <c r="D406" s="22">
        <f t="shared" si="29"/>
        <v>432.42952076737197</v>
      </c>
      <c r="E406" s="23">
        <f t="shared" si="30"/>
        <v>-14.869171876716621</v>
      </c>
      <c r="F406" s="23">
        <f t="shared" si="31"/>
        <v>14.869171876716621</v>
      </c>
    </row>
    <row r="407" spans="1:6" x14ac:dyDescent="0.3">
      <c r="A407" s="2">
        <v>43538</v>
      </c>
      <c r="B407" s="1">
        <v>45.932499999999997</v>
      </c>
      <c r="C407" s="1">
        <f>'Historical Simulation'!D407</f>
        <v>170.17</v>
      </c>
      <c r="D407" s="22">
        <f t="shared" si="29"/>
        <v>447.29869264408859</v>
      </c>
      <c r="E407" s="23">
        <f t="shared" si="30"/>
        <v>-11.464507948456344</v>
      </c>
      <c r="F407" s="23">
        <f t="shared" si="31"/>
        <v>11.464507948456344</v>
      </c>
    </row>
    <row r="408" spans="1:6" x14ac:dyDescent="0.3">
      <c r="A408" s="2">
        <v>43537</v>
      </c>
      <c r="B408" s="1">
        <v>45.427500000000002</v>
      </c>
      <c r="C408" s="1">
        <f>'Historical Simulation'!D408</f>
        <v>173.37</v>
      </c>
      <c r="D408" s="22">
        <f t="shared" si="29"/>
        <v>458.76320059254493</v>
      </c>
      <c r="E408" s="23">
        <f t="shared" si="30"/>
        <v>4.2382955291687949</v>
      </c>
      <c r="F408" s="23">
        <f t="shared" si="31"/>
        <v>-4.2382955291687949</v>
      </c>
    </row>
    <row r="409" spans="1:6" x14ac:dyDescent="0.3">
      <c r="A409" s="2">
        <v>43536</v>
      </c>
      <c r="B409" s="1">
        <v>45.227499999999999</v>
      </c>
      <c r="C409" s="1">
        <f>'Historical Simulation'!D409</f>
        <v>171.92</v>
      </c>
      <c r="D409" s="22">
        <f t="shared" si="29"/>
        <v>454.52490506337614</v>
      </c>
      <c r="E409" s="23">
        <f t="shared" si="30"/>
        <v>-1.6054902662260702</v>
      </c>
      <c r="F409" s="23">
        <f t="shared" si="31"/>
        <v>1.6054902662260702</v>
      </c>
    </row>
    <row r="410" spans="1:6" x14ac:dyDescent="0.3">
      <c r="A410" s="2">
        <v>43535</v>
      </c>
      <c r="B410" s="1">
        <v>44.725000000000001</v>
      </c>
      <c r="C410" s="1">
        <f>'Historical Simulation'!D410</f>
        <v>172.07</v>
      </c>
      <c r="D410" s="22">
        <f t="shared" si="29"/>
        <v>456.13039532960221</v>
      </c>
      <c r="E410" s="23">
        <f t="shared" si="30"/>
        <v>4.6392939216933655</v>
      </c>
      <c r="F410" s="23">
        <f t="shared" si="31"/>
        <v>-4.6392939216933655</v>
      </c>
    </row>
    <row r="411" spans="1:6" x14ac:dyDescent="0.3">
      <c r="A411" s="2">
        <v>43532</v>
      </c>
      <c r="B411" s="1">
        <v>43.227499999999999</v>
      </c>
      <c r="C411" s="1">
        <f>'Historical Simulation'!D411</f>
        <v>169.6</v>
      </c>
      <c r="D411" s="22">
        <f t="shared" si="29"/>
        <v>451.49110140790884</v>
      </c>
      <c r="E411" s="23">
        <f t="shared" si="30"/>
        <v>1.2897588855755657</v>
      </c>
      <c r="F411" s="23">
        <f t="shared" si="31"/>
        <v>-1.2897588855755657</v>
      </c>
    </row>
    <row r="412" spans="1:6" x14ac:dyDescent="0.3">
      <c r="A412" s="2">
        <v>43531</v>
      </c>
      <c r="B412" s="1">
        <v>43.125</v>
      </c>
      <c r="C412" s="1">
        <f>'Historical Simulation'!D412</f>
        <v>169.13</v>
      </c>
      <c r="D412" s="22">
        <f t="shared" si="29"/>
        <v>450.20134252233328</v>
      </c>
      <c r="E412" s="23">
        <f t="shared" si="30"/>
        <v>-9.7930797170882329</v>
      </c>
      <c r="F412" s="23">
        <f t="shared" si="31"/>
        <v>9.7930797170882329</v>
      </c>
    </row>
    <row r="413" spans="1:6" x14ac:dyDescent="0.3">
      <c r="A413" s="2">
        <v>43530</v>
      </c>
      <c r="B413" s="1">
        <v>43.63</v>
      </c>
      <c r="C413" s="1">
        <f>'Historical Simulation'!D413</f>
        <v>172.51</v>
      </c>
      <c r="D413" s="22">
        <f t="shared" si="29"/>
        <v>459.99442223942151</v>
      </c>
      <c r="E413" s="23">
        <f t="shared" si="30"/>
        <v>4.6015312260609562</v>
      </c>
      <c r="F413" s="23">
        <f t="shared" si="31"/>
        <v>-4.6015312260609562</v>
      </c>
    </row>
    <row r="414" spans="1:6" x14ac:dyDescent="0.3">
      <c r="A414" s="2">
        <v>43529</v>
      </c>
      <c r="B414" s="1">
        <v>43.8825</v>
      </c>
      <c r="C414" s="1">
        <f>'Historical Simulation'!D414</f>
        <v>171.26</v>
      </c>
      <c r="D414" s="22">
        <f t="shared" si="29"/>
        <v>455.39289101336055</v>
      </c>
      <c r="E414" s="23">
        <f t="shared" si="30"/>
        <v>12.745626600640094</v>
      </c>
      <c r="F414" s="23">
        <f t="shared" si="31"/>
        <v>-12.745626600640094</v>
      </c>
    </row>
    <row r="415" spans="1:6" x14ac:dyDescent="0.3">
      <c r="A415" s="2">
        <v>43528</v>
      </c>
      <c r="B415" s="1">
        <v>43.962499999999999</v>
      </c>
      <c r="C415" s="1">
        <f>'Historical Simulation'!D415</f>
        <v>167.37</v>
      </c>
      <c r="D415" s="22">
        <f t="shared" si="29"/>
        <v>442.64726441272046</v>
      </c>
      <c r="E415" s="23">
        <f t="shared" si="30"/>
        <v>15.953199381641696</v>
      </c>
      <c r="F415" s="23">
        <f t="shared" si="31"/>
        <v>-15.953199381641696</v>
      </c>
    </row>
    <row r="416" spans="1:6" x14ac:dyDescent="0.3">
      <c r="A416" s="2">
        <v>43525</v>
      </c>
      <c r="B416" s="1">
        <v>43.7425</v>
      </c>
      <c r="C416" s="1">
        <f>'Historical Simulation'!D416</f>
        <v>162.28</v>
      </c>
      <c r="D416" s="22">
        <f t="shared" si="29"/>
        <v>426.69406503107876</v>
      </c>
      <c r="E416" s="23">
        <f t="shared" si="30"/>
        <v>1.6664886587507226</v>
      </c>
      <c r="F416" s="23">
        <f t="shared" si="31"/>
        <v>-1.6664886587507226</v>
      </c>
    </row>
    <row r="417" spans="1:6" x14ac:dyDescent="0.3">
      <c r="A417" s="2">
        <v>43524</v>
      </c>
      <c r="B417" s="1">
        <v>43.287500000000001</v>
      </c>
      <c r="C417" s="1">
        <f>'Historical Simulation'!D417</f>
        <v>161.44999999999999</v>
      </c>
      <c r="D417" s="22">
        <f t="shared" si="29"/>
        <v>425.02757637232804</v>
      </c>
      <c r="E417" s="23">
        <f t="shared" si="30"/>
        <v>-3.4344918737016883</v>
      </c>
      <c r="F417" s="23">
        <f t="shared" si="31"/>
        <v>3.4344918737016883</v>
      </c>
    </row>
    <row r="418" spans="1:6" x14ac:dyDescent="0.3">
      <c r="A418" s="2">
        <v>43523</v>
      </c>
      <c r="B418" s="1">
        <v>43.717500000000001</v>
      </c>
      <c r="C418" s="1">
        <f>'Historical Simulation'!D418</f>
        <v>162.81</v>
      </c>
      <c r="D418" s="22">
        <f t="shared" si="29"/>
        <v>428.46206824602973</v>
      </c>
      <c r="E418" s="23">
        <f t="shared" si="30"/>
        <v>-4.5655759959525426</v>
      </c>
      <c r="F418" s="23">
        <f t="shared" si="31"/>
        <v>4.5655759959525426</v>
      </c>
    </row>
    <row r="419" spans="1:6" x14ac:dyDescent="0.3">
      <c r="A419" s="2">
        <v>43522</v>
      </c>
      <c r="B419" s="1">
        <v>43.582500000000003</v>
      </c>
      <c r="C419" s="1">
        <f>'Historical Simulation'!D419</f>
        <v>164.13</v>
      </c>
      <c r="D419" s="22">
        <f t="shared" si="29"/>
        <v>433.02764424198227</v>
      </c>
      <c r="E419" s="23">
        <f t="shared" si="30"/>
        <v>-1.6387777580175111</v>
      </c>
      <c r="F419" s="23">
        <f t="shared" si="31"/>
        <v>1.6387777580175111</v>
      </c>
    </row>
    <row r="420" spans="1:6" x14ac:dyDescent="0.3">
      <c r="A420" s="2">
        <v>43521</v>
      </c>
      <c r="B420" s="1">
        <v>43.557499999999997</v>
      </c>
      <c r="C420" s="1">
        <f>'Historical Simulation'!D420</f>
        <v>164.62</v>
      </c>
      <c r="D420" s="22">
        <f t="shared" si="29"/>
        <v>434.66642199999978</v>
      </c>
      <c r="E420" s="23">
        <f t="shared" si="30"/>
        <v>8.1169869623541899</v>
      </c>
      <c r="F420" s="23">
        <f t="shared" si="31"/>
        <v>-8.1169869623541899</v>
      </c>
    </row>
    <row r="421" spans="1:6" x14ac:dyDescent="0.3">
      <c r="A421" s="2">
        <v>43518</v>
      </c>
      <c r="B421" s="1">
        <v>43.2425</v>
      </c>
      <c r="C421" s="1">
        <f>'Historical Simulation'!D421</f>
        <v>161.88999999999999</v>
      </c>
      <c r="D421" s="22">
        <f t="shared" si="29"/>
        <v>426.54943503764559</v>
      </c>
      <c r="E421" s="23">
        <f t="shared" si="30"/>
        <v>4.911548491027304</v>
      </c>
      <c r="F421" s="23">
        <f t="shared" si="31"/>
        <v>-4.911548491027304</v>
      </c>
    </row>
    <row r="422" spans="1:6" x14ac:dyDescent="0.3">
      <c r="A422" s="2">
        <v>43517</v>
      </c>
      <c r="B422" s="1">
        <v>42.765000000000001</v>
      </c>
      <c r="C422" s="1">
        <f>'Historical Simulation'!D422</f>
        <v>160.04</v>
      </c>
      <c r="D422" s="22">
        <f t="shared" si="29"/>
        <v>421.63788654661829</v>
      </c>
      <c r="E422" s="23">
        <f t="shared" si="30"/>
        <v>-7.6002744541455627</v>
      </c>
      <c r="F422" s="23">
        <f t="shared" si="31"/>
        <v>7.6002744541455627</v>
      </c>
    </row>
    <row r="423" spans="1:6" x14ac:dyDescent="0.3">
      <c r="A423" s="2">
        <v>43516</v>
      </c>
      <c r="B423" s="1">
        <v>43.0075</v>
      </c>
      <c r="C423" s="1">
        <f>'Historical Simulation'!D423</f>
        <v>162.56</v>
      </c>
      <c r="D423" s="22">
        <f t="shared" si="29"/>
        <v>429.23816100076385</v>
      </c>
      <c r="E423" s="23">
        <f t="shared" si="30"/>
        <v>0.25884681788329544</v>
      </c>
      <c r="F423" s="23">
        <f t="shared" si="31"/>
        <v>-0.25884681788329544</v>
      </c>
    </row>
    <row r="424" spans="1:6" x14ac:dyDescent="0.3">
      <c r="A424" s="2">
        <v>43515</v>
      </c>
      <c r="B424" s="1">
        <v>42.732500000000002</v>
      </c>
      <c r="C424" s="1">
        <f>'Historical Simulation'!D424</f>
        <v>162.29</v>
      </c>
      <c r="D424" s="22">
        <f t="shared" si="29"/>
        <v>428.97931418288056</v>
      </c>
      <c r="E424" s="23">
        <f t="shared" si="30"/>
        <v>-0.96283979287562715</v>
      </c>
      <c r="F424" s="23">
        <f t="shared" si="31"/>
        <v>0.96283979287562715</v>
      </c>
    </row>
    <row r="425" spans="1:6" x14ac:dyDescent="0.3">
      <c r="A425" s="2">
        <v>43514</v>
      </c>
      <c r="B425" s="1">
        <v>42.604999999999997</v>
      </c>
      <c r="C425" s="1">
        <f>'Historical Simulation'!D425</f>
        <v>162.5</v>
      </c>
      <c r="D425" s="22">
        <f t="shared" si="29"/>
        <v>429.94215397575618</v>
      </c>
      <c r="E425" s="23">
        <f t="shared" si="30"/>
        <v>0</v>
      </c>
      <c r="F425" s="23">
        <f t="shared" si="31"/>
        <v>0</v>
      </c>
    </row>
    <row r="426" spans="1:6" x14ac:dyDescent="0.3">
      <c r="A426" s="2">
        <v>43511</v>
      </c>
      <c r="B426" s="1">
        <v>42.604999999999997</v>
      </c>
      <c r="C426" s="1">
        <f>'Historical Simulation'!D426</f>
        <v>162.5</v>
      </c>
      <c r="D426" s="22">
        <f t="shared" si="29"/>
        <v>429.94215397575618</v>
      </c>
      <c r="E426" s="23">
        <f t="shared" si="30"/>
        <v>-4.4725123536188107</v>
      </c>
      <c r="F426" s="23">
        <f t="shared" si="31"/>
        <v>4.4725123536188107</v>
      </c>
    </row>
    <row r="427" spans="1:6" x14ac:dyDescent="0.3">
      <c r="A427" s="2">
        <v>43510</v>
      </c>
      <c r="B427" s="1">
        <v>42.7</v>
      </c>
      <c r="C427" s="1">
        <f>'Historical Simulation'!D427</f>
        <v>163.95</v>
      </c>
      <c r="D427" s="22">
        <f t="shared" si="29"/>
        <v>434.414666329375</v>
      </c>
      <c r="E427" s="23">
        <f t="shared" si="30"/>
        <v>-0.73342501641718627</v>
      </c>
      <c r="F427" s="23">
        <f t="shared" si="31"/>
        <v>0.73342501641718627</v>
      </c>
    </row>
    <row r="428" spans="1:6" x14ac:dyDescent="0.3">
      <c r="A428" s="2">
        <v>43509</v>
      </c>
      <c r="B428" s="1">
        <v>42.545000000000002</v>
      </c>
      <c r="C428" s="1">
        <f>'Historical Simulation'!D428</f>
        <v>164.07</v>
      </c>
      <c r="D428" s="22">
        <f t="shared" si="29"/>
        <v>435.14809134579218</v>
      </c>
      <c r="E428" s="23">
        <f t="shared" si="30"/>
        <v>-2.7377793654930542</v>
      </c>
      <c r="F428" s="23">
        <f t="shared" si="31"/>
        <v>2.7377793654930542</v>
      </c>
    </row>
    <row r="429" spans="1:6" x14ac:dyDescent="0.3">
      <c r="A429" s="2">
        <v>43508</v>
      </c>
      <c r="B429" s="1">
        <v>42.722499999999997</v>
      </c>
      <c r="C429" s="1">
        <f>'Historical Simulation'!D429</f>
        <v>165.04</v>
      </c>
      <c r="D429" s="22">
        <f t="shared" si="29"/>
        <v>437.88587071128524</v>
      </c>
      <c r="E429" s="23">
        <f t="shared" si="30"/>
        <v>-3.2371596120185586</v>
      </c>
      <c r="F429" s="23">
        <f t="shared" si="31"/>
        <v>3.2371596120185586</v>
      </c>
    </row>
    <row r="430" spans="1:6" x14ac:dyDescent="0.3">
      <c r="A430" s="2">
        <v>43507</v>
      </c>
      <c r="B430" s="1">
        <v>42.357500000000002</v>
      </c>
      <c r="C430" s="1">
        <f>'Historical Simulation'!D430</f>
        <v>165.79</v>
      </c>
      <c r="D430" s="22">
        <f t="shared" si="29"/>
        <v>441.12303032330379</v>
      </c>
      <c r="E430" s="23">
        <f t="shared" si="30"/>
        <v>-4.4286741682189472</v>
      </c>
      <c r="F430" s="23">
        <f t="shared" si="31"/>
        <v>4.4286741682189472</v>
      </c>
    </row>
    <row r="431" spans="1:6" x14ac:dyDescent="0.3">
      <c r="A431" s="2">
        <v>43504</v>
      </c>
      <c r="B431" s="1">
        <v>42.602499999999999</v>
      </c>
      <c r="C431" s="1">
        <f>'Historical Simulation'!D431</f>
        <v>167.33</v>
      </c>
      <c r="D431" s="22">
        <f t="shared" si="29"/>
        <v>445.55170449152274</v>
      </c>
      <c r="E431" s="23">
        <f t="shared" si="30"/>
        <v>3.3646639282601427</v>
      </c>
      <c r="F431" s="23">
        <f t="shared" si="31"/>
        <v>-3.3646639282601427</v>
      </c>
    </row>
    <row r="432" spans="1:6" x14ac:dyDescent="0.3">
      <c r="A432" s="2">
        <v>43503</v>
      </c>
      <c r="B432" s="1">
        <v>42.734999999999999</v>
      </c>
      <c r="C432" s="1">
        <f>'Historical Simulation'!D432</f>
        <v>166.38</v>
      </c>
      <c r="D432" s="22">
        <f t="shared" si="29"/>
        <v>442.1870405632626</v>
      </c>
      <c r="E432" s="23">
        <f t="shared" si="30"/>
        <v>-11.43764065065568</v>
      </c>
      <c r="F432" s="23">
        <f t="shared" si="31"/>
        <v>11.43764065065568</v>
      </c>
    </row>
    <row r="433" spans="1:6" x14ac:dyDescent="0.3">
      <c r="A433" s="2">
        <v>43502</v>
      </c>
      <c r="B433" s="1">
        <v>43.56</v>
      </c>
      <c r="C433" s="1">
        <f>'Historical Simulation'!D433</f>
        <v>170.49</v>
      </c>
      <c r="D433" s="22">
        <f t="shared" si="29"/>
        <v>453.62468121391828</v>
      </c>
      <c r="E433" s="23">
        <f t="shared" si="30"/>
        <v>-2.1979859499844565</v>
      </c>
      <c r="F433" s="23">
        <f t="shared" si="31"/>
        <v>2.1979859499844565</v>
      </c>
    </row>
    <row r="434" spans="1:6" x14ac:dyDescent="0.3">
      <c r="A434" s="2">
        <v>43501</v>
      </c>
      <c r="B434" s="1">
        <v>43.545000000000002</v>
      </c>
      <c r="C434" s="1">
        <f>'Historical Simulation'!D434</f>
        <v>171.16</v>
      </c>
      <c r="D434" s="22">
        <f t="shared" si="29"/>
        <v>455.82266716390274</v>
      </c>
      <c r="E434" s="23">
        <f t="shared" si="30"/>
        <v>4.5365743884769927</v>
      </c>
      <c r="F434" s="23">
        <f t="shared" si="31"/>
        <v>-4.5365743884769927</v>
      </c>
    </row>
    <row r="435" spans="1:6" x14ac:dyDescent="0.3">
      <c r="A435" s="2">
        <v>43500</v>
      </c>
      <c r="B435" s="1">
        <v>42.8125</v>
      </c>
      <c r="C435" s="1">
        <f>'Historical Simulation'!D435</f>
        <v>169.25</v>
      </c>
      <c r="D435" s="22">
        <f t="shared" si="29"/>
        <v>451.28609277542574</v>
      </c>
      <c r="E435" s="23">
        <f t="shared" si="30"/>
        <v>8.7987253680124127</v>
      </c>
      <c r="F435" s="23">
        <f t="shared" si="31"/>
        <v>-8.7987253680124127</v>
      </c>
    </row>
    <row r="436" spans="1:6" x14ac:dyDescent="0.3">
      <c r="A436" s="2">
        <v>43497</v>
      </c>
      <c r="B436" s="1">
        <v>41.63</v>
      </c>
      <c r="C436" s="1">
        <f>'Historical Simulation'!D436</f>
        <v>165.71</v>
      </c>
      <c r="D436" s="22">
        <f t="shared" si="29"/>
        <v>442.48736740741333</v>
      </c>
      <c r="E436" s="23">
        <f t="shared" si="30"/>
        <v>-3.2106364233350178</v>
      </c>
      <c r="F436" s="23">
        <f t="shared" si="31"/>
        <v>3.2106364233350178</v>
      </c>
    </row>
    <row r="437" spans="1:6" x14ac:dyDescent="0.3">
      <c r="A437" s="2">
        <v>43496</v>
      </c>
      <c r="B437" s="1">
        <v>41.61</v>
      </c>
      <c r="C437" s="1">
        <f>'Historical Simulation'!D437</f>
        <v>166.69</v>
      </c>
      <c r="D437" s="22">
        <f t="shared" si="29"/>
        <v>445.69800383074835</v>
      </c>
      <c r="E437" s="23">
        <f t="shared" si="30"/>
        <v>51.898840271719166</v>
      </c>
      <c r="F437" s="23">
        <f t="shared" si="31"/>
        <v>-51.898840271719166</v>
      </c>
    </row>
    <row r="438" spans="1:6" x14ac:dyDescent="0.3">
      <c r="A438" s="2">
        <v>43495</v>
      </c>
      <c r="B438" s="1">
        <v>41.3125</v>
      </c>
      <c r="C438" s="1">
        <f>'Historical Simulation'!D438</f>
        <v>150.41999999999999</v>
      </c>
      <c r="D438" s="22">
        <f t="shared" si="29"/>
        <v>393.79916355902918</v>
      </c>
      <c r="E438" s="23">
        <f t="shared" si="30"/>
        <v>14.232408168714471</v>
      </c>
      <c r="F438" s="23">
        <f t="shared" si="31"/>
        <v>-14.232408168714471</v>
      </c>
    </row>
    <row r="439" spans="1:6" x14ac:dyDescent="0.3">
      <c r="A439" s="2">
        <v>43494</v>
      </c>
      <c r="B439" s="1">
        <v>38.67</v>
      </c>
      <c r="C439" s="1">
        <f>'Historical Simulation'!D439</f>
        <v>144.19</v>
      </c>
      <c r="D439" s="22">
        <f t="shared" si="29"/>
        <v>379.56675539031471</v>
      </c>
      <c r="E439" s="23">
        <f t="shared" si="30"/>
        <v>-9.693079717088267</v>
      </c>
      <c r="F439" s="23">
        <f t="shared" si="31"/>
        <v>9.693079717088267</v>
      </c>
    </row>
    <row r="440" spans="1:6" x14ac:dyDescent="0.3">
      <c r="A440" s="2">
        <v>43493</v>
      </c>
      <c r="B440" s="1">
        <v>39.075000000000003</v>
      </c>
      <c r="C440" s="1">
        <f>'Historical Simulation'!D440</f>
        <v>147.47</v>
      </c>
      <c r="D440" s="22">
        <f t="shared" si="29"/>
        <v>389.25983510740298</v>
      </c>
      <c r="E440" s="23">
        <f t="shared" si="30"/>
        <v>-4.1609977974187018</v>
      </c>
      <c r="F440" s="23">
        <f t="shared" si="31"/>
        <v>4.1609977974187018</v>
      </c>
    </row>
    <row r="441" spans="1:6" x14ac:dyDescent="0.3">
      <c r="A441" s="2">
        <v>43490</v>
      </c>
      <c r="B441" s="1">
        <v>39.44</v>
      </c>
      <c r="C441" s="1">
        <f>'Historical Simulation'!D441</f>
        <v>149.01</v>
      </c>
      <c r="D441" s="22">
        <f t="shared" si="29"/>
        <v>393.42083290482168</v>
      </c>
      <c r="E441" s="23">
        <f t="shared" si="30"/>
        <v>7.4516687506865651</v>
      </c>
      <c r="F441" s="23">
        <f t="shared" si="31"/>
        <v>-7.4516687506865651</v>
      </c>
    </row>
    <row r="442" spans="1:6" x14ac:dyDescent="0.3">
      <c r="A442" s="2">
        <v>43489</v>
      </c>
      <c r="B442" s="1">
        <v>38.174999999999997</v>
      </c>
      <c r="C442" s="1">
        <f>'Historical Simulation'!D442</f>
        <v>145.83000000000001</v>
      </c>
      <c r="D442" s="22">
        <f t="shared" si="29"/>
        <v>385.96916415413511</v>
      </c>
      <c r="E442" s="23">
        <f t="shared" si="30"/>
        <v>5.6232178368197765</v>
      </c>
      <c r="F442" s="23">
        <f t="shared" si="31"/>
        <v>-5.6232178368197765</v>
      </c>
    </row>
    <row r="443" spans="1:6" x14ac:dyDescent="0.3">
      <c r="A443" s="2">
        <v>43488</v>
      </c>
      <c r="B443" s="1">
        <v>38.479999999999997</v>
      </c>
      <c r="C443" s="1">
        <f>'Historical Simulation'!D443</f>
        <v>144.30000000000001</v>
      </c>
      <c r="D443" s="22">
        <f t="shared" si="29"/>
        <v>380.34594631731534</v>
      </c>
      <c r="E443" s="23">
        <f t="shared" si="30"/>
        <v>-10.909929749922412</v>
      </c>
      <c r="F443" s="23">
        <f t="shared" si="31"/>
        <v>10.909929749922412</v>
      </c>
    </row>
    <row r="444" spans="1:6" x14ac:dyDescent="0.3">
      <c r="A444" s="2">
        <v>43487</v>
      </c>
      <c r="B444" s="1">
        <v>38.325000000000003</v>
      </c>
      <c r="C444" s="1">
        <f>'Historical Simulation'!D444</f>
        <v>147.57</v>
      </c>
      <c r="D444" s="22">
        <f t="shared" si="29"/>
        <v>391.25587606723775</v>
      </c>
      <c r="E444" s="23">
        <f t="shared" si="30"/>
        <v>-6.0167119131027675</v>
      </c>
      <c r="F444" s="23">
        <f t="shared" si="31"/>
        <v>6.0167119131027675</v>
      </c>
    </row>
    <row r="445" spans="1:6" x14ac:dyDescent="0.3">
      <c r="A445" s="2">
        <v>43486</v>
      </c>
      <c r="B445" s="1">
        <v>39.204999999999998</v>
      </c>
      <c r="C445" s="1">
        <f>'Historical Simulation'!D445</f>
        <v>150.04</v>
      </c>
      <c r="D445" s="22">
        <f t="shared" si="29"/>
        <v>397.27258798034052</v>
      </c>
      <c r="E445" s="23">
        <f t="shared" si="30"/>
        <v>0</v>
      </c>
      <c r="F445" s="23">
        <f t="shared" si="31"/>
        <v>0</v>
      </c>
    </row>
    <row r="446" spans="1:6" x14ac:dyDescent="0.3">
      <c r="A446" s="2">
        <v>43483</v>
      </c>
      <c r="B446" s="1">
        <v>39.204999999999998</v>
      </c>
      <c r="C446" s="1">
        <f>'Historical Simulation'!D446</f>
        <v>150.04</v>
      </c>
      <c r="D446" s="22">
        <f t="shared" si="29"/>
        <v>397.27258798034052</v>
      </c>
      <c r="E446" s="23">
        <f t="shared" si="30"/>
        <v>5.0859546350025653</v>
      </c>
      <c r="F446" s="23">
        <f t="shared" si="31"/>
        <v>-5.0859546350025653</v>
      </c>
    </row>
    <row r="447" spans="1:6" x14ac:dyDescent="0.3">
      <c r="A447" s="2">
        <v>43482</v>
      </c>
      <c r="B447" s="1">
        <v>38.965000000000003</v>
      </c>
      <c r="C447" s="1">
        <f>'Historical Simulation'!D447</f>
        <v>148.30000000000001</v>
      </c>
      <c r="D447" s="22">
        <f t="shared" si="29"/>
        <v>392.18663334533795</v>
      </c>
      <c r="E447" s="23">
        <f t="shared" si="30"/>
        <v>1.942237304367552</v>
      </c>
      <c r="F447" s="23">
        <f t="shared" si="31"/>
        <v>-1.942237304367552</v>
      </c>
    </row>
    <row r="448" spans="1:6" x14ac:dyDescent="0.3">
      <c r="A448" s="2">
        <v>43481</v>
      </c>
      <c r="B448" s="1">
        <v>38.734999999999999</v>
      </c>
      <c r="C448" s="1">
        <f>'Historical Simulation'!D448</f>
        <v>147.54</v>
      </c>
      <c r="D448" s="22">
        <f t="shared" si="29"/>
        <v>390.2443960409704</v>
      </c>
      <c r="E448" s="23">
        <f t="shared" si="30"/>
        <v>-5.5980198848114924</v>
      </c>
      <c r="F448" s="23">
        <f t="shared" si="31"/>
        <v>5.5980198848114924</v>
      </c>
    </row>
    <row r="449" spans="1:6" x14ac:dyDescent="0.3">
      <c r="A449" s="2">
        <v>43480</v>
      </c>
      <c r="B449" s="1">
        <v>38.267499999999998</v>
      </c>
      <c r="C449" s="1">
        <f>'Historical Simulation'!D449</f>
        <v>148.94999999999999</v>
      </c>
      <c r="D449" s="22">
        <f t="shared" si="29"/>
        <v>395.84241592578189</v>
      </c>
      <c r="E449" s="23">
        <f t="shared" si="30"/>
        <v>9.789052212163142</v>
      </c>
      <c r="F449" s="23">
        <f t="shared" si="31"/>
        <v>-9.789052212163142</v>
      </c>
    </row>
    <row r="450" spans="1:6" x14ac:dyDescent="0.3">
      <c r="A450" s="2">
        <v>43479</v>
      </c>
      <c r="B450" s="1">
        <v>37.5</v>
      </c>
      <c r="C450" s="1">
        <f>'Historical Simulation'!D450</f>
        <v>145.38999999999999</v>
      </c>
      <c r="D450" s="22">
        <f t="shared" si="29"/>
        <v>386.05336371361875</v>
      </c>
      <c r="E450" s="23">
        <f t="shared" si="30"/>
        <v>6.4137512654619968</v>
      </c>
      <c r="F450" s="23">
        <f t="shared" si="31"/>
        <v>-6.4137512654619968</v>
      </c>
    </row>
    <row r="451" spans="1:6" x14ac:dyDescent="0.3">
      <c r="A451" s="2">
        <v>43476</v>
      </c>
      <c r="B451" s="1">
        <v>38.072499999999998</v>
      </c>
      <c r="C451" s="1">
        <f>'Historical Simulation'!D451</f>
        <v>143.80000000000001</v>
      </c>
      <c r="D451" s="22">
        <f t="shared" si="29"/>
        <v>379.63961244815675</v>
      </c>
      <c r="E451" s="23">
        <f t="shared" si="30"/>
        <v>-0.45018931952500907</v>
      </c>
      <c r="F451" s="23">
        <f t="shared" si="31"/>
        <v>0.45018931952500907</v>
      </c>
    </row>
    <row r="452" spans="1:6" x14ac:dyDescent="0.3">
      <c r="A452" s="2">
        <v>43475</v>
      </c>
      <c r="B452" s="1">
        <v>38.450000000000003</v>
      </c>
      <c r="C452" s="1">
        <f>'Historical Simulation'!D452</f>
        <v>144.19999999999999</v>
      </c>
      <c r="D452" s="22">
        <f t="shared" si="29"/>
        <v>380.08980176768176</v>
      </c>
      <c r="E452" s="23">
        <f t="shared" si="30"/>
        <v>-0.37017205455862268</v>
      </c>
      <c r="F452" s="23">
        <f t="shared" si="31"/>
        <v>0.37017205455862268</v>
      </c>
    </row>
    <row r="453" spans="1:6" x14ac:dyDescent="0.3">
      <c r="A453" s="2">
        <v>43474</v>
      </c>
      <c r="B453" s="1">
        <v>38.327500000000001</v>
      </c>
      <c r="C453" s="1">
        <f>'Historical Simulation'!D453</f>
        <v>144.22999999999999</v>
      </c>
      <c r="D453" s="22">
        <f t="shared" si="29"/>
        <v>380.45997382224039</v>
      </c>
      <c r="E453" s="23">
        <f t="shared" si="30"/>
        <v>4.0644746087351677</v>
      </c>
      <c r="F453" s="23">
        <f t="shared" si="31"/>
        <v>-4.0644746087351677</v>
      </c>
    </row>
    <row r="454" spans="1:6" x14ac:dyDescent="0.3">
      <c r="A454" s="2">
        <v>43473</v>
      </c>
      <c r="B454" s="1">
        <v>37.6875</v>
      </c>
      <c r="C454" s="1">
        <f>'Historical Simulation'!D454</f>
        <v>142.53</v>
      </c>
      <c r="D454" s="22">
        <f t="shared" ref="D454:D517" si="32">$M$16*B454+(1-$M$16)*C454</f>
        <v>376.39549921350522</v>
      </c>
      <c r="E454" s="23">
        <f t="shared" ref="E454:E517" si="33">D454-D455</f>
        <v>12.900652498089755</v>
      </c>
      <c r="F454" s="23">
        <f t="shared" ref="F454:F517" si="34">-E454</f>
        <v>-12.900652498089755</v>
      </c>
    </row>
    <row r="455" spans="1:6" x14ac:dyDescent="0.3">
      <c r="A455" s="2">
        <v>43472</v>
      </c>
      <c r="B455" s="1">
        <v>36.982500000000002</v>
      </c>
      <c r="C455" s="1">
        <f>'Historical Simulation'!D455</f>
        <v>138.05000000000001</v>
      </c>
      <c r="D455" s="22">
        <f t="shared" si="32"/>
        <v>363.49484671541546</v>
      </c>
      <c r="E455" s="23">
        <f t="shared" si="33"/>
        <v>0.50709114725873405</v>
      </c>
      <c r="F455" s="23">
        <f t="shared" si="34"/>
        <v>-0.50709114725873405</v>
      </c>
    </row>
    <row r="456" spans="1:6" x14ac:dyDescent="0.3">
      <c r="A456" s="2">
        <v>43469</v>
      </c>
      <c r="B456" s="1">
        <v>37.064999999999998</v>
      </c>
      <c r="C456" s="1">
        <f>'Historical Simulation'!D456</f>
        <v>137.94999999999999</v>
      </c>
      <c r="D456" s="22">
        <f t="shared" si="32"/>
        <v>362.98775556815673</v>
      </c>
      <c r="E456" s="23">
        <f t="shared" si="33"/>
        <v>16.677261416499675</v>
      </c>
      <c r="F456" s="23">
        <f t="shared" si="34"/>
        <v>-16.677261416499675</v>
      </c>
    </row>
    <row r="457" spans="1:6" x14ac:dyDescent="0.3">
      <c r="A457" s="2">
        <v>43468</v>
      </c>
      <c r="B457" s="1">
        <v>35.547499999999999</v>
      </c>
      <c r="C457" s="1">
        <f>'Historical Simulation'!D457</f>
        <v>131.74</v>
      </c>
      <c r="D457" s="22">
        <f t="shared" si="32"/>
        <v>346.31049415165705</v>
      </c>
      <c r="E457" s="23">
        <f t="shared" si="33"/>
        <v>-3.9567297731749704</v>
      </c>
      <c r="F457" s="23">
        <f t="shared" si="34"/>
        <v>3.9567297731749704</v>
      </c>
    </row>
    <row r="458" spans="1:6" x14ac:dyDescent="0.3">
      <c r="A458" s="2">
        <v>43467</v>
      </c>
      <c r="B458" s="1">
        <v>39.479999999999997</v>
      </c>
      <c r="C458" s="1">
        <f>'Historical Simulation'!D458</f>
        <v>135.68</v>
      </c>
      <c r="D458" s="22">
        <f t="shared" si="32"/>
        <v>350.26722392483202</v>
      </c>
      <c r="E458" s="23">
        <f t="shared" si="33"/>
        <v>14.728242544057764</v>
      </c>
      <c r="F458" s="23">
        <f t="shared" si="34"/>
        <v>-14.728242544057764</v>
      </c>
    </row>
    <row r="459" spans="1:6" x14ac:dyDescent="0.3">
      <c r="A459" s="2">
        <v>43466</v>
      </c>
      <c r="B459" s="1">
        <v>39.435000000000002</v>
      </c>
      <c r="C459" s="1">
        <f>'Historical Simulation'!D459</f>
        <v>131.09</v>
      </c>
      <c r="D459" s="22">
        <f t="shared" si="32"/>
        <v>335.53898138077426</v>
      </c>
      <c r="E459" s="23">
        <f t="shared" si="33"/>
        <v>0</v>
      </c>
      <c r="F459" s="23">
        <f t="shared" si="34"/>
        <v>0</v>
      </c>
    </row>
    <row r="460" spans="1:6" x14ac:dyDescent="0.3">
      <c r="A460" s="2">
        <v>43465</v>
      </c>
      <c r="B460" s="1">
        <v>39.435000000000002</v>
      </c>
      <c r="C460" s="1">
        <f>'Historical Simulation'!D460</f>
        <v>131.09</v>
      </c>
      <c r="D460" s="22">
        <f t="shared" si="32"/>
        <v>335.53898138077426</v>
      </c>
      <c r="E460" s="23">
        <f t="shared" si="33"/>
        <v>-7.6587081030458535</v>
      </c>
      <c r="F460" s="23">
        <f t="shared" si="34"/>
        <v>7.6587081030458535</v>
      </c>
    </row>
    <row r="461" spans="1:6" x14ac:dyDescent="0.3">
      <c r="A461" s="2">
        <v>43462</v>
      </c>
      <c r="B461" s="1">
        <v>39.057499999999997</v>
      </c>
      <c r="C461" s="1">
        <f>'Historical Simulation'!D461</f>
        <v>133.19999999999999</v>
      </c>
      <c r="D461" s="22">
        <f t="shared" si="32"/>
        <v>343.19768948382011</v>
      </c>
      <c r="E461" s="23">
        <f t="shared" si="33"/>
        <v>-4.3090528072690404</v>
      </c>
      <c r="F461" s="23">
        <f t="shared" si="34"/>
        <v>4.3090528072690404</v>
      </c>
    </row>
    <row r="462" spans="1:6" x14ac:dyDescent="0.3">
      <c r="A462" s="2">
        <v>43461</v>
      </c>
      <c r="B462" s="1">
        <v>39.037500000000001</v>
      </c>
      <c r="C462" s="1">
        <f>'Historical Simulation'!D462</f>
        <v>134.52000000000001</v>
      </c>
      <c r="D462" s="22">
        <f t="shared" si="32"/>
        <v>347.50674229108915</v>
      </c>
      <c r="E462" s="23">
        <f t="shared" si="33"/>
        <v>1.6672286718843452</v>
      </c>
      <c r="F462" s="23">
        <f t="shared" si="34"/>
        <v>-1.6672286718843452</v>
      </c>
    </row>
    <row r="463" spans="1:6" x14ac:dyDescent="0.3">
      <c r="A463" s="2">
        <v>43460</v>
      </c>
      <c r="B463" s="1">
        <v>39.292499999999997</v>
      </c>
      <c r="C463" s="1">
        <f>'Historical Simulation'!D463</f>
        <v>134.18</v>
      </c>
      <c r="D463" s="22">
        <f t="shared" si="32"/>
        <v>345.83951361920481</v>
      </c>
      <c r="E463" s="23">
        <f t="shared" si="33"/>
        <v>26.927845449829647</v>
      </c>
      <c r="F463" s="23">
        <f t="shared" si="34"/>
        <v>-26.927845449829647</v>
      </c>
    </row>
    <row r="464" spans="1:6" x14ac:dyDescent="0.3">
      <c r="A464" s="2">
        <v>43459</v>
      </c>
      <c r="B464" s="1">
        <v>36.707500000000003</v>
      </c>
      <c r="C464" s="1">
        <f>'Historical Simulation'!D464</f>
        <v>124.06</v>
      </c>
      <c r="D464" s="22">
        <f t="shared" si="32"/>
        <v>318.91166816937516</v>
      </c>
      <c r="E464" s="23">
        <f t="shared" si="33"/>
        <v>0</v>
      </c>
      <c r="F464" s="23">
        <f t="shared" si="34"/>
        <v>0</v>
      </c>
    </row>
    <row r="465" spans="1:6" x14ac:dyDescent="0.3">
      <c r="A465" s="2">
        <v>43458</v>
      </c>
      <c r="B465" s="1">
        <v>36.707500000000003</v>
      </c>
      <c r="C465" s="1">
        <f>'Historical Simulation'!D465</f>
        <v>124.06</v>
      </c>
      <c r="D465" s="22">
        <f t="shared" si="32"/>
        <v>318.91166816937516</v>
      </c>
      <c r="E465" s="23">
        <f t="shared" si="33"/>
        <v>-0.7003959040165455</v>
      </c>
      <c r="F465" s="23">
        <f t="shared" si="34"/>
        <v>0.7003959040165455</v>
      </c>
    </row>
    <row r="466" spans="1:6" x14ac:dyDescent="0.3">
      <c r="A466" s="2">
        <v>43455</v>
      </c>
      <c r="B466" s="1">
        <v>37.682499999999997</v>
      </c>
      <c r="C466" s="1">
        <f>'Historical Simulation'!D466</f>
        <v>124.95</v>
      </c>
      <c r="D466" s="22">
        <f t="shared" si="32"/>
        <v>319.61206407339171</v>
      </c>
      <c r="E466" s="23">
        <f t="shared" si="33"/>
        <v>-23.897157231595259</v>
      </c>
      <c r="F466" s="23">
        <f t="shared" si="34"/>
        <v>23.897157231595259</v>
      </c>
    </row>
    <row r="467" spans="1:6" x14ac:dyDescent="0.3">
      <c r="A467" s="2">
        <v>43454</v>
      </c>
      <c r="B467" s="1">
        <v>39.207500000000003</v>
      </c>
      <c r="C467" s="1">
        <f>'Historical Simulation'!D467</f>
        <v>133.4</v>
      </c>
      <c r="D467" s="22">
        <f t="shared" si="32"/>
        <v>343.50922130498697</v>
      </c>
      <c r="E467" s="23">
        <f t="shared" si="33"/>
        <v>2.7809977974186495</v>
      </c>
      <c r="F467" s="23">
        <f t="shared" si="34"/>
        <v>-2.7809977974186495</v>
      </c>
    </row>
    <row r="468" spans="1:6" x14ac:dyDescent="0.3">
      <c r="A468" s="2">
        <v>43453</v>
      </c>
      <c r="B468" s="1">
        <v>40.222499999999997</v>
      </c>
      <c r="C468" s="1">
        <f>'Historical Simulation'!D468</f>
        <v>133.24</v>
      </c>
      <c r="D468" s="22">
        <f t="shared" si="32"/>
        <v>340.72822350756832</v>
      </c>
      <c r="E468" s="23">
        <f t="shared" si="33"/>
        <v>-30.774557362932285</v>
      </c>
      <c r="F468" s="23">
        <f t="shared" si="34"/>
        <v>30.774557362932285</v>
      </c>
    </row>
    <row r="469" spans="1:6" x14ac:dyDescent="0.3">
      <c r="A469" s="2">
        <v>43452</v>
      </c>
      <c r="B469" s="1">
        <v>41.517499999999998</v>
      </c>
      <c r="C469" s="1">
        <f>'Historical Simulation'!D469</f>
        <v>143.66</v>
      </c>
      <c r="D469" s="22">
        <f t="shared" si="32"/>
        <v>371.5027808705006</v>
      </c>
      <c r="E469" s="23">
        <f t="shared" si="33"/>
        <v>10.022494493546731</v>
      </c>
      <c r="F469" s="23">
        <f t="shared" si="34"/>
        <v>-10.022494493546731</v>
      </c>
    </row>
    <row r="470" spans="1:6" x14ac:dyDescent="0.3">
      <c r="A470" s="2">
        <v>43451</v>
      </c>
      <c r="B470" s="1">
        <v>40.984999999999999</v>
      </c>
      <c r="C470" s="1">
        <f>'Historical Simulation'!D470</f>
        <v>140.19</v>
      </c>
      <c r="D470" s="22">
        <f t="shared" si="32"/>
        <v>361.48028637695387</v>
      </c>
      <c r="E470" s="23">
        <f t="shared" si="33"/>
        <v>-11.643767935322728</v>
      </c>
      <c r="F470" s="23">
        <f t="shared" si="34"/>
        <v>11.643767935322728</v>
      </c>
    </row>
    <row r="471" spans="1:6" x14ac:dyDescent="0.3">
      <c r="A471" s="2">
        <v>43448</v>
      </c>
      <c r="B471" s="1">
        <v>41.37</v>
      </c>
      <c r="C471" s="1">
        <f>'Historical Simulation'!D471</f>
        <v>144.06</v>
      </c>
      <c r="D471" s="22">
        <f t="shared" si="32"/>
        <v>373.1240543122766</v>
      </c>
      <c r="E471" s="23">
        <f t="shared" si="33"/>
        <v>-1.870929325752968E-2</v>
      </c>
      <c r="F471" s="23">
        <f t="shared" si="34"/>
        <v>1.870929325752968E-2</v>
      </c>
    </row>
    <row r="472" spans="1:6" x14ac:dyDescent="0.3">
      <c r="A472" s="2">
        <v>43447</v>
      </c>
      <c r="B472" s="1">
        <v>42.737499999999997</v>
      </c>
      <c r="C472" s="1">
        <f>'Historical Simulation'!D472</f>
        <v>145.01</v>
      </c>
      <c r="D472" s="22">
        <f t="shared" si="32"/>
        <v>373.14276360553413</v>
      </c>
      <c r="E472" s="23">
        <f t="shared" si="33"/>
        <v>0.6159552301083977</v>
      </c>
      <c r="F472" s="23">
        <f t="shared" si="34"/>
        <v>-0.6159552301083977</v>
      </c>
    </row>
    <row r="473" spans="1:6" x14ac:dyDescent="0.3">
      <c r="A473" s="2">
        <v>43446</v>
      </c>
      <c r="B473" s="1">
        <v>42.274999999999999</v>
      </c>
      <c r="C473" s="1">
        <f>'Historical Simulation'!D473</f>
        <v>144.5</v>
      </c>
      <c r="D473" s="22">
        <f t="shared" si="32"/>
        <v>372.52680837542573</v>
      </c>
      <c r="E473" s="23">
        <f t="shared" si="33"/>
        <v>7.5560403647289149</v>
      </c>
      <c r="F473" s="23">
        <f t="shared" si="34"/>
        <v>-7.5560403647289149</v>
      </c>
    </row>
    <row r="474" spans="1:6" x14ac:dyDescent="0.3">
      <c r="A474" s="2">
        <v>43445</v>
      </c>
      <c r="B474" s="1">
        <v>42.157499999999999</v>
      </c>
      <c r="C474" s="1">
        <f>'Historical Simulation'!D474</f>
        <v>142.08000000000001</v>
      </c>
      <c r="D474" s="22">
        <f t="shared" si="32"/>
        <v>364.97076801069682</v>
      </c>
      <c r="E474" s="23">
        <f t="shared" si="33"/>
        <v>1.2839757100258566</v>
      </c>
      <c r="F474" s="23">
        <f t="shared" si="34"/>
        <v>-1.2839757100258566</v>
      </c>
    </row>
    <row r="475" spans="1:6" x14ac:dyDescent="0.3">
      <c r="A475" s="2">
        <v>43444</v>
      </c>
      <c r="B475" s="1">
        <v>42.4</v>
      </c>
      <c r="C475" s="1">
        <f>'Historical Simulation'!D475</f>
        <v>141.85</v>
      </c>
      <c r="D475" s="22">
        <f t="shared" si="32"/>
        <v>363.68679230067096</v>
      </c>
      <c r="E475" s="23">
        <f t="shared" si="33"/>
        <v>13.692717747898826</v>
      </c>
      <c r="F475" s="23">
        <f t="shared" si="34"/>
        <v>-13.692717747898826</v>
      </c>
    </row>
    <row r="476" spans="1:6" x14ac:dyDescent="0.3">
      <c r="A476" s="2">
        <v>43441</v>
      </c>
      <c r="B476" s="1">
        <v>42.122500000000002</v>
      </c>
      <c r="C476" s="1">
        <f>'Historical Simulation'!D476</f>
        <v>137.41999999999999</v>
      </c>
      <c r="D476" s="22">
        <f t="shared" si="32"/>
        <v>349.99407455277213</v>
      </c>
      <c r="E476" s="23">
        <f t="shared" si="33"/>
        <v>-3.6654902662260724</v>
      </c>
      <c r="F476" s="23">
        <f t="shared" si="34"/>
        <v>3.6654902662260724</v>
      </c>
    </row>
    <row r="477" spans="1:6" x14ac:dyDescent="0.3">
      <c r="A477" s="2">
        <v>43440</v>
      </c>
      <c r="B477" s="1">
        <v>43.68</v>
      </c>
      <c r="C477" s="1">
        <f>'Historical Simulation'!D477</f>
        <v>139.63</v>
      </c>
      <c r="D477" s="22">
        <f t="shared" si="32"/>
        <v>353.65956481899821</v>
      </c>
      <c r="E477" s="23">
        <f t="shared" si="33"/>
        <v>6.590670358162015</v>
      </c>
      <c r="F477" s="23">
        <f t="shared" si="34"/>
        <v>-6.590670358162015</v>
      </c>
    </row>
    <row r="478" spans="1:6" x14ac:dyDescent="0.3">
      <c r="A478" s="2">
        <v>43439</v>
      </c>
      <c r="B478" s="1">
        <v>44.172499999999999</v>
      </c>
      <c r="C478" s="1">
        <f>'Historical Simulation'!D478</f>
        <v>137.93</v>
      </c>
      <c r="D478" s="22">
        <f t="shared" si="32"/>
        <v>347.06889446083619</v>
      </c>
      <c r="E478" s="23">
        <f t="shared" si="33"/>
        <v>0</v>
      </c>
      <c r="F478" s="23">
        <f t="shared" si="34"/>
        <v>0</v>
      </c>
    </row>
    <row r="479" spans="1:6" x14ac:dyDescent="0.3">
      <c r="A479" s="2">
        <v>43438</v>
      </c>
      <c r="B479" s="1">
        <v>44.172499999999999</v>
      </c>
      <c r="C479" s="1">
        <f>'Historical Simulation'!D479</f>
        <v>137.93</v>
      </c>
      <c r="D479" s="22">
        <f t="shared" si="32"/>
        <v>347.06889446083619</v>
      </c>
      <c r="E479" s="23">
        <f t="shared" si="33"/>
        <v>-5.6750425673102427</v>
      </c>
      <c r="F479" s="23">
        <f t="shared" si="34"/>
        <v>5.6750425673102427</v>
      </c>
    </row>
    <row r="480" spans="1:6" x14ac:dyDescent="0.3">
      <c r="A480" s="2">
        <v>43437</v>
      </c>
      <c r="B480" s="1">
        <v>46.204999999999998</v>
      </c>
      <c r="C480" s="1">
        <f>'Historical Simulation'!D480</f>
        <v>141.09</v>
      </c>
      <c r="D480" s="22">
        <f t="shared" si="32"/>
        <v>352.74393702814643</v>
      </c>
      <c r="E480" s="23">
        <f t="shared" si="33"/>
        <v>-1.9290873372019064</v>
      </c>
      <c r="F480" s="23">
        <f t="shared" si="34"/>
        <v>1.9290873372019064</v>
      </c>
    </row>
    <row r="481" spans="1:6" x14ac:dyDescent="0.3">
      <c r="A481" s="2">
        <v>43434</v>
      </c>
      <c r="B481" s="1">
        <v>44.645000000000003</v>
      </c>
      <c r="C481" s="1">
        <f>'Historical Simulation'!D481</f>
        <v>140.61000000000001</v>
      </c>
      <c r="D481" s="22">
        <f t="shared" si="32"/>
        <v>354.67302436534834</v>
      </c>
      <c r="E481" s="23">
        <f t="shared" si="33"/>
        <v>6.7760576296954014</v>
      </c>
      <c r="F481" s="23">
        <f t="shared" si="34"/>
        <v>-6.7760576296954014</v>
      </c>
    </row>
    <row r="482" spans="1:6" x14ac:dyDescent="0.3">
      <c r="A482" s="2">
        <v>43433</v>
      </c>
      <c r="B482" s="1">
        <v>44.887500000000003</v>
      </c>
      <c r="C482" s="1">
        <f>'Historical Simulation'!D482</f>
        <v>138.68</v>
      </c>
      <c r="D482" s="22">
        <f t="shared" si="32"/>
        <v>347.89696673565294</v>
      </c>
      <c r="E482" s="23">
        <f t="shared" si="33"/>
        <v>6.9779680899123377</v>
      </c>
      <c r="F482" s="23">
        <f t="shared" si="34"/>
        <v>-6.9779680899123377</v>
      </c>
    </row>
    <row r="483" spans="1:6" x14ac:dyDescent="0.3">
      <c r="A483" s="2">
        <v>43432</v>
      </c>
      <c r="B483" s="1">
        <v>45.234999999999999</v>
      </c>
      <c r="C483" s="1">
        <f>'Historical Simulation'!D483</f>
        <v>136.76</v>
      </c>
      <c r="D483" s="22">
        <f t="shared" si="32"/>
        <v>340.9189986457406</v>
      </c>
      <c r="E483" s="23">
        <f t="shared" si="33"/>
        <v>1.9496040959833749</v>
      </c>
      <c r="F483" s="23">
        <f t="shared" si="34"/>
        <v>-1.9496040959833749</v>
      </c>
    </row>
    <row r="484" spans="1:6" x14ac:dyDescent="0.3">
      <c r="A484" s="2">
        <v>43431</v>
      </c>
      <c r="B484" s="1">
        <v>43.56</v>
      </c>
      <c r="C484" s="1">
        <f>'Historical Simulation'!D484</f>
        <v>135</v>
      </c>
      <c r="D484" s="22">
        <f t="shared" si="32"/>
        <v>338.96939454975723</v>
      </c>
      <c r="E484" s="23">
        <f t="shared" si="33"/>
        <v>-4.2463678039854358</v>
      </c>
      <c r="F484" s="23">
        <f t="shared" si="34"/>
        <v>4.2463678039854358</v>
      </c>
    </row>
    <row r="485" spans="1:6" x14ac:dyDescent="0.3">
      <c r="A485" s="2">
        <v>43430</v>
      </c>
      <c r="B485" s="1">
        <v>43.655000000000001</v>
      </c>
      <c r="C485" s="1">
        <f>'Historical Simulation'!D485</f>
        <v>136.38</v>
      </c>
      <c r="D485" s="22">
        <f t="shared" si="32"/>
        <v>343.21576235374266</v>
      </c>
      <c r="E485" s="23">
        <f t="shared" si="33"/>
        <v>13.723113651915298</v>
      </c>
      <c r="F485" s="23">
        <f t="shared" si="34"/>
        <v>-13.723113651915298</v>
      </c>
    </row>
    <row r="486" spans="1:6" x14ac:dyDescent="0.3">
      <c r="A486" s="2">
        <v>43427</v>
      </c>
      <c r="B486" s="1">
        <v>43.072499999999998</v>
      </c>
      <c r="C486" s="1">
        <f>'Historical Simulation'!D486</f>
        <v>131.72999999999999</v>
      </c>
      <c r="D486" s="22">
        <f t="shared" si="32"/>
        <v>329.49264870182736</v>
      </c>
      <c r="E486" s="23">
        <f t="shared" si="33"/>
        <v>-7.4787771629117401</v>
      </c>
      <c r="F486" s="23">
        <f t="shared" si="34"/>
        <v>7.4787771629117401</v>
      </c>
    </row>
    <row r="487" spans="1:6" x14ac:dyDescent="0.3">
      <c r="A487" s="2">
        <v>43426</v>
      </c>
      <c r="B487" s="1">
        <v>44.195</v>
      </c>
      <c r="C487" s="1">
        <f>'Historical Simulation'!D487</f>
        <v>134.82</v>
      </c>
      <c r="D487" s="22">
        <f t="shared" si="32"/>
        <v>336.9714258647391</v>
      </c>
      <c r="E487" s="23">
        <f t="shared" si="33"/>
        <v>0</v>
      </c>
      <c r="F487" s="23">
        <f t="shared" si="34"/>
        <v>0</v>
      </c>
    </row>
    <row r="488" spans="1:6" x14ac:dyDescent="0.3">
      <c r="A488" s="2">
        <v>43425</v>
      </c>
      <c r="B488" s="1">
        <v>44.195</v>
      </c>
      <c r="C488" s="1">
        <f>'Historical Simulation'!D488</f>
        <v>134.82</v>
      </c>
      <c r="D488" s="22">
        <f t="shared" si="32"/>
        <v>336.9714258647391</v>
      </c>
      <c r="E488" s="23">
        <f t="shared" si="33"/>
        <v>7.8327528729374762</v>
      </c>
      <c r="F488" s="23">
        <f t="shared" si="34"/>
        <v>-7.8327528729374762</v>
      </c>
    </row>
    <row r="489" spans="1:6" x14ac:dyDescent="0.3">
      <c r="A489" s="2">
        <v>43424</v>
      </c>
      <c r="B489" s="1">
        <v>44.244999999999997</v>
      </c>
      <c r="C489" s="1">
        <f>'Historical Simulation'!D489</f>
        <v>132.43</v>
      </c>
      <c r="D489" s="22">
        <f t="shared" si="32"/>
        <v>329.13867299180163</v>
      </c>
      <c r="E489" s="23">
        <f t="shared" si="33"/>
        <v>7.7949729123386646</v>
      </c>
      <c r="F489" s="23">
        <f t="shared" si="34"/>
        <v>-7.7949729123386646</v>
      </c>
    </row>
    <row r="490" spans="1:6" x14ac:dyDescent="0.3">
      <c r="A490" s="2">
        <v>43423</v>
      </c>
      <c r="B490" s="1">
        <v>46.465000000000003</v>
      </c>
      <c r="C490" s="1">
        <f>'Historical Simulation'!D490</f>
        <v>131.55000000000001</v>
      </c>
      <c r="D490" s="22">
        <f t="shared" si="32"/>
        <v>321.34370007946296</v>
      </c>
      <c r="E490" s="23">
        <f t="shared" si="33"/>
        <v>-21.503233316468709</v>
      </c>
      <c r="F490" s="23">
        <f t="shared" si="34"/>
        <v>21.503233316468709</v>
      </c>
    </row>
    <row r="491" spans="1:6" x14ac:dyDescent="0.3">
      <c r="A491" s="2">
        <v>43420</v>
      </c>
      <c r="B491" s="1">
        <v>48.3825</v>
      </c>
      <c r="C491" s="1">
        <f>'Historical Simulation'!D491</f>
        <v>139.53</v>
      </c>
      <c r="D491" s="22">
        <f t="shared" si="32"/>
        <v>342.84693339593167</v>
      </c>
      <c r="E491" s="23">
        <f t="shared" si="33"/>
        <v>-15.138586653175025</v>
      </c>
      <c r="F491" s="23">
        <f t="shared" si="34"/>
        <v>15.138586653175025</v>
      </c>
    </row>
    <row r="492" spans="1:6" x14ac:dyDescent="0.3">
      <c r="A492" s="2">
        <v>43419</v>
      </c>
      <c r="B492" s="1">
        <v>47.852499999999999</v>
      </c>
      <c r="C492" s="1">
        <f>'Historical Simulation'!D492</f>
        <v>143.85</v>
      </c>
      <c r="D492" s="22">
        <f t="shared" si="32"/>
        <v>357.9855200491067</v>
      </c>
      <c r="E492" s="23">
        <f t="shared" si="33"/>
        <v>-3.7661439545276494</v>
      </c>
      <c r="F492" s="23">
        <f t="shared" si="34"/>
        <v>3.7661439545276494</v>
      </c>
    </row>
    <row r="493" spans="1:6" x14ac:dyDescent="0.3">
      <c r="A493" s="2">
        <v>43418</v>
      </c>
      <c r="B493" s="1">
        <v>46.7</v>
      </c>
      <c r="C493" s="1">
        <f>'Historical Simulation'!D493</f>
        <v>144.22</v>
      </c>
      <c r="D493" s="22">
        <f t="shared" si="32"/>
        <v>361.75166400363435</v>
      </c>
      <c r="E493" s="23">
        <f t="shared" si="33"/>
        <v>9.6831999767475736</v>
      </c>
      <c r="F493" s="23">
        <f t="shared" si="34"/>
        <v>-9.6831999767475736</v>
      </c>
    </row>
    <row r="494" spans="1:6" x14ac:dyDescent="0.3">
      <c r="A494" s="2">
        <v>43417</v>
      </c>
      <c r="B494" s="1">
        <v>48.057499999999997</v>
      </c>
      <c r="C494" s="1">
        <f>'Historical Simulation'!D494</f>
        <v>142.16</v>
      </c>
      <c r="D494" s="22">
        <f t="shared" si="32"/>
        <v>352.06846402688677</v>
      </c>
      <c r="E494" s="23">
        <f t="shared" si="33"/>
        <v>3.0525468835518268</v>
      </c>
      <c r="F494" s="23">
        <f t="shared" si="34"/>
        <v>-3.0525468835518268</v>
      </c>
    </row>
    <row r="495" spans="1:6" x14ac:dyDescent="0.3">
      <c r="A495" s="2">
        <v>43416</v>
      </c>
      <c r="B495" s="1">
        <v>48.542499999999997</v>
      </c>
      <c r="C495" s="1">
        <f>'Historical Simulation'!D495</f>
        <v>141.55000000000001</v>
      </c>
      <c r="D495" s="22">
        <f t="shared" si="32"/>
        <v>349.01591714333495</v>
      </c>
      <c r="E495" s="23">
        <f t="shared" si="33"/>
        <v>-5.2725814134847155</v>
      </c>
      <c r="F495" s="23">
        <f t="shared" si="34"/>
        <v>5.2725814134847155</v>
      </c>
    </row>
    <row r="496" spans="1:6" x14ac:dyDescent="0.3">
      <c r="A496" s="2">
        <v>43413</v>
      </c>
      <c r="B496" s="1">
        <v>51.1175</v>
      </c>
      <c r="C496" s="1">
        <f>'Historical Simulation'!D496</f>
        <v>144.96</v>
      </c>
      <c r="D496" s="22">
        <f t="shared" si="32"/>
        <v>354.28849855681966</v>
      </c>
      <c r="E496" s="23">
        <f t="shared" si="33"/>
        <v>-7.1593623864532674</v>
      </c>
      <c r="F496" s="23">
        <f t="shared" si="34"/>
        <v>7.1593623864532674</v>
      </c>
    </row>
    <row r="497" spans="1:6" x14ac:dyDescent="0.3">
      <c r="A497" s="2">
        <v>43412</v>
      </c>
      <c r="B497" s="1">
        <v>52.122500000000002</v>
      </c>
      <c r="C497" s="1">
        <f>'Historical Simulation'!D497</f>
        <v>147.87</v>
      </c>
      <c r="D497" s="22">
        <f t="shared" si="32"/>
        <v>361.44786094327293</v>
      </c>
      <c r="E497" s="23">
        <f t="shared" si="33"/>
        <v>-11.009947014889008</v>
      </c>
      <c r="F497" s="23">
        <f t="shared" si="34"/>
        <v>11.009947014889008</v>
      </c>
    </row>
    <row r="498" spans="1:6" x14ac:dyDescent="0.3">
      <c r="A498" s="2">
        <v>43411</v>
      </c>
      <c r="B498" s="1">
        <v>52.487499999999997</v>
      </c>
      <c r="C498" s="1">
        <f>'Historical Simulation'!D498</f>
        <v>151.53</v>
      </c>
      <c r="D498" s="22">
        <f t="shared" si="32"/>
        <v>372.45780795816194</v>
      </c>
      <c r="E498" s="23">
        <f t="shared" si="33"/>
        <v>1.6903786390500954</v>
      </c>
      <c r="F498" s="23">
        <f t="shared" si="34"/>
        <v>-1.6903786390500954</v>
      </c>
    </row>
    <row r="499" spans="1:6" x14ac:dyDescent="0.3">
      <c r="A499" s="2">
        <v>43410</v>
      </c>
      <c r="B499" s="1">
        <v>50.942500000000003</v>
      </c>
      <c r="C499" s="1">
        <f>'Historical Simulation'!D499</f>
        <v>149.94</v>
      </c>
      <c r="D499" s="22">
        <f t="shared" si="32"/>
        <v>370.76742931911184</v>
      </c>
      <c r="E499" s="23">
        <f t="shared" si="33"/>
        <v>2.8549050426845497</v>
      </c>
      <c r="F499" s="23">
        <f t="shared" si="34"/>
        <v>-2.8549050426845497</v>
      </c>
    </row>
    <row r="500" spans="1:6" x14ac:dyDescent="0.3">
      <c r="A500" s="2">
        <v>43409</v>
      </c>
      <c r="B500" s="1">
        <v>50.397500000000001</v>
      </c>
      <c r="C500" s="1">
        <f>'Historical Simulation'!D500</f>
        <v>148.68</v>
      </c>
      <c r="D500" s="22">
        <f t="shared" si="32"/>
        <v>367.91252427642729</v>
      </c>
      <c r="E500" s="23">
        <f t="shared" si="33"/>
        <v>-2.1105506936086726</v>
      </c>
      <c r="F500" s="23">
        <f t="shared" si="34"/>
        <v>2.1105506936086726</v>
      </c>
    </row>
    <row r="501" spans="1:6" x14ac:dyDescent="0.3">
      <c r="A501" s="2">
        <v>43406</v>
      </c>
      <c r="B501" s="1">
        <v>51.87</v>
      </c>
      <c r="C501" s="1">
        <f>'Historical Simulation'!D501</f>
        <v>150.35</v>
      </c>
      <c r="D501" s="22">
        <f t="shared" si="32"/>
        <v>370.02307497003596</v>
      </c>
      <c r="E501" s="23">
        <f t="shared" si="33"/>
        <v>3.6970042273205763</v>
      </c>
      <c r="F501" s="23">
        <f t="shared" si="34"/>
        <v>-3.6970042273205763</v>
      </c>
    </row>
    <row r="502" spans="1:6" x14ac:dyDescent="0.3">
      <c r="A502" s="2">
        <v>43405</v>
      </c>
      <c r="B502" s="1">
        <v>55.555</v>
      </c>
      <c r="C502" s="1">
        <f>'Historical Simulation'!D502</f>
        <v>151.75</v>
      </c>
      <c r="D502" s="22">
        <f t="shared" si="32"/>
        <v>366.32607074271539</v>
      </c>
      <c r="E502" s="23">
        <f t="shared" si="33"/>
        <v>-2.0029600525348314</v>
      </c>
      <c r="F502" s="23">
        <f t="shared" si="34"/>
        <v>2.0029600525348314</v>
      </c>
    </row>
    <row r="503" spans="1:6" x14ac:dyDescent="0.3">
      <c r="A503" s="2">
        <v>43404</v>
      </c>
      <c r="B503" s="1">
        <v>54.715000000000003</v>
      </c>
      <c r="C503" s="1">
        <f>'Historical Simulation'!D503</f>
        <v>151.79</v>
      </c>
      <c r="D503" s="22">
        <f t="shared" si="32"/>
        <v>368.32903079525022</v>
      </c>
      <c r="E503" s="23">
        <f t="shared" si="33"/>
        <v>14.89406024954053</v>
      </c>
      <c r="F503" s="23">
        <f t="shared" si="34"/>
        <v>-14.89406024954053</v>
      </c>
    </row>
    <row r="504" spans="1:6" x14ac:dyDescent="0.3">
      <c r="A504" s="2">
        <v>43403</v>
      </c>
      <c r="B504" s="1">
        <v>53.325000000000003</v>
      </c>
      <c r="C504" s="1">
        <f>'Historical Simulation'!D504</f>
        <v>146.22</v>
      </c>
      <c r="D504" s="22">
        <f t="shared" si="32"/>
        <v>353.43497054570969</v>
      </c>
      <c r="E504" s="23">
        <f t="shared" si="33"/>
        <v>12.751409776189973</v>
      </c>
      <c r="F504" s="23">
        <f t="shared" si="34"/>
        <v>-12.751409776189973</v>
      </c>
    </row>
    <row r="505" spans="1:6" x14ac:dyDescent="0.3">
      <c r="A505" s="2">
        <v>43402</v>
      </c>
      <c r="B505" s="1">
        <v>53.06</v>
      </c>
      <c r="C505" s="1">
        <f>'Historical Simulation'!D505</f>
        <v>142.09</v>
      </c>
      <c r="D505" s="22">
        <f t="shared" si="32"/>
        <v>340.68356076951972</v>
      </c>
      <c r="E505" s="23">
        <f t="shared" si="33"/>
        <v>-8.3323914988539514</v>
      </c>
      <c r="F505" s="23">
        <f t="shared" si="34"/>
        <v>8.3323914988539514</v>
      </c>
    </row>
    <row r="506" spans="1:6" x14ac:dyDescent="0.3">
      <c r="A506" s="2">
        <v>43399</v>
      </c>
      <c r="B506" s="1">
        <v>54.075000000000003</v>
      </c>
      <c r="C506" s="1">
        <f>'Historical Simulation'!D506</f>
        <v>145.37</v>
      </c>
      <c r="D506" s="22">
        <f t="shared" si="32"/>
        <v>349.01595226837367</v>
      </c>
      <c r="E506" s="23">
        <f t="shared" si="33"/>
        <v>-16.075144371791339</v>
      </c>
      <c r="F506" s="23">
        <f t="shared" si="34"/>
        <v>16.075144371791339</v>
      </c>
    </row>
    <row r="507" spans="1:6" x14ac:dyDescent="0.3">
      <c r="A507" s="2">
        <v>43398</v>
      </c>
      <c r="B507" s="1">
        <v>54.95</v>
      </c>
      <c r="C507" s="1">
        <f>'Historical Simulation'!D507</f>
        <v>150.94999999999999</v>
      </c>
      <c r="D507" s="22">
        <f t="shared" si="32"/>
        <v>365.09109664016501</v>
      </c>
      <c r="E507" s="23">
        <f t="shared" si="33"/>
        <v>13.235850450098098</v>
      </c>
      <c r="F507" s="23">
        <f t="shared" si="34"/>
        <v>-13.235850450098098</v>
      </c>
    </row>
    <row r="508" spans="1:6" x14ac:dyDescent="0.3">
      <c r="A508" s="2">
        <v>43397</v>
      </c>
      <c r="B508" s="1">
        <v>53.772500000000001</v>
      </c>
      <c r="C508" s="1">
        <f>'Historical Simulation'!D508</f>
        <v>146.04</v>
      </c>
      <c r="D508" s="22">
        <f t="shared" si="32"/>
        <v>351.85524619006691</v>
      </c>
      <c r="E508" s="23">
        <f t="shared" si="33"/>
        <v>-22.715298566277738</v>
      </c>
      <c r="F508" s="23">
        <f t="shared" si="34"/>
        <v>22.715298566277738</v>
      </c>
    </row>
    <row r="509" spans="1:6" x14ac:dyDescent="0.3">
      <c r="A509" s="2">
        <v>43396</v>
      </c>
      <c r="B509" s="1">
        <v>55.682499999999997</v>
      </c>
      <c r="C509" s="1">
        <f>'Historical Simulation'!D509</f>
        <v>154.38999999999999</v>
      </c>
      <c r="D509" s="22">
        <f t="shared" si="32"/>
        <v>374.57054475634465</v>
      </c>
      <c r="E509" s="23">
        <f t="shared" si="33"/>
        <v>-2.4198791452349155</v>
      </c>
      <c r="F509" s="23">
        <f t="shared" si="34"/>
        <v>2.4198791452349155</v>
      </c>
    </row>
    <row r="510" spans="1:6" x14ac:dyDescent="0.3">
      <c r="A510" s="2">
        <v>43395</v>
      </c>
      <c r="B510" s="1">
        <v>55.162500000000001</v>
      </c>
      <c r="C510" s="1">
        <f>'Historical Simulation'!D510</f>
        <v>154.78</v>
      </c>
      <c r="D510" s="22">
        <f t="shared" si="32"/>
        <v>376.99042390157956</v>
      </c>
      <c r="E510" s="23">
        <f t="shared" si="33"/>
        <v>1.6111013872172748</v>
      </c>
      <c r="F510" s="23">
        <f t="shared" si="34"/>
        <v>-1.6111013872172748</v>
      </c>
    </row>
    <row r="511" spans="1:6" x14ac:dyDescent="0.3">
      <c r="A511" s="2">
        <v>43392</v>
      </c>
      <c r="B511" s="1">
        <v>54.827500000000001</v>
      </c>
      <c r="C511" s="1">
        <f>'Historical Simulation'!D511</f>
        <v>154.05000000000001</v>
      </c>
      <c r="D511" s="22">
        <f t="shared" si="32"/>
        <v>375.37932251436229</v>
      </c>
      <c r="E511" s="23">
        <f t="shared" si="33"/>
        <v>-4.6453521464944743</v>
      </c>
      <c r="F511" s="23">
        <f t="shared" si="34"/>
        <v>4.6453521464944743</v>
      </c>
    </row>
    <row r="512" spans="1:6" x14ac:dyDescent="0.3">
      <c r="A512" s="2">
        <v>43391</v>
      </c>
      <c r="B512" s="1">
        <v>54.005000000000003</v>
      </c>
      <c r="C512" s="1">
        <f>'Historical Simulation'!D512</f>
        <v>154.91999999999999</v>
      </c>
      <c r="D512" s="22">
        <f t="shared" si="32"/>
        <v>380.02467466085676</v>
      </c>
      <c r="E512" s="23">
        <f t="shared" si="33"/>
        <v>-11.654766327847199</v>
      </c>
      <c r="F512" s="23">
        <f t="shared" si="34"/>
        <v>11.654766327847199</v>
      </c>
    </row>
    <row r="513" spans="1:6" x14ac:dyDescent="0.3">
      <c r="A513" s="2">
        <v>43390</v>
      </c>
      <c r="B513" s="1">
        <v>55.297499999999999</v>
      </c>
      <c r="C513" s="1">
        <f>'Historical Simulation'!D513</f>
        <v>159.41999999999999</v>
      </c>
      <c r="D513" s="22">
        <f t="shared" si="32"/>
        <v>391.67944098870396</v>
      </c>
      <c r="E513" s="23">
        <f t="shared" si="33"/>
        <v>2.6029600525348542</v>
      </c>
      <c r="F513" s="23">
        <f t="shared" si="34"/>
        <v>-2.6029600525348542</v>
      </c>
    </row>
    <row r="514" spans="1:6" x14ac:dyDescent="0.3">
      <c r="A514" s="2">
        <v>43389</v>
      </c>
      <c r="B514" s="1">
        <v>55.537500000000001</v>
      </c>
      <c r="C514" s="1">
        <f>'Historical Simulation'!D514</f>
        <v>158.78</v>
      </c>
      <c r="D514" s="22">
        <f t="shared" si="32"/>
        <v>389.07648093616911</v>
      </c>
      <c r="E514" s="23">
        <f t="shared" si="33"/>
        <v>14.321960469798569</v>
      </c>
      <c r="F514" s="23">
        <f t="shared" si="34"/>
        <v>-14.321960469798569</v>
      </c>
    </row>
    <row r="515" spans="1:6" x14ac:dyDescent="0.3">
      <c r="A515" s="2">
        <v>43388</v>
      </c>
      <c r="B515" s="1">
        <v>54.34</v>
      </c>
      <c r="C515" s="1">
        <f>'Historical Simulation'!D515</f>
        <v>153.52000000000001</v>
      </c>
      <c r="D515" s="22">
        <f t="shared" si="32"/>
        <v>374.75452046637054</v>
      </c>
      <c r="E515" s="23">
        <f t="shared" si="33"/>
        <v>1.9381407395766814</v>
      </c>
      <c r="F515" s="23">
        <f t="shared" si="34"/>
        <v>-1.9381407395766814</v>
      </c>
    </row>
    <row r="516" spans="1:6" x14ac:dyDescent="0.3">
      <c r="A516" s="2">
        <v>43385</v>
      </c>
      <c r="B516" s="1">
        <v>55.527500000000003</v>
      </c>
      <c r="C516" s="1">
        <f>'Historical Simulation'!D516</f>
        <v>153.74</v>
      </c>
      <c r="D516" s="22">
        <f t="shared" si="32"/>
        <v>372.81637972679385</v>
      </c>
      <c r="E516" s="23">
        <f t="shared" si="33"/>
        <v>-3.0117205455859448</v>
      </c>
      <c r="F516" s="23">
        <f t="shared" si="34"/>
        <v>3.0117205455859448</v>
      </c>
    </row>
    <row r="517" spans="1:6" x14ac:dyDescent="0.3">
      <c r="A517" s="2">
        <v>43384</v>
      </c>
      <c r="B517" s="1">
        <v>53.612499999999997</v>
      </c>
      <c r="C517" s="1">
        <f>'Historical Simulation'!D517</f>
        <v>153.35</v>
      </c>
      <c r="D517" s="22">
        <f t="shared" si="32"/>
        <v>375.8281002723798</v>
      </c>
      <c r="E517" s="23">
        <f t="shared" si="33"/>
        <v>7.4294826461126036</v>
      </c>
      <c r="F517" s="23">
        <f t="shared" si="34"/>
        <v>-7.4294826461126036</v>
      </c>
    </row>
    <row r="518" spans="1:6" x14ac:dyDescent="0.3">
      <c r="A518" s="2">
        <v>43383</v>
      </c>
      <c r="B518" s="1">
        <v>54.09</v>
      </c>
      <c r="C518" s="1">
        <f>'Historical Simulation'!D518</f>
        <v>151.38</v>
      </c>
      <c r="D518" s="22">
        <f t="shared" ref="D518:D581" si="35">$M$16*B518+(1-$M$16)*C518</f>
        <v>368.3986176262672</v>
      </c>
      <c r="E518" s="23">
        <f t="shared" ref="E518:E581" si="36">D518-D519</f>
        <v>-15.202752277831792</v>
      </c>
      <c r="F518" s="23">
        <f t="shared" ref="F518:F581" si="37">-E518</f>
        <v>15.202752277831792</v>
      </c>
    </row>
    <row r="519" spans="1:6" x14ac:dyDescent="0.3">
      <c r="A519" s="2">
        <v>43382</v>
      </c>
      <c r="B519" s="1">
        <v>56.717500000000001</v>
      </c>
      <c r="C519" s="1">
        <f>'Historical Simulation'!D519</f>
        <v>157.9</v>
      </c>
      <c r="D519" s="22">
        <f t="shared" si="35"/>
        <v>383.60136990409899</v>
      </c>
      <c r="E519" s="23">
        <f t="shared" si="36"/>
        <v>0.37117044708315916</v>
      </c>
      <c r="F519" s="23">
        <f t="shared" si="37"/>
        <v>-0.37117044708315916</v>
      </c>
    </row>
    <row r="520" spans="1:6" x14ac:dyDescent="0.3">
      <c r="A520" s="2">
        <v>43381</v>
      </c>
      <c r="B520" s="1">
        <v>55.942500000000003</v>
      </c>
      <c r="C520" s="1">
        <f>'Historical Simulation'!D520</f>
        <v>157.25</v>
      </c>
      <c r="D520" s="22">
        <f t="shared" si="35"/>
        <v>383.23019945701583</v>
      </c>
      <c r="E520" s="23">
        <f t="shared" si="36"/>
        <v>3.1531821166709051E-2</v>
      </c>
      <c r="F520" s="23">
        <f t="shared" si="37"/>
        <v>-3.1531821166709051E-2</v>
      </c>
    </row>
    <row r="521" spans="1:6" x14ac:dyDescent="0.3">
      <c r="A521" s="2">
        <v>43378</v>
      </c>
      <c r="B521" s="1">
        <v>56.072499999999998</v>
      </c>
      <c r="C521" s="1">
        <f>'Historical Simulation'!D521</f>
        <v>157.33000000000001</v>
      </c>
      <c r="D521" s="22">
        <f t="shared" si="35"/>
        <v>383.19866763584912</v>
      </c>
      <c r="E521" s="23">
        <f t="shared" si="36"/>
        <v>-2.8472286718842383</v>
      </c>
      <c r="F521" s="23">
        <f t="shared" si="37"/>
        <v>2.8472286718842383</v>
      </c>
    </row>
    <row r="522" spans="1:6" x14ac:dyDescent="0.3">
      <c r="A522" s="2">
        <v>43377</v>
      </c>
      <c r="B522" s="1">
        <v>56.997500000000002</v>
      </c>
      <c r="C522" s="1">
        <f>'Historical Simulation'!D522</f>
        <v>158.85</v>
      </c>
      <c r="D522" s="22">
        <f t="shared" si="35"/>
        <v>386.04589630773336</v>
      </c>
      <c r="E522" s="23">
        <f t="shared" si="36"/>
        <v>-9.2904292437378899</v>
      </c>
      <c r="F522" s="23">
        <f t="shared" si="37"/>
        <v>9.2904292437378899</v>
      </c>
    </row>
    <row r="523" spans="1:6" x14ac:dyDescent="0.3">
      <c r="A523" s="2">
        <v>43376</v>
      </c>
      <c r="B523" s="1">
        <v>58.017499999999998</v>
      </c>
      <c r="C523" s="1">
        <f>'Historical Simulation'!D523</f>
        <v>162.43</v>
      </c>
      <c r="D523" s="22">
        <f t="shared" si="35"/>
        <v>395.33632555147125</v>
      </c>
      <c r="E523" s="23">
        <f t="shared" si="36"/>
        <v>8.4591040070625354</v>
      </c>
      <c r="F523" s="23">
        <f t="shared" si="37"/>
        <v>-8.4591040070625354</v>
      </c>
    </row>
    <row r="524" spans="1:6" x14ac:dyDescent="0.3">
      <c r="A524" s="2">
        <v>43375</v>
      </c>
      <c r="B524" s="1">
        <v>57.32</v>
      </c>
      <c r="C524" s="1">
        <f>'Historical Simulation'!D524</f>
        <v>159.33000000000001</v>
      </c>
      <c r="D524" s="22">
        <f t="shared" si="35"/>
        <v>386.87722154440871</v>
      </c>
      <c r="E524" s="23">
        <f t="shared" si="36"/>
        <v>-11.173750670356185</v>
      </c>
      <c r="F524" s="23">
        <f t="shared" si="37"/>
        <v>11.173750670356185</v>
      </c>
    </row>
    <row r="525" spans="1:6" x14ac:dyDescent="0.3">
      <c r="A525" s="2">
        <v>43374</v>
      </c>
      <c r="B525" s="1">
        <v>56.814999999999998</v>
      </c>
      <c r="C525" s="1">
        <f>'Historical Simulation'!D525</f>
        <v>162.44</v>
      </c>
      <c r="D525" s="22">
        <f t="shared" si="35"/>
        <v>398.0509722147649</v>
      </c>
      <c r="E525" s="23">
        <f t="shared" si="36"/>
        <v>-7.3735274160041513</v>
      </c>
      <c r="F525" s="23">
        <f t="shared" si="37"/>
        <v>7.3735274160041513</v>
      </c>
    </row>
    <row r="526" spans="1:6" x14ac:dyDescent="0.3">
      <c r="A526" s="2">
        <v>43371</v>
      </c>
      <c r="B526" s="1">
        <v>56.435000000000002</v>
      </c>
      <c r="C526" s="1">
        <f>'Historical Simulation'!D526</f>
        <v>164.46</v>
      </c>
      <c r="D526" s="22">
        <f t="shared" si="35"/>
        <v>405.42449963076905</v>
      </c>
      <c r="E526" s="23">
        <f t="shared" si="36"/>
        <v>-14.590738227816246</v>
      </c>
      <c r="F526" s="23">
        <f t="shared" si="37"/>
        <v>14.590738227816246</v>
      </c>
    </row>
    <row r="527" spans="1:6" x14ac:dyDescent="0.3">
      <c r="A527" s="2">
        <v>43370</v>
      </c>
      <c r="B527" s="1">
        <v>56.237499999999997</v>
      </c>
      <c r="C527" s="1">
        <f>'Historical Simulation'!D527</f>
        <v>168.84</v>
      </c>
      <c r="D527" s="22">
        <f t="shared" si="35"/>
        <v>420.01523785858529</v>
      </c>
      <c r="E527" s="23">
        <f t="shared" si="36"/>
        <v>3.5797070906763793</v>
      </c>
      <c r="F527" s="23">
        <f t="shared" si="37"/>
        <v>-3.5797070906763793</v>
      </c>
    </row>
    <row r="528" spans="1:6" x14ac:dyDescent="0.3">
      <c r="A528" s="2">
        <v>43369</v>
      </c>
      <c r="B528" s="1">
        <v>55.104999999999997</v>
      </c>
      <c r="C528" s="1">
        <f>'Historical Simulation'!D528</f>
        <v>166.95</v>
      </c>
      <c r="D528" s="22">
        <f t="shared" si="35"/>
        <v>416.43553076790892</v>
      </c>
      <c r="E528" s="23">
        <f t="shared" si="36"/>
        <v>7.5775549209292308</v>
      </c>
      <c r="F528" s="23">
        <f t="shared" si="37"/>
        <v>-7.5775549209292308</v>
      </c>
    </row>
    <row r="529" spans="1:6" x14ac:dyDescent="0.3">
      <c r="A529" s="2">
        <v>43368</v>
      </c>
      <c r="B529" s="1">
        <v>55.547499999999999</v>
      </c>
      <c r="C529" s="1">
        <f>'Historical Simulation'!D529</f>
        <v>164.91</v>
      </c>
      <c r="D529" s="22">
        <f t="shared" si="35"/>
        <v>408.85797584697968</v>
      </c>
      <c r="E529" s="23">
        <f t="shared" si="36"/>
        <v>-2.3960409598348065</v>
      </c>
      <c r="F529" s="23">
        <f t="shared" si="37"/>
        <v>2.3960409598348065</v>
      </c>
    </row>
    <row r="530" spans="1:6" x14ac:dyDescent="0.3">
      <c r="A530" s="2">
        <v>43367</v>
      </c>
      <c r="B530" s="1">
        <v>55.197499999999998</v>
      </c>
      <c r="C530" s="1">
        <f>'Historical Simulation'!D530</f>
        <v>165.41</v>
      </c>
      <c r="D530" s="22">
        <f t="shared" si="35"/>
        <v>411.25401680681449</v>
      </c>
      <c r="E530" s="23">
        <f t="shared" si="36"/>
        <v>6.2665053286112311</v>
      </c>
      <c r="F530" s="23">
        <f t="shared" si="37"/>
        <v>-6.2665053286112311</v>
      </c>
    </row>
    <row r="531" spans="1:6" x14ac:dyDescent="0.3">
      <c r="A531" s="2">
        <v>43364</v>
      </c>
      <c r="B531" s="1">
        <v>54.414999999999999</v>
      </c>
      <c r="C531" s="1">
        <f>'Historical Simulation'!D531</f>
        <v>162.93</v>
      </c>
      <c r="D531" s="22">
        <f t="shared" si="35"/>
        <v>404.98751147820326</v>
      </c>
      <c r="E531" s="23">
        <f t="shared" si="36"/>
        <v>-8.6610144672792444</v>
      </c>
      <c r="F531" s="23">
        <f t="shared" si="37"/>
        <v>8.6610144672792444</v>
      </c>
    </row>
    <row r="532" spans="1:6" x14ac:dyDescent="0.3">
      <c r="A532" s="2">
        <v>43363</v>
      </c>
      <c r="B532" s="1">
        <v>55.0075</v>
      </c>
      <c r="C532" s="1">
        <f>'Historical Simulation'!D532</f>
        <v>166.02</v>
      </c>
      <c r="D532" s="22">
        <f t="shared" si="35"/>
        <v>413.6485259454825</v>
      </c>
      <c r="E532" s="23">
        <f t="shared" si="36"/>
        <v>8.6369696973877126</v>
      </c>
      <c r="F532" s="23">
        <f t="shared" si="37"/>
        <v>-8.6369696973877126</v>
      </c>
    </row>
    <row r="533" spans="1:6" x14ac:dyDescent="0.3">
      <c r="A533" s="2">
        <v>43362</v>
      </c>
      <c r="B533" s="1">
        <v>54.592500000000001</v>
      </c>
      <c r="C533" s="1">
        <f>'Historical Simulation'!D533</f>
        <v>163.06</v>
      </c>
      <c r="D533" s="22">
        <f t="shared" si="35"/>
        <v>405.01155624809479</v>
      </c>
      <c r="E533" s="23">
        <f t="shared" si="36"/>
        <v>8.8440608446463216</v>
      </c>
      <c r="F533" s="23">
        <f t="shared" si="37"/>
        <v>-8.8440608446463216</v>
      </c>
    </row>
    <row r="534" spans="1:6" x14ac:dyDescent="0.3">
      <c r="A534" s="2">
        <v>43361</v>
      </c>
      <c r="B534" s="1">
        <v>54.56</v>
      </c>
      <c r="C534" s="1">
        <f>'Historical Simulation'!D534</f>
        <v>160.30000000000001</v>
      </c>
      <c r="D534" s="22">
        <f t="shared" si="35"/>
        <v>396.16749540344847</v>
      </c>
      <c r="E534" s="23">
        <f t="shared" si="36"/>
        <v>-1.105335476633968</v>
      </c>
      <c r="F534" s="23">
        <f t="shared" si="37"/>
        <v>1.105335476633968</v>
      </c>
    </row>
    <row r="535" spans="1:6" x14ac:dyDescent="0.3">
      <c r="A535" s="2">
        <v>43360</v>
      </c>
      <c r="B535" s="1">
        <v>54.47</v>
      </c>
      <c r="C535" s="1">
        <f>'Historical Simulation'!D535</f>
        <v>160.58000000000001</v>
      </c>
      <c r="D535" s="22">
        <f t="shared" si="35"/>
        <v>397.27283088008244</v>
      </c>
      <c r="E535" s="23">
        <f t="shared" si="36"/>
        <v>-2.2976591058336453</v>
      </c>
      <c r="F535" s="23">
        <f t="shared" si="37"/>
        <v>2.2976591058336453</v>
      </c>
    </row>
    <row r="536" spans="1:6" x14ac:dyDescent="0.3">
      <c r="A536" s="2">
        <v>43357</v>
      </c>
      <c r="B536" s="1">
        <v>55.96</v>
      </c>
      <c r="C536" s="1">
        <f>'Historical Simulation'!D536</f>
        <v>162.32</v>
      </c>
      <c r="D536" s="22">
        <f t="shared" si="35"/>
        <v>399.57048998591608</v>
      </c>
      <c r="E536" s="23">
        <f t="shared" si="36"/>
        <v>4.5345948683942652</v>
      </c>
      <c r="F536" s="23">
        <f t="shared" si="37"/>
        <v>-4.5345948683942652</v>
      </c>
    </row>
    <row r="537" spans="1:6" x14ac:dyDescent="0.3">
      <c r="A537" s="2">
        <v>43356</v>
      </c>
      <c r="B537" s="1">
        <v>56.602499999999999</v>
      </c>
      <c r="C537" s="1">
        <f>'Historical Simulation'!D537</f>
        <v>161.36000000000001</v>
      </c>
      <c r="D537" s="22">
        <f t="shared" si="35"/>
        <v>395.03589511752182</v>
      </c>
      <c r="E537" s="23">
        <f t="shared" si="36"/>
        <v>-5.0455069360866673</v>
      </c>
      <c r="F537" s="23">
        <f t="shared" si="37"/>
        <v>5.0455069360866673</v>
      </c>
    </row>
    <row r="538" spans="1:6" x14ac:dyDescent="0.3">
      <c r="A538" s="2">
        <v>43355</v>
      </c>
      <c r="B538" s="1">
        <v>55.267499999999998</v>
      </c>
      <c r="C538" s="1">
        <f>'Historical Simulation'!D538</f>
        <v>162</v>
      </c>
      <c r="D538" s="22">
        <f t="shared" si="35"/>
        <v>400.08140205360849</v>
      </c>
      <c r="E538" s="23">
        <f t="shared" si="36"/>
        <v>-11.17841519372223</v>
      </c>
      <c r="F538" s="23">
        <f t="shared" si="37"/>
        <v>11.17841519372223</v>
      </c>
    </row>
    <row r="539" spans="1:6" x14ac:dyDescent="0.3">
      <c r="A539" s="2">
        <v>43354</v>
      </c>
      <c r="B539" s="1">
        <v>55.962499999999999</v>
      </c>
      <c r="C539" s="1">
        <f>'Historical Simulation'!D539</f>
        <v>165.94</v>
      </c>
      <c r="D539" s="22">
        <f t="shared" si="35"/>
        <v>411.25981724733072</v>
      </c>
      <c r="E539" s="23">
        <f t="shared" si="36"/>
        <v>2.607641840867359</v>
      </c>
      <c r="F539" s="23">
        <f t="shared" si="37"/>
        <v>-2.607641840867359</v>
      </c>
    </row>
    <row r="540" spans="1:6" x14ac:dyDescent="0.3">
      <c r="A540" s="2">
        <v>43353</v>
      </c>
      <c r="B540" s="1">
        <v>54.582500000000003</v>
      </c>
      <c r="C540" s="1">
        <f>'Historical Simulation'!D540</f>
        <v>164.18</v>
      </c>
      <c r="D540" s="22">
        <f t="shared" si="35"/>
        <v>408.65217540646336</v>
      </c>
      <c r="E540" s="23">
        <f t="shared" si="36"/>
        <v>5.3391730669281969</v>
      </c>
      <c r="F540" s="23">
        <f t="shared" si="37"/>
        <v>-5.3391730669281969</v>
      </c>
    </row>
    <row r="541" spans="1:6" x14ac:dyDescent="0.3">
      <c r="A541" s="2">
        <v>43350</v>
      </c>
      <c r="B541" s="1">
        <v>55.325000000000003</v>
      </c>
      <c r="C541" s="1">
        <f>'Historical Simulation'!D541</f>
        <v>163.04</v>
      </c>
      <c r="D541" s="22">
        <f t="shared" si="35"/>
        <v>403.31300233953516</v>
      </c>
      <c r="E541" s="23">
        <f t="shared" si="36"/>
        <v>2.6514109664016701</v>
      </c>
      <c r="F541" s="23">
        <f t="shared" si="37"/>
        <v>-2.6514109664016701</v>
      </c>
    </row>
    <row r="542" spans="1:6" x14ac:dyDescent="0.3">
      <c r="A542" s="2">
        <v>43349</v>
      </c>
      <c r="B542" s="1">
        <v>55.774999999999999</v>
      </c>
      <c r="C542" s="1">
        <f>'Historical Simulation'!D542</f>
        <v>162.53</v>
      </c>
      <c r="D542" s="22">
        <f t="shared" si="35"/>
        <v>400.66159137313349</v>
      </c>
      <c r="E542" s="23">
        <f t="shared" si="36"/>
        <v>-12.920084539514789</v>
      </c>
      <c r="F542" s="23">
        <f t="shared" si="37"/>
        <v>12.920084539514789</v>
      </c>
    </row>
    <row r="543" spans="1:6" x14ac:dyDescent="0.3">
      <c r="A543" s="2">
        <v>43348</v>
      </c>
      <c r="B543" s="1">
        <v>56.717500000000001</v>
      </c>
      <c r="C543" s="1">
        <f>'Historical Simulation'!D543</f>
        <v>167.18</v>
      </c>
      <c r="D543" s="22">
        <f t="shared" si="35"/>
        <v>413.58167591264828</v>
      </c>
      <c r="E543" s="23">
        <f t="shared" si="36"/>
        <v>-12.02702089718116</v>
      </c>
      <c r="F543" s="23">
        <f t="shared" si="37"/>
        <v>12.02702089718116</v>
      </c>
    </row>
    <row r="544" spans="1:6" x14ac:dyDescent="0.3">
      <c r="A544" s="2">
        <v>43347</v>
      </c>
      <c r="B544" s="1">
        <v>57.09</v>
      </c>
      <c r="C544" s="1">
        <f>'Historical Simulation'!D544</f>
        <v>171.16</v>
      </c>
      <c r="D544" s="22">
        <f t="shared" si="35"/>
        <v>425.60869680982944</v>
      </c>
      <c r="E544" s="23">
        <f t="shared" si="36"/>
        <v>-15.171099601899869</v>
      </c>
      <c r="F544" s="23">
        <f t="shared" si="37"/>
        <v>15.171099601899869</v>
      </c>
    </row>
    <row r="545" spans="1:6" x14ac:dyDescent="0.3">
      <c r="A545" s="2">
        <v>43346</v>
      </c>
      <c r="B545" s="1">
        <v>56.907499999999999</v>
      </c>
      <c r="C545" s="1">
        <f>'Historical Simulation'!D545</f>
        <v>175.73</v>
      </c>
      <c r="D545" s="22">
        <f t="shared" si="35"/>
        <v>440.77979641172931</v>
      </c>
      <c r="E545" s="23">
        <f t="shared" si="36"/>
        <v>0</v>
      </c>
      <c r="F545" s="23">
        <f t="shared" si="37"/>
        <v>0</v>
      </c>
    </row>
    <row r="546" spans="1:6" x14ac:dyDescent="0.3">
      <c r="A546" s="2">
        <v>43343</v>
      </c>
      <c r="B546" s="1">
        <v>56.907499999999999</v>
      </c>
      <c r="C546" s="1">
        <f>'Historical Simulation'!D546</f>
        <v>175.73</v>
      </c>
      <c r="D546" s="22">
        <f t="shared" si="35"/>
        <v>440.77979641172931</v>
      </c>
      <c r="E546" s="23">
        <f t="shared" si="36"/>
        <v>-7.6204292437377035</v>
      </c>
      <c r="F546" s="23">
        <f t="shared" si="37"/>
        <v>7.6204292437377035</v>
      </c>
    </row>
    <row r="547" spans="1:6" x14ac:dyDescent="0.3">
      <c r="A547" s="2">
        <v>43342</v>
      </c>
      <c r="B547" s="1">
        <v>56.2575</v>
      </c>
      <c r="C547" s="1">
        <f>'Historical Simulation'!D547</f>
        <v>177.64</v>
      </c>
      <c r="D547" s="22">
        <f t="shared" si="35"/>
        <v>448.40022565546701</v>
      </c>
      <c r="E547" s="23">
        <f t="shared" si="36"/>
        <v>4.4781062096437836</v>
      </c>
      <c r="F547" s="23">
        <f t="shared" si="37"/>
        <v>-4.4781062096437836</v>
      </c>
    </row>
    <row r="548" spans="1:6" x14ac:dyDescent="0.3">
      <c r="A548" s="2">
        <v>43341</v>
      </c>
      <c r="B548" s="1">
        <v>55.744999999999997</v>
      </c>
      <c r="C548" s="1">
        <f>'Historical Simulation'!D548</f>
        <v>175.9</v>
      </c>
      <c r="D548" s="22">
        <f t="shared" si="35"/>
        <v>443.92211944582323</v>
      </c>
      <c r="E548" s="23">
        <f t="shared" si="36"/>
        <v>-2.9921509795353813</v>
      </c>
      <c r="F548" s="23">
        <f t="shared" si="37"/>
        <v>2.9921509795353813</v>
      </c>
    </row>
    <row r="549" spans="1:6" x14ac:dyDescent="0.3">
      <c r="A549" s="2">
        <v>43340</v>
      </c>
      <c r="B549" s="1">
        <v>54.924999999999997</v>
      </c>
      <c r="C549" s="1">
        <f>'Historical Simulation'!D549</f>
        <v>176.26</v>
      </c>
      <c r="D549" s="22">
        <f t="shared" si="35"/>
        <v>446.91427042535861</v>
      </c>
      <c r="E549" s="23">
        <f t="shared" si="36"/>
        <v>-4.8582437342694789</v>
      </c>
      <c r="F549" s="23">
        <f t="shared" si="37"/>
        <v>4.8582437342694789</v>
      </c>
    </row>
    <row r="550" spans="1:6" x14ac:dyDescent="0.3">
      <c r="A550" s="2">
        <v>43339</v>
      </c>
      <c r="B550" s="1">
        <v>54.484999999999999</v>
      </c>
      <c r="C550" s="1">
        <f>'Historical Simulation'!D550</f>
        <v>177.46</v>
      </c>
      <c r="D550" s="22">
        <f t="shared" si="35"/>
        <v>451.77251415962809</v>
      </c>
      <c r="E550" s="23">
        <f t="shared" si="36"/>
        <v>8.1016083233039922</v>
      </c>
      <c r="F550" s="23">
        <f t="shared" si="37"/>
        <v>-8.1016083233039922</v>
      </c>
    </row>
    <row r="551" spans="1:6" x14ac:dyDescent="0.3">
      <c r="A551" s="2">
        <v>43336</v>
      </c>
      <c r="B551" s="1">
        <v>54.04</v>
      </c>
      <c r="C551" s="1">
        <f>'Historical Simulation'!D551</f>
        <v>174.64500000000001</v>
      </c>
      <c r="D551" s="22">
        <f t="shared" si="35"/>
        <v>443.6709058363241</v>
      </c>
      <c r="E551" s="23">
        <f t="shared" si="36"/>
        <v>5.2638289578110857</v>
      </c>
      <c r="F551" s="23">
        <f t="shared" si="37"/>
        <v>-5.2638289578110857</v>
      </c>
    </row>
    <row r="552" spans="1:6" x14ac:dyDescent="0.3">
      <c r="A552" s="2">
        <v>43335</v>
      </c>
      <c r="B552" s="1">
        <v>53.872500000000002</v>
      </c>
      <c r="C552" s="1">
        <f>'Historical Simulation'!D552</f>
        <v>172.9</v>
      </c>
      <c r="D552" s="22">
        <f t="shared" si="35"/>
        <v>438.40707687851301</v>
      </c>
      <c r="E552" s="23">
        <f t="shared" si="36"/>
        <v>-2.6360409598347019</v>
      </c>
      <c r="F552" s="23">
        <f t="shared" si="37"/>
        <v>2.6360409598347019</v>
      </c>
    </row>
    <row r="553" spans="1:6" x14ac:dyDescent="0.3">
      <c r="A553" s="2">
        <v>43334</v>
      </c>
      <c r="B553" s="1">
        <v>53.762500000000003</v>
      </c>
      <c r="C553" s="1">
        <f>'Historical Simulation'!D553</f>
        <v>173.64</v>
      </c>
      <c r="D553" s="22">
        <f t="shared" si="35"/>
        <v>441.04311783834771</v>
      </c>
      <c r="E553" s="23">
        <f t="shared" si="36"/>
        <v>3.2896725607433837</v>
      </c>
      <c r="F553" s="23">
        <f t="shared" si="37"/>
        <v>-3.2896725607433837</v>
      </c>
    </row>
    <row r="554" spans="1:6" x14ac:dyDescent="0.3">
      <c r="A554" s="2">
        <v>43333</v>
      </c>
      <c r="B554" s="1">
        <v>53.76</v>
      </c>
      <c r="C554" s="1">
        <f>'Historical Simulation'!D554</f>
        <v>172.62</v>
      </c>
      <c r="D554" s="22">
        <f t="shared" si="35"/>
        <v>437.75344527760433</v>
      </c>
      <c r="E554" s="23">
        <f t="shared" si="36"/>
        <v>0.62189319525043629</v>
      </c>
      <c r="F554" s="23">
        <f t="shared" si="37"/>
        <v>-0.62189319525043629</v>
      </c>
    </row>
    <row r="555" spans="1:6" x14ac:dyDescent="0.3">
      <c r="A555" s="2">
        <v>43332</v>
      </c>
      <c r="B555" s="1">
        <v>53.865000000000002</v>
      </c>
      <c r="C555" s="1">
        <f>'Historical Simulation'!D555</f>
        <v>172.5</v>
      </c>
      <c r="D555" s="22">
        <f t="shared" si="35"/>
        <v>437.13155208235389</v>
      </c>
      <c r="E555" s="23">
        <f t="shared" si="36"/>
        <v>-3.0175900459681202</v>
      </c>
      <c r="F555" s="23">
        <f t="shared" si="37"/>
        <v>3.0175900459681202</v>
      </c>
    </row>
    <row r="556" spans="1:6" x14ac:dyDescent="0.3">
      <c r="A556" s="2">
        <v>43329</v>
      </c>
      <c r="B556" s="1">
        <v>54.395000000000003</v>
      </c>
      <c r="C556" s="1">
        <f>'Historical Simulation'!D556</f>
        <v>173.8</v>
      </c>
      <c r="D556" s="22">
        <f t="shared" si="35"/>
        <v>440.14914212832201</v>
      </c>
      <c r="E556" s="23">
        <f t="shared" si="36"/>
        <v>-5.2832005718532287</v>
      </c>
      <c r="F556" s="23">
        <f t="shared" si="37"/>
        <v>5.2832005718532287</v>
      </c>
    </row>
    <row r="557" spans="1:6" x14ac:dyDescent="0.3">
      <c r="A557" s="2">
        <v>43328</v>
      </c>
      <c r="B557" s="1">
        <v>53.33</v>
      </c>
      <c r="C557" s="1">
        <f>'Historical Simulation'!D557</f>
        <v>174.7</v>
      </c>
      <c r="D557" s="22">
        <f t="shared" si="35"/>
        <v>445.43234270017524</v>
      </c>
      <c r="E557" s="23">
        <f t="shared" si="36"/>
        <v>-17.32156397067638</v>
      </c>
      <c r="F557" s="23">
        <f t="shared" si="37"/>
        <v>17.32156397067638</v>
      </c>
    </row>
    <row r="558" spans="1:6" x14ac:dyDescent="0.3">
      <c r="A558" s="2">
        <v>43327</v>
      </c>
      <c r="B558" s="1">
        <v>52.56</v>
      </c>
      <c r="C558" s="1">
        <f>'Historical Simulation'!D558</f>
        <v>179.53</v>
      </c>
      <c r="D558" s="22">
        <f t="shared" si="35"/>
        <v>462.75390667085162</v>
      </c>
      <c r="E558" s="23">
        <f t="shared" si="36"/>
        <v>-5.3776585107279402</v>
      </c>
      <c r="F558" s="23">
        <f t="shared" si="37"/>
        <v>5.3776585107279402</v>
      </c>
    </row>
    <row r="559" spans="1:6" x14ac:dyDescent="0.3">
      <c r="A559" s="2">
        <v>43326</v>
      </c>
      <c r="B559" s="1">
        <v>52.4375</v>
      </c>
      <c r="C559" s="1">
        <f>'Historical Simulation'!D559</f>
        <v>181.11</v>
      </c>
      <c r="D559" s="22">
        <f t="shared" si="35"/>
        <v>468.13156518157956</v>
      </c>
      <c r="E559" s="23">
        <f t="shared" si="36"/>
        <v>2.9337345956014929</v>
      </c>
      <c r="F559" s="23">
        <f t="shared" si="37"/>
        <v>-2.9337345956014929</v>
      </c>
    </row>
    <row r="560" spans="1:6" x14ac:dyDescent="0.3">
      <c r="A560" s="2">
        <v>43325</v>
      </c>
      <c r="B560" s="1">
        <v>52.217500000000001</v>
      </c>
      <c r="C560" s="1">
        <f>'Historical Simulation'!D560</f>
        <v>180.05</v>
      </c>
      <c r="D560" s="22">
        <f t="shared" si="35"/>
        <v>465.19783058597807</v>
      </c>
      <c r="E560" s="23">
        <f t="shared" si="36"/>
        <v>-1.4256968507175429</v>
      </c>
      <c r="F560" s="23">
        <f t="shared" si="37"/>
        <v>1.4256968507175429</v>
      </c>
    </row>
    <row r="561" spans="1:6" x14ac:dyDescent="0.3">
      <c r="A561" s="2">
        <v>43322</v>
      </c>
      <c r="B561" s="1">
        <v>51.8825</v>
      </c>
      <c r="C561" s="1">
        <f>'Historical Simulation'!D561</f>
        <v>180.26</v>
      </c>
      <c r="D561" s="22">
        <f t="shared" si="35"/>
        <v>466.62352743669561</v>
      </c>
      <c r="E561" s="23">
        <f t="shared" si="36"/>
        <v>-8.3898612851626808</v>
      </c>
      <c r="F561" s="23">
        <f t="shared" si="37"/>
        <v>8.3898612851626808</v>
      </c>
    </row>
    <row r="562" spans="1:6" x14ac:dyDescent="0.3">
      <c r="A562" s="2">
        <v>43321</v>
      </c>
      <c r="B562" s="1">
        <v>52.22</v>
      </c>
      <c r="C562" s="1">
        <f>'Historical Simulation'!D562</f>
        <v>183.09</v>
      </c>
      <c r="D562" s="22">
        <f t="shared" si="35"/>
        <v>475.01338872185829</v>
      </c>
      <c r="E562" s="23">
        <f t="shared" si="36"/>
        <v>-7.6610144672793012</v>
      </c>
      <c r="F562" s="23">
        <f t="shared" si="37"/>
        <v>7.6610144672793012</v>
      </c>
    </row>
    <row r="563" spans="1:6" x14ac:dyDescent="0.3">
      <c r="A563" s="2">
        <v>43320</v>
      </c>
      <c r="B563" s="1">
        <v>51.8125</v>
      </c>
      <c r="C563" s="1">
        <f>'Historical Simulation'!D563</f>
        <v>185.18</v>
      </c>
      <c r="D563" s="22">
        <f t="shared" si="35"/>
        <v>482.67440318913759</v>
      </c>
      <c r="E563" s="23">
        <f t="shared" si="36"/>
        <v>4.3478996251522517</v>
      </c>
      <c r="F563" s="23">
        <f t="shared" si="37"/>
        <v>-4.3478996251522517</v>
      </c>
    </row>
    <row r="564" spans="1:6" x14ac:dyDescent="0.3">
      <c r="A564" s="2">
        <v>43319</v>
      </c>
      <c r="B564" s="1">
        <v>51.777500000000003</v>
      </c>
      <c r="C564" s="1">
        <f>'Historical Simulation'!D564</f>
        <v>183.81</v>
      </c>
      <c r="D564" s="22">
        <f t="shared" si="35"/>
        <v>478.32650356398534</v>
      </c>
      <c r="E564" s="23">
        <f t="shared" si="36"/>
        <v>-4.980584628435679</v>
      </c>
      <c r="F564" s="23">
        <f t="shared" si="37"/>
        <v>4.980584628435679</v>
      </c>
    </row>
    <row r="565" spans="1:6" x14ac:dyDescent="0.3">
      <c r="A565" s="2">
        <v>43318</v>
      </c>
      <c r="B565" s="1">
        <v>52.267499999999998</v>
      </c>
      <c r="C565" s="1">
        <f>'Historical Simulation'!D565</f>
        <v>185.69</v>
      </c>
      <c r="D565" s="22">
        <f t="shared" si="35"/>
        <v>483.30708819242102</v>
      </c>
      <c r="E565" s="23">
        <f t="shared" si="36"/>
        <v>24.952062274279797</v>
      </c>
      <c r="F565" s="23">
        <f t="shared" si="37"/>
        <v>-24.952062274279797</v>
      </c>
    </row>
    <row r="566" spans="1:6" x14ac:dyDescent="0.3">
      <c r="A566" s="2">
        <v>43315</v>
      </c>
      <c r="B566" s="1">
        <v>51.997500000000002</v>
      </c>
      <c r="C566" s="1">
        <f>'Historical Simulation'!D566</f>
        <v>177.78</v>
      </c>
      <c r="D566" s="22">
        <f t="shared" si="35"/>
        <v>458.35502591814122</v>
      </c>
      <c r="E566" s="23">
        <f t="shared" si="36"/>
        <v>4.2206018934020904</v>
      </c>
      <c r="F566" s="23">
        <f t="shared" si="37"/>
        <v>-4.2206018934020904</v>
      </c>
    </row>
    <row r="567" spans="1:6" x14ac:dyDescent="0.3">
      <c r="A567" s="2">
        <v>43314</v>
      </c>
      <c r="B567" s="1">
        <v>51.847499999999997</v>
      </c>
      <c r="C567" s="1">
        <f>'Historical Simulation'!D567</f>
        <v>176.37</v>
      </c>
      <c r="D567" s="22">
        <f t="shared" si="35"/>
        <v>454.13442402473913</v>
      </c>
      <c r="E567" s="23">
        <f t="shared" si="36"/>
        <v>11.96399178478066</v>
      </c>
      <c r="F567" s="23">
        <f t="shared" si="37"/>
        <v>-11.96399178478066</v>
      </c>
    </row>
    <row r="568" spans="1:6" x14ac:dyDescent="0.3">
      <c r="A568" s="2">
        <v>43313</v>
      </c>
      <c r="B568" s="1">
        <v>50.375</v>
      </c>
      <c r="C568" s="1">
        <f>'Historical Simulation'!D568</f>
        <v>171.65</v>
      </c>
      <c r="D568" s="22">
        <f t="shared" si="35"/>
        <v>442.17043223995847</v>
      </c>
      <c r="E568" s="23">
        <f t="shared" si="36"/>
        <v>-9.255850450098194</v>
      </c>
      <c r="F568" s="23">
        <f t="shared" si="37"/>
        <v>9.255850450098194</v>
      </c>
    </row>
    <row r="569" spans="1:6" x14ac:dyDescent="0.3">
      <c r="A569" s="2">
        <v>43312</v>
      </c>
      <c r="B569" s="1">
        <v>47.572499999999998</v>
      </c>
      <c r="C569" s="1">
        <f>'Historical Simulation'!D569</f>
        <v>172.58</v>
      </c>
      <c r="D569" s="22">
        <f t="shared" si="35"/>
        <v>451.42628269005667</v>
      </c>
      <c r="E569" s="23">
        <f t="shared" si="36"/>
        <v>4.6986569032525267</v>
      </c>
      <c r="F569" s="23">
        <f t="shared" si="37"/>
        <v>-4.6986569032525267</v>
      </c>
    </row>
    <row r="570" spans="1:6" x14ac:dyDescent="0.3">
      <c r="A570" s="2">
        <v>43311</v>
      </c>
      <c r="B570" s="1">
        <v>47.477499999999999</v>
      </c>
      <c r="C570" s="1">
        <f>'Historical Simulation'!D570</f>
        <v>171.06</v>
      </c>
      <c r="D570" s="22">
        <f t="shared" si="35"/>
        <v>446.72762578680414</v>
      </c>
      <c r="E570" s="23">
        <f t="shared" si="36"/>
        <v>-11.776642258131062</v>
      </c>
      <c r="F570" s="23">
        <f t="shared" si="37"/>
        <v>11.776642258131062</v>
      </c>
    </row>
    <row r="571" spans="1:6" x14ac:dyDescent="0.3">
      <c r="A571" s="2">
        <v>43308</v>
      </c>
      <c r="B571" s="1">
        <v>47.744999999999997</v>
      </c>
      <c r="C571" s="1">
        <f>'Historical Simulation'!D571</f>
        <v>174.89</v>
      </c>
      <c r="D571" s="22">
        <f t="shared" si="35"/>
        <v>458.5042680449352</v>
      </c>
      <c r="E571" s="23">
        <f t="shared" si="36"/>
        <v>-2.6247329881260271</v>
      </c>
      <c r="F571" s="23">
        <f t="shared" si="37"/>
        <v>2.6247329881260271</v>
      </c>
    </row>
    <row r="572" spans="1:6" x14ac:dyDescent="0.3">
      <c r="A572" s="2">
        <v>43307</v>
      </c>
      <c r="B572" s="1">
        <v>48.552500000000002</v>
      </c>
      <c r="C572" s="1">
        <f>'Historical Simulation'!D572</f>
        <v>176.26</v>
      </c>
      <c r="D572" s="22">
        <f t="shared" si="35"/>
        <v>461.12900103306123</v>
      </c>
      <c r="E572" s="23">
        <f t="shared" si="36"/>
        <v>-132.89127404377888</v>
      </c>
      <c r="F572" s="23">
        <f t="shared" si="37"/>
        <v>132.89127404377888</v>
      </c>
    </row>
    <row r="573" spans="1:6" x14ac:dyDescent="0.3">
      <c r="A573" s="2">
        <v>43306</v>
      </c>
      <c r="B573" s="1">
        <v>48.704999999999998</v>
      </c>
      <c r="C573" s="1">
        <f>'Historical Simulation'!D573</f>
        <v>217.5</v>
      </c>
      <c r="D573" s="22">
        <f t="shared" si="35"/>
        <v>594.02027507684011</v>
      </c>
      <c r="E573" s="23">
        <f t="shared" si="36"/>
        <v>8.1277615054207217</v>
      </c>
      <c r="F573" s="23">
        <f t="shared" si="37"/>
        <v>-8.1277615054207217</v>
      </c>
    </row>
    <row r="574" spans="1:6" x14ac:dyDescent="0.3">
      <c r="A574" s="2">
        <v>43305</v>
      </c>
      <c r="B574" s="1">
        <v>48.25</v>
      </c>
      <c r="C574" s="1">
        <f>'Historical Simulation'!D574</f>
        <v>214.67</v>
      </c>
      <c r="D574" s="22">
        <f t="shared" si="35"/>
        <v>585.89251357141939</v>
      </c>
      <c r="E574" s="23">
        <f t="shared" si="36"/>
        <v>11.372046794630819</v>
      </c>
      <c r="F574" s="23">
        <f t="shared" si="37"/>
        <v>-11.372046794630819</v>
      </c>
    </row>
    <row r="575" spans="1:6" x14ac:dyDescent="0.3">
      <c r="A575" s="2">
        <v>43304</v>
      </c>
      <c r="B575" s="1">
        <v>47.902500000000003</v>
      </c>
      <c r="C575" s="1">
        <f>'Historical Simulation'!D575</f>
        <v>210.91</v>
      </c>
      <c r="D575" s="22">
        <f t="shared" si="35"/>
        <v>574.52046677678857</v>
      </c>
      <c r="E575" s="23">
        <f t="shared" si="36"/>
        <v>3.0389152826433019</v>
      </c>
      <c r="F575" s="23">
        <f t="shared" si="37"/>
        <v>-3.0389152826433019</v>
      </c>
    </row>
    <row r="576" spans="1:6" x14ac:dyDescent="0.3">
      <c r="A576" s="2">
        <v>43301</v>
      </c>
      <c r="B576" s="1">
        <v>47.86</v>
      </c>
      <c r="C576" s="1">
        <f>'Historical Simulation'!D576</f>
        <v>209.94</v>
      </c>
      <c r="D576" s="22">
        <f t="shared" si="35"/>
        <v>571.48155149414526</v>
      </c>
      <c r="E576" s="23">
        <f t="shared" si="36"/>
        <v>6.2220473897366446</v>
      </c>
      <c r="F576" s="23">
        <f t="shared" si="37"/>
        <v>-6.2220473897366446</v>
      </c>
    </row>
    <row r="577" spans="1:6" x14ac:dyDescent="0.3">
      <c r="A577" s="2">
        <v>43300</v>
      </c>
      <c r="B577" s="1">
        <v>47.97</v>
      </c>
      <c r="C577" s="1">
        <f>'Historical Simulation'!D577</f>
        <v>208.09</v>
      </c>
      <c r="D577" s="22">
        <f t="shared" si="35"/>
        <v>565.25950410440862</v>
      </c>
      <c r="E577" s="23">
        <f t="shared" si="36"/>
        <v>-4.928243734269472</v>
      </c>
      <c r="F577" s="23">
        <f t="shared" si="37"/>
        <v>4.928243734269472</v>
      </c>
    </row>
    <row r="578" spans="1:6" x14ac:dyDescent="0.3">
      <c r="A578" s="2">
        <v>43299</v>
      </c>
      <c r="B578" s="1">
        <v>47.6</v>
      </c>
      <c r="C578" s="1">
        <f>'Historical Simulation'!D578</f>
        <v>209.36</v>
      </c>
      <c r="D578" s="22">
        <f t="shared" si="35"/>
        <v>570.18774783867809</v>
      </c>
      <c r="E578" s="23">
        <f t="shared" si="36"/>
        <v>-1.4497588855756476</v>
      </c>
      <c r="F578" s="23">
        <f t="shared" si="37"/>
        <v>1.4497588855756476</v>
      </c>
    </row>
    <row r="579" spans="1:6" x14ac:dyDescent="0.3">
      <c r="A579" s="2">
        <v>43298</v>
      </c>
      <c r="B579" s="1">
        <v>47.862499999999997</v>
      </c>
      <c r="C579" s="1">
        <f>'Historical Simulation'!D579</f>
        <v>209.99</v>
      </c>
      <c r="D579" s="22">
        <f t="shared" si="35"/>
        <v>571.63750672425374</v>
      </c>
      <c r="E579" s="23">
        <f t="shared" si="36"/>
        <v>8.615420611254649</v>
      </c>
      <c r="F579" s="23">
        <f t="shared" si="37"/>
        <v>-8.615420611254649</v>
      </c>
    </row>
    <row r="580" spans="1:6" x14ac:dyDescent="0.3">
      <c r="A580" s="2">
        <v>43297</v>
      </c>
      <c r="B580" s="1">
        <v>47.727499999999999</v>
      </c>
      <c r="C580" s="1">
        <f>'Historical Simulation'!D580</f>
        <v>207.23</v>
      </c>
      <c r="D580" s="22">
        <f t="shared" si="35"/>
        <v>563.02208611299909</v>
      </c>
      <c r="E580" s="23">
        <f t="shared" si="36"/>
        <v>-5.6540453649972733E-2</v>
      </c>
      <c r="F580" s="23">
        <f t="shared" si="37"/>
        <v>5.6540453649972733E-2</v>
      </c>
    </row>
    <row r="581" spans="1:6" x14ac:dyDescent="0.3">
      <c r="A581" s="2">
        <v>43294</v>
      </c>
      <c r="B581" s="1">
        <v>47.832500000000003</v>
      </c>
      <c r="C581" s="1">
        <f>'Historical Simulation'!D581</f>
        <v>207.32</v>
      </c>
      <c r="D581" s="22">
        <f t="shared" si="35"/>
        <v>563.07862656664906</v>
      </c>
      <c r="E581" s="23">
        <f t="shared" si="36"/>
        <v>1.1249568375837953</v>
      </c>
      <c r="F581" s="23">
        <f t="shared" si="37"/>
        <v>-1.1249568375837953</v>
      </c>
    </row>
    <row r="582" spans="1:6" x14ac:dyDescent="0.3">
      <c r="A582" s="2">
        <v>43293</v>
      </c>
      <c r="B582" s="1">
        <v>47.7575</v>
      </c>
      <c r="C582" s="1">
        <f>'Historical Simulation'!D582</f>
        <v>206.92</v>
      </c>
      <c r="D582" s="22">
        <f t="shared" ref="D582:D645" si="38">$M$16*B582+(1-$M$16)*C582</f>
        <v>561.95366972906527</v>
      </c>
      <c r="E582" s="23">
        <f t="shared" ref="E582:E645" si="39">D582-D583</f>
        <v>12.393561350831192</v>
      </c>
      <c r="F582" s="23">
        <f t="shared" ref="F582:F645" si="40">-E582</f>
        <v>-12.393561350831192</v>
      </c>
    </row>
    <row r="583" spans="1:6" x14ac:dyDescent="0.3">
      <c r="A583" s="2">
        <v>43292</v>
      </c>
      <c r="B583" s="1">
        <v>46.97</v>
      </c>
      <c r="C583" s="1">
        <f>'Historical Simulation'!D583</f>
        <v>202.54</v>
      </c>
      <c r="D583" s="22">
        <f t="shared" si="38"/>
        <v>549.56010837823408</v>
      </c>
      <c r="E583" s="23">
        <f t="shared" si="39"/>
        <v>-1.8532184319257112</v>
      </c>
      <c r="F583" s="23">
        <f t="shared" si="40"/>
        <v>1.8532184319257112</v>
      </c>
    </row>
    <row r="584" spans="1:6" x14ac:dyDescent="0.3">
      <c r="A584" s="2">
        <v>43291</v>
      </c>
      <c r="B584" s="1">
        <v>47.587499999999999</v>
      </c>
      <c r="C584" s="1">
        <f>'Historical Simulation'!D584</f>
        <v>203.54</v>
      </c>
      <c r="D584" s="22">
        <f t="shared" si="38"/>
        <v>551.41332681015979</v>
      </c>
      <c r="E584" s="23">
        <f t="shared" si="39"/>
        <v>-3.7485021136603791</v>
      </c>
      <c r="F584" s="23">
        <f t="shared" si="40"/>
        <v>3.7485021136603791</v>
      </c>
    </row>
    <row r="585" spans="1:6" x14ac:dyDescent="0.3">
      <c r="A585" s="2">
        <v>43290</v>
      </c>
      <c r="B585" s="1">
        <v>47.645000000000003</v>
      </c>
      <c r="C585" s="1">
        <f>'Historical Simulation'!D585</f>
        <v>204.74</v>
      </c>
      <c r="D585" s="22">
        <f t="shared" si="38"/>
        <v>555.16182892382017</v>
      </c>
      <c r="E585" s="23">
        <f t="shared" si="39"/>
        <v>3.4227707330099975</v>
      </c>
      <c r="F585" s="23">
        <f t="shared" si="40"/>
        <v>-3.4227707330099975</v>
      </c>
    </row>
    <row r="586" spans="1:6" x14ac:dyDescent="0.3">
      <c r="A586" s="2">
        <v>43287</v>
      </c>
      <c r="B586" s="1">
        <v>46.9925</v>
      </c>
      <c r="C586" s="1">
        <f>'Historical Simulation'!D586</f>
        <v>203.23</v>
      </c>
      <c r="D586" s="22">
        <f t="shared" si="38"/>
        <v>551.73905819081017</v>
      </c>
      <c r="E586" s="23">
        <f t="shared" si="39"/>
        <v>14.009258201548732</v>
      </c>
      <c r="F586" s="23">
        <f t="shared" si="40"/>
        <v>-14.009258201548732</v>
      </c>
    </row>
    <row r="587" spans="1:6" x14ac:dyDescent="0.3">
      <c r="A587" s="2">
        <v>43286</v>
      </c>
      <c r="B587" s="1">
        <v>46.35</v>
      </c>
      <c r="C587" s="1">
        <f>'Historical Simulation'!D587</f>
        <v>198.45</v>
      </c>
      <c r="D587" s="22">
        <f t="shared" si="38"/>
        <v>537.72979998926144</v>
      </c>
      <c r="E587" s="23">
        <f t="shared" si="39"/>
        <v>17.653904864842502</v>
      </c>
      <c r="F587" s="23">
        <f t="shared" si="40"/>
        <v>-17.653904864842502</v>
      </c>
    </row>
    <row r="588" spans="1:6" x14ac:dyDescent="0.3">
      <c r="A588" s="2">
        <v>43285</v>
      </c>
      <c r="B588" s="1">
        <v>45.98</v>
      </c>
      <c r="C588" s="1">
        <f>'Historical Simulation'!D588</f>
        <v>192.73</v>
      </c>
      <c r="D588" s="22">
        <f t="shared" si="38"/>
        <v>520.07589512441893</v>
      </c>
      <c r="E588" s="23">
        <f t="shared" si="39"/>
        <v>0</v>
      </c>
      <c r="F588" s="23">
        <f t="shared" si="40"/>
        <v>0</v>
      </c>
    </row>
    <row r="589" spans="1:6" x14ac:dyDescent="0.3">
      <c r="A589" s="2">
        <v>43284</v>
      </c>
      <c r="B589" s="1">
        <v>45.98</v>
      </c>
      <c r="C589" s="1">
        <f>'Historical Simulation'!D589</f>
        <v>192.73</v>
      </c>
      <c r="D589" s="22">
        <f t="shared" si="38"/>
        <v>520.07589512441893</v>
      </c>
      <c r="E589" s="23">
        <f t="shared" si="39"/>
        <v>-13.13987795502328</v>
      </c>
      <c r="F589" s="23">
        <f t="shared" si="40"/>
        <v>13.13987795502328</v>
      </c>
    </row>
    <row r="590" spans="1:6" x14ac:dyDescent="0.3">
      <c r="A590" s="2">
        <v>43283</v>
      </c>
      <c r="B590" s="1">
        <v>46.795000000000002</v>
      </c>
      <c r="C590" s="1">
        <f>'Historical Simulation'!D590</f>
        <v>197.36</v>
      </c>
      <c r="D590" s="22">
        <f t="shared" si="38"/>
        <v>533.21577307944222</v>
      </c>
      <c r="E590" s="23">
        <f t="shared" si="39"/>
        <v>8.6667803778627786</v>
      </c>
      <c r="F590" s="23">
        <f t="shared" si="40"/>
        <v>-8.6667803778627786</v>
      </c>
    </row>
    <row r="591" spans="1:6" x14ac:dyDescent="0.3">
      <c r="A591" s="2">
        <v>43280</v>
      </c>
      <c r="B591" s="1">
        <v>46.277500000000003</v>
      </c>
      <c r="C591" s="1">
        <f>'Historical Simulation'!D591</f>
        <v>194.32</v>
      </c>
      <c r="D591" s="22">
        <f t="shared" si="38"/>
        <v>524.54899270157944</v>
      </c>
      <c r="E591" s="23">
        <f t="shared" si="39"/>
        <v>-5.953028517294797</v>
      </c>
      <c r="F591" s="23">
        <f t="shared" si="40"/>
        <v>5.953028517294797</v>
      </c>
    </row>
    <row r="592" spans="1:6" x14ac:dyDescent="0.3">
      <c r="A592" s="2">
        <v>43279</v>
      </c>
      <c r="B592" s="1">
        <v>46.375</v>
      </c>
      <c r="C592" s="1">
        <f>'Historical Simulation'!D592</f>
        <v>196.23</v>
      </c>
      <c r="D592" s="22">
        <f t="shared" si="38"/>
        <v>530.50202121887423</v>
      </c>
      <c r="E592" s="23">
        <f t="shared" si="39"/>
        <v>0.5126850032834227</v>
      </c>
      <c r="F592" s="23">
        <f t="shared" si="40"/>
        <v>-0.5126850032834227</v>
      </c>
    </row>
    <row r="593" spans="1:6" x14ac:dyDescent="0.3">
      <c r="A593" s="2">
        <v>43278</v>
      </c>
      <c r="B593" s="1">
        <v>46.04</v>
      </c>
      <c r="C593" s="1">
        <f>'Historical Simulation'!D593</f>
        <v>195.84</v>
      </c>
      <c r="D593" s="22">
        <f t="shared" si="38"/>
        <v>529.98933621559081</v>
      </c>
      <c r="E593" s="23">
        <f t="shared" si="39"/>
        <v>-10.058243139163778</v>
      </c>
      <c r="F593" s="23">
        <f t="shared" si="40"/>
        <v>10.058243139163778</v>
      </c>
    </row>
    <row r="594" spans="1:6" x14ac:dyDescent="0.3">
      <c r="A594" s="2">
        <v>43277</v>
      </c>
      <c r="B594" s="1">
        <v>46.107500000000002</v>
      </c>
      <c r="C594" s="1">
        <f>'Historical Simulation'!D594</f>
        <v>199</v>
      </c>
      <c r="D594" s="22">
        <f t="shared" si="38"/>
        <v>540.04757935475459</v>
      </c>
      <c r="E594" s="23">
        <f t="shared" si="39"/>
        <v>7.3008769426536446</v>
      </c>
      <c r="F594" s="23">
        <f t="shared" si="40"/>
        <v>-7.3008769426536446</v>
      </c>
    </row>
    <row r="595" spans="1:6" x14ac:dyDescent="0.3">
      <c r="A595" s="2">
        <v>43276</v>
      </c>
      <c r="B595" s="1">
        <v>45.542499999999997</v>
      </c>
      <c r="C595" s="1">
        <f>'Historical Simulation'!D595</f>
        <v>196.35</v>
      </c>
      <c r="D595" s="22">
        <f t="shared" si="38"/>
        <v>532.74670241210094</v>
      </c>
      <c r="E595" s="23">
        <f t="shared" si="39"/>
        <v>-15.879567780733055</v>
      </c>
      <c r="F595" s="23">
        <f t="shared" si="40"/>
        <v>15.879567780733055</v>
      </c>
    </row>
    <row r="596" spans="1:6" x14ac:dyDescent="0.3">
      <c r="A596" s="2">
        <v>43273</v>
      </c>
      <c r="B596" s="1">
        <v>46.23</v>
      </c>
      <c r="C596" s="1">
        <f>'Historical Simulation'!D596</f>
        <v>201.74</v>
      </c>
      <c r="D596" s="22">
        <f t="shared" si="38"/>
        <v>548.626270192834</v>
      </c>
      <c r="E596" s="23">
        <f t="shared" si="39"/>
        <v>1.0764886587505771</v>
      </c>
      <c r="F596" s="23">
        <f t="shared" si="40"/>
        <v>-1.0764886587505771</v>
      </c>
    </row>
    <row r="597" spans="1:6" x14ac:dyDescent="0.3">
      <c r="A597" s="2">
        <v>43272</v>
      </c>
      <c r="B597" s="1">
        <v>46.365000000000002</v>
      </c>
      <c r="C597" s="1">
        <f>'Historical Simulation'!D597</f>
        <v>201.5</v>
      </c>
      <c r="D597" s="22">
        <f t="shared" si="38"/>
        <v>547.54978153408342</v>
      </c>
      <c r="E597" s="23">
        <f t="shared" si="39"/>
        <v>-1.0353527416003772</v>
      </c>
      <c r="F597" s="23">
        <f t="shared" si="40"/>
        <v>1.0353527416003772</v>
      </c>
    </row>
    <row r="598" spans="1:6" x14ac:dyDescent="0.3">
      <c r="A598" s="2">
        <v>43271</v>
      </c>
      <c r="B598" s="1">
        <v>46.625</v>
      </c>
      <c r="C598" s="1">
        <f>'Historical Simulation'!D598</f>
        <v>202</v>
      </c>
      <c r="D598" s="22">
        <f t="shared" si="38"/>
        <v>548.5851342756838</v>
      </c>
      <c r="E598" s="23">
        <f t="shared" si="39"/>
        <v>14.118466393515746</v>
      </c>
      <c r="F598" s="23">
        <f t="shared" si="40"/>
        <v>-14.118466393515746</v>
      </c>
    </row>
    <row r="599" spans="1:6" x14ac:dyDescent="0.3">
      <c r="A599" s="2">
        <v>43270</v>
      </c>
      <c r="B599" s="1">
        <v>46.422499999999999</v>
      </c>
      <c r="C599" s="1">
        <f>'Historical Simulation'!D599</f>
        <v>197.49</v>
      </c>
      <c r="D599" s="22">
        <f t="shared" si="38"/>
        <v>534.46666788216805</v>
      </c>
      <c r="E599" s="23">
        <f t="shared" si="39"/>
        <v>-0.94826159434182955</v>
      </c>
      <c r="F599" s="23">
        <f t="shared" si="40"/>
        <v>0.94826159434182955</v>
      </c>
    </row>
    <row r="600" spans="1:6" x14ac:dyDescent="0.3">
      <c r="A600" s="2">
        <v>43269</v>
      </c>
      <c r="B600" s="1">
        <v>47.185000000000002</v>
      </c>
      <c r="C600" s="1">
        <f>'Historical Simulation'!D600</f>
        <v>198.31</v>
      </c>
      <c r="D600" s="22">
        <f t="shared" si="38"/>
        <v>535.41492947650988</v>
      </c>
      <c r="E600" s="23">
        <f t="shared" si="39"/>
        <v>8.0031315119877036</v>
      </c>
      <c r="F600" s="23">
        <f t="shared" si="40"/>
        <v>-8.0031315119877036</v>
      </c>
    </row>
    <row r="601" spans="1:6" x14ac:dyDescent="0.3">
      <c r="A601" s="2">
        <v>43266</v>
      </c>
      <c r="B601" s="1">
        <v>47.21</v>
      </c>
      <c r="C601" s="1">
        <f>'Historical Simulation'!D601</f>
        <v>195.85</v>
      </c>
      <c r="D601" s="22">
        <f t="shared" si="38"/>
        <v>527.41179796452218</v>
      </c>
      <c r="E601" s="23">
        <f t="shared" si="39"/>
        <v>-2.0083991189675316</v>
      </c>
      <c r="F601" s="23">
        <f t="shared" si="40"/>
        <v>2.0083991189675316</v>
      </c>
    </row>
    <row r="602" spans="1:6" x14ac:dyDescent="0.3">
      <c r="A602" s="2">
        <v>43265</v>
      </c>
      <c r="B602" s="1">
        <v>47.7</v>
      </c>
      <c r="C602" s="1">
        <f>'Historical Simulation'!D602</f>
        <v>196.81</v>
      </c>
      <c r="D602" s="22">
        <f t="shared" si="38"/>
        <v>529.42019708348971</v>
      </c>
      <c r="E602" s="23">
        <f t="shared" si="39"/>
        <v>14.159034352090998</v>
      </c>
      <c r="F602" s="23">
        <f t="shared" si="40"/>
        <v>-14.159034352090998</v>
      </c>
    </row>
    <row r="603" spans="1:6" x14ac:dyDescent="0.3">
      <c r="A603" s="2">
        <v>43264</v>
      </c>
      <c r="B603" s="1">
        <v>47.674999999999997</v>
      </c>
      <c r="C603" s="1">
        <f>'Historical Simulation'!D603</f>
        <v>192.41</v>
      </c>
      <c r="D603" s="22">
        <f t="shared" si="38"/>
        <v>515.26116273139871</v>
      </c>
      <c r="E603" s="23">
        <f t="shared" si="39"/>
        <v>0.91340775145056341</v>
      </c>
      <c r="F603" s="23">
        <f t="shared" si="40"/>
        <v>-0.91340775145056341</v>
      </c>
    </row>
    <row r="604" spans="1:6" x14ac:dyDescent="0.3">
      <c r="A604" s="2">
        <v>43263</v>
      </c>
      <c r="B604" s="1">
        <v>48.07</v>
      </c>
      <c r="C604" s="1">
        <f>'Historical Simulation'!D604</f>
        <v>192.4</v>
      </c>
      <c r="D604" s="22">
        <f t="shared" si="38"/>
        <v>514.34775497994815</v>
      </c>
      <c r="E604" s="23">
        <f t="shared" si="39"/>
        <v>2.1928052629427839</v>
      </c>
      <c r="F604" s="23">
        <f t="shared" si="40"/>
        <v>-2.1928052629427839</v>
      </c>
    </row>
    <row r="605" spans="1:6" x14ac:dyDescent="0.3">
      <c r="A605" s="2">
        <v>43262</v>
      </c>
      <c r="B605" s="1">
        <v>47.807499999999997</v>
      </c>
      <c r="C605" s="1">
        <f>'Historical Simulation'!D605</f>
        <v>191.54</v>
      </c>
      <c r="D605" s="22">
        <f t="shared" si="38"/>
        <v>512.15494971700537</v>
      </c>
      <c r="E605" s="23">
        <f t="shared" si="39"/>
        <v>8.144852652679333</v>
      </c>
      <c r="F605" s="23">
        <f t="shared" si="40"/>
        <v>-8.144852652679333</v>
      </c>
    </row>
    <row r="606" spans="1:6" x14ac:dyDescent="0.3">
      <c r="A606" s="2">
        <v>43259</v>
      </c>
      <c r="B606" s="1">
        <v>47.924999999999997</v>
      </c>
      <c r="C606" s="1">
        <f>'Historical Simulation'!D606</f>
        <v>189.1</v>
      </c>
      <c r="D606" s="22">
        <f t="shared" si="38"/>
        <v>504.01009706432603</v>
      </c>
      <c r="E606" s="23">
        <f t="shared" si="39"/>
        <v>3.9536655357355812</v>
      </c>
      <c r="F606" s="23">
        <f t="shared" si="40"/>
        <v>-3.9536655357355812</v>
      </c>
    </row>
    <row r="607" spans="1:6" x14ac:dyDescent="0.3">
      <c r="A607" s="2">
        <v>43258</v>
      </c>
      <c r="B607" s="1">
        <v>48.365000000000002</v>
      </c>
      <c r="C607" s="1">
        <f>'Historical Simulation'!D607</f>
        <v>188.18</v>
      </c>
      <c r="D607" s="22">
        <f t="shared" si="38"/>
        <v>500.05643152859045</v>
      </c>
      <c r="E607" s="23">
        <f t="shared" si="39"/>
        <v>-9.9188283627051419</v>
      </c>
      <c r="F607" s="23">
        <f t="shared" si="40"/>
        <v>9.9188283627051419</v>
      </c>
    </row>
    <row r="608" spans="1:6" x14ac:dyDescent="0.3">
      <c r="A608" s="2">
        <v>43257</v>
      </c>
      <c r="B608" s="1">
        <v>48.494999999999997</v>
      </c>
      <c r="C608" s="1">
        <f>'Historical Simulation'!D608</f>
        <v>191.34</v>
      </c>
      <c r="D608" s="22">
        <f t="shared" si="38"/>
        <v>509.97525989129559</v>
      </c>
      <c r="E608" s="23">
        <f t="shared" si="39"/>
        <v>-5.5426498782446174</v>
      </c>
      <c r="F608" s="23">
        <f t="shared" si="40"/>
        <v>5.5426498782446174</v>
      </c>
    </row>
    <row r="609" spans="1:6" x14ac:dyDescent="0.3">
      <c r="A609" s="2">
        <v>43256</v>
      </c>
      <c r="B609" s="1">
        <v>48.327500000000001</v>
      </c>
      <c r="C609" s="1">
        <f>'Historical Simulation'!D609</f>
        <v>192.94</v>
      </c>
      <c r="D609" s="22">
        <f t="shared" si="38"/>
        <v>515.51790976954021</v>
      </c>
      <c r="E609" s="23">
        <f t="shared" si="39"/>
        <v>-1.9237518605680179</v>
      </c>
      <c r="F609" s="23">
        <f t="shared" si="40"/>
        <v>1.9237518605680179</v>
      </c>
    </row>
    <row r="610" spans="1:6" x14ac:dyDescent="0.3">
      <c r="A610" s="2">
        <v>43255</v>
      </c>
      <c r="B610" s="1">
        <v>47.957500000000003</v>
      </c>
      <c r="C610" s="1">
        <f>'Historical Simulation'!D610</f>
        <v>193.28</v>
      </c>
      <c r="D610" s="22">
        <f t="shared" si="38"/>
        <v>517.44166163010823</v>
      </c>
      <c r="E610" s="23">
        <f t="shared" si="39"/>
        <v>-3.1804298388435654</v>
      </c>
      <c r="F610" s="23">
        <f t="shared" si="40"/>
        <v>3.1804298388435654</v>
      </c>
    </row>
    <row r="611" spans="1:6" x14ac:dyDescent="0.3">
      <c r="A611" s="2">
        <v>43252</v>
      </c>
      <c r="B611" s="1">
        <v>47.56</v>
      </c>
      <c r="C611" s="1">
        <f>'Historical Simulation'!D611</f>
        <v>193.99</v>
      </c>
      <c r="D611" s="22">
        <f t="shared" si="38"/>
        <v>520.62209146895179</v>
      </c>
      <c r="E611" s="23">
        <f t="shared" si="39"/>
        <v>5.2603953089106881</v>
      </c>
      <c r="F611" s="23">
        <f t="shared" si="40"/>
        <v>-5.2603953089106881</v>
      </c>
    </row>
    <row r="612" spans="1:6" x14ac:dyDescent="0.3">
      <c r="A612" s="2">
        <v>43251</v>
      </c>
      <c r="B612" s="1">
        <v>46.717500000000001</v>
      </c>
      <c r="C612" s="1">
        <f>'Historical Simulation'!D612</f>
        <v>191.78</v>
      </c>
      <c r="D612" s="22">
        <f t="shared" si="38"/>
        <v>515.36169616004111</v>
      </c>
      <c r="E612" s="23">
        <f t="shared" si="39"/>
        <v>13.629240936582391</v>
      </c>
      <c r="F612" s="23">
        <f t="shared" si="40"/>
        <v>-13.629240936582391</v>
      </c>
    </row>
    <row r="613" spans="1:6" x14ac:dyDescent="0.3">
      <c r="A613" s="2">
        <v>43250</v>
      </c>
      <c r="B613" s="1">
        <v>46.875</v>
      </c>
      <c r="C613" s="1">
        <f>'Historical Simulation'!D613</f>
        <v>187.67</v>
      </c>
      <c r="D613" s="22">
        <f t="shared" si="38"/>
        <v>501.73245522345871</v>
      </c>
      <c r="E613" s="23">
        <f t="shared" si="39"/>
        <v>6.4581919393701241</v>
      </c>
      <c r="F613" s="23">
        <f t="shared" si="40"/>
        <v>-6.4581919393701241</v>
      </c>
    </row>
    <row r="614" spans="1:6" x14ac:dyDescent="0.3">
      <c r="A614" s="2">
        <v>43249</v>
      </c>
      <c r="B614" s="1">
        <v>46.975000000000001</v>
      </c>
      <c r="C614" s="1">
        <f>'Historical Simulation'!D614</f>
        <v>185.74</v>
      </c>
      <c r="D614" s="22">
        <f t="shared" si="38"/>
        <v>495.27426328408859</v>
      </c>
      <c r="E614" s="23">
        <f t="shared" si="39"/>
        <v>3.0283300591017337</v>
      </c>
      <c r="F614" s="23">
        <f t="shared" si="40"/>
        <v>-3.0283300591017337</v>
      </c>
    </row>
    <row r="615" spans="1:6" x14ac:dyDescent="0.3">
      <c r="A615" s="2">
        <v>43248</v>
      </c>
      <c r="B615" s="1">
        <v>47.145000000000003</v>
      </c>
      <c r="C615" s="1">
        <f>'Historical Simulation'!D615</f>
        <v>184.92</v>
      </c>
      <c r="D615" s="22">
        <f t="shared" si="38"/>
        <v>492.24593322498686</v>
      </c>
      <c r="E615" s="23">
        <f t="shared" si="39"/>
        <v>0</v>
      </c>
      <c r="F615" s="23">
        <f t="shared" si="40"/>
        <v>0</v>
      </c>
    </row>
    <row r="616" spans="1:6" x14ac:dyDescent="0.3">
      <c r="A616" s="2">
        <v>43245</v>
      </c>
      <c r="B616" s="1">
        <v>47.145000000000003</v>
      </c>
      <c r="C616" s="1">
        <f>'Historical Simulation'!D616</f>
        <v>184.92</v>
      </c>
      <c r="D616" s="22">
        <f t="shared" si="38"/>
        <v>492.24593322498686</v>
      </c>
      <c r="E616" s="23">
        <f t="shared" si="39"/>
        <v>-3.5027362030768927</v>
      </c>
      <c r="F616" s="23">
        <f t="shared" si="40"/>
        <v>3.5027362030768927</v>
      </c>
    </row>
    <row r="617" spans="1:6" x14ac:dyDescent="0.3">
      <c r="A617" s="2">
        <v>43244</v>
      </c>
      <c r="B617" s="1">
        <v>47.037500000000001</v>
      </c>
      <c r="C617" s="1">
        <f>'Historical Simulation'!D617</f>
        <v>185.93</v>
      </c>
      <c r="D617" s="22">
        <f t="shared" si="38"/>
        <v>495.74866942806375</v>
      </c>
      <c r="E617" s="23">
        <f t="shared" si="39"/>
        <v>-3.0166089184099292</v>
      </c>
      <c r="F617" s="23">
        <f t="shared" si="40"/>
        <v>3.0166089184099292</v>
      </c>
    </row>
    <row r="618" spans="1:6" x14ac:dyDescent="0.3">
      <c r="A618" s="2">
        <v>43243</v>
      </c>
      <c r="B618" s="1">
        <v>47.09</v>
      </c>
      <c r="C618" s="1">
        <f>'Historical Simulation'!D618</f>
        <v>186.9</v>
      </c>
      <c r="D618" s="22">
        <f t="shared" si="38"/>
        <v>498.76527834647368</v>
      </c>
      <c r="E618" s="23">
        <f t="shared" si="39"/>
        <v>9.3457819853381352</v>
      </c>
      <c r="F618" s="23">
        <f t="shared" si="40"/>
        <v>-9.3457819853381352</v>
      </c>
    </row>
    <row r="619" spans="1:6" x14ac:dyDescent="0.3">
      <c r="A619" s="2">
        <v>43242</v>
      </c>
      <c r="B619" s="1">
        <v>46.79</v>
      </c>
      <c r="C619" s="1">
        <f>'Historical Simulation'!D619</f>
        <v>183.8</v>
      </c>
      <c r="D619" s="22">
        <f t="shared" si="38"/>
        <v>489.41949636113554</v>
      </c>
      <c r="E619" s="23">
        <f t="shared" si="39"/>
        <v>-1.9670393523593361</v>
      </c>
      <c r="F619" s="23">
        <f t="shared" si="40"/>
        <v>1.9670393523593361</v>
      </c>
    </row>
    <row r="620" spans="1:6" x14ac:dyDescent="0.3">
      <c r="A620" s="2">
        <v>43241</v>
      </c>
      <c r="B620" s="1">
        <v>46.907499999999999</v>
      </c>
      <c r="C620" s="1">
        <f>'Historical Simulation'!D620</f>
        <v>184.49</v>
      </c>
      <c r="D620" s="22">
        <f t="shared" si="38"/>
        <v>491.38653571349488</v>
      </c>
      <c r="E620" s="23">
        <f t="shared" si="39"/>
        <v>5.1113419065358698</v>
      </c>
      <c r="F620" s="23">
        <f t="shared" si="40"/>
        <v>-5.1113419065358698</v>
      </c>
    </row>
    <row r="621" spans="1:6" x14ac:dyDescent="0.3">
      <c r="A621" s="2">
        <v>43238</v>
      </c>
      <c r="B621" s="1">
        <v>46.577500000000001</v>
      </c>
      <c r="C621" s="1">
        <f>'Historical Simulation'!D621</f>
        <v>182.68</v>
      </c>
      <c r="D621" s="22">
        <f t="shared" si="38"/>
        <v>486.27519380695901</v>
      </c>
      <c r="E621" s="23">
        <f t="shared" si="39"/>
        <v>-3.1098791452347996</v>
      </c>
      <c r="F621" s="23">
        <f t="shared" si="40"/>
        <v>3.1098791452347996</v>
      </c>
    </row>
    <row r="622" spans="1:6" x14ac:dyDescent="0.3">
      <c r="A622" s="2">
        <v>43237</v>
      </c>
      <c r="B622" s="1">
        <v>46.747500000000002</v>
      </c>
      <c r="C622" s="1">
        <f>'Historical Simulation'!D622</f>
        <v>183.76</v>
      </c>
      <c r="D622" s="22">
        <f t="shared" si="38"/>
        <v>489.38507295219381</v>
      </c>
      <c r="E622" s="23">
        <f t="shared" si="39"/>
        <v>2.4727707330098383</v>
      </c>
      <c r="F622" s="23">
        <f t="shared" si="40"/>
        <v>-2.4727707330098383</v>
      </c>
    </row>
    <row r="623" spans="1:6" x14ac:dyDescent="0.3">
      <c r="A623" s="2">
        <v>43236</v>
      </c>
      <c r="B623" s="1">
        <v>47.045000000000002</v>
      </c>
      <c r="C623" s="1">
        <f>'Historical Simulation'!D623</f>
        <v>183.2</v>
      </c>
      <c r="D623" s="22">
        <f t="shared" si="38"/>
        <v>486.91230221918397</v>
      </c>
      <c r="E623" s="23">
        <f t="shared" si="39"/>
        <v>-4.5886396382861108</v>
      </c>
      <c r="F623" s="23">
        <f t="shared" si="40"/>
        <v>4.5886396382861108</v>
      </c>
    </row>
    <row r="624" spans="1:6" x14ac:dyDescent="0.3">
      <c r="A624" s="2">
        <v>43235</v>
      </c>
      <c r="B624" s="1">
        <v>46.61</v>
      </c>
      <c r="C624" s="1">
        <f>'Historical Simulation'!D624</f>
        <v>184.32</v>
      </c>
      <c r="D624" s="22">
        <f t="shared" si="38"/>
        <v>491.50094185747008</v>
      </c>
      <c r="E624" s="23">
        <f t="shared" si="39"/>
        <v>-6.5414794311615765</v>
      </c>
      <c r="F624" s="23">
        <f t="shared" si="40"/>
        <v>6.5414794311615765</v>
      </c>
    </row>
    <row r="625" spans="1:6" x14ac:dyDescent="0.3">
      <c r="A625" s="2">
        <v>43234</v>
      </c>
      <c r="B625" s="1">
        <v>47.037500000000001</v>
      </c>
      <c r="C625" s="1">
        <f>'Historical Simulation'!D625</f>
        <v>186.64</v>
      </c>
      <c r="D625" s="22">
        <f t="shared" si="38"/>
        <v>498.04242128863166</v>
      </c>
      <c r="E625" s="23">
        <f t="shared" si="39"/>
        <v>-0.8853527416003999</v>
      </c>
      <c r="F625" s="23">
        <f t="shared" si="40"/>
        <v>0.8853527416003999</v>
      </c>
    </row>
    <row r="626" spans="1:6" x14ac:dyDescent="0.3">
      <c r="A626" s="2">
        <v>43231</v>
      </c>
      <c r="B626" s="1">
        <v>47.147500000000001</v>
      </c>
      <c r="C626" s="1">
        <f>'Historical Simulation'!D626</f>
        <v>186.99</v>
      </c>
      <c r="D626" s="22">
        <f t="shared" si="38"/>
        <v>498.92777403023206</v>
      </c>
      <c r="E626" s="23">
        <f t="shared" si="39"/>
        <v>5.5253348815281242</v>
      </c>
      <c r="F626" s="23">
        <f t="shared" si="40"/>
        <v>-5.5253348815281242</v>
      </c>
    </row>
    <row r="627" spans="1:6" x14ac:dyDescent="0.3">
      <c r="A627" s="2">
        <v>43230</v>
      </c>
      <c r="B627" s="1">
        <v>47.51</v>
      </c>
      <c r="C627" s="1">
        <f>'Historical Simulation'!D627</f>
        <v>185.53</v>
      </c>
      <c r="D627" s="22">
        <f t="shared" si="38"/>
        <v>493.40243914870393</v>
      </c>
      <c r="E627" s="23">
        <f t="shared" si="39"/>
        <v>7.7774001313371173</v>
      </c>
      <c r="F627" s="23">
        <f t="shared" si="40"/>
        <v>-7.7774001313371173</v>
      </c>
    </row>
    <row r="628" spans="1:6" x14ac:dyDescent="0.3">
      <c r="A628" s="2">
        <v>43229</v>
      </c>
      <c r="B628" s="1">
        <v>46.84</v>
      </c>
      <c r="C628" s="1">
        <f>'Historical Simulation'!D628</f>
        <v>182.66</v>
      </c>
      <c r="D628" s="22">
        <f t="shared" si="38"/>
        <v>485.62503901736682</v>
      </c>
      <c r="E628" s="23">
        <f t="shared" si="39"/>
        <v>11.352046794630894</v>
      </c>
      <c r="F628" s="23">
        <f t="shared" si="40"/>
        <v>-11.352046794630894</v>
      </c>
    </row>
    <row r="629" spans="1:6" x14ac:dyDescent="0.3">
      <c r="A629" s="2">
        <v>43228</v>
      </c>
      <c r="B629" s="1">
        <v>46.512500000000003</v>
      </c>
      <c r="C629" s="1">
        <f>'Historical Simulation'!D629</f>
        <v>178.92</v>
      </c>
      <c r="D629" s="22">
        <f t="shared" si="38"/>
        <v>474.27299222273592</v>
      </c>
      <c r="E629" s="23">
        <f t="shared" si="39"/>
        <v>2.5727879979762633</v>
      </c>
      <c r="F629" s="23">
        <f t="shared" si="40"/>
        <v>-2.5727879979762633</v>
      </c>
    </row>
    <row r="630" spans="1:6" x14ac:dyDescent="0.3">
      <c r="A630" s="2">
        <v>43227</v>
      </c>
      <c r="B630" s="1">
        <v>46.29</v>
      </c>
      <c r="C630" s="1">
        <f>'Historical Simulation'!D630</f>
        <v>177.97</v>
      </c>
      <c r="D630" s="22">
        <f t="shared" si="38"/>
        <v>471.70020422475966</v>
      </c>
      <c r="E630" s="23">
        <f t="shared" si="39"/>
        <v>3.6519789249766745</v>
      </c>
      <c r="F630" s="23">
        <f t="shared" si="40"/>
        <v>-3.6519789249766745</v>
      </c>
    </row>
    <row r="631" spans="1:6" x14ac:dyDescent="0.3">
      <c r="A631" s="2">
        <v>43224</v>
      </c>
      <c r="B631" s="1">
        <v>45.957500000000003</v>
      </c>
      <c r="C631" s="1">
        <f>'Historical Simulation'!D631</f>
        <v>176.61</v>
      </c>
      <c r="D631" s="22">
        <f t="shared" si="38"/>
        <v>468.04822529978298</v>
      </c>
      <c r="E631" s="23">
        <f t="shared" si="39"/>
        <v>4.4971941419514678</v>
      </c>
      <c r="F631" s="23">
        <f t="shared" si="40"/>
        <v>-4.4971941419514678</v>
      </c>
    </row>
    <row r="632" spans="1:6" x14ac:dyDescent="0.3">
      <c r="A632" s="2">
        <v>43223</v>
      </c>
      <c r="B632" s="1">
        <v>44.222499999999997</v>
      </c>
      <c r="C632" s="1">
        <f>'Historical Simulation'!D632</f>
        <v>174.02</v>
      </c>
      <c r="D632" s="22">
        <f t="shared" si="38"/>
        <v>463.55103115783152</v>
      </c>
      <c r="E632" s="23">
        <f t="shared" si="39"/>
        <v>-6.8012555817036286</v>
      </c>
      <c r="F632" s="23">
        <f t="shared" si="40"/>
        <v>6.8012555817036286</v>
      </c>
    </row>
    <row r="633" spans="1:6" x14ac:dyDescent="0.3">
      <c r="A633" s="2">
        <v>43222</v>
      </c>
      <c r="B633" s="1">
        <v>44.142499999999998</v>
      </c>
      <c r="C633" s="1">
        <f>'Historical Simulation'!D633</f>
        <v>176.07</v>
      </c>
      <c r="D633" s="22">
        <f t="shared" si="38"/>
        <v>470.35228673953515</v>
      </c>
      <c r="E633" s="23">
        <f t="shared" si="39"/>
        <v>2.9739929749921998</v>
      </c>
      <c r="F633" s="23">
        <f t="shared" si="40"/>
        <v>-2.9739929749921998</v>
      </c>
    </row>
    <row r="634" spans="1:6" x14ac:dyDescent="0.3">
      <c r="A634" s="2">
        <v>43221</v>
      </c>
      <c r="B634" s="1">
        <v>42.274999999999999</v>
      </c>
      <c r="C634" s="1">
        <f>'Historical Simulation'!D634</f>
        <v>173.86</v>
      </c>
      <c r="D634" s="22">
        <f t="shared" si="38"/>
        <v>467.37829376454295</v>
      </c>
      <c r="E634" s="23">
        <f t="shared" si="39"/>
        <v>3.8675727810016269</v>
      </c>
      <c r="F634" s="23">
        <f t="shared" si="40"/>
        <v>-3.8675727810016269</v>
      </c>
    </row>
    <row r="635" spans="1:6" x14ac:dyDescent="0.3">
      <c r="A635" s="2">
        <v>43220</v>
      </c>
      <c r="B635" s="1">
        <v>41.314999999999998</v>
      </c>
      <c r="C635" s="1">
        <f>'Historical Simulation'!D635</f>
        <v>172</v>
      </c>
      <c r="D635" s="22">
        <f t="shared" si="38"/>
        <v>463.51072098354132</v>
      </c>
      <c r="E635" s="23">
        <f t="shared" si="39"/>
        <v>-6.7762296842540763</v>
      </c>
      <c r="F635" s="23">
        <f t="shared" si="40"/>
        <v>6.7762296842540763</v>
      </c>
    </row>
    <row r="636" spans="1:6" x14ac:dyDescent="0.3">
      <c r="A636" s="2">
        <v>43217</v>
      </c>
      <c r="B636" s="1">
        <v>40.58</v>
      </c>
      <c r="C636" s="1">
        <f>'Historical Simulation'!D636</f>
        <v>173.59</v>
      </c>
      <c r="D636" s="22">
        <f t="shared" si="38"/>
        <v>470.2869506677954</v>
      </c>
      <c r="E636" s="23">
        <f t="shared" si="39"/>
        <v>-0.78191046021674993</v>
      </c>
      <c r="F636" s="23">
        <f t="shared" si="40"/>
        <v>0.78191046021674993</v>
      </c>
    </row>
    <row r="637" spans="1:6" x14ac:dyDescent="0.3">
      <c r="A637" s="2">
        <v>43216</v>
      </c>
      <c r="B637" s="1">
        <v>41.055</v>
      </c>
      <c r="C637" s="1">
        <f>'Historical Simulation'!D637</f>
        <v>174.16</v>
      </c>
      <c r="D637" s="22">
        <f t="shared" si="38"/>
        <v>471.06886112801214</v>
      </c>
      <c r="E637" s="23">
        <f t="shared" si="39"/>
        <v>46.429443355332978</v>
      </c>
      <c r="F637" s="23">
        <f t="shared" si="40"/>
        <v>-46.429443355332978</v>
      </c>
    </row>
    <row r="638" spans="1:6" x14ac:dyDescent="0.3">
      <c r="A638" s="2">
        <v>43215</v>
      </c>
      <c r="B638" s="1">
        <v>40.912500000000001</v>
      </c>
      <c r="C638" s="1">
        <f>'Historical Simulation'!D638</f>
        <v>159.69</v>
      </c>
      <c r="D638" s="22">
        <f t="shared" si="38"/>
        <v>424.63941777267917</v>
      </c>
      <c r="E638" s="23">
        <f t="shared" si="39"/>
        <v>-0.39593796514202495</v>
      </c>
      <c r="F638" s="23">
        <f t="shared" si="40"/>
        <v>0.39593796514202495</v>
      </c>
    </row>
    <row r="639" spans="1:6" x14ac:dyDescent="0.3">
      <c r="A639" s="2">
        <v>43214</v>
      </c>
      <c r="B639" s="1">
        <v>40.734999999999999</v>
      </c>
      <c r="C639" s="1">
        <f>'Historical Simulation'!D639</f>
        <v>159.69</v>
      </c>
      <c r="D639" s="22">
        <f t="shared" si="38"/>
        <v>425.03535573782119</v>
      </c>
      <c r="E639" s="23">
        <f t="shared" si="39"/>
        <v>-18.585798060092884</v>
      </c>
      <c r="F639" s="23">
        <f t="shared" si="40"/>
        <v>18.585798060092884</v>
      </c>
    </row>
    <row r="640" spans="1:6" x14ac:dyDescent="0.3">
      <c r="A640" s="2">
        <v>43213</v>
      </c>
      <c r="B640" s="1">
        <v>41.31</v>
      </c>
      <c r="C640" s="1">
        <f>'Historical Simulation'!D640</f>
        <v>165.84</v>
      </c>
      <c r="D640" s="22">
        <f t="shared" si="38"/>
        <v>443.62115379791408</v>
      </c>
      <c r="E640" s="23">
        <f t="shared" si="39"/>
        <v>-1.1538036554672431</v>
      </c>
      <c r="F640" s="23">
        <f t="shared" si="40"/>
        <v>1.1538036554672431</v>
      </c>
    </row>
    <row r="641" spans="1:6" x14ac:dyDescent="0.3">
      <c r="A641" s="2">
        <v>43210</v>
      </c>
      <c r="B641" s="1">
        <v>41.43</v>
      </c>
      <c r="C641" s="1">
        <f>'Historical Simulation'!D641</f>
        <v>166.28</v>
      </c>
      <c r="D641" s="22">
        <f t="shared" si="38"/>
        <v>444.77495745338132</v>
      </c>
      <c r="E641" s="23">
        <f t="shared" si="39"/>
        <v>-1.9315318211667432</v>
      </c>
      <c r="F641" s="23">
        <f t="shared" si="40"/>
        <v>1.9315318211667432</v>
      </c>
    </row>
    <row r="642" spans="1:6" x14ac:dyDescent="0.3">
      <c r="A642" s="2">
        <v>43209</v>
      </c>
      <c r="B642" s="1">
        <v>43.2</v>
      </c>
      <c r="C642" s="1">
        <f>'Historical Simulation'!D642</f>
        <v>168.1</v>
      </c>
      <c r="D642" s="22">
        <f t="shared" si="38"/>
        <v>446.70648927454806</v>
      </c>
      <c r="E642" s="23">
        <f t="shared" si="39"/>
        <v>8.4319092700051783</v>
      </c>
      <c r="F642" s="23">
        <f t="shared" si="40"/>
        <v>-8.4319092700051783</v>
      </c>
    </row>
    <row r="643" spans="1:6" x14ac:dyDescent="0.3">
      <c r="A643" s="2">
        <v>43208</v>
      </c>
      <c r="B643" s="1">
        <v>44.46</v>
      </c>
      <c r="C643" s="1">
        <f>'Historical Simulation'!D643</f>
        <v>166.36</v>
      </c>
      <c r="D643" s="22">
        <f t="shared" si="38"/>
        <v>438.27458000454288</v>
      </c>
      <c r="E643" s="23">
        <f t="shared" si="39"/>
        <v>-7.2074001313370673</v>
      </c>
      <c r="F643" s="23">
        <f t="shared" si="40"/>
        <v>7.2074001313370673</v>
      </c>
    </row>
    <row r="644" spans="1:6" x14ac:dyDescent="0.3">
      <c r="A644" s="2">
        <v>43207</v>
      </c>
      <c r="B644" s="1">
        <v>44.56</v>
      </c>
      <c r="C644" s="1">
        <f>'Historical Simulation'!D644</f>
        <v>168.66</v>
      </c>
      <c r="D644" s="22">
        <f t="shared" si="38"/>
        <v>445.48198013587995</v>
      </c>
      <c r="E644" s="23">
        <f t="shared" si="39"/>
        <v>11.023802465255415</v>
      </c>
      <c r="F644" s="23">
        <f t="shared" si="40"/>
        <v>-11.023802465255415</v>
      </c>
    </row>
    <row r="645" spans="1:6" x14ac:dyDescent="0.3">
      <c r="A645" s="2">
        <v>43206</v>
      </c>
      <c r="B645" s="1">
        <v>43.954999999999998</v>
      </c>
      <c r="C645" s="1">
        <f>'Historical Simulation'!D645</f>
        <v>164.83</v>
      </c>
      <c r="D645" s="22">
        <f t="shared" si="38"/>
        <v>434.45817767062454</v>
      </c>
      <c r="E645" s="23">
        <f t="shared" si="39"/>
        <v>0.39364886587503634</v>
      </c>
      <c r="F645" s="23">
        <f t="shared" si="40"/>
        <v>-0.39364886587503634</v>
      </c>
    </row>
    <row r="646" spans="1:6" x14ac:dyDescent="0.3">
      <c r="A646" s="2">
        <v>43203</v>
      </c>
      <c r="B646" s="1">
        <v>43.682499999999997</v>
      </c>
      <c r="C646" s="1">
        <f>'Historical Simulation'!D646</f>
        <v>164.52</v>
      </c>
      <c r="D646" s="22">
        <f t="shared" ref="D646:D709" si="41">$M$16*B646+(1-$M$16)*C646</f>
        <v>434.0645288047495</v>
      </c>
      <c r="E646" s="23">
        <f t="shared" ref="E646:E709" si="42">D646-D647</f>
        <v>1.7708948027259339</v>
      </c>
      <c r="F646" s="23">
        <f t="shared" ref="F646:F709" si="43">-E646</f>
        <v>-1.7708948027259339</v>
      </c>
    </row>
    <row r="647" spans="1:6" x14ac:dyDescent="0.3">
      <c r="A647" s="2">
        <v>43202</v>
      </c>
      <c r="B647" s="1">
        <v>43.534999999999997</v>
      </c>
      <c r="C647" s="1">
        <f>'Historical Simulation'!D647</f>
        <v>163.87</v>
      </c>
      <c r="D647" s="22">
        <f t="shared" si="41"/>
        <v>432.29363400202357</v>
      </c>
      <c r="E647" s="23">
        <f t="shared" si="42"/>
        <v>-8.8630797170881692</v>
      </c>
      <c r="F647" s="23">
        <f t="shared" si="43"/>
        <v>8.8630797170881692</v>
      </c>
    </row>
    <row r="648" spans="1:6" x14ac:dyDescent="0.3">
      <c r="A648" s="2">
        <v>43201</v>
      </c>
      <c r="B648" s="1">
        <v>43.11</v>
      </c>
      <c r="C648" s="1">
        <f>'Historical Simulation'!D648</f>
        <v>166.32</v>
      </c>
      <c r="D648" s="22">
        <f t="shared" si="41"/>
        <v>441.15671371911174</v>
      </c>
      <c r="E648" s="23">
        <f t="shared" si="42"/>
        <v>4.5869184975941835</v>
      </c>
      <c r="F648" s="23">
        <f t="shared" si="43"/>
        <v>-4.5869184975941835</v>
      </c>
    </row>
    <row r="649" spans="1:6" x14ac:dyDescent="0.3">
      <c r="A649" s="2">
        <v>43200</v>
      </c>
      <c r="B649" s="1">
        <v>43.3125</v>
      </c>
      <c r="C649" s="1">
        <f>'Historical Simulation'!D649</f>
        <v>165.04</v>
      </c>
      <c r="D649" s="22">
        <f t="shared" si="41"/>
        <v>436.56979522151755</v>
      </c>
      <c r="E649" s="23">
        <f t="shared" si="42"/>
        <v>21.185315831244111</v>
      </c>
      <c r="F649" s="23">
        <f t="shared" si="43"/>
        <v>-21.185315831244111</v>
      </c>
    </row>
    <row r="650" spans="1:6" x14ac:dyDescent="0.3">
      <c r="A650" s="2">
        <v>43199</v>
      </c>
      <c r="B650" s="1">
        <v>42.512500000000003</v>
      </c>
      <c r="C650" s="1">
        <f>'Historical Simulation'!D650</f>
        <v>157.93</v>
      </c>
      <c r="D650" s="22">
        <f t="shared" si="41"/>
        <v>415.38447939027344</v>
      </c>
      <c r="E650" s="23">
        <f t="shared" si="42"/>
        <v>1.427073882292234</v>
      </c>
      <c r="F650" s="23">
        <f t="shared" si="43"/>
        <v>-1.427073882292234</v>
      </c>
    </row>
    <row r="651" spans="1:6" x14ac:dyDescent="0.3">
      <c r="A651" s="2">
        <v>43196</v>
      </c>
      <c r="B651" s="1">
        <v>42.094999999999999</v>
      </c>
      <c r="C651" s="1">
        <f>'Historical Simulation'!D651</f>
        <v>157.19999999999999</v>
      </c>
      <c r="D651" s="22">
        <f t="shared" si="41"/>
        <v>413.95740550798121</v>
      </c>
      <c r="E651" s="23">
        <f t="shared" si="42"/>
        <v>-4.4487086981517905</v>
      </c>
      <c r="F651" s="23">
        <f t="shared" si="43"/>
        <v>4.4487086981517905</v>
      </c>
    </row>
    <row r="652" spans="1:6" x14ac:dyDescent="0.3">
      <c r="A652" s="2">
        <v>43195</v>
      </c>
      <c r="B652" s="1">
        <v>43.2</v>
      </c>
      <c r="C652" s="1">
        <f>'Historical Simulation'!D652</f>
        <v>159.34</v>
      </c>
      <c r="D652" s="22">
        <f t="shared" si="41"/>
        <v>418.406114206133</v>
      </c>
      <c r="E652" s="23">
        <f t="shared" si="42"/>
        <v>13.034284098998512</v>
      </c>
      <c r="F652" s="23">
        <f t="shared" si="43"/>
        <v>-13.034284098998512</v>
      </c>
    </row>
    <row r="653" spans="1:6" x14ac:dyDescent="0.3">
      <c r="A653" s="2">
        <v>43194</v>
      </c>
      <c r="B653" s="1">
        <v>42.902500000000003</v>
      </c>
      <c r="C653" s="1">
        <f>'Historical Simulation'!D653</f>
        <v>155.1</v>
      </c>
      <c r="D653" s="22">
        <f t="shared" si="41"/>
        <v>405.37183010713449</v>
      </c>
      <c r="E653" s="23">
        <f t="shared" si="42"/>
        <v>-5.0586051083532197</v>
      </c>
      <c r="F653" s="23">
        <f t="shared" si="43"/>
        <v>5.0586051083532197</v>
      </c>
    </row>
    <row r="654" spans="1:6" x14ac:dyDescent="0.3">
      <c r="A654" s="2">
        <v>43193</v>
      </c>
      <c r="B654" s="1">
        <v>42.097499999999997</v>
      </c>
      <c r="C654" s="1">
        <f>'Historical Simulation'!D654</f>
        <v>156.11000000000001</v>
      </c>
      <c r="D654" s="22">
        <f t="shared" si="41"/>
        <v>410.43043521548771</v>
      </c>
      <c r="E654" s="23">
        <f t="shared" si="42"/>
        <v>1.3724611538256113</v>
      </c>
      <c r="F654" s="23">
        <f t="shared" si="43"/>
        <v>-1.3724611538256113</v>
      </c>
    </row>
    <row r="655" spans="1:6" x14ac:dyDescent="0.3">
      <c r="A655" s="2">
        <v>43192</v>
      </c>
      <c r="B655" s="1">
        <v>41.67</v>
      </c>
      <c r="C655" s="1">
        <f>'Historical Simulation'!D655</f>
        <v>155.38999999999999</v>
      </c>
      <c r="D655" s="22">
        <f t="shared" si="41"/>
        <v>409.05797406166209</v>
      </c>
      <c r="E655" s="23">
        <f t="shared" si="42"/>
        <v>-13.601375246257192</v>
      </c>
      <c r="F655" s="23">
        <f t="shared" si="43"/>
        <v>13.601375246257192</v>
      </c>
    </row>
    <row r="656" spans="1:6" x14ac:dyDescent="0.3">
      <c r="A656" s="2">
        <v>43189</v>
      </c>
      <c r="B656" s="1">
        <v>41.945</v>
      </c>
      <c r="C656" s="1">
        <f>'Historical Simulation'!D656</f>
        <v>159.79</v>
      </c>
      <c r="D656" s="22">
        <f t="shared" si="41"/>
        <v>422.65934930791929</v>
      </c>
      <c r="E656" s="23">
        <f t="shared" si="42"/>
        <v>0</v>
      </c>
      <c r="F656" s="23">
        <f t="shared" si="43"/>
        <v>0</v>
      </c>
    </row>
    <row r="657" spans="1:6" x14ac:dyDescent="0.3">
      <c r="A657" s="2">
        <v>43188</v>
      </c>
      <c r="B657" s="1">
        <v>41.945</v>
      </c>
      <c r="C657" s="1">
        <f>'Historical Simulation'!D657</f>
        <v>159.79</v>
      </c>
      <c r="D657" s="22">
        <f t="shared" si="41"/>
        <v>422.65934930791929</v>
      </c>
      <c r="E657" s="23">
        <f t="shared" si="42"/>
        <v>21.114145384161077</v>
      </c>
      <c r="F657" s="23">
        <f t="shared" si="43"/>
        <v>-21.114145384161077</v>
      </c>
    </row>
    <row r="658" spans="1:6" x14ac:dyDescent="0.3">
      <c r="A658" s="2">
        <v>43187</v>
      </c>
      <c r="B658" s="1">
        <v>41.62</v>
      </c>
      <c r="C658" s="1">
        <f>'Historical Simulation'!D658</f>
        <v>153.03</v>
      </c>
      <c r="D658" s="22">
        <f t="shared" si="41"/>
        <v>401.54520392375821</v>
      </c>
      <c r="E658" s="23">
        <f t="shared" si="42"/>
        <v>3.6540614397522404</v>
      </c>
      <c r="F658" s="23">
        <f t="shared" si="43"/>
        <v>-3.6540614397522404</v>
      </c>
    </row>
    <row r="659" spans="1:6" x14ac:dyDescent="0.3">
      <c r="A659" s="2">
        <v>43186</v>
      </c>
      <c r="B659" s="1">
        <v>42.085000000000001</v>
      </c>
      <c r="C659" s="1">
        <f>'Historical Simulation'!D659</f>
        <v>152.22</v>
      </c>
      <c r="D659" s="22">
        <f t="shared" si="41"/>
        <v>397.89114248400597</v>
      </c>
      <c r="E659" s="23">
        <f t="shared" si="42"/>
        <v>-22.857759720103331</v>
      </c>
      <c r="F659" s="23">
        <f t="shared" si="43"/>
        <v>22.857759720103331</v>
      </c>
    </row>
    <row r="660" spans="1:6" x14ac:dyDescent="0.3">
      <c r="A660" s="2">
        <v>43185</v>
      </c>
      <c r="B660" s="1">
        <v>43.192500000000003</v>
      </c>
      <c r="C660" s="1">
        <f>'Historical Simulation'!D660</f>
        <v>160.06</v>
      </c>
      <c r="D660" s="22">
        <f t="shared" si="41"/>
        <v>420.7489022041093</v>
      </c>
      <c r="E660" s="23">
        <f t="shared" si="42"/>
        <v>-2.2019443950437676</v>
      </c>
      <c r="F660" s="23">
        <f t="shared" si="43"/>
        <v>2.2019443950437676</v>
      </c>
    </row>
    <row r="661" spans="1:6" x14ac:dyDescent="0.3">
      <c r="A661" s="2">
        <v>43182</v>
      </c>
      <c r="B661" s="1">
        <v>41.234999999999999</v>
      </c>
      <c r="C661" s="1">
        <f>'Historical Simulation'!D661</f>
        <v>159.38999999999999</v>
      </c>
      <c r="D661" s="22">
        <f t="shared" si="41"/>
        <v>422.95084659915307</v>
      </c>
      <c r="E661" s="23">
        <f t="shared" si="42"/>
        <v>-15.588053224532814</v>
      </c>
      <c r="F661" s="23">
        <f t="shared" si="43"/>
        <v>15.588053224532814</v>
      </c>
    </row>
    <row r="662" spans="1:6" x14ac:dyDescent="0.3">
      <c r="A662" s="2">
        <v>43181</v>
      </c>
      <c r="B662" s="1">
        <v>42.212499999999999</v>
      </c>
      <c r="C662" s="1">
        <f>'Historical Simulation'!D662</f>
        <v>164.89</v>
      </c>
      <c r="D662" s="22">
        <f t="shared" si="41"/>
        <v>438.53889982368588</v>
      </c>
      <c r="E662" s="23">
        <f t="shared" si="42"/>
        <v>-13.188328868890039</v>
      </c>
      <c r="F662" s="23">
        <f t="shared" si="43"/>
        <v>13.188328868890039</v>
      </c>
    </row>
    <row r="663" spans="1:6" x14ac:dyDescent="0.3">
      <c r="A663" s="2">
        <v>43180</v>
      </c>
      <c r="B663" s="1">
        <v>42.817500000000003</v>
      </c>
      <c r="C663" s="1">
        <f>'Historical Simulation'!D663</f>
        <v>169.39</v>
      </c>
      <c r="D663" s="22">
        <f t="shared" si="41"/>
        <v>451.72722869257592</v>
      </c>
      <c r="E663" s="23">
        <f t="shared" si="42"/>
        <v>6.2198958150954127</v>
      </c>
      <c r="F663" s="23">
        <f t="shared" si="43"/>
        <v>-6.2198958150954127</v>
      </c>
    </row>
    <row r="664" spans="1:6" x14ac:dyDescent="0.3">
      <c r="A664" s="2">
        <v>43179</v>
      </c>
      <c r="B664" s="1">
        <v>43.81</v>
      </c>
      <c r="C664" s="1">
        <f>'Historical Simulation'!D664</f>
        <v>168.15</v>
      </c>
      <c r="D664" s="22">
        <f t="shared" si="41"/>
        <v>445.50733287748051</v>
      </c>
      <c r="E664" s="23">
        <f t="shared" si="42"/>
        <v>-14.213647080557507</v>
      </c>
      <c r="F664" s="23">
        <f t="shared" si="43"/>
        <v>14.213647080557507</v>
      </c>
    </row>
    <row r="665" spans="1:6" x14ac:dyDescent="0.3">
      <c r="A665" s="2">
        <v>43178</v>
      </c>
      <c r="B665" s="1">
        <v>43.825000000000003</v>
      </c>
      <c r="C665" s="1">
        <f>'Historical Simulation'!D665</f>
        <v>172.56</v>
      </c>
      <c r="D665" s="22">
        <f t="shared" si="41"/>
        <v>459.72097995803801</v>
      </c>
      <c r="E665" s="23">
        <f t="shared" si="42"/>
        <v>-38.963041616520343</v>
      </c>
      <c r="F665" s="23">
        <f t="shared" si="43"/>
        <v>38.963041616520343</v>
      </c>
    </row>
    <row r="666" spans="1:6" x14ac:dyDescent="0.3">
      <c r="A666" s="2">
        <v>43175</v>
      </c>
      <c r="B666" s="1">
        <v>44.505000000000003</v>
      </c>
      <c r="C666" s="1">
        <f>'Historical Simulation'!D666</f>
        <v>185.09</v>
      </c>
      <c r="D666" s="22">
        <f t="shared" si="41"/>
        <v>498.68402157455836</v>
      </c>
      <c r="E666" s="23">
        <f t="shared" si="42"/>
        <v>4.3250080373773017</v>
      </c>
      <c r="F666" s="23">
        <f t="shared" si="43"/>
        <v>-4.3250080373773017</v>
      </c>
    </row>
    <row r="667" spans="1:6" x14ac:dyDescent="0.3">
      <c r="A667" s="2">
        <v>43174</v>
      </c>
      <c r="B667" s="1">
        <v>44.662500000000001</v>
      </c>
      <c r="C667" s="1">
        <f>'Historical Simulation'!D667</f>
        <v>183.86</v>
      </c>
      <c r="D667" s="22">
        <f t="shared" si="41"/>
        <v>494.35901353718106</v>
      </c>
      <c r="E667" s="23">
        <f t="shared" si="42"/>
        <v>-1.1832184319255248</v>
      </c>
      <c r="F667" s="23">
        <f t="shared" si="43"/>
        <v>1.1832184319255248</v>
      </c>
    </row>
    <row r="668" spans="1:6" x14ac:dyDescent="0.3">
      <c r="A668" s="2">
        <v>43173</v>
      </c>
      <c r="B668" s="1">
        <v>44.61</v>
      </c>
      <c r="C668" s="1">
        <f>'Historical Simulation'!D668</f>
        <v>184.19</v>
      </c>
      <c r="D668" s="22">
        <f t="shared" si="41"/>
        <v>495.54223196910658</v>
      </c>
      <c r="E668" s="23">
        <f t="shared" si="42"/>
        <v>8.3159885698295852</v>
      </c>
      <c r="F668" s="23">
        <f t="shared" si="43"/>
        <v>-8.3159885698295852</v>
      </c>
    </row>
    <row r="669" spans="1:6" x14ac:dyDescent="0.3">
      <c r="A669" s="2">
        <v>43172</v>
      </c>
      <c r="B669" s="1">
        <v>44.9925</v>
      </c>
      <c r="C669" s="1">
        <f>'Historical Simulation'!D669</f>
        <v>181.88</v>
      </c>
      <c r="D669" s="22">
        <f t="shared" si="41"/>
        <v>487.226243399277</v>
      </c>
      <c r="E669" s="23">
        <f t="shared" si="42"/>
        <v>-8.3283294639958854</v>
      </c>
      <c r="F669" s="23">
        <f t="shared" si="43"/>
        <v>8.3283294639958854</v>
      </c>
    </row>
    <row r="670" spans="1:6" x14ac:dyDescent="0.3">
      <c r="A670" s="2">
        <v>43171</v>
      </c>
      <c r="B670" s="1">
        <v>45.43</v>
      </c>
      <c r="C670" s="1">
        <f>'Historical Simulation'!D670</f>
        <v>184.76</v>
      </c>
      <c r="D670" s="22">
        <f t="shared" si="41"/>
        <v>495.55457286327288</v>
      </c>
      <c r="E670" s="23">
        <f t="shared" si="42"/>
        <v>-2.4887259631181564</v>
      </c>
      <c r="F670" s="23">
        <f t="shared" si="43"/>
        <v>2.4887259631181564</v>
      </c>
    </row>
    <row r="671" spans="1:6" x14ac:dyDescent="0.3">
      <c r="A671" s="2">
        <v>43168</v>
      </c>
      <c r="B671" s="1">
        <v>44.994999999999997</v>
      </c>
      <c r="C671" s="1">
        <f>'Historical Simulation'!D671</f>
        <v>185.23</v>
      </c>
      <c r="D671" s="22">
        <f t="shared" si="41"/>
        <v>498.04329882639104</v>
      </c>
      <c r="E671" s="23">
        <f t="shared" si="42"/>
        <v>7.6412555817036036</v>
      </c>
      <c r="F671" s="23">
        <f t="shared" si="43"/>
        <v>-7.6412555817036036</v>
      </c>
    </row>
    <row r="672" spans="1:6" x14ac:dyDescent="0.3">
      <c r="A672" s="2">
        <v>43167</v>
      </c>
      <c r="B672" s="1">
        <v>44.234999999999999</v>
      </c>
      <c r="C672" s="1">
        <f>'Historical Simulation'!D672</f>
        <v>182.34</v>
      </c>
      <c r="D672" s="22">
        <f t="shared" si="41"/>
        <v>490.40204324468743</v>
      </c>
      <c r="E672" s="23">
        <f t="shared" si="42"/>
        <v>-5.4911007921115242</v>
      </c>
      <c r="F672" s="23">
        <f t="shared" si="43"/>
        <v>5.4911007921115242</v>
      </c>
    </row>
    <row r="673" spans="1:6" x14ac:dyDescent="0.3">
      <c r="A673" s="2">
        <v>43166</v>
      </c>
      <c r="B673" s="1">
        <v>43.7575</v>
      </c>
      <c r="C673" s="1">
        <f>'Historical Simulation'!D673</f>
        <v>183.71</v>
      </c>
      <c r="D673" s="22">
        <f t="shared" si="41"/>
        <v>495.89314403679896</v>
      </c>
      <c r="E673" s="23">
        <f t="shared" si="42"/>
        <v>13.610962077274166</v>
      </c>
      <c r="F673" s="23">
        <f t="shared" si="43"/>
        <v>-13.610962077274166</v>
      </c>
    </row>
    <row r="674" spans="1:6" x14ac:dyDescent="0.3">
      <c r="A674" s="2">
        <v>43165</v>
      </c>
      <c r="B674" s="1">
        <v>44.167499999999997</v>
      </c>
      <c r="C674" s="1">
        <f>'Historical Simulation'!D674</f>
        <v>179.78</v>
      </c>
      <c r="D674" s="22">
        <f t="shared" si="41"/>
        <v>482.28218195952479</v>
      </c>
      <c r="E674" s="23">
        <f t="shared" si="42"/>
        <v>-1.9193457165926588</v>
      </c>
      <c r="F674" s="23">
        <f t="shared" si="43"/>
        <v>1.9193457165926588</v>
      </c>
    </row>
    <row r="675" spans="1:6" x14ac:dyDescent="0.3">
      <c r="A675" s="2">
        <v>43164</v>
      </c>
      <c r="B675" s="1">
        <v>44.204999999999998</v>
      </c>
      <c r="C675" s="1">
        <f>'Historical Simulation'!D675</f>
        <v>180.4</v>
      </c>
      <c r="D675" s="22">
        <f t="shared" si="41"/>
        <v>484.20152767611745</v>
      </c>
      <c r="E675" s="23">
        <f t="shared" si="42"/>
        <v>11.87163362564786</v>
      </c>
      <c r="F675" s="23">
        <f t="shared" si="43"/>
        <v>-11.87163362564786</v>
      </c>
    </row>
    <row r="676" spans="1:6" x14ac:dyDescent="0.3">
      <c r="A676" s="2">
        <v>43161</v>
      </c>
      <c r="B676" s="1">
        <v>44.052500000000002</v>
      </c>
      <c r="C676" s="1">
        <f>'Historical Simulation'!D676</f>
        <v>176.62</v>
      </c>
      <c r="D676" s="22">
        <f t="shared" si="41"/>
        <v>472.32989405046959</v>
      </c>
      <c r="E676" s="23">
        <f t="shared" si="42"/>
        <v>1.5220652498090885</v>
      </c>
      <c r="F676" s="23">
        <f t="shared" si="43"/>
        <v>-1.5220652498090885</v>
      </c>
    </row>
    <row r="677" spans="1:6" x14ac:dyDescent="0.3">
      <c r="A677" s="2">
        <v>43160</v>
      </c>
      <c r="B677" s="1">
        <v>43.75</v>
      </c>
      <c r="C677" s="1">
        <f>'Historical Simulation'!D677</f>
        <v>175.94</v>
      </c>
      <c r="D677" s="22">
        <f t="shared" si="41"/>
        <v>470.8078288006605</v>
      </c>
      <c r="E677" s="23">
        <f t="shared" si="42"/>
        <v>-5.9490182773361653</v>
      </c>
      <c r="F677" s="23">
        <f t="shared" si="43"/>
        <v>5.9490182773361653</v>
      </c>
    </row>
    <row r="678" spans="1:6" x14ac:dyDescent="0.3">
      <c r="A678" s="2">
        <v>43159</v>
      </c>
      <c r="B678" s="1">
        <v>44.53</v>
      </c>
      <c r="C678" s="1">
        <f>'Historical Simulation'!D678</f>
        <v>178.32</v>
      </c>
      <c r="D678" s="22">
        <f t="shared" si="41"/>
        <v>476.75684707799667</v>
      </c>
      <c r="E678" s="23">
        <f t="shared" si="42"/>
        <v>-9.9936304106969374</v>
      </c>
      <c r="F678" s="23">
        <f t="shared" si="43"/>
        <v>9.9936304106969374</v>
      </c>
    </row>
    <row r="679" spans="1:6" x14ac:dyDescent="0.3">
      <c r="A679" s="2">
        <v>43158</v>
      </c>
      <c r="B679" s="1">
        <v>44.597499999999997</v>
      </c>
      <c r="C679" s="1">
        <f>'Historical Simulation'!D679</f>
        <v>181.46</v>
      </c>
      <c r="D679" s="22">
        <f t="shared" si="41"/>
        <v>486.7504774886936</v>
      </c>
      <c r="E679" s="23">
        <f t="shared" si="42"/>
        <v>-10.886866107589071</v>
      </c>
      <c r="F679" s="23">
        <f t="shared" si="43"/>
        <v>10.886866107589071</v>
      </c>
    </row>
    <row r="680" spans="1:6" x14ac:dyDescent="0.3">
      <c r="A680" s="2">
        <v>43157</v>
      </c>
      <c r="B680" s="1">
        <v>44.7425</v>
      </c>
      <c r="C680" s="1">
        <f>'Historical Simulation'!D680</f>
        <v>184.93</v>
      </c>
      <c r="D680" s="22">
        <f t="shared" si="41"/>
        <v>497.63734359628268</v>
      </c>
      <c r="E680" s="23">
        <f t="shared" si="42"/>
        <v>3.3631666370264384</v>
      </c>
      <c r="F680" s="23">
        <f t="shared" si="43"/>
        <v>-3.3631666370264384</v>
      </c>
    </row>
    <row r="681" spans="1:6" x14ac:dyDescent="0.3">
      <c r="A681" s="2">
        <v>43154</v>
      </c>
      <c r="B681" s="1">
        <v>43.875</v>
      </c>
      <c r="C681" s="1">
        <f>'Historical Simulation'!D681</f>
        <v>183.29</v>
      </c>
      <c r="D681" s="22">
        <f t="shared" si="41"/>
        <v>494.27417695925624</v>
      </c>
      <c r="E681" s="23">
        <f t="shared" si="42"/>
        <v>12.21875930283926</v>
      </c>
      <c r="F681" s="23">
        <f t="shared" si="43"/>
        <v>-12.21875930283926</v>
      </c>
    </row>
    <row r="682" spans="1:6" x14ac:dyDescent="0.3">
      <c r="A682" s="2">
        <v>43153</v>
      </c>
      <c r="B682" s="1">
        <v>43.125</v>
      </c>
      <c r="C682" s="1">
        <f>'Historical Simulation'!D682</f>
        <v>178.99</v>
      </c>
      <c r="D682" s="22">
        <f t="shared" si="41"/>
        <v>482.05541765641698</v>
      </c>
      <c r="E682" s="23">
        <f t="shared" si="42"/>
        <v>2.6916348158596293</v>
      </c>
      <c r="F682" s="23">
        <f t="shared" si="43"/>
        <v>-2.6916348158596293</v>
      </c>
    </row>
    <row r="683" spans="1:6" x14ac:dyDescent="0.3">
      <c r="A683" s="2">
        <v>43152</v>
      </c>
      <c r="B683" s="1">
        <v>42.767499999999998</v>
      </c>
      <c r="C683" s="1">
        <f>'Historical Simulation'!D683</f>
        <v>177.91</v>
      </c>
      <c r="D683" s="22">
        <f t="shared" si="41"/>
        <v>479.36378284055735</v>
      </c>
      <c r="E683" s="23">
        <f t="shared" si="42"/>
        <v>6.5731833068870742</v>
      </c>
      <c r="F683" s="23">
        <f t="shared" si="43"/>
        <v>-6.5731833068870742</v>
      </c>
    </row>
    <row r="684" spans="1:6" x14ac:dyDescent="0.3">
      <c r="A684" s="2">
        <v>43151</v>
      </c>
      <c r="B684" s="1">
        <v>42.962499999999999</v>
      </c>
      <c r="C684" s="1">
        <f>'Historical Simulation'!D684</f>
        <v>176.01</v>
      </c>
      <c r="D684" s="22">
        <f t="shared" si="41"/>
        <v>472.79059953367027</v>
      </c>
      <c r="E684" s="23">
        <f t="shared" si="42"/>
        <v>-4.037916890118936</v>
      </c>
      <c r="F684" s="23">
        <f t="shared" si="43"/>
        <v>4.037916890118936</v>
      </c>
    </row>
    <row r="685" spans="1:6" x14ac:dyDescent="0.3">
      <c r="A685" s="2">
        <v>43150</v>
      </c>
      <c r="B685" s="1">
        <v>43.107500000000002</v>
      </c>
      <c r="C685" s="1">
        <f>'Historical Simulation'!D685</f>
        <v>177.36</v>
      </c>
      <c r="D685" s="22">
        <f t="shared" si="41"/>
        <v>476.82851642378921</v>
      </c>
      <c r="E685" s="23">
        <f t="shared" si="42"/>
        <v>0</v>
      </c>
      <c r="F685" s="23">
        <f t="shared" si="43"/>
        <v>0</v>
      </c>
    </row>
    <row r="686" spans="1:6" x14ac:dyDescent="0.3">
      <c r="A686" s="2">
        <v>43147</v>
      </c>
      <c r="B686" s="1">
        <v>43.107500000000002</v>
      </c>
      <c r="C686" s="1">
        <f>'Historical Simulation'!D686</f>
        <v>177.36</v>
      </c>
      <c r="D686" s="22">
        <f t="shared" si="41"/>
        <v>476.82851642378921</v>
      </c>
      <c r="E686" s="23">
        <f t="shared" si="42"/>
        <v>-8.0873656014041444</v>
      </c>
      <c r="F686" s="23">
        <f t="shared" si="43"/>
        <v>8.0873656014041444</v>
      </c>
    </row>
    <row r="687" spans="1:6" x14ac:dyDescent="0.3">
      <c r="A687" s="2">
        <v>43146</v>
      </c>
      <c r="B687" s="1">
        <v>43.247500000000002</v>
      </c>
      <c r="C687" s="1">
        <f>'Historical Simulation'!D687</f>
        <v>179.96</v>
      </c>
      <c r="D687" s="22">
        <f t="shared" si="41"/>
        <v>484.91588202519335</v>
      </c>
      <c r="E687" s="23">
        <f t="shared" si="42"/>
        <v>-1.712564148518311</v>
      </c>
      <c r="F687" s="23">
        <f t="shared" si="43"/>
        <v>1.712564148518311</v>
      </c>
    </row>
    <row r="688" spans="1:6" x14ac:dyDescent="0.3">
      <c r="A688" s="2">
        <v>43145</v>
      </c>
      <c r="B688" s="1">
        <v>41.842500000000001</v>
      </c>
      <c r="C688" s="1">
        <f>'Historical Simulation'!D688</f>
        <v>179.52</v>
      </c>
      <c r="D688" s="22">
        <f t="shared" si="41"/>
        <v>486.62844617371167</v>
      </c>
      <c r="E688" s="23">
        <f t="shared" si="42"/>
        <v>18.889446925967945</v>
      </c>
      <c r="F688" s="23">
        <f t="shared" si="43"/>
        <v>-18.889446925967945</v>
      </c>
    </row>
    <row r="689" spans="1:6" x14ac:dyDescent="0.3">
      <c r="A689" s="2">
        <v>43144</v>
      </c>
      <c r="B689" s="1">
        <v>41.085000000000001</v>
      </c>
      <c r="C689" s="1">
        <f>'Historical Simulation'!D689</f>
        <v>173.15</v>
      </c>
      <c r="D689" s="22">
        <f t="shared" si="41"/>
        <v>467.73899924774372</v>
      </c>
      <c r="E689" s="23">
        <f t="shared" si="42"/>
        <v>-11.440859082581255</v>
      </c>
      <c r="F689" s="23">
        <f t="shared" si="43"/>
        <v>11.440859082581255</v>
      </c>
    </row>
    <row r="690" spans="1:6" x14ac:dyDescent="0.3">
      <c r="A690" s="2">
        <v>43143</v>
      </c>
      <c r="B690" s="1">
        <v>40.677500000000002</v>
      </c>
      <c r="C690" s="1">
        <f>'Historical Simulation'!D690</f>
        <v>176.41</v>
      </c>
      <c r="D690" s="22">
        <f t="shared" si="41"/>
        <v>479.17985833032498</v>
      </c>
      <c r="E690" s="23">
        <f t="shared" si="42"/>
        <v>-2.5440614397522836</v>
      </c>
      <c r="F690" s="23">
        <f t="shared" si="43"/>
        <v>2.5440614397522836</v>
      </c>
    </row>
    <row r="691" spans="1:6" x14ac:dyDescent="0.3">
      <c r="A691" s="2">
        <v>43140</v>
      </c>
      <c r="B691" s="1">
        <v>39.102499999999999</v>
      </c>
      <c r="C691" s="1">
        <f>'Historical Simulation'!D691</f>
        <v>176.11</v>
      </c>
      <c r="D691" s="22">
        <f t="shared" si="41"/>
        <v>481.72391977007726</v>
      </c>
      <c r="E691" s="23">
        <f t="shared" si="42"/>
        <v>13.932132524357257</v>
      </c>
      <c r="F691" s="23">
        <f t="shared" si="43"/>
        <v>-13.932132524357257</v>
      </c>
    </row>
    <row r="692" spans="1:6" x14ac:dyDescent="0.3">
      <c r="A692" s="2">
        <v>43139</v>
      </c>
      <c r="B692" s="1">
        <v>38.787500000000001</v>
      </c>
      <c r="C692" s="1">
        <f>'Historical Simulation'!D692</f>
        <v>171.58</v>
      </c>
      <c r="D692" s="22">
        <f t="shared" si="41"/>
        <v>467.79178724572</v>
      </c>
      <c r="E692" s="23">
        <f t="shared" si="42"/>
        <v>-25.335349766071204</v>
      </c>
      <c r="F692" s="23">
        <f t="shared" si="43"/>
        <v>25.335349766071204</v>
      </c>
    </row>
    <row r="693" spans="1:6" x14ac:dyDescent="0.3">
      <c r="A693" s="2">
        <v>43138</v>
      </c>
      <c r="B693" s="1">
        <v>39.884999999999998</v>
      </c>
      <c r="C693" s="1">
        <f>'Historical Simulation'!D693</f>
        <v>180.18</v>
      </c>
      <c r="D693" s="22">
        <f t="shared" si="41"/>
        <v>493.12713701179121</v>
      </c>
      <c r="E693" s="23">
        <f t="shared" si="42"/>
        <v>-14.626934572348887</v>
      </c>
      <c r="F693" s="23">
        <f t="shared" si="43"/>
        <v>14.626934572348887</v>
      </c>
    </row>
    <row r="694" spans="1:6" x14ac:dyDescent="0.3">
      <c r="A694" s="2">
        <v>43137</v>
      </c>
      <c r="B694" s="1">
        <v>40.7575</v>
      </c>
      <c r="C694" s="1">
        <f>'Historical Simulation'!D694</f>
        <v>185.31</v>
      </c>
      <c r="D694" s="22">
        <f t="shared" si="41"/>
        <v>507.75407158414009</v>
      </c>
      <c r="E694" s="23">
        <f t="shared" si="42"/>
        <v>9.4369869623541263</v>
      </c>
      <c r="F694" s="23">
        <f t="shared" si="43"/>
        <v>-9.4369869623541263</v>
      </c>
    </row>
    <row r="695" spans="1:6" x14ac:dyDescent="0.3">
      <c r="A695" s="2">
        <v>43136</v>
      </c>
      <c r="B695" s="1">
        <v>39.122500000000002</v>
      </c>
      <c r="C695" s="1">
        <f>'Historical Simulation'!D695</f>
        <v>181.26</v>
      </c>
      <c r="D695" s="22">
        <f t="shared" si="41"/>
        <v>498.31708462178597</v>
      </c>
      <c r="E695" s="23">
        <f t="shared" si="42"/>
        <v>-26.904127524088835</v>
      </c>
      <c r="F695" s="23">
        <f t="shared" si="43"/>
        <v>26.904127524088835</v>
      </c>
    </row>
    <row r="696" spans="1:6" x14ac:dyDescent="0.3">
      <c r="A696" s="2">
        <v>43133</v>
      </c>
      <c r="B696" s="1">
        <v>40.125</v>
      </c>
      <c r="C696" s="1">
        <f>'Historical Simulation'!D696</f>
        <v>190.28</v>
      </c>
      <c r="D696" s="22">
        <f t="shared" si="41"/>
        <v>525.2212121458748</v>
      </c>
      <c r="E696" s="23">
        <f t="shared" si="42"/>
        <v>-5.0183300591016859</v>
      </c>
      <c r="F696" s="23">
        <f t="shared" si="43"/>
        <v>5.0183300591016859</v>
      </c>
    </row>
    <row r="697" spans="1:6" x14ac:dyDescent="0.3">
      <c r="A697" s="2">
        <v>43132</v>
      </c>
      <c r="B697" s="1">
        <v>41.945</v>
      </c>
      <c r="C697" s="1">
        <f>'Historical Simulation'!D697</f>
        <v>193.09</v>
      </c>
      <c r="D697" s="22">
        <f t="shared" si="41"/>
        <v>530.23954220497649</v>
      </c>
      <c r="E697" s="23">
        <f t="shared" si="42"/>
        <v>19.834765137635543</v>
      </c>
      <c r="F697" s="23">
        <f t="shared" si="43"/>
        <v>-19.834765137635543</v>
      </c>
    </row>
    <row r="698" spans="1:6" x14ac:dyDescent="0.3">
      <c r="A698" s="2">
        <v>43131</v>
      </c>
      <c r="B698" s="1">
        <v>41.857500000000002</v>
      </c>
      <c r="C698" s="1">
        <f>'Historical Simulation'!D698</f>
        <v>186.89</v>
      </c>
      <c r="D698" s="22">
        <f t="shared" si="41"/>
        <v>510.40477706734094</v>
      </c>
      <c r="E698" s="23">
        <f t="shared" si="42"/>
        <v>-0.99956956605069536</v>
      </c>
      <c r="F698" s="23">
        <f t="shared" si="43"/>
        <v>0.99956956605069536</v>
      </c>
    </row>
    <row r="699" spans="1:6" x14ac:dyDescent="0.3">
      <c r="A699" s="2">
        <v>43130</v>
      </c>
      <c r="B699" s="1">
        <v>41.7425</v>
      </c>
      <c r="C699" s="1">
        <f>'Historical Simulation'!D699</f>
        <v>187.12</v>
      </c>
      <c r="D699" s="22">
        <f t="shared" si="41"/>
        <v>511.40434663339164</v>
      </c>
      <c r="E699" s="23">
        <f t="shared" si="42"/>
        <v>4.235008037377554</v>
      </c>
      <c r="F699" s="23">
        <f t="shared" si="43"/>
        <v>-4.235008037377554</v>
      </c>
    </row>
    <row r="700" spans="1:6" x14ac:dyDescent="0.3">
      <c r="A700" s="2">
        <v>43129</v>
      </c>
      <c r="B700" s="1">
        <v>41.99</v>
      </c>
      <c r="C700" s="1">
        <f>'Historical Simulation'!D700</f>
        <v>185.98</v>
      </c>
      <c r="D700" s="22">
        <f t="shared" si="41"/>
        <v>507.16933859601409</v>
      </c>
      <c r="E700" s="23">
        <f t="shared" si="42"/>
        <v>-11.007468596097169</v>
      </c>
      <c r="F700" s="23">
        <f t="shared" si="43"/>
        <v>11.007468596097169</v>
      </c>
    </row>
    <row r="701" spans="1:6" x14ac:dyDescent="0.3">
      <c r="A701" s="2">
        <v>43126</v>
      </c>
      <c r="B701" s="1">
        <v>42.877499999999998</v>
      </c>
      <c r="C701" s="1">
        <f>'Historical Simulation'!D701</f>
        <v>190</v>
      </c>
      <c r="D701" s="22">
        <f t="shared" si="41"/>
        <v>518.17680719211126</v>
      </c>
      <c r="E701" s="23">
        <f t="shared" si="42"/>
        <v>7.9181401444708968</v>
      </c>
      <c r="F701" s="23">
        <f t="shared" si="43"/>
        <v>-7.9181401444708968</v>
      </c>
    </row>
    <row r="702" spans="1:6" x14ac:dyDescent="0.3">
      <c r="A702" s="2">
        <v>43125</v>
      </c>
      <c r="B702" s="1">
        <v>42.777500000000003</v>
      </c>
      <c r="C702" s="1">
        <f>'Historical Simulation'!D702</f>
        <v>187.48</v>
      </c>
      <c r="D702" s="22">
        <f t="shared" si="41"/>
        <v>510.25866704764036</v>
      </c>
      <c r="E702" s="23">
        <f t="shared" si="42"/>
        <v>4.7388116928445356</v>
      </c>
      <c r="F702" s="23">
        <f t="shared" si="43"/>
        <v>-4.7388116928445356</v>
      </c>
    </row>
    <row r="703" spans="1:6" x14ac:dyDescent="0.3">
      <c r="A703" s="2">
        <v>43124</v>
      </c>
      <c r="B703" s="1">
        <v>43.555</v>
      </c>
      <c r="C703" s="1">
        <f>'Historical Simulation'!D703</f>
        <v>186.55</v>
      </c>
      <c r="D703" s="22">
        <f t="shared" si="41"/>
        <v>505.51985535479582</v>
      </c>
      <c r="E703" s="23">
        <f t="shared" si="42"/>
        <v>-7.4731833068869946</v>
      </c>
      <c r="F703" s="23">
        <f t="shared" si="43"/>
        <v>7.4731833068869946</v>
      </c>
    </row>
    <row r="704" spans="1:6" x14ac:dyDescent="0.3">
      <c r="A704" s="2">
        <v>43123</v>
      </c>
      <c r="B704" s="1">
        <v>44.26</v>
      </c>
      <c r="C704" s="1">
        <f>'Historical Simulation'!D704</f>
        <v>189.35</v>
      </c>
      <c r="D704" s="22">
        <f t="shared" si="41"/>
        <v>512.99303866168282</v>
      </c>
      <c r="E704" s="23">
        <f t="shared" si="42"/>
        <v>12.835626600640182</v>
      </c>
      <c r="F704" s="23">
        <f t="shared" si="43"/>
        <v>-12.835626600640182</v>
      </c>
    </row>
    <row r="705" spans="1:6" x14ac:dyDescent="0.3">
      <c r="A705" s="2">
        <v>43122</v>
      </c>
      <c r="B705" s="1">
        <v>44.25</v>
      </c>
      <c r="C705" s="1">
        <f>'Historical Simulation'!D705</f>
        <v>185.37</v>
      </c>
      <c r="D705" s="22">
        <f t="shared" si="41"/>
        <v>500.15741206104263</v>
      </c>
      <c r="E705" s="23">
        <f t="shared" si="42"/>
        <v>13.99517890172433</v>
      </c>
      <c r="F705" s="23">
        <f t="shared" si="43"/>
        <v>-13.99517890172433</v>
      </c>
    </row>
    <row r="706" spans="1:6" x14ac:dyDescent="0.3">
      <c r="A706" s="2">
        <v>43119</v>
      </c>
      <c r="B706" s="1">
        <v>44.615000000000002</v>
      </c>
      <c r="C706" s="1">
        <f>'Historical Simulation'!D706</f>
        <v>181.29</v>
      </c>
      <c r="D706" s="22">
        <f t="shared" si="41"/>
        <v>486.1622331593183</v>
      </c>
      <c r="E706" s="23">
        <f t="shared" si="42"/>
        <v>5.2597755554362493</v>
      </c>
      <c r="F706" s="23">
        <f t="shared" si="43"/>
        <v>-5.2597755554362493</v>
      </c>
    </row>
    <row r="707" spans="1:6" x14ac:dyDescent="0.3">
      <c r="A707" s="2">
        <v>43118</v>
      </c>
      <c r="B707" s="1">
        <v>44.814999999999998</v>
      </c>
      <c r="C707" s="1">
        <f>'Historical Simulation'!D707</f>
        <v>179.8</v>
      </c>
      <c r="D707" s="22">
        <f t="shared" si="41"/>
        <v>480.90245760388206</v>
      </c>
      <c r="E707" s="23">
        <f t="shared" si="42"/>
        <v>7.0181746744037241</v>
      </c>
      <c r="F707" s="23">
        <f t="shared" si="43"/>
        <v>-7.0181746744037241</v>
      </c>
    </row>
    <row r="708" spans="1:6" x14ac:dyDescent="0.3">
      <c r="A708" s="2">
        <v>43117</v>
      </c>
      <c r="B708" s="1">
        <v>44.774999999999999</v>
      </c>
      <c r="C708" s="1">
        <f>'Historical Simulation'!D708</f>
        <v>177.6</v>
      </c>
      <c r="D708" s="22">
        <f t="shared" si="41"/>
        <v>473.88428292947833</v>
      </c>
      <c r="E708" s="23">
        <f t="shared" si="42"/>
        <v>-4.1749907724109221</v>
      </c>
      <c r="F708" s="23">
        <f t="shared" si="43"/>
        <v>4.1749907724109221</v>
      </c>
    </row>
    <row r="709" spans="1:6" x14ac:dyDescent="0.3">
      <c r="A709" s="2">
        <v>43116</v>
      </c>
      <c r="B709" s="1">
        <v>44.047499999999999</v>
      </c>
      <c r="C709" s="1">
        <f>'Historical Simulation'!D709</f>
        <v>178.39</v>
      </c>
      <c r="D709" s="22">
        <f t="shared" si="41"/>
        <v>478.05927370188925</v>
      </c>
      <c r="E709" s="23">
        <f t="shared" si="42"/>
        <v>-2.6641304996180111</v>
      </c>
      <c r="F709" s="23">
        <f t="shared" si="43"/>
        <v>2.6641304996180111</v>
      </c>
    </row>
    <row r="710" spans="1:6" x14ac:dyDescent="0.3">
      <c r="A710" s="2">
        <v>43115</v>
      </c>
      <c r="B710" s="1">
        <v>44.272500000000001</v>
      </c>
      <c r="C710" s="1">
        <f>'Historical Simulation'!D710</f>
        <v>179.37</v>
      </c>
      <c r="D710" s="22">
        <f t="shared" ref="D710:D773" si="44">$M$16*B710+(1-$M$16)*C710</f>
        <v>480.72340420150726</v>
      </c>
      <c r="E710" s="23">
        <f t="shared" ref="E710:E773" si="45">D710-D711</f>
        <v>0</v>
      </c>
      <c r="F710" s="23">
        <f t="shared" ref="F710:F773" si="46">-E710</f>
        <v>0</v>
      </c>
    </row>
    <row r="711" spans="1:6" x14ac:dyDescent="0.3">
      <c r="A711" s="2">
        <v>43112</v>
      </c>
      <c r="B711" s="1">
        <v>44.272500000000001</v>
      </c>
      <c r="C711" s="1">
        <f>'Historical Simulation'!D711</f>
        <v>179.37</v>
      </c>
      <c r="D711" s="22">
        <f t="shared" si="44"/>
        <v>480.72340420150726</v>
      </c>
      <c r="E711" s="23">
        <f t="shared" si="45"/>
        <v>-28.146708937573521</v>
      </c>
      <c r="F711" s="23">
        <f t="shared" si="46"/>
        <v>28.146708937573521</v>
      </c>
    </row>
    <row r="712" spans="1:6" x14ac:dyDescent="0.3">
      <c r="A712" s="2">
        <v>43111</v>
      </c>
      <c r="B712" s="1">
        <v>43.82</v>
      </c>
      <c r="C712" s="1">
        <f>'Historical Simulation'!D712</f>
        <v>187.77</v>
      </c>
      <c r="D712" s="22">
        <f t="shared" si="44"/>
        <v>508.87011313908079</v>
      </c>
      <c r="E712" s="23">
        <f t="shared" si="45"/>
        <v>-0.77822706440883849</v>
      </c>
      <c r="F712" s="23">
        <f t="shared" si="46"/>
        <v>0.77822706440883849</v>
      </c>
    </row>
    <row r="713" spans="1:6" x14ac:dyDescent="0.3">
      <c r="A713" s="2">
        <v>43110</v>
      </c>
      <c r="B713" s="1">
        <v>43.572499999999998</v>
      </c>
      <c r="C713" s="1">
        <f>'Historical Simulation'!D713</f>
        <v>187.84</v>
      </c>
      <c r="D713" s="22">
        <f t="shared" si="44"/>
        <v>509.64834020348962</v>
      </c>
      <c r="E713" s="23">
        <f t="shared" si="45"/>
        <v>-7.4612728466775025E-2</v>
      </c>
      <c r="F713" s="23">
        <f t="shared" si="46"/>
        <v>7.4612728466775025E-2</v>
      </c>
    </row>
    <row r="714" spans="1:6" x14ac:dyDescent="0.3">
      <c r="A714" s="2">
        <v>43109</v>
      </c>
      <c r="B714" s="1">
        <v>43.582500000000003</v>
      </c>
      <c r="C714" s="1">
        <f>'Historical Simulation'!D714</f>
        <v>187.87</v>
      </c>
      <c r="D714" s="22">
        <f t="shared" si="44"/>
        <v>509.7229529319564</v>
      </c>
      <c r="E714" s="23">
        <f t="shared" si="45"/>
        <v>-1.3134077514506544</v>
      </c>
      <c r="F714" s="23">
        <f t="shared" si="46"/>
        <v>1.3134077514506544</v>
      </c>
    </row>
    <row r="715" spans="1:6" x14ac:dyDescent="0.3">
      <c r="A715" s="2">
        <v>43108</v>
      </c>
      <c r="B715" s="1">
        <v>43.587499999999999</v>
      </c>
      <c r="C715" s="1">
        <f>'Historical Simulation'!D715</f>
        <v>188.28</v>
      </c>
      <c r="D715" s="22">
        <f t="shared" si="44"/>
        <v>511.03636068340705</v>
      </c>
      <c r="E715" s="23">
        <f t="shared" si="45"/>
        <v>4.9822885041611471</v>
      </c>
      <c r="F715" s="23">
        <f t="shared" si="46"/>
        <v>-4.9822885041611471</v>
      </c>
    </row>
    <row r="716" spans="1:6" x14ac:dyDescent="0.3">
      <c r="A716" s="2">
        <v>43105</v>
      </c>
      <c r="B716" s="1">
        <v>43.75</v>
      </c>
      <c r="C716" s="1">
        <f>'Historical Simulation'!D716</f>
        <v>186.85</v>
      </c>
      <c r="D716" s="22">
        <f t="shared" si="44"/>
        <v>506.05407217924591</v>
      </c>
      <c r="E716" s="23">
        <f t="shared" si="45"/>
        <v>7.0426153483116991</v>
      </c>
      <c r="F716" s="23">
        <f t="shared" si="46"/>
        <v>-7.0426153483116991</v>
      </c>
    </row>
    <row r="717" spans="1:6" x14ac:dyDescent="0.3">
      <c r="A717" s="2">
        <v>43104</v>
      </c>
      <c r="B717" s="1">
        <v>43.2575</v>
      </c>
      <c r="C717" s="1">
        <f>'Historical Simulation'!D717</f>
        <v>184.33</v>
      </c>
      <c r="D717" s="22">
        <f t="shared" si="44"/>
        <v>499.01145683093421</v>
      </c>
      <c r="E717" s="23">
        <f t="shared" si="45"/>
        <v>-1.5445436686007952</v>
      </c>
      <c r="F717" s="23">
        <f t="shared" si="46"/>
        <v>1.5445436686007952</v>
      </c>
    </row>
    <row r="718" spans="1:6" x14ac:dyDescent="0.3">
      <c r="A718" s="2">
        <v>43103</v>
      </c>
      <c r="B718" s="1">
        <v>43.057499999999997</v>
      </c>
      <c r="C718" s="1">
        <f>'Historical Simulation'!D718</f>
        <v>184.67</v>
      </c>
      <c r="D718" s="22">
        <f t="shared" si="44"/>
        <v>500.556000499535</v>
      </c>
      <c r="E718" s="23">
        <f t="shared" si="45"/>
        <v>10.516298149013835</v>
      </c>
      <c r="F718" s="23">
        <f t="shared" si="46"/>
        <v>-10.516298149013835</v>
      </c>
    </row>
    <row r="719" spans="1:6" x14ac:dyDescent="0.3">
      <c r="A719" s="2">
        <v>43102</v>
      </c>
      <c r="B719" s="1">
        <v>43.064999999999998</v>
      </c>
      <c r="C719" s="1">
        <f>'Historical Simulation'!D719</f>
        <v>181.42</v>
      </c>
      <c r="D719" s="22">
        <f t="shared" si="44"/>
        <v>490.03970235052117</v>
      </c>
      <c r="E719" s="23">
        <f t="shared" si="45"/>
        <v>14.334249569065491</v>
      </c>
      <c r="F719" s="23">
        <f t="shared" si="46"/>
        <v>-14.334249569065491</v>
      </c>
    </row>
    <row r="720" spans="1:6" x14ac:dyDescent="0.3">
      <c r="A720" s="2">
        <v>43101</v>
      </c>
      <c r="B720" s="1">
        <v>42.307499999999997</v>
      </c>
      <c r="C720" s="1">
        <f>'Historical Simulation'!D720</f>
        <v>176.46</v>
      </c>
      <c r="D720" s="22">
        <f t="shared" si="44"/>
        <v>475.70545278145568</v>
      </c>
      <c r="E720" s="23">
        <f t="shared" si="45"/>
        <v>0</v>
      </c>
      <c r="F720" s="23">
        <f t="shared" si="46"/>
        <v>0</v>
      </c>
    </row>
    <row r="721" spans="1:6" x14ac:dyDescent="0.3">
      <c r="A721" s="2">
        <v>43098</v>
      </c>
      <c r="B721" s="1">
        <v>42.307499999999997</v>
      </c>
      <c r="C721" s="1">
        <f>'Historical Simulation'!D721</f>
        <v>176.46</v>
      </c>
      <c r="D721" s="22">
        <f t="shared" si="44"/>
        <v>475.70545278145568</v>
      </c>
      <c r="E721" s="23">
        <f t="shared" si="45"/>
        <v>-3.6850598322765791</v>
      </c>
      <c r="F721" s="23">
        <f t="shared" si="46"/>
        <v>3.6850598322765791</v>
      </c>
    </row>
    <row r="722" spans="1:6" x14ac:dyDescent="0.3">
      <c r="A722" s="2">
        <v>43097</v>
      </c>
      <c r="B722" s="1">
        <v>42.77</v>
      </c>
      <c r="C722" s="1">
        <f>'Historical Simulation'!D722</f>
        <v>177.92</v>
      </c>
      <c r="D722" s="22">
        <f t="shared" si="44"/>
        <v>479.39051261373226</v>
      </c>
      <c r="E722" s="23">
        <f t="shared" si="45"/>
        <v>0.70151455620026582</v>
      </c>
      <c r="F722" s="23">
        <f t="shared" si="46"/>
        <v>-0.70151455620026582</v>
      </c>
    </row>
    <row r="723" spans="1:6" x14ac:dyDescent="0.3">
      <c r="A723" s="2">
        <v>43096</v>
      </c>
      <c r="B723" s="1">
        <v>42.65</v>
      </c>
      <c r="C723" s="1">
        <f>'Historical Simulation'!D723</f>
        <v>177.62</v>
      </c>
      <c r="D723" s="22">
        <f t="shared" si="44"/>
        <v>478.68899805753199</v>
      </c>
      <c r="E723" s="23">
        <f t="shared" si="45"/>
        <v>5.2492075968610834</v>
      </c>
      <c r="F723" s="23">
        <f t="shared" si="46"/>
        <v>-5.2492075968610834</v>
      </c>
    </row>
    <row r="724" spans="1:6" x14ac:dyDescent="0.3">
      <c r="A724" s="2">
        <v>43095</v>
      </c>
      <c r="B724" s="1">
        <v>42.642499999999998</v>
      </c>
      <c r="C724" s="1">
        <f>'Historical Simulation'!D724</f>
        <v>175.99</v>
      </c>
      <c r="D724" s="22">
        <f t="shared" si="44"/>
        <v>473.43979046067091</v>
      </c>
      <c r="E724" s="23">
        <f t="shared" si="45"/>
        <v>-1.4330636423335363</v>
      </c>
      <c r="F724" s="23">
        <f t="shared" si="46"/>
        <v>1.4330636423335363</v>
      </c>
    </row>
    <row r="725" spans="1:6" x14ac:dyDescent="0.3">
      <c r="A725" s="2">
        <v>43094</v>
      </c>
      <c r="B725" s="1">
        <v>43.752499999999998</v>
      </c>
      <c r="C725" s="1">
        <f>'Historical Simulation'!D725</f>
        <v>177.2</v>
      </c>
      <c r="D725" s="22">
        <f t="shared" si="44"/>
        <v>474.87285410300444</v>
      </c>
      <c r="E725" s="23">
        <f t="shared" si="45"/>
        <v>0</v>
      </c>
      <c r="F725" s="23">
        <f t="shared" si="46"/>
        <v>0</v>
      </c>
    </row>
    <row r="726" spans="1:6" x14ac:dyDescent="0.3">
      <c r="A726" s="2">
        <v>43091</v>
      </c>
      <c r="B726" s="1">
        <v>43.752499999999998</v>
      </c>
      <c r="C726" s="1">
        <f>'Historical Simulation'!D726</f>
        <v>177.2</v>
      </c>
      <c r="D726" s="22">
        <f t="shared" si="44"/>
        <v>474.87285410300444</v>
      </c>
      <c r="E726" s="23">
        <f t="shared" si="45"/>
        <v>-0.80765910583374989</v>
      </c>
      <c r="F726" s="23">
        <f t="shared" si="46"/>
        <v>0.80765910583374989</v>
      </c>
    </row>
    <row r="727" spans="1:6" x14ac:dyDescent="0.3">
      <c r="A727" s="2">
        <v>43090</v>
      </c>
      <c r="B727" s="1">
        <v>43.752499999999998</v>
      </c>
      <c r="C727" s="1">
        <f>'Historical Simulation'!D727</f>
        <v>177.45</v>
      </c>
      <c r="D727" s="22">
        <f t="shared" si="44"/>
        <v>475.68051320883819</v>
      </c>
      <c r="E727" s="23">
        <f t="shared" si="45"/>
        <v>-1.7895350361176838</v>
      </c>
      <c r="F727" s="23">
        <f t="shared" si="46"/>
        <v>1.7895350361176838</v>
      </c>
    </row>
    <row r="728" spans="1:6" x14ac:dyDescent="0.3">
      <c r="A728" s="2">
        <v>43089</v>
      </c>
      <c r="B728" s="1">
        <v>43.587499999999999</v>
      </c>
      <c r="C728" s="1">
        <f>'Historical Simulation'!D728</f>
        <v>177.89</v>
      </c>
      <c r="D728" s="22">
        <f t="shared" si="44"/>
        <v>477.47004824495588</v>
      </c>
      <c r="E728" s="23">
        <f t="shared" si="45"/>
        <v>-5.1276757756943425</v>
      </c>
      <c r="F728" s="23">
        <f t="shared" si="46"/>
        <v>5.1276757756943425</v>
      </c>
    </row>
    <row r="729" spans="1:6" x14ac:dyDescent="0.3">
      <c r="A729" s="2">
        <v>43088</v>
      </c>
      <c r="B729" s="1">
        <v>43.634999999999998</v>
      </c>
      <c r="C729" s="1">
        <f>'Historical Simulation'!D729</f>
        <v>179.51</v>
      </c>
      <c r="D729" s="22">
        <f t="shared" si="44"/>
        <v>482.59772402065022</v>
      </c>
      <c r="E729" s="23">
        <f t="shared" si="45"/>
        <v>-3.183734595601436</v>
      </c>
      <c r="F729" s="23">
        <f t="shared" si="46"/>
        <v>3.183734595601436</v>
      </c>
    </row>
    <row r="730" spans="1:6" x14ac:dyDescent="0.3">
      <c r="A730" s="2">
        <v>43087</v>
      </c>
      <c r="B730" s="1">
        <v>44.104999999999997</v>
      </c>
      <c r="C730" s="1">
        <f>'Historical Simulation'!D730</f>
        <v>180.82</v>
      </c>
      <c r="D730" s="22">
        <f t="shared" si="44"/>
        <v>485.78145861625165</v>
      </c>
      <c r="E730" s="23">
        <f t="shared" si="45"/>
        <v>0.70134250164164769</v>
      </c>
      <c r="F730" s="23">
        <f t="shared" si="46"/>
        <v>-0.70134250164164769</v>
      </c>
    </row>
    <row r="731" spans="1:6" x14ac:dyDescent="0.3">
      <c r="A731" s="2">
        <v>43084</v>
      </c>
      <c r="B731" s="1">
        <v>43.4925</v>
      </c>
      <c r="C731" s="1">
        <f>'Historical Simulation'!D731</f>
        <v>180.18</v>
      </c>
      <c r="D731" s="22">
        <f t="shared" si="44"/>
        <v>485.08011611461001</v>
      </c>
      <c r="E731" s="23">
        <f t="shared" si="45"/>
        <v>4.8069357625607267</v>
      </c>
      <c r="F731" s="23">
        <f t="shared" si="46"/>
        <v>-4.8069357625607267</v>
      </c>
    </row>
    <row r="732" spans="1:6" x14ac:dyDescent="0.3">
      <c r="A732" s="2">
        <v>43083</v>
      </c>
      <c r="B732" s="1">
        <v>43.055</v>
      </c>
      <c r="C732" s="1">
        <f>'Historical Simulation'!D732</f>
        <v>178.39</v>
      </c>
      <c r="D732" s="22">
        <f t="shared" si="44"/>
        <v>480.27318035204928</v>
      </c>
      <c r="E732" s="23">
        <f t="shared" si="45"/>
        <v>0.31864023339176129</v>
      </c>
      <c r="F732" s="23">
        <f t="shared" si="46"/>
        <v>-0.31864023339176129</v>
      </c>
    </row>
    <row r="733" spans="1:6" x14ac:dyDescent="0.3">
      <c r="A733" s="2">
        <v>43082</v>
      </c>
      <c r="B733" s="1">
        <v>43.067500000000003</v>
      </c>
      <c r="C733" s="1">
        <f>'Historical Simulation'!D733</f>
        <v>178.3</v>
      </c>
      <c r="D733" s="22">
        <f t="shared" si="44"/>
        <v>479.95454011865752</v>
      </c>
      <c r="E733" s="23">
        <f t="shared" si="45"/>
        <v>4.011187116943745</v>
      </c>
      <c r="F733" s="23">
        <f t="shared" si="46"/>
        <v>-4.011187116943745</v>
      </c>
    </row>
    <row r="734" spans="1:6" x14ac:dyDescent="0.3">
      <c r="A734" s="2">
        <v>43081</v>
      </c>
      <c r="B734" s="1">
        <v>42.924999999999997</v>
      </c>
      <c r="C734" s="1">
        <f>'Historical Simulation'!D734</f>
        <v>176.96</v>
      </c>
      <c r="D734" s="22">
        <f t="shared" si="44"/>
        <v>475.94335300171377</v>
      </c>
      <c r="E734" s="23">
        <f t="shared" si="45"/>
        <v>-6.1787944278781879</v>
      </c>
      <c r="F734" s="23">
        <f t="shared" si="46"/>
        <v>6.1787944278781879</v>
      </c>
    </row>
    <row r="735" spans="1:6" x14ac:dyDescent="0.3">
      <c r="A735" s="2">
        <v>43080</v>
      </c>
      <c r="B735" s="1">
        <v>43.167499999999997</v>
      </c>
      <c r="C735" s="1">
        <f>'Historical Simulation'!D735</f>
        <v>179.04</v>
      </c>
      <c r="D735" s="22">
        <f t="shared" si="44"/>
        <v>482.12214742959196</v>
      </c>
      <c r="E735" s="23">
        <f t="shared" si="45"/>
        <v>-1.7110495923179201</v>
      </c>
      <c r="F735" s="23">
        <f t="shared" si="46"/>
        <v>1.7110495923179201</v>
      </c>
    </row>
    <row r="736" spans="1:6" x14ac:dyDescent="0.3">
      <c r="A736" s="2">
        <v>43077</v>
      </c>
      <c r="B736" s="1">
        <v>42.342500000000001</v>
      </c>
      <c r="C736" s="1">
        <f>'Historical Simulation'!D736</f>
        <v>179</v>
      </c>
      <c r="D736" s="22">
        <f t="shared" si="44"/>
        <v>483.83319702190988</v>
      </c>
      <c r="E736" s="23">
        <f t="shared" si="45"/>
        <v>-3.7108084778936927</v>
      </c>
      <c r="F736" s="23">
        <f t="shared" si="46"/>
        <v>3.7108084778936927</v>
      </c>
    </row>
    <row r="737" spans="1:6" x14ac:dyDescent="0.3">
      <c r="A737" s="2">
        <v>43076</v>
      </c>
      <c r="B737" s="1">
        <v>42.33</v>
      </c>
      <c r="C737" s="1">
        <f>'Historical Simulation'!D737</f>
        <v>180.14</v>
      </c>
      <c r="D737" s="22">
        <f t="shared" si="44"/>
        <v>487.54400549980357</v>
      </c>
      <c r="E737" s="23">
        <f t="shared" si="45"/>
        <v>13.008122284398553</v>
      </c>
      <c r="F737" s="23">
        <f t="shared" si="46"/>
        <v>-13.008122284398553</v>
      </c>
    </row>
    <row r="738" spans="1:6" x14ac:dyDescent="0.3">
      <c r="A738" s="2">
        <v>43075</v>
      </c>
      <c r="B738" s="1">
        <v>42.252499999999998</v>
      </c>
      <c r="C738" s="1">
        <f>'Historical Simulation'!D738</f>
        <v>176.06</v>
      </c>
      <c r="D738" s="22">
        <f t="shared" si="44"/>
        <v>474.53588321540502</v>
      </c>
      <c r="E738" s="23">
        <f t="shared" si="45"/>
        <v>10.786280884047414</v>
      </c>
      <c r="F738" s="23">
        <f t="shared" si="46"/>
        <v>-10.786280884047414</v>
      </c>
    </row>
    <row r="739" spans="1:6" x14ac:dyDescent="0.3">
      <c r="A739" s="2">
        <v>43074</v>
      </c>
      <c r="B739" s="1">
        <v>42.41</v>
      </c>
      <c r="C739" s="1">
        <f>'Historical Simulation'!D739</f>
        <v>172.83</v>
      </c>
      <c r="D739" s="22">
        <f t="shared" si="44"/>
        <v>463.74960233135761</v>
      </c>
      <c r="E739" s="23">
        <f t="shared" si="45"/>
        <v>4.4828909926691836</v>
      </c>
      <c r="F739" s="23">
        <f t="shared" si="46"/>
        <v>-4.4828909926691836</v>
      </c>
    </row>
    <row r="740" spans="1:6" x14ac:dyDescent="0.3">
      <c r="A740" s="2">
        <v>43073</v>
      </c>
      <c r="B740" s="1">
        <v>42.45</v>
      </c>
      <c r="C740" s="1">
        <f>'Historical Simulation'!D740</f>
        <v>171.47</v>
      </c>
      <c r="D740" s="22">
        <f t="shared" si="44"/>
        <v>459.26671133868842</v>
      </c>
      <c r="E740" s="23">
        <f t="shared" si="45"/>
        <v>-11.030136334414067</v>
      </c>
      <c r="F740" s="23">
        <f t="shared" si="46"/>
        <v>11.030136334414067</v>
      </c>
    </row>
    <row r="741" spans="1:6" x14ac:dyDescent="0.3">
      <c r="A741" s="2">
        <v>43070</v>
      </c>
      <c r="B741" s="1">
        <v>42.762500000000003</v>
      </c>
      <c r="C741" s="1">
        <f>'Historical Simulation'!D741</f>
        <v>175.1</v>
      </c>
      <c r="D741" s="22">
        <f t="shared" si="44"/>
        <v>470.29684767310249</v>
      </c>
      <c r="E741" s="23">
        <f t="shared" si="45"/>
        <v>-6.2735964758698515</v>
      </c>
      <c r="F741" s="23">
        <f t="shared" si="46"/>
        <v>6.2735964758698515</v>
      </c>
    </row>
    <row r="742" spans="1:6" x14ac:dyDescent="0.3">
      <c r="A742" s="2">
        <v>43069</v>
      </c>
      <c r="B742" s="1">
        <v>42.962499999999999</v>
      </c>
      <c r="C742" s="1">
        <f>'Historical Simulation'!D742</f>
        <v>177.18</v>
      </c>
      <c r="D742" s="22">
        <f t="shared" si="44"/>
        <v>476.57044414897234</v>
      </c>
      <c r="E742" s="23">
        <f t="shared" si="45"/>
        <v>5.3011525870107334</v>
      </c>
      <c r="F742" s="23">
        <f t="shared" si="46"/>
        <v>-5.3011525870107334</v>
      </c>
    </row>
    <row r="743" spans="1:6" x14ac:dyDescent="0.3">
      <c r="A743" s="2">
        <v>43068</v>
      </c>
      <c r="B743" s="1">
        <v>42.37</v>
      </c>
      <c r="C743" s="1">
        <f>'Historical Simulation'!D743</f>
        <v>175.13</v>
      </c>
      <c r="D743" s="22">
        <f t="shared" si="44"/>
        <v>471.26929156196161</v>
      </c>
      <c r="E743" s="23">
        <f t="shared" si="45"/>
        <v>-21.549343336169159</v>
      </c>
      <c r="F743" s="23">
        <f t="shared" si="46"/>
        <v>21.549343336169159</v>
      </c>
    </row>
    <row r="744" spans="1:6" x14ac:dyDescent="0.3">
      <c r="A744" s="2">
        <v>43067</v>
      </c>
      <c r="B744" s="1">
        <v>43.267499999999998</v>
      </c>
      <c r="C744" s="1">
        <f>'Historical Simulation'!D744</f>
        <v>182.42</v>
      </c>
      <c r="D744" s="22">
        <f t="shared" si="44"/>
        <v>492.81863489813077</v>
      </c>
      <c r="E744" s="23">
        <f t="shared" si="45"/>
        <v>-1.4018759302840635</v>
      </c>
      <c r="F744" s="23">
        <f t="shared" si="46"/>
        <v>1.4018759302840635</v>
      </c>
    </row>
    <row r="745" spans="1:6" x14ac:dyDescent="0.3">
      <c r="A745" s="2">
        <v>43066</v>
      </c>
      <c r="B745" s="1">
        <v>43.522500000000001</v>
      </c>
      <c r="C745" s="1">
        <f>'Historical Simulation'!D745</f>
        <v>183.03</v>
      </c>
      <c r="D745" s="22">
        <f t="shared" si="44"/>
        <v>494.22051082841483</v>
      </c>
      <c r="E745" s="23">
        <f t="shared" si="45"/>
        <v>1.2983991189674384</v>
      </c>
      <c r="F745" s="23">
        <f t="shared" si="46"/>
        <v>-1.2983991189674384</v>
      </c>
    </row>
    <row r="746" spans="1:6" x14ac:dyDescent="0.3">
      <c r="A746" s="2">
        <v>43063</v>
      </c>
      <c r="B746" s="1">
        <v>43.7425</v>
      </c>
      <c r="C746" s="1">
        <f>'Historical Simulation'!D746</f>
        <v>182.78</v>
      </c>
      <c r="D746" s="22">
        <f t="shared" si="44"/>
        <v>492.92211170944739</v>
      </c>
      <c r="E746" s="23">
        <f t="shared" si="45"/>
        <v>6.1649389775116106</v>
      </c>
      <c r="F746" s="23">
        <f t="shared" si="46"/>
        <v>-6.1649389775116106</v>
      </c>
    </row>
    <row r="747" spans="1:6" x14ac:dyDescent="0.3">
      <c r="A747" s="2">
        <v>43062</v>
      </c>
      <c r="B747" s="1">
        <v>43.74</v>
      </c>
      <c r="C747" s="1">
        <f>'Historical Simulation'!D747</f>
        <v>180.87</v>
      </c>
      <c r="D747" s="22">
        <f t="shared" si="44"/>
        <v>486.75717273193578</v>
      </c>
      <c r="E747" s="23">
        <f t="shared" si="45"/>
        <v>0</v>
      </c>
      <c r="F747" s="23">
        <f t="shared" si="46"/>
        <v>0</v>
      </c>
    </row>
    <row r="748" spans="1:6" x14ac:dyDescent="0.3">
      <c r="A748" s="2">
        <v>43061</v>
      </c>
      <c r="B748" s="1">
        <v>43.74</v>
      </c>
      <c r="C748" s="1">
        <f>'Historical Simulation'!D748</f>
        <v>180.87</v>
      </c>
      <c r="D748" s="22">
        <f t="shared" si="44"/>
        <v>486.75717273193578</v>
      </c>
      <c r="E748" s="23">
        <f t="shared" si="45"/>
        <v>-4.2132696317191858</v>
      </c>
      <c r="F748" s="23">
        <f t="shared" si="46"/>
        <v>4.2132696317191858</v>
      </c>
    </row>
    <row r="749" spans="1:6" x14ac:dyDescent="0.3">
      <c r="A749" s="2">
        <v>43060</v>
      </c>
      <c r="B749" s="1">
        <v>43.284999999999997</v>
      </c>
      <c r="C749" s="1">
        <f>'Historical Simulation'!D749</f>
        <v>181.86</v>
      </c>
      <c r="D749" s="22">
        <f t="shared" si="44"/>
        <v>490.97044236365497</v>
      </c>
      <c r="E749" s="23">
        <f t="shared" si="45"/>
        <v>8.3173828663707923</v>
      </c>
      <c r="F749" s="23">
        <f t="shared" si="46"/>
        <v>-8.3173828663707923</v>
      </c>
    </row>
    <row r="750" spans="1:6" x14ac:dyDescent="0.3">
      <c r="A750" s="2">
        <v>43059</v>
      </c>
      <c r="B750" s="1">
        <v>42.494999999999997</v>
      </c>
      <c r="C750" s="1">
        <f>'Historical Simulation'!D750</f>
        <v>178.74</v>
      </c>
      <c r="D750" s="22">
        <f t="shared" si="44"/>
        <v>482.65305949728418</v>
      </c>
      <c r="E750" s="23">
        <f t="shared" si="45"/>
        <v>-0.7451634220753931</v>
      </c>
      <c r="F750" s="23">
        <f t="shared" si="46"/>
        <v>0.7451634220753931</v>
      </c>
    </row>
    <row r="751" spans="1:6" x14ac:dyDescent="0.3">
      <c r="A751" s="2">
        <v>43056</v>
      </c>
      <c r="B751" s="1">
        <v>42.537500000000001</v>
      </c>
      <c r="C751" s="1">
        <f>'Historical Simulation'!D751</f>
        <v>179</v>
      </c>
      <c r="D751" s="22">
        <f t="shared" si="44"/>
        <v>483.39822291935957</v>
      </c>
      <c r="E751" s="23">
        <f t="shared" si="45"/>
        <v>-1.376299339225568</v>
      </c>
      <c r="F751" s="23">
        <f t="shared" si="46"/>
        <v>1.376299339225568</v>
      </c>
    </row>
    <row r="752" spans="1:6" x14ac:dyDescent="0.3">
      <c r="A752" s="2">
        <v>43055</v>
      </c>
      <c r="B752" s="1">
        <v>42.774999999999999</v>
      </c>
      <c r="C752" s="1">
        <f>'Historical Simulation'!D752</f>
        <v>179.59</v>
      </c>
      <c r="D752" s="22">
        <f t="shared" si="44"/>
        <v>484.77452225858514</v>
      </c>
      <c r="E752" s="23">
        <f t="shared" si="45"/>
        <v>4.1717723404852336</v>
      </c>
      <c r="F752" s="23">
        <f t="shared" si="46"/>
        <v>-4.1717723404852336</v>
      </c>
    </row>
    <row r="753" spans="1:6" x14ac:dyDescent="0.3">
      <c r="A753" s="2">
        <v>43054</v>
      </c>
      <c r="B753" s="1">
        <v>42.27</v>
      </c>
      <c r="C753" s="1">
        <f>'Historical Simulation'!D753</f>
        <v>177.95</v>
      </c>
      <c r="D753" s="22">
        <f t="shared" si="44"/>
        <v>480.6027499180999</v>
      </c>
      <c r="E753" s="23">
        <f t="shared" si="45"/>
        <v>0.87263320838405889</v>
      </c>
      <c r="F753" s="23">
        <f t="shared" si="46"/>
        <v>-0.87263320838405889</v>
      </c>
    </row>
    <row r="754" spans="1:6" x14ac:dyDescent="0.3">
      <c r="A754" s="2">
        <v>43053</v>
      </c>
      <c r="B754" s="1">
        <v>42.835000000000001</v>
      </c>
      <c r="C754" s="1">
        <f>'Historical Simulation'!D754</f>
        <v>178.07</v>
      </c>
      <c r="D754" s="22">
        <f t="shared" si="44"/>
        <v>479.73011670971584</v>
      </c>
      <c r="E754" s="23">
        <f t="shared" si="45"/>
        <v>-0.79480204799170906</v>
      </c>
      <c r="F754" s="23">
        <f t="shared" si="46"/>
        <v>0.79480204799170906</v>
      </c>
    </row>
    <row r="755" spans="1:6" x14ac:dyDescent="0.3">
      <c r="A755" s="2">
        <v>43052</v>
      </c>
      <c r="B755" s="1">
        <v>43.4925</v>
      </c>
      <c r="C755" s="1">
        <f>'Historical Simulation'!D755</f>
        <v>178.77</v>
      </c>
      <c r="D755" s="22">
        <f t="shared" si="44"/>
        <v>480.52491875770755</v>
      </c>
      <c r="E755" s="23">
        <f t="shared" si="45"/>
        <v>1.391858665317443</v>
      </c>
      <c r="F755" s="23">
        <f t="shared" si="46"/>
        <v>-1.391858665317443</v>
      </c>
    </row>
    <row r="756" spans="1:6" x14ac:dyDescent="0.3">
      <c r="A756" s="2">
        <v>43049</v>
      </c>
      <c r="B756" s="1">
        <v>43.667499999999997</v>
      </c>
      <c r="C756" s="1">
        <f>'Historical Simulation'!D756</f>
        <v>178.46</v>
      </c>
      <c r="D756" s="22">
        <f t="shared" si="44"/>
        <v>479.13306009239011</v>
      </c>
      <c r="E756" s="23">
        <f t="shared" si="45"/>
        <v>-2.0389670775425657</v>
      </c>
      <c r="F756" s="23">
        <f t="shared" si="46"/>
        <v>2.0389670775425657</v>
      </c>
    </row>
    <row r="757" spans="1:6" x14ac:dyDescent="0.3">
      <c r="A757" s="2">
        <v>43048</v>
      </c>
      <c r="B757" s="1">
        <v>43.97</v>
      </c>
      <c r="C757" s="1">
        <f>'Historical Simulation'!D757</f>
        <v>179.3</v>
      </c>
      <c r="D757" s="22">
        <f t="shared" si="44"/>
        <v>481.17202716993268</v>
      </c>
      <c r="E757" s="23">
        <f t="shared" si="45"/>
        <v>-0.63920819196692946</v>
      </c>
      <c r="F757" s="23">
        <f t="shared" si="46"/>
        <v>0.63920819196692946</v>
      </c>
    </row>
    <row r="758" spans="1:6" x14ac:dyDescent="0.3">
      <c r="A758" s="2">
        <v>43047</v>
      </c>
      <c r="B758" s="1">
        <v>44.06</v>
      </c>
      <c r="C758" s="1">
        <f>'Historical Simulation'!D758</f>
        <v>179.56</v>
      </c>
      <c r="D758" s="22">
        <f t="shared" si="44"/>
        <v>481.81123536189961</v>
      </c>
      <c r="E758" s="23">
        <f t="shared" si="45"/>
        <v>-3.0265916534435178</v>
      </c>
      <c r="F758" s="23">
        <f t="shared" si="46"/>
        <v>3.0265916534435178</v>
      </c>
    </row>
    <row r="759" spans="1:6" x14ac:dyDescent="0.3">
      <c r="A759" s="2">
        <v>43046</v>
      </c>
      <c r="B759" s="1">
        <v>43.702500000000001</v>
      </c>
      <c r="C759" s="1">
        <f>'Historical Simulation'!D759</f>
        <v>180.25</v>
      </c>
      <c r="D759" s="22">
        <f t="shared" si="44"/>
        <v>484.83782701534312</v>
      </c>
      <c r="E759" s="23">
        <f t="shared" si="45"/>
        <v>-5.3838185399968097E-2</v>
      </c>
      <c r="F759" s="23">
        <f t="shared" si="46"/>
        <v>5.3838185399968097E-2</v>
      </c>
    </row>
    <row r="760" spans="1:6" x14ac:dyDescent="0.3">
      <c r="A760" s="2">
        <v>43045</v>
      </c>
      <c r="B760" s="1">
        <v>43.5625</v>
      </c>
      <c r="C760" s="1">
        <f>'Historical Simulation'!D760</f>
        <v>180.17</v>
      </c>
      <c r="D760" s="22">
        <f t="shared" si="44"/>
        <v>484.89166520074309</v>
      </c>
      <c r="E760" s="23">
        <f t="shared" si="45"/>
        <v>3.0623920939596587</v>
      </c>
      <c r="F760" s="23">
        <f t="shared" si="46"/>
        <v>-3.0623920939596587</v>
      </c>
    </row>
    <row r="761" spans="1:6" x14ac:dyDescent="0.3">
      <c r="A761" s="2">
        <v>43042</v>
      </c>
      <c r="B761" s="1">
        <v>43.125</v>
      </c>
      <c r="C761" s="1">
        <f>'Historical Simulation'!D761</f>
        <v>178.92</v>
      </c>
      <c r="D761" s="22">
        <f t="shared" si="44"/>
        <v>481.82927310678343</v>
      </c>
      <c r="E761" s="23">
        <f t="shared" si="45"/>
        <v>-2.4481234746102132</v>
      </c>
      <c r="F761" s="23">
        <f t="shared" si="46"/>
        <v>2.4481234746102132</v>
      </c>
    </row>
    <row r="762" spans="1:6" x14ac:dyDescent="0.3">
      <c r="A762" s="2">
        <v>43041</v>
      </c>
      <c r="B762" s="1">
        <v>42.027500000000003</v>
      </c>
      <c r="C762" s="1">
        <f>'Historical Simulation'!D762</f>
        <v>178.92</v>
      </c>
      <c r="D762" s="22">
        <f t="shared" si="44"/>
        <v>484.27739658139365</v>
      </c>
      <c r="E762" s="23">
        <f t="shared" si="45"/>
        <v>-12.762924332390298</v>
      </c>
      <c r="F762" s="23">
        <f t="shared" si="46"/>
        <v>12.762924332390298</v>
      </c>
    </row>
    <row r="763" spans="1:6" x14ac:dyDescent="0.3">
      <c r="A763" s="2">
        <v>43040</v>
      </c>
      <c r="B763" s="1">
        <v>41.722499999999997</v>
      </c>
      <c r="C763" s="1">
        <f>'Historical Simulation'!D763</f>
        <v>182.66</v>
      </c>
      <c r="D763" s="22">
        <f t="shared" si="44"/>
        <v>497.04032091378394</v>
      </c>
      <c r="E763" s="23">
        <f t="shared" si="45"/>
        <v>9.598621778213726</v>
      </c>
      <c r="F763" s="23">
        <f t="shared" si="46"/>
        <v>-9.598621778213726</v>
      </c>
    </row>
    <row r="764" spans="1:6" x14ac:dyDescent="0.3">
      <c r="A764" s="2">
        <v>43039</v>
      </c>
      <c r="B764" s="1">
        <v>42.26</v>
      </c>
      <c r="C764" s="1">
        <f>'Historical Simulation'!D764</f>
        <v>180.06</v>
      </c>
      <c r="D764" s="22">
        <f t="shared" si="44"/>
        <v>487.44169913557022</v>
      </c>
      <c r="E764" s="23">
        <f t="shared" si="45"/>
        <v>-0.67994820510062937</v>
      </c>
      <c r="F764" s="23">
        <f t="shared" si="46"/>
        <v>0.67994820510062937</v>
      </c>
    </row>
    <row r="765" spans="1:6" x14ac:dyDescent="0.3">
      <c r="A765" s="2">
        <v>43038</v>
      </c>
      <c r="B765" s="1">
        <v>41.68</v>
      </c>
      <c r="C765" s="1">
        <f>'Historical Simulation'!D765</f>
        <v>179.87</v>
      </c>
      <c r="D765" s="22">
        <f t="shared" si="44"/>
        <v>488.12164734067085</v>
      </c>
      <c r="E765" s="23">
        <f t="shared" si="45"/>
        <v>4.3823575640268473</v>
      </c>
      <c r="F765" s="23">
        <f t="shared" si="46"/>
        <v>-4.3823575640268473</v>
      </c>
    </row>
    <row r="766" spans="1:6" x14ac:dyDescent="0.3">
      <c r="A766" s="2">
        <v>43035</v>
      </c>
      <c r="B766" s="1">
        <v>40.762500000000003</v>
      </c>
      <c r="C766" s="1">
        <f>'Historical Simulation'!D766</f>
        <v>177.88</v>
      </c>
      <c r="D766" s="22">
        <f t="shared" si="44"/>
        <v>483.739289776644</v>
      </c>
      <c r="E766" s="23">
        <f t="shared" si="45"/>
        <v>20.276916712276602</v>
      </c>
      <c r="F766" s="23">
        <f t="shared" si="46"/>
        <v>-20.276916712276602</v>
      </c>
    </row>
    <row r="767" spans="1:6" x14ac:dyDescent="0.3">
      <c r="A767" s="2">
        <v>43034</v>
      </c>
      <c r="B767" s="1">
        <v>39.352499999999999</v>
      </c>
      <c r="C767" s="1">
        <f>'Historical Simulation'!D767</f>
        <v>170.63</v>
      </c>
      <c r="D767" s="22">
        <f t="shared" si="44"/>
        <v>463.4623730643674</v>
      </c>
      <c r="E767" s="23">
        <f t="shared" si="45"/>
        <v>-0.46074001313365898</v>
      </c>
      <c r="F767" s="23">
        <f t="shared" si="46"/>
        <v>0.46074001313365898</v>
      </c>
    </row>
    <row r="768" spans="1:6" x14ac:dyDescent="0.3">
      <c r="A768" s="2">
        <v>43033</v>
      </c>
      <c r="B768" s="1">
        <v>39.102499999999999</v>
      </c>
      <c r="C768" s="1">
        <f>'Historical Simulation'!D768</f>
        <v>170.6</v>
      </c>
      <c r="D768" s="22">
        <f t="shared" si="44"/>
        <v>463.92311307750106</v>
      </c>
      <c r="E768" s="23">
        <f t="shared" si="45"/>
        <v>-3.4919789249768201</v>
      </c>
      <c r="F768" s="23">
        <f t="shared" si="46"/>
        <v>3.4919789249768201</v>
      </c>
    </row>
    <row r="769" spans="1:6" x14ac:dyDescent="0.3">
      <c r="A769" s="2">
        <v>43032</v>
      </c>
      <c r="B769" s="1">
        <v>39.274999999999999</v>
      </c>
      <c r="C769" s="1">
        <f>'Historical Simulation'!D769</f>
        <v>171.8</v>
      </c>
      <c r="D769" s="22">
        <f t="shared" si="44"/>
        <v>467.41509200247788</v>
      </c>
      <c r="E769" s="23">
        <f t="shared" si="45"/>
        <v>1.1936143359421294</v>
      </c>
      <c r="F769" s="23">
        <f t="shared" si="46"/>
        <v>-1.1936143359421294</v>
      </c>
    </row>
    <row r="770" spans="1:6" x14ac:dyDescent="0.3">
      <c r="A770" s="2">
        <v>43031</v>
      </c>
      <c r="B770" s="1">
        <v>39.042499999999997</v>
      </c>
      <c r="C770" s="1">
        <f>'Historical Simulation'!D770</f>
        <v>171.27</v>
      </c>
      <c r="D770" s="22">
        <f t="shared" si="44"/>
        <v>466.22147766653575</v>
      </c>
      <c r="E770" s="23">
        <f t="shared" si="45"/>
        <v>-11.941048402106162</v>
      </c>
      <c r="F770" s="23">
        <f t="shared" si="46"/>
        <v>11.941048402106162</v>
      </c>
    </row>
    <row r="771" spans="1:6" x14ac:dyDescent="0.3">
      <c r="A771" s="2">
        <v>43028</v>
      </c>
      <c r="B771" s="1">
        <v>39.0625</v>
      </c>
      <c r="C771" s="1">
        <f>'Historical Simulation'!D771</f>
        <v>174.98</v>
      </c>
      <c r="D771" s="22">
        <f t="shared" si="44"/>
        <v>478.16252606864191</v>
      </c>
      <c r="E771" s="23">
        <f t="shared" si="45"/>
        <v>1.2062993392255521</v>
      </c>
      <c r="F771" s="23">
        <f t="shared" si="46"/>
        <v>-1.2062993392255521</v>
      </c>
    </row>
    <row r="772" spans="1:6" x14ac:dyDescent="0.3">
      <c r="A772" s="2">
        <v>43027</v>
      </c>
      <c r="B772" s="1">
        <v>38.994999999999997</v>
      </c>
      <c r="C772" s="1">
        <f>'Historical Simulation'!D772</f>
        <v>174.56</v>
      </c>
      <c r="D772" s="22">
        <f t="shared" si="44"/>
        <v>476.95622672941636</v>
      </c>
      <c r="E772" s="23">
        <f t="shared" si="45"/>
        <v>-2.6410841222508452</v>
      </c>
      <c r="F772" s="23">
        <f t="shared" si="46"/>
        <v>2.6410841222508452</v>
      </c>
    </row>
    <row r="773" spans="1:6" x14ac:dyDescent="0.3">
      <c r="A773" s="2">
        <v>43026</v>
      </c>
      <c r="B773" s="1">
        <v>39.94</v>
      </c>
      <c r="C773" s="1">
        <f>'Historical Simulation'!D773</f>
        <v>176.03</v>
      </c>
      <c r="D773" s="22">
        <f t="shared" si="44"/>
        <v>479.5973108516672</v>
      </c>
      <c r="E773" s="23">
        <f t="shared" si="45"/>
        <v>0.13748705127500216</v>
      </c>
      <c r="F773" s="23">
        <f t="shared" si="46"/>
        <v>-0.13748705127500216</v>
      </c>
    </row>
    <row r="774" spans="1:6" x14ac:dyDescent="0.3">
      <c r="A774" s="2">
        <v>43025</v>
      </c>
      <c r="B774" s="1">
        <v>40.1175</v>
      </c>
      <c r="C774" s="1">
        <f>'Historical Simulation'!D774</f>
        <v>176.11</v>
      </c>
      <c r="D774" s="22">
        <f t="shared" ref="D774:D837" si="47">$M$16*B774+(1-$M$16)*C774</f>
        <v>479.4598238003922</v>
      </c>
      <c r="E774" s="23">
        <f t="shared" ref="E774:E837" si="48">D774-D775</f>
        <v>4.8076930406608653</v>
      </c>
      <c r="F774" s="23">
        <f t="shared" ref="F774:F837" si="49">-E774</f>
        <v>-4.8076930406608653</v>
      </c>
    </row>
    <row r="775" spans="1:6" x14ac:dyDescent="0.3">
      <c r="A775" s="2">
        <v>43024</v>
      </c>
      <c r="B775" s="1">
        <v>39.97</v>
      </c>
      <c r="C775" s="1">
        <f>'Historical Simulation'!D775</f>
        <v>174.52</v>
      </c>
      <c r="D775" s="22">
        <f t="shared" si="47"/>
        <v>474.65213075973134</v>
      </c>
      <c r="E775" s="23">
        <f t="shared" si="48"/>
        <v>0.90826159434180909</v>
      </c>
      <c r="F775" s="23">
        <f t="shared" si="49"/>
        <v>-0.90826159434180909</v>
      </c>
    </row>
    <row r="776" spans="1:6" x14ac:dyDescent="0.3">
      <c r="A776" s="2">
        <v>43021</v>
      </c>
      <c r="B776" s="1">
        <v>39.247500000000002</v>
      </c>
      <c r="C776" s="1">
        <f>'Historical Simulation'!D776</f>
        <v>173.74</v>
      </c>
      <c r="D776" s="22">
        <f t="shared" si="47"/>
        <v>473.74386916538953</v>
      </c>
      <c r="E776" s="23">
        <f t="shared" si="48"/>
        <v>3.2923748289932178</v>
      </c>
      <c r="F776" s="23">
        <f t="shared" si="49"/>
        <v>-3.2923748289932178</v>
      </c>
    </row>
    <row r="777" spans="1:6" x14ac:dyDescent="0.3">
      <c r="A777" s="2">
        <v>43020</v>
      </c>
      <c r="B777" s="1">
        <v>39</v>
      </c>
      <c r="C777" s="1">
        <f>'Historical Simulation'!D777</f>
        <v>172.55</v>
      </c>
      <c r="D777" s="22">
        <f t="shared" si="47"/>
        <v>470.45149433639631</v>
      </c>
      <c r="E777" s="23">
        <f t="shared" si="48"/>
        <v>-0.30710841222509089</v>
      </c>
      <c r="F777" s="23">
        <f t="shared" si="49"/>
        <v>0.30710841222509089</v>
      </c>
    </row>
    <row r="778" spans="1:6" x14ac:dyDescent="0.3">
      <c r="A778" s="2">
        <v>43019</v>
      </c>
      <c r="B778" s="1">
        <v>39.137500000000003</v>
      </c>
      <c r="C778" s="1">
        <f>'Historical Simulation'!D778</f>
        <v>172.74</v>
      </c>
      <c r="D778" s="22">
        <f t="shared" si="47"/>
        <v>470.7586027486214</v>
      </c>
      <c r="E778" s="23">
        <f t="shared" si="48"/>
        <v>3.3527534680433746</v>
      </c>
      <c r="F778" s="23">
        <f t="shared" si="49"/>
        <v>-3.3527534680433746</v>
      </c>
    </row>
    <row r="779" spans="1:6" x14ac:dyDescent="0.3">
      <c r="A779" s="2">
        <v>43018</v>
      </c>
      <c r="B779" s="1">
        <v>38.975000000000001</v>
      </c>
      <c r="C779" s="1">
        <f>'Historical Simulation'!D779</f>
        <v>171.59</v>
      </c>
      <c r="D779" s="22">
        <f t="shared" si="47"/>
        <v>467.40584928057802</v>
      </c>
      <c r="E779" s="23">
        <f t="shared" si="48"/>
        <v>-2.9733386915848428</v>
      </c>
      <c r="F779" s="23">
        <f t="shared" si="49"/>
        <v>2.9733386915848428</v>
      </c>
    </row>
    <row r="780" spans="1:6" x14ac:dyDescent="0.3">
      <c r="A780" s="2">
        <v>43017</v>
      </c>
      <c r="B780" s="1">
        <v>38.96</v>
      </c>
      <c r="C780" s="1">
        <f>'Historical Simulation'!D780</f>
        <v>172.5</v>
      </c>
      <c r="D780" s="22">
        <f t="shared" si="47"/>
        <v>470.37918797216287</v>
      </c>
      <c r="E780" s="23">
        <f t="shared" si="48"/>
        <v>0.57113591715022949</v>
      </c>
      <c r="F780" s="23">
        <f t="shared" si="49"/>
        <v>-0.57113591715022949</v>
      </c>
    </row>
    <row r="781" spans="1:6" x14ac:dyDescent="0.3">
      <c r="A781" s="2">
        <v>43014</v>
      </c>
      <c r="B781" s="1">
        <v>38.825000000000003</v>
      </c>
      <c r="C781" s="1">
        <f>'Historical Simulation'!D781</f>
        <v>172.23</v>
      </c>
      <c r="D781" s="22">
        <f t="shared" si="47"/>
        <v>469.80805205501264</v>
      </c>
      <c r="E781" s="23">
        <f t="shared" si="48"/>
        <v>3.2485193786266677</v>
      </c>
      <c r="F781" s="23">
        <f t="shared" si="49"/>
        <v>-3.2485193786266677</v>
      </c>
    </row>
    <row r="782" spans="1:6" x14ac:dyDescent="0.3">
      <c r="A782" s="2">
        <v>43013</v>
      </c>
      <c r="B782" s="1">
        <v>38.847499999999997</v>
      </c>
      <c r="C782" s="1">
        <f>'Historical Simulation'!D782</f>
        <v>171.24</v>
      </c>
      <c r="D782" s="22">
        <f t="shared" si="47"/>
        <v>466.55953267638597</v>
      </c>
      <c r="E782" s="23">
        <f t="shared" si="48"/>
        <v>8.04526582166244</v>
      </c>
      <c r="F782" s="23">
        <f t="shared" si="49"/>
        <v>-8.04526582166244</v>
      </c>
    </row>
    <row r="783" spans="1:6" x14ac:dyDescent="0.3">
      <c r="A783" s="2">
        <v>43012</v>
      </c>
      <c r="B783" s="1">
        <v>38.369999999999997</v>
      </c>
      <c r="C783" s="1">
        <f>'Historical Simulation'!D783</f>
        <v>168.42</v>
      </c>
      <c r="D783" s="22">
        <f t="shared" si="47"/>
        <v>458.51426685472353</v>
      </c>
      <c r="E783" s="23">
        <f t="shared" si="48"/>
        <v>-4.4175209861023177</v>
      </c>
      <c r="F783" s="23">
        <f t="shared" si="49"/>
        <v>4.4175209861023177</v>
      </c>
    </row>
    <row r="784" spans="1:6" x14ac:dyDescent="0.3">
      <c r="A784" s="2">
        <v>43011</v>
      </c>
      <c r="B784" s="1">
        <v>38.619999999999997</v>
      </c>
      <c r="C784" s="1">
        <f>'Historical Simulation'!D784</f>
        <v>169.96</v>
      </c>
      <c r="D784" s="22">
        <f t="shared" si="47"/>
        <v>462.93178784082585</v>
      </c>
      <c r="E784" s="23">
        <f t="shared" si="48"/>
        <v>1.2093802465256545</v>
      </c>
      <c r="F784" s="23">
        <f t="shared" si="49"/>
        <v>-1.2093802465256545</v>
      </c>
    </row>
    <row r="785" spans="1:6" x14ac:dyDescent="0.3">
      <c r="A785" s="2">
        <v>43010</v>
      </c>
      <c r="B785" s="1">
        <v>38.452500000000001</v>
      </c>
      <c r="C785" s="1">
        <f>'Historical Simulation'!D785</f>
        <v>169.47</v>
      </c>
      <c r="D785" s="22">
        <f t="shared" si="47"/>
        <v>461.72240759430019</v>
      </c>
      <c r="E785" s="23">
        <f t="shared" si="48"/>
        <v>-4.3500166698606222</v>
      </c>
      <c r="F785" s="23">
        <f t="shared" si="49"/>
        <v>4.3500166698606222</v>
      </c>
    </row>
    <row r="786" spans="1:6" x14ac:dyDescent="0.3">
      <c r="A786" s="2">
        <v>43007</v>
      </c>
      <c r="B786" s="1">
        <v>38.53</v>
      </c>
      <c r="C786" s="1">
        <f>'Historical Simulation'!D786</f>
        <v>170.87</v>
      </c>
      <c r="D786" s="22">
        <f t="shared" si="47"/>
        <v>466.07242426416082</v>
      </c>
      <c r="E786" s="23">
        <f t="shared" si="48"/>
        <v>6.4451282970367174</v>
      </c>
      <c r="F786" s="23">
        <f t="shared" si="49"/>
        <v>-6.4451282970367174</v>
      </c>
    </row>
    <row r="787" spans="1:6" x14ac:dyDescent="0.3">
      <c r="A787" s="2">
        <v>43006</v>
      </c>
      <c r="B787" s="1">
        <v>38.32</v>
      </c>
      <c r="C787" s="1">
        <f>'Historical Simulation'!D787</f>
        <v>168.73</v>
      </c>
      <c r="D787" s="22">
        <f t="shared" si="47"/>
        <v>459.6272959671241</v>
      </c>
      <c r="E787" s="23">
        <f t="shared" si="48"/>
        <v>3.9219443950437949</v>
      </c>
      <c r="F787" s="23">
        <f t="shared" si="49"/>
        <v>-3.9219443950437949</v>
      </c>
    </row>
    <row r="788" spans="1:6" x14ac:dyDescent="0.3">
      <c r="A788" s="2">
        <v>43005</v>
      </c>
      <c r="B788" s="1">
        <v>38.557499999999997</v>
      </c>
      <c r="C788" s="1">
        <f>'Historical Simulation'!D788</f>
        <v>167.68</v>
      </c>
      <c r="D788" s="22">
        <f t="shared" si="47"/>
        <v>455.7053515720803</v>
      </c>
      <c r="E788" s="23">
        <f t="shared" si="48"/>
        <v>10.602459963613796</v>
      </c>
      <c r="F788" s="23">
        <f t="shared" si="49"/>
        <v>-10.602459963613796</v>
      </c>
    </row>
    <row r="789" spans="1:6" x14ac:dyDescent="0.3">
      <c r="A789" s="2">
        <v>43004</v>
      </c>
      <c r="B789" s="1">
        <v>38.284999999999997</v>
      </c>
      <c r="C789" s="1">
        <f>'Historical Simulation'!D789</f>
        <v>164.21</v>
      </c>
      <c r="D789" s="22">
        <f t="shared" si="47"/>
        <v>445.10289160846651</v>
      </c>
      <c r="E789" s="23">
        <f t="shared" si="48"/>
        <v>2.8847157231596157</v>
      </c>
      <c r="F789" s="23">
        <f t="shared" si="49"/>
        <v>-2.8847157231596157</v>
      </c>
    </row>
    <row r="790" spans="1:6" x14ac:dyDescent="0.3">
      <c r="A790" s="2">
        <v>43003</v>
      </c>
      <c r="B790" s="1">
        <v>37.637500000000003</v>
      </c>
      <c r="C790" s="1">
        <f>'Historical Simulation'!D790</f>
        <v>162.87</v>
      </c>
      <c r="D790" s="22">
        <f t="shared" si="47"/>
        <v>442.21817588530689</v>
      </c>
      <c r="E790" s="23">
        <f t="shared" si="48"/>
        <v>-24.031718165162715</v>
      </c>
      <c r="F790" s="23">
        <f t="shared" si="49"/>
        <v>24.031718165162715</v>
      </c>
    </row>
    <row r="791" spans="1:6" x14ac:dyDescent="0.3">
      <c r="A791" s="2">
        <v>43000</v>
      </c>
      <c r="B791" s="1">
        <v>37.972499999999997</v>
      </c>
      <c r="C791" s="1">
        <f>'Historical Simulation'!D791</f>
        <v>170.54</v>
      </c>
      <c r="D791" s="22">
        <f t="shared" si="47"/>
        <v>466.24989405046961</v>
      </c>
      <c r="E791" s="23">
        <f t="shared" si="48"/>
        <v>-1.0049741025503636</v>
      </c>
      <c r="F791" s="23">
        <f t="shared" si="49"/>
        <v>1.0049741025503636</v>
      </c>
    </row>
    <row r="792" spans="1:6" x14ac:dyDescent="0.3">
      <c r="A792" s="2">
        <v>42999</v>
      </c>
      <c r="B792" s="1">
        <v>38.347499999999997</v>
      </c>
      <c r="C792" s="1">
        <f>'Historical Simulation'!D792</f>
        <v>171.11</v>
      </c>
      <c r="D792" s="22">
        <f t="shared" si="47"/>
        <v>467.25486815301997</v>
      </c>
      <c r="E792" s="23">
        <f t="shared" si="48"/>
        <v>-1.9299482051005725</v>
      </c>
      <c r="F792" s="23">
        <f t="shared" si="49"/>
        <v>1.9299482051005725</v>
      </c>
    </row>
    <row r="793" spans="1:6" x14ac:dyDescent="0.3">
      <c r="A793" s="2">
        <v>42998</v>
      </c>
      <c r="B793" s="1">
        <v>39.017499999999998</v>
      </c>
      <c r="C793" s="1">
        <f>'Historical Simulation'!D793</f>
        <v>172.17</v>
      </c>
      <c r="D793" s="22">
        <f t="shared" si="47"/>
        <v>469.18481635812054</v>
      </c>
      <c r="E793" s="23">
        <f t="shared" si="48"/>
        <v>0.35265047335053623</v>
      </c>
      <c r="F793" s="23">
        <f t="shared" si="49"/>
        <v>-0.35265047335053623</v>
      </c>
    </row>
    <row r="794" spans="1:6" x14ac:dyDescent="0.3">
      <c r="A794" s="2">
        <v>42997</v>
      </c>
      <c r="B794" s="1">
        <v>39.682499999999997</v>
      </c>
      <c r="C794" s="1">
        <f>'Historical Simulation'!D794</f>
        <v>172.52</v>
      </c>
      <c r="D794" s="22">
        <f t="shared" si="47"/>
        <v>468.83216588477001</v>
      </c>
      <c r="E794" s="23">
        <f t="shared" si="48"/>
        <v>8.0754378762209171</v>
      </c>
      <c r="F794" s="23">
        <f t="shared" si="49"/>
        <v>-8.0754378762209171</v>
      </c>
    </row>
    <row r="795" spans="1:6" x14ac:dyDescent="0.3">
      <c r="A795" s="2">
        <v>42996</v>
      </c>
      <c r="B795" s="1">
        <v>39.667499999999997</v>
      </c>
      <c r="C795" s="1">
        <f>'Historical Simulation'!D795</f>
        <v>170.01</v>
      </c>
      <c r="D795" s="22">
        <f t="shared" si="47"/>
        <v>460.75672800854909</v>
      </c>
      <c r="E795" s="23">
        <f t="shared" si="48"/>
        <v>-4.5911698519772699</v>
      </c>
      <c r="F795" s="23">
        <f t="shared" si="49"/>
        <v>4.5911698519772699</v>
      </c>
    </row>
    <row r="796" spans="1:6" x14ac:dyDescent="0.3">
      <c r="A796" s="2">
        <v>42993</v>
      </c>
      <c r="B796" s="1">
        <v>39.97</v>
      </c>
      <c r="C796" s="1">
        <f>'Historical Simulation'!D796</f>
        <v>171.64</v>
      </c>
      <c r="D796" s="22">
        <f t="shared" si="47"/>
        <v>465.34789786052636</v>
      </c>
      <c r="E796" s="23">
        <f t="shared" si="48"/>
        <v>1.3045781985338181</v>
      </c>
      <c r="F796" s="23">
        <f t="shared" si="49"/>
        <v>-1.3045781985338181</v>
      </c>
    </row>
    <row r="797" spans="1:6" x14ac:dyDescent="0.3">
      <c r="A797" s="2">
        <v>42992</v>
      </c>
      <c r="B797" s="1">
        <v>39.57</v>
      </c>
      <c r="C797" s="1">
        <f>'Historical Simulation'!D797</f>
        <v>170.96</v>
      </c>
      <c r="D797" s="22">
        <f t="shared" si="47"/>
        <v>464.04331966199254</v>
      </c>
      <c r="E797" s="23">
        <f t="shared" si="48"/>
        <v>-5.9880371497779947</v>
      </c>
      <c r="F797" s="23">
        <f t="shared" si="49"/>
        <v>5.9880371497779947</v>
      </c>
    </row>
    <row r="798" spans="1:6" x14ac:dyDescent="0.3">
      <c r="A798" s="2">
        <v>42991</v>
      </c>
      <c r="B798" s="1">
        <v>39.912500000000001</v>
      </c>
      <c r="C798" s="1">
        <f>'Historical Simulation'!D798</f>
        <v>173.05</v>
      </c>
      <c r="D798" s="22">
        <f t="shared" si="47"/>
        <v>470.03135681177054</v>
      </c>
      <c r="E798" s="23">
        <f t="shared" si="48"/>
        <v>0.96552479615900211</v>
      </c>
      <c r="F798" s="23">
        <f t="shared" si="49"/>
        <v>-0.96552479615900211</v>
      </c>
    </row>
    <row r="799" spans="1:6" x14ac:dyDescent="0.3">
      <c r="A799" s="2">
        <v>42990</v>
      </c>
      <c r="B799" s="1">
        <v>40.215000000000003</v>
      </c>
      <c r="C799" s="1">
        <f>'Historical Simulation'!D799</f>
        <v>172.96</v>
      </c>
      <c r="D799" s="22">
        <f t="shared" si="47"/>
        <v>469.06583201561153</v>
      </c>
      <c r="E799" s="23">
        <f t="shared" si="48"/>
        <v>-1.4199482051006385</v>
      </c>
      <c r="F799" s="23">
        <f t="shared" si="49"/>
        <v>1.4199482051006385</v>
      </c>
    </row>
    <row r="800" spans="1:6" x14ac:dyDescent="0.3">
      <c r="A800" s="2">
        <v>42989</v>
      </c>
      <c r="B800" s="1">
        <v>40.375</v>
      </c>
      <c r="C800" s="1">
        <f>'Historical Simulation'!D800</f>
        <v>173.51</v>
      </c>
      <c r="D800" s="22">
        <f t="shared" si="47"/>
        <v>470.48578022071217</v>
      </c>
      <c r="E800" s="23">
        <f t="shared" si="48"/>
        <v>6.6699476099947788</v>
      </c>
      <c r="F800" s="23">
        <f t="shared" si="49"/>
        <v>-6.6699476099947788</v>
      </c>
    </row>
    <row r="801" spans="1:6" x14ac:dyDescent="0.3">
      <c r="A801" s="2">
        <v>42986</v>
      </c>
      <c r="B801" s="1">
        <v>39.657499999999999</v>
      </c>
      <c r="C801" s="1">
        <f>'Historical Simulation'!D801</f>
        <v>170.95</v>
      </c>
      <c r="D801" s="22">
        <f t="shared" si="47"/>
        <v>463.81583261071739</v>
      </c>
      <c r="E801" s="23">
        <f t="shared" si="48"/>
        <v>-5.8345948683943902</v>
      </c>
      <c r="F801" s="23">
        <f t="shared" si="49"/>
        <v>5.8345948683943902</v>
      </c>
    </row>
    <row r="802" spans="1:6" x14ac:dyDescent="0.3">
      <c r="A802" s="2">
        <v>42985</v>
      </c>
      <c r="B802" s="1">
        <v>40.314999999999998</v>
      </c>
      <c r="C802" s="1">
        <f>'Historical Simulation'!D802</f>
        <v>173.21</v>
      </c>
      <c r="D802" s="22">
        <f t="shared" si="47"/>
        <v>469.65042747911178</v>
      </c>
      <c r="E802" s="23">
        <f t="shared" si="48"/>
        <v>3.9807912129271585</v>
      </c>
      <c r="F802" s="23">
        <f t="shared" si="49"/>
        <v>-3.9807912129271585</v>
      </c>
    </row>
    <row r="803" spans="1:6" x14ac:dyDescent="0.3">
      <c r="A803" s="2">
        <v>42984</v>
      </c>
      <c r="B803" s="1">
        <v>40.477499999999999</v>
      </c>
      <c r="C803" s="1">
        <f>'Historical Simulation'!D803</f>
        <v>172.09</v>
      </c>
      <c r="D803" s="22">
        <f t="shared" si="47"/>
        <v>465.66963626618463</v>
      </c>
      <c r="E803" s="23">
        <f t="shared" si="48"/>
        <v>4.5207739479607767</v>
      </c>
      <c r="F803" s="23">
        <f t="shared" si="49"/>
        <v>-4.5207739479607767</v>
      </c>
    </row>
    <row r="804" spans="1:6" x14ac:dyDescent="0.3">
      <c r="A804" s="2">
        <v>42983</v>
      </c>
      <c r="B804" s="1">
        <v>40.520000000000003</v>
      </c>
      <c r="C804" s="1">
        <f>'Historical Simulation'!D804</f>
        <v>170.72</v>
      </c>
      <c r="D804" s="22">
        <f t="shared" si="47"/>
        <v>461.14886231822385</v>
      </c>
      <c r="E804" s="23">
        <f t="shared" si="48"/>
        <v>-3.1012389118430406</v>
      </c>
      <c r="F804" s="23">
        <f t="shared" si="49"/>
        <v>3.1012389118430406</v>
      </c>
    </row>
    <row r="805" spans="1:6" x14ac:dyDescent="0.3">
      <c r="A805" s="2">
        <v>42982</v>
      </c>
      <c r="B805" s="1">
        <v>41.012500000000003</v>
      </c>
      <c r="C805" s="1">
        <f>'Historical Simulation'!D805</f>
        <v>172.02</v>
      </c>
      <c r="D805" s="22">
        <f t="shared" si="47"/>
        <v>464.25010123006689</v>
      </c>
      <c r="E805" s="23">
        <f t="shared" si="48"/>
        <v>0</v>
      </c>
      <c r="F805" s="23">
        <f t="shared" si="49"/>
        <v>0</v>
      </c>
    </row>
    <row r="806" spans="1:6" x14ac:dyDescent="0.3">
      <c r="A806" s="2">
        <v>42979</v>
      </c>
      <c r="B806" s="1">
        <v>41.012500000000003</v>
      </c>
      <c r="C806" s="1">
        <f>'Historical Simulation'!D806</f>
        <v>172.02</v>
      </c>
      <c r="D806" s="22">
        <f t="shared" si="47"/>
        <v>464.25010123006689</v>
      </c>
      <c r="E806" s="23">
        <f t="shared" si="48"/>
        <v>0.13364886587510227</v>
      </c>
      <c r="F806" s="23">
        <f t="shared" si="49"/>
        <v>-0.13364886587510227</v>
      </c>
    </row>
    <row r="807" spans="1:6" x14ac:dyDescent="0.3">
      <c r="A807" s="2">
        <v>42978</v>
      </c>
      <c r="B807" s="1">
        <v>41</v>
      </c>
      <c r="C807" s="1">
        <f>'Historical Simulation'!D807</f>
        <v>171.97</v>
      </c>
      <c r="D807" s="22">
        <f t="shared" si="47"/>
        <v>464.11645236419179</v>
      </c>
      <c r="E807" s="23">
        <f t="shared" si="48"/>
        <v>6.2603262490448515</v>
      </c>
      <c r="F807" s="23">
        <f t="shared" si="49"/>
        <v>-6.2603262490448515</v>
      </c>
    </row>
    <row r="808" spans="1:6" x14ac:dyDescent="0.3">
      <c r="A808" s="2">
        <v>42977</v>
      </c>
      <c r="B808" s="1">
        <v>40.837499999999999</v>
      </c>
      <c r="C808" s="1">
        <f>'Historical Simulation'!D808</f>
        <v>169.92</v>
      </c>
      <c r="D808" s="22">
        <f t="shared" si="47"/>
        <v>457.85612611514694</v>
      </c>
      <c r="E808" s="23">
        <f t="shared" si="48"/>
        <v>5.7959201050696834</v>
      </c>
      <c r="F808" s="23">
        <f t="shared" si="49"/>
        <v>-5.7959201050696834</v>
      </c>
    </row>
    <row r="809" spans="1:6" x14ac:dyDescent="0.3">
      <c r="A809" s="2">
        <v>42976</v>
      </c>
      <c r="B809" s="1">
        <v>40.727499999999999</v>
      </c>
      <c r="C809" s="1">
        <f>'Historical Simulation'!D809</f>
        <v>168.05</v>
      </c>
      <c r="D809" s="22">
        <f t="shared" si="47"/>
        <v>452.06020601007725</v>
      </c>
      <c r="E809" s="23">
        <f t="shared" si="48"/>
        <v>1.8137863905008089</v>
      </c>
      <c r="F809" s="23">
        <f t="shared" si="49"/>
        <v>-1.8137863905008089</v>
      </c>
    </row>
    <row r="810" spans="1:6" x14ac:dyDescent="0.3">
      <c r="A810" s="2">
        <v>42975</v>
      </c>
      <c r="B810" s="1">
        <v>40.3675</v>
      </c>
      <c r="C810" s="1">
        <f>'Historical Simulation'!D810</f>
        <v>167.24</v>
      </c>
      <c r="D810" s="22">
        <f t="shared" si="47"/>
        <v>450.24641961957644</v>
      </c>
      <c r="E810" s="23">
        <f t="shared" si="48"/>
        <v>2.0743543490759748</v>
      </c>
      <c r="F810" s="23">
        <f t="shared" si="49"/>
        <v>-2.0743543490759748</v>
      </c>
    </row>
    <row r="811" spans="1:6" x14ac:dyDescent="0.3">
      <c r="A811" s="2">
        <v>42972</v>
      </c>
      <c r="B811" s="1">
        <v>39.965000000000003</v>
      </c>
      <c r="C811" s="1">
        <f>'Historical Simulation'!D811</f>
        <v>166.32</v>
      </c>
      <c r="D811" s="22">
        <f t="shared" si="47"/>
        <v>448.17206527050047</v>
      </c>
      <c r="E811" s="23">
        <f t="shared" si="48"/>
        <v>-4.9165225935777812</v>
      </c>
      <c r="F811" s="23">
        <f t="shared" si="49"/>
        <v>4.9165225935777812</v>
      </c>
    </row>
    <row r="812" spans="1:6" x14ac:dyDescent="0.3">
      <c r="A812" s="2">
        <v>42971</v>
      </c>
      <c r="B812" s="1">
        <v>39.817500000000003</v>
      </c>
      <c r="C812" s="1">
        <f>'Historical Simulation'!D812</f>
        <v>167.74</v>
      </c>
      <c r="D812" s="22">
        <f t="shared" si="47"/>
        <v>453.08858786407825</v>
      </c>
      <c r="E812" s="23">
        <f t="shared" si="48"/>
        <v>-2.7377793654930542</v>
      </c>
      <c r="F812" s="23">
        <f t="shared" si="49"/>
        <v>2.7377793654930542</v>
      </c>
    </row>
    <row r="813" spans="1:6" x14ac:dyDescent="0.3">
      <c r="A813" s="2">
        <v>42970</v>
      </c>
      <c r="B813" s="1">
        <v>39.994999999999997</v>
      </c>
      <c r="C813" s="1">
        <f>'Historical Simulation'!D813</f>
        <v>168.71</v>
      </c>
      <c r="D813" s="22">
        <f t="shared" si="47"/>
        <v>455.8263672295713</v>
      </c>
      <c r="E813" s="23">
        <f t="shared" si="48"/>
        <v>-3.1160236948683178</v>
      </c>
      <c r="F813" s="23">
        <f t="shared" si="49"/>
        <v>3.1160236948683178</v>
      </c>
    </row>
    <row r="814" spans="1:6" x14ac:dyDescent="0.3">
      <c r="A814" s="2">
        <v>42969</v>
      </c>
      <c r="B814" s="1">
        <v>39.945</v>
      </c>
      <c r="C814" s="1">
        <f>'Historical Simulation'!D814</f>
        <v>169.64</v>
      </c>
      <c r="D814" s="22">
        <f t="shared" si="47"/>
        <v>458.94239092443962</v>
      </c>
      <c r="E814" s="23">
        <f t="shared" si="48"/>
        <v>4.5757998454103586</v>
      </c>
      <c r="F814" s="23">
        <f t="shared" si="49"/>
        <v>-4.5757998454103586</v>
      </c>
    </row>
    <row r="815" spans="1:6" x14ac:dyDescent="0.3">
      <c r="A815" s="2">
        <v>42968</v>
      </c>
      <c r="B815" s="1">
        <v>39.302500000000002</v>
      </c>
      <c r="C815" s="1">
        <f>'Historical Simulation'!D815</f>
        <v>167.78</v>
      </c>
      <c r="D815" s="22">
        <f t="shared" si="47"/>
        <v>454.36659107902926</v>
      </c>
      <c r="E815" s="23">
        <f t="shared" si="48"/>
        <v>1.3570566173258385</v>
      </c>
      <c r="F815" s="23">
        <f t="shared" si="49"/>
        <v>-1.3570566173258385</v>
      </c>
    </row>
    <row r="816" spans="1:6" x14ac:dyDescent="0.3">
      <c r="A816" s="2">
        <v>42965</v>
      </c>
      <c r="B816" s="1">
        <v>39.375</v>
      </c>
      <c r="C816" s="1">
        <f>'Historical Simulation'!D816</f>
        <v>167.41</v>
      </c>
      <c r="D816" s="22">
        <f t="shared" si="47"/>
        <v>453.00953446170342</v>
      </c>
      <c r="E816" s="23">
        <f t="shared" si="48"/>
        <v>1.816075489767627</v>
      </c>
      <c r="F816" s="23">
        <f t="shared" si="49"/>
        <v>-1.816075489767627</v>
      </c>
    </row>
    <row r="817" spans="1:6" x14ac:dyDescent="0.3">
      <c r="A817" s="2">
        <v>42964</v>
      </c>
      <c r="B817" s="1">
        <v>39.465000000000003</v>
      </c>
      <c r="C817" s="1">
        <f>'Historical Simulation'!D817</f>
        <v>166.91</v>
      </c>
      <c r="D817" s="22">
        <f t="shared" si="47"/>
        <v>451.1934589719358</v>
      </c>
      <c r="E817" s="23">
        <f t="shared" si="48"/>
        <v>-8.2594999110789331</v>
      </c>
      <c r="F817" s="23">
        <f t="shared" si="49"/>
        <v>8.2594999110789331</v>
      </c>
    </row>
    <row r="818" spans="1:6" x14ac:dyDescent="0.3">
      <c r="A818" s="2">
        <v>42963</v>
      </c>
      <c r="B818" s="1">
        <v>40.237499999999997</v>
      </c>
      <c r="C818" s="1">
        <f>'Historical Simulation'!D818</f>
        <v>170</v>
      </c>
      <c r="D818" s="22">
        <f t="shared" si="47"/>
        <v>459.45295888301473</v>
      </c>
      <c r="E818" s="23">
        <f t="shared" si="48"/>
        <v>-2.8681580045430337</v>
      </c>
      <c r="F818" s="23">
        <f t="shared" si="49"/>
        <v>2.8681580045430337</v>
      </c>
    </row>
    <row r="819" spans="1:6" x14ac:dyDescent="0.3">
      <c r="A819" s="2">
        <v>42962</v>
      </c>
      <c r="B819" s="1">
        <v>40.4</v>
      </c>
      <c r="C819" s="1">
        <f>'Historical Simulation'!D819</f>
        <v>171</v>
      </c>
      <c r="D819" s="22">
        <f t="shared" si="47"/>
        <v>462.32111688755776</v>
      </c>
      <c r="E819" s="23">
        <f t="shared" si="48"/>
        <v>-0.16824432937539768</v>
      </c>
      <c r="F819" s="23">
        <f t="shared" si="49"/>
        <v>0.16824432937539768</v>
      </c>
    </row>
    <row r="820" spans="1:6" x14ac:dyDescent="0.3">
      <c r="A820" s="2">
        <v>42961</v>
      </c>
      <c r="B820" s="1">
        <v>39.962499999999999</v>
      </c>
      <c r="C820" s="1">
        <f>'Historical Simulation'!D820</f>
        <v>170.75</v>
      </c>
      <c r="D820" s="22">
        <f t="shared" si="47"/>
        <v>462.48936121693316</v>
      </c>
      <c r="E820" s="23">
        <f t="shared" si="48"/>
        <v>7.3041471694784832</v>
      </c>
      <c r="F820" s="23">
        <f t="shared" si="49"/>
        <v>-7.3041471694784832</v>
      </c>
    </row>
    <row r="821" spans="1:6" x14ac:dyDescent="0.3">
      <c r="A821" s="2">
        <v>42958</v>
      </c>
      <c r="B821" s="1">
        <v>39.369999999999997</v>
      </c>
      <c r="C821" s="1">
        <f>'Historical Simulation'!D821</f>
        <v>168.08</v>
      </c>
      <c r="D821" s="22">
        <f t="shared" si="47"/>
        <v>455.18521404745468</v>
      </c>
      <c r="E821" s="23">
        <f t="shared" si="48"/>
        <v>0.99228909926699771</v>
      </c>
      <c r="F821" s="23">
        <f t="shared" si="49"/>
        <v>-0.99228909926699771</v>
      </c>
    </row>
    <row r="822" spans="1:6" x14ac:dyDescent="0.3">
      <c r="A822" s="2">
        <v>42957</v>
      </c>
      <c r="B822" s="1">
        <v>38.83</v>
      </c>
      <c r="C822" s="1">
        <f>'Historical Simulation'!D822</f>
        <v>167.4</v>
      </c>
      <c r="D822" s="22">
        <f t="shared" si="47"/>
        <v>454.19292494818768</v>
      </c>
      <c r="E822" s="23">
        <f t="shared" si="48"/>
        <v>-9.0108424127207627</v>
      </c>
      <c r="F822" s="23">
        <f t="shared" si="49"/>
        <v>9.0108424127207627</v>
      </c>
    </row>
    <row r="823" spans="1:6" x14ac:dyDescent="0.3">
      <c r="A823" s="2">
        <v>42956</v>
      </c>
      <c r="B823" s="1">
        <v>40.265000000000001</v>
      </c>
      <c r="C823" s="1">
        <f>'Historical Simulation'!D823</f>
        <v>171.18</v>
      </c>
      <c r="D823" s="22">
        <f t="shared" si="47"/>
        <v>463.20376736090844</v>
      </c>
      <c r="E823" s="23">
        <f t="shared" si="48"/>
        <v>-0.70803774488382487</v>
      </c>
      <c r="F823" s="23">
        <f t="shared" si="49"/>
        <v>0.70803774488382487</v>
      </c>
    </row>
    <row r="824" spans="1:6" x14ac:dyDescent="0.3">
      <c r="A824" s="2">
        <v>42955</v>
      </c>
      <c r="B824" s="1">
        <v>40.020000000000003</v>
      </c>
      <c r="C824" s="1">
        <f>'Historical Simulation'!D824</f>
        <v>171.23</v>
      </c>
      <c r="D824" s="22">
        <f t="shared" si="47"/>
        <v>463.91180510579227</v>
      </c>
      <c r="E824" s="23">
        <f t="shared" si="48"/>
        <v>-3.131204381910095</v>
      </c>
      <c r="F824" s="23">
        <f t="shared" si="49"/>
        <v>3.131204381910095</v>
      </c>
    </row>
    <row r="825" spans="1:6" x14ac:dyDescent="0.3">
      <c r="A825" s="2">
        <v>42954</v>
      </c>
      <c r="B825" s="1">
        <v>39.702500000000001</v>
      </c>
      <c r="C825" s="1">
        <f>'Historical Simulation'!D825</f>
        <v>171.98</v>
      </c>
      <c r="D825" s="22">
        <f t="shared" si="47"/>
        <v>467.04300948770236</v>
      </c>
      <c r="E825" s="23">
        <f t="shared" si="48"/>
        <v>6.2747669229528924</v>
      </c>
      <c r="F825" s="23">
        <f t="shared" si="49"/>
        <v>-6.2747669229528924</v>
      </c>
    </row>
    <row r="826" spans="1:6" x14ac:dyDescent="0.3">
      <c r="A826" s="2">
        <v>42951</v>
      </c>
      <c r="B826" s="1">
        <v>39.097499999999997</v>
      </c>
      <c r="C826" s="1">
        <f>'Historical Simulation'!D826</f>
        <v>169.62</v>
      </c>
      <c r="D826" s="22">
        <f t="shared" si="47"/>
        <v>460.76824256474947</v>
      </c>
      <c r="E826" s="23">
        <f t="shared" si="48"/>
        <v>2.8702750492515179</v>
      </c>
      <c r="F826" s="23">
        <f t="shared" si="49"/>
        <v>-2.8702750492515179</v>
      </c>
    </row>
    <row r="827" spans="1:6" x14ac:dyDescent="0.3">
      <c r="A827" s="2">
        <v>42950</v>
      </c>
      <c r="B827" s="1">
        <v>38.892499999999998</v>
      </c>
      <c r="C827" s="1">
        <f>'Historical Simulation'!D827</f>
        <v>168.59</v>
      </c>
      <c r="D827" s="22">
        <f t="shared" si="47"/>
        <v>457.89796751549795</v>
      </c>
      <c r="E827" s="23">
        <f t="shared" si="48"/>
        <v>-1.4182270644088817</v>
      </c>
      <c r="F827" s="23">
        <f t="shared" si="49"/>
        <v>1.4182270644088817</v>
      </c>
    </row>
    <row r="828" spans="1:6" x14ac:dyDescent="0.3">
      <c r="A828" s="2">
        <v>42949</v>
      </c>
      <c r="B828" s="1">
        <v>39.284999999999997</v>
      </c>
      <c r="C828" s="1">
        <f>'Historical Simulation'!D828</f>
        <v>169.3</v>
      </c>
      <c r="D828" s="22">
        <f t="shared" si="47"/>
        <v>459.31619457990683</v>
      </c>
      <c r="E828" s="23">
        <f t="shared" si="48"/>
        <v>-5.7629594574290763</v>
      </c>
      <c r="F828" s="23">
        <f t="shared" si="49"/>
        <v>5.7629594574290763</v>
      </c>
    </row>
    <row r="829" spans="1:6" x14ac:dyDescent="0.3">
      <c r="A829" s="2">
        <v>42948</v>
      </c>
      <c r="B829" s="1">
        <v>37.512500000000003</v>
      </c>
      <c r="C829" s="1">
        <f>'Historical Simulation'!D829</f>
        <v>169.86</v>
      </c>
      <c r="D829" s="22">
        <f t="shared" si="47"/>
        <v>465.07915403733591</v>
      </c>
      <c r="E829" s="23">
        <f t="shared" si="48"/>
        <v>1.2345781985338249</v>
      </c>
      <c r="F829" s="23">
        <f t="shared" si="49"/>
        <v>-1.2345781985338249</v>
      </c>
    </row>
    <row r="830" spans="1:6" x14ac:dyDescent="0.3">
      <c r="A830" s="2">
        <v>42947</v>
      </c>
      <c r="B830" s="1">
        <v>37.182499999999997</v>
      </c>
      <c r="C830" s="1">
        <f>'Historical Simulation'!D830</f>
        <v>169.25</v>
      </c>
      <c r="D830" s="22">
        <f t="shared" si="47"/>
        <v>463.84457583880209</v>
      </c>
      <c r="E830" s="23">
        <f t="shared" si="48"/>
        <v>-9.9086390431800169</v>
      </c>
      <c r="F830" s="23">
        <f t="shared" si="49"/>
        <v>9.9086390431800169</v>
      </c>
    </row>
    <row r="831" spans="1:6" x14ac:dyDescent="0.3">
      <c r="A831" s="2">
        <v>42944</v>
      </c>
      <c r="B831" s="1">
        <v>37.375</v>
      </c>
      <c r="C831" s="1">
        <f>'Historical Simulation'!D831</f>
        <v>172.45</v>
      </c>
      <c r="D831" s="22">
        <f t="shared" si="47"/>
        <v>473.7532148819821</v>
      </c>
      <c r="E831" s="23">
        <f t="shared" si="48"/>
        <v>7.0846978630871718</v>
      </c>
      <c r="F831" s="23">
        <f t="shared" si="49"/>
        <v>-7.0846978630871718</v>
      </c>
    </row>
    <row r="832" spans="1:6" x14ac:dyDescent="0.3">
      <c r="A832" s="2">
        <v>42943</v>
      </c>
      <c r="B832" s="1">
        <v>37.64</v>
      </c>
      <c r="C832" s="1">
        <f>'Historical Simulation'!D832</f>
        <v>170.44</v>
      </c>
      <c r="D832" s="22">
        <f t="shared" si="47"/>
        <v>466.66851701889493</v>
      </c>
      <c r="E832" s="23">
        <f t="shared" si="48"/>
        <v>17.221185331626145</v>
      </c>
      <c r="F832" s="23">
        <f t="shared" si="49"/>
        <v>-17.221185331626145</v>
      </c>
    </row>
    <row r="833" spans="1:6" x14ac:dyDescent="0.3">
      <c r="A833" s="2">
        <v>42942</v>
      </c>
      <c r="B833" s="1">
        <v>38.365000000000002</v>
      </c>
      <c r="C833" s="1">
        <f>'Historical Simulation'!D833</f>
        <v>165.61</v>
      </c>
      <c r="D833" s="22">
        <f t="shared" si="47"/>
        <v>449.44733168726879</v>
      </c>
      <c r="E833" s="23">
        <f t="shared" si="48"/>
        <v>0.66459546350023402</v>
      </c>
      <c r="F833" s="23">
        <f t="shared" si="49"/>
        <v>-0.66459546350023402</v>
      </c>
    </row>
    <row r="834" spans="1:6" x14ac:dyDescent="0.3">
      <c r="A834" s="2">
        <v>42941</v>
      </c>
      <c r="B834" s="1">
        <v>38.185000000000002</v>
      </c>
      <c r="C834" s="1">
        <f>'Historical Simulation'!D834</f>
        <v>165.28</v>
      </c>
      <c r="D834" s="22">
        <f t="shared" si="47"/>
        <v>448.78273622376855</v>
      </c>
      <c r="E834" s="23">
        <f t="shared" si="48"/>
        <v>-2.6885366435931246</v>
      </c>
      <c r="F834" s="23">
        <f t="shared" si="49"/>
        <v>2.6885366435931246</v>
      </c>
    </row>
    <row r="835" spans="1:6" x14ac:dyDescent="0.3">
      <c r="A835" s="2">
        <v>42940</v>
      </c>
      <c r="B835" s="1">
        <v>38.022500000000001</v>
      </c>
      <c r="C835" s="1">
        <f>'Historical Simulation'!D835</f>
        <v>166</v>
      </c>
      <c r="D835" s="22">
        <f t="shared" si="47"/>
        <v>451.47127286736168</v>
      </c>
      <c r="E835" s="23">
        <f t="shared" si="48"/>
        <v>4.0571596120186086</v>
      </c>
      <c r="F835" s="23">
        <f t="shared" si="49"/>
        <v>-4.0571596120186086</v>
      </c>
    </row>
    <row r="836" spans="1:6" x14ac:dyDescent="0.3">
      <c r="A836" s="2">
        <v>42937</v>
      </c>
      <c r="B836" s="1">
        <v>37.567500000000003</v>
      </c>
      <c r="C836" s="1">
        <f>'Historical Simulation'!D836</f>
        <v>164.43</v>
      </c>
      <c r="D836" s="22">
        <f t="shared" si="47"/>
        <v>447.41411325534307</v>
      </c>
      <c r="E836" s="23">
        <f t="shared" si="48"/>
        <v>-0.28402750492512041</v>
      </c>
      <c r="F836" s="23">
        <f t="shared" si="49"/>
        <v>0.28402750492512041</v>
      </c>
    </row>
    <row r="837" spans="1:6" x14ac:dyDescent="0.3">
      <c r="A837" s="2">
        <v>42936</v>
      </c>
      <c r="B837" s="1">
        <v>37.585000000000001</v>
      </c>
      <c r="C837" s="1">
        <f>'Historical Simulation'!D837</f>
        <v>164.53</v>
      </c>
      <c r="D837" s="22">
        <f t="shared" si="47"/>
        <v>447.69814076026819</v>
      </c>
      <c r="E837" s="23">
        <f t="shared" si="48"/>
        <v>1.6391563970676657</v>
      </c>
      <c r="F837" s="23">
        <f t="shared" si="49"/>
        <v>-1.6391563970676657</v>
      </c>
    </row>
    <row r="838" spans="1:6" x14ac:dyDescent="0.3">
      <c r="A838" s="2">
        <v>42935</v>
      </c>
      <c r="B838" s="1">
        <v>37.755000000000003</v>
      </c>
      <c r="C838" s="1">
        <f>'Historical Simulation'!D838</f>
        <v>164.14</v>
      </c>
      <c r="D838" s="22">
        <f t="shared" ref="D838:D901" si="50">$M$16*B838+(1-$M$16)*C838</f>
        <v>446.05898436320052</v>
      </c>
      <c r="E838" s="23">
        <f t="shared" ref="E838:E901" si="51">D838-D839</f>
        <v>3.611015062384979</v>
      </c>
      <c r="F838" s="23">
        <f t="shared" ref="F838:F901" si="52">-E838</f>
        <v>-3.611015062384979</v>
      </c>
    </row>
    <row r="839" spans="1:6" x14ac:dyDescent="0.3">
      <c r="A839" s="2">
        <v>42934</v>
      </c>
      <c r="B839" s="1">
        <v>37.520000000000003</v>
      </c>
      <c r="C839" s="1">
        <f>'Historical Simulation'!D839</f>
        <v>162.86000000000001</v>
      </c>
      <c r="D839" s="22">
        <f t="shared" si="50"/>
        <v>442.44796930081554</v>
      </c>
      <c r="E839" s="23">
        <f t="shared" si="51"/>
        <v>9.8219092700052784</v>
      </c>
      <c r="F839" s="23">
        <f t="shared" si="52"/>
        <v>-9.8219092700052784</v>
      </c>
    </row>
    <row r="840" spans="1:6" x14ac:dyDescent="0.3">
      <c r="A840" s="2">
        <v>42933</v>
      </c>
      <c r="B840" s="1">
        <v>37.39</v>
      </c>
      <c r="C840" s="1">
        <f>'Historical Simulation'!D840</f>
        <v>159.72999999999999</v>
      </c>
      <c r="D840" s="22">
        <f t="shared" si="50"/>
        <v>432.62606003081027</v>
      </c>
      <c r="E840" s="23">
        <f t="shared" si="51"/>
        <v>-1.0653354766340613</v>
      </c>
      <c r="F840" s="23">
        <f t="shared" si="52"/>
        <v>1.0653354766340613</v>
      </c>
    </row>
    <row r="841" spans="1:6" x14ac:dyDescent="0.3">
      <c r="A841" s="2">
        <v>42930</v>
      </c>
      <c r="B841" s="1">
        <v>37.26</v>
      </c>
      <c r="C841" s="1">
        <f>'Historical Simulation'!D841</f>
        <v>159.97</v>
      </c>
      <c r="D841" s="22">
        <f t="shared" si="50"/>
        <v>433.69139550744433</v>
      </c>
      <c r="E841" s="23">
        <f t="shared" si="51"/>
        <v>1.5855247961590635</v>
      </c>
      <c r="F841" s="23">
        <f t="shared" si="52"/>
        <v>-1.5855247961590635</v>
      </c>
    </row>
    <row r="842" spans="1:6" x14ac:dyDescent="0.3">
      <c r="A842" s="2">
        <v>42929</v>
      </c>
      <c r="B842" s="1">
        <v>36.942500000000003</v>
      </c>
      <c r="C842" s="1">
        <f>'Historical Simulation'!D842</f>
        <v>159.26</v>
      </c>
      <c r="D842" s="22">
        <f t="shared" si="50"/>
        <v>432.10587071128526</v>
      </c>
      <c r="E842" s="23">
        <f t="shared" si="51"/>
        <v>3.0981127558050048E-2</v>
      </c>
      <c r="F842" s="23">
        <f t="shared" si="52"/>
        <v>-3.0981127558050048E-2</v>
      </c>
    </row>
    <row r="843" spans="1:6" x14ac:dyDescent="0.3">
      <c r="A843" s="2">
        <v>42928</v>
      </c>
      <c r="B843" s="1">
        <v>36.435000000000002</v>
      </c>
      <c r="C843" s="1">
        <f>'Historical Simulation'!D843</f>
        <v>158.9</v>
      </c>
      <c r="D843" s="22">
        <f t="shared" si="50"/>
        <v>432.07488958372721</v>
      </c>
      <c r="E843" s="23">
        <f t="shared" si="51"/>
        <v>11.610101804481133</v>
      </c>
      <c r="F843" s="23">
        <f t="shared" si="52"/>
        <v>-11.610101804481133</v>
      </c>
    </row>
    <row r="844" spans="1:6" x14ac:dyDescent="0.3">
      <c r="A844" s="2">
        <v>42927</v>
      </c>
      <c r="B844" s="1">
        <v>36.3825</v>
      </c>
      <c r="C844" s="1">
        <f>'Historical Simulation'!D844</f>
        <v>155.27000000000001</v>
      </c>
      <c r="D844" s="22">
        <f t="shared" si="50"/>
        <v>420.46478777924608</v>
      </c>
      <c r="E844" s="23">
        <f t="shared" si="51"/>
        <v>5.456126689561188</v>
      </c>
      <c r="F844" s="23">
        <f t="shared" si="52"/>
        <v>-5.456126689561188</v>
      </c>
    </row>
    <row r="845" spans="1:6" x14ac:dyDescent="0.3">
      <c r="A845" s="2">
        <v>42926</v>
      </c>
      <c r="B845" s="1">
        <v>36.265000000000001</v>
      </c>
      <c r="C845" s="1">
        <f>'Historical Simulation'!D845</f>
        <v>153.5</v>
      </c>
      <c r="D845" s="22">
        <f t="shared" si="50"/>
        <v>415.00866108968489</v>
      </c>
      <c r="E845" s="23">
        <f t="shared" si="51"/>
        <v>6.1643710189365493</v>
      </c>
      <c r="F845" s="23">
        <f t="shared" si="52"/>
        <v>-6.1643710189365493</v>
      </c>
    </row>
    <row r="846" spans="1:6" x14ac:dyDescent="0.3">
      <c r="A846" s="2">
        <v>42923</v>
      </c>
      <c r="B846" s="1">
        <v>36.045000000000002</v>
      </c>
      <c r="C846" s="1">
        <f>'Historical Simulation'!D846</f>
        <v>151.44</v>
      </c>
      <c r="D846" s="22">
        <f t="shared" si="50"/>
        <v>408.84429007074834</v>
      </c>
      <c r="E846" s="23">
        <f t="shared" si="51"/>
        <v>7.6556617256788968</v>
      </c>
      <c r="F846" s="23">
        <f t="shared" si="52"/>
        <v>-7.6556617256788968</v>
      </c>
    </row>
    <row r="847" spans="1:6" x14ac:dyDescent="0.3">
      <c r="A847" s="2">
        <v>42922</v>
      </c>
      <c r="B847" s="1">
        <v>35.682499999999997</v>
      </c>
      <c r="C847" s="1">
        <f>'Historical Simulation'!D847</f>
        <v>148.82</v>
      </c>
      <c r="D847" s="22">
        <f t="shared" si="50"/>
        <v>401.18862834506945</v>
      </c>
      <c r="E847" s="23">
        <f t="shared" si="51"/>
        <v>-4.1521509795354632</v>
      </c>
      <c r="F847" s="23">
        <f t="shared" si="52"/>
        <v>4.1521509795354632</v>
      </c>
    </row>
    <row r="848" spans="1:6" x14ac:dyDescent="0.3">
      <c r="A848" s="2">
        <v>42921</v>
      </c>
      <c r="B848" s="1">
        <v>36.022500000000001</v>
      </c>
      <c r="C848" s="1">
        <f>'Historical Simulation'!D848</f>
        <v>150.34</v>
      </c>
      <c r="D848" s="22">
        <f t="shared" si="50"/>
        <v>405.34077932460491</v>
      </c>
      <c r="E848" s="23">
        <f t="shared" si="51"/>
        <v>5.841496696128047</v>
      </c>
      <c r="F848" s="23">
        <f t="shared" si="52"/>
        <v>-5.841496696128047</v>
      </c>
    </row>
    <row r="849" spans="1:6" x14ac:dyDescent="0.3">
      <c r="A849" s="2">
        <v>42920</v>
      </c>
      <c r="B849" s="1">
        <v>35.875</v>
      </c>
      <c r="C849" s="1">
        <f>'Historical Simulation'!D849</f>
        <v>148.43</v>
      </c>
      <c r="D849" s="22">
        <f t="shared" si="50"/>
        <v>399.49928262847686</v>
      </c>
      <c r="E849" s="23">
        <f t="shared" si="51"/>
        <v>0</v>
      </c>
      <c r="F849" s="23">
        <f t="shared" si="52"/>
        <v>0</v>
      </c>
    </row>
    <row r="850" spans="1:6" x14ac:dyDescent="0.3">
      <c r="A850" s="2">
        <v>42919</v>
      </c>
      <c r="B850" s="1">
        <v>35.875</v>
      </c>
      <c r="C850" s="1">
        <f>'Historical Simulation'!D850</f>
        <v>148.43</v>
      </c>
      <c r="D850" s="22">
        <f t="shared" si="50"/>
        <v>399.49928262847686</v>
      </c>
      <c r="E850" s="23">
        <f t="shared" si="51"/>
        <v>-7.9481401444707558</v>
      </c>
      <c r="F850" s="23">
        <f t="shared" si="52"/>
        <v>7.9481401444707558</v>
      </c>
    </row>
    <row r="851" spans="1:6" x14ac:dyDescent="0.3">
      <c r="A851" s="2">
        <v>42916</v>
      </c>
      <c r="B851" s="1">
        <v>36.005000000000003</v>
      </c>
      <c r="C851" s="1">
        <f>'Historical Simulation'!D851</f>
        <v>150.97999999999999</v>
      </c>
      <c r="D851" s="22">
        <f t="shared" si="50"/>
        <v>407.44742277294762</v>
      </c>
      <c r="E851" s="23">
        <f t="shared" si="51"/>
        <v>-0.38344228138356584</v>
      </c>
      <c r="F851" s="23">
        <f t="shared" si="52"/>
        <v>0.38344228138356584</v>
      </c>
    </row>
    <row r="852" spans="1:6" x14ac:dyDescent="0.3">
      <c r="A852" s="2">
        <v>42915</v>
      </c>
      <c r="B852" s="1">
        <v>35.92</v>
      </c>
      <c r="C852" s="1">
        <f>'Historical Simulation'!D852</f>
        <v>151.04</v>
      </c>
      <c r="D852" s="22">
        <f t="shared" si="50"/>
        <v>407.83086505433118</v>
      </c>
      <c r="E852" s="23">
        <f t="shared" si="51"/>
        <v>-5.9084330537945675</v>
      </c>
      <c r="F852" s="23">
        <f t="shared" si="52"/>
        <v>5.9084330537945675</v>
      </c>
    </row>
    <row r="853" spans="1:6" x14ac:dyDescent="0.3">
      <c r="A853" s="2">
        <v>42914</v>
      </c>
      <c r="B853" s="1">
        <v>36.457500000000003</v>
      </c>
      <c r="C853" s="1">
        <f>'Historical Simulation'!D853</f>
        <v>153.24</v>
      </c>
      <c r="D853" s="22">
        <f t="shared" si="50"/>
        <v>413.73929810812575</v>
      </c>
      <c r="E853" s="23">
        <f t="shared" si="51"/>
        <v>7.4224087638202718</v>
      </c>
      <c r="F853" s="23">
        <f t="shared" si="52"/>
        <v>-7.4224087638202718</v>
      </c>
    </row>
    <row r="854" spans="1:6" x14ac:dyDescent="0.3">
      <c r="A854" s="2">
        <v>42913</v>
      </c>
      <c r="B854" s="1">
        <v>35.932499999999997</v>
      </c>
      <c r="C854" s="1">
        <f>'Historical Simulation'!D854</f>
        <v>150.58000000000001</v>
      </c>
      <c r="D854" s="22">
        <f t="shared" si="50"/>
        <v>406.31688934430548</v>
      </c>
      <c r="E854" s="23">
        <f t="shared" si="51"/>
        <v>-8.5587081030459444</v>
      </c>
      <c r="F854" s="23">
        <f t="shared" si="52"/>
        <v>8.5587081030459444</v>
      </c>
    </row>
    <row r="855" spans="1:6" x14ac:dyDescent="0.3">
      <c r="A855" s="2">
        <v>42912</v>
      </c>
      <c r="B855" s="1">
        <v>36.454999999999998</v>
      </c>
      <c r="C855" s="1">
        <f>'Historical Simulation'!D855</f>
        <v>153.59</v>
      </c>
      <c r="D855" s="22">
        <f t="shared" si="50"/>
        <v>414.87559744735142</v>
      </c>
      <c r="E855" s="23">
        <f t="shared" si="51"/>
        <v>-4.5248187178522699</v>
      </c>
      <c r="F855" s="23">
        <f t="shared" si="52"/>
        <v>4.5248187178522699</v>
      </c>
    </row>
    <row r="856" spans="1:6" x14ac:dyDescent="0.3">
      <c r="A856" s="2">
        <v>42909</v>
      </c>
      <c r="B856" s="1">
        <v>36.57</v>
      </c>
      <c r="C856" s="1">
        <f>'Historical Simulation'!D856</f>
        <v>155.07</v>
      </c>
      <c r="D856" s="22">
        <f t="shared" si="50"/>
        <v>419.40041616520369</v>
      </c>
      <c r="E856" s="23">
        <f t="shared" si="51"/>
        <v>5.0326844081775448</v>
      </c>
      <c r="F856" s="23">
        <f t="shared" si="52"/>
        <v>-5.0326844081775448</v>
      </c>
    </row>
    <row r="857" spans="1:6" x14ac:dyDescent="0.3">
      <c r="A857" s="2">
        <v>42908</v>
      </c>
      <c r="B857" s="1">
        <v>36.407499999999999</v>
      </c>
      <c r="C857" s="1">
        <f>'Historical Simulation'!D857</f>
        <v>153.4</v>
      </c>
      <c r="D857" s="22">
        <f t="shared" si="50"/>
        <v>414.36773175702615</v>
      </c>
      <c r="E857" s="23">
        <f t="shared" si="51"/>
        <v>-1.5137863905007407</v>
      </c>
      <c r="F857" s="23">
        <f t="shared" si="52"/>
        <v>1.5137863905007407</v>
      </c>
    </row>
    <row r="858" spans="1:6" x14ac:dyDescent="0.3">
      <c r="A858" s="2">
        <v>42907</v>
      </c>
      <c r="B858" s="1">
        <v>36.467500000000001</v>
      </c>
      <c r="C858" s="1">
        <f>'Historical Simulation'!D858</f>
        <v>153.91</v>
      </c>
      <c r="D858" s="22">
        <f t="shared" si="50"/>
        <v>415.88151814752689</v>
      </c>
      <c r="E858" s="23">
        <f t="shared" si="51"/>
        <v>4.8832696317191449</v>
      </c>
      <c r="F858" s="23">
        <f t="shared" si="52"/>
        <v>-4.8832696317191449</v>
      </c>
    </row>
    <row r="859" spans="1:6" x14ac:dyDescent="0.3">
      <c r="A859" s="2">
        <v>42906</v>
      </c>
      <c r="B859" s="1">
        <v>36.252499999999998</v>
      </c>
      <c r="C859" s="1">
        <f>'Historical Simulation'!D859</f>
        <v>152.25</v>
      </c>
      <c r="D859" s="22">
        <f t="shared" si="50"/>
        <v>410.99824851580775</v>
      </c>
      <c r="E859" s="23">
        <f t="shared" si="51"/>
        <v>-1.2613079717088453</v>
      </c>
      <c r="F859" s="23">
        <f t="shared" si="52"/>
        <v>1.2613079717088453</v>
      </c>
    </row>
    <row r="860" spans="1:6" x14ac:dyDescent="0.3">
      <c r="A860" s="2">
        <v>42905</v>
      </c>
      <c r="B860" s="1">
        <v>36.585000000000001</v>
      </c>
      <c r="C860" s="1">
        <f>'Historical Simulation'!D860</f>
        <v>152.87</v>
      </c>
      <c r="D860" s="22">
        <f t="shared" si="50"/>
        <v>412.25955648751659</v>
      </c>
      <c r="E860" s="23">
        <f t="shared" si="51"/>
        <v>4.9346466632937904</v>
      </c>
      <c r="F860" s="23">
        <f t="shared" si="52"/>
        <v>-4.9346466632937904</v>
      </c>
    </row>
    <row r="861" spans="1:6" x14ac:dyDescent="0.3">
      <c r="A861" s="2">
        <v>42902</v>
      </c>
      <c r="B861" s="1">
        <v>35.567500000000003</v>
      </c>
      <c r="C861" s="1">
        <f>'Historical Simulation'!D861</f>
        <v>150.63999999999999</v>
      </c>
      <c r="D861" s="22">
        <f t="shared" si="50"/>
        <v>407.3249098242228</v>
      </c>
      <c r="E861" s="23">
        <f t="shared" si="51"/>
        <v>3.8402059893855949</v>
      </c>
      <c r="F861" s="23">
        <f t="shared" si="52"/>
        <v>-3.8402059893855949</v>
      </c>
    </row>
    <row r="862" spans="1:6" x14ac:dyDescent="0.3">
      <c r="A862" s="2">
        <v>42901</v>
      </c>
      <c r="B862" s="1">
        <v>36.072499999999998</v>
      </c>
      <c r="C862" s="1">
        <f>'Historical Simulation'!D862</f>
        <v>149.80000000000001</v>
      </c>
      <c r="D862" s="22">
        <f t="shared" si="50"/>
        <v>403.48470383483721</v>
      </c>
      <c r="E862" s="23">
        <f t="shared" si="51"/>
        <v>-0.96862296842539308</v>
      </c>
      <c r="F862" s="23">
        <f t="shared" si="52"/>
        <v>0.96862296842539308</v>
      </c>
    </row>
    <row r="863" spans="1:6" x14ac:dyDescent="0.3">
      <c r="A863" s="2">
        <v>42900</v>
      </c>
      <c r="B863" s="1">
        <v>36.29</v>
      </c>
      <c r="C863" s="1">
        <f>'Historical Simulation'!D863</f>
        <v>150.25</v>
      </c>
      <c r="D863" s="22">
        <f t="shared" si="50"/>
        <v>404.4533268032626</v>
      </c>
      <c r="E863" s="23">
        <f t="shared" si="51"/>
        <v>-0.59172114069178861</v>
      </c>
      <c r="F863" s="23">
        <f t="shared" si="52"/>
        <v>0.59172114069178861</v>
      </c>
    </row>
    <row r="864" spans="1:6" x14ac:dyDescent="0.3">
      <c r="A864" s="2">
        <v>42899</v>
      </c>
      <c r="B864" s="1">
        <v>36.647500000000001</v>
      </c>
      <c r="C864" s="1">
        <f>'Historical Simulation'!D864</f>
        <v>150.68</v>
      </c>
      <c r="D864" s="22">
        <f t="shared" si="50"/>
        <v>405.04504794395439</v>
      </c>
      <c r="E864" s="23">
        <f t="shared" si="51"/>
        <v>6.5841644344450287</v>
      </c>
      <c r="F864" s="23">
        <f t="shared" si="52"/>
        <v>-6.5841644344450287</v>
      </c>
    </row>
    <row r="865" spans="1:6" x14ac:dyDescent="0.3">
      <c r="A865" s="2">
        <v>42898</v>
      </c>
      <c r="B865" s="1">
        <v>36.354999999999997</v>
      </c>
      <c r="C865" s="1">
        <f>'Historical Simulation'!D865</f>
        <v>148.44</v>
      </c>
      <c r="D865" s="22">
        <f t="shared" si="50"/>
        <v>398.46088350950936</v>
      </c>
      <c r="E865" s="23">
        <f t="shared" si="51"/>
        <v>-1.7622718343004067</v>
      </c>
      <c r="F865" s="23">
        <f t="shared" si="52"/>
        <v>1.7622718343004067</v>
      </c>
    </row>
    <row r="866" spans="1:6" x14ac:dyDescent="0.3">
      <c r="A866" s="2">
        <v>42895</v>
      </c>
      <c r="B866" s="1">
        <v>37.244999999999997</v>
      </c>
      <c r="C866" s="1">
        <f>'Historical Simulation'!D866</f>
        <v>149.6</v>
      </c>
      <c r="D866" s="22">
        <f t="shared" si="50"/>
        <v>400.22315534380976</v>
      </c>
      <c r="E866" s="23">
        <f t="shared" si="51"/>
        <v>-13.157020897181269</v>
      </c>
      <c r="F866" s="23">
        <f t="shared" si="52"/>
        <v>13.157020897181269</v>
      </c>
    </row>
    <row r="867" spans="1:6" x14ac:dyDescent="0.3">
      <c r="A867" s="2">
        <v>42894</v>
      </c>
      <c r="B867" s="1">
        <v>38.747500000000002</v>
      </c>
      <c r="C867" s="1">
        <f>'Historical Simulation'!D867</f>
        <v>154.71</v>
      </c>
      <c r="D867" s="22">
        <f t="shared" si="50"/>
        <v>413.38017624099103</v>
      </c>
      <c r="E867" s="23">
        <f t="shared" si="51"/>
        <v>5.3486223733195288</v>
      </c>
      <c r="F867" s="23">
        <f t="shared" si="52"/>
        <v>-5.3486223733195288</v>
      </c>
    </row>
    <row r="868" spans="1:6" x14ac:dyDescent="0.3">
      <c r="A868" s="2">
        <v>42893</v>
      </c>
      <c r="B868" s="1">
        <v>38.842500000000001</v>
      </c>
      <c r="C868" s="1">
        <f>'Historical Simulation'!D868</f>
        <v>153.12</v>
      </c>
      <c r="D868" s="22">
        <f t="shared" si="50"/>
        <v>408.03155386767151</v>
      </c>
      <c r="E868" s="23">
        <f t="shared" si="51"/>
        <v>0.48845091386681361</v>
      </c>
      <c r="F868" s="23">
        <f t="shared" si="52"/>
        <v>-0.48845091386681361</v>
      </c>
    </row>
    <row r="869" spans="1:6" x14ac:dyDescent="0.3">
      <c r="A869" s="2">
        <v>42892</v>
      </c>
      <c r="B869" s="1">
        <v>38.612499999999997</v>
      </c>
      <c r="C869" s="1">
        <f>'Historical Simulation'!D869</f>
        <v>152.81</v>
      </c>
      <c r="D869" s="22">
        <f t="shared" si="50"/>
        <v>407.54310295380469</v>
      </c>
      <c r="E869" s="23">
        <f t="shared" si="51"/>
        <v>-2.9391046021681859</v>
      </c>
      <c r="F869" s="23">
        <f t="shared" si="52"/>
        <v>2.9391046021681859</v>
      </c>
    </row>
    <row r="870" spans="1:6" x14ac:dyDescent="0.3">
      <c r="A870" s="2">
        <v>42891</v>
      </c>
      <c r="B870" s="1">
        <v>38.482500000000002</v>
      </c>
      <c r="C870" s="1">
        <f>'Historical Simulation'!D870</f>
        <v>153.63</v>
      </c>
      <c r="D870" s="22">
        <f t="shared" si="50"/>
        <v>410.48220755597288</v>
      </c>
      <c r="E870" s="23">
        <f t="shared" si="51"/>
        <v>0.91225456933386795</v>
      </c>
      <c r="F870" s="23">
        <f t="shared" si="52"/>
        <v>-0.91225456933386795</v>
      </c>
    </row>
    <row r="871" spans="1:6" x14ac:dyDescent="0.3">
      <c r="A871" s="2">
        <v>42888</v>
      </c>
      <c r="B871" s="1">
        <v>38.862499999999997</v>
      </c>
      <c r="C871" s="1">
        <f>'Historical Simulation'!D871</f>
        <v>153.61000000000001</v>
      </c>
      <c r="D871" s="22">
        <f t="shared" si="50"/>
        <v>409.56995298663901</v>
      </c>
      <c r="E871" s="23">
        <f t="shared" si="51"/>
        <v>5.4538375902943699</v>
      </c>
      <c r="F871" s="23">
        <f t="shared" si="52"/>
        <v>-5.4538375902943699</v>
      </c>
    </row>
    <row r="872" spans="1:6" x14ac:dyDescent="0.3">
      <c r="A872" s="2">
        <v>42887</v>
      </c>
      <c r="B872" s="1">
        <v>38.295000000000002</v>
      </c>
      <c r="C872" s="1">
        <f>'Historical Simulation'!D872</f>
        <v>151.53</v>
      </c>
      <c r="D872" s="22">
        <f t="shared" si="50"/>
        <v>404.11611539634464</v>
      </c>
      <c r="E872" s="23">
        <f t="shared" si="51"/>
        <v>-8.0722748167545433E-3</v>
      </c>
      <c r="F872" s="23">
        <f t="shared" si="52"/>
        <v>8.0722748167545433E-3</v>
      </c>
    </row>
    <row r="873" spans="1:6" x14ac:dyDescent="0.3">
      <c r="A873" s="2">
        <v>42886</v>
      </c>
      <c r="B873" s="1">
        <v>38.19</v>
      </c>
      <c r="C873" s="1">
        <f>'Historical Simulation'!D873</f>
        <v>151.46</v>
      </c>
      <c r="D873" s="22">
        <f t="shared" si="50"/>
        <v>404.12418767116139</v>
      </c>
      <c r="E873" s="23">
        <f t="shared" si="51"/>
        <v>-2.4647157231594861</v>
      </c>
      <c r="F873" s="23">
        <f t="shared" si="52"/>
        <v>2.4647157231594861</v>
      </c>
    </row>
    <row r="874" spans="1:6" x14ac:dyDescent="0.3">
      <c r="A874" s="2">
        <v>42885</v>
      </c>
      <c r="B874" s="1">
        <v>38.417499999999997</v>
      </c>
      <c r="C874" s="1">
        <f>'Historical Simulation'!D874</f>
        <v>152.38</v>
      </c>
      <c r="D874" s="22">
        <f t="shared" si="50"/>
        <v>406.58890339432088</v>
      </c>
      <c r="E874" s="23">
        <f t="shared" si="51"/>
        <v>0.77419955948374763</v>
      </c>
      <c r="F874" s="23">
        <f t="shared" si="52"/>
        <v>-0.77419955948374763</v>
      </c>
    </row>
    <row r="875" spans="1:6" x14ac:dyDescent="0.3">
      <c r="A875" s="2">
        <v>42884</v>
      </c>
      <c r="B875" s="1">
        <v>38.402500000000003</v>
      </c>
      <c r="C875" s="1">
        <f>'Historical Simulation'!D875</f>
        <v>152.13</v>
      </c>
      <c r="D875" s="22">
        <f t="shared" si="50"/>
        <v>405.81470383483713</v>
      </c>
      <c r="E875" s="23">
        <f t="shared" si="51"/>
        <v>0</v>
      </c>
      <c r="F875" s="23">
        <f t="shared" si="52"/>
        <v>0</v>
      </c>
    </row>
    <row r="876" spans="1:6" x14ac:dyDescent="0.3">
      <c r="A876" s="2">
        <v>42881</v>
      </c>
      <c r="B876" s="1">
        <v>38.402500000000003</v>
      </c>
      <c r="C876" s="1">
        <f>'Historical Simulation'!D876</f>
        <v>152.13</v>
      </c>
      <c r="D876" s="22">
        <f t="shared" si="50"/>
        <v>405.81470383483713</v>
      </c>
      <c r="E876" s="23">
        <f t="shared" si="51"/>
        <v>0.69419955948364986</v>
      </c>
      <c r="F876" s="23">
        <f t="shared" si="52"/>
        <v>-0.69419955948364986</v>
      </c>
    </row>
    <row r="877" spans="1:6" x14ac:dyDescent="0.3">
      <c r="A877" s="2">
        <v>42880</v>
      </c>
      <c r="B877" s="1">
        <v>38.467500000000001</v>
      </c>
      <c r="C877" s="1">
        <f>'Historical Simulation'!D877</f>
        <v>151.96</v>
      </c>
      <c r="D877" s="22">
        <f t="shared" si="50"/>
        <v>405.12050427535348</v>
      </c>
      <c r="E877" s="23">
        <f t="shared" si="51"/>
        <v>5.9072626067114697</v>
      </c>
      <c r="F877" s="23">
        <f t="shared" si="52"/>
        <v>-5.9072626067114697</v>
      </c>
    </row>
    <row r="878" spans="1:6" x14ac:dyDescent="0.3">
      <c r="A878" s="2">
        <v>42879</v>
      </c>
      <c r="B878" s="1">
        <v>38.335000000000001</v>
      </c>
      <c r="C878" s="1">
        <f>'Historical Simulation'!D878</f>
        <v>150.04</v>
      </c>
      <c r="D878" s="22">
        <f t="shared" si="50"/>
        <v>399.21324166864201</v>
      </c>
      <c r="E878" s="23">
        <f t="shared" si="51"/>
        <v>6.620876942653581</v>
      </c>
      <c r="F878" s="23">
        <f t="shared" si="52"/>
        <v>-6.620876942653581</v>
      </c>
    </row>
    <row r="879" spans="1:6" x14ac:dyDescent="0.3">
      <c r="A879" s="2">
        <v>42878</v>
      </c>
      <c r="B879" s="1">
        <v>38.450000000000003</v>
      </c>
      <c r="C879" s="1">
        <f>'Historical Simulation'!D879</f>
        <v>148.07</v>
      </c>
      <c r="D879" s="22">
        <f t="shared" si="50"/>
        <v>392.59236472598843</v>
      </c>
      <c r="E879" s="23">
        <f t="shared" si="51"/>
        <v>-0.44325296185860452</v>
      </c>
      <c r="F879" s="23">
        <f t="shared" si="52"/>
        <v>0.44325296185860452</v>
      </c>
    </row>
    <row r="880" spans="1:6" x14ac:dyDescent="0.3">
      <c r="A880" s="2">
        <v>42877</v>
      </c>
      <c r="B880" s="1">
        <v>38.497500000000002</v>
      </c>
      <c r="C880" s="1">
        <f>'Historical Simulation'!D880</f>
        <v>148.24</v>
      </c>
      <c r="D880" s="22">
        <f t="shared" si="50"/>
        <v>393.03561768784704</v>
      </c>
      <c r="E880" s="23">
        <f t="shared" si="51"/>
        <v>6.2891587774970503E-2</v>
      </c>
      <c r="F880" s="23">
        <f t="shared" si="52"/>
        <v>-6.2891587774970503E-2</v>
      </c>
    </row>
    <row r="881" spans="1:6" x14ac:dyDescent="0.3">
      <c r="A881" s="2">
        <v>42874</v>
      </c>
      <c r="B881" s="1">
        <v>38.265000000000001</v>
      </c>
      <c r="C881" s="1">
        <f>'Historical Simulation'!D881</f>
        <v>148.06</v>
      </c>
      <c r="D881" s="22">
        <f t="shared" si="50"/>
        <v>392.97272610007207</v>
      </c>
      <c r="E881" s="23">
        <f t="shared" si="51"/>
        <v>1.0022718343004726</v>
      </c>
      <c r="F881" s="23">
        <f t="shared" si="52"/>
        <v>-1.0022718343004726</v>
      </c>
    </row>
    <row r="882" spans="1:6" x14ac:dyDescent="0.3">
      <c r="A882" s="2">
        <v>42873</v>
      </c>
      <c r="B882" s="1">
        <v>38.134999999999998</v>
      </c>
      <c r="C882" s="1">
        <f>'Historical Simulation'!D882</f>
        <v>147.66</v>
      </c>
      <c r="D882" s="22">
        <f t="shared" si="50"/>
        <v>391.97045426577159</v>
      </c>
      <c r="E882" s="23">
        <f t="shared" si="51"/>
        <v>7.8010489972121491</v>
      </c>
      <c r="F882" s="23">
        <f t="shared" si="52"/>
        <v>-7.8010489972121491</v>
      </c>
    </row>
    <row r="883" spans="1:6" x14ac:dyDescent="0.3">
      <c r="A883" s="2">
        <v>42872</v>
      </c>
      <c r="B883" s="1">
        <v>37.5625</v>
      </c>
      <c r="C883" s="1">
        <f>'Historical Simulation'!D883</f>
        <v>144.85</v>
      </c>
      <c r="D883" s="22">
        <f t="shared" si="50"/>
        <v>384.16940526855944</v>
      </c>
      <c r="E883" s="23">
        <f t="shared" si="51"/>
        <v>-13.016057034589608</v>
      </c>
      <c r="F883" s="23">
        <f t="shared" si="52"/>
        <v>13.016057034589608</v>
      </c>
    </row>
    <row r="884" spans="1:6" x14ac:dyDescent="0.3">
      <c r="A884" s="2">
        <v>42871</v>
      </c>
      <c r="B884" s="1">
        <v>38.8675</v>
      </c>
      <c r="C884" s="1">
        <f>'Historical Simulation'!D884</f>
        <v>149.78</v>
      </c>
      <c r="D884" s="22">
        <f t="shared" si="50"/>
        <v>397.18546230314905</v>
      </c>
      <c r="E884" s="23">
        <f t="shared" si="51"/>
        <v>-1.1962993392255612</v>
      </c>
      <c r="F884" s="23">
        <f t="shared" si="52"/>
        <v>1.1962993392255612</v>
      </c>
    </row>
    <row r="885" spans="1:6" x14ac:dyDescent="0.3">
      <c r="A885" s="2">
        <v>42870</v>
      </c>
      <c r="B885" s="1">
        <v>38.924999999999997</v>
      </c>
      <c r="C885" s="1">
        <f>'Historical Simulation'!D885</f>
        <v>150.19</v>
      </c>
      <c r="D885" s="22">
        <f t="shared" si="50"/>
        <v>398.38176164237461</v>
      </c>
      <c r="E885" s="23">
        <f t="shared" si="51"/>
        <v>-0.22922545693347729</v>
      </c>
      <c r="F885" s="23">
        <f t="shared" si="52"/>
        <v>0.22922545693347729</v>
      </c>
    </row>
    <row r="886" spans="1:6" x14ac:dyDescent="0.3">
      <c r="A886" s="2">
        <v>42867</v>
      </c>
      <c r="B886" s="1">
        <v>39.024999999999999</v>
      </c>
      <c r="C886" s="1">
        <f>'Historical Simulation'!D886</f>
        <v>150.33000000000001</v>
      </c>
      <c r="D886" s="22">
        <f t="shared" si="50"/>
        <v>398.61098709930809</v>
      </c>
      <c r="E886" s="23">
        <f t="shared" si="51"/>
        <v>-0.2620825147753294</v>
      </c>
      <c r="F886" s="23">
        <f t="shared" si="52"/>
        <v>0.2620825147753294</v>
      </c>
    </row>
    <row r="887" spans="1:6" x14ac:dyDescent="0.3">
      <c r="A887" s="2">
        <v>42866</v>
      </c>
      <c r="B887" s="1">
        <v>38.487499999999997</v>
      </c>
      <c r="C887" s="1">
        <f>'Historical Simulation'!D887</f>
        <v>150.04</v>
      </c>
      <c r="D887" s="22">
        <f t="shared" si="50"/>
        <v>398.87306961408342</v>
      </c>
      <c r="E887" s="23">
        <f t="shared" si="51"/>
        <v>-1.1924438888590316</v>
      </c>
      <c r="F887" s="23">
        <f t="shared" si="52"/>
        <v>1.1924438888590316</v>
      </c>
    </row>
    <row r="888" spans="1:6" x14ac:dyDescent="0.3">
      <c r="A888" s="2">
        <v>42865</v>
      </c>
      <c r="B888" s="1">
        <v>38.314999999999998</v>
      </c>
      <c r="C888" s="1">
        <f>'Historical Simulation'!D888</f>
        <v>150.29</v>
      </c>
      <c r="D888" s="22">
        <f t="shared" si="50"/>
        <v>400.06551350294245</v>
      </c>
      <c r="E888" s="23">
        <f t="shared" si="51"/>
        <v>-0.20672977317502728</v>
      </c>
      <c r="F888" s="23">
        <f t="shared" si="52"/>
        <v>0.20672977317502728</v>
      </c>
    </row>
    <row r="889" spans="1:6" x14ac:dyDescent="0.3">
      <c r="A889" s="2">
        <v>42864</v>
      </c>
      <c r="B889" s="1">
        <v>38.497500000000002</v>
      </c>
      <c r="C889" s="1">
        <f>'Historical Simulation'!D889</f>
        <v>150.47999999999999</v>
      </c>
      <c r="D889" s="22">
        <f t="shared" si="50"/>
        <v>400.27224327611748</v>
      </c>
      <c r="E889" s="23">
        <f t="shared" si="51"/>
        <v>-2.4202750492514724</v>
      </c>
      <c r="F889" s="23">
        <f t="shared" si="52"/>
        <v>2.4202750492514724</v>
      </c>
    </row>
    <row r="890" spans="1:6" x14ac:dyDescent="0.3">
      <c r="A890" s="2">
        <v>42863</v>
      </c>
      <c r="B890" s="1">
        <v>38.252499999999998</v>
      </c>
      <c r="C890" s="1">
        <f>'Historical Simulation'!D890</f>
        <v>151.06</v>
      </c>
      <c r="D890" s="22">
        <f t="shared" si="50"/>
        <v>402.69251832536895</v>
      </c>
      <c r="E890" s="23">
        <f t="shared" si="51"/>
        <v>0.39060248850802282</v>
      </c>
      <c r="F890" s="23">
        <f t="shared" si="52"/>
        <v>-0.39060248850802282</v>
      </c>
    </row>
    <row r="891" spans="1:6" x14ac:dyDescent="0.3">
      <c r="A891" s="2">
        <v>42860</v>
      </c>
      <c r="B891" s="1">
        <v>37.24</v>
      </c>
      <c r="C891" s="1">
        <f>'Historical Simulation'!D891</f>
        <v>150.24</v>
      </c>
      <c r="D891" s="22">
        <f t="shared" si="50"/>
        <v>402.30191583686093</v>
      </c>
      <c r="E891" s="23">
        <f t="shared" si="51"/>
        <v>-3.3257998454104154</v>
      </c>
      <c r="F891" s="23">
        <f t="shared" si="52"/>
        <v>3.3257998454104154</v>
      </c>
    </row>
    <row r="892" spans="1:6" x14ac:dyDescent="0.3">
      <c r="A892" s="2">
        <v>42859</v>
      </c>
      <c r="B892" s="1">
        <v>36.6325</v>
      </c>
      <c r="C892" s="1">
        <f>'Historical Simulation'!D892</f>
        <v>150.85</v>
      </c>
      <c r="D892" s="22">
        <f t="shared" si="50"/>
        <v>405.62771568227134</v>
      </c>
      <c r="E892" s="23">
        <f t="shared" si="51"/>
        <v>-2.7735452760765043</v>
      </c>
      <c r="F892" s="23">
        <f t="shared" si="52"/>
        <v>2.7735452760765043</v>
      </c>
    </row>
    <row r="893" spans="1:6" x14ac:dyDescent="0.3">
      <c r="A893" s="2">
        <v>42858</v>
      </c>
      <c r="B893" s="1">
        <v>36.765000000000001</v>
      </c>
      <c r="C893" s="1">
        <f>'Historical Simulation'!D893</f>
        <v>151.80000000000001</v>
      </c>
      <c r="D893" s="22">
        <f t="shared" si="50"/>
        <v>408.40126095834785</v>
      </c>
      <c r="E893" s="23">
        <f t="shared" si="51"/>
        <v>-2.9150770972430564</v>
      </c>
      <c r="F893" s="23">
        <f t="shared" si="52"/>
        <v>2.9150770972430564</v>
      </c>
    </row>
    <row r="894" spans="1:6" x14ac:dyDescent="0.3">
      <c r="A894" s="2">
        <v>42857</v>
      </c>
      <c r="B894" s="1">
        <v>36.877499999999998</v>
      </c>
      <c r="C894" s="1">
        <f>'Historical Simulation'!D894</f>
        <v>152.78</v>
      </c>
      <c r="D894" s="22">
        <f t="shared" si="50"/>
        <v>411.3163380555909</v>
      </c>
      <c r="E894" s="23">
        <f t="shared" si="51"/>
        <v>0.51518068704183406</v>
      </c>
      <c r="F894" s="23">
        <f t="shared" si="52"/>
        <v>-0.51518068704183406</v>
      </c>
    </row>
    <row r="895" spans="1:6" x14ac:dyDescent="0.3">
      <c r="A895" s="2">
        <v>42856</v>
      </c>
      <c r="B895" s="1">
        <v>36.645000000000003</v>
      </c>
      <c r="C895" s="1">
        <f>'Historical Simulation'!D895</f>
        <v>152.46</v>
      </c>
      <c r="D895" s="22">
        <f t="shared" si="50"/>
        <v>410.80115736854907</v>
      </c>
      <c r="E895" s="23">
        <f t="shared" si="51"/>
        <v>5.5057653154775039</v>
      </c>
      <c r="F895" s="23">
        <f t="shared" si="52"/>
        <v>-5.5057653154775039</v>
      </c>
    </row>
    <row r="896" spans="1:6" x14ac:dyDescent="0.3">
      <c r="A896" s="2">
        <v>42853</v>
      </c>
      <c r="B896" s="1">
        <v>35.912500000000001</v>
      </c>
      <c r="C896" s="1">
        <f>'Historical Simulation'!D896</f>
        <v>150.25</v>
      </c>
      <c r="D896" s="22">
        <f t="shared" si="50"/>
        <v>405.29539205307157</v>
      </c>
      <c r="E896" s="23">
        <f t="shared" si="51"/>
        <v>8.3161951543211785</v>
      </c>
      <c r="F896" s="23">
        <f t="shared" si="52"/>
        <v>-8.3161951543211785</v>
      </c>
    </row>
    <row r="897" spans="1:6" x14ac:dyDescent="0.3">
      <c r="A897" s="2">
        <v>42852</v>
      </c>
      <c r="B897" s="1">
        <v>35.947499999999998</v>
      </c>
      <c r="C897" s="1">
        <f>'Historical Simulation'!D897</f>
        <v>147.69999999999999</v>
      </c>
      <c r="D897" s="22">
        <f t="shared" si="50"/>
        <v>396.97919689875039</v>
      </c>
      <c r="E897" s="23">
        <f t="shared" si="51"/>
        <v>3.6215830209602018</v>
      </c>
      <c r="F897" s="23">
        <f t="shared" si="52"/>
        <v>-3.6215830209602018</v>
      </c>
    </row>
    <row r="898" spans="1:6" x14ac:dyDescent="0.3">
      <c r="A898" s="2">
        <v>42851</v>
      </c>
      <c r="B898" s="1">
        <v>35.92</v>
      </c>
      <c r="C898" s="1">
        <f>'Historical Simulation'!D898</f>
        <v>146.56</v>
      </c>
      <c r="D898" s="22">
        <f t="shared" si="50"/>
        <v>393.35761387779019</v>
      </c>
      <c r="E898" s="23">
        <f t="shared" si="51"/>
        <v>0.70015478959209076</v>
      </c>
      <c r="F898" s="23">
        <f t="shared" si="52"/>
        <v>-0.70015478959209076</v>
      </c>
    </row>
    <row r="899" spans="1:6" x14ac:dyDescent="0.3">
      <c r="A899" s="2">
        <v>42850</v>
      </c>
      <c r="B899" s="1">
        <v>36.1325</v>
      </c>
      <c r="C899" s="1">
        <f>'Historical Simulation'!D899</f>
        <v>146.49</v>
      </c>
      <c r="D899" s="22">
        <f t="shared" si="50"/>
        <v>392.6574590881981</v>
      </c>
      <c r="E899" s="23">
        <f t="shared" si="51"/>
        <v>2.798932547609752</v>
      </c>
      <c r="F899" s="23">
        <f t="shared" si="52"/>
        <v>-2.798932547609752</v>
      </c>
    </row>
    <row r="900" spans="1:6" x14ac:dyDescent="0.3">
      <c r="A900" s="2">
        <v>42849</v>
      </c>
      <c r="B900" s="1">
        <v>35.909999999999997</v>
      </c>
      <c r="C900" s="1">
        <f>'Historical Simulation'!D900</f>
        <v>145.47</v>
      </c>
      <c r="D900" s="22">
        <f t="shared" si="50"/>
        <v>389.85852654058834</v>
      </c>
      <c r="E900" s="23">
        <f t="shared" si="51"/>
        <v>5.0188462227774266</v>
      </c>
      <c r="F900" s="23">
        <f t="shared" si="52"/>
        <v>-5.0188462227774266</v>
      </c>
    </row>
    <row r="901" spans="1:6" x14ac:dyDescent="0.3">
      <c r="A901" s="2">
        <v>42846</v>
      </c>
      <c r="B901" s="1">
        <v>35.567500000000003</v>
      </c>
      <c r="C901" s="1">
        <f>'Historical Simulation'!D901</f>
        <v>143.68</v>
      </c>
      <c r="D901" s="22">
        <f t="shared" si="50"/>
        <v>384.83968031781092</v>
      </c>
      <c r="E901" s="23">
        <f t="shared" si="51"/>
        <v>-0.29287432280841585</v>
      </c>
      <c r="F901" s="23">
        <f t="shared" si="52"/>
        <v>0.29287432280841585</v>
      </c>
    </row>
    <row r="902" spans="1:6" x14ac:dyDescent="0.3">
      <c r="A902" s="2">
        <v>42845</v>
      </c>
      <c r="B902" s="1">
        <v>35.61</v>
      </c>
      <c r="C902" s="1">
        <f>'Historical Simulation'!D902</f>
        <v>143.80000000000001</v>
      </c>
      <c r="D902" s="22">
        <f t="shared" ref="D902:D965" si="53">$M$16*B902+(1-$M$16)*C902</f>
        <v>385.13255464061933</v>
      </c>
      <c r="E902" s="23">
        <f t="shared" ref="E902:E965" si="54">D902-D903</f>
        <v>3.9613937014352132</v>
      </c>
      <c r="F902" s="23">
        <f t="shared" ref="F902:F965" si="55">-E902</f>
        <v>-3.9613937014352132</v>
      </c>
    </row>
    <row r="903" spans="1:6" x14ac:dyDescent="0.3">
      <c r="A903" s="2">
        <v>42844</v>
      </c>
      <c r="B903" s="1">
        <v>35.17</v>
      </c>
      <c r="C903" s="1">
        <f>'Historical Simulation'!D903</f>
        <v>142.27000000000001</v>
      </c>
      <c r="D903" s="22">
        <f t="shared" si="53"/>
        <v>381.17116093918412</v>
      </c>
      <c r="E903" s="23">
        <f t="shared" si="54"/>
        <v>4.5221164496024926</v>
      </c>
      <c r="F903" s="23">
        <f t="shared" si="55"/>
        <v>-4.5221164496024926</v>
      </c>
    </row>
    <row r="904" spans="1:6" x14ac:dyDescent="0.3">
      <c r="A904" s="2">
        <v>42843</v>
      </c>
      <c r="B904" s="1">
        <v>35.299999999999997</v>
      </c>
      <c r="C904" s="1">
        <f>'Historical Simulation'!D904</f>
        <v>140.96</v>
      </c>
      <c r="D904" s="22">
        <f t="shared" si="53"/>
        <v>376.64904448958163</v>
      </c>
      <c r="E904" s="23">
        <f t="shared" si="54"/>
        <v>-1.1347675180588226</v>
      </c>
      <c r="F904" s="23">
        <f t="shared" si="55"/>
        <v>1.1347675180588226</v>
      </c>
    </row>
    <row r="905" spans="1:6" x14ac:dyDescent="0.3">
      <c r="A905" s="2">
        <v>42842</v>
      </c>
      <c r="B905" s="1">
        <v>35.457500000000003</v>
      </c>
      <c r="C905" s="1">
        <f>'Historical Simulation'!D905</f>
        <v>141.41999999999999</v>
      </c>
      <c r="D905" s="22">
        <f t="shared" si="53"/>
        <v>377.78381200764045</v>
      </c>
      <c r="E905" s="23">
        <f t="shared" si="54"/>
        <v>6.1232178368198902</v>
      </c>
      <c r="F905" s="23">
        <f t="shared" si="55"/>
        <v>-6.1232178368198902</v>
      </c>
    </row>
    <row r="906" spans="1:6" x14ac:dyDescent="0.3">
      <c r="A906" s="2">
        <v>42839</v>
      </c>
      <c r="B906" s="1">
        <v>35.262500000000003</v>
      </c>
      <c r="C906" s="1">
        <f>'Historical Simulation'!D906</f>
        <v>139.38999999999999</v>
      </c>
      <c r="D906" s="22">
        <f t="shared" si="53"/>
        <v>371.66059417082056</v>
      </c>
      <c r="E906" s="23">
        <f t="shared" si="54"/>
        <v>0</v>
      </c>
      <c r="F906" s="23">
        <f t="shared" si="55"/>
        <v>0</v>
      </c>
    </row>
    <row r="907" spans="1:6" x14ac:dyDescent="0.3">
      <c r="A907" s="2">
        <v>42838</v>
      </c>
      <c r="B907" s="1">
        <v>35.262500000000003</v>
      </c>
      <c r="C907" s="1">
        <f>'Historical Simulation'!D907</f>
        <v>139.38999999999999</v>
      </c>
      <c r="D907" s="22">
        <f t="shared" si="53"/>
        <v>371.66059417082056</v>
      </c>
      <c r="E907" s="23">
        <f t="shared" si="54"/>
        <v>-0.19557659105851144</v>
      </c>
      <c r="F907" s="23">
        <f t="shared" si="55"/>
        <v>0.19557659105851144</v>
      </c>
    </row>
    <row r="908" spans="1:6" x14ac:dyDescent="0.3">
      <c r="A908" s="2">
        <v>42837</v>
      </c>
      <c r="B908" s="1">
        <v>35.450000000000003</v>
      </c>
      <c r="C908" s="1">
        <f>'Historical Simulation'!D908</f>
        <v>139.58000000000001</v>
      </c>
      <c r="D908" s="22">
        <f t="shared" si="53"/>
        <v>371.85617076187907</v>
      </c>
      <c r="E908" s="23">
        <f t="shared" si="54"/>
        <v>-1.1932184319255157</v>
      </c>
      <c r="F908" s="23">
        <f t="shared" si="55"/>
        <v>1.1932184319255157</v>
      </c>
    </row>
    <row r="909" spans="1:6" x14ac:dyDescent="0.3">
      <c r="A909" s="2">
        <v>42836</v>
      </c>
      <c r="B909" s="1">
        <v>35.407499999999999</v>
      </c>
      <c r="C909" s="1">
        <f>'Historical Simulation'!D909</f>
        <v>139.91999999999999</v>
      </c>
      <c r="D909" s="22">
        <f t="shared" si="53"/>
        <v>373.04938919380459</v>
      </c>
      <c r="E909" s="23">
        <f t="shared" si="54"/>
        <v>-2.7595177711513088</v>
      </c>
      <c r="F909" s="23">
        <f t="shared" si="55"/>
        <v>2.7595177711513088</v>
      </c>
    </row>
    <row r="910" spans="1:6" x14ac:dyDescent="0.3">
      <c r="A910" s="2">
        <v>42835</v>
      </c>
      <c r="B910" s="1">
        <v>35.792499999999997</v>
      </c>
      <c r="C910" s="1">
        <f>'Historical Simulation'!D910</f>
        <v>141.04</v>
      </c>
      <c r="D910" s="22">
        <f t="shared" si="53"/>
        <v>375.8089069649559</v>
      </c>
      <c r="E910" s="23">
        <f t="shared" si="54"/>
        <v>0.93476751805883396</v>
      </c>
      <c r="F910" s="23">
        <f t="shared" si="55"/>
        <v>-0.93476751805883396</v>
      </c>
    </row>
    <row r="911" spans="1:6" x14ac:dyDescent="0.3">
      <c r="A911" s="2">
        <v>42832</v>
      </c>
      <c r="B911" s="1">
        <v>35.835000000000001</v>
      </c>
      <c r="C911" s="1">
        <f>'Historical Simulation'!D911</f>
        <v>140.78</v>
      </c>
      <c r="D911" s="22">
        <f t="shared" si="53"/>
        <v>374.87413944689706</v>
      </c>
      <c r="E911" s="23">
        <f t="shared" si="54"/>
        <v>-1.0814972912338021</v>
      </c>
      <c r="F911" s="23">
        <f t="shared" si="55"/>
        <v>1.0814972912338021</v>
      </c>
    </row>
    <row r="912" spans="1:6" x14ac:dyDescent="0.3">
      <c r="A912" s="2">
        <v>42831</v>
      </c>
      <c r="B912" s="1">
        <v>35.914999999999999</v>
      </c>
      <c r="C912" s="1">
        <f>'Historical Simulation'!D912</f>
        <v>141.16999999999999</v>
      </c>
      <c r="D912" s="22">
        <f t="shared" si="53"/>
        <v>375.95563673813086</v>
      </c>
      <c r="E912" s="23">
        <f t="shared" si="54"/>
        <v>-1.9960754897677475</v>
      </c>
      <c r="F912" s="23">
        <f t="shared" si="55"/>
        <v>1.9960754897677475</v>
      </c>
    </row>
    <row r="913" spans="1:6" x14ac:dyDescent="0.3">
      <c r="A913" s="2">
        <v>42830</v>
      </c>
      <c r="B913" s="1">
        <v>36.005000000000003</v>
      </c>
      <c r="C913" s="1">
        <f>'Historical Simulation'!D913</f>
        <v>141.85</v>
      </c>
      <c r="D913" s="22">
        <f t="shared" si="53"/>
        <v>377.95171222789861</v>
      </c>
      <c r="E913" s="23">
        <f t="shared" si="54"/>
        <v>0.80592070017553397</v>
      </c>
      <c r="F913" s="23">
        <f t="shared" si="55"/>
        <v>-0.80592070017553397</v>
      </c>
    </row>
    <row r="914" spans="1:6" x14ac:dyDescent="0.3">
      <c r="A914" s="2">
        <v>42829</v>
      </c>
      <c r="B914" s="1">
        <v>36.192500000000003</v>
      </c>
      <c r="C914" s="1">
        <f>'Historical Simulation'!D914</f>
        <v>141.72999999999999</v>
      </c>
      <c r="D914" s="22">
        <f t="shared" si="53"/>
        <v>377.14579152772308</v>
      </c>
      <c r="E914" s="23">
        <f t="shared" si="54"/>
        <v>-2.3735452760764701</v>
      </c>
      <c r="F914" s="23">
        <f t="shared" si="55"/>
        <v>2.3735452760764701</v>
      </c>
    </row>
    <row r="915" spans="1:6" x14ac:dyDescent="0.3">
      <c r="A915" s="2">
        <v>42828</v>
      </c>
      <c r="B915" s="1">
        <v>35.924999999999997</v>
      </c>
      <c r="C915" s="1">
        <f>'Historical Simulation'!D915</f>
        <v>142.28</v>
      </c>
      <c r="D915" s="22">
        <f t="shared" si="53"/>
        <v>379.51933680379955</v>
      </c>
      <c r="E915" s="23">
        <f t="shared" si="54"/>
        <v>0.72074001313370673</v>
      </c>
      <c r="F915" s="23">
        <f t="shared" si="55"/>
        <v>-0.72074001313370673</v>
      </c>
    </row>
    <row r="916" spans="1:6" x14ac:dyDescent="0.3">
      <c r="A916" s="2">
        <v>42825</v>
      </c>
      <c r="B916" s="1">
        <v>35.914999999999999</v>
      </c>
      <c r="C916" s="1">
        <f>'Historical Simulation'!D916</f>
        <v>142.05000000000001</v>
      </c>
      <c r="D916" s="22">
        <f t="shared" si="53"/>
        <v>378.79859679066584</v>
      </c>
      <c r="E916" s="23">
        <f t="shared" si="54"/>
        <v>-1.0124611538254271</v>
      </c>
      <c r="F916" s="23">
        <f t="shared" si="55"/>
        <v>1.0124611538254271</v>
      </c>
    </row>
    <row r="917" spans="1:6" x14ac:dyDescent="0.3">
      <c r="A917" s="2">
        <v>42824</v>
      </c>
      <c r="B917" s="1">
        <v>35.982500000000002</v>
      </c>
      <c r="C917" s="1">
        <f>'Historical Simulation'!D917</f>
        <v>142.41</v>
      </c>
      <c r="D917" s="22">
        <f t="shared" si="53"/>
        <v>379.81105794449127</v>
      </c>
      <c r="E917" s="23">
        <f t="shared" si="54"/>
        <v>-0.6693975114920363</v>
      </c>
      <c r="F917" s="23">
        <f t="shared" si="55"/>
        <v>0.6693975114920363</v>
      </c>
    </row>
    <row r="918" spans="1:6" x14ac:dyDescent="0.3">
      <c r="A918" s="2">
        <v>42823</v>
      </c>
      <c r="B918" s="1">
        <v>36.03</v>
      </c>
      <c r="C918" s="1">
        <f>'Historical Simulation'!D918</f>
        <v>142.65</v>
      </c>
      <c r="D918" s="22">
        <f t="shared" si="53"/>
        <v>380.4804554559833</v>
      </c>
      <c r="E918" s="23">
        <f t="shared" si="54"/>
        <v>2.6968155029014156</v>
      </c>
      <c r="F918" s="23">
        <f t="shared" si="55"/>
        <v>-2.6968155029014156</v>
      </c>
    </row>
    <row r="919" spans="1:6" x14ac:dyDescent="0.3">
      <c r="A919" s="2">
        <v>42822</v>
      </c>
      <c r="B919" s="1">
        <v>35.950000000000003</v>
      </c>
      <c r="C919" s="1">
        <f>'Historical Simulation'!D919</f>
        <v>141.76</v>
      </c>
      <c r="D919" s="22">
        <f t="shared" si="53"/>
        <v>377.78363995308189</v>
      </c>
      <c r="E919" s="23">
        <f t="shared" si="54"/>
        <v>3.023751860567927</v>
      </c>
      <c r="F919" s="23">
        <f t="shared" si="55"/>
        <v>-3.023751860567927</v>
      </c>
    </row>
    <row r="920" spans="1:6" x14ac:dyDescent="0.3">
      <c r="A920" s="2">
        <v>42821</v>
      </c>
      <c r="B920" s="1">
        <v>35.22</v>
      </c>
      <c r="C920" s="1">
        <f>'Historical Simulation'!D920</f>
        <v>140.32</v>
      </c>
      <c r="D920" s="22">
        <f t="shared" si="53"/>
        <v>374.75988809251396</v>
      </c>
      <c r="E920" s="23">
        <f t="shared" si="54"/>
        <v>-0.19845091386690683</v>
      </c>
      <c r="F920" s="23">
        <f t="shared" si="55"/>
        <v>0.19845091386690683</v>
      </c>
    </row>
    <row r="921" spans="1:6" x14ac:dyDescent="0.3">
      <c r="A921" s="2">
        <v>42818</v>
      </c>
      <c r="B921" s="1">
        <v>35.159999999999997</v>
      </c>
      <c r="C921" s="1">
        <f>'Historical Simulation'!D921</f>
        <v>140.34</v>
      </c>
      <c r="D921" s="22">
        <f t="shared" si="53"/>
        <v>374.95833900638087</v>
      </c>
      <c r="E921" s="23">
        <f t="shared" si="54"/>
        <v>2.7729600525348701</v>
      </c>
      <c r="F921" s="23">
        <f t="shared" si="55"/>
        <v>-2.7729600525348701</v>
      </c>
    </row>
    <row r="922" spans="1:6" x14ac:dyDescent="0.3">
      <c r="A922" s="2">
        <v>42817</v>
      </c>
      <c r="B922" s="1">
        <v>35.229999999999997</v>
      </c>
      <c r="C922" s="1">
        <f>'Historical Simulation'!D922</f>
        <v>139.53</v>
      </c>
      <c r="D922" s="22">
        <f t="shared" si="53"/>
        <v>372.185378953846</v>
      </c>
      <c r="E922" s="23">
        <f t="shared" si="54"/>
        <v>8.499136751674996E-2</v>
      </c>
      <c r="F922" s="23">
        <f t="shared" si="55"/>
        <v>-8.499136751674996E-2</v>
      </c>
    </row>
    <row r="923" spans="1:6" x14ac:dyDescent="0.3">
      <c r="A923" s="2">
        <v>42816</v>
      </c>
      <c r="B923" s="1">
        <v>35.354999999999997</v>
      </c>
      <c r="C923" s="1">
        <f>'Historical Simulation'!D923</f>
        <v>139.59</v>
      </c>
      <c r="D923" s="22">
        <f t="shared" si="53"/>
        <v>372.10038758632925</v>
      </c>
      <c r="E923" s="23">
        <f t="shared" si="54"/>
        <v>2.6079859499845952</v>
      </c>
      <c r="F923" s="23">
        <f t="shared" si="55"/>
        <v>-2.6079859499845952</v>
      </c>
    </row>
    <row r="924" spans="1:6" x14ac:dyDescent="0.3">
      <c r="A924" s="2">
        <v>42815</v>
      </c>
      <c r="B924" s="1">
        <v>34.96</v>
      </c>
      <c r="C924" s="1">
        <f>'Historical Simulation'!D924</f>
        <v>138.51</v>
      </c>
      <c r="D924" s="22">
        <f t="shared" si="53"/>
        <v>369.49240163634465</v>
      </c>
      <c r="E924" s="23">
        <f t="shared" si="54"/>
        <v>-3.7164023339184382</v>
      </c>
      <c r="F924" s="23">
        <f t="shared" si="55"/>
        <v>3.7164023339184382</v>
      </c>
    </row>
    <row r="925" spans="1:6" x14ac:dyDescent="0.3">
      <c r="A925" s="2">
        <v>42814</v>
      </c>
      <c r="B925" s="1">
        <v>35.365000000000002</v>
      </c>
      <c r="C925" s="1">
        <f>'Historical Simulation'!D925</f>
        <v>139.94</v>
      </c>
      <c r="D925" s="22">
        <f t="shared" si="53"/>
        <v>373.20880397026309</v>
      </c>
      <c r="E925" s="23">
        <f t="shared" si="54"/>
        <v>-0.49669524324212944</v>
      </c>
      <c r="F925" s="23">
        <f t="shared" si="55"/>
        <v>0.49669524324212944</v>
      </c>
    </row>
    <row r="926" spans="1:6" x14ac:dyDescent="0.3">
      <c r="A926" s="2">
        <v>42811</v>
      </c>
      <c r="B926" s="1">
        <v>34.997500000000002</v>
      </c>
      <c r="C926" s="1">
        <f>'Historical Simulation'!D926</f>
        <v>139.84</v>
      </c>
      <c r="D926" s="22">
        <f t="shared" si="53"/>
        <v>373.70549921350522</v>
      </c>
      <c r="E926" s="23">
        <f t="shared" si="54"/>
        <v>-9.4234089416659117E-2</v>
      </c>
      <c r="F926" s="23">
        <f t="shared" si="55"/>
        <v>9.4234089416659117E-2</v>
      </c>
    </row>
    <row r="927" spans="1:6" x14ac:dyDescent="0.3">
      <c r="A927" s="2">
        <v>42810</v>
      </c>
      <c r="B927" s="1">
        <v>35.172499999999999</v>
      </c>
      <c r="C927" s="1">
        <f>'Historical Simulation'!D927</f>
        <v>139.99</v>
      </c>
      <c r="D927" s="22">
        <f t="shared" si="53"/>
        <v>373.79973330292188</v>
      </c>
      <c r="E927" s="23">
        <f t="shared" si="54"/>
        <v>0.74401023995869764</v>
      </c>
      <c r="F927" s="23">
        <f t="shared" si="55"/>
        <v>-0.74401023995869764</v>
      </c>
    </row>
    <row r="928" spans="1:6" x14ac:dyDescent="0.3">
      <c r="A928" s="2">
        <v>42809</v>
      </c>
      <c r="B928" s="1">
        <v>35.115000000000002</v>
      </c>
      <c r="C928" s="1">
        <f>'Historical Simulation'!D928</f>
        <v>139.72</v>
      </c>
      <c r="D928" s="22">
        <f t="shared" si="53"/>
        <v>373.05572306296318</v>
      </c>
      <c r="E928" s="23">
        <f t="shared" si="54"/>
        <v>0.47249568375849549</v>
      </c>
      <c r="F928" s="23">
        <f t="shared" si="55"/>
        <v>-0.47249568375849549</v>
      </c>
    </row>
    <row r="929" spans="1:6" x14ac:dyDescent="0.3">
      <c r="A929" s="2">
        <v>42808</v>
      </c>
      <c r="B929" s="1">
        <v>34.747500000000002</v>
      </c>
      <c r="C929" s="1">
        <f>'Historical Simulation'!D929</f>
        <v>139.32</v>
      </c>
      <c r="D929" s="22">
        <f t="shared" si="53"/>
        <v>372.58322737920469</v>
      </c>
      <c r="E929" s="23">
        <f t="shared" si="54"/>
        <v>-0.78746978630880449</v>
      </c>
      <c r="F929" s="23">
        <f t="shared" si="55"/>
        <v>0.78746978630880449</v>
      </c>
    </row>
    <row r="930" spans="1:6" x14ac:dyDescent="0.3">
      <c r="A930" s="2">
        <v>42807</v>
      </c>
      <c r="B930" s="1">
        <v>34.799999999999997</v>
      </c>
      <c r="C930" s="1">
        <f>'Historical Simulation'!D930</f>
        <v>139.6</v>
      </c>
      <c r="D930" s="22">
        <f t="shared" si="53"/>
        <v>373.37069716551349</v>
      </c>
      <c r="E930" s="23">
        <f t="shared" si="54"/>
        <v>2.5833559565513724</v>
      </c>
      <c r="F930" s="23">
        <f t="shared" si="55"/>
        <v>-2.5833559565513724</v>
      </c>
    </row>
    <row r="931" spans="1:6" x14ac:dyDescent="0.3">
      <c r="A931" s="2">
        <v>42804</v>
      </c>
      <c r="B931" s="1">
        <v>34.784999999999997</v>
      </c>
      <c r="C931" s="1">
        <f>'Historical Simulation'!D931</f>
        <v>138.79</v>
      </c>
      <c r="D931" s="22">
        <f t="shared" si="53"/>
        <v>370.78734120896212</v>
      </c>
      <c r="E931" s="23">
        <f t="shared" si="54"/>
        <v>1.5203268441507021</v>
      </c>
      <c r="F931" s="23">
        <f t="shared" si="55"/>
        <v>-1.5203268441507021</v>
      </c>
    </row>
    <row r="932" spans="1:6" x14ac:dyDescent="0.3">
      <c r="A932" s="2">
        <v>42803</v>
      </c>
      <c r="B932" s="1">
        <v>34.67</v>
      </c>
      <c r="C932" s="1">
        <f>'Historical Simulation'!D932</f>
        <v>138.24</v>
      </c>
      <c r="D932" s="22">
        <f t="shared" si="53"/>
        <v>369.26701436481142</v>
      </c>
      <c r="E932" s="23">
        <f t="shared" si="54"/>
        <v>1.8583818540010384</v>
      </c>
      <c r="F932" s="23">
        <f t="shared" si="55"/>
        <v>-1.8583818540010384</v>
      </c>
    </row>
    <row r="933" spans="1:6" x14ac:dyDescent="0.3">
      <c r="A933" s="2">
        <v>42802</v>
      </c>
      <c r="B933" s="1">
        <v>34.75</v>
      </c>
      <c r="C933" s="1">
        <f>'Historical Simulation'!D933</f>
        <v>137.72</v>
      </c>
      <c r="D933" s="22">
        <f t="shared" si="53"/>
        <v>367.40863251081038</v>
      </c>
      <c r="E933" s="23">
        <f t="shared" si="54"/>
        <v>1.6468500328342657</v>
      </c>
      <c r="F933" s="23">
        <f t="shared" si="55"/>
        <v>-1.6468500328342657</v>
      </c>
    </row>
    <row r="934" spans="1:6" x14ac:dyDescent="0.3">
      <c r="A934" s="2">
        <v>42801</v>
      </c>
      <c r="B934" s="1">
        <v>34.880000000000003</v>
      </c>
      <c r="C934" s="1">
        <f>'Historical Simulation'!D934</f>
        <v>137.30000000000001</v>
      </c>
      <c r="D934" s="22">
        <f t="shared" si="53"/>
        <v>365.76178247797611</v>
      </c>
      <c r="E934" s="23">
        <f t="shared" si="54"/>
        <v>-0.48805500985019989</v>
      </c>
      <c r="F934" s="23">
        <f t="shared" si="55"/>
        <v>0.48805500985019989</v>
      </c>
    </row>
    <row r="935" spans="1:6" x14ac:dyDescent="0.3">
      <c r="A935" s="2">
        <v>42800</v>
      </c>
      <c r="B935" s="1">
        <v>34.835000000000001</v>
      </c>
      <c r="C935" s="1">
        <f>'Historical Simulation'!D935</f>
        <v>137.41999999999999</v>
      </c>
      <c r="D935" s="22">
        <f t="shared" si="53"/>
        <v>366.24983748782631</v>
      </c>
      <c r="E935" s="23">
        <f t="shared" si="54"/>
        <v>1.0530291124006226</v>
      </c>
      <c r="F935" s="23">
        <f t="shared" si="55"/>
        <v>-1.0530291124006226</v>
      </c>
    </row>
    <row r="936" spans="1:6" x14ac:dyDescent="0.3">
      <c r="A936" s="2">
        <v>42797</v>
      </c>
      <c r="B936" s="1">
        <v>34.945</v>
      </c>
      <c r="C936" s="1">
        <f>'Historical Simulation'!D936</f>
        <v>137.16999999999999</v>
      </c>
      <c r="D936" s="22">
        <f t="shared" si="53"/>
        <v>365.19680837542569</v>
      </c>
      <c r="E936" s="23">
        <f t="shared" si="54"/>
        <v>0.86728046678371129</v>
      </c>
      <c r="F936" s="23">
        <f t="shared" si="55"/>
        <v>-0.86728046678371129</v>
      </c>
    </row>
    <row r="937" spans="1:6" x14ac:dyDescent="0.3">
      <c r="A937" s="2">
        <v>42796</v>
      </c>
      <c r="B937" s="1">
        <v>34.74</v>
      </c>
      <c r="C937" s="1">
        <f>'Historical Simulation'!D937</f>
        <v>136.76</v>
      </c>
      <c r="D937" s="22">
        <f t="shared" si="53"/>
        <v>364.32952790864198</v>
      </c>
      <c r="E937" s="23">
        <f t="shared" si="54"/>
        <v>-1.669362981559118</v>
      </c>
      <c r="F937" s="23">
        <f t="shared" si="55"/>
        <v>1.669362981559118</v>
      </c>
    </row>
    <row r="938" spans="1:6" x14ac:dyDescent="0.3">
      <c r="A938" s="2">
        <v>42795</v>
      </c>
      <c r="B938" s="1">
        <v>34.947499999999998</v>
      </c>
      <c r="C938" s="1">
        <f>'Historical Simulation'!D938</f>
        <v>137.41999999999999</v>
      </c>
      <c r="D938" s="22">
        <f t="shared" si="53"/>
        <v>365.9988908902011</v>
      </c>
      <c r="E938" s="23">
        <f t="shared" si="54"/>
        <v>4.5121509795353063</v>
      </c>
      <c r="F938" s="23">
        <f t="shared" si="55"/>
        <v>-4.5121509795353063</v>
      </c>
    </row>
    <row r="939" spans="1:6" x14ac:dyDescent="0.3">
      <c r="A939" s="2">
        <v>42794</v>
      </c>
      <c r="B939" s="1">
        <v>34.247500000000002</v>
      </c>
      <c r="C939" s="1">
        <f>'Historical Simulation'!D939</f>
        <v>135.54</v>
      </c>
      <c r="D939" s="22">
        <f t="shared" si="53"/>
        <v>361.48673991066579</v>
      </c>
      <c r="E939" s="23">
        <f t="shared" si="54"/>
        <v>-2.8441132346515019</v>
      </c>
      <c r="F939" s="23">
        <f t="shared" si="55"/>
        <v>2.8441132346515019</v>
      </c>
    </row>
    <row r="940" spans="1:6" x14ac:dyDescent="0.3">
      <c r="A940" s="2">
        <v>42793</v>
      </c>
      <c r="B940" s="1">
        <v>34.232500000000002</v>
      </c>
      <c r="C940" s="1">
        <f>'Historical Simulation'!D940</f>
        <v>136.41</v>
      </c>
      <c r="D940" s="22">
        <f t="shared" si="53"/>
        <v>364.33085314531729</v>
      </c>
      <c r="E940" s="23">
        <f t="shared" si="54"/>
        <v>2.9831493720598701</v>
      </c>
      <c r="F940" s="23">
        <f t="shared" si="55"/>
        <v>-2.9831493720598701</v>
      </c>
    </row>
    <row r="941" spans="1:6" x14ac:dyDescent="0.3">
      <c r="A941" s="2">
        <v>42790</v>
      </c>
      <c r="B941" s="1">
        <v>34.164999999999999</v>
      </c>
      <c r="C941" s="1">
        <f>'Historical Simulation'!D941</f>
        <v>135.44</v>
      </c>
      <c r="D941" s="22">
        <f t="shared" si="53"/>
        <v>361.34770377325742</v>
      </c>
      <c r="E941" s="23">
        <f t="shared" si="54"/>
        <v>0.18595523010833404</v>
      </c>
      <c r="F941" s="23">
        <f t="shared" si="55"/>
        <v>-0.18595523010833404</v>
      </c>
    </row>
    <row r="942" spans="1:6" x14ac:dyDescent="0.3">
      <c r="A942" s="2">
        <v>42789</v>
      </c>
      <c r="B942" s="1">
        <v>34.1325</v>
      </c>
      <c r="C942" s="1">
        <f>'Historical Simulation'!D942</f>
        <v>135.36000000000001</v>
      </c>
      <c r="D942" s="22">
        <f t="shared" si="53"/>
        <v>361.16174854314909</v>
      </c>
      <c r="E942" s="23">
        <f t="shared" si="54"/>
        <v>-2.1318414003509929</v>
      </c>
      <c r="F942" s="23">
        <f t="shared" si="55"/>
        <v>2.1318414003509929</v>
      </c>
    </row>
    <row r="943" spans="1:6" x14ac:dyDescent="0.3">
      <c r="A943" s="2">
        <v>42788</v>
      </c>
      <c r="B943" s="1">
        <v>34.277500000000003</v>
      </c>
      <c r="C943" s="1">
        <f>'Historical Simulation'!D943</f>
        <v>136.12</v>
      </c>
      <c r="D943" s="22">
        <f t="shared" si="53"/>
        <v>363.29358994350008</v>
      </c>
      <c r="E943" s="23">
        <f t="shared" si="54"/>
        <v>7.5248871826123036</v>
      </c>
      <c r="F943" s="23">
        <f t="shared" si="55"/>
        <v>-7.5248871826123036</v>
      </c>
    </row>
    <row r="944" spans="1:6" x14ac:dyDescent="0.3">
      <c r="A944" s="2">
        <v>42787</v>
      </c>
      <c r="B944" s="1">
        <v>34.174999999999997</v>
      </c>
      <c r="C944" s="1">
        <f>'Historical Simulation'!D944</f>
        <v>133.72</v>
      </c>
      <c r="D944" s="22">
        <f t="shared" si="53"/>
        <v>355.76870276088778</v>
      </c>
      <c r="E944" s="23">
        <f t="shared" si="54"/>
        <v>6.7314996716561382E-2</v>
      </c>
      <c r="F944" s="23">
        <f t="shared" si="55"/>
        <v>-6.7314996716561382E-2</v>
      </c>
    </row>
    <row r="945" spans="1:6" x14ac:dyDescent="0.3">
      <c r="A945" s="2">
        <v>42786</v>
      </c>
      <c r="B945" s="1">
        <v>33.93</v>
      </c>
      <c r="C945" s="1">
        <f>'Historical Simulation'!D945</f>
        <v>133.53</v>
      </c>
      <c r="D945" s="22">
        <f t="shared" si="53"/>
        <v>355.70138776417122</v>
      </c>
      <c r="E945" s="23">
        <f t="shared" si="54"/>
        <v>0</v>
      </c>
      <c r="F945" s="23">
        <f t="shared" si="55"/>
        <v>0</v>
      </c>
    </row>
    <row r="946" spans="1:6" x14ac:dyDescent="0.3">
      <c r="A946" s="2">
        <v>42783</v>
      </c>
      <c r="B946" s="1">
        <v>33.93</v>
      </c>
      <c r="C946" s="1">
        <f>'Historical Simulation'!D946</f>
        <v>133.53</v>
      </c>
      <c r="D946" s="22">
        <f t="shared" si="53"/>
        <v>355.70138776417122</v>
      </c>
      <c r="E946" s="23">
        <f t="shared" si="54"/>
        <v>-1.2107309877426928</v>
      </c>
      <c r="F946" s="23">
        <f t="shared" si="55"/>
        <v>1.2107309877426928</v>
      </c>
    </row>
    <row r="947" spans="1:6" x14ac:dyDescent="0.3">
      <c r="A947" s="2">
        <v>42782</v>
      </c>
      <c r="B947" s="1">
        <v>33.836199999999998</v>
      </c>
      <c r="C947" s="1">
        <f>'Historical Simulation'!D947</f>
        <v>133.84</v>
      </c>
      <c r="D947" s="22">
        <f t="shared" si="53"/>
        <v>356.91211875191391</v>
      </c>
      <c r="E947" s="23">
        <f t="shared" si="54"/>
        <v>1.3843798536177587</v>
      </c>
      <c r="F947" s="23">
        <f t="shared" si="55"/>
        <v>-1.3843798536177587</v>
      </c>
    </row>
    <row r="948" spans="1:6" x14ac:dyDescent="0.3">
      <c r="A948" s="2">
        <v>42781</v>
      </c>
      <c r="B948" s="1">
        <v>33.877499999999998</v>
      </c>
      <c r="C948" s="1">
        <f>'Historical Simulation'!D948</f>
        <v>133.44</v>
      </c>
      <c r="D948" s="22">
        <f t="shared" si="53"/>
        <v>355.52773889829615</v>
      </c>
      <c r="E948" s="23">
        <f t="shared" si="54"/>
        <v>-1.5978138954259293</v>
      </c>
      <c r="F948" s="23">
        <f t="shared" si="55"/>
        <v>1.5978138954259293</v>
      </c>
    </row>
    <row r="949" spans="1:6" x14ac:dyDescent="0.3">
      <c r="A949" s="2">
        <v>42780</v>
      </c>
      <c r="B949" s="1">
        <v>33.755000000000003</v>
      </c>
      <c r="C949" s="1">
        <f>'Historical Simulation'!D949</f>
        <v>133.85</v>
      </c>
      <c r="D949" s="22">
        <f t="shared" si="53"/>
        <v>357.12555279372208</v>
      </c>
      <c r="E949" s="23">
        <f t="shared" si="54"/>
        <v>-1.6108775377594498</v>
      </c>
      <c r="F949" s="23">
        <f t="shared" si="55"/>
        <v>1.6108775377594498</v>
      </c>
    </row>
    <row r="950" spans="1:6" x14ac:dyDescent="0.3">
      <c r="A950" s="2">
        <v>42779</v>
      </c>
      <c r="B950" s="1">
        <v>33.322499999999998</v>
      </c>
      <c r="C950" s="1">
        <f>'Historical Simulation'!D950</f>
        <v>134.05000000000001</v>
      </c>
      <c r="D950" s="22">
        <f t="shared" si="53"/>
        <v>358.73643033148153</v>
      </c>
      <c r="E950" s="23">
        <f t="shared" si="54"/>
        <v>-1.1047502530923339</v>
      </c>
      <c r="F950" s="23">
        <f t="shared" si="55"/>
        <v>1.1047502530923339</v>
      </c>
    </row>
    <row r="951" spans="1:6" x14ac:dyDescent="0.3">
      <c r="A951" s="2">
        <v>42776</v>
      </c>
      <c r="B951" s="1">
        <v>33.03</v>
      </c>
      <c r="C951" s="1">
        <f>'Historical Simulation'!D951</f>
        <v>134.19</v>
      </c>
      <c r="D951" s="22">
        <f t="shared" si="53"/>
        <v>359.84118058457386</v>
      </c>
      <c r="E951" s="23">
        <f t="shared" si="54"/>
        <v>0.32882955291688631</v>
      </c>
      <c r="F951" s="23">
        <f t="shared" si="55"/>
        <v>-0.32882955291688631</v>
      </c>
    </row>
    <row r="952" spans="1:6" x14ac:dyDescent="0.3">
      <c r="A952" s="2">
        <v>42775</v>
      </c>
      <c r="B952" s="1">
        <v>33.104999999999997</v>
      </c>
      <c r="C952" s="1">
        <f>'Historical Simulation'!D952</f>
        <v>134.13999999999999</v>
      </c>
      <c r="D952" s="22">
        <f t="shared" si="53"/>
        <v>359.51235103165698</v>
      </c>
      <c r="E952" s="23">
        <f t="shared" si="54"/>
        <v>-0.40574864561693857</v>
      </c>
      <c r="F952" s="23">
        <f t="shared" si="55"/>
        <v>0.40574864561693857</v>
      </c>
    </row>
    <row r="953" spans="1:6" x14ac:dyDescent="0.3">
      <c r="A953" s="2">
        <v>42774</v>
      </c>
      <c r="B953" s="1">
        <v>33.01</v>
      </c>
      <c r="C953" s="1">
        <f>'Historical Simulation'!D953</f>
        <v>134.19999999999999</v>
      </c>
      <c r="D953" s="22">
        <f t="shared" si="53"/>
        <v>359.91809967727391</v>
      </c>
      <c r="E953" s="23">
        <f t="shared" si="54"/>
        <v>7.3398958150954172</v>
      </c>
      <c r="F953" s="23">
        <f t="shared" si="55"/>
        <v>-7.3398958150954172</v>
      </c>
    </row>
    <row r="954" spans="1:6" x14ac:dyDescent="0.3">
      <c r="A954" s="2">
        <v>42773</v>
      </c>
      <c r="B954" s="1">
        <v>32.8825</v>
      </c>
      <c r="C954" s="1">
        <f>'Historical Simulation'!D954</f>
        <v>131.84</v>
      </c>
      <c r="D954" s="22">
        <f t="shared" si="53"/>
        <v>352.5782038621785</v>
      </c>
      <c r="E954" s="23">
        <f t="shared" si="54"/>
        <v>-1.4022373043675316</v>
      </c>
      <c r="F954" s="23">
        <f t="shared" si="55"/>
        <v>1.4022373043675316</v>
      </c>
    </row>
    <row r="955" spans="1:6" x14ac:dyDescent="0.3">
      <c r="A955" s="2">
        <v>42772</v>
      </c>
      <c r="B955" s="1">
        <v>32.572499999999998</v>
      </c>
      <c r="C955" s="1">
        <f>'Historical Simulation'!D955</f>
        <v>132.06</v>
      </c>
      <c r="D955" s="22">
        <f t="shared" si="53"/>
        <v>353.98044116654603</v>
      </c>
      <c r="E955" s="23">
        <f t="shared" si="54"/>
        <v>2.8143198191430088</v>
      </c>
      <c r="F955" s="23">
        <f t="shared" si="55"/>
        <v>-2.8143198191430088</v>
      </c>
    </row>
    <row r="956" spans="1:6" x14ac:dyDescent="0.3">
      <c r="A956" s="2">
        <v>42769</v>
      </c>
      <c r="B956" s="1">
        <v>32.270000000000003</v>
      </c>
      <c r="C956" s="1">
        <f>'Historical Simulation'!D956</f>
        <v>130.97999999999999</v>
      </c>
      <c r="D956" s="22">
        <f t="shared" si="53"/>
        <v>351.16612134740302</v>
      </c>
      <c r="E956" s="23">
        <f t="shared" si="54"/>
        <v>0.1455765910582727</v>
      </c>
      <c r="F956" s="23">
        <f t="shared" si="55"/>
        <v>-0.1455765910582727</v>
      </c>
    </row>
    <row r="957" spans="1:6" x14ac:dyDescent="0.3">
      <c r="A957" s="2">
        <v>42768</v>
      </c>
      <c r="B957" s="1">
        <v>32.1325</v>
      </c>
      <c r="C957" s="1">
        <f>'Historical Simulation'!D957</f>
        <v>130.84</v>
      </c>
      <c r="D957" s="22">
        <f t="shared" si="53"/>
        <v>351.02054475634475</v>
      </c>
      <c r="E957" s="23">
        <f t="shared" si="54"/>
        <v>-7.5985360484872899</v>
      </c>
      <c r="F957" s="23">
        <f t="shared" si="55"/>
        <v>7.5985360484872899</v>
      </c>
    </row>
    <row r="958" spans="1:6" x14ac:dyDescent="0.3">
      <c r="A958" s="2">
        <v>42767</v>
      </c>
      <c r="B958" s="1">
        <v>32.1875</v>
      </c>
      <c r="C958" s="1">
        <f>'Historical Simulation'!D958</f>
        <v>133.22999999999999</v>
      </c>
      <c r="D958" s="22">
        <f t="shared" si="53"/>
        <v>358.61908080483204</v>
      </c>
      <c r="E958" s="23">
        <f t="shared" si="54"/>
        <v>5.2744746087352041</v>
      </c>
      <c r="F958" s="23">
        <f t="shared" si="55"/>
        <v>-5.2744746087352041</v>
      </c>
    </row>
    <row r="959" spans="1:6" x14ac:dyDescent="0.3">
      <c r="A959" s="2">
        <v>42766</v>
      </c>
      <c r="B959" s="1">
        <v>30.337499999999999</v>
      </c>
      <c r="C959" s="1">
        <f>'Historical Simulation'!D959</f>
        <v>130.32</v>
      </c>
      <c r="D959" s="22">
        <f t="shared" si="53"/>
        <v>353.34460619609683</v>
      </c>
      <c r="E959" s="23">
        <f t="shared" si="54"/>
        <v>-1.9760754897677089</v>
      </c>
      <c r="F959" s="23">
        <f t="shared" si="55"/>
        <v>1.9760754897677089</v>
      </c>
    </row>
    <row r="960" spans="1:6" x14ac:dyDescent="0.3">
      <c r="A960" s="2">
        <v>42765</v>
      </c>
      <c r="B960" s="1">
        <v>30.407499999999999</v>
      </c>
      <c r="C960" s="1">
        <f>'Historical Simulation'!D960</f>
        <v>130.97999999999999</v>
      </c>
      <c r="D960" s="22">
        <f t="shared" si="53"/>
        <v>355.32068168586454</v>
      </c>
      <c r="E960" s="23">
        <f t="shared" si="54"/>
        <v>-3.6983127941352905</v>
      </c>
      <c r="F960" s="23">
        <f t="shared" si="55"/>
        <v>3.6983127941352905</v>
      </c>
    </row>
    <row r="961" spans="1:6" x14ac:dyDescent="0.3">
      <c r="A961" s="2">
        <v>42762</v>
      </c>
      <c r="B961" s="1">
        <v>30.487500000000001</v>
      </c>
      <c r="C961" s="1">
        <f>'Historical Simulation'!D961</f>
        <v>132.18</v>
      </c>
      <c r="D961" s="22">
        <f t="shared" si="53"/>
        <v>359.01899447999983</v>
      </c>
      <c r="E961" s="23">
        <f t="shared" si="54"/>
        <v>-1.9439584450593657</v>
      </c>
      <c r="F961" s="23">
        <f t="shared" si="55"/>
        <v>1.9439584450593657</v>
      </c>
    </row>
    <row r="962" spans="1:6" x14ac:dyDescent="0.3">
      <c r="A962" s="2">
        <v>42761</v>
      </c>
      <c r="B962" s="1">
        <v>30.484999999999999</v>
      </c>
      <c r="C962" s="1">
        <f>'Historical Simulation'!D962</f>
        <v>132.78</v>
      </c>
      <c r="D962" s="22">
        <f t="shared" si="53"/>
        <v>360.9629529250592</v>
      </c>
      <c r="E962" s="23">
        <f t="shared" si="54"/>
        <v>4.1663678039856222</v>
      </c>
      <c r="F962" s="23">
        <f t="shared" si="55"/>
        <v>-4.1663678039856222</v>
      </c>
    </row>
    <row r="963" spans="1:6" x14ac:dyDescent="0.3">
      <c r="A963" s="2">
        <v>42760</v>
      </c>
      <c r="B963" s="1">
        <v>30.47</v>
      </c>
      <c r="C963" s="1">
        <f>'Historical Simulation'!D963</f>
        <v>131.47999999999999</v>
      </c>
      <c r="D963" s="22">
        <f t="shared" si="53"/>
        <v>356.79658512107358</v>
      </c>
      <c r="E963" s="23">
        <f t="shared" si="54"/>
        <v>5.7515139610943606</v>
      </c>
      <c r="F963" s="23">
        <f t="shared" si="55"/>
        <v>-5.7515139610943606</v>
      </c>
    </row>
    <row r="964" spans="1:6" x14ac:dyDescent="0.3">
      <c r="A964" s="2">
        <v>42759</v>
      </c>
      <c r="B964" s="1">
        <v>29.9925</v>
      </c>
      <c r="C964" s="1">
        <f>'Historical Simulation'!D964</f>
        <v>129.37</v>
      </c>
      <c r="D964" s="22">
        <f t="shared" si="53"/>
        <v>351.04507115997922</v>
      </c>
      <c r="E964" s="23">
        <f t="shared" si="54"/>
        <v>1.4828225279091498</v>
      </c>
      <c r="F964" s="23">
        <f t="shared" si="55"/>
        <v>-1.4828225279091498</v>
      </c>
    </row>
    <row r="965" spans="1:6" x14ac:dyDescent="0.3">
      <c r="A965" s="2">
        <v>42758</v>
      </c>
      <c r="B965" s="1">
        <v>30.02</v>
      </c>
      <c r="C965" s="1">
        <f>'Historical Simulation'!D965</f>
        <v>128.93</v>
      </c>
      <c r="D965" s="22">
        <f t="shared" si="53"/>
        <v>349.56224863207007</v>
      </c>
      <c r="E965" s="23">
        <f t="shared" si="54"/>
        <v>6.0612901116365379</v>
      </c>
      <c r="F965" s="23">
        <f t="shared" si="55"/>
        <v>-6.0612901116365379</v>
      </c>
    </row>
    <row r="966" spans="1:6" x14ac:dyDescent="0.3">
      <c r="A966" s="2">
        <v>42755</v>
      </c>
      <c r="B966" s="1">
        <v>30</v>
      </c>
      <c r="C966" s="1">
        <f>'Historical Simulation'!D966</f>
        <v>127.04</v>
      </c>
      <c r="D966" s="22">
        <f t="shared" ref="D966:D1029" si="56">$M$16*B966+(1-$M$16)*C966</f>
        <v>343.50095852043353</v>
      </c>
      <c r="E966" s="23">
        <f t="shared" ref="E966:E1029" si="57">D966-D967</f>
        <v>-1.7703095791842429</v>
      </c>
      <c r="F966" s="23">
        <f t="shared" ref="F966:F1029" si="58">-E966</f>
        <v>1.7703095791842429</v>
      </c>
    </row>
    <row r="967" spans="1:6" x14ac:dyDescent="0.3">
      <c r="A967" s="2">
        <v>42754</v>
      </c>
      <c r="B967" s="1">
        <v>29.945</v>
      </c>
      <c r="C967" s="1">
        <f>'Historical Simulation'!D967</f>
        <v>127.55</v>
      </c>
      <c r="D967" s="22">
        <f t="shared" si="56"/>
        <v>345.27126809961777</v>
      </c>
      <c r="E967" s="23">
        <f t="shared" si="57"/>
        <v>-1.0782270644089067</v>
      </c>
      <c r="F967" s="23">
        <f t="shared" si="58"/>
        <v>1.0782270644089067</v>
      </c>
    </row>
    <row r="968" spans="1:6" x14ac:dyDescent="0.3">
      <c r="A968" s="2">
        <v>42753</v>
      </c>
      <c r="B968" s="1">
        <v>29.997499999999999</v>
      </c>
      <c r="C968" s="1">
        <f>'Historical Simulation'!D968</f>
        <v>127.92</v>
      </c>
      <c r="D968" s="22">
        <f t="shared" si="56"/>
        <v>346.34949516402668</v>
      </c>
      <c r="E968" s="23">
        <f t="shared" si="57"/>
        <v>0.16710841222510453</v>
      </c>
      <c r="F968" s="23">
        <f t="shared" si="58"/>
        <v>-0.16710841222510453</v>
      </c>
    </row>
    <row r="969" spans="1:6" x14ac:dyDescent="0.3">
      <c r="A969" s="2">
        <v>42752</v>
      </c>
      <c r="B969" s="1">
        <v>30</v>
      </c>
      <c r="C969" s="1">
        <f>'Historical Simulation'!D969</f>
        <v>127.87</v>
      </c>
      <c r="D969" s="22">
        <f t="shared" si="56"/>
        <v>346.18238675180157</v>
      </c>
      <c r="E969" s="23">
        <f t="shared" si="57"/>
        <v>-2.0537518605678997</v>
      </c>
      <c r="F969" s="23">
        <f t="shared" si="58"/>
        <v>2.0537518605678997</v>
      </c>
    </row>
    <row r="970" spans="1:6" x14ac:dyDescent="0.3">
      <c r="A970" s="2">
        <v>42751</v>
      </c>
      <c r="B970" s="1">
        <v>29.76</v>
      </c>
      <c r="C970" s="1">
        <f>'Historical Simulation'!D970</f>
        <v>128.34</v>
      </c>
      <c r="D970" s="22">
        <f t="shared" si="56"/>
        <v>348.23613861236947</v>
      </c>
      <c r="E970" s="23">
        <f t="shared" si="57"/>
        <v>0</v>
      </c>
      <c r="F970" s="23">
        <f t="shared" si="58"/>
        <v>0</v>
      </c>
    </row>
    <row r="971" spans="1:6" x14ac:dyDescent="0.3">
      <c r="A971" s="2">
        <v>42748</v>
      </c>
      <c r="B971" s="1">
        <v>29.76</v>
      </c>
      <c r="C971" s="1">
        <f>'Historical Simulation'!D971</f>
        <v>128.34</v>
      </c>
      <c r="D971" s="22">
        <f t="shared" si="56"/>
        <v>348.23613861236947</v>
      </c>
      <c r="E971" s="23">
        <f t="shared" si="57"/>
        <v>5.6738030603613652</v>
      </c>
      <c r="F971" s="23">
        <f t="shared" si="58"/>
        <v>-5.6738030603613652</v>
      </c>
    </row>
    <row r="972" spans="1:6" x14ac:dyDescent="0.3">
      <c r="A972" s="2">
        <v>42747</v>
      </c>
      <c r="B972" s="1">
        <v>29.8125</v>
      </c>
      <c r="C972" s="1">
        <f>'Historical Simulation'!D972</f>
        <v>126.62</v>
      </c>
      <c r="D972" s="22">
        <f t="shared" si="56"/>
        <v>342.56233555200811</v>
      </c>
      <c r="E972" s="23">
        <f t="shared" si="57"/>
        <v>1.9910668572844656</v>
      </c>
      <c r="F972" s="23">
        <f t="shared" si="58"/>
        <v>-1.9910668572844656</v>
      </c>
    </row>
    <row r="973" spans="1:6" x14ac:dyDescent="0.3">
      <c r="A973" s="2">
        <v>42746</v>
      </c>
      <c r="B973" s="1">
        <v>29.9375</v>
      </c>
      <c r="C973" s="1">
        <f>'Historical Simulation'!D973</f>
        <v>126.09</v>
      </c>
      <c r="D973" s="22">
        <f t="shared" si="56"/>
        <v>340.57126869472364</v>
      </c>
      <c r="E973" s="23">
        <f t="shared" si="57"/>
        <v>5.2644055488694335</v>
      </c>
      <c r="F973" s="23">
        <f t="shared" si="58"/>
        <v>-5.2644055488694335</v>
      </c>
    </row>
    <row r="974" spans="1:6" x14ac:dyDescent="0.3">
      <c r="A974" s="2">
        <v>42745</v>
      </c>
      <c r="B974" s="1">
        <v>29.7775</v>
      </c>
      <c r="C974" s="1">
        <f>'Historical Simulation'!D974</f>
        <v>124.35</v>
      </c>
      <c r="D974" s="22">
        <f t="shared" si="56"/>
        <v>335.30686314585421</v>
      </c>
      <c r="E974" s="23">
        <f t="shared" si="57"/>
        <v>-1.8437691255343793</v>
      </c>
      <c r="F974" s="23">
        <f t="shared" si="58"/>
        <v>1.8437691255343793</v>
      </c>
    </row>
    <row r="975" spans="1:6" x14ac:dyDescent="0.3">
      <c r="A975" s="2">
        <v>42744</v>
      </c>
      <c r="B975" s="1">
        <v>29.747499999999999</v>
      </c>
      <c r="C975" s="1">
        <f>'Historical Simulation'!D975</f>
        <v>124.9</v>
      </c>
      <c r="D975" s="22">
        <f t="shared" si="56"/>
        <v>337.15063227138859</v>
      </c>
      <c r="E975" s="23">
        <f t="shared" si="57"/>
        <v>4.211376436468754</v>
      </c>
      <c r="F975" s="23">
        <f t="shared" si="58"/>
        <v>-4.211376436468754</v>
      </c>
    </row>
    <row r="976" spans="1:6" x14ac:dyDescent="0.3">
      <c r="A976" s="2">
        <v>42741</v>
      </c>
      <c r="B976" s="1">
        <v>29.477499999999999</v>
      </c>
      <c r="C976" s="1">
        <f>'Historical Simulation'!D976</f>
        <v>123.41</v>
      </c>
      <c r="D976" s="22">
        <f t="shared" si="56"/>
        <v>332.93925583491983</v>
      </c>
      <c r="E976" s="23">
        <f t="shared" si="57"/>
        <v>8.1269869623541808</v>
      </c>
      <c r="F976" s="23">
        <f t="shared" si="58"/>
        <v>-8.1269869623541808</v>
      </c>
    </row>
    <row r="977" spans="1:6" x14ac:dyDescent="0.3">
      <c r="A977" s="2">
        <v>42740</v>
      </c>
      <c r="B977" s="1">
        <v>29.1525</v>
      </c>
      <c r="C977" s="1">
        <f>'Historical Simulation'!D977</f>
        <v>120.67</v>
      </c>
      <c r="D977" s="22">
        <f t="shared" si="56"/>
        <v>324.81226887256565</v>
      </c>
      <c r="E977" s="23">
        <f t="shared" si="57"/>
        <v>6.0676412457614788</v>
      </c>
      <c r="F977" s="23">
        <f t="shared" si="58"/>
        <v>-6.0676412457614788</v>
      </c>
    </row>
    <row r="978" spans="1:6" x14ac:dyDescent="0.3">
      <c r="A978" s="2">
        <v>42739</v>
      </c>
      <c r="B978" s="1">
        <v>29.004999999999999</v>
      </c>
      <c r="C978" s="1">
        <f>'Historical Simulation'!D978</f>
        <v>118.69</v>
      </c>
      <c r="D978" s="22">
        <f t="shared" si="56"/>
        <v>318.74462762680417</v>
      </c>
      <c r="E978" s="23">
        <f t="shared" si="57"/>
        <v>5.9845603384615629</v>
      </c>
      <c r="F978" s="23">
        <f t="shared" si="58"/>
        <v>-5.9845603384615629</v>
      </c>
    </row>
    <row r="979" spans="1:6" x14ac:dyDescent="0.3">
      <c r="A979" s="2">
        <v>42738</v>
      </c>
      <c r="B979" s="1">
        <v>29.037500000000001</v>
      </c>
      <c r="C979" s="1">
        <f>'Historical Simulation'!D979</f>
        <v>116.86</v>
      </c>
      <c r="D979" s="22">
        <f t="shared" si="56"/>
        <v>312.76006728834261</v>
      </c>
      <c r="E979" s="23">
        <f t="shared" si="57"/>
        <v>5.6634244213112765</v>
      </c>
      <c r="F979" s="23">
        <f t="shared" si="58"/>
        <v>-5.6634244213112765</v>
      </c>
    </row>
    <row r="980" spans="1:6" x14ac:dyDescent="0.3">
      <c r="A980" s="2">
        <v>42737</v>
      </c>
      <c r="B980" s="1">
        <v>28.954999999999998</v>
      </c>
      <c r="C980" s="1">
        <f>'Historical Simulation'!D980</f>
        <v>115.05</v>
      </c>
      <c r="D980" s="22">
        <f t="shared" si="56"/>
        <v>307.09664286703133</v>
      </c>
      <c r="E980" s="23">
        <f t="shared" si="57"/>
        <v>0</v>
      </c>
      <c r="F980" s="23">
        <f t="shared" si="58"/>
        <v>0</v>
      </c>
    </row>
    <row r="981" spans="1:6" x14ac:dyDescent="0.3">
      <c r="A981" s="2">
        <v>42734</v>
      </c>
      <c r="B981" s="1">
        <v>28.954999999999998</v>
      </c>
      <c r="C981" s="1">
        <f>'Historical Simulation'!D981</f>
        <v>115.05</v>
      </c>
      <c r="D981" s="22">
        <f t="shared" si="56"/>
        <v>307.09664286703133</v>
      </c>
      <c r="E981" s="23">
        <f t="shared" si="57"/>
        <v>-3.6923575640267927</v>
      </c>
      <c r="F981" s="23">
        <f t="shared" si="58"/>
        <v>3.6923575640267927</v>
      </c>
    </row>
    <row r="982" spans="1:6" x14ac:dyDescent="0.3">
      <c r="A982" s="2">
        <v>42733</v>
      </c>
      <c r="B982" s="1">
        <v>29.182500000000001</v>
      </c>
      <c r="C982" s="1">
        <f>'Historical Simulation'!D982</f>
        <v>116.35</v>
      </c>
      <c r="D982" s="22">
        <f t="shared" si="56"/>
        <v>310.78900043105813</v>
      </c>
      <c r="E982" s="23">
        <f t="shared" si="57"/>
        <v>-1.8247329881260725</v>
      </c>
      <c r="F982" s="23">
        <f t="shared" si="58"/>
        <v>1.8247329881260725</v>
      </c>
    </row>
    <row r="983" spans="1:6" x14ac:dyDescent="0.3">
      <c r="A983" s="2">
        <v>42732</v>
      </c>
      <c r="B983" s="1">
        <v>29.19</v>
      </c>
      <c r="C983" s="1">
        <f>'Historical Simulation'!D983</f>
        <v>116.92</v>
      </c>
      <c r="D983" s="22">
        <f t="shared" si="56"/>
        <v>312.6137334191842</v>
      </c>
      <c r="E983" s="23">
        <f t="shared" si="57"/>
        <v>-3.2425641485182837</v>
      </c>
      <c r="F983" s="23">
        <f t="shared" si="58"/>
        <v>3.2425641485182837</v>
      </c>
    </row>
    <row r="984" spans="1:6" x14ac:dyDescent="0.3">
      <c r="A984" s="2">
        <v>42731</v>
      </c>
      <c r="B984" s="1">
        <v>29.315000000000001</v>
      </c>
      <c r="C984" s="1">
        <f>'Historical Simulation'!D984</f>
        <v>118.01</v>
      </c>
      <c r="D984" s="22">
        <f t="shared" si="56"/>
        <v>315.85629756770248</v>
      </c>
      <c r="E984" s="23">
        <f t="shared" si="57"/>
        <v>1.9780032149510021</v>
      </c>
      <c r="F984" s="23">
        <f t="shared" si="58"/>
        <v>-1.9780032149510021</v>
      </c>
    </row>
    <row r="985" spans="1:6" x14ac:dyDescent="0.3">
      <c r="A985" s="2">
        <v>42730</v>
      </c>
      <c r="B985" s="1">
        <v>29.13</v>
      </c>
      <c r="C985" s="1">
        <f>'Historical Simulation'!D985</f>
        <v>117.27</v>
      </c>
      <c r="D985" s="22">
        <f t="shared" si="56"/>
        <v>313.87829435275148</v>
      </c>
      <c r="E985" s="23">
        <f t="shared" si="57"/>
        <v>0</v>
      </c>
      <c r="F985" s="23">
        <f t="shared" si="58"/>
        <v>0</v>
      </c>
    </row>
    <row r="986" spans="1:6" x14ac:dyDescent="0.3">
      <c r="A986" s="2">
        <v>42727</v>
      </c>
      <c r="B986" s="1">
        <v>29.13</v>
      </c>
      <c r="C986" s="1">
        <f>'Historical Simulation'!D986</f>
        <v>117.27</v>
      </c>
      <c r="D986" s="22">
        <f t="shared" si="56"/>
        <v>313.87829435275148</v>
      </c>
      <c r="E986" s="23">
        <f t="shared" si="57"/>
        <v>-0.54824432937539314</v>
      </c>
      <c r="F986" s="23">
        <f t="shared" si="58"/>
        <v>0.54824432937539314</v>
      </c>
    </row>
    <row r="987" spans="1:6" x14ac:dyDescent="0.3">
      <c r="A987" s="2">
        <v>42726</v>
      </c>
      <c r="B987" s="1">
        <v>29.072500000000002</v>
      </c>
      <c r="C987" s="1">
        <f>'Historical Simulation'!D987</f>
        <v>117.4</v>
      </c>
      <c r="D987" s="22">
        <f t="shared" si="56"/>
        <v>314.42653868212687</v>
      </c>
      <c r="E987" s="23">
        <f t="shared" si="57"/>
        <v>-4.8688462227774494</v>
      </c>
      <c r="F987" s="23">
        <f t="shared" si="58"/>
        <v>4.8688462227774494</v>
      </c>
    </row>
    <row r="988" spans="1:6" x14ac:dyDescent="0.3">
      <c r="A988" s="2">
        <v>42725</v>
      </c>
      <c r="B988" s="1">
        <v>29.265000000000001</v>
      </c>
      <c r="C988" s="1">
        <f>'Historical Simulation'!D988</f>
        <v>119.04</v>
      </c>
      <c r="D988" s="22">
        <f t="shared" si="56"/>
        <v>319.29538490490432</v>
      </c>
      <c r="E988" s="23">
        <f t="shared" si="57"/>
        <v>-0.22287432280847952</v>
      </c>
      <c r="F988" s="23">
        <f t="shared" si="58"/>
        <v>0.22287432280847952</v>
      </c>
    </row>
    <row r="989" spans="1:6" x14ac:dyDescent="0.3">
      <c r="A989" s="2">
        <v>42724</v>
      </c>
      <c r="B989" s="1">
        <v>29.237500000000001</v>
      </c>
      <c r="C989" s="1">
        <f>'Historical Simulation'!D989</f>
        <v>119.09</v>
      </c>
      <c r="D989" s="22">
        <f t="shared" si="56"/>
        <v>319.5182592277128</v>
      </c>
      <c r="E989" s="23">
        <f t="shared" si="57"/>
        <v>-0.65746978630869535</v>
      </c>
      <c r="F989" s="23">
        <f t="shared" si="58"/>
        <v>0.65746978630869535</v>
      </c>
    </row>
    <row r="990" spans="1:6" x14ac:dyDescent="0.3">
      <c r="A990" s="2">
        <v>42723</v>
      </c>
      <c r="B990" s="1">
        <v>29.16</v>
      </c>
      <c r="C990" s="1">
        <f>'Historical Simulation'!D990</f>
        <v>119.24</v>
      </c>
      <c r="D990" s="22">
        <f t="shared" si="56"/>
        <v>320.1757290140215</v>
      </c>
      <c r="E990" s="23">
        <f t="shared" si="57"/>
        <v>-2.4089325476097656</v>
      </c>
      <c r="F990" s="23">
        <f t="shared" si="58"/>
        <v>2.4089325476097656</v>
      </c>
    </row>
    <row r="991" spans="1:6" x14ac:dyDescent="0.3">
      <c r="A991" s="2">
        <v>42720</v>
      </c>
      <c r="B991" s="1">
        <v>28.9925</v>
      </c>
      <c r="C991" s="1">
        <f>'Historical Simulation'!D991</f>
        <v>119.87</v>
      </c>
      <c r="D991" s="22">
        <f t="shared" si="56"/>
        <v>322.58466156163126</v>
      </c>
      <c r="E991" s="23">
        <f t="shared" si="57"/>
        <v>-2.3450943622095224</v>
      </c>
      <c r="F991" s="23">
        <f t="shared" si="58"/>
        <v>2.3450943622095224</v>
      </c>
    </row>
    <row r="992" spans="1:6" x14ac:dyDescent="0.3">
      <c r="A992" s="2">
        <v>42719</v>
      </c>
      <c r="B992" s="1">
        <v>28.954999999999998</v>
      </c>
      <c r="C992" s="1">
        <f>'Historical Simulation'!D992</f>
        <v>120.57</v>
      </c>
      <c r="D992" s="22">
        <f t="shared" si="56"/>
        <v>324.92975592384079</v>
      </c>
      <c r="E992" s="23">
        <f t="shared" si="57"/>
        <v>0.81170387572535674</v>
      </c>
      <c r="F992" s="23">
        <f t="shared" si="58"/>
        <v>-0.81170387572535674</v>
      </c>
    </row>
    <row r="993" spans="1:6" x14ac:dyDescent="0.3">
      <c r="A993" s="2">
        <v>42718</v>
      </c>
      <c r="B993" s="1">
        <v>28.797499999999999</v>
      </c>
      <c r="C993" s="1">
        <f>'Historical Simulation'!D993</f>
        <v>120.21</v>
      </c>
      <c r="D993" s="22">
        <f t="shared" si="56"/>
        <v>324.11805204811543</v>
      </c>
      <c r="E993" s="23">
        <f t="shared" si="57"/>
        <v>-0.32306364233357954</v>
      </c>
      <c r="F993" s="23">
        <f t="shared" si="58"/>
        <v>0.32306364233357954</v>
      </c>
    </row>
    <row r="994" spans="1:6" x14ac:dyDescent="0.3">
      <c r="A994" s="2">
        <v>42717</v>
      </c>
      <c r="B994" s="1">
        <v>28.797499999999999</v>
      </c>
      <c r="C994" s="1">
        <f>'Historical Simulation'!D994</f>
        <v>120.31</v>
      </c>
      <c r="D994" s="22">
        <f t="shared" si="56"/>
        <v>324.44111569044901</v>
      </c>
      <c r="E994" s="23">
        <f t="shared" si="57"/>
        <v>7.1518408052452287</v>
      </c>
      <c r="F994" s="23">
        <f t="shared" si="58"/>
        <v>-7.1518408052452287</v>
      </c>
    </row>
    <row r="995" spans="1:6" x14ac:dyDescent="0.3">
      <c r="A995" s="2">
        <v>42716</v>
      </c>
      <c r="B995" s="1">
        <v>28.324999999999999</v>
      </c>
      <c r="C995" s="1">
        <f>'Historical Simulation'!D995</f>
        <v>117.77</v>
      </c>
      <c r="D995" s="22">
        <f t="shared" si="56"/>
        <v>317.28927488520378</v>
      </c>
      <c r="E995" s="23">
        <f t="shared" si="57"/>
        <v>-5.8080371497779879</v>
      </c>
      <c r="F995" s="23">
        <f t="shared" si="58"/>
        <v>5.8080371497779879</v>
      </c>
    </row>
    <row r="996" spans="1:6" x14ac:dyDescent="0.3">
      <c r="A996" s="2">
        <v>42713</v>
      </c>
      <c r="B996" s="1">
        <v>28.487500000000001</v>
      </c>
      <c r="C996" s="1">
        <f>'Historical Simulation'!D996</f>
        <v>119.68</v>
      </c>
      <c r="D996" s="22">
        <f t="shared" si="56"/>
        <v>323.09731203498177</v>
      </c>
      <c r="E996" s="23">
        <f t="shared" si="57"/>
        <v>1.4670738822921976</v>
      </c>
      <c r="F996" s="23">
        <f t="shared" si="58"/>
        <v>-1.4670738822921976</v>
      </c>
    </row>
    <row r="997" spans="1:6" x14ac:dyDescent="0.3">
      <c r="A997" s="2">
        <v>42712</v>
      </c>
      <c r="B997" s="1">
        <v>28.03</v>
      </c>
      <c r="C997" s="1">
        <f>'Historical Simulation'!D997</f>
        <v>118.91</v>
      </c>
      <c r="D997" s="22">
        <f t="shared" si="56"/>
        <v>321.63023815268957</v>
      </c>
      <c r="E997" s="23">
        <f t="shared" si="57"/>
        <v>2.4935625410428202</v>
      </c>
      <c r="F997" s="23">
        <f t="shared" si="58"/>
        <v>-2.4935625410428202</v>
      </c>
    </row>
    <row r="998" spans="1:6" x14ac:dyDescent="0.3">
      <c r="A998" s="2">
        <v>42711</v>
      </c>
      <c r="B998" s="1">
        <v>27.7575</v>
      </c>
      <c r="C998" s="1">
        <f>'Historical Simulation'!D998</f>
        <v>117.95</v>
      </c>
      <c r="D998" s="22">
        <f t="shared" si="56"/>
        <v>319.13667561164675</v>
      </c>
      <c r="E998" s="23">
        <f t="shared" si="57"/>
        <v>1.4653354766339817</v>
      </c>
      <c r="F998" s="23">
        <f t="shared" si="58"/>
        <v>-1.4653354766339817</v>
      </c>
    </row>
    <row r="999" spans="1:6" x14ac:dyDescent="0.3">
      <c r="A999" s="2">
        <v>42710</v>
      </c>
      <c r="B999" s="1">
        <v>27.487500000000001</v>
      </c>
      <c r="C999" s="1">
        <f>'Historical Simulation'!D999</f>
        <v>117.31</v>
      </c>
      <c r="D999" s="22">
        <f t="shared" si="56"/>
        <v>317.67134013501277</v>
      </c>
      <c r="E999" s="23">
        <f t="shared" si="57"/>
        <v>-0.85611001970056577</v>
      </c>
      <c r="F999" s="23">
        <f t="shared" si="58"/>
        <v>0.85611001970056577</v>
      </c>
    </row>
    <row r="1000" spans="1:6" x14ac:dyDescent="0.3">
      <c r="A1000" s="2">
        <v>42709</v>
      </c>
      <c r="B1000" s="1">
        <v>27.2775</v>
      </c>
      <c r="C1000" s="1">
        <f>'Historical Simulation'!D1000</f>
        <v>117.43</v>
      </c>
      <c r="D1000" s="22">
        <f t="shared" si="56"/>
        <v>318.52745015471334</v>
      </c>
      <c r="E1000" s="23">
        <f t="shared" si="57"/>
        <v>6.9987426329788605</v>
      </c>
      <c r="F1000" s="23">
        <f t="shared" si="58"/>
        <v>-6.9987426329788605</v>
      </c>
    </row>
    <row r="1001" spans="1:6" x14ac:dyDescent="0.3">
      <c r="A1001" s="2">
        <v>42706</v>
      </c>
      <c r="B1001" s="1">
        <v>27.475000000000001</v>
      </c>
      <c r="C1001" s="1">
        <f>'Historical Simulation'!D1001</f>
        <v>115.4</v>
      </c>
      <c r="D1001" s="22">
        <f t="shared" si="56"/>
        <v>311.52870752173447</v>
      </c>
      <c r="E1001" s="23">
        <f t="shared" si="57"/>
        <v>0.7405506936086681</v>
      </c>
      <c r="F1001" s="23">
        <f t="shared" si="58"/>
        <v>-0.7405506936086681</v>
      </c>
    </row>
    <row r="1002" spans="1:6" x14ac:dyDescent="0.3">
      <c r="A1002" s="2">
        <v>42705</v>
      </c>
      <c r="B1002" s="1">
        <v>27.372499999999999</v>
      </c>
      <c r="C1002" s="1">
        <f>'Historical Simulation'!D1002</f>
        <v>115.1</v>
      </c>
      <c r="D1002" s="22">
        <f t="shared" si="56"/>
        <v>310.78815682812581</v>
      </c>
      <c r="E1002" s="23">
        <f t="shared" si="57"/>
        <v>-10.151324046463628</v>
      </c>
      <c r="F1002" s="23">
        <f t="shared" si="58"/>
        <v>10.151324046463628</v>
      </c>
    </row>
    <row r="1003" spans="1:6" x14ac:dyDescent="0.3">
      <c r="A1003" s="2">
        <v>42704</v>
      </c>
      <c r="B1003" s="1">
        <v>27.63</v>
      </c>
      <c r="C1003" s="1">
        <f>'Historical Simulation'!D1003</f>
        <v>118.42</v>
      </c>
      <c r="D1003" s="22">
        <f t="shared" si="56"/>
        <v>320.93948087458944</v>
      </c>
      <c r="E1003" s="23">
        <f t="shared" si="57"/>
        <v>-7.3908596776871605</v>
      </c>
      <c r="F1003" s="23">
        <f t="shared" si="58"/>
        <v>7.3908596776871605</v>
      </c>
    </row>
    <row r="1004" spans="1:6" x14ac:dyDescent="0.3">
      <c r="A1004" s="2">
        <v>42703</v>
      </c>
      <c r="B1004" s="1">
        <v>27.864999999999998</v>
      </c>
      <c r="C1004" s="1">
        <f>'Historical Simulation'!D1004</f>
        <v>120.87</v>
      </c>
      <c r="D1004" s="22">
        <f t="shared" si="56"/>
        <v>328.3303405522766</v>
      </c>
      <c r="E1004" s="23">
        <f t="shared" si="57"/>
        <v>1.5474352563758771</v>
      </c>
      <c r="F1004" s="23">
        <f t="shared" si="58"/>
        <v>-1.5474352563758771</v>
      </c>
    </row>
    <row r="1005" spans="1:6" x14ac:dyDescent="0.3">
      <c r="A1005" s="2">
        <v>42702</v>
      </c>
      <c r="B1005" s="1">
        <v>27.892499999999998</v>
      </c>
      <c r="C1005" s="1">
        <f>'Historical Simulation'!D1005</f>
        <v>120.41</v>
      </c>
      <c r="D1005" s="22">
        <f t="shared" si="56"/>
        <v>326.78290529590072</v>
      </c>
      <c r="E1005" s="23">
        <f t="shared" si="57"/>
        <v>0.21960409598347042</v>
      </c>
      <c r="F1005" s="23">
        <f t="shared" si="58"/>
        <v>-0.21960409598347042</v>
      </c>
    </row>
    <row r="1006" spans="1:6" x14ac:dyDescent="0.3">
      <c r="A1006" s="2">
        <v>42699</v>
      </c>
      <c r="B1006" s="1">
        <v>27.947500000000002</v>
      </c>
      <c r="C1006" s="1">
        <f>'Historical Simulation'!D1006</f>
        <v>120.38</v>
      </c>
      <c r="D1006" s="22">
        <f t="shared" si="56"/>
        <v>326.56330119991725</v>
      </c>
      <c r="E1006" s="23">
        <f t="shared" si="57"/>
        <v>-1.7983818540009793</v>
      </c>
      <c r="F1006" s="23">
        <f t="shared" si="58"/>
        <v>1.7983818540009793</v>
      </c>
    </row>
    <row r="1007" spans="1:6" x14ac:dyDescent="0.3">
      <c r="A1007" s="2">
        <v>42698</v>
      </c>
      <c r="B1007" s="1">
        <v>27.807500000000001</v>
      </c>
      <c r="C1007" s="1">
        <f>'Historical Simulation'!D1007</f>
        <v>120.84</v>
      </c>
      <c r="D1007" s="22">
        <f t="shared" si="56"/>
        <v>328.36168305391823</v>
      </c>
      <c r="E1007" s="23">
        <f t="shared" si="57"/>
        <v>0</v>
      </c>
      <c r="F1007" s="23">
        <f t="shared" si="58"/>
        <v>0</v>
      </c>
    </row>
    <row r="1008" spans="1:6" x14ac:dyDescent="0.3">
      <c r="A1008" s="2">
        <v>42697</v>
      </c>
      <c r="B1008" s="1">
        <v>27.807500000000001</v>
      </c>
      <c r="C1008" s="1">
        <f>'Historical Simulation'!D1008</f>
        <v>120.84</v>
      </c>
      <c r="D1008" s="22">
        <f t="shared" si="56"/>
        <v>328.36168305391823</v>
      </c>
      <c r="E1008" s="23">
        <f t="shared" si="57"/>
        <v>-1.717435256375893</v>
      </c>
      <c r="F1008" s="23">
        <f t="shared" si="58"/>
        <v>1.717435256375893</v>
      </c>
    </row>
    <row r="1009" spans="1:6" x14ac:dyDescent="0.3">
      <c r="A1009" s="2">
        <v>42696</v>
      </c>
      <c r="B1009" s="1">
        <v>27.95</v>
      </c>
      <c r="C1009" s="1">
        <f>'Historical Simulation'!D1009</f>
        <v>121.47</v>
      </c>
      <c r="D1009" s="22">
        <f t="shared" si="56"/>
        <v>330.07911831029412</v>
      </c>
      <c r="E1009" s="23">
        <f t="shared" si="57"/>
        <v>-1.0082270644088567</v>
      </c>
      <c r="F1009" s="23">
        <f t="shared" si="58"/>
        <v>1.0082270644088567</v>
      </c>
    </row>
    <row r="1010" spans="1:6" x14ac:dyDescent="0.3">
      <c r="A1010" s="2">
        <v>42695</v>
      </c>
      <c r="B1010" s="1">
        <v>27.932500000000001</v>
      </c>
      <c r="C1010" s="1">
        <f>'Historical Simulation'!D1010</f>
        <v>121.77</v>
      </c>
      <c r="D1010" s="22">
        <f t="shared" si="56"/>
        <v>331.08734537470298</v>
      </c>
      <c r="E1010" s="23">
        <f t="shared" si="57"/>
        <v>14.41423230409913</v>
      </c>
      <c r="F1010" s="23">
        <f t="shared" si="58"/>
        <v>-14.41423230409913</v>
      </c>
    </row>
    <row r="1011" spans="1:6" x14ac:dyDescent="0.3">
      <c r="A1011" s="2">
        <v>42692</v>
      </c>
      <c r="B1011" s="1">
        <v>27.515000000000001</v>
      </c>
      <c r="C1011" s="1">
        <f>'Historical Simulation'!D1011</f>
        <v>117.02</v>
      </c>
      <c r="D1011" s="22">
        <f t="shared" si="56"/>
        <v>316.67311307060385</v>
      </c>
      <c r="E1011" s="23">
        <f t="shared" si="57"/>
        <v>-2.548932547609752</v>
      </c>
      <c r="F1011" s="23">
        <f t="shared" si="58"/>
        <v>2.548932547609752</v>
      </c>
    </row>
    <row r="1012" spans="1:6" x14ac:dyDescent="0.3">
      <c r="A1012" s="2">
        <v>42691</v>
      </c>
      <c r="B1012" s="1">
        <v>27.487500000000001</v>
      </c>
      <c r="C1012" s="1">
        <f>'Historical Simulation'!D1012</f>
        <v>117.79</v>
      </c>
      <c r="D1012" s="22">
        <f t="shared" si="56"/>
        <v>319.2220456182136</v>
      </c>
      <c r="E1012" s="23">
        <f t="shared" si="57"/>
        <v>4.7067291780692244</v>
      </c>
      <c r="F1012" s="23">
        <f t="shared" si="58"/>
        <v>-4.7067291780692244</v>
      </c>
    </row>
    <row r="1013" spans="1:6" x14ac:dyDescent="0.3">
      <c r="A1013" s="2">
        <v>42690</v>
      </c>
      <c r="B1013" s="1">
        <v>27.497499999999999</v>
      </c>
      <c r="C1013" s="1">
        <f>'Historical Simulation'!D1013</f>
        <v>116.34</v>
      </c>
      <c r="D1013" s="22">
        <f t="shared" si="56"/>
        <v>314.51531644014437</v>
      </c>
      <c r="E1013" s="23">
        <f t="shared" si="57"/>
        <v>-4.3844055488693812</v>
      </c>
      <c r="F1013" s="23">
        <f t="shared" si="58"/>
        <v>4.3844055488693812</v>
      </c>
    </row>
    <row r="1014" spans="1:6" x14ac:dyDescent="0.3">
      <c r="A1014" s="2">
        <v>42689</v>
      </c>
      <c r="B1014" s="1">
        <v>26.7775</v>
      </c>
      <c r="C1014" s="1">
        <f>'Historical Simulation'!D1014</f>
        <v>117.2</v>
      </c>
      <c r="D1014" s="22">
        <f t="shared" si="56"/>
        <v>318.89972198901376</v>
      </c>
      <c r="E1014" s="23">
        <f t="shared" si="57"/>
        <v>6.0682264693029992</v>
      </c>
      <c r="F1014" s="23">
        <f t="shared" si="58"/>
        <v>-6.0682264693029992</v>
      </c>
    </row>
    <row r="1015" spans="1:6" x14ac:dyDescent="0.3">
      <c r="A1015" s="2">
        <v>42688</v>
      </c>
      <c r="B1015" s="1">
        <v>26.427499999999998</v>
      </c>
      <c r="C1015" s="1">
        <f>'Historical Simulation'!D1015</f>
        <v>115.08</v>
      </c>
      <c r="D1015" s="22">
        <f t="shared" si="56"/>
        <v>312.83149551971076</v>
      </c>
      <c r="E1015" s="23">
        <f t="shared" si="57"/>
        <v>-11.211874740072233</v>
      </c>
      <c r="F1015" s="23">
        <f t="shared" si="58"/>
        <v>11.211874740072233</v>
      </c>
    </row>
    <row r="1016" spans="1:6" x14ac:dyDescent="0.3">
      <c r="A1016" s="2">
        <v>42685</v>
      </c>
      <c r="B1016" s="1">
        <v>27.107500000000002</v>
      </c>
      <c r="C1016" s="1">
        <f>'Historical Simulation'!D1016</f>
        <v>119.02</v>
      </c>
      <c r="D1016" s="22">
        <f t="shared" si="56"/>
        <v>324.04337025978299</v>
      </c>
      <c r="E1016" s="23">
        <f t="shared" si="57"/>
        <v>-6.1074346612700197</v>
      </c>
      <c r="F1016" s="23">
        <f t="shared" si="58"/>
        <v>6.1074346612700197</v>
      </c>
    </row>
    <row r="1017" spans="1:6" x14ac:dyDescent="0.3">
      <c r="A1017" s="2">
        <v>42684</v>
      </c>
      <c r="B1017" s="1">
        <v>26.947500000000002</v>
      </c>
      <c r="C1017" s="1">
        <f>'Historical Simulation'!D1017</f>
        <v>120.8</v>
      </c>
      <c r="D1017" s="22">
        <f t="shared" si="56"/>
        <v>330.15080492105301</v>
      </c>
      <c r="E1017" s="23">
        <f t="shared" si="57"/>
        <v>-5.965748050511138</v>
      </c>
      <c r="F1017" s="23">
        <f t="shared" si="58"/>
        <v>5.965748050511138</v>
      </c>
    </row>
    <row r="1018" spans="1:6" x14ac:dyDescent="0.3">
      <c r="A1018" s="2">
        <v>42683</v>
      </c>
      <c r="B1018" s="1">
        <v>27.72</v>
      </c>
      <c r="C1018" s="1">
        <f>'Historical Simulation'!D1018</f>
        <v>123.18</v>
      </c>
      <c r="D1018" s="22">
        <f t="shared" si="56"/>
        <v>336.11655297156415</v>
      </c>
      <c r="E1018" s="23">
        <f t="shared" si="57"/>
        <v>-3.2594832412183337</v>
      </c>
      <c r="F1018" s="23">
        <f t="shared" si="58"/>
        <v>3.2594832412183337</v>
      </c>
    </row>
    <row r="1019" spans="1:6" x14ac:dyDescent="0.3">
      <c r="A1019" s="2">
        <v>42682</v>
      </c>
      <c r="B1019" s="1">
        <v>27.765000000000001</v>
      </c>
      <c r="C1019" s="1">
        <f>'Historical Simulation'!D1019</f>
        <v>124.22</v>
      </c>
      <c r="D1019" s="22">
        <f t="shared" si="56"/>
        <v>339.37603621278248</v>
      </c>
      <c r="E1019" s="23">
        <f t="shared" si="57"/>
        <v>6.3249389775116356</v>
      </c>
      <c r="F1019" s="23">
        <f t="shared" si="58"/>
        <v>-6.3249389775116356</v>
      </c>
    </row>
    <row r="1020" spans="1:6" x14ac:dyDescent="0.3">
      <c r="A1020" s="2">
        <v>42681</v>
      </c>
      <c r="B1020" s="1">
        <v>27.602499999999999</v>
      </c>
      <c r="C1020" s="1">
        <f>'Historical Simulation'!D1020</f>
        <v>122.15</v>
      </c>
      <c r="D1020" s="22">
        <f t="shared" si="56"/>
        <v>333.05109723527084</v>
      </c>
      <c r="E1020" s="23">
        <f t="shared" si="57"/>
        <v>3.6473661965100632</v>
      </c>
      <c r="F1020" s="23">
        <f t="shared" si="58"/>
        <v>-3.6473661965100632</v>
      </c>
    </row>
    <row r="1021" spans="1:6" x14ac:dyDescent="0.3">
      <c r="A1021" s="2">
        <v>42678</v>
      </c>
      <c r="B1021" s="1">
        <v>27.21</v>
      </c>
      <c r="C1021" s="1">
        <f>'Historical Simulation'!D1021</f>
        <v>120.75</v>
      </c>
      <c r="D1021" s="22">
        <f t="shared" si="56"/>
        <v>329.40373103876078</v>
      </c>
      <c r="E1021" s="23">
        <f t="shared" si="57"/>
        <v>2.9750598322766564</v>
      </c>
      <c r="F1021" s="23">
        <f t="shared" si="58"/>
        <v>-2.9750598322766564</v>
      </c>
    </row>
    <row r="1022" spans="1:6" x14ac:dyDescent="0.3">
      <c r="A1022" s="2">
        <v>42677</v>
      </c>
      <c r="B1022" s="1">
        <v>27.4575</v>
      </c>
      <c r="C1022" s="1">
        <f>'Historical Simulation'!D1022</f>
        <v>120</v>
      </c>
      <c r="D1022" s="22">
        <f t="shared" si="56"/>
        <v>326.42867120648413</v>
      </c>
      <c r="E1022" s="23">
        <f t="shared" si="57"/>
        <v>-22.182183129044859</v>
      </c>
      <c r="F1022" s="23">
        <f t="shared" si="58"/>
        <v>22.182183129044859</v>
      </c>
    </row>
    <row r="1023" spans="1:6" x14ac:dyDescent="0.3">
      <c r="A1023" s="2">
        <v>42676</v>
      </c>
      <c r="B1023" s="1">
        <v>27.897500000000001</v>
      </c>
      <c r="C1023" s="1">
        <f>'Historical Simulation'!D1023</f>
        <v>127.17</v>
      </c>
      <c r="D1023" s="22">
        <f t="shared" si="56"/>
        <v>348.61085433552898</v>
      </c>
      <c r="E1023" s="23">
        <f t="shared" si="57"/>
        <v>-7.5831487769540331</v>
      </c>
      <c r="F1023" s="23">
        <f t="shared" si="58"/>
        <v>7.5831487769540331</v>
      </c>
    </row>
    <row r="1024" spans="1:6" x14ac:dyDescent="0.3">
      <c r="A1024" s="2">
        <v>42675</v>
      </c>
      <c r="B1024" s="1">
        <v>27.872499999999999</v>
      </c>
      <c r="C1024" s="1">
        <f>'Historical Simulation'!D1024</f>
        <v>129.5</v>
      </c>
      <c r="D1024" s="22">
        <f t="shared" si="56"/>
        <v>356.19400311248302</v>
      </c>
      <c r="E1024" s="23">
        <f t="shared" si="57"/>
        <v>-3.6704471038100905</v>
      </c>
      <c r="F1024" s="23">
        <f t="shared" si="58"/>
        <v>3.6704471038100905</v>
      </c>
    </row>
    <row r="1025" spans="1:6" x14ac:dyDescent="0.3">
      <c r="A1025" s="2">
        <v>42674</v>
      </c>
      <c r="B1025" s="1">
        <v>28.385000000000002</v>
      </c>
      <c r="C1025" s="1">
        <f>'Historical Simulation'!D1025</f>
        <v>130.99</v>
      </c>
      <c r="D1025" s="22">
        <f t="shared" si="56"/>
        <v>359.86445021629311</v>
      </c>
      <c r="E1025" s="23">
        <f t="shared" si="57"/>
        <v>-0.86881228795039078</v>
      </c>
      <c r="F1025" s="23">
        <f t="shared" si="58"/>
        <v>0.86881228795039078</v>
      </c>
    </row>
    <row r="1026" spans="1:6" x14ac:dyDescent="0.3">
      <c r="A1026" s="2">
        <v>42671</v>
      </c>
      <c r="B1026" s="1">
        <v>28.43</v>
      </c>
      <c r="C1026" s="1">
        <f>'Historical Simulation'!D1026</f>
        <v>131.29</v>
      </c>
      <c r="D1026" s="22">
        <f t="shared" si="56"/>
        <v>360.7332625042435</v>
      </c>
      <c r="E1026" s="23">
        <f t="shared" si="57"/>
        <v>5.5928391977697629</v>
      </c>
      <c r="F1026" s="23">
        <f t="shared" si="58"/>
        <v>-5.5928391977697629</v>
      </c>
    </row>
    <row r="1027" spans="1:6" x14ac:dyDescent="0.3">
      <c r="A1027" s="2">
        <v>42670</v>
      </c>
      <c r="B1027" s="1">
        <v>28.62</v>
      </c>
      <c r="C1027" s="1">
        <f>'Historical Simulation'!D1027</f>
        <v>129.69</v>
      </c>
      <c r="D1027" s="22">
        <f t="shared" si="56"/>
        <v>355.14042330647374</v>
      </c>
      <c r="E1027" s="23">
        <f t="shared" si="57"/>
        <v>-3.7423575640268041</v>
      </c>
      <c r="F1027" s="23">
        <f t="shared" si="58"/>
        <v>3.7423575640268041</v>
      </c>
    </row>
    <row r="1028" spans="1:6" x14ac:dyDescent="0.3">
      <c r="A1028" s="2">
        <v>42669</v>
      </c>
      <c r="B1028" s="1">
        <v>28.897500000000001</v>
      </c>
      <c r="C1028" s="1">
        <f>'Historical Simulation'!D1028</f>
        <v>131.04</v>
      </c>
      <c r="D1028" s="22">
        <f t="shared" si="56"/>
        <v>358.88278087050054</v>
      </c>
      <c r="E1028" s="23">
        <f t="shared" si="57"/>
        <v>-2.5549223076510543</v>
      </c>
      <c r="F1028" s="23">
        <f t="shared" si="58"/>
        <v>2.5549223076510543</v>
      </c>
    </row>
    <row r="1029" spans="1:6" x14ac:dyDescent="0.3">
      <c r="A1029" s="2">
        <v>42668</v>
      </c>
      <c r="B1029" s="1">
        <v>29.5625</v>
      </c>
      <c r="C1029" s="1">
        <f>'Historical Simulation'!D1029</f>
        <v>132.29</v>
      </c>
      <c r="D1029" s="22">
        <f t="shared" si="56"/>
        <v>361.43770317815159</v>
      </c>
      <c r="E1029" s="23">
        <f t="shared" si="57"/>
        <v>-3.5329255226019427</v>
      </c>
      <c r="F1029" s="23">
        <f t="shared" si="58"/>
        <v>3.5329255226019427</v>
      </c>
    </row>
    <row r="1030" spans="1:6" x14ac:dyDescent="0.3">
      <c r="A1030" s="2">
        <v>42667</v>
      </c>
      <c r="B1030" s="1">
        <v>29.412500000000001</v>
      </c>
      <c r="C1030" s="1">
        <f>'Historical Simulation'!D1030</f>
        <v>133.28</v>
      </c>
      <c r="D1030" s="22">
        <f t="shared" ref="D1030:D1093" si="59">$M$16*B1030+(1-$M$16)*C1030</f>
        <v>364.97062870075354</v>
      </c>
      <c r="E1030" s="23">
        <f t="shared" ref="E1030:E1093" si="60">D1030-D1031</f>
        <v>3.3235280111099428</v>
      </c>
      <c r="F1030" s="23">
        <f t="shared" ref="F1030:F1093" si="61">-E1030</f>
        <v>-3.3235280111099428</v>
      </c>
    </row>
    <row r="1031" spans="1:6" x14ac:dyDescent="0.3">
      <c r="A1031" s="2">
        <v>42664</v>
      </c>
      <c r="B1031" s="1">
        <v>29.15</v>
      </c>
      <c r="C1031" s="1">
        <f>'Historical Simulation'!D1031</f>
        <v>132.07</v>
      </c>
      <c r="D1031" s="22">
        <f t="shared" si="59"/>
        <v>361.64710068964359</v>
      </c>
      <c r="E1031" s="23">
        <f t="shared" si="60"/>
        <v>6.9439405849871036</v>
      </c>
      <c r="F1031" s="23">
        <f t="shared" si="61"/>
        <v>-6.9439405849871036</v>
      </c>
    </row>
    <row r="1032" spans="1:6" x14ac:dyDescent="0.3">
      <c r="A1032" s="2">
        <v>42663</v>
      </c>
      <c r="B1032" s="1">
        <v>29.265000000000001</v>
      </c>
      <c r="C1032" s="1">
        <f>'Historical Simulation'!D1032</f>
        <v>130</v>
      </c>
      <c r="D1032" s="22">
        <f t="shared" si="59"/>
        <v>354.70316010465649</v>
      </c>
      <c r="E1032" s="23">
        <f t="shared" si="60"/>
        <v>-0.32191046021688408</v>
      </c>
      <c r="F1032" s="23">
        <f t="shared" si="61"/>
        <v>0.32191046021688408</v>
      </c>
    </row>
    <row r="1033" spans="1:6" x14ac:dyDescent="0.3">
      <c r="A1033" s="2">
        <v>42662</v>
      </c>
      <c r="B1033" s="1">
        <v>29.28</v>
      </c>
      <c r="C1033" s="1">
        <f>'Historical Simulation'!D1033</f>
        <v>130.11000000000001</v>
      </c>
      <c r="D1033" s="22">
        <f t="shared" si="59"/>
        <v>355.02507056487337</v>
      </c>
      <c r="E1033" s="23">
        <f t="shared" si="60"/>
        <v>5.1703607789779085</v>
      </c>
      <c r="F1033" s="23">
        <f t="shared" si="61"/>
        <v>-5.1703607789779085</v>
      </c>
    </row>
    <row r="1034" spans="1:6" x14ac:dyDescent="0.3">
      <c r="A1034" s="2">
        <v>42661</v>
      </c>
      <c r="B1034" s="1">
        <v>29.3675</v>
      </c>
      <c r="C1034" s="1">
        <f>'Historical Simulation'!D1034</f>
        <v>128.57</v>
      </c>
      <c r="D1034" s="22">
        <f t="shared" si="59"/>
        <v>349.85470978589547</v>
      </c>
      <c r="E1034" s="23">
        <f t="shared" si="60"/>
        <v>3.3721682445017223</v>
      </c>
      <c r="F1034" s="23">
        <f t="shared" si="61"/>
        <v>-3.3721682445017223</v>
      </c>
    </row>
    <row r="1035" spans="1:6" x14ac:dyDescent="0.3">
      <c r="A1035" s="2">
        <v>42660</v>
      </c>
      <c r="B1035" s="1">
        <v>29.387499999999999</v>
      </c>
      <c r="C1035" s="1">
        <f>'Historical Simulation'!D1035</f>
        <v>127.54</v>
      </c>
      <c r="D1035" s="22">
        <f t="shared" si="59"/>
        <v>346.48254154139374</v>
      </c>
      <c r="E1035" s="23">
        <f t="shared" si="60"/>
        <v>-1.0538036554672203</v>
      </c>
      <c r="F1035" s="23">
        <f t="shared" si="61"/>
        <v>1.0538036554672203</v>
      </c>
    </row>
    <row r="1036" spans="1:6" x14ac:dyDescent="0.3">
      <c r="A1036" s="2">
        <v>42657</v>
      </c>
      <c r="B1036" s="1">
        <v>29.407499999999999</v>
      </c>
      <c r="C1036" s="1">
        <f>'Historical Simulation'!D1036</f>
        <v>127.88</v>
      </c>
      <c r="D1036" s="22">
        <f t="shared" si="59"/>
        <v>347.53634519686096</v>
      </c>
      <c r="E1036" s="23">
        <f t="shared" si="60"/>
        <v>-0.16864023339184087</v>
      </c>
      <c r="F1036" s="23">
        <f t="shared" si="61"/>
        <v>0.16864023339184087</v>
      </c>
    </row>
    <row r="1037" spans="1:6" x14ac:dyDescent="0.3">
      <c r="A1037" s="2">
        <v>42656</v>
      </c>
      <c r="B1037" s="1">
        <v>29.245000000000001</v>
      </c>
      <c r="C1037" s="1">
        <f>'Historical Simulation'!D1037</f>
        <v>127.82</v>
      </c>
      <c r="D1037" s="22">
        <f t="shared" si="59"/>
        <v>347.7049854302528</v>
      </c>
      <c r="E1037" s="23">
        <f t="shared" si="60"/>
        <v>-3.7729255226019518</v>
      </c>
      <c r="F1037" s="23">
        <f t="shared" si="61"/>
        <v>3.7729255226019518</v>
      </c>
    </row>
    <row r="1038" spans="1:6" x14ac:dyDescent="0.3">
      <c r="A1038" s="2">
        <v>42655</v>
      </c>
      <c r="B1038" s="1">
        <v>29.335000000000001</v>
      </c>
      <c r="C1038" s="1">
        <f>'Historical Simulation'!D1038</f>
        <v>129.05000000000001</v>
      </c>
      <c r="D1038" s="22">
        <f t="shared" si="59"/>
        <v>351.47791095285476</v>
      </c>
      <c r="E1038" s="23">
        <f t="shared" si="60"/>
        <v>-3.0757278100111307E-2</v>
      </c>
      <c r="F1038" s="23">
        <f t="shared" si="61"/>
        <v>3.0757278100111307E-2</v>
      </c>
    </row>
    <row r="1039" spans="1:6" x14ac:dyDescent="0.3">
      <c r="A1039" s="2">
        <v>42654</v>
      </c>
      <c r="B1039" s="1">
        <v>29.074999999999999</v>
      </c>
      <c r="C1039" s="1">
        <f>'Historical Simulation'!D1039</f>
        <v>128.88</v>
      </c>
      <c r="D1039" s="22">
        <f t="shared" si="59"/>
        <v>351.50866823095487</v>
      </c>
      <c r="E1039" s="23">
        <f t="shared" si="60"/>
        <v>-4.5330803121942154</v>
      </c>
      <c r="F1039" s="23">
        <f t="shared" si="61"/>
        <v>4.5330803121942154</v>
      </c>
    </row>
    <row r="1040" spans="1:6" x14ac:dyDescent="0.3">
      <c r="A1040" s="2">
        <v>42653</v>
      </c>
      <c r="B1040" s="1">
        <v>29.012499999999999</v>
      </c>
      <c r="C1040" s="1">
        <f>'Historical Simulation'!D1040</f>
        <v>130.24</v>
      </c>
      <c r="D1040" s="22">
        <f t="shared" si="59"/>
        <v>356.04174854314908</v>
      </c>
      <c r="E1040" s="23">
        <f t="shared" si="60"/>
        <v>2.9285539085596497</v>
      </c>
      <c r="F1040" s="23">
        <f t="shared" si="61"/>
        <v>-2.9285539085596497</v>
      </c>
    </row>
    <row r="1041" spans="1:6" x14ac:dyDescent="0.3">
      <c r="A1041" s="2">
        <v>42650</v>
      </c>
      <c r="B1041" s="1">
        <v>28.515000000000001</v>
      </c>
      <c r="C1041" s="1">
        <f>'Historical Simulation'!D1041</f>
        <v>128.99</v>
      </c>
      <c r="D1041" s="22">
        <f t="shared" si="59"/>
        <v>353.11319463458943</v>
      </c>
      <c r="E1041" s="23">
        <f t="shared" si="60"/>
        <v>0.71285705784208631</v>
      </c>
      <c r="F1041" s="23">
        <f t="shared" si="61"/>
        <v>-0.71285705784208631</v>
      </c>
    </row>
    <row r="1042" spans="1:6" x14ac:dyDescent="0.3">
      <c r="A1042" s="2">
        <v>42649</v>
      </c>
      <c r="B1042" s="1">
        <v>28.4725</v>
      </c>
      <c r="C1042" s="1">
        <f>'Historical Simulation'!D1042</f>
        <v>128.74</v>
      </c>
      <c r="D1042" s="22">
        <f t="shared" si="59"/>
        <v>352.40033757674735</v>
      </c>
      <c r="E1042" s="23">
        <f t="shared" si="60"/>
        <v>0.40383818540010452</v>
      </c>
      <c r="F1042" s="23">
        <f t="shared" si="61"/>
        <v>-0.40383818540010452</v>
      </c>
    </row>
    <row r="1043" spans="1:6" x14ac:dyDescent="0.3">
      <c r="A1043" s="2">
        <v>42648</v>
      </c>
      <c r="B1043" s="1">
        <v>28.262499999999999</v>
      </c>
      <c r="C1043" s="1">
        <f>'Historical Simulation'!D1043</f>
        <v>128.47</v>
      </c>
      <c r="D1043" s="22">
        <f t="shared" si="59"/>
        <v>351.99649939134724</v>
      </c>
      <c r="E1043" s="23">
        <f t="shared" si="60"/>
        <v>0.87669524324212489</v>
      </c>
      <c r="F1043" s="23">
        <f t="shared" si="61"/>
        <v>-0.87669524324212489</v>
      </c>
    </row>
    <row r="1044" spans="1:6" x14ac:dyDescent="0.3">
      <c r="A1044" s="2">
        <v>42647</v>
      </c>
      <c r="B1044" s="1">
        <v>28.25</v>
      </c>
      <c r="C1044" s="1">
        <f>'Historical Simulation'!D1044</f>
        <v>128.19</v>
      </c>
      <c r="D1044" s="22">
        <f t="shared" si="59"/>
        <v>351.11980414810512</v>
      </c>
      <c r="E1044" s="23">
        <f t="shared" si="60"/>
        <v>-2.1414454963345975</v>
      </c>
      <c r="F1044" s="23">
        <f t="shared" si="61"/>
        <v>2.1414454963345975</v>
      </c>
    </row>
    <row r="1045" spans="1:6" x14ac:dyDescent="0.3">
      <c r="A1045" s="2">
        <v>42646</v>
      </c>
      <c r="B1045" s="1">
        <v>28.13</v>
      </c>
      <c r="C1045" s="1">
        <f>'Historical Simulation'!D1045</f>
        <v>128.77000000000001</v>
      </c>
      <c r="D1045" s="22">
        <f t="shared" si="59"/>
        <v>353.26124964443972</v>
      </c>
      <c r="E1045" s="23">
        <f t="shared" si="60"/>
        <v>1.9108775377594611</v>
      </c>
      <c r="F1045" s="23">
        <f t="shared" si="61"/>
        <v>-1.9108775377594611</v>
      </c>
    </row>
    <row r="1046" spans="1:6" x14ac:dyDescent="0.3">
      <c r="A1046" s="2">
        <v>42643</v>
      </c>
      <c r="B1046" s="1">
        <v>28.262499999999999</v>
      </c>
      <c r="C1046" s="1">
        <f>'Historical Simulation'!D1046</f>
        <v>128.27000000000001</v>
      </c>
      <c r="D1046" s="22">
        <f t="shared" si="59"/>
        <v>351.35037210668025</v>
      </c>
      <c r="E1046" s="23">
        <f t="shared" si="60"/>
        <v>9.6351134124915916E-2</v>
      </c>
      <c r="F1046" s="23">
        <f t="shared" si="61"/>
        <v>-9.6351134124915916E-2</v>
      </c>
    </row>
    <row r="1047" spans="1:6" x14ac:dyDescent="0.3">
      <c r="A1047" s="2">
        <v>42642</v>
      </c>
      <c r="B1047" s="1">
        <v>28.045000000000002</v>
      </c>
      <c r="C1047" s="1">
        <f>'Historical Simulation'!D1047</f>
        <v>128.09</v>
      </c>
      <c r="D1047" s="22">
        <f t="shared" si="59"/>
        <v>351.25402097255534</v>
      </c>
      <c r="E1047" s="23">
        <f t="shared" si="60"/>
        <v>-2.6958689052761429</v>
      </c>
      <c r="F1047" s="23">
        <f t="shared" si="61"/>
        <v>2.6958689052761429</v>
      </c>
    </row>
    <row r="1048" spans="1:6" x14ac:dyDescent="0.3">
      <c r="A1048" s="2">
        <v>42641</v>
      </c>
      <c r="B1048" s="1">
        <v>28.487500000000001</v>
      </c>
      <c r="C1048" s="1">
        <f>'Historical Simulation'!D1048</f>
        <v>129.22999999999999</v>
      </c>
      <c r="D1048" s="22">
        <f t="shared" si="59"/>
        <v>353.94988987783148</v>
      </c>
      <c r="E1048" s="23">
        <f t="shared" si="60"/>
        <v>1.2649568375838385</v>
      </c>
      <c r="F1048" s="23">
        <f t="shared" si="61"/>
        <v>-1.2649568375838385</v>
      </c>
    </row>
    <row r="1049" spans="1:6" x14ac:dyDescent="0.3">
      <c r="A1049" s="2">
        <v>42640</v>
      </c>
      <c r="B1049" s="1">
        <v>28.272500000000001</v>
      </c>
      <c r="C1049" s="1">
        <f>'Historical Simulation'!D1049</f>
        <v>128.69</v>
      </c>
      <c r="D1049" s="22">
        <f t="shared" si="59"/>
        <v>352.68493304024764</v>
      </c>
      <c r="E1049" s="23">
        <f t="shared" si="60"/>
        <v>4.3411698519772699</v>
      </c>
      <c r="F1049" s="23">
        <f t="shared" si="61"/>
        <v>-4.3411698519772699</v>
      </c>
    </row>
    <row r="1050" spans="1:6" x14ac:dyDescent="0.3">
      <c r="A1050" s="2">
        <v>42639</v>
      </c>
      <c r="B1050" s="1">
        <v>28.22</v>
      </c>
      <c r="C1050" s="1">
        <f>'Historical Simulation'!D1050</f>
        <v>127.31</v>
      </c>
      <c r="D1050" s="22">
        <f t="shared" si="59"/>
        <v>348.34376318827037</v>
      </c>
      <c r="E1050" s="23">
        <f t="shared" si="60"/>
        <v>-2.1947157231595043</v>
      </c>
      <c r="F1050" s="23">
        <f t="shared" si="61"/>
        <v>2.1947157231595043</v>
      </c>
    </row>
    <row r="1051" spans="1:6" x14ac:dyDescent="0.3">
      <c r="A1051" s="2">
        <v>42636</v>
      </c>
      <c r="B1051" s="1">
        <v>28.177499999999998</v>
      </c>
      <c r="C1051" s="1">
        <f>'Historical Simulation'!D1051</f>
        <v>127.96</v>
      </c>
      <c r="D1051" s="22">
        <f t="shared" si="59"/>
        <v>350.53847891142988</v>
      </c>
      <c r="E1051" s="23">
        <f t="shared" si="60"/>
        <v>-5.7838203253278948</v>
      </c>
      <c r="F1051" s="23">
        <f t="shared" si="61"/>
        <v>5.7838203253278948</v>
      </c>
    </row>
    <row r="1052" spans="1:6" x14ac:dyDescent="0.3">
      <c r="A1052" s="2">
        <v>42635</v>
      </c>
      <c r="B1052" s="1">
        <v>28.655000000000001</v>
      </c>
      <c r="C1052" s="1">
        <f>'Historical Simulation'!D1052</f>
        <v>130.08000000000001</v>
      </c>
      <c r="D1052" s="22">
        <f t="shared" si="59"/>
        <v>356.32229923675777</v>
      </c>
      <c r="E1052" s="23">
        <f t="shared" si="60"/>
        <v>-0.14440614397511808</v>
      </c>
      <c r="F1052" s="23">
        <f t="shared" si="61"/>
        <v>0.14440614397511808</v>
      </c>
    </row>
    <row r="1053" spans="1:6" x14ac:dyDescent="0.3">
      <c r="A1053" s="2">
        <v>42634</v>
      </c>
      <c r="B1053" s="1">
        <v>28.387499999999999</v>
      </c>
      <c r="C1053" s="1">
        <f>'Historical Simulation'!D1053</f>
        <v>129.94</v>
      </c>
      <c r="D1053" s="22">
        <f t="shared" si="59"/>
        <v>356.46670538073289</v>
      </c>
      <c r="E1053" s="23">
        <f t="shared" si="60"/>
        <v>4.2109805324523109</v>
      </c>
      <c r="F1053" s="23">
        <f t="shared" si="61"/>
        <v>-4.2109805324523109</v>
      </c>
    </row>
    <row r="1054" spans="1:6" x14ac:dyDescent="0.3">
      <c r="A1054" s="2">
        <v>42633</v>
      </c>
      <c r="B1054" s="1">
        <v>28.392499999999998</v>
      </c>
      <c r="C1054" s="1">
        <f>'Historical Simulation'!D1054</f>
        <v>128.63999999999999</v>
      </c>
      <c r="D1054" s="22">
        <f t="shared" si="59"/>
        <v>352.25572484828058</v>
      </c>
      <c r="E1054" s="23">
        <f t="shared" si="60"/>
        <v>-2.6729773175077298E-2</v>
      </c>
      <c r="F1054" s="23">
        <f t="shared" si="61"/>
        <v>2.6729773175077298E-2</v>
      </c>
    </row>
    <row r="1055" spans="1:6" x14ac:dyDescent="0.3">
      <c r="A1055" s="2">
        <v>42632</v>
      </c>
      <c r="B1055" s="1">
        <v>28.395</v>
      </c>
      <c r="C1055" s="1">
        <f>'Historical Simulation'!D1055</f>
        <v>128.65</v>
      </c>
      <c r="D1055" s="22">
        <f t="shared" si="59"/>
        <v>352.28245462145566</v>
      </c>
      <c r="E1055" s="23">
        <f t="shared" si="60"/>
        <v>-0.60960409598345677</v>
      </c>
      <c r="F1055" s="23">
        <f t="shared" si="61"/>
        <v>0.60960409598345677</v>
      </c>
    </row>
    <row r="1056" spans="1:6" x14ac:dyDescent="0.3">
      <c r="A1056" s="2">
        <v>42629</v>
      </c>
      <c r="B1056" s="1">
        <v>28.73</v>
      </c>
      <c r="C1056" s="1">
        <f>'Historical Simulation'!D1056</f>
        <v>129.07</v>
      </c>
      <c r="D1056" s="22">
        <f t="shared" si="59"/>
        <v>352.89205871743911</v>
      </c>
      <c r="E1056" s="23">
        <f t="shared" si="60"/>
        <v>2.6885366435931246</v>
      </c>
      <c r="F1056" s="23">
        <f t="shared" si="61"/>
        <v>-2.6885366435931246</v>
      </c>
    </row>
    <row r="1057" spans="1:6" x14ac:dyDescent="0.3">
      <c r="A1057" s="2">
        <v>42628</v>
      </c>
      <c r="B1057" s="1">
        <v>28.892499999999998</v>
      </c>
      <c r="C1057" s="1">
        <f>'Historical Simulation'!D1057</f>
        <v>128.35</v>
      </c>
      <c r="D1057" s="22">
        <f t="shared" si="59"/>
        <v>350.20352207384599</v>
      </c>
      <c r="E1057" s="23">
        <f t="shared" si="60"/>
        <v>-0.24533547663395439</v>
      </c>
      <c r="F1057" s="23">
        <f t="shared" si="61"/>
        <v>0.24533547663395439</v>
      </c>
    </row>
    <row r="1058" spans="1:6" x14ac:dyDescent="0.3">
      <c r="A1058" s="2">
        <v>42627</v>
      </c>
      <c r="B1058" s="1">
        <v>27.942499999999999</v>
      </c>
      <c r="C1058" s="1">
        <f>'Historical Simulation'!D1058</f>
        <v>127.77</v>
      </c>
      <c r="D1058" s="22">
        <f t="shared" si="59"/>
        <v>350.44885755047994</v>
      </c>
      <c r="E1058" s="23">
        <f t="shared" si="60"/>
        <v>-0.32110138721731118</v>
      </c>
      <c r="F1058" s="23">
        <f t="shared" si="61"/>
        <v>0.32110138721731118</v>
      </c>
    </row>
    <row r="1059" spans="1:6" x14ac:dyDescent="0.3">
      <c r="A1059" s="2">
        <v>42626</v>
      </c>
      <c r="B1059" s="1">
        <v>26.987500000000001</v>
      </c>
      <c r="C1059" s="1">
        <f>'Historical Simulation'!D1059</f>
        <v>127.21</v>
      </c>
      <c r="D1059" s="22">
        <f t="shared" si="59"/>
        <v>350.76995893769725</v>
      </c>
      <c r="E1059" s="23">
        <f t="shared" si="60"/>
        <v>-6.1810662621786605</v>
      </c>
      <c r="F1059" s="23">
        <f t="shared" si="61"/>
        <v>6.1810662621786605</v>
      </c>
    </row>
    <row r="1060" spans="1:6" x14ac:dyDescent="0.3">
      <c r="A1060" s="2">
        <v>42625</v>
      </c>
      <c r="B1060" s="1">
        <v>26.36</v>
      </c>
      <c r="C1060" s="1">
        <f>'Historical Simulation'!D1060</f>
        <v>128.69</v>
      </c>
      <c r="D1060" s="22">
        <f t="shared" si="59"/>
        <v>356.95102519987591</v>
      </c>
      <c r="E1060" s="23">
        <f t="shared" si="60"/>
        <v>3.8485193786268042</v>
      </c>
      <c r="F1060" s="23">
        <f t="shared" si="61"/>
        <v>-3.8485193786268042</v>
      </c>
    </row>
    <row r="1061" spans="1:6" x14ac:dyDescent="0.3">
      <c r="A1061" s="2">
        <v>42622</v>
      </c>
      <c r="B1061" s="1">
        <v>25.782499999999999</v>
      </c>
      <c r="C1061" s="1">
        <f>'Historical Simulation'!D1061</f>
        <v>127.1</v>
      </c>
      <c r="D1061" s="22">
        <f t="shared" si="59"/>
        <v>353.10250582124911</v>
      </c>
      <c r="E1061" s="23">
        <f t="shared" si="60"/>
        <v>-8.908312199029524</v>
      </c>
      <c r="F1061" s="23">
        <f t="shared" si="61"/>
        <v>8.908312199029524</v>
      </c>
    </row>
    <row r="1062" spans="1:6" x14ac:dyDescent="0.3">
      <c r="A1062" s="2">
        <v>42621</v>
      </c>
      <c r="B1062" s="1">
        <v>26.38</v>
      </c>
      <c r="C1062" s="1">
        <f>'Historical Simulation'!D1062</f>
        <v>130.27000000000001</v>
      </c>
      <c r="D1062" s="22">
        <f t="shared" si="59"/>
        <v>362.01081802027863</v>
      </c>
      <c r="E1062" s="23">
        <f t="shared" si="60"/>
        <v>-0.93614454963341132</v>
      </c>
      <c r="F1062" s="23">
        <f t="shared" si="61"/>
        <v>0.93614454963341132</v>
      </c>
    </row>
    <row r="1063" spans="1:6" x14ac:dyDescent="0.3">
      <c r="A1063" s="2">
        <v>42620</v>
      </c>
      <c r="B1063" s="1">
        <v>27.09</v>
      </c>
      <c r="C1063" s="1">
        <f>'Historical Simulation'!D1063</f>
        <v>131.05000000000001</v>
      </c>
      <c r="D1063" s="22">
        <f t="shared" si="59"/>
        <v>362.94696256991205</v>
      </c>
      <c r="E1063" s="23">
        <f t="shared" si="60"/>
        <v>3.8963850689519859</v>
      </c>
      <c r="F1063" s="23">
        <f t="shared" si="61"/>
        <v>-3.8963850689519859</v>
      </c>
    </row>
    <row r="1064" spans="1:6" x14ac:dyDescent="0.3">
      <c r="A1064" s="2">
        <v>42619</v>
      </c>
      <c r="B1064" s="1">
        <v>26.925000000000001</v>
      </c>
      <c r="C1064" s="1">
        <f>'Historical Simulation'!D1064</f>
        <v>129.72999999999999</v>
      </c>
      <c r="D1064" s="22">
        <f t="shared" si="59"/>
        <v>359.05057750096006</v>
      </c>
      <c r="E1064" s="23">
        <f t="shared" si="60"/>
        <v>10.419379056313858</v>
      </c>
      <c r="F1064" s="23">
        <f t="shared" si="61"/>
        <v>-10.419379056313858</v>
      </c>
    </row>
    <row r="1065" spans="1:6" x14ac:dyDescent="0.3">
      <c r="A1065" s="2">
        <v>42618</v>
      </c>
      <c r="B1065" s="1">
        <v>26.932500000000001</v>
      </c>
      <c r="C1065" s="1">
        <f>'Historical Simulation'!D1065</f>
        <v>126.51</v>
      </c>
      <c r="D1065" s="22">
        <f t="shared" si="59"/>
        <v>348.6311984446462</v>
      </c>
      <c r="E1065" s="23">
        <f t="shared" si="60"/>
        <v>0</v>
      </c>
      <c r="F1065" s="23">
        <f t="shared" si="61"/>
        <v>0</v>
      </c>
    </row>
    <row r="1066" spans="1:6" x14ac:dyDescent="0.3">
      <c r="A1066" s="2">
        <v>42615</v>
      </c>
      <c r="B1066" s="1">
        <v>26.932500000000001</v>
      </c>
      <c r="C1066" s="1">
        <f>'Historical Simulation'!D1066</f>
        <v>126.51</v>
      </c>
      <c r="D1066" s="22">
        <f t="shared" si="59"/>
        <v>348.6311984446462</v>
      </c>
      <c r="E1066" s="23">
        <f t="shared" si="60"/>
        <v>0.54075727810015906</v>
      </c>
      <c r="F1066" s="23">
        <f t="shared" si="61"/>
        <v>-0.54075727810015906</v>
      </c>
    </row>
    <row r="1067" spans="1:6" x14ac:dyDescent="0.3">
      <c r="A1067" s="2">
        <v>42614</v>
      </c>
      <c r="B1067" s="1">
        <v>26.682500000000001</v>
      </c>
      <c r="C1067" s="1">
        <f>'Historical Simulation'!D1067</f>
        <v>126.17</v>
      </c>
      <c r="D1067" s="22">
        <f t="shared" si="59"/>
        <v>348.09044116654604</v>
      </c>
      <c r="E1067" s="23">
        <f t="shared" si="60"/>
        <v>-0.18979341550851814</v>
      </c>
      <c r="F1067" s="23">
        <f t="shared" si="61"/>
        <v>0.18979341550851814</v>
      </c>
    </row>
    <row r="1068" spans="1:6" x14ac:dyDescent="0.3">
      <c r="A1068" s="2">
        <v>42613</v>
      </c>
      <c r="B1068" s="1">
        <v>26.524999999999999</v>
      </c>
      <c r="C1068" s="1">
        <f>'Historical Simulation'!D1068</f>
        <v>126.12</v>
      </c>
      <c r="D1068" s="22">
        <f t="shared" si="59"/>
        <v>348.28023458205456</v>
      </c>
      <c r="E1068" s="23">
        <f t="shared" si="60"/>
        <v>0.84881228795046582</v>
      </c>
      <c r="F1068" s="23">
        <f t="shared" si="61"/>
        <v>-0.84881228795046582</v>
      </c>
    </row>
    <row r="1069" spans="1:6" x14ac:dyDescent="0.3">
      <c r="A1069" s="2">
        <v>42612</v>
      </c>
      <c r="B1069" s="1">
        <v>26.5</v>
      </c>
      <c r="C1069" s="1">
        <f>'Historical Simulation'!D1069</f>
        <v>125.84</v>
      </c>
      <c r="D1069" s="22">
        <f t="shared" si="59"/>
        <v>347.4314222941041</v>
      </c>
      <c r="E1069" s="23">
        <f t="shared" si="60"/>
        <v>-1.8041650295508589</v>
      </c>
      <c r="F1069" s="23">
        <f t="shared" si="61"/>
        <v>1.8041650295508589</v>
      </c>
    </row>
    <row r="1070" spans="1:6" x14ac:dyDescent="0.3">
      <c r="A1070" s="2">
        <v>42611</v>
      </c>
      <c r="B1070" s="1">
        <v>26.704999999999998</v>
      </c>
      <c r="C1070" s="1">
        <f>'Historical Simulation'!D1070</f>
        <v>126.54</v>
      </c>
      <c r="D1070" s="22">
        <f t="shared" si="59"/>
        <v>349.23558732365495</v>
      </c>
      <c r="E1070" s="23">
        <f t="shared" si="60"/>
        <v>5.171324641569413</v>
      </c>
      <c r="F1070" s="23">
        <f t="shared" si="61"/>
        <v>-5.171324641569413</v>
      </c>
    </row>
    <row r="1071" spans="1:6" x14ac:dyDescent="0.3">
      <c r="A1071" s="2">
        <v>42608</v>
      </c>
      <c r="B1071" s="1">
        <v>26.734999999999999</v>
      </c>
      <c r="C1071" s="1">
        <f>'Historical Simulation'!D1071</f>
        <v>124.96</v>
      </c>
      <c r="D1071" s="22">
        <f t="shared" si="59"/>
        <v>344.06426268208554</v>
      </c>
      <c r="E1071" s="23">
        <f t="shared" si="60"/>
        <v>3.8081062096437677</v>
      </c>
      <c r="F1071" s="23">
        <f t="shared" si="61"/>
        <v>-3.8081062096437677</v>
      </c>
    </row>
    <row r="1072" spans="1:6" x14ac:dyDescent="0.3">
      <c r="A1072" s="2">
        <v>42607</v>
      </c>
      <c r="B1072" s="1">
        <v>26.892499999999998</v>
      </c>
      <c r="C1072" s="1">
        <f>'Historical Simulation'!D1072</f>
        <v>123.89</v>
      </c>
      <c r="D1072" s="22">
        <f t="shared" si="59"/>
        <v>340.25615647244177</v>
      </c>
      <c r="E1072" s="23">
        <f t="shared" si="60"/>
        <v>1.5810841222508998</v>
      </c>
      <c r="F1072" s="23">
        <f t="shared" si="61"/>
        <v>-1.5810841222508998</v>
      </c>
    </row>
    <row r="1073" spans="1:6" x14ac:dyDescent="0.3">
      <c r="A1073" s="2">
        <v>42606</v>
      </c>
      <c r="B1073" s="1">
        <v>27.0075</v>
      </c>
      <c r="C1073" s="1">
        <f>'Historical Simulation'!D1073</f>
        <v>123.48</v>
      </c>
      <c r="D1073" s="22">
        <f t="shared" si="59"/>
        <v>338.67507235019087</v>
      </c>
      <c r="E1073" s="23">
        <f t="shared" si="60"/>
        <v>-2.4179859499844838</v>
      </c>
      <c r="F1073" s="23">
        <f t="shared" si="61"/>
        <v>2.4179859499844838</v>
      </c>
    </row>
    <row r="1074" spans="1:6" x14ac:dyDescent="0.3">
      <c r="A1074" s="2">
        <v>42605</v>
      </c>
      <c r="B1074" s="1">
        <v>27.212499999999999</v>
      </c>
      <c r="C1074" s="1">
        <f>'Historical Simulation'!D1074</f>
        <v>124.37</v>
      </c>
      <c r="D1074" s="22">
        <f t="shared" si="59"/>
        <v>341.09305830017536</v>
      </c>
      <c r="E1074" s="23">
        <f t="shared" si="60"/>
        <v>0.52113591715021812</v>
      </c>
      <c r="F1074" s="23">
        <f t="shared" si="61"/>
        <v>-0.52113591715021812</v>
      </c>
    </row>
    <row r="1075" spans="1:6" x14ac:dyDescent="0.3">
      <c r="A1075" s="2">
        <v>42604</v>
      </c>
      <c r="B1075" s="1">
        <v>27.127500000000001</v>
      </c>
      <c r="C1075" s="1">
        <f>'Historical Simulation'!D1075</f>
        <v>124.15</v>
      </c>
      <c r="D1075" s="22">
        <f t="shared" si="59"/>
        <v>340.57192238302514</v>
      </c>
      <c r="E1075" s="23">
        <f t="shared" si="60"/>
        <v>2.3800857297263747</v>
      </c>
      <c r="F1075" s="23">
        <f t="shared" si="61"/>
        <v>-2.3800857297263747</v>
      </c>
    </row>
    <row r="1076" spans="1:6" x14ac:dyDescent="0.3">
      <c r="A1076" s="2">
        <v>42601</v>
      </c>
      <c r="B1076" s="1">
        <v>27.34</v>
      </c>
      <c r="C1076" s="1">
        <f>'Historical Simulation'!D1076</f>
        <v>123.56</v>
      </c>
      <c r="D1076" s="22">
        <f t="shared" si="59"/>
        <v>338.19183665329876</v>
      </c>
      <c r="E1076" s="23">
        <f t="shared" si="60"/>
        <v>-1.2868672978006543</v>
      </c>
      <c r="F1076" s="23">
        <f t="shared" si="61"/>
        <v>1.2868672978006543</v>
      </c>
    </row>
    <row r="1077" spans="1:6" x14ac:dyDescent="0.3">
      <c r="A1077" s="2">
        <v>42600</v>
      </c>
      <c r="B1077" s="1">
        <v>27.27</v>
      </c>
      <c r="C1077" s="1">
        <f>'Historical Simulation'!D1077</f>
        <v>123.91</v>
      </c>
      <c r="D1077" s="22">
        <f t="shared" si="59"/>
        <v>339.47870395109942</v>
      </c>
      <c r="E1077" s="23">
        <f t="shared" si="60"/>
        <v>-1.408020479917468</v>
      </c>
      <c r="F1077" s="23">
        <f t="shared" si="61"/>
        <v>1.408020479917468</v>
      </c>
    </row>
    <row r="1078" spans="1:6" x14ac:dyDescent="0.3">
      <c r="A1078" s="2">
        <v>42599</v>
      </c>
      <c r="B1078" s="1">
        <v>27.305</v>
      </c>
      <c r="C1078" s="1">
        <f>'Historical Simulation'!D1078</f>
        <v>124.37</v>
      </c>
      <c r="D1078" s="22">
        <f t="shared" si="59"/>
        <v>340.88672443101689</v>
      </c>
      <c r="E1078" s="23">
        <f t="shared" si="60"/>
        <v>3.5460064299019791</v>
      </c>
      <c r="F1078" s="23">
        <f t="shared" si="61"/>
        <v>-3.5460064299019791</v>
      </c>
    </row>
    <row r="1079" spans="1:6" x14ac:dyDescent="0.3">
      <c r="A1079" s="2">
        <v>42598</v>
      </c>
      <c r="B1079" s="1">
        <v>27.344999999999999</v>
      </c>
      <c r="C1079" s="1">
        <f>'Historical Simulation'!D1079</f>
        <v>123.3</v>
      </c>
      <c r="D1079" s="22">
        <f t="shared" si="59"/>
        <v>337.34071800111491</v>
      </c>
      <c r="E1079" s="23">
        <f t="shared" si="60"/>
        <v>-1.8826159434177043</v>
      </c>
      <c r="F1079" s="23">
        <f t="shared" si="61"/>
        <v>1.8826159434177043</v>
      </c>
    </row>
    <row r="1080" spans="1:6" x14ac:dyDescent="0.3">
      <c r="A1080" s="2">
        <v>42597</v>
      </c>
      <c r="B1080" s="1">
        <v>27.37</v>
      </c>
      <c r="C1080" s="1">
        <f>'Historical Simulation'!D1080</f>
        <v>123.9</v>
      </c>
      <c r="D1080" s="22">
        <f t="shared" si="59"/>
        <v>339.22333394453261</v>
      </c>
      <c r="E1080" s="23">
        <f t="shared" si="60"/>
        <v>-3.8909805324522608</v>
      </c>
      <c r="F1080" s="23">
        <f t="shared" si="61"/>
        <v>3.8909805324522608</v>
      </c>
    </row>
    <row r="1081" spans="1:6" x14ac:dyDescent="0.3">
      <c r="A1081" s="2">
        <v>42594</v>
      </c>
      <c r="B1081" s="1">
        <v>27.045000000000002</v>
      </c>
      <c r="C1081" s="1">
        <f>'Historical Simulation'!D1081</f>
        <v>124.88</v>
      </c>
      <c r="D1081" s="22">
        <f t="shared" si="59"/>
        <v>343.11431447698487</v>
      </c>
      <c r="E1081" s="23">
        <f t="shared" si="60"/>
        <v>-0.20402750492513633</v>
      </c>
      <c r="F1081" s="23">
        <f t="shared" si="61"/>
        <v>0.20402750492513633</v>
      </c>
    </row>
    <row r="1082" spans="1:6" x14ac:dyDescent="0.3">
      <c r="A1082" s="2">
        <v>42593</v>
      </c>
      <c r="B1082" s="1">
        <v>26.982500000000002</v>
      </c>
      <c r="C1082" s="1">
        <f>'Historical Simulation'!D1082</f>
        <v>124.9</v>
      </c>
      <c r="D1082" s="22">
        <f t="shared" si="59"/>
        <v>343.31834198191001</v>
      </c>
      <c r="E1082" s="23">
        <f t="shared" si="60"/>
        <v>0.10364886587507272</v>
      </c>
      <c r="F1082" s="23">
        <f t="shared" si="61"/>
        <v>-0.10364886587507272</v>
      </c>
    </row>
    <row r="1083" spans="1:6" x14ac:dyDescent="0.3">
      <c r="A1083" s="2">
        <v>42592</v>
      </c>
      <c r="B1083" s="1">
        <v>27</v>
      </c>
      <c r="C1083" s="1">
        <f>'Historical Simulation'!D1083</f>
        <v>124.88</v>
      </c>
      <c r="D1083" s="22">
        <f t="shared" si="59"/>
        <v>343.21469311603494</v>
      </c>
      <c r="E1083" s="23">
        <f t="shared" si="60"/>
        <v>-0.12981068047497502</v>
      </c>
      <c r="F1083" s="23">
        <f t="shared" si="61"/>
        <v>0.12981068047497502</v>
      </c>
    </row>
    <row r="1084" spans="1:6" x14ac:dyDescent="0.3">
      <c r="A1084" s="2">
        <v>42591</v>
      </c>
      <c r="B1084" s="1">
        <v>27.202500000000001</v>
      </c>
      <c r="C1084" s="1">
        <f>'Historical Simulation'!D1084</f>
        <v>125.06</v>
      </c>
      <c r="D1084" s="22">
        <f t="shared" si="59"/>
        <v>343.34450379650991</v>
      </c>
      <c r="E1084" s="23">
        <f t="shared" si="60"/>
        <v>-0.89149729123391808</v>
      </c>
      <c r="F1084" s="23">
        <f t="shared" si="61"/>
        <v>0.89149729123391808</v>
      </c>
    </row>
    <row r="1085" spans="1:6" x14ac:dyDescent="0.3">
      <c r="A1085" s="2">
        <v>42590</v>
      </c>
      <c r="B1085" s="1">
        <v>27.092500000000001</v>
      </c>
      <c r="C1085" s="1">
        <f>'Historical Simulation'!D1085</f>
        <v>125.26</v>
      </c>
      <c r="D1085" s="22">
        <f t="shared" si="59"/>
        <v>344.23600108774383</v>
      </c>
      <c r="E1085" s="23">
        <f t="shared" si="60"/>
        <v>-0.14094659762514539</v>
      </c>
      <c r="F1085" s="23">
        <f t="shared" si="61"/>
        <v>0.14094659762514539</v>
      </c>
    </row>
    <row r="1086" spans="1:6" x14ac:dyDescent="0.3">
      <c r="A1086" s="2">
        <v>42587</v>
      </c>
      <c r="B1086" s="1">
        <v>26.87</v>
      </c>
      <c r="C1086" s="1">
        <f>'Historical Simulation'!D1086</f>
        <v>125.15</v>
      </c>
      <c r="D1086" s="22">
        <f t="shared" si="59"/>
        <v>344.37694768536898</v>
      </c>
      <c r="E1086" s="23">
        <f t="shared" si="60"/>
        <v>1.6543716140423612</v>
      </c>
      <c r="F1086" s="23">
        <f t="shared" si="61"/>
        <v>-1.6543716140423612</v>
      </c>
    </row>
    <row r="1087" spans="1:6" x14ac:dyDescent="0.3">
      <c r="A1087" s="2">
        <v>42586</v>
      </c>
      <c r="B1087" s="1">
        <v>26.467500000000001</v>
      </c>
      <c r="C1087" s="1">
        <f>'Historical Simulation'!D1087</f>
        <v>124.36</v>
      </c>
      <c r="D1087" s="22">
        <f t="shared" si="59"/>
        <v>342.72257607132661</v>
      </c>
      <c r="E1087" s="23">
        <f t="shared" si="60"/>
        <v>5.9320646547031401</v>
      </c>
      <c r="F1087" s="23">
        <f t="shared" si="61"/>
        <v>-5.9320646547031401</v>
      </c>
    </row>
    <row r="1088" spans="1:6" x14ac:dyDescent="0.3">
      <c r="A1088" s="2">
        <v>42585</v>
      </c>
      <c r="B1088" s="1">
        <v>26.447500000000002</v>
      </c>
      <c r="C1088" s="1">
        <f>'Historical Simulation'!D1088</f>
        <v>122.51</v>
      </c>
      <c r="D1088" s="22">
        <f t="shared" si="59"/>
        <v>336.79051141662347</v>
      </c>
      <c r="E1088" s="23">
        <f t="shared" si="60"/>
        <v>-2.6043025541765132</v>
      </c>
      <c r="F1088" s="23">
        <f t="shared" si="61"/>
        <v>2.6043025541765132</v>
      </c>
    </row>
    <row r="1089" spans="1:6" x14ac:dyDescent="0.3">
      <c r="A1089" s="2">
        <v>42584</v>
      </c>
      <c r="B1089" s="1">
        <v>26.12</v>
      </c>
      <c r="C1089" s="1">
        <f>'Historical Simulation'!D1089</f>
        <v>123.09</v>
      </c>
      <c r="D1089" s="22">
        <f t="shared" si="59"/>
        <v>339.39481397079999</v>
      </c>
      <c r="E1089" s="23">
        <f t="shared" si="60"/>
        <v>-3.065851640309802</v>
      </c>
      <c r="F1089" s="23">
        <f t="shared" si="61"/>
        <v>3.065851640309802</v>
      </c>
    </row>
    <row r="1090" spans="1:6" x14ac:dyDescent="0.3">
      <c r="A1090" s="2">
        <v>42583</v>
      </c>
      <c r="B1090" s="1">
        <v>26.512499999999999</v>
      </c>
      <c r="C1090" s="1">
        <f>'Historical Simulation'!D1090</f>
        <v>124.31</v>
      </c>
      <c r="D1090" s="22">
        <f t="shared" si="59"/>
        <v>342.46066561110979</v>
      </c>
      <c r="E1090" s="23">
        <f t="shared" si="60"/>
        <v>0.16924272189982048</v>
      </c>
      <c r="F1090" s="23">
        <f t="shared" si="61"/>
        <v>-0.16924272189982048</v>
      </c>
    </row>
    <row r="1091" spans="1:6" x14ac:dyDescent="0.3">
      <c r="A1091" s="2">
        <v>42580</v>
      </c>
      <c r="B1091" s="1">
        <v>26.052499999999998</v>
      </c>
      <c r="C1091" s="1">
        <f>'Historical Simulation'!D1091</f>
        <v>123.94</v>
      </c>
      <c r="D1091" s="22">
        <f t="shared" si="59"/>
        <v>342.29142288920997</v>
      </c>
      <c r="E1091" s="23">
        <f t="shared" si="60"/>
        <v>-3.35197892497672</v>
      </c>
      <c r="F1091" s="23">
        <f t="shared" si="61"/>
        <v>3.35197892497672</v>
      </c>
    </row>
    <row r="1092" spans="1:6" x14ac:dyDescent="0.3">
      <c r="A1092" s="2">
        <v>42579</v>
      </c>
      <c r="B1092" s="1">
        <v>26.085000000000001</v>
      </c>
      <c r="C1092" s="1">
        <f>'Historical Simulation'!D1092</f>
        <v>125</v>
      </c>
      <c r="D1092" s="22">
        <f t="shared" si="59"/>
        <v>345.64340181418669</v>
      </c>
      <c r="E1092" s="23">
        <f t="shared" si="60"/>
        <v>4.5877103056272404</v>
      </c>
      <c r="F1092" s="23">
        <f t="shared" si="61"/>
        <v>-4.5877103056272404</v>
      </c>
    </row>
    <row r="1093" spans="1:6" x14ac:dyDescent="0.3">
      <c r="A1093" s="2">
        <v>42578</v>
      </c>
      <c r="B1093" s="1">
        <v>25.737500000000001</v>
      </c>
      <c r="C1093" s="1">
        <f>'Historical Simulation'!D1093</f>
        <v>123.34</v>
      </c>
      <c r="D1093" s="22">
        <f t="shared" si="59"/>
        <v>341.05569150855945</v>
      </c>
      <c r="E1093" s="23">
        <f t="shared" si="60"/>
        <v>3.3468500328343112</v>
      </c>
      <c r="F1093" s="23">
        <f t="shared" si="61"/>
        <v>-3.3468500328343112</v>
      </c>
    </row>
    <row r="1094" spans="1:6" x14ac:dyDescent="0.3">
      <c r="A1094" s="2">
        <v>42577</v>
      </c>
      <c r="B1094" s="1">
        <v>24.1675</v>
      </c>
      <c r="C1094" s="1">
        <f>'Historical Simulation'!D1094</f>
        <v>121.22</v>
      </c>
      <c r="D1094" s="22">
        <f t="shared" ref="D1094:D1157" si="62">$M$16*B1094+(1-$M$16)*C1094</f>
        <v>337.70884147572514</v>
      </c>
      <c r="E1094" s="23">
        <f t="shared" ref="E1094:E1157" si="63">D1094-D1095</f>
        <v>-0.9509293326588022</v>
      </c>
      <c r="F1094" s="23">
        <f t="shared" ref="F1094:F1157" si="64">-E1094</f>
        <v>0.9509293326588022</v>
      </c>
    </row>
    <row r="1095" spans="1:6" x14ac:dyDescent="0.3">
      <c r="A1095" s="2">
        <v>42576</v>
      </c>
      <c r="B1095" s="1">
        <v>24.335000000000001</v>
      </c>
      <c r="C1095" s="1">
        <f>'Historical Simulation'!D1095</f>
        <v>121.63</v>
      </c>
      <c r="D1095" s="22">
        <f t="shared" si="62"/>
        <v>338.65977080838394</v>
      </c>
      <c r="E1095" s="23">
        <f t="shared" si="63"/>
        <v>2.7714109664016746</v>
      </c>
      <c r="F1095" s="23">
        <f t="shared" si="64"/>
        <v>-2.7714109664016746</v>
      </c>
    </row>
    <row r="1096" spans="1:6" x14ac:dyDescent="0.3">
      <c r="A1096" s="2">
        <v>42573</v>
      </c>
      <c r="B1096" s="1">
        <v>24.664999999999999</v>
      </c>
      <c r="C1096" s="1">
        <f>'Historical Simulation'!D1096</f>
        <v>121</v>
      </c>
      <c r="D1096" s="22">
        <f t="shared" si="62"/>
        <v>335.88835984198226</v>
      </c>
      <c r="E1096" s="23">
        <f t="shared" si="63"/>
        <v>1.6893457165926975</v>
      </c>
      <c r="F1096" s="23">
        <f t="shared" si="64"/>
        <v>-1.6893457165926975</v>
      </c>
    </row>
    <row r="1097" spans="1:6" x14ac:dyDescent="0.3">
      <c r="A1097" s="2">
        <v>42572</v>
      </c>
      <c r="B1097" s="1">
        <v>24.857500000000002</v>
      </c>
      <c r="C1097" s="1">
        <f>'Historical Simulation'!D1097</f>
        <v>120.61</v>
      </c>
      <c r="D1097" s="22">
        <f t="shared" si="62"/>
        <v>334.19901412538957</v>
      </c>
      <c r="E1097" s="23">
        <f t="shared" si="63"/>
        <v>-3.9365743884770268</v>
      </c>
      <c r="F1097" s="23">
        <f t="shared" si="64"/>
        <v>3.9365743884770268</v>
      </c>
    </row>
    <row r="1098" spans="1:6" x14ac:dyDescent="0.3">
      <c r="A1098" s="2">
        <v>42571</v>
      </c>
      <c r="B1098" s="1">
        <v>24.99</v>
      </c>
      <c r="C1098" s="1">
        <f>'Historical Simulation'!D1098</f>
        <v>121.92</v>
      </c>
      <c r="D1098" s="22">
        <f t="shared" si="62"/>
        <v>338.13558851386659</v>
      </c>
      <c r="E1098" s="23">
        <f t="shared" si="63"/>
        <v>4.1819443950438995</v>
      </c>
      <c r="F1098" s="23">
        <f t="shared" si="64"/>
        <v>-4.1819443950438995</v>
      </c>
    </row>
    <row r="1099" spans="1:6" x14ac:dyDescent="0.3">
      <c r="A1099" s="2">
        <v>42570</v>
      </c>
      <c r="B1099" s="1">
        <v>24.967500000000001</v>
      </c>
      <c r="C1099" s="1">
        <f>'Historical Simulation'!D1099</f>
        <v>120.61</v>
      </c>
      <c r="D1099" s="22">
        <f t="shared" si="62"/>
        <v>333.95364411882269</v>
      </c>
      <c r="E1099" s="23">
        <f t="shared" si="63"/>
        <v>3.9836828007020699</v>
      </c>
      <c r="F1099" s="23">
        <f t="shared" si="64"/>
        <v>-3.9836828007020699</v>
      </c>
    </row>
    <row r="1100" spans="1:6" x14ac:dyDescent="0.3">
      <c r="A1100" s="2">
        <v>42569</v>
      </c>
      <c r="B1100" s="1">
        <v>24.9575</v>
      </c>
      <c r="C1100" s="1">
        <f>'Historical Simulation'!D1100</f>
        <v>119.37</v>
      </c>
      <c r="D1100" s="22">
        <f t="shared" si="62"/>
        <v>329.96996131812062</v>
      </c>
      <c r="E1100" s="23">
        <f t="shared" si="63"/>
        <v>7.5233553614455104</v>
      </c>
      <c r="F1100" s="23">
        <f t="shared" si="64"/>
        <v>-7.5233553614455104</v>
      </c>
    </row>
    <row r="1101" spans="1:6" x14ac:dyDescent="0.3">
      <c r="A1101" s="2">
        <v>42566</v>
      </c>
      <c r="B1101" s="1">
        <v>24.695</v>
      </c>
      <c r="C1101" s="1">
        <f>'Historical Simulation'!D1101</f>
        <v>116.86</v>
      </c>
      <c r="D1101" s="22">
        <f t="shared" si="62"/>
        <v>322.44660595667511</v>
      </c>
      <c r="E1101" s="23">
        <f t="shared" si="63"/>
        <v>-1.3835970709757248</v>
      </c>
      <c r="F1101" s="23">
        <f t="shared" si="64"/>
        <v>1.3835970709757248</v>
      </c>
    </row>
    <row r="1102" spans="1:6" x14ac:dyDescent="0.3">
      <c r="A1102" s="2">
        <v>42565</v>
      </c>
      <c r="B1102" s="1">
        <v>24.697500000000002</v>
      </c>
      <c r="C1102" s="1">
        <f>'Historical Simulation'!D1102</f>
        <v>117.29</v>
      </c>
      <c r="D1102" s="22">
        <f t="shared" si="62"/>
        <v>323.83020302765084</v>
      </c>
      <c r="E1102" s="23">
        <f t="shared" si="63"/>
        <v>0.57691909270005226</v>
      </c>
      <c r="F1102" s="23">
        <f t="shared" si="64"/>
        <v>-0.57691909270005226</v>
      </c>
    </row>
    <row r="1103" spans="1:6" x14ac:dyDescent="0.3">
      <c r="A1103" s="2">
        <v>42564</v>
      </c>
      <c r="B1103" s="1">
        <v>24.217500000000001</v>
      </c>
      <c r="C1103" s="1">
        <f>'Historical Simulation'!D1103</f>
        <v>116.78</v>
      </c>
      <c r="D1103" s="22">
        <f t="shared" si="62"/>
        <v>323.25328393495079</v>
      </c>
      <c r="E1103" s="23">
        <f t="shared" si="63"/>
        <v>-3.4085193786268064</v>
      </c>
      <c r="F1103" s="23">
        <f t="shared" si="64"/>
        <v>3.4085193786268064</v>
      </c>
    </row>
    <row r="1104" spans="1:6" x14ac:dyDescent="0.3">
      <c r="A1104" s="2">
        <v>42563</v>
      </c>
      <c r="B1104" s="1">
        <v>24.355</v>
      </c>
      <c r="C1104" s="1">
        <f>'Historical Simulation'!D1104</f>
        <v>117.93</v>
      </c>
      <c r="D1104" s="22">
        <f t="shared" si="62"/>
        <v>326.66180331357759</v>
      </c>
      <c r="E1104" s="23">
        <f t="shared" si="63"/>
        <v>-5.1531821166690861E-2</v>
      </c>
      <c r="F1104" s="23">
        <f t="shared" si="64"/>
        <v>5.1531821166690861E-2</v>
      </c>
    </row>
    <row r="1105" spans="1:6" x14ac:dyDescent="0.3">
      <c r="A1105" s="2">
        <v>42562</v>
      </c>
      <c r="B1105" s="1">
        <v>24.245000000000001</v>
      </c>
      <c r="C1105" s="1">
        <f>'Historical Simulation'!D1105</f>
        <v>117.87</v>
      </c>
      <c r="D1105" s="22">
        <f t="shared" si="62"/>
        <v>326.71333513474428</v>
      </c>
      <c r="E1105" s="23">
        <f t="shared" si="63"/>
        <v>1.8680032149509884</v>
      </c>
      <c r="F1105" s="23">
        <f t="shared" si="64"/>
        <v>-1.8680032149509884</v>
      </c>
    </row>
    <row r="1106" spans="1:6" x14ac:dyDescent="0.3">
      <c r="A1106" s="2">
        <v>42559</v>
      </c>
      <c r="B1106" s="1">
        <v>24.17</v>
      </c>
      <c r="C1106" s="1">
        <f>'Historical Simulation'!D1106</f>
        <v>117.24</v>
      </c>
      <c r="D1106" s="22">
        <f t="shared" si="62"/>
        <v>324.8453319197933</v>
      </c>
      <c r="E1106" s="23">
        <f t="shared" si="63"/>
        <v>4.077916890118729</v>
      </c>
      <c r="F1106" s="23">
        <f t="shared" si="64"/>
        <v>-4.077916890118729</v>
      </c>
    </row>
    <row r="1107" spans="1:6" x14ac:dyDescent="0.3">
      <c r="A1107" s="2">
        <v>42558</v>
      </c>
      <c r="B1107" s="1">
        <v>23.984999999999999</v>
      </c>
      <c r="C1107" s="1">
        <f>'Historical Simulation'!D1107</f>
        <v>115.85</v>
      </c>
      <c r="D1107" s="22">
        <f t="shared" si="62"/>
        <v>320.76741502967457</v>
      </c>
      <c r="E1107" s="23">
        <f t="shared" si="63"/>
        <v>-2.9746811932266723</v>
      </c>
      <c r="F1107" s="23">
        <f t="shared" si="64"/>
        <v>2.9746811932266723</v>
      </c>
    </row>
    <row r="1108" spans="1:6" x14ac:dyDescent="0.3">
      <c r="A1108" s="2">
        <v>42557</v>
      </c>
      <c r="B1108" s="1">
        <v>23.8825</v>
      </c>
      <c r="C1108" s="1">
        <f>'Historical Simulation'!D1108</f>
        <v>116.7</v>
      </c>
      <c r="D1108" s="22">
        <f t="shared" si="62"/>
        <v>323.74209622290124</v>
      </c>
      <c r="E1108" s="23">
        <f t="shared" si="63"/>
        <v>8.4215824258544103</v>
      </c>
      <c r="F1108" s="23">
        <f t="shared" si="64"/>
        <v>-8.4215824258544103</v>
      </c>
    </row>
    <row r="1109" spans="1:6" x14ac:dyDescent="0.3">
      <c r="A1109" s="2">
        <v>42556</v>
      </c>
      <c r="B1109" s="1">
        <v>23.747499999999999</v>
      </c>
      <c r="C1109" s="1">
        <f>'Historical Simulation'!D1109</f>
        <v>114</v>
      </c>
      <c r="D1109" s="22">
        <f t="shared" si="62"/>
        <v>315.32051379704683</v>
      </c>
      <c r="E1109" s="23">
        <f t="shared" si="63"/>
        <v>-0.11192772518325</v>
      </c>
      <c r="F1109" s="23">
        <f t="shared" si="64"/>
        <v>0.11192772518325</v>
      </c>
    </row>
    <row r="1110" spans="1:6" x14ac:dyDescent="0.3">
      <c r="A1110" s="2">
        <v>42555</v>
      </c>
      <c r="B1110" s="1">
        <v>23.9725</v>
      </c>
      <c r="C1110" s="1">
        <f>'Historical Simulation'!D1110</f>
        <v>114.19</v>
      </c>
      <c r="D1110" s="22">
        <f t="shared" si="62"/>
        <v>315.43244152223008</v>
      </c>
      <c r="E1110" s="23">
        <f t="shared" si="63"/>
        <v>0</v>
      </c>
      <c r="F1110" s="23">
        <f t="shared" si="64"/>
        <v>0</v>
      </c>
    </row>
    <row r="1111" spans="1:6" x14ac:dyDescent="0.3">
      <c r="A1111" s="2">
        <v>42552</v>
      </c>
      <c r="B1111" s="1">
        <v>23.9725</v>
      </c>
      <c r="C1111" s="1">
        <f>'Historical Simulation'!D1111</f>
        <v>114.19</v>
      </c>
      <c r="D1111" s="22">
        <f t="shared" si="62"/>
        <v>315.43244152223008</v>
      </c>
      <c r="E1111" s="23">
        <f t="shared" si="63"/>
        <v>-0.45247841879199768</v>
      </c>
      <c r="F1111" s="23">
        <f t="shared" si="64"/>
        <v>0.45247841879199768</v>
      </c>
    </row>
    <row r="1112" spans="1:6" x14ac:dyDescent="0.3">
      <c r="A1112" s="2">
        <v>42551</v>
      </c>
      <c r="B1112" s="1">
        <v>23.9</v>
      </c>
      <c r="C1112" s="1">
        <f>'Historical Simulation'!D1112</f>
        <v>114.28</v>
      </c>
      <c r="D1112" s="22">
        <f t="shared" si="62"/>
        <v>315.88491994102208</v>
      </c>
      <c r="E1112" s="23">
        <f t="shared" si="63"/>
        <v>-0.2815145562002499</v>
      </c>
      <c r="F1112" s="23">
        <f t="shared" si="64"/>
        <v>0.2815145562002499</v>
      </c>
    </row>
    <row r="1113" spans="1:6" x14ac:dyDescent="0.3">
      <c r="A1113" s="2">
        <v>42550</v>
      </c>
      <c r="B1113" s="1">
        <v>23.6</v>
      </c>
      <c r="C1113" s="1">
        <f>'Historical Simulation'!D1113</f>
        <v>114.16</v>
      </c>
      <c r="D1113" s="22">
        <f t="shared" si="62"/>
        <v>316.16643449722233</v>
      </c>
      <c r="E1113" s="23">
        <f t="shared" si="63"/>
        <v>4.2650253023438154</v>
      </c>
      <c r="F1113" s="23">
        <f t="shared" si="64"/>
        <v>-4.2650253023438154</v>
      </c>
    </row>
    <row r="1114" spans="1:6" x14ac:dyDescent="0.3">
      <c r="A1114" s="2">
        <v>42549</v>
      </c>
      <c r="B1114" s="1">
        <v>23.397500000000001</v>
      </c>
      <c r="C1114" s="1">
        <f>'Historical Simulation'!D1114</f>
        <v>112.7</v>
      </c>
      <c r="D1114" s="22">
        <f t="shared" si="62"/>
        <v>311.90140919487851</v>
      </c>
      <c r="E1114" s="23">
        <f t="shared" si="63"/>
        <v>11.185902244997408</v>
      </c>
      <c r="F1114" s="23">
        <f t="shared" si="64"/>
        <v>-11.185902244997408</v>
      </c>
    </row>
    <row r="1115" spans="1:6" x14ac:dyDescent="0.3">
      <c r="A1115" s="2">
        <v>42548</v>
      </c>
      <c r="B1115" s="1">
        <v>23.01</v>
      </c>
      <c r="C1115" s="1">
        <f>'Historical Simulation'!D1115</f>
        <v>108.97</v>
      </c>
      <c r="D1115" s="22">
        <f t="shared" si="62"/>
        <v>300.7155069498811</v>
      </c>
      <c r="E1115" s="23">
        <f t="shared" si="63"/>
        <v>-9.2888628926380647</v>
      </c>
      <c r="F1115" s="23">
        <f t="shared" si="64"/>
        <v>9.2888628926380647</v>
      </c>
    </row>
    <row r="1116" spans="1:6" x14ac:dyDescent="0.3">
      <c r="A1116" s="2">
        <v>42545</v>
      </c>
      <c r="B1116" s="1">
        <v>23.35</v>
      </c>
      <c r="C1116" s="1">
        <f>'Historical Simulation'!D1116</f>
        <v>112.08</v>
      </c>
      <c r="D1116" s="22">
        <f t="shared" si="62"/>
        <v>310.00436984251917</v>
      </c>
      <c r="E1116" s="23">
        <f t="shared" si="63"/>
        <v>-8.1862296842540445</v>
      </c>
      <c r="F1116" s="23">
        <f t="shared" si="64"/>
        <v>8.1862296842540445</v>
      </c>
    </row>
    <row r="1117" spans="1:6" x14ac:dyDescent="0.3">
      <c r="A1117" s="2">
        <v>42544</v>
      </c>
      <c r="B1117" s="1">
        <v>24.024999999999999</v>
      </c>
      <c r="C1117" s="1">
        <f>'Historical Simulation'!D1117</f>
        <v>115.08</v>
      </c>
      <c r="D1117" s="22">
        <f t="shared" si="62"/>
        <v>318.19059952677321</v>
      </c>
      <c r="E1117" s="23">
        <f t="shared" si="63"/>
        <v>3.4731321070934769</v>
      </c>
      <c r="F1117" s="23">
        <f t="shared" si="64"/>
        <v>-3.4731321070934769</v>
      </c>
    </row>
    <row r="1118" spans="1:6" x14ac:dyDescent="0.3">
      <c r="A1118" s="2">
        <v>42543</v>
      </c>
      <c r="B1118" s="1">
        <v>23.887499999999999</v>
      </c>
      <c r="C1118" s="1">
        <f>'Historical Simulation'!D1118</f>
        <v>113.91</v>
      </c>
      <c r="D1118" s="22">
        <f t="shared" si="62"/>
        <v>314.71746741967974</v>
      </c>
      <c r="E1118" s="23">
        <f t="shared" si="63"/>
        <v>-1.3176418408673385</v>
      </c>
      <c r="F1118" s="23">
        <f t="shared" si="64"/>
        <v>1.3176418408673385</v>
      </c>
    </row>
    <row r="1119" spans="1:6" x14ac:dyDescent="0.3">
      <c r="A1119" s="2">
        <v>42542</v>
      </c>
      <c r="B1119" s="1">
        <v>23.977499999999999</v>
      </c>
      <c r="C1119" s="1">
        <f>'Historical Simulation'!D1119</f>
        <v>114.38</v>
      </c>
      <c r="D1119" s="22">
        <f t="shared" si="62"/>
        <v>316.03510926054707</v>
      </c>
      <c r="E1119" s="23">
        <f t="shared" si="63"/>
        <v>2.8112389118430201</v>
      </c>
      <c r="F1119" s="23">
        <f t="shared" si="64"/>
        <v>-2.8112389118430201</v>
      </c>
    </row>
    <row r="1120" spans="1:6" x14ac:dyDescent="0.3">
      <c r="A1120" s="2">
        <v>42541</v>
      </c>
      <c r="B1120" s="1">
        <v>23.774999999999999</v>
      </c>
      <c r="C1120" s="1">
        <f>'Historical Simulation'!D1120</f>
        <v>113.37</v>
      </c>
      <c r="D1120" s="22">
        <f t="shared" si="62"/>
        <v>313.22387034870405</v>
      </c>
      <c r="E1120" s="23">
        <f t="shared" si="63"/>
        <v>1.258984342509109</v>
      </c>
      <c r="F1120" s="23">
        <f t="shared" si="64"/>
        <v>-1.258984342509109</v>
      </c>
    </row>
    <row r="1121" spans="1:6" x14ac:dyDescent="0.3">
      <c r="A1121" s="2">
        <v>42538</v>
      </c>
      <c r="B1121" s="1">
        <v>23.8325</v>
      </c>
      <c r="C1121" s="1">
        <f>'Historical Simulation'!D1121</f>
        <v>113.02</v>
      </c>
      <c r="D1121" s="22">
        <f t="shared" si="62"/>
        <v>311.96488600619494</v>
      </c>
      <c r="E1121" s="23">
        <f t="shared" si="63"/>
        <v>-3.1879686850181201</v>
      </c>
      <c r="F1121" s="23">
        <f t="shared" si="64"/>
        <v>3.1879686850181201</v>
      </c>
    </row>
    <row r="1122" spans="1:6" x14ac:dyDescent="0.3">
      <c r="A1122" s="2">
        <v>42537</v>
      </c>
      <c r="B1122" s="1">
        <v>24.387499999999999</v>
      </c>
      <c r="C1122" s="1">
        <f>'Historical Simulation'!D1122</f>
        <v>114.39</v>
      </c>
      <c r="D1122" s="22">
        <f t="shared" si="62"/>
        <v>315.15285469121307</v>
      </c>
      <c r="E1122" s="23">
        <f t="shared" si="63"/>
        <v>-0.90707388229219532</v>
      </c>
      <c r="F1122" s="23">
        <f t="shared" si="64"/>
        <v>0.90707388229219532</v>
      </c>
    </row>
    <row r="1123" spans="1:6" x14ac:dyDescent="0.3">
      <c r="A1123" s="2">
        <v>42536</v>
      </c>
      <c r="B1123" s="1">
        <v>24.285</v>
      </c>
      <c r="C1123" s="1">
        <f>'Historical Simulation'!D1123</f>
        <v>114.6</v>
      </c>
      <c r="D1123" s="22">
        <f t="shared" si="62"/>
        <v>316.05992857350526</v>
      </c>
      <c r="E1123" s="23">
        <f t="shared" si="63"/>
        <v>-0.91996547006709761</v>
      </c>
      <c r="F1123" s="23">
        <f t="shared" si="64"/>
        <v>0.91996547006709761</v>
      </c>
    </row>
    <row r="1124" spans="1:6" x14ac:dyDescent="0.3">
      <c r="A1124" s="2">
        <v>42535</v>
      </c>
      <c r="B1124" s="1">
        <v>24.364999999999998</v>
      </c>
      <c r="C1124" s="1">
        <f>'Historical Simulation'!D1124</f>
        <v>114.94</v>
      </c>
      <c r="D1124" s="22">
        <f t="shared" si="62"/>
        <v>316.97989404357236</v>
      </c>
      <c r="E1124" s="23">
        <f t="shared" si="63"/>
        <v>3.1314109664016314</v>
      </c>
      <c r="F1124" s="23">
        <f t="shared" si="64"/>
        <v>-3.1314109664016314</v>
      </c>
    </row>
    <row r="1125" spans="1:6" x14ac:dyDescent="0.3">
      <c r="A1125" s="2">
        <v>42534</v>
      </c>
      <c r="B1125" s="1">
        <v>24.335000000000001</v>
      </c>
      <c r="C1125" s="1">
        <f>'Historical Simulation'!D1125</f>
        <v>113.95</v>
      </c>
      <c r="D1125" s="22">
        <f t="shared" si="62"/>
        <v>313.84848307717073</v>
      </c>
      <c r="E1125" s="23">
        <f t="shared" si="63"/>
        <v>-7.7948871826122854</v>
      </c>
      <c r="F1125" s="23">
        <f t="shared" si="64"/>
        <v>7.7948871826122854</v>
      </c>
    </row>
    <row r="1126" spans="1:6" x14ac:dyDescent="0.3">
      <c r="A1126" s="2">
        <v>42531</v>
      </c>
      <c r="B1126" s="1">
        <v>24.7075</v>
      </c>
      <c r="C1126" s="1">
        <f>'Historical Simulation'!D1126</f>
        <v>116.62</v>
      </c>
      <c r="D1126" s="22">
        <f t="shared" si="62"/>
        <v>321.64337025978301</v>
      </c>
      <c r="E1126" s="23">
        <f t="shared" si="63"/>
        <v>-5.8101541944863015</v>
      </c>
      <c r="F1126" s="23">
        <f t="shared" si="64"/>
        <v>5.8101541944863015</v>
      </c>
    </row>
    <row r="1127" spans="1:6" x14ac:dyDescent="0.3">
      <c r="A1127" s="2">
        <v>42530</v>
      </c>
      <c r="B1127" s="1">
        <v>24.912500000000001</v>
      </c>
      <c r="C1127" s="1">
        <f>'Historical Simulation'!D1127</f>
        <v>118.56</v>
      </c>
      <c r="D1127" s="22">
        <f t="shared" si="62"/>
        <v>327.45352445426931</v>
      </c>
      <c r="E1127" s="23">
        <f t="shared" si="63"/>
        <v>0.15327022682498637</v>
      </c>
      <c r="F1127" s="23">
        <f t="shared" si="64"/>
        <v>-0.15327022682498637</v>
      </c>
    </row>
    <row r="1128" spans="1:6" x14ac:dyDescent="0.3">
      <c r="A1128" s="2">
        <v>42529</v>
      </c>
      <c r="B1128" s="1">
        <v>24.734999999999999</v>
      </c>
      <c r="C1128" s="1">
        <f>'Historical Simulation'!D1128</f>
        <v>118.39</v>
      </c>
      <c r="D1128" s="22">
        <f t="shared" si="62"/>
        <v>327.30025422744433</v>
      </c>
      <c r="E1128" s="23">
        <f t="shared" si="63"/>
        <v>2.0854902662260884</v>
      </c>
      <c r="F1128" s="23">
        <f t="shared" si="64"/>
        <v>-2.0854902662260884</v>
      </c>
    </row>
    <row r="1129" spans="1:6" x14ac:dyDescent="0.3">
      <c r="A1129" s="2">
        <v>42528</v>
      </c>
      <c r="B1129" s="1">
        <v>24.7575</v>
      </c>
      <c r="C1129" s="1">
        <f>'Historical Simulation'!D1129</f>
        <v>117.76</v>
      </c>
      <c r="D1129" s="22">
        <f t="shared" si="62"/>
        <v>325.21476396121824</v>
      </c>
      <c r="E1129" s="23">
        <f t="shared" si="63"/>
        <v>-3.5506191583685904</v>
      </c>
      <c r="F1129" s="23">
        <f t="shared" si="64"/>
        <v>3.5506191583685904</v>
      </c>
    </row>
    <row r="1130" spans="1:6" x14ac:dyDescent="0.3">
      <c r="A1130" s="2">
        <v>42527</v>
      </c>
      <c r="B1130" s="1">
        <v>24.657499999999999</v>
      </c>
      <c r="C1130" s="1">
        <f>'Historical Simulation'!D1130</f>
        <v>118.79</v>
      </c>
      <c r="D1130" s="22">
        <f t="shared" si="62"/>
        <v>328.76538311958683</v>
      </c>
      <c r="E1130" s="23">
        <f t="shared" si="63"/>
        <v>0.63786569032527041</v>
      </c>
      <c r="F1130" s="23">
        <f t="shared" si="64"/>
        <v>-0.63786569032527041</v>
      </c>
    </row>
    <row r="1131" spans="1:6" x14ac:dyDescent="0.3">
      <c r="A1131" s="2">
        <v>42524</v>
      </c>
      <c r="B1131" s="1">
        <v>24.48</v>
      </c>
      <c r="C1131" s="1">
        <f>'Historical Simulation'!D1131</f>
        <v>118.47</v>
      </c>
      <c r="D1131" s="22">
        <f t="shared" si="62"/>
        <v>328.12751742926156</v>
      </c>
      <c r="E1131" s="23">
        <f t="shared" si="63"/>
        <v>-1.5976245759009657</v>
      </c>
      <c r="F1131" s="23">
        <f t="shared" si="64"/>
        <v>1.5976245759009657</v>
      </c>
    </row>
    <row r="1132" spans="1:6" x14ac:dyDescent="0.3">
      <c r="A1132" s="2">
        <v>42523</v>
      </c>
      <c r="B1132" s="1">
        <v>24.43</v>
      </c>
      <c r="C1132" s="1">
        <f>'Historical Simulation'!D1132</f>
        <v>118.93</v>
      </c>
      <c r="D1132" s="22">
        <f t="shared" si="62"/>
        <v>329.72514200516252</v>
      </c>
      <c r="E1132" s="23">
        <f t="shared" si="63"/>
        <v>0.8972632018172817</v>
      </c>
      <c r="F1132" s="23">
        <f t="shared" si="64"/>
        <v>-0.8972632018172817</v>
      </c>
    </row>
    <row r="1133" spans="1:6" x14ac:dyDescent="0.3">
      <c r="A1133" s="2">
        <v>42522</v>
      </c>
      <c r="B1133" s="1">
        <v>24.614999999999998</v>
      </c>
      <c r="C1133" s="1">
        <f>'Historical Simulation'!D1133</f>
        <v>118.78</v>
      </c>
      <c r="D1133" s="22">
        <f t="shared" si="62"/>
        <v>328.82787880334524</v>
      </c>
      <c r="E1133" s="23">
        <f t="shared" si="63"/>
        <v>0.68380365546727262</v>
      </c>
      <c r="F1133" s="23">
        <f t="shared" si="64"/>
        <v>-0.68380365546727262</v>
      </c>
    </row>
    <row r="1134" spans="1:6" x14ac:dyDescent="0.3">
      <c r="A1134" s="2">
        <v>42521</v>
      </c>
      <c r="B1134" s="1">
        <v>24.965</v>
      </c>
      <c r="C1134" s="1">
        <f>'Historical Simulation'!D1134</f>
        <v>118.81</v>
      </c>
      <c r="D1134" s="22">
        <f t="shared" si="62"/>
        <v>328.14407514787797</v>
      </c>
      <c r="E1134" s="23">
        <f t="shared" si="63"/>
        <v>-1.5682097994424566</v>
      </c>
      <c r="F1134" s="23">
        <f t="shared" si="64"/>
        <v>1.5682097994424566</v>
      </c>
    </row>
    <row r="1135" spans="1:6" x14ac:dyDescent="0.3">
      <c r="A1135" s="2">
        <v>42520</v>
      </c>
      <c r="B1135" s="1">
        <v>25.087499999999999</v>
      </c>
      <c r="C1135" s="1">
        <f>'Historical Simulation'!D1135</f>
        <v>119.38</v>
      </c>
      <c r="D1135" s="22">
        <f t="shared" si="62"/>
        <v>329.71228494732043</v>
      </c>
      <c r="E1135" s="23">
        <f t="shared" si="63"/>
        <v>0</v>
      </c>
      <c r="F1135" s="23">
        <f t="shared" si="64"/>
        <v>0</v>
      </c>
    </row>
    <row r="1136" spans="1:6" x14ac:dyDescent="0.3">
      <c r="A1136" s="2">
        <v>42517</v>
      </c>
      <c r="B1136" s="1">
        <v>25.087499999999999</v>
      </c>
      <c r="C1136" s="1">
        <f>'Historical Simulation'!D1136</f>
        <v>119.38</v>
      </c>
      <c r="D1136" s="22">
        <f t="shared" si="62"/>
        <v>329.71228494732043</v>
      </c>
      <c r="E1136" s="23">
        <f t="shared" si="63"/>
        <v>-0.2572977317501568</v>
      </c>
      <c r="F1136" s="23">
        <f t="shared" si="64"/>
        <v>0.2572977317501568</v>
      </c>
    </row>
    <row r="1137" spans="1:6" x14ac:dyDescent="0.3">
      <c r="A1137" s="2">
        <v>42516</v>
      </c>
      <c r="B1137" s="1">
        <v>25.102499999999999</v>
      </c>
      <c r="C1137" s="1">
        <f>'Historical Simulation'!D1137</f>
        <v>119.47</v>
      </c>
      <c r="D1137" s="22">
        <f t="shared" si="62"/>
        <v>329.96958267907058</v>
      </c>
      <c r="E1137" s="23">
        <f t="shared" si="63"/>
        <v>4.6638548552607517</v>
      </c>
      <c r="F1137" s="23">
        <f t="shared" si="64"/>
        <v>-4.6638548552607517</v>
      </c>
    </row>
    <row r="1138" spans="1:6" x14ac:dyDescent="0.3">
      <c r="A1138" s="2">
        <v>42515</v>
      </c>
      <c r="B1138" s="1">
        <v>24.905000000000001</v>
      </c>
      <c r="C1138" s="1">
        <f>'Historical Simulation'!D1138</f>
        <v>117.89</v>
      </c>
      <c r="D1138" s="22">
        <f t="shared" si="62"/>
        <v>325.30572782380983</v>
      </c>
      <c r="E1138" s="23">
        <f t="shared" si="63"/>
        <v>-0.34535274160043627</v>
      </c>
      <c r="F1138" s="23">
        <f t="shared" si="64"/>
        <v>0.34535274160043627</v>
      </c>
    </row>
    <row r="1139" spans="1:6" x14ac:dyDescent="0.3">
      <c r="A1139" s="2">
        <v>42514</v>
      </c>
      <c r="B1139" s="1">
        <v>24.475000000000001</v>
      </c>
      <c r="C1139" s="1">
        <f>'Historical Simulation'!D1139</f>
        <v>117.7</v>
      </c>
      <c r="D1139" s="22">
        <f t="shared" si="62"/>
        <v>325.65108056541027</v>
      </c>
      <c r="E1139" s="23">
        <f t="shared" si="63"/>
        <v>4.7692421267940404</v>
      </c>
      <c r="F1139" s="23">
        <f t="shared" si="64"/>
        <v>-4.7692421267940404</v>
      </c>
    </row>
    <row r="1140" spans="1:6" x14ac:dyDescent="0.3">
      <c r="A1140" s="2">
        <v>42513</v>
      </c>
      <c r="B1140" s="1">
        <v>24.107500000000002</v>
      </c>
      <c r="C1140" s="1">
        <f>'Historical Simulation'!D1140</f>
        <v>115.97</v>
      </c>
      <c r="D1140" s="22">
        <f t="shared" si="62"/>
        <v>320.88183843861623</v>
      </c>
      <c r="E1140" s="23">
        <f t="shared" si="63"/>
        <v>-5.1330457822612061</v>
      </c>
      <c r="F1140" s="23">
        <f t="shared" si="64"/>
        <v>5.1330457822612061</v>
      </c>
    </row>
    <row r="1141" spans="1:6" x14ac:dyDescent="0.3">
      <c r="A1141" s="2">
        <v>42510</v>
      </c>
      <c r="B1141" s="1">
        <v>23.805</v>
      </c>
      <c r="C1141" s="1">
        <f>'Historical Simulation'!D1141</f>
        <v>117.35</v>
      </c>
      <c r="D1141" s="22">
        <f t="shared" si="62"/>
        <v>326.01488422087743</v>
      </c>
      <c r="E1141" s="23">
        <f t="shared" si="63"/>
        <v>1.1757313806504612</v>
      </c>
      <c r="F1141" s="23">
        <f t="shared" si="64"/>
        <v>-1.1757313806504612</v>
      </c>
    </row>
    <row r="1142" spans="1:6" x14ac:dyDescent="0.3">
      <c r="A1142" s="2">
        <v>42509</v>
      </c>
      <c r="B1142" s="1">
        <v>23.55</v>
      </c>
      <c r="C1142" s="1">
        <f>'Historical Simulation'!D1142</f>
        <v>116.81</v>
      </c>
      <c r="D1142" s="22">
        <f t="shared" si="62"/>
        <v>324.83915284022697</v>
      </c>
      <c r="E1142" s="23">
        <f t="shared" si="63"/>
        <v>-2.5129773175013383</v>
      </c>
      <c r="F1142" s="23">
        <f t="shared" si="64"/>
        <v>2.5129773175013383</v>
      </c>
    </row>
    <row r="1143" spans="1:6" x14ac:dyDescent="0.3">
      <c r="A1143" s="2">
        <v>42508</v>
      </c>
      <c r="B1143" s="1">
        <v>23.64</v>
      </c>
      <c r="C1143" s="1">
        <f>'Historical Simulation'!D1143</f>
        <v>117.65</v>
      </c>
      <c r="D1143" s="22">
        <f t="shared" si="62"/>
        <v>327.35213015772831</v>
      </c>
      <c r="E1143" s="23">
        <f t="shared" si="63"/>
        <v>0.37249568375847275</v>
      </c>
      <c r="F1143" s="23">
        <f t="shared" si="64"/>
        <v>-0.37249568375847275</v>
      </c>
    </row>
    <row r="1144" spans="1:6" x14ac:dyDescent="0.3">
      <c r="A1144" s="2">
        <v>42507</v>
      </c>
      <c r="B1144" s="1">
        <v>23.372499999999999</v>
      </c>
      <c r="C1144" s="1">
        <f>'Historical Simulation'!D1144</f>
        <v>117.35</v>
      </c>
      <c r="D1144" s="22">
        <f t="shared" si="62"/>
        <v>326.97963447396984</v>
      </c>
      <c r="E1144" s="23">
        <f t="shared" si="63"/>
        <v>-4.0469530275271381</v>
      </c>
      <c r="F1144" s="23">
        <f t="shared" si="64"/>
        <v>4.0469530275271381</v>
      </c>
    </row>
    <row r="1145" spans="1:6" x14ac:dyDescent="0.3">
      <c r="A1145" s="2">
        <v>42506</v>
      </c>
      <c r="B1145" s="1">
        <v>23.47</v>
      </c>
      <c r="C1145" s="1">
        <f>'Historical Simulation'!D1145</f>
        <v>118.67</v>
      </c>
      <c r="D1145" s="22">
        <f t="shared" si="62"/>
        <v>331.02658750149698</v>
      </c>
      <c r="E1145" s="23">
        <f t="shared" si="63"/>
        <v>-5.5566601182034105</v>
      </c>
      <c r="F1145" s="23">
        <f t="shared" si="64"/>
        <v>5.5566601182034105</v>
      </c>
    </row>
    <row r="1146" spans="1:6" x14ac:dyDescent="0.3">
      <c r="A1146" s="2">
        <v>42503</v>
      </c>
      <c r="B1146" s="1">
        <v>22.63</v>
      </c>
      <c r="C1146" s="1">
        <f>'Historical Simulation'!D1146</f>
        <v>119.81</v>
      </c>
      <c r="D1146" s="22">
        <f t="shared" si="62"/>
        <v>336.58324761970039</v>
      </c>
      <c r="E1146" s="23">
        <f t="shared" si="63"/>
        <v>-1.6187777580175293</v>
      </c>
      <c r="F1146" s="23">
        <f t="shared" si="64"/>
        <v>1.6187777580175293</v>
      </c>
    </row>
    <row r="1147" spans="1:6" x14ac:dyDescent="0.3">
      <c r="A1147" s="2">
        <v>42502</v>
      </c>
      <c r="B1147" s="1">
        <v>22.585000000000001</v>
      </c>
      <c r="C1147" s="1">
        <f>'Historical Simulation'!D1147</f>
        <v>120.28</v>
      </c>
      <c r="D1147" s="22">
        <f t="shared" si="62"/>
        <v>338.20202537771792</v>
      </c>
      <c r="E1147" s="23">
        <f t="shared" si="63"/>
        <v>3.6654039413938904</v>
      </c>
      <c r="F1147" s="23">
        <f t="shared" si="64"/>
        <v>-3.6654039413938904</v>
      </c>
    </row>
    <row r="1148" spans="1:6" x14ac:dyDescent="0.3">
      <c r="A1148" s="2">
        <v>42501</v>
      </c>
      <c r="B1148" s="1">
        <v>23.127500000000001</v>
      </c>
      <c r="C1148" s="1">
        <f>'Historical Simulation'!D1148</f>
        <v>119.52</v>
      </c>
      <c r="D1148" s="22">
        <f t="shared" si="62"/>
        <v>334.53662143632403</v>
      </c>
      <c r="E1148" s="23">
        <f t="shared" si="63"/>
        <v>-2.658553908559611</v>
      </c>
      <c r="F1148" s="23">
        <f t="shared" si="64"/>
        <v>2.658553908559611</v>
      </c>
    </row>
    <row r="1149" spans="1:6" x14ac:dyDescent="0.3">
      <c r="A1149" s="2">
        <v>42500</v>
      </c>
      <c r="B1149" s="1">
        <v>23.355</v>
      </c>
      <c r="C1149" s="1">
        <f>'Historical Simulation'!D1149</f>
        <v>120.5</v>
      </c>
      <c r="D1149" s="22">
        <f t="shared" si="62"/>
        <v>337.19517534488364</v>
      </c>
      <c r="E1149" s="23">
        <f t="shared" si="63"/>
        <v>3.7192766567268905</v>
      </c>
      <c r="F1149" s="23">
        <f t="shared" si="64"/>
        <v>-3.7192766567268905</v>
      </c>
    </row>
    <row r="1150" spans="1:6" x14ac:dyDescent="0.3">
      <c r="A1150" s="2">
        <v>42499</v>
      </c>
      <c r="B1150" s="1">
        <v>23.197500000000002</v>
      </c>
      <c r="C1150" s="1">
        <f>'Historical Simulation'!D1150</f>
        <v>119.24</v>
      </c>
      <c r="D1150" s="22">
        <f t="shared" si="62"/>
        <v>333.47589868815675</v>
      </c>
      <c r="E1150" s="23">
        <f t="shared" si="63"/>
        <v>-0.84669524324215217</v>
      </c>
      <c r="F1150" s="23">
        <f t="shared" si="64"/>
        <v>0.84669524324215217</v>
      </c>
    </row>
    <row r="1151" spans="1:6" x14ac:dyDescent="0.3">
      <c r="A1151" s="2">
        <v>42496</v>
      </c>
      <c r="B1151" s="1">
        <v>23.18</v>
      </c>
      <c r="C1151" s="1">
        <f>'Historical Simulation'!D1151</f>
        <v>119.49</v>
      </c>
      <c r="D1151" s="22">
        <f t="shared" si="62"/>
        <v>334.3225939313989</v>
      </c>
      <c r="E1151" s="23">
        <f t="shared" si="63"/>
        <v>5.7174519262364356</v>
      </c>
      <c r="F1151" s="23">
        <f t="shared" si="64"/>
        <v>-5.7174519262364356</v>
      </c>
    </row>
    <row r="1152" spans="1:6" x14ac:dyDescent="0.3">
      <c r="A1152" s="2">
        <v>42495</v>
      </c>
      <c r="B1152" s="1">
        <v>23.31</v>
      </c>
      <c r="C1152" s="1">
        <f>'Historical Simulation'!D1152</f>
        <v>117.81</v>
      </c>
      <c r="D1152" s="22">
        <f t="shared" si="62"/>
        <v>328.60514200516246</v>
      </c>
      <c r="E1152" s="23">
        <f t="shared" si="63"/>
        <v>-0.27788295529165907</v>
      </c>
      <c r="F1152" s="23">
        <f t="shared" si="64"/>
        <v>0.27788295529165907</v>
      </c>
    </row>
    <row r="1153" spans="1:6" x14ac:dyDescent="0.3">
      <c r="A1153" s="2">
        <v>42494</v>
      </c>
      <c r="B1153" s="1">
        <v>23.547499999999999</v>
      </c>
      <c r="C1153" s="1">
        <f>'Historical Simulation'!D1153</f>
        <v>118.06</v>
      </c>
      <c r="D1153" s="22">
        <f t="shared" si="62"/>
        <v>328.88302496045412</v>
      </c>
      <c r="E1153" s="23">
        <f t="shared" si="63"/>
        <v>2.5873834614764633</v>
      </c>
      <c r="F1153" s="23">
        <f t="shared" si="64"/>
        <v>-2.5873834614764633</v>
      </c>
    </row>
    <row r="1154" spans="1:6" x14ac:dyDescent="0.3">
      <c r="A1154" s="2">
        <v>42493</v>
      </c>
      <c r="B1154" s="1">
        <v>23.795000000000002</v>
      </c>
      <c r="C1154" s="1">
        <f>'Historical Simulation'!D1154</f>
        <v>117.43</v>
      </c>
      <c r="D1154" s="22">
        <f t="shared" si="62"/>
        <v>326.29564149897766</v>
      </c>
      <c r="E1154" s="23">
        <f t="shared" si="63"/>
        <v>-4.5417205455859175</v>
      </c>
      <c r="F1154" s="23">
        <f t="shared" si="64"/>
        <v>4.5417205455859175</v>
      </c>
    </row>
    <row r="1155" spans="1:6" x14ac:dyDescent="0.3">
      <c r="A1155" s="2">
        <v>42492</v>
      </c>
      <c r="B1155" s="1">
        <v>23.41</v>
      </c>
      <c r="C1155" s="1">
        <f>'Historical Simulation'!D1155</f>
        <v>118.57</v>
      </c>
      <c r="D1155" s="22">
        <f t="shared" si="62"/>
        <v>330.83736204456358</v>
      </c>
      <c r="E1155" s="23">
        <f t="shared" si="63"/>
        <v>3.2540959696850678</v>
      </c>
      <c r="F1155" s="23">
        <f t="shared" si="64"/>
        <v>-3.2540959696850678</v>
      </c>
    </row>
    <row r="1156" spans="1:6" x14ac:dyDescent="0.3">
      <c r="A1156" s="2">
        <v>42489</v>
      </c>
      <c r="B1156" s="1">
        <v>23.434999999999999</v>
      </c>
      <c r="C1156" s="1">
        <f>'Historical Simulation'!D1156</f>
        <v>117.58</v>
      </c>
      <c r="D1156" s="22">
        <f t="shared" si="62"/>
        <v>327.58326607487851</v>
      </c>
      <c r="E1156" s="23">
        <f t="shared" si="63"/>
        <v>3.3538893851936109</v>
      </c>
      <c r="F1156" s="23">
        <f t="shared" si="64"/>
        <v>-3.3538893851936109</v>
      </c>
    </row>
    <row r="1157" spans="1:6" x14ac:dyDescent="0.3">
      <c r="A1157" s="2">
        <v>42488</v>
      </c>
      <c r="B1157" s="1">
        <v>23.7075</v>
      </c>
      <c r="C1157" s="1">
        <f>'Historical Simulation'!D1157</f>
        <v>116.73</v>
      </c>
      <c r="D1157" s="22">
        <f t="shared" si="62"/>
        <v>324.2293766896849</v>
      </c>
      <c r="E1157" s="23">
        <f t="shared" si="63"/>
        <v>26.99559028538971</v>
      </c>
      <c r="F1157" s="23">
        <f t="shared" si="64"/>
        <v>-26.99559028538971</v>
      </c>
    </row>
    <row r="1158" spans="1:6" x14ac:dyDescent="0.3">
      <c r="A1158" s="2">
        <v>42487</v>
      </c>
      <c r="B1158" s="1">
        <v>24.454999999999998</v>
      </c>
      <c r="C1158" s="1">
        <f>'Historical Simulation'!D1158</f>
        <v>108.89</v>
      </c>
      <c r="D1158" s="22">
        <f t="shared" ref="D1158:D1221" si="65">$M$16*B1158+(1-$M$16)*C1158</f>
        <v>297.23378640429519</v>
      </c>
      <c r="E1158" s="23">
        <f t="shared" ref="E1158:E1221" si="66">D1158-D1159</f>
        <v>4.0614966961280743</v>
      </c>
      <c r="F1158" s="23">
        <f t="shared" ref="F1158:F1221" si="67">-E1158</f>
        <v>-4.0614966961280743</v>
      </c>
    </row>
    <row r="1159" spans="1:6" x14ac:dyDescent="0.3">
      <c r="A1159" s="2">
        <v>42486</v>
      </c>
      <c r="B1159" s="1">
        <v>26.087499999999999</v>
      </c>
      <c r="C1159" s="1">
        <f>'Historical Simulation'!D1159</f>
        <v>108.76</v>
      </c>
      <c r="D1159" s="22">
        <f t="shared" si="65"/>
        <v>293.17228970816711</v>
      </c>
      <c r="E1159" s="23">
        <f t="shared" si="66"/>
        <v>-3.9219616600103109</v>
      </c>
      <c r="F1159" s="23">
        <f t="shared" si="67"/>
        <v>3.9219616600103109</v>
      </c>
    </row>
    <row r="1160" spans="1:6" x14ac:dyDescent="0.3">
      <c r="A1160" s="2">
        <v>42485</v>
      </c>
      <c r="B1160" s="1">
        <v>26.27</v>
      </c>
      <c r="C1160" s="1">
        <f>'Historical Simulation'!D1160</f>
        <v>110.1</v>
      </c>
      <c r="D1160" s="22">
        <f t="shared" si="65"/>
        <v>297.09425136817742</v>
      </c>
      <c r="E1160" s="23">
        <f t="shared" si="66"/>
        <v>-1.1514972912338521</v>
      </c>
      <c r="F1160" s="23">
        <f t="shared" si="67"/>
        <v>1.1514972912338521</v>
      </c>
    </row>
    <row r="1161" spans="1:6" x14ac:dyDescent="0.3">
      <c r="A1161" s="2">
        <v>42482</v>
      </c>
      <c r="B1161" s="1">
        <v>26.42</v>
      </c>
      <c r="C1161" s="1">
        <f>'Historical Simulation'!D1161</f>
        <v>110.56</v>
      </c>
      <c r="D1161" s="22">
        <f t="shared" si="65"/>
        <v>298.24574865941128</v>
      </c>
      <c r="E1161" s="23">
        <f t="shared" si="66"/>
        <v>-9.1425117585131943</v>
      </c>
      <c r="F1161" s="23">
        <f t="shared" si="67"/>
        <v>9.1425117585131943</v>
      </c>
    </row>
    <row r="1162" spans="1:6" x14ac:dyDescent="0.3">
      <c r="A1162" s="2">
        <v>42481</v>
      </c>
      <c r="B1162" s="1">
        <v>26.4925</v>
      </c>
      <c r="C1162" s="1">
        <f>'Historical Simulation'!D1162</f>
        <v>113.44</v>
      </c>
      <c r="D1162" s="22">
        <f t="shared" si="65"/>
        <v>307.38826041792447</v>
      </c>
      <c r="E1162" s="23">
        <f t="shared" si="66"/>
        <v>3.942133714568854</v>
      </c>
      <c r="F1162" s="23">
        <f t="shared" si="67"/>
        <v>-3.942133714568854</v>
      </c>
    </row>
    <row r="1163" spans="1:6" x14ac:dyDescent="0.3">
      <c r="A1163" s="2">
        <v>42480</v>
      </c>
      <c r="B1163" s="1">
        <v>26.782499999999999</v>
      </c>
      <c r="C1163" s="1">
        <f>'Historical Simulation'!D1163</f>
        <v>112.42</v>
      </c>
      <c r="D1163" s="22">
        <f t="shared" si="65"/>
        <v>303.44612670335562</v>
      </c>
      <c r="E1163" s="23">
        <f t="shared" si="66"/>
        <v>0.29729773175017726</v>
      </c>
      <c r="F1163" s="23">
        <f t="shared" si="67"/>
        <v>-0.29729773175017726</v>
      </c>
    </row>
    <row r="1164" spans="1:6" x14ac:dyDescent="0.3">
      <c r="A1164" s="2">
        <v>42479</v>
      </c>
      <c r="B1164" s="1">
        <v>26.727499999999999</v>
      </c>
      <c r="C1164" s="1">
        <f>'Historical Simulation'!D1164</f>
        <v>112.29</v>
      </c>
      <c r="D1164" s="22">
        <f t="shared" si="65"/>
        <v>303.14882897160544</v>
      </c>
      <c r="E1164" s="23">
        <f t="shared" si="66"/>
        <v>6.2622367092617424</v>
      </c>
      <c r="F1164" s="23">
        <f t="shared" si="67"/>
        <v>-6.2622367092617424</v>
      </c>
    </row>
    <row r="1165" spans="1:6" x14ac:dyDescent="0.3">
      <c r="A1165" s="2">
        <v>42478</v>
      </c>
      <c r="B1165" s="1">
        <v>26.87</v>
      </c>
      <c r="C1165" s="1">
        <f>'Historical Simulation'!D1165</f>
        <v>110.45</v>
      </c>
      <c r="D1165" s="22">
        <f t="shared" si="65"/>
        <v>296.8865922623437</v>
      </c>
      <c r="E1165" s="23">
        <f t="shared" si="66"/>
        <v>3.9384675837274017</v>
      </c>
      <c r="F1165" s="23">
        <f t="shared" si="67"/>
        <v>-3.9384675837274017</v>
      </c>
    </row>
    <row r="1166" spans="1:6" x14ac:dyDescent="0.3">
      <c r="A1166" s="2">
        <v>42475</v>
      </c>
      <c r="B1166" s="1">
        <v>27.462499999999999</v>
      </c>
      <c r="C1166" s="1">
        <f>'Historical Simulation'!D1166</f>
        <v>109.64</v>
      </c>
      <c r="D1166" s="22">
        <f t="shared" si="65"/>
        <v>292.9481246786163</v>
      </c>
      <c r="E1166" s="23">
        <f t="shared" si="66"/>
        <v>-2.6220307198760793</v>
      </c>
      <c r="F1166" s="23">
        <f t="shared" si="67"/>
        <v>2.6220307198760793</v>
      </c>
    </row>
    <row r="1167" spans="1:6" x14ac:dyDescent="0.3">
      <c r="A1167" s="2">
        <v>42474</v>
      </c>
      <c r="B1167" s="1">
        <v>28.024999999999999</v>
      </c>
      <c r="C1167" s="1">
        <f>'Historical Simulation'!D1167</f>
        <v>110.84</v>
      </c>
      <c r="D1167" s="22">
        <f t="shared" si="65"/>
        <v>295.57015539849237</v>
      </c>
      <c r="E1167" s="23">
        <f t="shared" si="66"/>
        <v>1.0326504733505431</v>
      </c>
      <c r="F1167" s="23">
        <f t="shared" si="67"/>
        <v>-1.0326504733505431</v>
      </c>
    </row>
    <row r="1168" spans="1:6" x14ac:dyDescent="0.3">
      <c r="A1168" s="2">
        <v>42473</v>
      </c>
      <c r="B1168" s="1">
        <v>28.01</v>
      </c>
      <c r="C1168" s="1">
        <f>'Historical Simulation'!D1168</f>
        <v>110.51</v>
      </c>
      <c r="D1168" s="22">
        <f t="shared" si="65"/>
        <v>294.53750492514183</v>
      </c>
      <c r="E1168" s="23">
        <f t="shared" si="66"/>
        <v>-1.2153182116675225</v>
      </c>
      <c r="F1168" s="23">
        <f t="shared" si="67"/>
        <v>1.2153182116675225</v>
      </c>
    </row>
    <row r="1169" spans="1:6" x14ac:dyDescent="0.3">
      <c r="A1169" s="2">
        <v>42472</v>
      </c>
      <c r="B1169" s="1">
        <v>27.61</v>
      </c>
      <c r="C1169" s="1">
        <f>'Historical Simulation'!D1169</f>
        <v>110.61</v>
      </c>
      <c r="D1169" s="22">
        <f t="shared" si="65"/>
        <v>295.75282313680935</v>
      </c>
      <c r="E1169" s="23">
        <f t="shared" si="66"/>
        <v>4.4417550755188699</v>
      </c>
      <c r="F1169" s="23">
        <f t="shared" si="67"/>
        <v>-4.4417550755188699</v>
      </c>
    </row>
    <row r="1170" spans="1:6" x14ac:dyDescent="0.3">
      <c r="A1170" s="2">
        <v>42471</v>
      </c>
      <c r="B1170" s="1">
        <v>27.254999999999999</v>
      </c>
      <c r="C1170" s="1">
        <f>'Historical Simulation'!D1170</f>
        <v>108.99</v>
      </c>
      <c r="D1170" s="22">
        <f t="shared" si="65"/>
        <v>291.31106806129048</v>
      </c>
      <c r="E1170" s="23">
        <f t="shared" si="66"/>
        <v>-5.4990010123696038</v>
      </c>
      <c r="F1170" s="23">
        <f t="shared" si="67"/>
        <v>5.4990010123696038</v>
      </c>
    </row>
    <row r="1171" spans="1:6" x14ac:dyDescent="0.3">
      <c r="A1171" s="2">
        <v>42468</v>
      </c>
      <c r="B1171" s="1">
        <v>27.164999999999999</v>
      </c>
      <c r="C1171" s="1">
        <f>'Historical Simulation'!D1171</f>
        <v>110.63</v>
      </c>
      <c r="D1171" s="22">
        <f t="shared" si="65"/>
        <v>296.81006907366009</v>
      </c>
      <c r="E1171" s="23">
        <f t="shared" si="66"/>
        <v>-9.7911347269385942</v>
      </c>
      <c r="F1171" s="23">
        <f t="shared" si="67"/>
        <v>9.7911347269385942</v>
      </c>
    </row>
    <row r="1172" spans="1:6" x14ac:dyDescent="0.3">
      <c r="A1172" s="2">
        <v>42467</v>
      </c>
      <c r="B1172" s="1">
        <v>27.135000000000002</v>
      </c>
      <c r="C1172" s="1">
        <f>'Historical Simulation'!D1172</f>
        <v>113.64</v>
      </c>
      <c r="D1172" s="22">
        <f t="shared" si="65"/>
        <v>306.60120380059868</v>
      </c>
      <c r="E1172" s="23">
        <f t="shared" si="66"/>
        <v>1.1233904864842543</v>
      </c>
      <c r="F1172" s="23">
        <f t="shared" si="67"/>
        <v>-1.1233904864842543</v>
      </c>
    </row>
    <row r="1173" spans="1:6" x14ac:dyDescent="0.3">
      <c r="A1173" s="2">
        <v>42466</v>
      </c>
      <c r="B1173" s="1">
        <v>27.74</v>
      </c>
      <c r="C1173" s="1">
        <f>'Historical Simulation'!D1173</f>
        <v>113.71</v>
      </c>
      <c r="D1173" s="22">
        <f t="shared" si="65"/>
        <v>305.47781331411443</v>
      </c>
      <c r="E1173" s="23">
        <f t="shared" si="66"/>
        <v>4.1723402990603518</v>
      </c>
      <c r="F1173" s="23">
        <f t="shared" si="67"/>
        <v>-4.1723402990603518</v>
      </c>
    </row>
    <row r="1174" spans="1:6" x14ac:dyDescent="0.3">
      <c r="A1174" s="2">
        <v>42465</v>
      </c>
      <c r="B1174" s="1">
        <v>27.452500000000001</v>
      </c>
      <c r="C1174" s="1">
        <f>'Historical Simulation'!D1174</f>
        <v>112.22</v>
      </c>
      <c r="D1174" s="22">
        <f t="shared" si="65"/>
        <v>301.30547301505408</v>
      </c>
      <c r="E1174" s="23">
        <f t="shared" si="66"/>
        <v>-0.33557659105827042</v>
      </c>
      <c r="F1174" s="23">
        <f t="shared" si="67"/>
        <v>0.33557659105827042</v>
      </c>
    </row>
    <row r="1175" spans="1:6" x14ac:dyDescent="0.3">
      <c r="A1175" s="2">
        <v>42464</v>
      </c>
      <c r="B1175" s="1">
        <v>27.78</v>
      </c>
      <c r="C1175" s="1">
        <f>'Historical Simulation'!D1175</f>
        <v>112.55</v>
      </c>
      <c r="D1175" s="22">
        <f t="shared" si="65"/>
        <v>301.64104960611235</v>
      </c>
      <c r="E1175" s="23">
        <f t="shared" si="66"/>
        <v>-11.969688635498244</v>
      </c>
      <c r="F1175" s="23">
        <f t="shared" si="67"/>
        <v>11.969688635498244</v>
      </c>
    </row>
    <row r="1176" spans="1:6" x14ac:dyDescent="0.3">
      <c r="A1176" s="2">
        <v>42461</v>
      </c>
      <c r="B1176" s="1">
        <v>27.497499999999999</v>
      </c>
      <c r="C1176" s="1">
        <f>'Historical Simulation'!D1176</f>
        <v>116.06</v>
      </c>
      <c r="D1176" s="22">
        <f t="shared" si="65"/>
        <v>313.61073824161059</v>
      </c>
      <c r="E1176" s="23">
        <f t="shared" si="66"/>
        <v>5.7743882839029652</v>
      </c>
      <c r="F1176" s="23">
        <f t="shared" si="67"/>
        <v>-5.7743882839029652</v>
      </c>
    </row>
    <row r="1177" spans="1:6" x14ac:dyDescent="0.3">
      <c r="A1177" s="2">
        <v>42460</v>
      </c>
      <c r="B1177" s="1">
        <v>27.247499999999999</v>
      </c>
      <c r="C1177" s="1">
        <f>'Historical Simulation'!D1177</f>
        <v>114.1</v>
      </c>
      <c r="D1177" s="22">
        <f t="shared" si="65"/>
        <v>307.83634995770763</v>
      </c>
      <c r="E1177" s="23">
        <f t="shared" si="66"/>
        <v>-1.6205161636758021</v>
      </c>
      <c r="F1177" s="23">
        <f t="shared" si="67"/>
        <v>1.6205161636758021</v>
      </c>
    </row>
    <row r="1178" spans="1:6" x14ac:dyDescent="0.3">
      <c r="A1178" s="2">
        <v>42459</v>
      </c>
      <c r="B1178" s="1">
        <v>27.39</v>
      </c>
      <c r="C1178" s="1">
        <f>'Historical Simulation'!D1178</f>
        <v>114.7</v>
      </c>
      <c r="D1178" s="22">
        <f t="shared" si="65"/>
        <v>309.45686612138343</v>
      </c>
      <c r="E1178" s="23">
        <f t="shared" si="66"/>
        <v>-5.7005155685699833</v>
      </c>
      <c r="F1178" s="23">
        <f t="shared" si="67"/>
        <v>5.7005155685699833</v>
      </c>
    </row>
    <row r="1179" spans="1:6" x14ac:dyDescent="0.3">
      <c r="A1179" s="2">
        <v>42458</v>
      </c>
      <c r="B1179" s="1">
        <v>26.92</v>
      </c>
      <c r="C1179" s="1">
        <f>'Historical Simulation'!D1179</f>
        <v>116.14</v>
      </c>
      <c r="D1179" s="22">
        <f t="shared" si="65"/>
        <v>315.15738168995341</v>
      </c>
      <c r="E1179" s="23">
        <f t="shared" si="66"/>
        <v>6.5264880636448765</v>
      </c>
      <c r="F1179" s="23">
        <f t="shared" si="67"/>
        <v>-6.5264880636448765</v>
      </c>
    </row>
    <row r="1180" spans="1:6" x14ac:dyDescent="0.3">
      <c r="A1180" s="2">
        <v>42457</v>
      </c>
      <c r="B1180" s="1">
        <v>26.297499999999999</v>
      </c>
      <c r="C1180" s="1">
        <f>'Historical Simulation'!D1180</f>
        <v>113.69</v>
      </c>
      <c r="D1180" s="22">
        <f t="shared" si="65"/>
        <v>308.63089362630853</v>
      </c>
      <c r="E1180" s="23">
        <f t="shared" si="66"/>
        <v>2.3352836817346088</v>
      </c>
      <c r="F1180" s="23">
        <f t="shared" si="67"/>
        <v>-2.3352836817346088</v>
      </c>
    </row>
    <row r="1181" spans="1:6" x14ac:dyDescent="0.3">
      <c r="A1181" s="2">
        <v>42454</v>
      </c>
      <c r="B1181" s="1">
        <v>26.4175</v>
      </c>
      <c r="C1181" s="1">
        <f>'Historical Simulation'!D1181</f>
        <v>113.05</v>
      </c>
      <c r="D1181" s="22">
        <f t="shared" si="65"/>
        <v>306.29560994457393</v>
      </c>
      <c r="E1181" s="23">
        <f t="shared" si="66"/>
        <v>0</v>
      </c>
      <c r="F1181" s="23">
        <f t="shared" si="67"/>
        <v>0</v>
      </c>
    </row>
    <row r="1182" spans="1:6" x14ac:dyDescent="0.3">
      <c r="A1182" s="2">
        <v>42453</v>
      </c>
      <c r="B1182" s="1">
        <v>26.4175</v>
      </c>
      <c r="C1182" s="1">
        <f>'Historical Simulation'!D1182</f>
        <v>113.05</v>
      </c>
      <c r="D1182" s="22">
        <f t="shared" si="65"/>
        <v>306.29560994457393</v>
      </c>
      <c r="E1182" s="23">
        <f t="shared" si="66"/>
        <v>1.9041477645843656</v>
      </c>
      <c r="F1182" s="23">
        <f t="shared" si="67"/>
        <v>-1.9041477645843656</v>
      </c>
    </row>
    <row r="1183" spans="1:6" x14ac:dyDescent="0.3">
      <c r="A1183" s="2">
        <v>42452</v>
      </c>
      <c r="B1183" s="1">
        <v>26.532499999999999</v>
      </c>
      <c r="C1183" s="1">
        <f>'Historical Simulation'!D1183</f>
        <v>112.54</v>
      </c>
      <c r="D1183" s="22">
        <f t="shared" si="65"/>
        <v>304.39146217998956</v>
      </c>
      <c r="E1183" s="23">
        <f t="shared" si="66"/>
        <v>1.265903435209168</v>
      </c>
      <c r="F1183" s="23">
        <f t="shared" si="67"/>
        <v>-1.265903435209168</v>
      </c>
    </row>
    <row r="1184" spans="1:6" x14ac:dyDescent="0.3">
      <c r="A1184" s="2">
        <v>42451</v>
      </c>
      <c r="B1184" s="1">
        <v>26.68</v>
      </c>
      <c r="C1184" s="1">
        <f>'Historical Simulation'!D1184</f>
        <v>112.25</v>
      </c>
      <c r="D1184" s="22">
        <f t="shared" si="65"/>
        <v>303.12555874478039</v>
      </c>
      <c r="E1184" s="23">
        <f t="shared" si="66"/>
        <v>0.84055069360863399</v>
      </c>
      <c r="F1184" s="23">
        <f t="shared" si="67"/>
        <v>-0.84055069360863399</v>
      </c>
    </row>
    <row r="1185" spans="1:6" x14ac:dyDescent="0.3">
      <c r="A1185" s="2">
        <v>42450</v>
      </c>
      <c r="B1185" s="1">
        <v>26.477499999999999</v>
      </c>
      <c r="C1185" s="1">
        <f>'Historical Simulation'!D1185</f>
        <v>111.85</v>
      </c>
      <c r="D1185" s="22">
        <f t="shared" si="65"/>
        <v>302.28500805117176</v>
      </c>
      <c r="E1185" s="23">
        <f t="shared" si="66"/>
        <v>1.2978311603923203</v>
      </c>
      <c r="F1185" s="23">
        <f t="shared" si="67"/>
        <v>-1.2978311603923203</v>
      </c>
    </row>
    <row r="1186" spans="1:6" x14ac:dyDescent="0.3">
      <c r="A1186" s="2">
        <v>42447</v>
      </c>
      <c r="B1186" s="1">
        <v>26.48</v>
      </c>
      <c r="C1186" s="1">
        <f>'Historical Simulation'!D1186</f>
        <v>111.45</v>
      </c>
      <c r="D1186" s="22">
        <f t="shared" si="65"/>
        <v>300.98717689077944</v>
      </c>
      <c r="E1186" s="23">
        <f t="shared" si="66"/>
        <v>1.3222545693340635</v>
      </c>
      <c r="F1186" s="23">
        <f t="shared" si="67"/>
        <v>-1.3222545693340635</v>
      </c>
    </row>
    <row r="1187" spans="1:6" x14ac:dyDescent="0.3">
      <c r="A1187" s="2">
        <v>42446</v>
      </c>
      <c r="B1187" s="1">
        <v>26.45</v>
      </c>
      <c r="C1187" s="1">
        <f>'Historical Simulation'!D1187</f>
        <v>111.02</v>
      </c>
      <c r="D1187" s="22">
        <f t="shared" si="65"/>
        <v>299.66492232144537</v>
      </c>
      <c r="E1187" s="23">
        <f t="shared" si="66"/>
        <v>-3.6527362030769268</v>
      </c>
      <c r="F1187" s="23">
        <f t="shared" si="67"/>
        <v>3.6527362030769268</v>
      </c>
    </row>
    <row r="1188" spans="1:6" x14ac:dyDescent="0.3">
      <c r="A1188" s="2">
        <v>42445</v>
      </c>
      <c r="B1188" s="1">
        <v>26.4925</v>
      </c>
      <c r="C1188" s="1">
        <f>'Historical Simulation'!D1188</f>
        <v>112.18</v>
      </c>
      <c r="D1188" s="22">
        <f t="shared" si="65"/>
        <v>303.3176585245223</v>
      </c>
      <c r="E1188" s="23">
        <f t="shared" si="66"/>
        <v>4.1031148421270132</v>
      </c>
      <c r="F1188" s="23">
        <f t="shared" si="67"/>
        <v>-4.1031148421270132</v>
      </c>
    </row>
    <row r="1189" spans="1:6" x14ac:dyDescent="0.3">
      <c r="A1189" s="2">
        <v>42444</v>
      </c>
      <c r="B1189" s="1">
        <v>26.145</v>
      </c>
      <c r="C1189" s="1">
        <f>'Historical Simulation'!D1189</f>
        <v>110.67</v>
      </c>
      <c r="D1189" s="22">
        <f t="shared" si="65"/>
        <v>299.21454368239529</v>
      </c>
      <c r="E1189" s="23">
        <f t="shared" si="66"/>
        <v>1.3711186521837817</v>
      </c>
      <c r="F1189" s="23">
        <f t="shared" si="67"/>
        <v>-1.3711186521837817</v>
      </c>
    </row>
    <row r="1190" spans="1:6" x14ac:dyDescent="0.3">
      <c r="A1190" s="2">
        <v>42443</v>
      </c>
      <c r="B1190" s="1">
        <v>25.63</v>
      </c>
      <c r="C1190" s="1">
        <f>'Historical Simulation'!D1190</f>
        <v>109.89</v>
      </c>
      <c r="D1190" s="22">
        <f t="shared" si="65"/>
        <v>297.84342503021151</v>
      </c>
      <c r="E1190" s="23">
        <f t="shared" si="66"/>
        <v>1.4057141156840203</v>
      </c>
      <c r="F1190" s="23">
        <f t="shared" si="67"/>
        <v>-1.4057141156840203</v>
      </c>
    </row>
    <row r="1191" spans="1:6" x14ac:dyDescent="0.3">
      <c r="A1191" s="2">
        <v>42440</v>
      </c>
      <c r="B1191" s="1">
        <v>25.565000000000001</v>
      </c>
      <c r="C1191" s="1">
        <f>'Historical Simulation'!D1191</f>
        <v>109.41</v>
      </c>
      <c r="D1191" s="22">
        <f t="shared" si="65"/>
        <v>296.43771091452749</v>
      </c>
      <c r="E1191" s="23">
        <f t="shared" si="66"/>
        <v>6.1441816994114902</v>
      </c>
      <c r="F1191" s="23">
        <f t="shared" si="67"/>
        <v>-6.1441816994114902</v>
      </c>
    </row>
    <row r="1192" spans="1:6" x14ac:dyDescent="0.3">
      <c r="A1192" s="2">
        <v>42439</v>
      </c>
      <c r="B1192" s="1">
        <v>25.2925</v>
      </c>
      <c r="C1192" s="1">
        <f>'Historical Simulation'!D1192</f>
        <v>107.32</v>
      </c>
      <c r="D1192" s="22">
        <f t="shared" si="65"/>
        <v>290.293529215116</v>
      </c>
      <c r="E1192" s="23">
        <f t="shared" si="66"/>
        <v>-0.64170387572539767</v>
      </c>
      <c r="F1192" s="23">
        <f t="shared" si="67"/>
        <v>0.64170387572539767</v>
      </c>
    </row>
    <row r="1193" spans="1:6" x14ac:dyDescent="0.3">
      <c r="A1193" s="2">
        <v>42438</v>
      </c>
      <c r="B1193" s="1">
        <v>25.28</v>
      </c>
      <c r="C1193" s="1">
        <f>'Historical Simulation'!D1193</f>
        <v>107.51</v>
      </c>
      <c r="D1193" s="22">
        <f t="shared" si="65"/>
        <v>290.93523309084139</v>
      </c>
      <c r="E1193" s="23">
        <f t="shared" si="66"/>
        <v>5.0542162293443198</v>
      </c>
      <c r="F1193" s="23">
        <f t="shared" si="67"/>
        <v>-5.0542162293443198</v>
      </c>
    </row>
    <row r="1194" spans="1:6" x14ac:dyDescent="0.3">
      <c r="A1194" s="2">
        <v>42437</v>
      </c>
      <c r="B1194" s="1">
        <v>25.2575</v>
      </c>
      <c r="C1194" s="1">
        <f>'Historical Simulation'!D1194</f>
        <v>105.93</v>
      </c>
      <c r="D1194" s="22">
        <f t="shared" si="65"/>
        <v>285.88101686149707</v>
      </c>
      <c r="E1194" s="23">
        <f t="shared" si="66"/>
        <v>1.114560933567418</v>
      </c>
      <c r="F1194" s="23">
        <f t="shared" si="67"/>
        <v>-1.114560933567418</v>
      </c>
    </row>
    <row r="1195" spans="1:6" x14ac:dyDescent="0.3">
      <c r="A1195" s="2">
        <v>42436</v>
      </c>
      <c r="B1195" s="1">
        <v>25.467500000000001</v>
      </c>
      <c r="C1195" s="1">
        <f>'Historical Simulation'!D1195</f>
        <v>105.73</v>
      </c>
      <c r="D1195" s="22">
        <f t="shared" si="65"/>
        <v>284.76645592792966</v>
      </c>
      <c r="E1195" s="23">
        <f t="shared" si="66"/>
        <v>-7.9577615054207058</v>
      </c>
      <c r="F1195" s="23">
        <f t="shared" si="67"/>
        <v>7.9577615054207058</v>
      </c>
    </row>
    <row r="1196" spans="1:6" x14ac:dyDescent="0.3">
      <c r="A1196" s="2">
        <v>42433</v>
      </c>
      <c r="B1196" s="1">
        <v>25.752500000000001</v>
      </c>
      <c r="C1196" s="1">
        <f>'Historical Simulation'!D1196</f>
        <v>108.39</v>
      </c>
      <c r="D1196" s="22">
        <f t="shared" si="65"/>
        <v>292.72421743335036</v>
      </c>
      <c r="E1196" s="23">
        <f t="shared" si="66"/>
        <v>-4.6865225935777062</v>
      </c>
      <c r="F1196" s="23">
        <f t="shared" si="67"/>
        <v>4.6865225935777062</v>
      </c>
    </row>
    <row r="1197" spans="1:6" x14ac:dyDescent="0.3">
      <c r="A1197" s="2">
        <v>42432</v>
      </c>
      <c r="B1197" s="1">
        <v>25.375</v>
      </c>
      <c r="C1197" s="1">
        <f>'Historical Simulation'!D1197</f>
        <v>109.58</v>
      </c>
      <c r="D1197" s="22">
        <f t="shared" si="65"/>
        <v>297.41074002692807</v>
      </c>
      <c r="E1197" s="23">
        <f t="shared" si="66"/>
        <v>-1.6135798060093407</v>
      </c>
      <c r="F1197" s="23">
        <f t="shared" si="67"/>
        <v>1.6135798060093407</v>
      </c>
    </row>
    <row r="1198" spans="1:6" x14ac:dyDescent="0.3">
      <c r="A1198" s="2">
        <v>42431</v>
      </c>
      <c r="B1198" s="1">
        <v>25.1875</v>
      </c>
      <c r="C1198" s="1">
        <f>'Historical Simulation'!D1198</f>
        <v>109.95</v>
      </c>
      <c r="D1198" s="22">
        <f t="shared" si="65"/>
        <v>299.02431983293741</v>
      </c>
      <c r="E1198" s="23">
        <f t="shared" si="66"/>
        <v>0.29729773175017726</v>
      </c>
      <c r="F1198" s="23">
        <f t="shared" si="67"/>
        <v>-0.29729773175017726</v>
      </c>
    </row>
    <row r="1199" spans="1:6" x14ac:dyDescent="0.3">
      <c r="A1199" s="2">
        <v>42430</v>
      </c>
      <c r="B1199" s="1">
        <v>25.1325</v>
      </c>
      <c r="C1199" s="1">
        <f>'Historical Simulation'!D1199</f>
        <v>109.82</v>
      </c>
      <c r="D1199" s="22">
        <f t="shared" si="65"/>
        <v>298.72702210118723</v>
      </c>
      <c r="E1199" s="23">
        <f t="shared" si="66"/>
        <v>7.2274346612699674</v>
      </c>
      <c r="F1199" s="23">
        <f t="shared" si="67"/>
        <v>-7.2274346612699674</v>
      </c>
    </row>
    <row r="1200" spans="1:6" x14ac:dyDescent="0.3">
      <c r="A1200" s="2">
        <v>42429</v>
      </c>
      <c r="B1200" s="1">
        <v>24.172499999999999</v>
      </c>
      <c r="C1200" s="1">
        <f>'Historical Simulation'!D1200</f>
        <v>106.92</v>
      </c>
      <c r="D1200" s="22">
        <f t="shared" si="65"/>
        <v>291.49958743991726</v>
      </c>
      <c r="E1200" s="23">
        <f t="shared" si="66"/>
        <v>-3.1079514200516201</v>
      </c>
      <c r="F1200" s="23">
        <f t="shared" si="67"/>
        <v>3.1079514200516201</v>
      </c>
    </row>
    <row r="1201" spans="1:6" x14ac:dyDescent="0.3">
      <c r="A1201" s="2">
        <v>42426</v>
      </c>
      <c r="B1201" s="1">
        <v>24.227499999999999</v>
      </c>
      <c r="C1201" s="1">
        <f>'Historical Simulation'!D1201</f>
        <v>107.92</v>
      </c>
      <c r="D1201" s="22">
        <f t="shared" si="65"/>
        <v>294.60753885996888</v>
      </c>
      <c r="E1201" s="23">
        <f t="shared" si="66"/>
        <v>-0.56824432937526126</v>
      </c>
      <c r="F1201" s="23">
        <f t="shared" si="67"/>
        <v>0.56824432937526126</v>
      </c>
    </row>
    <row r="1202" spans="1:6" x14ac:dyDescent="0.3">
      <c r="A1202" s="2">
        <v>42425</v>
      </c>
      <c r="B1202" s="1">
        <v>24.19</v>
      </c>
      <c r="C1202" s="1">
        <f>'Historical Simulation'!D1202</f>
        <v>108.07</v>
      </c>
      <c r="D1202" s="22">
        <f t="shared" si="65"/>
        <v>295.17578318934414</v>
      </c>
      <c r="E1202" s="23">
        <f t="shared" si="66"/>
        <v>3.4764023339183723</v>
      </c>
      <c r="F1202" s="23">
        <f t="shared" si="67"/>
        <v>-3.4764023339183723</v>
      </c>
    </row>
    <row r="1203" spans="1:6" x14ac:dyDescent="0.3">
      <c r="A1203" s="2">
        <v>42424</v>
      </c>
      <c r="B1203" s="1">
        <v>24.024999999999999</v>
      </c>
      <c r="C1203" s="1">
        <f>'Historical Simulation'!D1203</f>
        <v>106.88</v>
      </c>
      <c r="D1203" s="22">
        <f t="shared" si="65"/>
        <v>291.69938085542577</v>
      </c>
      <c r="E1203" s="23">
        <f t="shared" si="66"/>
        <v>3.8012043819101677</v>
      </c>
      <c r="F1203" s="23">
        <f t="shared" si="67"/>
        <v>-3.8012043819101677</v>
      </c>
    </row>
    <row r="1204" spans="1:6" x14ac:dyDescent="0.3">
      <c r="A1204" s="2">
        <v>42423</v>
      </c>
      <c r="B1204" s="1">
        <v>23.672499999999999</v>
      </c>
      <c r="C1204" s="1">
        <f>'Historical Simulation'!D1204</f>
        <v>105.46</v>
      </c>
      <c r="D1204" s="22">
        <f t="shared" si="65"/>
        <v>287.8981764735156</v>
      </c>
      <c r="E1204" s="23">
        <f t="shared" si="66"/>
        <v>-4.2708084778936382</v>
      </c>
      <c r="F1204" s="23">
        <f t="shared" si="67"/>
        <v>4.2708084778936382</v>
      </c>
    </row>
    <row r="1205" spans="1:6" x14ac:dyDescent="0.3">
      <c r="A1205" s="2">
        <v>42422</v>
      </c>
      <c r="B1205" s="1">
        <v>24.22</v>
      </c>
      <c r="C1205" s="1">
        <f>'Historical Simulation'!D1205</f>
        <v>107.16</v>
      </c>
      <c r="D1205" s="22">
        <f t="shared" si="65"/>
        <v>292.16898495140924</v>
      </c>
      <c r="E1205" s="23">
        <f t="shared" si="66"/>
        <v>7.8989146875374558</v>
      </c>
      <c r="F1205" s="23">
        <f t="shared" si="67"/>
        <v>-7.8989146875374558</v>
      </c>
    </row>
    <row r="1206" spans="1:6" x14ac:dyDescent="0.3">
      <c r="A1206" s="2">
        <v>42419</v>
      </c>
      <c r="B1206" s="1">
        <v>24.01</v>
      </c>
      <c r="C1206" s="1">
        <f>'Historical Simulation'!D1206</f>
        <v>104.57</v>
      </c>
      <c r="D1206" s="22">
        <f t="shared" si="65"/>
        <v>284.27007026387179</v>
      </c>
      <c r="E1206" s="23">
        <f t="shared" si="66"/>
        <v>3.6763850689519586</v>
      </c>
      <c r="F1206" s="23">
        <f t="shared" si="67"/>
        <v>-3.6763850689519586</v>
      </c>
    </row>
    <row r="1207" spans="1:6" x14ac:dyDescent="0.3">
      <c r="A1207" s="2">
        <v>42418</v>
      </c>
      <c r="B1207" s="1">
        <v>24.065000000000001</v>
      </c>
      <c r="C1207" s="1">
        <f>'Historical Simulation'!D1207</f>
        <v>103.47</v>
      </c>
      <c r="D1207" s="22">
        <f t="shared" si="65"/>
        <v>280.59368519491983</v>
      </c>
      <c r="E1207" s="23">
        <f t="shared" si="66"/>
        <v>-4.5517550755188267</v>
      </c>
      <c r="F1207" s="23">
        <f t="shared" si="67"/>
        <v>4.5517550755188267</v>
      </c>
    </row>
    <row r="1208" spans="1:6" x14ac:dyDescent="0.3">
      <c r="A1208" s="2">
        <v>42417</v>
      </c>
      <c r="B1208" s="1">
        <v>24.53</v>
      </c>
      <c r="C1208" s="1">
        <f>'Historical Simulation'!D1208</f>
        <v>105.2</v>
      </c>
      <c r="D1208" s="22">
        <f t="shared" si="65"/>
        <v>285.14544027043866</v>
      </c>
      <c r="E1208" s="23">
        <f t="shared" si="66"/>
        <v>10.772649283138833</v>
      </c>
      <c r="F1208" s="23">
        <f t="shared" si="67"/>
        <v>-10.772649283138833</v>
      </c>
    </row>
    <row r="1209" spans="1:6" x14ac:dyDescent="0.3">
      <c r="A1209" s="2">
        <v>42416</v>
      </c>
      <c r="B1209" s="1">
        <v>24.16</v>
      </c>
      <c r="C1209" s="1">
        <f>'Historical Simulation'!D1209</f>
        <v>101.61</v>
      </c>
      <c r="D1209" s="22">
        <f t="shared" si="65"/>
        <v>274.37279098729982</v>
      </c>
      <c r="E1209" s="23">
        <f t="shared" si="66"/>
        <v>-2.7700511997934996</v>
      </c>
      <c r="F1209" s="23">
        <f t="shared" si="67"/>
        <v>2.7700511997934996</v>
      </c>
    </row>
    <row r="1210" spans="1:6" x14ac:dyDescent="0.3">
      <c r="A1210" s="2">
        <v>42415</v>
      </c>
      <c r="B1210" s="1">
        <v>23.497499999999999</v>
      </c>
      <c r="C1210" s="1">
        <f>'Historical Simulation'!D1210</f>
        <v>102.01</v>
      </c>
      <c r="D1210" s="22">
        <f t="shared" si="65"/>
        <v>277.14284218709332</v>
      </c>
      <c r="E1210" s="23">
        <f t="shared" si="66"/>
        <v>0</v>
      </c>
      <c r="F1210" s="23">
        <f t="shared" si="67"/>
        <v>0</v>
      </c>
    </row>
    <row r="1211" spans="1:6" x14ac:dyDescent="0.3">
      <c r="A1211" s="2">
        <v>42412</v>
      </c>
      <c r="B1211" s="1">
        <v>23.497499999999999</v>
      </c>
      <c r="C1211" s="1">
        <f>'Historical Simulation'!D1211</f>
        <v>102.01</v>
      </c>
      <c r="D1211" s="22">
        <f t="shared" si="65"/>
        <v>277.14284218709332</v>
      </c>
      <c r="E1211" s="23">
        <f t="shared" si="66"/>
        <v>0.16134250164174091</v>
      </c>
      <c r="F1211" s="23">
        <f t="shared" si="67"/>
        <v>-0.16134250164174091</v>
      </c>
    </row>
    <row r="1212" spans="1:6" x14ac:dyDescent="0.3">
      <c r="A1212" s="2">
        <v>42411</v>
      </c>
      <c r="B1212" s="1">
        <v>23.425000000000001</v>
      </c>
      <c r="C1212" s="1">
        <f>'Historical Simulation'!D1212</f>
        <v>101.91</v>
      </c>
      <c r="D1212" s="22">
        <f t="shared" si="65"/>
        <v>276.98149968545158</v>
      </c>
      <c r="E1212" s="23">
        <f t="shared" si="66"/>
        <v>3.2577448355601177</v>
      </c>
      <c r="F1212" s="23">
        <f t="shared" si="67"/>
        <v>-3.2577448355601177</v>
      </c>
    </row>
    <row r="1213" spans="1:6" x14ac:dyDescent="0.3">
      <c r="A1213" s="2">
        <v>42410</v>
      </c>
      <c r="B1213" s="1">
        <v>23.567499999999999</v>
      </c>
      <c r="C1213" s="1">
        <f>'Historical Simulation'!D1213</f>
        <v>101</v>
      </c>
      <c r="D1213" s="22">
        <f t="shared" si="65"/>
        <v>273.72375484989146</v>
      </c>
      <c r="E1213" s="23">
        <f t="shared" si="66"/>
        <v>5.1182437342694698</v>
      </c>
      <c r="F1213" s="23">
        <f t="shared" si="67"/>
        <v>-5.1182437342694698</v>
      </c>
    </row>
    <row r="1214" spans="1:6" x14ac:dyDescent="0.3">
      <c r="A1214" s="2">
        <v>42409</v>
      </c>
      <c r="B1214" s="1">
        <v>23.747499999999999</v>
      </c>
      <c r="C1214" s="1">
        <f>'Historical Simulation'!D1214</f>
        <v>99.54</v>
      </c>
      <c r="D1214" s="22">
        <f t="shared" si="65"/>
        <v>268.60551111562199</v>
      </c>
      <c r="E1214" s="23">
        <f t="shared" si="66"/>
        <v>-0.66728046678366582</v>
      </c>
      <c r="F1214" s="23">
        <f t="shared" si="67"/>
        <v>0.66728046678366582</v>
      </c>
    </row>
    <row r="1215" spans="1:6" x14ac:dyDescent="0.3">
      <c r="A1215" s="2">
        <v>42408</v>
      </c>
      <c r="B1215" s="1">
        <v>23.752500000000001</v>
      </c>
      <c r="C1215" s="1">
        <f>'Historical Simulation'!D1215</f>
        <v>99.75</v>
      </c>
      <c r="D1215" s="22">
        <f t="shared" si="65"/>
        <v>269.27279158240566</v>
      </c>
      <c r="E1215" s="23">
        <f t="shared" si="66"/>
        <v>-14.508431863582814</v>
      </c>
      <c r="F1215" s="23">
        <f t="shared" si="67"/>
        <v>14.508431863582814</v>
      </c>
    </row>
    <row r="1216" spans="1:6" x14ac:dyDescent="0.3">
      <c r="A1216" s="2">
        <v>42405</v>
      </c>
      <c r="B1216" s="1">
        <v>23.504999999999999</v>
      </c>
      <c r="C1216" s="1">
        <f>'Historical Simulation'!D1216</f>
        <v>104.07</v>
      </c>
      <c r="D1216" s="22">
        <f t="shared" si="65"/>
        <v>283.78122344598847</v>
      </c>
      <c r="E1216" s="23">
        <f t="shared" si="66"/>
        <v>-19.301925344759979</v>
      </c>
      <c r="F1216" s="23">
        <f t="shared" si="67"/>
        <v>19.301925344759979</v>
      </c>
    </row>
    <row r="1217" spans="1:6" x14ac:dyDescent="0.3">
      <c r="A1217" s="2">
        <v>42404</v>
      </c>
      <c r="B1217" s="1">
        <v>24.15</v>
      </c>
      <c r="C1217" s="1">
        <f>'Historical Simulation'!D1217</f>
        <v>110.49</v>
      </c>
      <c r="D1217" s="22">
        <f t="shared" si="65"/>
        <v>303.08314879074845</v>
      </c>
      <c r="E1217" s="23">
        <f t="shared" si="66"/>
        <v>-7.2468149077955104</v>
      </c>
      <c r="F1217" s="23">
        <f t="shared" si="67"/>
        <v>7.2468149077955104</v>
      </c>
    </row>
    <row r="1218" spans="1:6" x14ac:dyDescent="0.3">
      <c r="A1218" s="2">
        <v>42403</v>
      </c>
      <c r="B1218" s="1">
        <v>24.087499999999999</v>
      </c>
      <c r="C1218" s="1">
        <f>'Historical Simulation'!D1218</f>
        <v>112.69</v>
      </c>
      <c r="D1218" s="22">
        <f t="shared" si="65"/>
        <v>310.32996369854396</v>
      </c>
      <c r="E1218" s="23">
        <f t="shared" si="66"/>
        <v>-7.2456444607124695</v>
      </c>
      <c r="F1218" s="23">
        <f t="shared" si="67"/>
        <v>7.2456444607124695</v>
      </c>
    </row>
    <row r="1219" spans="1:6" x14ac:dyDescent="0.3">
      <c r="A1219" s="2">
        <v>42402</v>
      </c>
      <c r="B1219" s="1">
        <v>23.62</v>
      </c>
      <c r="C1219" s="1">
        <f>'Historical Simulation'!D1219</f>
        <v>114.61</v>
      </c>
      <c r="D1219" s="22">
        <f t="shared" si="65"/>
        <v>317.57560815925643</v>
      </c>
      <c r="E1219" s="23">
        <f t="shared" si="66"/>
        <v>-0.46327022682498864</v>
      </c>
      <c r="F1219" s="23">
        <f t="shared" si="67"/>
        <v>0.46327022682498864</v>
      </c>
    </row>
    <row r="1220" spans="1:6" x14ac:dyDescent="0.3">
      <c r="A1220" s="2">
        <v>42401</v>
      </c>
      <c r="B1220" s="1">
        <v>24.107500000000002</v>
      </c>
      <c r="C1220" s="1">
        <f>'Historical Simulation'!D1220</f>
        <v>115.09</v>
      </c>
      <c r="D1220" s="22">
        <f t="shared" si="65"/>
        <v>318.03887838608142</v>
      </c>
      <c r="E1220" s="23">
        <f t="shared" si="66"/>
        <v>9.8117026855136942</v>
      </c>
      <c r="F1220" s="23">
        <f t="shared" si="67"/>
        <v>-9.8117026855136942</v>
      </c>
    </row>
    <row r="1221" spans="1:6" x14ac:dyDescent="0.3">
      <c r="A1221" s="2">
        <v>42398</v>
      </c>
      <c r="B1221" s="1">
        <v>24.335000000000001</v>
      </c>
      <c r="C1221" s="1">
        <f>'Historical Simulation'!D1221</f>
        <v>112.21</v>
      </c>
      <c r="D1221" s="22">
        <f t="shared" si="65"/>
        <v>308.22717570056773</v>
      </c>
      <c r="E1221" s="23">
        <f t="shared" si="66"/>
        <v>8.2025808183789195</v>
      </c>
      <c r="F1221" s="23">
        <f t="shared" si="67"/>
        <v>-8.2025808183789195</v>
      </c>
    </row>
    <row r="1222" spans="1:6" x14ac:dyDescent="0.3">
      <c r="A1222" s="2">
        <v>42397</v>
      </c>
      <c r="B1222" s="1">
        <v>23.522500000000001</v>
      </c>
      <c r="C1222" s="1">
        <f>'Historical Simulation'!D1222</f>
        <v>109.11</v>
      </c>
      <c r="D1222" s="22">
        <f t="shared" ref="D1222:D1285" si="68">$M$16*B1222+(1-$M$16)*C1222</f>
        <v>300.02459488218881</v>
      </c>
      <c r="E1222" s="23">
        <f t="shared" ref="E1222:E1285" si="69">D1222-D1223</f>
        <v>46.987498365183257</v>
      </c>
      <c r="F1222" s="23">
        <f t="shared" ref="F1222:F1285" si="70">-E1222</f>
        <v>-46.987498365183257</v>
      </c>
    </row>
    <row r="1223" spans="1:6" x14ac:dyDescent="0.3">
      <c r="A1223" s="2">
        <v>42396</v>
      </c>
      <c r="B1223" s="1">
        <v>23.355</v>
      </c>
      <c r="C1223" s="1">
        <f>'Historical Simulation'!D1223</f>
        <v>94.45</v>
      </c>
      <c r="D1223" s="22">
        <f t="shared" si="68"/>
        <v>253.03709651700555</v>
      </c>
      <c r="E1223" s="23">
        <f t="shared" si="69"/>
        <v>-5.6727189381105347</v>
      </c>
      <c r="F1223" s="23">
        <f t="shared" si="70"/>
        <v>5.6727189381105347</v>
      </c>
    </row>
    <row r="1224" spans="1:6" x14ac:dyDescent="0.3">
      <c r="A1224" s="2">
        <v>42395</v>
      </c>
      <c r="B1224" s="1">
        <v>24.997499999999999</v>
      </c>
      <c r="C1224" s="1">
        <f>'Historical Simulation'!D1224</f>
        <v>97.34</v>
      </c>
      <c r="D1224" s="22">
        <f t="shared" si="68"/>
        <v>258.70981545511609</v>
      </c>
      <c r="E1224" s="23">
        <f t="shared" si="69"/>
        <v>0.75939751149206813</v>
      </c>
      <c r="F1224" s="23">
        <f t="shared" si="70"/>
        <v>-0.75939751149206813</v>
      </c>
    </row>
    <row r="1225" spans="1:6" x14ac:dyDescent="0.3">
      <c r="A1225" s="2">
        <v>42394</v>
      </c>
      <c r="B1225" s="1">
        <v>24.86</v>
      </c>
      <c r="C1225" s="1">
        <f>'Historical Simulation'!D1225</f>
        <v>97.01</v>
      </c>
      <c r="D1225" s="22">
        <f t="shared" si="68"/>
        <v>257.95041794362402</v>
      </c>
      <c r="E1225" s="23">
        <f t="shared" si="69"/>
        <v>-1.9003268441507544</v>
      </c>
      <c r="F1225" s="23">
        <f t="shared" si="70"/>
        <v>1.9003268441507544</v>
      </c>
    </row>
    <row r="1226" spans="1:6" x14ac:dyDescent="0.3">
      <c r="A1226" s="2">
        <v>42391</v>
      </c>
      <c r="B1226" s="1">
        <v>25.355</v>
      </c>
      <c r="C1226" s="1">
        <f>'Historical Simulation'!D1226</f>
        <v>97.94</v>
      </c>
      <c r="D1226" s="22">
        <f t="shared" si="68"/>
        <v>259.85074478777477</v>
      </c>
      <c r="E1226" s="23">
        <f t="shared" si="69"/>
        <v>9.3565910583376137</v>
      </c>
      <c r="F1226" s="23">
        <f t="shared" si="70"/>
        <v>-9.3565910583376137</v>
      </c>
    </row>
    <row r="1227" spans="1:6" x14ac:dyDescent="0.3">
      <c r="A1227" s="2">
        <v>42390</v>
      </c>
      <c r="B1227" s="1">
        <v>24.074999999999999</v>
      </c>
      <c r="C1227" s="1">
        <f>'Historical Simulation'!D1227</f>
        <v>94.16</v>
      </c>
      <c r="D1227" s="22">
        <f t="shared" si="68"/>
        <v>250.49415372943716</v>
      </c>
      <c r="E1227" s="23">
        <f t="shared" si="69"/>
        <v>-0.34056795857509314</v>
      </c>
      <c r="F1227" s="23">
        <f t="shared" si="70"/>
        <v>0.34056795857509314</v>
      </c>
    </row>
    <row r="1228" spans="1:6" x14ac:dyDescent="0.3">
      <c r="A1228" s="2">
        <v>42389</v>
      </c>
      <c r="B1228" s="1">
        <v>24.197500000000002</v>
      </c>
      <c r="C1228" s="1">
        <f>'Historical Simulation'!D1228</f>
        <v>94.35</v>
      </c>
      <c r="D1228" s="22">
        <f t="shared" si="68"/>
        <v>250.83472168801225</v>
      </c>
      <c r="E1228" s="23">
        <f t="shared" si="69"/>
        <v>-3.0123748289933303</v>
      </c>
      <c r="F1228" s="23">
        <f t="shared" si="70"/>
        <v>3.0123748289933303</v>
      </c>
    </row>
    <row r="1229" spans="1:6" x14ac:dyDescent="0.3">
      <c r="A1229" s="2">
        <v>42388</v>
      </c>
      <c r="B1229" s="1">
        <v>24.164999999999999</v>
      </c>
      <c r="C1229" s="1">
        <f>'Historical Simulation'!D1229</f>
        <v>95.26</v>
      </c>
      <c r="D1229" s="22">
        <f t="shared" si="68"/>
        <v>253.84709651700558</v>
      </c>
      <c r="E1229" s="23">
        <f t="shared" si="69"/>
        <v>1.1989843425090498</v>
      </c>
      <c r="F1229" s="23">
        <f t="shared" si="70"/>
        <v>-1.1989843425090498</v>
      </c>
    </row>
    <row r="1230" spans="1:6" x14ac:dyDescent="0.3">
      <c r="A1230" s="2">
        <v>42387</v>
      </c>
      <c r="B1230" s="1">
        <v>24.282499999999999</v>
      </c>
      <c r="C1230" s="1">
        <f>'Historical Simulation'!D1230</f>
        <v>94.97</v>
      </c>
      <c r="D1230" s="22">
        <f t="shared" si="68"/>
        <v>252.64811217449653</v>
      </c>
      <c r="E1230" s="23">
        <f t="shared" si="69"/>
        <v>0</v>
      </c>
      <c r="F1230" s="23">
        <f t="shared" si="70"/>
        <v>0</v>
      </c>
    </row>
    <row r="1231" spans="1:6" x14ac:dyDescent="0.3">
      <c r="A1231" s="2">
        <v>42384</v>
      </c>
      <c r="B1231" s="1">
        <v>24.282499999999999</v>
      </c>
      <c r="C1231" s="1">
        <f>'Historical Simulation'!D1231</f>
        <v>94.97</v>
      </c>
      <c r="D1231" s="22">
        <f t="shared" si="68"/>
        <v>252.64811217449653</v>
      </c>
      <c r="E1231" s="23">
        <f t="shared" si="69"/>
        <v>-9.6513585763964898</v>
      </c>
      <c r="F1231" s="23">
        <f t="shared" si="70"/>
        <v>9.6513585763964898</v>
      </c>
    </row>
    <row r="1232" spans="1:6" x14ac:dyDescent="0.3">
      <c r="A1232" s="2">
        <v>42383</v>
      </c>
      <c r="B1232" s="1">
        <v>24.88</v>
      </c>
      <c r="C1232" s="1">
        <f>'Historical Simulation'!D1232</f>
        <v>98.37</v>
      </c>
      <c r="D1232" s="22">
        <f t="shared" si="68"/>
        <v>262.29947075089302</v>
      </c>
      <c r="E1232" s="23">
        <f t="shared" si="69"/>
        <v>8.2779508249458331</v>
      </c>
      <c r="F1232" s="23">
        <f t="shared" si="70"/>
        <v>-8.2779508249458331</v>
      </c>
    </row>
    <row r="1233" spans="1:6" x14ac:dyDescent="0.3">
      <c r="A1233" s="2">
        <v>42382</v>
      </c>
      <c r="B1233" s="1">
        <v>24.3475</v>
      </c>
      <c r="C1233" s="1">
        <f>'Historical Simulation'!D1233</f>
        <v>95.44</v>
      </c>
      <c r="D1233" s="22">
        <f t="shared" si="68"/>
        <v>254.02151992594719</v>
      </c>
      <c r="E1233" s="23">
        <f t="shared" si="69"/>
        <v>-11.263217241714017</v>
      </c>
      <c r="F1233" s="23">
        <f t="shared" si="70"/>
        <v>11.263217241714017</v>
      </c>
    </row>
    <row r="1234" spans="1:6" x14ac:dyDescent="0.3">
      <c r="A1234" s="2">
        <v>42381</v>
      </c>
      <c r="B1234" s="1">
        <v>24.99</v>
      </c>
      <c r="C1234" s="1">
        <f>'Historical Simulation'!D1234</f>
        <v>99.37</v>
      </c>
      <c r="D1234" s="22">
        <f t="shared" si="68"/>
        <v>265.28473716766121</v>
      </c>
      <c r="E1234" s="23">
        <f t="shared" si="69"/>
        <v>5.211531226060913</v>
      </c>
      <c r="F1234" s="23">
        <f t="shared" si="70"/>
        <v>-5.211531226060913</v>
      </c>
    </row>
    <row r="1235" spans="1:6" x14ac:dyDescent="0.3">
      <c r="A1235" s="2">
        <v>42380</v>
      </c>
      <c r="B1235" s="1">
        <v>24.6325</v>
      </c>
      <c r="C1235" s="1">
        <f>'Historical Simulation'!D1235</f>
        <v>97.51</v>
      </c>
      <c r="D1235" s="22">
        <f t="shared" si="68"/>
        <v>260.07320594160029</v>
      </c>
      <c r="E1235" s="23">
        <f t="shared" si="69"/>
        <v>-0.29401023995865216</v>
      </c>
      <c r="F1235" s="23">
        <f t="shared" si="70"/>
        <v>0.29401023995865216</v>
      </c>
    </row>
    <row r="1236" spans="1:6" x14ac:dyDescent="0.3">
      <c r="A1236" s="2">
        <v>42377</v>
      </c>
      <c r="B1236" s="1">
        <v>24.24</v>
      </c>
      <c r="C1236" s="1">
        <f>'Historical Simulation'!D1236</f>
        <v>97.33</v>
      </c>
      <c r="D1236" s="22">
        <f t="shared" si="68"/>
        <v>260.36721618155894</v>
      </c>
      <c r="E1236" s="23">
        <f t="shared" si="69"/>
        <v>-2.1904816337429338</v>
      </c>
      <c r="F1236" s="23">
        <f t="shared" si="70"/>
        <v>2.1904816337429338</v>
      </c>
    </row>
    <row r="1237" spans="1:6" x14ac:dyDescent="0.3">
      <c r="A1237" s="2">
        <v>42376</v>
      </c>
      <c r="B1237" s="1">
        <v>24.112500000000001</v>
      </c>
      <c r="C1237" s="1">
        <f>'Historical Simulation'!D1237</f>
        <v>97.92</v>
      </c>
      <c r="D1237" s="22">
        <f t="shared" si="68"/>
        <v>262.55769781530188</v>
      </c>
      <c r="E1237" s="23">
        <f t="shared" si="69"/>
        <v>-13.944662738048521</v>
      </c>
      <c r="F1237" s="23">
        <f t="shared" si="70"/>
        <v>13.944662738048521</v>
      </c>
    </row>
    <row r="1238" spans="1:6" x14ac:dyDescent="0.3">
      <c r="A1238" s="2">
        <v>42375</v>
      </c>
      <c r="B1238" s="1">
        <v>25.175000000000001</v>
      </c>
      <c r="C1238" s="1">
        <f>'Historical Simulation'!D1238</f>
        <v>102.97</v>
      </c>
      <c r="D1238" s="22">
        <f t="shared" si="68"/>
        <v>276.5023605533504</v>
      </c>
      <c r="E1238" s="23">
        <f t="shared" si="69"/>
        <v>1.8962475443262861</v>
      </c>
      <c r="F1238" s="23">
        <f t="shared" si="70"/>
        <v>-1.8962475443262861</v>
      </c>
    </row>
    <row r="1239" spans="1:6" x14ac:dyDescent="0.3">
      <c r="A1239" s="2">
        <v>42374</v>
      </c>
      <c r="B1239" s="1">
        <v>25.677499999999998</v>
      </c>
      <c r="C1239" s="1">
        <f>'Historical Simulation'!D1239</f>
        <v>102.73</v>
      </c>
      <c r="D1239" s="22">
        <f t="shared" si="68"/>
        <v>274.60611300902411</v>
      </c>
      <c r="E1239" s="23">
        <f t="shared" si="69"/>
        <v>3.1198446153019859</v>
      </c>
      <c r="F1239" s="23">
        <f t="shared" si="70"/>
        <v>-3.1198446153019859</v>
      </c>
    </row>
    <row r="1240" spans="1:6" x14ac:dyDescent="0.3">
      <c r="A1240" s="2">
        <v>42373</v>
      </c>
      <c r="B1240" s="1">
        <v>26.337499999999999</v>
      </c>
      <c r="C1240" s="1">
        <f>'Historical Simulation'!D1240</f>
        <v>102.22</v>
      </c>
      <c r="D1240" s="22">
        <f t="shared" si="68"/>
        <v>271.48626839372213</v>
      </c>
      <c r="E1240" s="23">
        <f t="shared" si="69"/>
        <v>-7.9329421924625194</v>
      </c>
      <c r="F1240" s="23">
        <f t="shared" si="70"/>
        <v>7.9329421924625194</v>
      </c>
    </row>
    <row r="1241" spans="1:6" x14ac:dyDescent="0.3">
      <c r="A1241" s="2">
        <v>42370</v>
      </c>
      <c r="B1241" s="1">
        <v>26.315000000000001</v>
      </c>
      <c r="C1241" s="1">
        <f>'Historical Simulation'!D1241</f>
        <v>104.66</v>
      </c>
      <c r="D1241" s="22">
        <f t="shared" si="68"/>
        <v>279.41921058618465</v>
      </c>
      <c r="E1241" s="23">
        <f t="shared" si="69"/>
        <v>0</v>
      </c>
      <c r="F1241" s="23">
        <f t="shared" si="70"/>
        <v>0</v>
      </c>
    </row>
    <row r="1242" spans="1:6" x14ac:dyDescent="0.3">
      <c r="A1242" s="2">
        <v>42369</v>
      </c>
      <c r="B1242" s="1">
        <v>26.315000000000001</v>
      </c>
      <c r="C1242" s="1">
        <f>'Historical Simulation'!D1242</f>
        <v>104.66</v>
      </c>
      <c r="D1242" s="22">
        <f t="shared" si="68"/>
        <v>279.41921058618465</v>
      </c>
      <c r="E1242" s="23">
        <f t="shared" si="69"/>
        <v>-3.8910150623851223</v>
      </c>
      <c r="F1242" s="23">
        <f t="shared" si="70"/>
        <v>3.8910150623851223</v>
      </c>
    </row>
    <row r="1243" spans="1:6" x14ac:dyDescent="0.3">
      <c r="A1243" s="2">
        <v>42368</v>
      </c>
      <c r="B1243" s="1">
        <v>26.83</v>
      </c>
      <c r="C1243" s="1">
        <f>'Historical Simulation'!D1243</f>
        <v>106.22</v>
      </c>
      <c r="D1243" s="22">
        <f t="shared" si="68"/>
        <v>283.31022564856977</v>
      </c>
      <c r="E1243" s="23">
        <f t="shared" si="69"/>
        <v>-2.5679859499845747</v>
      </c>
      <c r="F1243" s="23">
        <f t="shared" si="70"/>
        <v>2.5679859499845747</v>
      </c>
    </row>
    <row r="1244" spans="1:6" x14ac:dyDescent="0.3">
      <c r="A1244" s="2">
        <v>42367</v>
      </c>
      <c r="B1244" s="1">
        <v>27.184999999999999</v>
      </c>
      <c r="C1244" s="1">
        <f>'Historical Simulation'!D1244</f>
        <v>107.26</v>
      </c>
      <c r="D1244" s="22">
        <f t="shared" si="68"/>
        <v>285.87821159855434</v>
      </c>
      <c r="E1244" s="23">
        <f t="shared" si="69"/>
        <v>3.2260409598347906</v>
      </c>
      <c r="F1244" s="23">
        <f t="shared" si="70"/>
        <v>-3.2260409598347906</v>
      </c>
    </row>
    <row r="1245" spans="1:6" x14ac:dyDescent="0.3">
      <c r="A1245" s="2">
        <v>42366</v>
      </c>
      <c r="B1245" s="1">
        <v>26.704999999999998</v>
      </c>
      <c r="C1245" s="1">
        <f>'Historical Simulation'!D1245</f>
        <v>105.93</v>
      </c>
      <c r="D1245" s="22">
        <f t="shared" si="68"/>
        <v>282.65217063871955</v>
      </c>
      <c r="E1245" s="23">
        <f t="shared" si="69"/>
        <v>3.6146466632937972</v>
      </c>
      <c r="F1245" s="23">
        <f t="shared" si="70"/>
        <v>-3.6146466632937972</v>
      </c>
    </row>
    <row r="1246" spans="1:6" x14ac:dyDescent="0.3">
      <c r="A1246" s="2">
        <v>42363</v>
      </c>
      <c r="B1246" s="1">
        <v>27.0075</v>
      </c>
      <c r="C1246" s="1">
        <f>'Historical Simulation'!D1246</f>
        <v>105.02</v>
      </c>
      <c r="D1246" s="22">
        <f t="shared" si="68"/>
        <v>279.03752397542576</v>
      </c>
      <c r="E1246" s="23">
        <f t="shared" si="69"/>
        <v>0</v>
      </c>
      <c r="F1246" s="23">
        <f t="shared" si="70"/>
        <v>0</v>
      </c>
    </row>
    <row r="1247" spans="1:6" x14ac:dyDescent="0.3">
      <c r="A1247" s="2">
        <v>42362</v>
      </c>
      <c r="B1247" s="1">
        <v>27.0075</v>
      </c>
      <c r="C1247" s="1">
        <f>'Historical Simulation'!D1247</f>
        <v>105.02</v>
      </c>
      <c r="D1247" s="22">
        <f t="shared" si="68"/>
        <v>279.03752397542576</v>
      </c>
      <c r="E1247" s="23">
        <f t="shared" si="69"/>
        <v>1.5833904864842339</v>
      </c>
      <c r="F1247" s="23">
        <f t="shared" si="70"/>
        <v>-1.5833904864842339</v>
      </c>
    </row>
    <row r="1248" spans="1:6" x14ac:dyDescent="0.3">
      <c r="A1248" s="2">
        <v>42361</v>
      </c>
      <c r="B1248" s="1">
        <v>27.1525</v>
      </c>
      <c r="C1248" s="1">
        <f>'Historical Simulation'!D1248</f>
        <v>104.63</v>
      </c>
      <c r="D1248" s="22">
        <f t="shared" si="68"/>
        <v>277.45413348894152</v>
      </c>
      <c r="E1248" s="23">
        <f t="shared" si="69"/>
        <v>-3.6125296185854268</v>
      </c>
      <c r="F1248" s="23">
        <f t="shared" si="70"/>
        <v>3.6125296185854268</v>
      </c>
    </row>
    <row r="1249" spans="1:6" x14ac:dyDescent="0.3">
      <c r="A1249" s="2">
        <v>42360</v>
      </c>
      <c r="B1249" s="1">
        <v>26.807500000000001</v>
      </c>
      <c r="C1249" s="1">
        <f>'Historical Simulation'!D1249</f>
        <v>105.51</v>
      </c>
      <c r="D1249" s="22">
        <f t="shared" si="68"/>
        <v>281.06666310752695</v>
      </c>
      <c r="E1249" s="23">
        <f t="shared" si="69"/>
        <v>2.4464368638513179</v>
      </c>
      <c r="F1249" s="23">
        <f t="shared" si="70"/>
        <v>-2.4464368638513179</v>
      </c>
    </row>
    <row r="1250" spans="1:6" x14ac:dyDescent="0.3">
      <c r="A1250" s="2">
        <v>42359</v>
      </c>
      <c r="B1250" s="1">
        <v>26.8325</v>
      </c>
      <c r="C1250" s="1">
        <f>'Historical Simulation'!D1250</f>
        <v>104.77</v>
      </c>
      <c r="D1250" s="22">
        <f t="shared" si="68"/>
        <v>278.62022624367563</v>
      </c>
      <c r="E1250" s="23">
        <f t="shared" si="69"/>
        <v>1.6334077514506475</v>
      </c>
      <c r="F1250" s="23">
        <f t="shared" si="70"/>
        <v>-1.6334077514506475</v>
      </c>
    </row>
    <row r="1251" spans="1:6" x14ac:dyDescent="0.3">
      <c r="A1251" s="2">
        <v>42356</v>
      </c>
      <c r="B1251" s="1">
        <v>26.5075</v>
      </c>
      <c r="C1251" s="1">
        <f>'Historical Simulation'!D1251</f>
        <v>104.04</v>
      </c>
      <c r="D1251" s="22">
        <f t="shared" si="68"/>
        <v>276.98681849222498</v>
      </c>
      <c r="E1251" s="23">
        <f t="shared" si="69"/>
        <v>-5.3976930406607266</v>
      </c>
      <c r="F1251" s="23">
        <f t="shared" si="70"/>
        <v>5.3976930406607266</v>
      </c>
    </row>
    <row r="1252" spans="1:6" x14ac:dyDescent="0.3">
      <c r="A1252" s="2">
        <v>42355</v>
      </c>
      <c r="B1252" s="1">
        <v>27.245000000000001</v>
      </c>
      <c r="C1252" s="1">
        <f>'Historical Simulation'!D1252</f>
        <v>106.22</v>
      </c>
      <c r="D1252" s="22">
        <f t="shared" si="68"/>
        <v>282.38451153288571</v>
      </c>
      <c r="E1252" s="23">
        <f t="shared" si="69"/>
        <v>-0.5253872715333614</v>
      </c>
      <c r="F1252" s="23">
        <f t="shared" si="70"/>
        <v>0.5253872715333614</v>
      </c>
    </row>
    <row r="1253" spans="1:6" x14ac:dyDescent="0.3">
      <c r="A1253" s="2">
        <v>42354</v>
      </c>
      <c r="B1253" s="1">
        <v>27.835000000000001</v>
      </c>
      <c r="C1253" s="1">
        <f>'Historical Simulation'!D1253</f>
        <v>106.79</v>
      </c>
      <c r="D1253" s="22">
        <f t="shared" si="68"/>
        <v>282.90989880441907</v>
      </c>
      <c r="E1253" s="23">
        <f t="shared" si="69"/>
        <v>6.7626153483118401</v>
      </c>
      <c r="F1253" s="23">
        <f t="shared" si="70"/>
        <v>-6.7626153483118401</v>
      </c>
    </row>
    <row r="1254" spans="1:6" x14ac:dyDescent="0.3">
      <c r="A1254" s="2">
        <v>42353</v>
      </c>
      <c r="B1254" s="1">
        <v>27.622499999999999</v>
      </c>
      <c r="C1254" s="1">
        <f>'Historical Simulation'!D1254</f>
        <v>104.55</v>
      </c>
      <c r="D1254" s="22">
        <f t="shared" si="68"/>
        <v>276.14728345610723</v>
      </c>
      <c r="E1254" s="23">
        <f t="shared" si="69"/>
        <v>0.75437161404232711</v>
      </c>
      <c r="F1254" s="23">
        <f t="shared" si="70"/>
        <v>-0.75437161404232711</v>
      </c>
    </row>
    <row r="1255" spans="1:6" x14ac:dyDescent="0.3">
      <c r="A1255" s="2">
        <v>42352</v>
      </c>
      <c r="B1255" s="1">
        <v>28.12</v>
      </c>
      <c r="C1255" s="1">
        <f>'Historical Simulation'!D1255</f>
        <v>104.66</v>
      </c>
      <c r="D1255" s="22">
        <f t="shared" si="68"/>
        <v>275.3929118420649</v>
      </c>
      <c r="E1255" s="23">
        <f t="shared" si="69"/>
        <v>8.5961778893546921</v>
      </c>
      <c r="F1255" s="23">
        <f t="shared" si="70"/>
        <v>-8.5961778893546921</v>
      </c>
    </row>
    <row r="1256" spans="1:6" x14ac:dyDescent="0.3">
      <c r="A1256" s="2">
        <v>42349</v>
      </c>
      <c r="B1256" s="1">
        <v>28.295000000000002</v>
      </c>
      <c r="C1256" s="1">
        <f>'Historical Simulation'!D1256</f>
        <v>102.12</v>
      </c>
      <c r="D1256" s="22">
        <f t="shared" si="68"/>
        <v>266.79673395271021</v>
      </c>
      <c r="E1256" s="23">
        <f t="shared" si="69"/>
        <v>-8.993699470562774</v>
      </c>
      <c r="F1256" s="23">
        <f t="shared" si="70"/>
        <v>8.993699470562774</v>
      </c>
    </row>
    <row r="1257" spans="1:6" x14ac:dyDescent="0.3">
      <c r="A1257" s="2">
        <v>42348</v>
      </c>
      <c r="B1257" s="1">
        <v>29.0425</v>
      </c>
      <c r="C1257" s="1">
        <f>'Historical Simulation'!D1257</f>
        <v>105.42</v>
      </c>
      <c r="D1257" s="22">
        <f t="shared" si="68"/>
        <v>275.79043342327299</v>
      </c>
      <c r="E1257" s="23">
        <f t="shared" si="69"/>
        <v>2.3424093589262043</v>
      </c>
      <c r="F1257" s="23">
        <f t="shared" si="70"/>
        <v>-2.3424093589262043</v>
      </c>
    </row>
    <row r="1258" spans="1:6" x14ac:dyDescent="0.3">
      <c r="A1258" s="2">
        <v>42347</v>
      </c>
      <c r="B1258" s="1">
        <v>28.905000000000001</v>
      </c>
      <c r="C1258" s="1">
        <f>'Historical Simulation'!D1258</f>
        <v>104.6</v>
      </c>
      <c r="D1258" s="22">
        <f t="shared" si="68"/>
        <v>273.44802406434678</v>
      </c>
      <c r="E1258" s="23">
        <f t="shared" si="69"/>
        <v>-4.6504125738771336</v>
      </c>
      <c r="F1258" s="23">
        <f t="shared" si="70"/>
        <v>4.6504125738771336</v>
      </c>
    </row>
    <row r="1259" spans="1:6" x14ac:dyDescent="0.3">
      <c r="A1259" s="2">
        <v>42346</v>
      </c>
      <c r="B1259" s="1">
        <v>29.557500000000001</v>
      </c>
      <c r="C1259" s="1">
        <f>'Historical Simulation'!D1259</f>
        <v>106.49</v>
      </c>
      <c r="D1259" s="22">
        <f t="shared" si="68"/>
        <v>278.09843663822392</v>
      </c>
      <c r="E1259" s="23">
        <f t="shared" si="69"/>
        <v>2.8708430078265224</v>
      </c>
      <c r="F1259" s="23">
        <f t="shared" si="70"/>
        <v>-2.8708430078265224</v>
      </c>
    </row>
    <row r="1260" spans="1:6" x14ac:dyDescent="0.3">
      <c r="A1260" s="2">
        <v>42345</v>
      </c>
      <c r="B1260" s="1">
        <v>29.57</v>
      </c>
      <c r="C1260" s="1">
        <f>'Historical Simulation'!D1260</f>
        <v>105.61</v>
      </c>
      <c r="D1260" s="22">
        <f t="shared" si="68"/>
        <v>275.22759363039739</v>
      </c>
      <c r="E1260" s="23">
        <f t="shared" si="69"/>
        <v>-1.4232184319257044</v>
      </c>
      <c r="F1260" s="23">
        <f t="shared" si="70"/>
        <v>1.4232184319257044</v>
      </c>
    </row>
    <row r="1261" spans="1:6" x14ac:dyDescent="0.3">
      <c r="A1261" s="2">
        <v>42342</v>
      </c>
      <c r="B1261" s="1">
        <v>29.7575</v>
      </c>
      <c r="C1261" s="1">
        <f>'Historical Simulation'!D1261</f>
        <v>106.18</v>
      </c>
      <c r="D1261" s="22">
        <f t="shared" si="68"/>
        <v>276.6508120623231</v>
      </c>
      <c r="E1261" s="23">
        <f t="shared" si="69"/>
        <v>3.6793111866598451</v>
      </c>
      <c r="F1261" s="23">
        <f t="shared" si="70"/>
        <v>-3.6793111866598451</v>
      </c>
    </row>
    <row r="1262" spans="1:6" x14ac:dyDescent="0.3">
      <c r="A1262" s="2">
        <v>42341</v>
      </c>
      <c r="B1262" s="1">
        <v>28.8</v>
      </c>
      <c r="C1262" s="1">
        <f>'Historical Simulation'!D1262</f>
        <v>104.38</v>
      </c>
      <c r="D1262" s="22">
        <f t="shared" si="68"/>
        <v>272.97150087566325</v>
      </c>
      <c r="E1262" s="23">
        <f t="shared" si="69"/>
        <v>-4.8575037211357994</v>
      </c>
      <c r="F1262" s="23">
        <f t="shared" si="70"/>
        <v>4.8575037211357994</v>
      </c>
    </row>
    <row r="1263" spans="1:6" x14ac:dyDescent="0.3">
      <c r="A1263" s="2">
        <v>42340</v>
      </c>
      <c r="B1263" s="1">
        <v>29.07</v>
      </c>
      <c r="C1263" s="1">
        <f>'Historical Simulation'!D1263</f>
        <v>106.07</v>
      </c>
      <c r="D1263" s="22">
        <f t="shared" si="68"/>
        <v>277.82900459679905</v>
      </c>
      <c r="E1263" s="23">
        <f t="shared" si="69"/>
        <v>-2.8010495923180088</v>
      </c>
      <c r="F1263" s="23">
        <f t="shared" si="70"/>
        <v>2.8010495923180088</v>
      </c>
    </row>
    <row r="1264" spans="1:6" x14ac:dyDescent="0.3">
      <c r="A1264" s="2">
        <v>42339</v>
      </c>
      <c r="B1264" s="1">
        <v>29.335000000000001</v>
      </c>
      <c r="C1264" s="1">
        <f>'Historical Simulation'!D1264</f>
        <v>107.12</v>
      </c>
      <c r="D1264" s="22">
        <f t="shared" si="68"/>
        <v>280.63005418911706</v>
      </c>
      <c r="E1264" s="23">
        <f t="shared" si="69"/>
        <v>9.8395856408054101</v>
      </c>
      <c r="F1264" s="23">
        <f t="shared" si="70"/>
        <v>-9.8395856408054101</v>
      </c>
    </row>
    <row r="1265" spans="1:6" x14ac:dyDescent="0.3">
      <c r="A1265" s="2">
        <v>42338</v>
      </c>
      <c r="B1265" s="1">
        <v>29.574999999999999</v>
      </c>
      <c r="C1265" s="1">
        <f>'Historical Simulation'!D1265</f>
        <v>104.24</v>
      </c>
      <c r="D1265" s="22">
        <f t="shared" si="68"/>
        <v>270.79046854831165</v>
      </c>
      <c r="E1265" s="23">
        <f t="shared" si="69"/>
        <v>-4.1823230340939972</v>
      </c>
      <c r="F1265" s="23">
        <f t="shared" si="70"/>
        <v>4.1823230340939972</v>
      </c>
    </row>
    <row r="1266" spans="1:6" x14ac:dyDescent="0.3">
      <c r="A1266" s="2">
        <v>42335</v>
      </c>
      <c r="B1266" s="1">
        <v>29.452500000000001</v>
      </c>
      <c r="C1266" s="1">
        <f>'Historical Simulation'!D1266</f>
        <v>105.45</v>
      </c>
      <c r="D1266" s="22">
        <f t="shared" si="68"/>
        <v>274.97279158240565</v>
      </c>
      <c r="E1266" s="23">
        <f t="shared" si="69"/>
        <v>0.25191046021683405</v>
      </c>
      <c r="F1266" s="23">
        <f t="shared" si="70"/>
        <v>-0.25191046021683405</v>
      </c>
    </row>
    <row r="1267" spans="1:6" x14ac:dyDescent="0.3">
      <c r="A1267" s="2">
        <v>42334</v>
      </c>
      <c r="B1267" s="1">
        <v>29.5075</v>
      </c>
      <c r="C1267" s="1">
        <f>'Historical Simulation'!D1267</f>
        <v>105.41</v>
      </c>
      <c r="D1267" s="22">
        <f t="shared" si="68"/>
        <v>274.72088112218881</v>
      </c>
      <c r="E1267" s="23">
        <f t="shared" si="69"/>
        <v>0</v>
      </c>
      <c r="F1267" s="23">
        <f t="shared" si="70"/>
        <v>0</v>
      </c>
    </row>
    <row r="1268" spans="1:6" x14ac:dyDescent="0.3">
      <c r="A1268" s="2">
        <v>42333</v>
      </c>
      <c r="B1268" s="1">
        <v>29.5075</v>
      </c>
      <c r="C1268" s="1">
        <f>'Historical Simulation'!D1268</f>
        <v>105.41</v>
      </c>
      <c r="D1268" s="22">
        <f t="shared" si="68"/>
        <v>274.72088112218881</v>
      </c>
      <c r="E1268" s="23">
        <f t="shared" si="69"/>
        <v>-0.59209977974182948</v>
      </c>
      <c r="F1268" s="23">
        <f t="shared" si="70"/>
        <v>0.59209977974182948</v>
      </c>
    </row>
    <row r="1269" spans="1:6" x14ac:dyDescent="0.3">
      <c r="A1269" s="2">
        <v>42332</v>
      </c>
      <c r="B1269" s="1">
        <v>29.72</v>
      </c>
      <c r="C1269" s="1">
        <f>'Historical Simulation'!D1269</f>
        <v>105.74</v>
      </c>
      <c r="D1269" s="22">
        <f t="shared" si="68"/>
        <v>275.31298090193064</v>
      </c>
      <c r="E1269" s="23">
        <f t="shared" si="69"/>
        <v>-4.5392248618276199</v>
      </c>
      <c r="F1269" s="23">
        <f t="shared" si="70"/>
        <v>4.5392248618276199</v>
      </c>
    </row>
    <row r="1270" spans="1:6" x14ac:dyDescent="0.3">
      <c r="A1270" s="2">
        <v>42331</v>
      </c>
      <c r="B1270" s="1">
        <v>29.4375</v>
      </c>
      <c r="C1270" s="1">
        <f>'Historical Simulation'!D1270</f>
        <v>106.95</v>
      </c>
      <c r="D1270" s="22">
        <f t="shared" si="68"/>
        <v>279.85220576375826</v>
      </c>
      <c r="E1270" s="23">
        <f t="shared" si="69"/>
        <v>-0.33096386259160226</v>
      </c>
      <c r="F1270" s="23">
        <f t="shared" si="70"/>
        <v>0.33096386259160226</v>
      </c>
    </row>
    <row r="1271" spans="1:6" x14ac:dyDescent="0.3">
      <c r="A1271" s="2">
        <v>42328</v>
      </c>
      <c r="B1271" s="1">
        <v>29.824999999999999</v>
      </c>
      <c r="C1271" s="1">
        <f>'Historical Simulation'!D1271</f>
        <v>107.32</v>
      </c>
      <c r="D1271" s="22">
        <f t="shared" si="68"/>
        <v>280.18316962634987</v>
      </c>
      <c r="E1271" s="23">
        <f t="shared" si="69"/>
        <v>3.1344918737015632</v>
      </c>
      <c r="F1271" s="23">
        <f t="shared" si="70"/>
        <v>-3.1344918737015632</v>
      </c>
    </row>
    <row r="1272" spans="1:6" x14ac:dyDescent="0.3">
      <c r="A1272" s="2">
        <v>42327</v>
      </c>
      <c r="B1272" s="1">
        <v>29.695</v>
      </c>
      <c r="C1272" s="1">
        <f>'Historical Simulation'!D1272</f>
        <v>106.26</v>
      </c>
      <c r="D1272" s="22">
        <f t="shared" si="68"/>
        <v>277.0486777526483</v>
      </c>
      <c r="E1272" s="23">
        <f t="shared" si="69"/>
        <v>-5.7091730669281446</v>
      </c>
      <c r="F1272" s="23">
        <f t="shared" si="70"/>
        <v>5.7091730669281446</v>
      </c>
    </row>
    <row r="1273" spans="1:6" x14ac:dyDescent="0.3">
      <c r="A1273" s="2">
        <v>42326</v>
      </c>
      <c r="B1273" s="1">
        <v>29.322500000000002</v>
      </c>
      <c r="C1273" s="1">
        <f>'Historical Simulation'!D1273</f>
        <v>107.77</v>
      </c>
      <c r="D1273" s="22">
        <f t="shared" si="68"/>
        <v>282.75785081957645</v>
      </c>
      <c r="E1273" s="23">
        <f t="shared" si="69"/>
        <v>6.5213073766029765</v>
      </c>
      <c r="F1273" s="23">
        <f t="shared" si="70"/>
        <v>-6.5213073766029765</v>
      </c>
    </row>
    <row r="1274" spans="1:6" x14ac:dyDescent="0.3">
      <c r="A1274" s="2">
        <v>42325</v>
      </c>
      <c r="B1274" s="1">
        <v>28.422499999999999</v>
      </c>
      <c r="C1274" s="1">
        <f>'Historical Simulation'!D1274</f>
        <v>105.13</v>
      </c>
      <c r="D1274" s="22">
        <f t="shared" si="68"/>
        <v>276.23654344297347</v>
      </c>
      <c r="E1274" s="23">
        <f t="shared" si="69"/>
        <v>3.7917468359433428</v>
      </c>
      <c r="F1274" s="23">
        <f t="shared" si="70"/>
        <v>-3.7917468359433428</v>
      </c>
    </row>
    <row r="1275" spans="1:6" x14ac:dyDescent="0.3">
      <c r="A1275" s="2">
        <v>42324</v>
      </c>
      <c r="B1275" s="1">
        <v>28.543700000000001</v>
      </c>
      <c r="C1275" s="1">
        <f>'Historical Simulation'!D1275</f>
        <v>104.04</v>
      </c>
      <c r="D1275" s="22">
        <f t="shared" si="68"/>
        <v>272.44479660703013</v>
      </c>
      <c r="E1275" s="23">
        <f t="shared" si="69"/>
        <v>-0.73243564928361593</v>
      </c>
      <c r="F1275" s="23">
        <f t="shared" si="70"/>
        <v>0.73243564928361593</v>
      </c>
    </row>
    <row r="1276" spans="1:6" x14ac:dyDescent="0.3">
      <c r="A1276" s="2">
        <v>42321</v>
      </c>
      <c r="B1276" s="1">
        <v>28.085000000000001</v>
      </c>
      <c r="C1276" s="1">
        <f>'Historical Simulation'!D1276</f>
        <v>103.95</v>
      </c>
      <c r="D1276" s="22">
        <f t="shared" si="68"/>
        <v>273.17723225631374</v>
      </c>
      <c r="E1276" s="23">
        <f t="shared" si="69"/>
        <v>-11.263802465255537</v>
      </c>
      <c r="F1276" s="23">
        <f t="shared" si="70"/>
        <v>11.263802465255537</v>
      </c>
    </row>
    <row r="1277" spans="1:6" x14ac:dyDescent="0.3">
      <c r="A1277" s="2">
        <v>42320</v>
      </c>
      <c r="B1277" s="1">
        <v>28.93</v>
      </c>
      <c r="C1277" s="1">
        <f>'Historical Simulation'!D1277</f>
        <v>108.02</v>
      </c>
      <c r="D1277" s="22">
        <f t="shared" si="68"/>
        <v>284.44103472156928</v>
      </c>
      <c r="E1277" s="23">
        <f t="shared" si="69"/>
        <v>-2.980843007826536</v>
      </c>
      <c r="F1277" s="23">
        <f t="shared" si="70"/>
        <v>2.980843007826536</v>
      </c>
    </row>
    <row r="1278" spans="1:6" x14ac:dyDescent="0.3">
      <c r="A1278" s="2">
        <v>42319</v>
      </c>
      <c r="B1278" s="1">
        <v>29.0275</v>
      </c>
      <c r="C1278" s="1">
        <f>'Historical Simulation'!D1278</f>
        <v>109.01</v>
      </c>
      <c r="D1278" s="22">
        <f t="shared" si="68"/>
        <v>287.42187772939582</v>
      </c>
      <c r="E1278" s="23">
        <f t="shared" si="69"/>
        <v>3.9217550755188881</v>
      </c>
      <c r="F1278" s="23">
        <f t="shared" si="70"/>
        <v>-3.9217550755188881</v>
      </c>
    </row>
    <row r="1279" spans="1:6" x14ac:dyDescent="0.3">
      <c r="A1279" s="2">
        <v>42318</v>
      </c>
      <c r="B1279" s="1">
        <v>29.192499999999999</v>
      </c>
      <c r="C1279" s="1">
        <f>'Historical Simulation'!D1279</f>
        <v>107.91</v>
      </c>
      <c r="D1279" s="22">
        <f t="shared" si="68"/>
        <v>283.50012265387693</v>
      </c>
      <c r="E1279" s="23">
        <f t="shared" si="69"/>
        <v>6.7066083233040104</v>
      </c>
      <c r="F1279" s="23">
        <f t="shared" si="70"/>
        <v>-6.7066083233040104</v>
      </c>
    </row>
    <row r="1280" spans="1:6" x14ac:dyDescent="0.3">
      <c r="A1280" s="2">
        <v>42317</v>
      </c>
      <c r="B1280" s="1">
        <v>30.142499999999998</v>
      </c>
      <c r="C1280" s="1">
        <f>'Historical Simulation'!D1280</f>
        <v>106.49</v>
      </c>
      <c r="D1280" s="22">
        <f t="shared" si="68"/>
        <v>276.79351433057292</v>
      </c>
      <c r="E1280" s="23">
        <f t="shared" si="69"/>
        <v>-1.6812820742591725</v>
      </c>
      <c r="F1280" s="23">
        <f t="shared" si="70"/>
        <v>1.6812820742591725</v>
      </c>
    </row>
    <row r="1281" spans="1:6" x14ac:dyDescent="0.3">
      <c r="A1281" s="2">
        <v>42314</v>
      </c>
      <c r="B1281" s="1">
        <v>30.265000000000001</v>
      </c>
      <c r="C1281" s="1">
        <f>'Historical Simulation'!D1281</f>
        <v>107.095</v>
      </c>
      <c r="D1281" s="22">
        <f t="shared" si="68"/>
        <v>278.47479640483209</v>
      </c>
      <c r="E1281" s="23">
        <f t="shared" si="69"/>
        <v>-5.4570819196695766</v>
      </c>
      <c r="F1281" s="23">
        <f t="shared" si="70"/>
        <v>5.4570819196695766</v>
      </c>
    </row>
    <row r="1282" spans="1:6" x14ac:dyDescent="0.3">
      <c r="A1282" s="2">
        <v>42313</v>
      </c>
      <c r="B1282" s="1">
        <v>30.23</v>
      </c>
      <c r="C1282" s="1">
        <f>'Historical Simulation'!D1282</f>
        <v>108.76</v>
      </c>
      <c r="D1282" s="22">
        <f t="shared" si="68"/>
        <v>283.93187832450167</v>
      </c>
      <c r="E1282" s="23">
        <f t="shared" si="69"/>
        <v>16.173939394775402</v>
      </c>
      <c r="F1282" s="23">
        <f t="shared" si="70"/>
        <v>-16.173939394775402</v>
      </c>
    </row>
    <row r="1283" spans="1:6" x14ac:dyDescent="0.3">
      <c r="A1283" s="2">
        <v>42312</v>
      </c>
      <c r="B1283" s="1">
        <v>30.5</v>
      </c>
      <c r="C1283" s="1">
        <f>'Historical Simulation'!D1283</f>
        <v>103.94</v>
      </c>
      <c r="D1283" s="22">
        <f t="shared" si="68"/>
        <v>267.75793892972627</v>
      </c>
      <c r="E1283" s="23">
        <f t="shared" si="69"/>
        <v>4.7115312260609699</v>
      </c>
      <c r="F1283" s="23">
        <f t="shared" si="70"/>
        <v>-4.7115312260609699</v>
      </c>
    </row>
    <row r="1284" spans="1:6" x14ac:dyDescent="0.3">
      <c r="A1284" s="2">
        <v>42311</v>
      </c>
      <c r="B1284" s="1">
        <v>30.642499999999998</v>
      </c>
      <c r="C1284" s="1">
        <f>'Historical Simulation'!D1284</f>
        <v>102.58</v>
      </c>
      <c r="D1284" s="22">
        <f t="shared" si="68"/>
        <v>263.0464077036653</v>
      </c>
      <c r="E1284" s="23">
        <f t="shared" si="69"/>
        <v>-3.1335107461435427</v>
      </c>
      <c r="F1284" s="23">
        <f t="shared" si="70"/>
        <v>3.1335107461435427</v>
      </c>
    </row>
    <row r="1285" spans="1:6" x14ac:dyDescent="0.3">
      <c r="A1285" s="2">
        <v>42310</v>
      </c>
      <c r="B1285" s="1">
        <v>30.295000000000002</v>
      </c>
      <c r="C1285" s="1">
        <f>'Historical Simulation'!D1285</f>
        <v>103.31</v>
      </c>
      <c r="D1285" s="22">
        <f t="shared" si="68"/>
        <v>266.17991844980884</v>
      </c>
      <c r="E1285" s="23">
        <f t="shared" si="69"/>
        <v>3.3921855094682769</v>
      </c>
      <c r="F1285" s="23">
        <f t="shared" si="70"/>
        <v>-3.3921855094682769</v>
      </c>
    </row>
    <row r="1286" spans="1:6" x14ac:dyDescent="0.3">
      <c r="A1286" s="2">
        <v>42307</v>
      </c>
      <c r="B1286" s="1">
        <v>29.875</v>
      </c>
      <c r="C1286" s="1">
        <f>'Historical Simulation'!D1286</f>
        <v>101.97</v>
      </c>
      <c r="D1286" s="22">
        <f t="shared" ref="D1286:D1304" si="71">$M$16*B1286+(1-$M$16)*C1286</f>
        <v>262.78773294034056</v>
      </c>
      <c r="E1286" s="23">
        <f t="shared" ref="E1286:E1303" si="72">D1286-D1287</f>
        <v>-8.8267631128962307</v>
      </c>
      <c r="F1286" s="23">
        <f t="shared" ref="F1286:F1303" si="73">-E1286</f>
        <v>8.8267631128962307</v>
      </c>
    </row>
    <row r="1287" spans="1:6" x14ac:dyDescent="0.3">
      <c r="A1287" s="2">
        <v>42306</v>
      </c>
      <c r="B1287" s="1">
        <v>30.1325</v>
      </c>
      <c r="C1287" s="1">
        <f>'Historical Simulation'!D1287</f>
        <v>104.88</v>
      </c>
      <c r="D1287" s="22">
        <f t="shared" si="71"/>
        <v>271.61449605323679</v>
      </c>
      <c r="E1287" s="23">
        <f t="shared" si="72"/>
        <v>1.4941822945172589</v>
      </c>
      <c r="F1287" s="23">
        <f t="shared" si="73"/>
        <v>-1.4941822945172589</v>
      </c>
    </row>
    <row r="1288" spans="1:6" x14ac:dyDescent="0.3">
      <c r="A1288" s="2">
        <v>42305</v>
      </c>
      <c r="B1288" s="1">
        <v>29.817499999999999</v>
      </c>
      <c r="C1288" s="1">
        <f>'Historical Simulation'!D1288</f>
        <v>104.2</v>
      </c>
      <c r="D1288" s="22">
        <f t="shared" si="71"/>
        <v>270.12031375871953</v>
      </c>
      <c r="E1288" s="23">
        <f t="shared" si="72"/>
        <v>-1.0168327678678679</v>
      </c>
      <c r="F1288" s="23">
        <f t="shared" si="73"/>
        <v>1.0168327678678679</v>
      </c>
    </row>
    <row r="1289" spans="1:6" x14ac:dyDescent="0.3">
      <c r="A1289" s="2">
        <v>42304</v>
      </c>
      <c r="B1289" s="1">
        <v>28.637499999999999</v>
      </c>
      <c r="C1289" s="1">
        <f>'Historical Simulation'!D1289</f>
        <v>103.7</v>
      </c>
      <c r="D1289" s="22">
        <f t="shared" si="71"/>
        <v>271.1371465265874</v>
      </c>
      <c r="E1289" s="23">
        <f t="shared" si="72"/>
        <v>0.18094659762522269</v>
      </c>
      <c r="F1289" s="23">
        <f t="shared" si="73"/>
        <v>-0.18094659762522269</v>
      </c>
    </row>
    <row r="1290" spans="1:6" x14ac:dyDescent="0.3">
      <c r="A1290" s="2">
        <v>42303</v>
      </c>
      <c r="B1290" s="1">
        <v>28.82</v>
      </c>
      <c r="C1290" s="1">
        <f>'Historical Simulation'!D1290</f>
        <v>103.77</v>
      </c>
      <c r="D1290" s="22">
        <f t="shared" si="71"/>
        <v>270.95619992896218</v>
      </c>
      <c r="E1290" s="23">
        <f t="shared" si="72"/>
        <v>7.2235101510377149</v>
      </c>
      <c r="F1290" s="23">
        <f t="shared" si="73"/>
        <v>-7.2235101510377149</v>
      </c>
    </row>
    <row r="1291" spans="1:6" x14ac:dyDescent="0.3">
      <c r="A1291" s="2">
        <v>42300</v>
      </c>
      <c r="B1291" s="1">
        <v>29.77</v>
      </c>
      <c r="C1291" s="1">
        <f>'Historical Simulation'!D1291</f>
        <v>102.19</v>
      </c>
      <c r="D1291" s="22">
        <f t="shared" si="71"/>
        <v>263.73268977792446</v>
      </c>
      <c r="E1291" s="23">
        <f t="shared" si="72"/>
        <v>6.1447841879194129</v>
      </c>
      <c r="F1291" s="23">
        <f t="shared" si="73"/>
        <v>-6.1447841879194129</v>
      </c>
    </row>
    <row r="1292" spans="1:6" x14ac:dyDescent="0.3">
      <c r="A1292" s="2">
        <v>42299</v>
      </c>
      <c r="B1292" s="1">
        <v>28.875</v>
      </c>
      <c r="C1292" s="1">
        <f>'Historical Simulation'!D1292</f>
        <v>99.67</v>
      </c>
      <c r="D1292" s="22">
        <f t="shared" si="71"/>
        <v>257.58790559000505</v>
      </c>
      <c r="E1292" s="23">
        <f t="shared" si="72"/>
        <v>7.30010239958699</v>
      </c>
      <c r="F1292" s="23">
        <f t="shared" si="73"/>
        <v>-7.30010239958699</v>
      </c>
    </row>
    <row r="1293" spans="1:6" x14ac:dyDescent="0.3">
      <c r="A1293" s="2">
        <v>42298</v>
      </c>
      <c r="B1293" s="1">
        <v>28.44</v>
      </c>
      <c r="C1293" s="1">
        <f>'Historical Simulation'!D1293</f>
        <v>97.11</v>
      </c>
      <c r="D1293" s="22">
        <f t="shared" si="71"/>
        <v>250.28780319041806</v>
      </c>
      <c r="E1293" s="23">
        <f t="shared" si="72"/>
        <v>0.36094659762522951</v>
      </c>
      <c r="F1293" s="23">
        <f t="shared" si="73"/>
        <v>-0.36094659762522951</v>
      </c>
    </row>
    <row r="1294" spans="1:6" x14ac:dyDescent="0.3">
      <c r="A1294" s="2">
        <v>42297</v>
      </c>
      <c r="B1294" s="1">
        <v>28.442499999999999</v>
      </c>
      <c r="C1294" s="1">
        <f>'Historical Simulation'!D1294</f>
        <v>97</v>
      </c>
      <c r="D1294" s="22">
        <f t="shared" si="71"/>
        <v>249.92685659279283</v>
      </c>
      <c r="E1294" s="23">
        <f t="shared" si="72"/>
        <v>-5.8866601182033946</v>
      </c>
      <c r="F1294" s="23">
        <f t="shared" si="73"/>
        <v>5.8866601182033946</v>
      </c>
    </row>
    <row r="1295" spans="1:6" x14ac:dyDescent="0.3">
      <c r="A1295" s="2">
        <v>42296</v>
      </c>
      <c r="B1295" s="1">
        <v>27.932500000000001</v>
      </c>
      <c r="C1295" s="1">
        <f>'Historical Simulation'!D1295</f>
        <v>98.47</v>
      </c>
      <c r="D1295" s="22">
        <f t="shared" si="71"/>
        <v>255.81351671099623</v>
      </c>
      <c r="E1295" s="23">
        <f t="shared" si="72"/>
        <v>2.6197070906762576</v>
      </c>
      <c r="F1295" s="23">
        <f t="shared" si="73"/>
        <v>-2.6197070906762576</v>
      </c>
    </row>
    <row r="1296" spans="1:6" x14ac:dyDescent="0.3">
      <c r="A1296" s="2">
        <v>42293</v>
      </c>
      <c r="B1296" s="1">
        <v>27.76</v>
      </c>
      <c r="C1296" s="1">
        <f>'Historical Simulation'!D1296</f>
        <v>97.54</v>
      </c>
      <c r="D1296" s="22">
        <f t="shared" si="71"/>
        <v>253.19380962031997</v>
      </c>
      <c r="E1296" s="23">
        <f t="shared" si="72"/>
        <v>5.5616860156530947</v>
      </c>
      <c r="F1296" s="23">
        <f t="shared" si="73"/>
        <v>-5.5616860156530947</v>
      </c>
    </row>
    <row r="1297" spans="1:6" x14ac:dyDescent="0.3">
      <c r="A1297" s="2">
        <v>42292</v>
      </c>
      <c r="B1297" s="1">
        <v>27.965</v>
      </c>
      <c r="C1297" s="1">
        <f>'Historical Simulation'!D1297</f>
        <v>95.96</v>
      </c>
      <c r="D1297" s="22">
        <f t="shared" si="71"/>
        <v>247.63212360466687</v>
      </c>
      <c r="E1297" s="23">
        <f t="shared" si="72"/>
        <v>5.1857653154775676</v>
      </c>
      <c r="F1297" s="23">
        <f t="shared" si="73"/>
        <v>-5.1857653154775676</v>
      </c>
    </row>
    <row r="1298" spans="1:6" x14ac:dyDescent="0.3">
      <c r="A1298" s="2">
        <v>42291</v>
      </c>
      <c r="B1298" s="1">
        <v>27.552499999999998</v>
      </c>
      <c r="C1298" s="1">
        <f>'Historical Simulation'!D1298</f>
        <v>94.07</v>
      </c>
      <c r="D1298" s="22">
        <f t="shared" si="71"/>
        <v>242.44635828918931</v>
      </c>
      <c r="E1298" s="23">
        <f t="shared" si="72"/>
        <v>0.71956956605052369</v>
      </c>
      <c r="F1298" s="23">
        <f t="shared" si="73"/>
        <v>-0.71956956605052369</v>
      </c>
    </row>
    <row r="1299" spans="1:6" x14ac:dyDescent="0.3">
      <c r="A1299" s="2">
        <v>42290</v>
      </c>
      <c r="B1299" s="1">
        <v>27.947500000000002</v>
      </c>
      <c r="C1299" s="1">
        <f>'Historical Simulation'!D1299</f>
        <v>94.12</v>
      </c>
      <c r="D1299" s="22">
        <f t="shared" si="71"/>
        <v>241.72678872313878</v>
      </c>
      <c r="E1299" s="23">
        <f t="shared" si="72"/>
        <v>-0.5582443293753272</v>
      </c>
      <c r="F1299" s="23">
        <f t="shared" si="73"/>
        <v>0.5582443293753272</v>
      </c>
    </row>
    <row r="1300" spans="1:6" x14ac:dyDescent="0.3">
      <c r="A1300" s="2">
        <v>42289</v>
      </c>
      <c r="B1300" s="1">
        <v>27.9</v>
      </c>
      <c r="C1300" s="1">
        <f>'Historical Simulation'!D1300</f>
        <v>94.26</v>
      </c>
      <c r="D1300" s="22">
        <f t="shared" si="71"/>
        <v>242.28503305251411</v>
      </c>
      <c r="E1300" s="23">
        <f t="shared" si="72"/>
        <v>3.585231886835345</v>
      </c>
      <c r="F1300" s="23">
        <f t="shared" si="73"/>
        <v>-3.585231886835345</v>
      </c>
    </row>
    <row r="1301" spans="1:6" x14ac:dyDescent="0.3">
      <c r="A1301" s="2">
        <v>42286</v>
      </c>
      <c r="B1301" s="1">
        <v>28.03</v>
      </c>
      <c r="C1301" s="1">
        <f>'Historical Simulation'!D1301</f>
        <v>93.24</v>
      </c>
      <c r="D1301" s="22">
        <f t="shared" si="71"/>
        <v>238.69980116567876</v>
      </c>
      <c r="E1301" s="23">
        <f t="shared" si="72"/>
        <v>1.0265231886835124</v>
      </c>
      <c r="F1301" s="23">
        <f t="shared" si="73"/>
        <v>-1.0265231886835124</v>
      </c>
    </row>
    <row r="1302" spans="1:6" x14ac:dyDescent="0.3">
      <c r="A1302" s="2">
        <v>42285</v>
      </c>
      <c r="B1302" s="1">
        <v>27.375</v>
      </c>
      <c r="C1302" s="1">
        <f>'Historical Simulation'!D1302</f>
        <v>92.47</v>
      </c>
      <c r="D1302" s="22">
        <f t="shared" si="71"/>
        <v>237.67327797699525</v>
      </c>
      <c r="E1302" s="23">
        <f t="shared" si="72"/>
        <v>0.93994820510064869</v>
      </c>
      <c r="F1302" s="23">
        <f t="shared" si="73"/>
        <v>-0.93994820510064869</v>
      </c>
    </row>
    <row r="1303" spans="1:6" x14ac:dyDescent="0.3">
      <c r="A1303" s="2">
        <v>42284</v>
      </c>
      <c r="B1303" s="1">
        <v>27.695</v>
      </c>
      <c r="C1303" s="1">
        <f>'Historical Simulation'!D1303</f>
        <v>92.4</v>
      </c>
      <c r="D1303" s="22">
        <f t="shared" si="71"/>
        <v>236.7333297718946</v>
      </c>
      <c r="E1303" s="23">
        <f t="shared" si="72"/>
        <v>-0.99669524324207259</v>
      </c>
      <c r="F1303" s="23">
        <f t="shared" si="73"/>
        <v>0.99669524324207259</v>
      </c>
    </row>
    <row r="1304" spans="1:6" x14ac:dyDescent="0.3">
      <c r="A1304" s="2"/>
      <c r="B1304" s="1">
        <v>27.827500000000001</v>
      </c>
      <c r="C1304" s="1">
        <f>'Historical Simulation'!D1304</f>
        <v>92.8</v>
      </c>
      <c r="D1304" s="22">
        <f t="shared" si="71"/>
        <v>237.73002501513668</v>
      </c>
    </row>
  </sheetData>
  <mergeCells count="2">
    <mergeCell ref="H3:R3"/>
    <mergeCell ref="H6:I6"/>
  </mergeCells>
  <dataValidations count="1">
    <dataValidation allowBlank="1" showErrorMessage="1" promptTitle="TRAFO" prompt="$A$1:$D$1310" sqref="A1" xr:uid="{88AB7D82-3C60-4A32-9B1E-EB8FAE7981E5}"/>
  </dataValidations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480-00FB-4D5E-8AAF-308D25FF84C4}">
  <dimension ref="A1:AC1304"/>
  <sheetViews>
    <sheetView tabSelected="1" topLeftCell="G1" zoomScale="85" zoomScaleNormal="85" workbookViewId="0">
      <selection activeCell="J20" sqref="J20"/>
    </sheetView>
  </sheetViews>
  <sheetFormatPr defaultColWidth="8.77734375" defaultRowHeight="14.4" x14ac:dyDescent="0.3"/>
  <cols>
    <col min="1" max="4" width="18.6640625" style="1" customWidth="1"/>
    <col min="5" max="5" width="28.6640625" customWidth="1"/>
    <col min="6" max="6" width="18.33203125" style="1" customWidth="1"/>
    <col min="7" max="7" width="14" style="1" bestFit="1" customWidth="1"/>
    <col min="9" max="9" width="18.109375" bestFit="1" customWidth="1"/>
    <col min="10" max="10" width="13.6640625" customWidth="1"/>
    <col min="11" max="12" width="10.77734375" bestFit="1" customWidth="1"/>
    <col min="14" max="14" width="9.88671875" bestFit="1" customWidth="1"/>
    <col min="16" max="16" width="18" bestFit="1" customWidth="1"/>
    <col min="21" max="21" width="17.5546875" customWidth="1"/>
    <col min="22" max="22" width="24.33203125" bestFit="1" customWidth="1"/>
  </cols>
  <sheetData>
    <row r="1" spans="1:29" x14ac:dyDescent="0.3">
      <c r="A1" s="1" t="e">
        <f ca="1">_xll.Thomson.Reuters.AFOSpreadsheetFormulas.DSGRID("@AAPL,@AMZN,@FB"," ","-5Y","","D","RowHeader=true;ColHeader=true;Heading=true;LatestFirstValue=true;DispSeriesDescription=false;YearlyTSFormat=false;QuarterlyTSFormat=false","")</f>
        <v>#NAME?</v>
      </c>
      <c r="B1" s="2">
        <v>42283</v>
      </c>
    </row>
    <row r="2" spans="1:29" x14ac:dyDescent="0.3">
      <c r="A2" s="1" t="s">
        <v>0</v>
      </c>
      <c r="B2" s="2">
        <v>44110</v>
      </c>
    </row>
    <row r="3" spans="1:29" x14ac:dyDescent="0.3">
      <c r="A3" s="1" t="s">
        <v>1</v>
      </c>
      <c r="B3" s="1" t="s">
        <v>2</v>
      </c>
      <c r="E3" s="1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29" x14ac:dyDescent="0.3">
      <c r="A4" s="10" t="s">
        <v>3</v>
      </c>
      <c r="B4" s="10" t="s">
        <v>4</v>
      </c>
      <c r="C4" s="10" t="s">
        <v>5</v>
      </c>
      <c r="D4" s="10" t="s">
        <v>6</v>
      </c>
      <c r="E4" s="10" t="s">
        <v>18</v>
      </c>
      <c r="F4" s="10" t="s">
        <v>19</v>
      </c>
      <c r="G4" s="10" t="s">
        <v>20</v>
      </c>
      <c r="J4" s="35">
        <f>AVERAGE(E5:E1303)</f>
        <v>1.0798906897984005E-3</v>
      </c>
      <c r="M4">
        <v>1</v>
      </c>
      <c r="P4" s="48" t="s">
        <v>25</v>
      </c>
      <c r="Q4" s="48" t="s">
        <v>26</v>
      </c>
      <c r="R4" s="48" t="s">
        <v>17</v>
      </c>
    </row>
    <row r="5" spans="1:29" x14ac:dyDescent="0.3">
      <c r="A5" s="2">
        <v>44110</v>
      </c>
      <c r="B5" s="1">
        <v>113.16</v>
      </c>
      <c r="C5" s="1">
        <v>3099.96</v>
      </c>
      <c r="D5" s="1">
        <v>258.65989999999999</v>
      </c>
      <c r="E5" s="1">
        <f>LN(B5/B6)</f>
        <v>-2.9088526572388838E-2</v>
      </c>
      <c r="F5" s="1">
        <f t="shared" ref="F5:G5" si="0">LN(C5/C6)</f>
        <v>-3.1511570368424655E-2</v>
      </c>
      <c r="G5" s="1">
        <f t="shared" si="0"/>
        <v>-2.2893749067256237E-2</v>
      </c>
      <c r="I5" s="7" t="s">
        <v>22</v>
      </c>
      <c r="J5" s="35">
        <f>AVERAGE(F5:F1303)</f>
        <v>1.3489245089738104E-3</v>
      </c>
      <c r="K5" s="7"/>
      <c r="L5" s="7" t="s">
        <v>24</v>
      </c>
      <c r="M5" s="37">
        <v>1</v>
      </c>
      <c r="N5" s="7"/>
      <c r="O5" s="7"/>
      <c r="P5" s="39">
        <f>B5*$J$13+C5*$J$14+D5*$J$15</f>
        <v>1246.7293386550082</v>
      </c>
      <c r="Q5" s="26">
        <f>P5-P6</f>
        <v>-39.298450880385872</v>
      </c>
      <c r="R5" s="26">
        <f>-Q5</f>
        <v>39.298450880385872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3">
      <c r="A6" s="2">
        <v>44109</v>
      </c>
      <c r="B6" s="1">
        <v>116.5</v>
      </c>
      <c r="C6" s="1">
        <v>3199.2</v>
      </c>
      <c r="D6" s="1">
        <v>264.6499</v>
      </c>
      <c r="E6" s="1">
        <f t="shared" ref="E6:E69" si="1">LN(B6/B7)</f>
        <v>3.0326478804057942E-2</v>
      </c>
      <c r="F6" s="1">
        <f t="shared" ref="F6:F69" si="2">LN(C6/C7)</f>
        <v>2.346649536210672E-2</v>
      </c>
      <c r="G6" s="1">
        <f t="shared" ref="G6:G69" si="3">LN(D6/D7)</f>
        <v>1.7957369997171464E-2</v>
      </c>
      <c r="I6" s="34"/>
      <c r="J6" s="36">
        <f>AVERAGE(G5:G1303)</f>
        <v>7.8912042462430049E-4</v>
      </c>
      <c r="M6">
        <v>1</v>
      </c>
      <c r="P6" s="39">
        <f t="shared" ref="P6:P69" si="4">B6*$J$13+C6*$J$14+D6*$J$15</f>
        <v>1286.027789535394</v>
      </c>
      <c r="Q6" s="26">
        <f t="shared" ref="Q6:Q69" si="5">P6-P7</f>
        <v>29.840070671815965</v>
      </c>
      <c r="R6" s="26">
        <f t="shared" ref="R6:R69" si="6">-Q6</f>
        <v>-29.840070671815965</v>
      </c>
    </row>
    <row r="7" spans="1:29" x14ac:dyDescent="0.3">
      <c r="A7" s="2">
        <v>44106</v>
      </c>
      <c r="B7" s="1">
        <v>113.02</v>
      </c>
      <c r="C7" s="1">
        <v>3125</v>
      </c>
      <c r="D7" s="1">
        <v>259.93990000000002</v>
      </c>
      <c r="E7" s="1">
        <f t="shared" si="1"/>
        <v>-3.2812656088776926E-2</v>
      </c>
      <c r="F7" s="1">
        <f t="shared" si="2"/>
        <v>-3.0338304176198167E-2</v>
      </c>
      <c r="G7" s="1">
        <f t="shared" si="3"/>
        <v>-2.5411104044980166E-2</v>
      </c>
      <c r="J7" s="7"/>
      <c r="P7" s="39">
        <f t="shared" si="4"/>
        <v>1256.1877188635781</v>
      </c>
      <c r="Q7" s="26">
        <f t="shared" si="5"/>
        <v>-38.528777534960454</v>
      </c>
      <c r="R7" s="26">
        <f t="shared" si="6"/>
        <v>38.528777534960454</v>
      </c>
    </row>
    <row r="8" spans="1:29" x14ac:dyDescent="0.3">
      <c r="A8" s="2">
        <v>44105</v>
      </c>
      <c r="B8" s="1">
        <v>116.79</v>
      </c>
      <c r="C8" s="1">
        <v>3221.26</v>
      </c>
      <c r="D8" s="1">
        <v>266.62990000000002</v>
      </c>
      <c r="E8" s="1">
        <f t="shared" si="1"/>
        <v>8.4265330941876888E-3</v>
      </c>
      <c r="F8" s="1">
        <f t="shared" si="2"/>
        <v>2.2773390426928015E-2</v>
      </c>
      <c r="G8" s="1">
        <f t="shared" si="3"/>
        <v>1.7899184805716801E-2</v>
      </c>
      <c r="J8" s="7"/>
      <c r="P8" s="39">
        <f t="shared" si="4"/>
        <v>1294.7164963985385</v>
      </c>
      <c r="Q8" s="26">
        <f t="shared" si="5"/>
        <v>28.192429635688313</v>
      </c>
      <c r="R8" s="26">
        <f t="shared" si="6"/>
        <v>-28.192429635688313</v>
      </c>
      <c r="T8" s="57" t="s">
        <v>27</v>
      </c>
      <c r="U8" s="57"/>
    </row>
    <row r="9" spans="1:29" x14ac:dyDescent="0.3">
      <c r="A9" s="2">
        <v>44104</v>
      </c>
      <c r="B9" s="1">
        <v>115.81</v>
      </c>
      <c r="C9" s="1">
        <v>3148.73</v>
      </c>
      <c r="D9" s="1">
        <v>261.8999</v>
      </c>
      <c r="E9" s="1">
        <f t="shared" si="1"/>
        <v>1.4963306588008254E-2</v>
      </c>
      <c r="F9" s="1">
        <f t="shared" si="2"/>
        <v>1.2234633160437428E-3</v>
      </c>
      <c r="G9" s="1">
        <f t="shared" si="3"/>
        <v>4.1971403921796071E-4</v>
      </c>
      <c r="I9" t="s">
        <v>21</v>
      </c>
      <c r="J9" s="33">
        <f>_xlfn.COVARIANCE.S($E$5:$E$1303,E5:E1303)</f>
        <v>3.4286250090142948E-4</v>
      </c>
      <c r="K9" s="33">
        <f>_xlfn.COVARIANCE.S($E$5:$E$1303,F5:F1303)</f>
        <v>2.0102478286735556E-4</v>
      </c>
      <c r="L9" s="33">
        <f t="shared" ref="L9" si="7">_xlfn.COVARIANCE.S($E$5:$E$1303,G5:G1303)</f>
        <v>2.1213091647944124E-4</v>
      </c>
      <c r="P9" s="39">
        <f t="shared" si="4"/>
        <v>1266.5240667628502</v>
      </c>
      <c r="Q9" s="26">
        <f t="shared" si="5"/>
        <v>2.1569767107218922</v>
      </c>
      <c r="R9" s="26">
        <f t="shared" si="6"/>
        <v>-2.1569767107218922</v>
      </c>
      <c r="T9">
        <v>0</v>
      </c>
      <c r="U9" s="41">
        <f>COUNTIF($R:$R,"&gt;"&amp;T9)/COUNT(R:R)</f>
        <v>0.42449922958397535</v>
      </c>
    </row>
    <row r="10" spans="1:29" x14ac:dyDescent="0.3">
      <c r="A10" s="2">
        <v>44103</v>
      </c>
      <c r="B10" s="1">
        <v>114.09</v>
      </c>
      <c r="C10" s="1">
        <v>3144.88</v>
      </c>
      <c r="D10" s="1">
        <v>261.79000000000002</v>
      </c>
      <c r="E10" s="1">
        <f t="shared" si="1"/>
        <v>-7.5966311624914452E-3</v>
      </c>
      <c r="F10" s="1">
        <f t="shared" si="2"/>
        <v>-9.2326413516179689E-3</v>
      </c>
      <c r="G10" s="1">
        <f t="shared" si="3"/>
        <v>1.916681586842487E-2</v>
      </c>
      <c r="J10" s="33">
        <f>_xlfn.COVARIANCE.S($F$5:$F$1303,E5:E1303)</f>
        <v>2.0102478286735556E-4</v>
      </c>
      <c r="K10" s="33">
        <f>_xlfn.COVARIANCE.S($F$5:$F$1303,F5:F1303)</f>
        <v>3.4787892304649382E-4</v>
      </c>
      <c r="L10" s="33">
        <f>_xlfn.COVARIANCE.S($F$5:$F$1303,G5:G1303)</f>
        <v>2.3327103156587579E-4</v>
      </c>
      <c r="P10" s="39">
        <f t="shared" si="4"/>
        <v>1264.3670900521283</v>
      </c>
      <c r="Q10" s="26">
        <f t="shared" si="5"/>
        <v>-10.046256849222118</v>
      </c>
      <c r="R10" s="26">
        <f t="shared" si="6"/>
        <v>10.046256849222118</v>
      </c>
      <c r="T10">
        <v>1</v>
      </c>
      <c r="U10" s="41">
        <f t="shared" ref="U10:U73" si="8">COUNTIF($R:$R,"&gt;"&amp;T10)/COUNT(R:R)</f>
        <v>0.36979969183359013</v>
      </c>
    </row>
    <row r="11" spans="1:29" x14ac:dyDescent="0.3">
      <c r="A11" s="2">
        <v>44102</v>
      </c>
      <c r="B11" s="1">
        <v>114.96</v>
      </c>
      <c r="C11" s="1">
        <v>3174.05</v>
      </c>
      <c r="D11" s="1">
        <v>256.82010000000002</v>
      </c>
      <c r="E11" s="1">
        <f t="shared" si="1"/>
        <v>2.358849027708761E-2</v>
      </c>
      <c r="F11" s="1">
        <f t="shared" si="2"/>
        <v>2.5178466487742825E-2</v>
      </c>
      <c r="G11" s="1">
        <f t="shared" si="3"/>
        <v>7.8184262275917404E-3</v>
      </c>
      <c r="J11" s="33">
        <f t="shared" ref="J11:K11" si="9">_xlfn.COVARIANCE.S($G$5:$G$1303,E5:E1303)</f>
        <v>2.1213091647944124E-4</v>
      </c>
      <c r="K11" s="33">
        <f t="shared" si="9"/>
        <v>2.3327103156587579E-4</v>
      </c>
      <c r="L11" s="33">
        <f>_xlfn.COVARIANCE.S($G$5:$G$1303,G5:G1303)</f>
        <v>4.0716687723686126E-4</v>
      </c>
      <c r="P11" s="39">
        <f t="shared" si="4"/>
        <v>1274.4133469013505</v>
      </c>
      <c r="Q11" s="26">
        <f t="shared" si="5"/>
        <v>30.662883321083427</v>
      </c>
      <c r="R11" s="26">
        <f t="shared" si="6"/>
        <v>-30.662883321083427</v>
      </c>
      <c r="T11">
        <v>2</v>
      </c>
      <c r="U11" s="41">
        <f t="shared" si="8"/>
        <v>0.29815100154083207</v>
      </c>
    </row>
    <row r="12" spans="1:29" x14ac:dyDescent="0.3">
      <c r="A12" s="2">
        <v>44099</v>
      </c>
      <c r="B12" s="1">
        <v>112.28</v>
      </c>
      <c r="C12" s="1">
        <v>3095.13</v>
      </c>
      <c r="D12" s="1">
        <v>254.82</v>
      </c>
      <c r="E12" s="1">
        <f t="shared" si="1"/>
        <v>3.6829559279092587E-2</v>
      </c>
      <c r="F12" s="1">
        <f t="shared" si="2"/>
        <v>2.4642615940298155E-2</v>
      </c>
      <c r="G12" s="1">
        <f t="shared" si="3"/>
        <v>2.0978265109006675E-2</v>
      </c>
      <c r="J12" s="7"/>
      <c r="P12" s="39">
        <f t="shared" si="4"/>
        <v>1243.750463580267</v>
      </c>
      <c r="Q12" s="26">
        <f t="shared" si="5"/>
        <v>30.626693526930694</v>
      </c>
      <c r="R12" s="26">
        <f t="shared" si="6"/>
        <v>-30.626693526930694</v>
      </c>
      <c r="T12">
        <v>3</v>
      </c>
      <c r="U12" s="41">
        <f t="shared" si="8"/>
        <v>0.24961479198767333</v>
      </c>
    </row>
    <row r="13" spans="1:29" x14ac:dyDescent="0.3">
      <c r="A13" s="2">
        <v>44098</v>
      </c>
      <c r="B13" s="1">
        <v>108.22</v>
      </c>
      <c r="C13" s="1">
        <v>3019.79</v>
      </c>
      <c r="D13" s="1">
        <v>249.53</v>
      </c>
      <c r="E13" s="1">
        <f t="shared" si="1"/>
        <v>1.0216490831672094E-2</v>
      </c>
      <c r="F13" s="1">
        <f t="shared" si="2"/>
        <v>6.6216716326476929E-3</v>
      </c>
      <c r="G13" s="1">
        <f t="shared" si="3"/>
        <v>2.0459339199614826E-3</v>
      </c>
      <c r="I13" s="25" t="s">
        <v>23</v>
      </c>
      <c r="J13" s="38" cm="1">
        <f t="array" ref="J13:J15">MMULT(MINVERSE(J9:L11),M4:M6)/(MMULT(MMULT(TRANSPOSE(M4:M6),MINVERSE(J9:L11)),M4:M6))</f>
        <v>0.41431856227878083</v>
      </c>
      <c r="P13" s="39">
        <f t="shared" si="4"/>
        <v>1213.1237700533363</v>
      </c>
      <c r="Q13" s="26">
        <f t="shared" si="5"/>
        <v>7.919833391612201</v>
      </c>
      <c r="R13" s="26">
        <f t="shared" si="6"/>
        <v>-7.919833391612201</v>
      </c>
      <c r="T13">
        <v>4</v>
      </c>
      <c r="U13" s="41">
        <f t="shared" si="8"/>
        <v>0.21186440677966101</v>
      </c>
    </row>
    <row r="14" spans="1:29" x14ac:dyDescent="0.3">
      <c r="A14" s="2">
        <v>44097</v>
      </c>
      <c r="B14" s="1">
        <v>107.12</v>
      </c>
      <c r="C14" s="1">
        <v>2999.86</v>
      </c>
      <c r="D14" s="1">
        <v>249.02</v>
      </c>
      <c r="E14" s="1">
        <f t="shared" si="1"/>
        <v>-4.2851300776359645E-2</v>
      </c>
      <c r="F14" s="1">
        <f t="shared" si="2"/>
        <v>-4.2144647859881659E-2</v>
      </c>
      <c r="G14" s="1">
        <f t="shared" si="3"/>
        <v>-2.2749457578567733E-2</v>
      </c>
      <c r="I14" s="25"/>
      <c r="J14" s="38">
        <v>0.36896938413324049</v>
      </c>
      <c r="P14" s="39">
        <f t="shared" si="4"/>
        <v>1205.2039366617241</v>
      </c>
      <c r="Q14" s="26">
        <f t="shared" si="5"/>
        <v>-50.829930697272175</v>
      </c>
      <c r="R14" s="26">
        <f t="shared" si="6"/>
        <v>50.829930697272175</v>
      </c>
      <c r="T14">
        <v>5</v>
      </c>
      <c r="U14" s="41">
        <f t="shared" si="8"/>
        <v>0.18104776579352849</v>
      </c>
      <c r="X14" s="26"/>
    </row>
    <row r="15" spans="1:29" x14ac:dyDescent="0.3">
      <c r="A15" s="2">
        <v>44096</v>
      </c>
      <c r="B15" s="1">
        <v>111.81</v>
      </c>
      <c r="C15" s="1">
        <v>3128.99</v>
      </c>
      <c r="D15" s="1">
        <v>254.75</v>
      </c>
      <c r="E15" s="1">
        <f t="shared" si="1"/>
        <v>1.5593627974243187E-2</v>
      </c>
      <c r="F15" s="1">
        <f t="shared" si="2"/>
        <v>5.5362229257460004E-2</v>
      </c>
      <c r="G15" s="1">
        <f t="shared" si="3"/>
        <v>2.6249270069384375E-2</v>
      </c>
      <c r="I15" s="25"/>
      <c r="J15" s="38">
        <v>0.21671205358797871</v>
      </c>
      <c r="P15" s="39">
        <f t="shared" si="4"/>
        <v>1256.0338673589963</v>
      </c>
      <c r="Q15" s="26">
        <f t="shared" si="5"/>
        <v>64.325791280556814</v>
      </c>
      <c r="R15" s="26">
        <f t="shared" si="6"/>
        <v>-64.325791280556814</v>
      </c>
      <c r="T15">
        <v>6</v>
      </c>
      <c r="U15" s="41">
        <f t="shared" si="8"/>
        <v>0.15793528505392912</v>
      </c>
    </row>
    <row r="16" spans="1:29" x14ac:dyDescent="0.3">
      <c r="A16" s="2">
        <v>44095</v>
      </c>
      <c r="B16" s="1">
        <v>110.08</v>
      </c>
      <c r="C16" s="1">
        <v>2960.47</v>
      </c>
      <c r="D16" s="1">
        <v>248.15</v>
      </c>
      <c r="E16" s="1">
        <f t="shared" si="1"/>
        <v>2.9874985943273268E-2</v>
      </c>
      <c r="F16" s="1">
        <f t="shared" si="2"/>
        <v>1.8798459734918509E-3</v>
      </c>
      <c r="G16" s="1">
        <f t="shared" si="3"/>
        <v>-1.7496651505580205E-2</v>
      </c>
      <c r="J16" s="7"/>
      <c r="N16" s="28"/>
      <c r="P16" s="39">
        <f t="shared" si="4"/>
        <v>1191.7080760784395</v>
      </c>
      <c r="Q16" s="26">
        <f t="shared" si="5"/>
        <v>2.444663122848624</v>
      </c>
      <c r="R16" s="26">
        <f t="shared" si="6"/>
        <v>-2.444663122848624</v>
      </c>
      <c r="T16">
        <v>7</v>
      </c>
      <c r="U16" s="41">
        <f t="shared" si="8"/>
        <v>0.13944530046224962</v>
      </c>
    </row>
    <row r="17" spans="1:25" x14ac:dyDescent="0.3">
      <c r="A17" s="2">
        <v>44092</v>
      </c>
      <c r="B17" s="1">
        <v>106.84</v>
      </c>
      <c r="C17" s="1">
        <v>2954.91</v>
      </c>
      <c r="D17" s="1">
        <v>252.53</v>
      </c>
      <c r="E17" s="1">
        <f t="shared" si="1"/>
        <v>-3.2234119602524557E-2</v>
      </c>
      <c r="F17" s="1">
        <f t="shared" si="2"/>
        <v>-1.8049869272830928E-2</v>
      </c>
      <c r="G17" s="1">
        <f t="shared" si="3"/>
        <v>-9.0273600142046738E-3</v>
      </c>
      <c r="J17" s="7"/>
      <c r="N17" s="29"/>
      <c r="P17" s="39">
        <f t="shared" si="4"/>
        <v>1189.2634129555909</v>
      </c>
      <c r="Q17" s="26">
        <f t="shared" si="5"/>
        <v>-21.804317824743293</v>
      </c>
      <c r="R17" s="26">
        <f t="shared" si="6"/>
        <v>21.804317824743293</v>
      </c>
      <c r="T17">
        <v>8</v>
      </c>
      <c r="U17" s="41">
        <f t="shared" si="8"/>
        <v>0.1271186440677966</v>
      </c>
    </row>
    <row r="18" spans="1:25" x14ac:dyDescent="0.3">
      <c r="A18" s="2">
        <v>44091</v>
      </c>
      <c r="B18" s="1">
        <v>110.34</v>
      </c>
      <c r="C18" s="1">
        <v>3008.73</v>
      </c>
      <c r="D18" s="1">
        <v>254.82</v>
      </c>
      <c r="E18" s="1">
        <f t="shared" si="1"/>
        <v>-1.6092404628504513E-2</v>
      </c>
      <c r="F18" s="1">
        <f t="shared" si="2"/>
        <v>-2.2794460703642067E-2</v>
      </c>
      <c r="G18" s="1">
        <f t="shared" si="3"/>
        <v>-3.3571852876095369E-2</v>
      </c>
      <c r="I18" s="30"/>
      <c r="J18" s="7"/>
      <c r="P18" s="39">
        <f t="shared" si="4"/>
        <v>1211.0677307803342</v>
      </c>
      <c r="Q18" s="26">
        <f t="shared" si="5"/>
        <v>-28.222431270017296</v>
      </c>
      <c r="R18" s="26">
        <f t="shared" si="6"/>
        <v>28.222431270017296</v>
      </c>
      <c r="T18">
        <v>9</v>
      </c>
      <c r="U18" s="41">
        <f t="shared" si="8"/>
        <v>0.12018489984591679</v>
      </c>
    </row>
    <row r="19" spans="1:25" x14ac:dyDescent="0.3">
      <c r="A19" s="2">
        <v>44090</v>
      </c>
      <c r="B19" s="1">
        <v>112.13</v>
      </c>
      <c r="C19" s="1">
        <v>3078.1</v>
      </c>
      <c r="D19" s="1">
        <v>263.52</v>
      </c>
      <c r="E19" s="1">
        <f t="shared" si="1"/>
        <v>-2.9957877880330188E-2</v>
      </c>
      <c r="F19" s="1">
        <f t="shared" si="2"/>
        <v>-2.5034069998858526E-2</v>
      </c>
      <c r="G19" s="1">
        <f t="shared" si="3"/>
        <v>-3.3215359509554315E-2</v>
      </c>
      <c r="I19" s="30"/>
      <c r="J19" s="7"/>
      <c r="P19" s="39">
        <f t="shared" si="4"/>
        <v>1239.2901620503515</v>
      </c>
      <c r="Q19" s="26">
        <f t="shared" si="5"/>
        <v>-32.13222294701518</v>
      </c>
      <c r="R19" s="26">
        <f t="shared" si="6"/>
        <v>32.13222294701518</v>
      </c>
      <c r="T19">
        <v>10</v>
      </c>
      <c r="U19" s="41">
        <f t="shared" si="8"/>
        <v>0.10785824345146379</v>
      </c>
    </row>
    <row r="20" spans="1:25" x14ac:dyDescent="0.3">
      <c r="A20" s="2">
        <v>44089</v>
      </c>
      <c r="B20" s="1">
        <v>115.54</v>
      </c>
      <c r="C20" s="1">
        <v>3156.13</v>
      </c>
      <c r="D20" s="1">
        <v>272.41989999999998</v>
      </c>
      <c r="E20" s="1">
        <f t="shared" si="1"/>
        <v>1.6024603355476621E-3</v>
      </c>
      <c r="F20" s="1">
        <f t="shared" si="2"/>
        <v>1.6986876160439368E-2</v>
      </c>
      <c r="G20" s="1">
        <f t="shared" si="3"/>
        <v>2.3284942048161599E-2</v>
      </c>
      <c r="I20" s="30" t="s">
        <v>43</v>
      </c>
      <c r="J20" s="63">
        <f>J13*'Historical Simulation'!AC5+'Punto 5'!J14*'Historical Simulation'!AD5+'Punto 5'!J15*'Historical Simulation'!AE5</f>
        <v>1.1161425110823649E-3</v>
      </c>
      <c r="K20" s="31"/>
      <c r="P20" s="39">
        <f t="shared" si="4"/>
        <v>1271.4223849973666</v>
      </c>
      <c r="Q20" s="26">
        <f t="shared" si="5"/>
        <v>21.049845970541583</v>
      </c>
      <c r="R20" s="26">
        <f t="shared" si="6"/>
        <v>-21.049845970541583</v>
      </c>
      <c r="T20">
        <v>11</v>
      </c>
      <c r="U20" s="41">
        <f t="shared" si="8"/>
        <v>9.861325115562404E-2</v>
      </c>
    </row>
    <row r="21" spans="1:25" x14ac:dyDescent="0.3">
      <c r="A21" s="2">
        <v>44088</v>
      </c>
      <c r="B21" s="1">
        <v>115.355</v>
      </c>
      <c r="C21" s="1">
        <v>3102.97</v>
      </c>
      <c r="D21" s="1">
        <v>266.1499</v>
      </c>
      <c r="E21" s="1">
        <f t="shared" si="1"/>
        <v>2.9515458722477402E-2</v>
      </c>
      <c r="F21" s="1">
        <f t="shared" si="2"/>
        <v>-4.2610114974733614E-3</v>
      </c>
      <c r="G21" s="1">
        <f t="shared" si="3"/>
        <v>-1.7276076074047575E-3</v>
      </c>
      <c r="I21" s="30"/>
      <c r="J21" s="7"/>
      <c r="K21" s="31"/>
      <c r="P21" s="39">
        <f t="shared" si="4"/>
        <v>1250.3725390268251</v>
      </c>
      <c r="Q21" s="26">
        <f t="shared" si="5"/>
        <v>-3.5985364503815163</v>
      </c>
      <c r="R21" s="26">
        <f t="shared" si="6"/>
        <v>3.5985364503815163</v>
      </c>
      <c r="T21">
        <v>12</v>
      </c>
      <c r="U21" s="41">
        <f t="shared" si="8"/>
        <v>8.7827426810477657E-2</v>
      </c>
    </row>
    <row r="22" spans="1:25" x14ac:dyDescent="0.3">
      <c r="A22" s="2">
        <v>44085</v>
      </c>
      <c r="B22" s="1">
        <v>112</v>
      </c>
      <c r="C22" s="1">
        <v>3116.22</v>
      </c>
      <c r="D22" s="1">
        <v>266.61009999999999</v>
      </c>
      <c r="E22" s="1">
        <f t="shared" si="1"/>
        <v>-1.3215856017952983E-2</v>
      </c>
      <c r="F22" s="1">
        <f t="shared" si="2"/>
        <v>-1.8721548559983224E-2</v>
      </c>
      <c r="G22" s="1">
        <f t="shared" si="3"/>
        <v>-5.5358265420301497E-3</v>
      </c>
      <c r="I22" s="30"/>
      <c r="J22" s="7"/>
      <c r="P22" s="39">
        <f t="shared" si="4"/>
        <v>1253.9710754772066</v>
      </c>
      <c r="Q22" s="26">
        <f t="shared" si="5"/>
        <v>-22.666675528711949</v>
      </c>
      <c r="R22" s="26">
        <f t="shared" si="6"/>
        <v>22.666675528711949</v>
      </c>
      <c r="T22">
        <v>13</v>
      </c>
      <c r="U22" s="41">
        <f t="shared" si="8"/>
        <v>8.2434514637904466E-2</v>
      </c>
    </row>
    <row r="23" spans="1:25" x14ac:dyDescent="0.3">
      <c r="A23" s="2">
        <v>44084</v>
      </c>
      <c r="B23" s="1">
        <v>113.49</v>
      </c>
      <c r="C23" s="1">
        <v>3175.11</v>
      </c>
      <c r="D23" s="1">
        <v>268.09010000000001</v>
      </c>
      <c r="E23" s="1">
        <f t="shared" si="1"/>
        <v>-3.3190516796202683E-2</v>
      </c>
      <c r="F23" s="1">
        <f t="shared" si="2"/>
        <v>-2.9022540672157836E-2</v>
      </c>
      <c r="G23" s="1">
        <f t="shared" si="3"/>
        <v>-2.0782568044139405E-2</v>
      </c>
      <c r="I23" s="30"/>
      <c r="J23" s="7"/>
      <c r="P23" s="39">
        <f t="shared" si="4"/>
        <v>1276.6377510059185</v>
      </c>
      <c r="Q23" s="26">
        <f t="shared" si="5"/>
        <v>-37.305544700480823</v>
      </c>
      <c r="R23" s="26">
        <f t="shared" si="6"/>
        <v>37.305544700480823</v>
      </c>
      <c r="T23">
        <v>14</v>
      </c>
      <c r="U23" s="41">
        <f t="shared" si="8"/>
        <v>7.4730354391371337E-2</v>
      </c>
      <c r="X23" s="6" t="s">
        <v>28</v>
      </c>
      <c r="Y23" s="6">
        <v>40</v>
      </c>
    </row>
    <row r="24" spans="1:25" x14ac:dyDescent="0.3">
      <c r="A24" s="2">
        <v>44083</v>
      </c>
      <c r="B24" s="1">
        <v>117.32</v>
      </c>
      <c r="C24" s="1">
        <v>3268.61</v>
      </c>
      <c r="D24" s="1">
        <v>273.72000000000003</v>
      </c>
      <c r="E24" s="1">
        <f t="shared" si="1"/>
        <v>3.9111615797420202E-2</v>
      </c>
      <c r="F24" s="1">
        <f t="shared" si="2"/>
        <v>3.7013160189250015E-2</v>
      </c>
      <c r="G24" s="1">
        <f t="shared" si="3"/>
        <v>9.3970023075568808E-3</v>
      </c>
      <c r="J24" s="7"/>
      <c r="P24" s="39">
        <f t="shared" si="4"/>
        <v>1313.9432957063993</v>
      </c>
      <c r="Q24" s="26">
        <f t="shared" si="5"/>
        <v>46.241731812150192</v>
      </c>
      <c r="R24" s="26">
        <f t="shared" si="6"/>
        <v>-46.241731812150192</v>
      </c>
      <c r="T24">
        <v>15</v>
      </c>
      <c r="U24" s="41">
        <f t="shared" si="8"/>
        <v>6.7026194144838208E-2</v>
      </c>
    </row>
    <row r="25" spans="1:25" x14ac:dyDescent="0.3">
      <c r="A25" s="2">
        <v>44082</v>
      </c>
      <c r="B25" s="1">
        <v>112.82</v>
      </c>
      <c r="C25" s="1">
        <v>3149.84</v>
      </c>
      <c r="D25" s="1">
        <v>271.15989999999999</v>
      </c>
      <c r="E25" s="1">
        <f t="shared" si="1"/>
        <v>-6.9666284119392893E-2</v>
      </c>
      <c r="F25" s="1">
        <f t="shared" si="2"/>
        <v>-4.4939177155283283E-2</v>
      </c>
      <c r="G25" s="1">
        <f t="shared" si="3"/>
        <v>-4.1783694853894708E-2</v>
      </c>
      <c r="J25" s="7"/>
      <c r="P25" s="39">
        <f t="shared" si="4"/>
        <v>1267.7015638942491</v>
      </c>
      <c r="Q25" s="26">
        <f t="shared" si="5"/>
        <v>-59.299320662978062</v>
      </c>
      <c r="R25" s="26">
        <f t="shared" si="6"/>
        <v>59.299320662978062</v>
      </c>
      <c r="T25">
        <v>16</v>
      </c>
      <c r="U25" s="41">
        <f t="shared" si="8"/>
        <v>6.4714946070878271E-2</v>
      </c>
    </row>
    <row r="26" spans="1:25" x14ac:dyDescent="0.3">
      <c r="A26" s="2">
        <v>44078</v>
      </c>
      <c r="B26" s="1">
        <v>120.96</v>
      </c>
      <c r="C26" s="1">
        <v>3294.62</v>
      </c>
      <c r="D26" s="1">
        <v>282.73</v>
      </c>
      <c r="E26" s="1">
        <f t="shared" si="1"/>
        <v>6.6159446673871847E-4</v>
      </c>
      <c r="F26" s="1">
        <f t="shared" si="2"/>
        <v>-2.2028261328090111E-2</v>
      </c>
      <c r="G26" s="1">
        <f t="shared" si="3"/>
        <v>-2.9243518174172308E-2</v>
      </c>
      <c r="J26" s="7"/>
      <c r="P26" s="39">
        <f t="shared" si="4"/>
        <v>1327.0008845572272</v>
      </c>
      <c r="Q26" s="26">
        <f t="shared" si="5"/>
        <v>-28.860063723523353</v>
      </c>
      <c r="R26" s="26">
        <f t="shared" si="6"/>
        <v>28.860063723523353</v>
      </c>
      <c r="T26">
        <v>17</v>
      </c>
      <c r="U26" s="41">
        <f t="shared" si="8"/>
        <v>6.0862865947611713E-2</v>
      </c>
    </row>
    <row r="27" spans="1:25" x14ac:dyDescent="0.3">
      <c r="A27" s="2">
        <v>44077</v>
      </c>
      <c r="B27" s="1">
        <v>120.88</v>
      </c>
      <c r="C27" s="1">
        <v>3368</v>
      </c>
      <c r="D27" s="1">
        <v>291.12009999999998</v>
      </c>
      <c r="E27" s="1">
        <f t="shared" si="1"/>
        <v>-8.3447788086026042E-2</v>
      </c>
      <c r="F27" s="1">
        <f t="shared" si="2"/>
        <v>-4.7389455096851441E-2</v>
      </c>
      <c r="G27" s="1">
        <f t="shared" si="3"/>
        <v>-3.8345380666089036E-2</v>
      </c>
      <c r="J27" s="7"/>
      <c r="P27" s="39">
        <f t="shared" si="4"/>
        <v>1355.8609482807506</v>
      </c>
      <c r="Q27" s="26">
        <f t="shared" si="5"/>
        <v>-67.132838610376893</v>
      </c>
      <c r="R27" s="26">
        <f t="shared" si="6"/>
        <v>67.132838610376893</v>
      </c>
      <c r="T27">
        <v>18</v>
      </c>
      <c r="U27" s="41">
        <f t="shared" si="8"/>
        <v>5.6240369799691832E-2</v>
      </c>
    </row>
    <row r="28" spans="1:25" x14ac:dyDescent="0.3">
      <c r="A28" s="2">
        <v>44076</v>
      </c>
      <c r="B28" s="1">
        <v>131.4</v>
      </c>
      <c r="C28" s="1">
        <v>3531.45</v>
      </c>
      <c r="D28" s="1">
        <v>302.5</v>
      </c>
      <c r="E28" s="1">
        <f t="shared" si="1"/>
        <v>-2.0936076084231873E-2</v>
      </c>
      <c r="F28" s="1">
        <f t="shared" si="2"/>
        <v>9.1970431664546437E-3</v>
      </c>
      <c r="G28" s="1">
        <f t="shared" si="3"/>
        <v>2.3615845404847517E-2</v>
      </c>
      <c r="J28" s="7"/>
      <c r="P28" s="39">
        <f t="shared" si="4"/>
        <v>1422.9937868911275</v>
      </c>
      <c r="Q28" s="26">
        <f t="shared" si="5"/>
        <v>12.306983355429338</v>
      </c>
      <c r="R28" s="26">
        <f t="shared" si="6"/>
        <v>-12.306983355429338</v>
      </c>
      <c r="T28">
        <v>19</v>
      </c>
      <c r="U28" s="41">
        <f t="shared" si="8"/>
        <v>5.2388289676425268E-2</v>
      </c>
    </row>
    <row r="29" spans="1:25" x14ac:dyDescent="0.3">
      <c r="A29" s="2">
        <v>44075</v>
      </c>
      <c r="B29" s="1">
        <v>134.18</v>
      </c>
      <c r="C29" s="1">
        <v>3499.12</v>
      </c>
      <c r="D29" s="1">
        <v>295.43990000000002</v>
      </c>
      <c r="E29" s="1">
        <f t="shared" si="1"/>
        <v>3.9059748317788613E-2</v>
      </c>
      <c r="F29" s="1">
        <f t="shared" si="2"/>
        <v>1.3859055105018739E-2</v>
      </c>
      <c r="G29" s="1">
        <f t="shared" si="3"/>
        <v>7.6104620535521602E-3</v>
      </c>
      <c r="J29" s="7"/>
      <c r="P29" s="39">
        <f t="shared" si="4"/>
        <v>1410.6868035356981</v>
      </c>
      <c r="Q29" s="26">
        <f t="shared" si="5"/>
        <v>20.384576278801205</v>
      </c>
      <c r="R29" s="26">
        <f t="shared" si="6"/>
        <v>-20.384576278801205</v>
      </c>
      <c r="T29">
        <v>20</v>
      </c>
      <c r="U29" s="41">
        <f t="shared" si="8"/>
        <v>5.007704160246533E-2</v>
      </c>
      <c r="V29" s="48" t="s">
        <v>34</v>
      </c>
    </row>
    <row r="30" spans="1:25" x14ac:dyDescent="0.3">
      <c r="A30" s="2">
        <v>44074</v>
      </c>
      <c r="B30" s="1">
        <v>129.04</v>
      </c>
      <c r="C30" s="1">
        <v>3450.96</v>
      </c>
      <c r="D30" s="1">
        <v>293.2</v>
      </c>
      <c r="E30" s="1">
        <f t="shared" si="1"/>
        <v>3.3349883533481332E-2</v>
      </c>
      <c r="F30" s="1">
        <f t="shared" si="2"/>
        <v>1.4347749907603886E-2</v>
      </c>
      <c r="G30" s="1">
        <f t="shared" si="3"/>
        <v>-1.5673249923726024E-3</v>
      </c>
      <c r="J30" s="7"/>
      <c r="P30" s="39">
        <f t="shared" si="4"/>
        <v>1390.3022272568969</v>
      </c>
      <c r="Q30" s="26">
        <f t="shared" si="5"/>
        <v>19.79247236539004</v>
      </c>
      <c r="R30" s="26">
        <f t="shared" si="6"/>
        <v>-19.79247236539004</v>
      </c>
      <c r="T30" s="6">
        <v>21</v>
      </c>
      <c r="U30" s="53">
        <f t="shared" si="8"/>
        <v>4.6995377503852083E-2</v>
      </c>
      <c r="V30">
        <f t="shared" ref="V30:V48" si="10">COUNTIF($R:$R,"&gt;"&amp;T30)</f>
        <v>61</v>
      </c>
      <c r="W30">
        <f t="shared" ref="W30:W48" si="11">V30-V31</f>
        <v>6</v>
      </c>
      <c r="X30">
        <f t="shared" ref="X30:X48" si="12">W30/COUNT(R:R)</f>
        <v>4.6224961479198771E-3</v>
      </c>
      <c r="Y30">
        <f t="shared" ref="Y30:Y48" si="13">X30*T30</f>
        <v>9.707241910631742E-2</v>
      </c>
    </row>
    <row r="31" spans="1:25" x14ac:dyDescent="0.3">
      <c r="A31" s="2">
        <v>44071</v>
      </c>
      <c r="B31" s="1">
        <v>124.8075</v>
      </c>
      <c r="C31" s="1">
        <v>3401.8</v>
      </c>
      <c r="D31" s="1">
        <v>293.65989999999999</v>
      </c>
      <c r="E31" s="1">
        <f t="shared" si="1"/>
        <v>-1.6211838189998278E-3</v>
      </c>
      <c r="F31" s="1">
        <f t="shared" si="2"/>
        <v>5.2927167573856904E-4</v>
      </c>
      <c r="G31" s="1">
        <f t="shared" si="3"/>
        <v>1.4991144947505291E-3</v>
      </c>
      <c r="J31" s="7"/>
      <c r="P31" s="39">
        <f t="shared" si="4"/>
        <v>1370.5097548915069</v>
      </c>
      <c r="Q31" s="26">
        <f t="shared" si="5"/>
        <v>0.67557701495161382</v>
      </c>
      <c r="R31" s="26">
        <f t="shared" si="6"/>
        <v>-0.67557701495161382</v>
      </c>
      <c r="T31">
        <v>22</v>
      </c>
      <c r="U31" s="41">
        <f t="shared" si="8"/>
        <v>4.2372881355932202E-2</v>
      </c>
      <c r="V31">
        <f t="shared" si="10"/>
        <v>55</v>
      </c>
      <c r="W31">
        <f t="shared" si="11"/>
        <v>6</v>
      </c>
      <c r="X31">
        <f t="shared" si="12"/>
        <v>4.6224961479198771E-3</v>
      </c>
      <c r="Y31">
        <f t="shared" si="13"/>
        <v>0.10169491525423729</v>
      </c>
    </row>
    <row r="32" spans="1:25" x14ac:dyDescent="0.3">
      <c r="A32" s="2">
        <v>44070</v>
      </c>
      <c r="B32" s="1">
        <v>125.01</v>
      </c>
      <c r="C32" s="1">
        <v>3400</v>
      </c>
      <c r="D32" s="1">
        <v>293.22000000000003</v>
      </c>
      <c r="E32" s="1">
        <f t="shared" si="1"/>
        <v>-1.2026423861538555E-2</v>
      </c>
      <c r="F32" s="1">
        <f t="shared" si="2"/>
        <v>-1.2233685903273882E-2</v>
      </c>
      <c r="G32" s="1">
        <f t="shared" si="3"/>
        <v>-3.5808095387455441E-2</v>
      </c>
      <c r="J32" s="7"/>
      <c r="P32" s="39">
        <f t="shared" si="4"/>
        <v>1369.8341778765553</v>
      </c>
      <c r="Q32" s="26">
        <f t="shared" si="5"/>
        <v>-18.384655733072577</v>
      </c>
      <c r="R32" s="26">
        <f t="shared" si="6"/>
        <v>18.384655733072577</v>
      </c>
      <c r="T32">
        <v>23</v>
      </c>
      <c r="U32" s="41">
        <f t="shared" si="8"/>
        <v>3.7750385208012327E-2</v>
      </c>
      <c r="V32">
        <f t="shared" si="10"/>
        <v>49</v>
      </c>
      <c r="W32">
        <f t="shared" si="11"/>
        <v>3</v>
      </c>
      <c r="X32">
        <f t="shared" si="12"/>
        <v>2.3112480739599386E-3</v>
      </c>
      <c r="Y32">
        <f t="shared" si="13"/>
        <v>5.3158705701078585E-2</v>
      </c>
    </row>
    <row r="33" spans="1:25" x14ac:dyDescent="0.3">
      <c r="A33" s="2">
        <v>44069</v>
      </c>
      <c r="B33" s="1">
        <v>126.52249999999999</v>
      </c>
      <c r="C33" s="1">
        <v>3441.85</v>
      </c>
      <c r="D33" s="1">
        <v>303.90989999999999</v>
      </c>
      <c r="E33" s="1">
        <f t="shared" si="1"/>
        <v>1.350740157733734E-2</v>
      </c>
      <c r="F33" s="1">
        <f t="shared" si="2"/>
        <v>2.8097082167917869E-2</v>
      </c>
      <c r="G33" s="1">
        <f t="shared" si="3"/>
        <v>7.9017025111148248E-2</v>
      </c>
      <c r="J33" s="7"/>
      <c r="P33" s="39">
        <f t="shared" si="4"/>
        <v>1388.2188336096278</v>
      </c>
      <c r="Q33" s="26">
        <f t="shared" si="5"/>
        <v>40.89206420534947</v>
      </c>
      <c r="R33" s="26">
        <f t="shared" si="6"/>
        <v>-40.89206420534947</v>
      </c>
      <c r="T33">
        <v>24</v>
      </c>
      <c r="U33" s="41">
        <f t="shared" si="8"/>
        <v>3.543913713405239E-2</v>
      </c>
      <c r="V33">
        <f t="shared" si="10"/>
        <v>46</v>
      </c>
      <c r="W33">
        <f t="shared" si="11"/>
        <v>5</v>
      </c>
      <c r="X33">
        <f t="shared" si="12"/>
        <v>3.852080123266564E-3</v>
      </c>
      <c r="Y33">
        <f t="shared" si="13"/>
        <v>9.2449922958397532E-2</v>
      </c>
    </row>
    <row r="34" spans="1:25" x14ac:dyDescent="0.3">
      <c r="A34" s="2">
        <v>44068</v>
      </c>
      <c r="B34" s="1">
        <v>124.825</v>
      </c>
      <c r="C34" s="1">
        <v>3346.49</v>
      </c>
      <c r="D34" s="1">
        <v>280.82010000000002</v>
      </c>
      <c r="E34" s="1">
        <f t="shared" si="1"/>
        <v>-8.2375581746164991E-3</v>
      </c>
      <c r="F34" s="1">
        <f t="shared" si="2"/>
        <v>1.1731512150007223E-2</v>
      </c>
      <c r="G34" s="1">
        <f t="shared" si="3"/>
        <v>3.4157718521757169E-2</v>
      </c>
      <c r="J34" s="7"/>
      <c r="P34" s="39">
        <f t="shared" si="4"/>
        <v>1347.3267694042784</v>
      </c>
      <c r="Q34" s="26">
        <f t="shared" si="5"/>
        <v>16.016729154913264</v>
      </c>
      <c r="R34" s="26">
        <f t="shared" si="6"/>
        <v>-16.016729154913264</v>
      </c>
      <c r="T34">
        <v>25</v>
      </c>
      <c r="U34" s="41">
        <f t="shared" si="8"/>
        <v>3.1587057010785825E-2</v>
      </c>
      <c r="V34">
        <f t="shared" si="10"/>
        <v>41</v>
      </c>
      <c r="W34">
        <f t="shared" si="11"/>
        <v>2</v>
      </c>
      <c r="X34">
        <f t="shared" si="12"/>
        <v>1.5408320493066256E-3</v>
      </c>
      <c r="Y34">
        <f t="shared" si="13"/>
        <v>3.8520801232665644E-2</v>
      </c>
    </row>
    <row r="35" spans="1:25" x14ac:dyDescent="0.3">
      <c r="A35" s="2">
        <v>44067</v>
      </c>
      <c r="B35" s="1">
        <v>125.8575</v>
      </c>
      <c r="C35" s="1">
        <v>3307.46</v>
      </c>
      <c r="D35" s="1">
        <v>271.38990000000001</v>
      </c>
      <c r="E35" s="1">
        <f t="shared" si="1"/>
        <v>1.1889320895639802E-2</v>
      </c>
      <c r="F35" s="1">
        <f t="shared" si="2"/>
        <v>6.8991108245307197E-3</v>
      </c>
      <c r="G35" s="1">
        <f t="shared" si="3"/>
        <v>1.6270421382251488E-2</v>
      </c>
      <c r="J35" s="7"/>
      <c r="P35" s="39">
        <f t="shared" si="4"/>
        <v>1331.3100402493651</v>
      </c>
      <c r="Q35" s="26">
        <f t="shared" si="5"/>
        <v>9.9558397800892635</v>
      </c>
      <c r="R35" s="26">
        <f t="shared" si="6"/>
        <v>-9.9558397800892635</v>
      </c>
      <c r="T35">
        <v>26</v>
      </c>
      <c r="U35" s="41">
        <f t="shared" si="8"/>
        <v>3.0046224961479198E-2</v>
      </c>
      <c r="V35">
        <f t="shared" si="10"/>
        <v>39</v>
      </c>
      <c r="W35">
        <f t="shared" si="11"/>
        <v>3</v>
      </c>
      <c r="X35">
        <f t="shared" si="12"/>
        <v>2.3112480739599386E-3</v>
      </c>
      <c r="Y35">
        <f t="shared" si="13"/>
        <v>6.0092449922958403E-2</v>
      </c>
    </row>
    <row r="36" spans="1:25" x14ac:dyDescent="0.3">
      <c r="A36" s="2">
        <v>44064</v>
      </c>
      <c r="B36" s="1">
        <v>124.37</v>
      </c>
      <c r="C36" s="1">
        <v>3284.72</v>
      </c>
      <c r="D36" s="1">
        <v>267.01</v>
      </c>
      <c r="E36" s="1">
        <f t="shared" si="1"/>
        <v>5.0248572148437892E-2</v>
      </c>
      <c r="F36" s="1">
        <f t="shared" si="2"/>
        <v>-3.8437686433464668E-3</v>
      </c>
      <c r="G36" s="1">
        <f t="shared" si="3"/>
        <v>-7.4624427496486822E-3</v>
      </c>
      <c r="J36" s="7"/>
      <c r="P36" s="39">
        <f t="shared" si="4"/>
        <v>1321.3542004692758</v>
      </c>
      <c r="Q36" s="26">
        <f t="shared" si="5"/>
        <v>-2.5756151793721074</v>
      </c>
      <c r="R36" s="26">
        <f t="shared" si="6"/>
        <v>2.5756151793721074</v>
      </c>
      <c r="T36">
        <v>27</v>
      </c>
      <c r="U36" s="41">
        <f t="shared" si="8"/>
        <v>2.7734976887519261E-2</v>
      </c>
      <c r="V36">
        <f t="shared" si="10"/>
        <v>36</v>
      </c>
      <c r="W36">
        <f t="shared" si="11"/>
        <v>4</v>
      </c>
      <c r="X36">
        <f t="shared" si="12"/>
        <v>3.0816640986132513E-3</v>
      </c>
      <c r="Y36">
        <f t="shared" si="13"/>
        <v>8.3204930662557783E-2</v>
      </c>
    </row>
    <row r="37" spans="1:25" x14ac:dyDescent="0.3">
      <c r="A37" s="2">
        <v>44063</v>
      </c>
      <c r="B37" s="1">
        <v>118.27500000000001</v>
      </c>
      <c r="C37" s="1">
        <v>3297.37</v>
      </c>
      <c r="D37" s="1">
        <v>269.01</v>
      </c>
      <c r="E37" s="1">
        <f t="shared" si="1"/>
        <v>2.1946966600857144E-2</v>
      </c>
      <c r="F37" s="1">
        <f t="shared" si="2"/>
        <v>1.1250757222496834E-2</v>
      </c>
      <c r="G37" s="1">
        <f t="shared" si="3"/>
        <v>2.4154292397868593E-2</v>
      </c>
      <c r="J37" s="7"/>
      <c r="P37" s="39">
        <f t="shared" si="4"/>
        <v>1323.9298156486479</v>
      </c>
      <c r="Q37" s="26">
        <f t="shared" si="5"/>
        <v>16.066313202155243</v>
      </c>
      <c r="R37" s="26">
        <f t="shared" si="6"/>
        <v>-16.066313202155243</v>
      </c>
      <c r="T37">
        <v>28</v>
      </c>
      <c r="U37" s="41">
        <f t="shared" si="8"/>
        <v>2.465331278890601E-2</v>
      </c>
      <c r="V37">
        <f t="shared" si="10"/>
        <v>32</v>
      </c>
      <c r="W37">
        <f t="shared" si="11"/>
        <v>5</v>
      </c>
      <c r="X37">
        <f t="shared" si="12"/>
        <v>3.852080123266564E-3</v>
      </c>
      <c r="Y37">
        <f t="shared" si="13"/>
        <v>0.10785824345146379</v>
      </c>
    </row>
    <row r="38" spans="1:25" x14ac:dyDescent="0.3">
      <c r="A38" s="2">
        <v>44062</v>
      </c>
      <c r="B38" s="1">
        <v>115.7075</v>
      </c>
      <c r="C38" s="1">
        <v>3260.48</v>
      </c>
      <c r="D38" s="1">
        <v>262.59010000000001</v>
      </c>
      <c r="E38" s="1">
        <f t="shared" si="1"/>
        <v>1.2539457690109346E-3</v>
      </c>
      <c r="F38" s="1">
        <f t="shared" si="2"/>
        <v>-1.5825748636075759E-2</v>
      </c>
      <c r="G38" s="1">
        <f t="shared" si="3"/>
        <v>9.525076625481767E-4</v>
      </c>
      <c r="J38" s="7"/>
      <c r="P38" s="39">
        <f t="shared" si="4"/>
        <v>1307.8635024464927</v>
      </c>
      <c r="Q38" s="26">
        <f t="shared" si="5"/>
        <v>-19.075843463842375</v>
      </c>
      <c r="R38" s="26">
        <f t="shared" si="6"/>
        <v>19.075843463842375</v>
      </c>
      <c r="T38">
        <v>29</v>
      </c>
      <c r="U38" s="41">
        <f t="shared" si="8"/>
        <v>2.0801232665639446E-2</v>
      </c>
      <c r="V38">
        <f t="shared" si="10"/>
        <v>27</v>
      </c>
      <c r="W38">
        <f t="shared" si="11"/>
        <v>2</v>
      </c>
      <c r="X38">
        <f t="shared" si="12"/>
        <v>1.5408320493066256E-3</v>
      </c>
      <c r="Y38">
        <f t="shared" si="13"/>
        <v>4.4684129429892146E-2</v>
      </c>
    </row>
    <row r="39" spans="1:25" x14ac:dyDescent="0.3">
      <c r="A39" s="2">
        <v>44061</v>
      </c>
      <c r="B39" s="1">
        <v>115.5625</v>
      </c>
      <c r="C39" s="1">
        <v>3312.49</v>
      </c>
      <c r="D39" s="1">
        <v>262.34010000000001</v>
      </c>
      <c r="E39" s="1">
        <f t="shared" si="1"/>
        <v>8.2982619819586424E-3</v>
      </c>
      <c r="F39" s="1">
        <f t="shared" si="2"/>
        <v>4.0061401044671471E-2</v>
      </c>
      <c r="G39" s="1">
        <f t="shared" si="3"/>
        <v>4.5088901603198665E-3</v>
      </c>
      <c r="J39" s="7"/>
      <c r="P39" s="39">
        <f t="shared" si="4"/>
        <v>1326.9393459103351</v>
      </c>
      <c r="Q39" s="26">
        <f t="shared" si="5"/>
        <v>48.646975280672677</v>
      </c>
      <c r="R39" s="26">
        <f t="shared" si="6"/>
        <v>-48.646975280672677</v>
      </c>
      <c r="T39">
        <v>30</v>
      </c>
      <c r="U39" s="41">
        <f t="shared" si="8"/>
        <v>1.9260400616332819E-2</v>
      </c>
      <c r="V39">
        <f t="shared" si="10"/>
        <v>25</v>
      </c>
      <c r="W39">
        <f t="shared" si="11"/>
        <v>0</v>
      </c>
      <c r="X39">
        <f t="shared" si="12"/>
        <v>0</v>
      </c>
      <c r="Y39">
        <f t="shared" si="13"/>
        <v>0</v>
      </c>
    </row>
    <row r="40" spans="1:25" x14ac:dyDescent="0.3">
      <c r="A40" s="2">
        <v>44060</v>
      </c>
      <c r="B40" s="1">
        <v>114.6075</v>
      </c>
      <c r="C40" s="1">
        <v>3182.41</v>
      </c>
      <c r="D40" s="1">
        <v>261.15989999999999</v>
      </c>
      <c r="E40" s="1">
        <f t="shared" si="1"/>
        <v>-2.614209710496362E-3</v>
      </c>
      <c r="F40" s="1">
        <f t="shared" si="2"/>
        <v>1.0865087620060195E-2</v>
      </c>
      <c r="G40" s="1">
        <f t="shared" si="3"/>
        <v>-3.0666162312722154E-4</v>
      </c>
      <c r="J40" s="7"/>
      <c r="P40" s="39">
        <f t="shared" si="4"/>
        <v>1278.2923706296624</v>
      </c>
      <c r="Q40" s="26">
        <f t="shared" si="5"/>
        <v>12.54720291616627</v>
      </c>
      <c r="R40" s="26">
        <f t="shared" si="6"/>
        <v>-12.54720291616627</v>
      </c>
      <c r="T40">
        <v>31</v>
      </c>
      <c r="U40" s="41">
        <f t="shared" si="8"/>
        <v>1.9260400616332819E-2</v>
      </c>
      <c r="V40">
        <f t="shared" si="10"/>
        <v>25</v>
      </c>
      <c r="W40">
        <f t="shared" si="11"/>
        <v>0</v>
      </c>
      <c r="X40">
        <f t="shared" si="12"/>
        <v>0</v>
      </c>
      <c r="Y40">
        <f t="shared" si="13"/>
        <v>0</v>
      </c>
    </row>
    <row r="41" spans="1:25" x14ac:dyDescent="0.3">
      <c r="A41" s="2">
        <v>44057</v>
      </c>
      <c r="B41" s="1">
        <v>114.9075</v>
      </c>
      <c r="C41" s="1">
        <v>3148.02</v>
      </c>
      <c r="D41" s="1">
        <v>261.24</v>
      </c>
      <c r="E41" s="1">
        <f t="shared" si="1"/>
        <v>-8.9162422860878841E-4</v>
      </c>
      <c r="F41" s="1">
        <f t="shared" si="2"/>
        <v>-4.121076550010626E-3</v>
      </c>
      <c r="G41" s="1">
        <f t="shared" si="3"/>
        <v>-2.2964749211048377E-4</v>
      </c>
      <c r="J41" s="7"/>
      <c r="P41" s="39">
        <f t="shared" si="4"/>
        <v>1265.7451677134961</v>
      </c>
      <c r="Q41" s="26">
        <f t="shared" si="5"/>
        <v>-4.8520723695810375</v>
      </c>
      <c r="R41" s="26">
        <f t="shared" si="6"/>
        <v>4.8520723695810375</v>
      </c>
      <c r="T41">
        <v>32</v>
      </c>
      <c r="U41" s="41">
        <f t="shared" si="8"/>
        <v>1.9260400616332819E-2</v>
      </c>
      <c r="V41">
        <f t="shared" si="10"/>
        <v>25</v>
      </c>
      <c r="W41">
        <f t="shared" si="11"/>
        <v>2</v>
      </c>
      <c r="X41">
        <f t="shared" si="12"/>
        <v>1.5408320493066256E-3</v>
      </c>
      <c r="Y41">
        <f t="shared" si="13"/>
        <v>4.930662557781202E-2</v>
      </c>
    </row>
    <row r="42" spans="1:25" x14ac:dyDescent="0.3">
      <c r="A42" s="2">
        <v>44056</v>
      </c>
      <c r="B42" s="1">
        <v>115.01</v>
      </c>
      <c r="C42" s="1">
        <v>3161.02</v>
      </c>
      <c r="D42" s="1">
        <v>261.3</v>
      </c>
      <c r="E42" s="1">
        <f t="shared" si="1"/>
        <v>1.754277073243065E-2</v>
      </c>
      <c r="F42" s="1">
        <f t="shared" si="2"/>
        <v>-3.858769100553148E-4</v>
      </c>
      <c r="G42" s="1">
        <f t="shared" si="3"/>
        <v>5.4110927346576838E-3</v>
      </c>
      <c r="I42" s="32"/>
      <c r="J42" s="7"/>
      <c r="K42" s="31"/>
      <c r="P42" s="39">
        <f t="shared" si="4"/>
        <v>1270.5972400830772</v>
      </c>
      <c r="Q42" s="26">
        <f t="shared" si="5"/>
        <v>0.68408014267947692</v>
      </c>
      <c r="R42" s="26">
        <f t="shared" si="6"/>
        <v>-0.68408014267947692</v>
      </c>
      <c r="T42">
        <v>33</v>
      </c>
      <c r="U42" s="41">
        <f t="shared" si="8"/>
        <v>1.7719568567026195E-2</v>
      </c>
      <c r="V42">
        <f t="shared" si="10"/>
        <v>23</v>
      </c>
      <c r="W42">
        <f t="shared" si="11"/>
        <v>2</v>
      </c>
      <c r="X42">
        <f t="shared" si="12"/>
        <v>1.5408320493066256E-3</v>
      </c>
      <c r="Y42">
        <f t="shared" si="13"/>
        <v>5.0847457627118647E-2</v>
      </c>
    </row>
    <row r="43" spans="1:25" x14ac:dyDescent="0.3">
      <c r="A43" s="2">
        <v>44055</v>
      </c>
      <c r="B43" s="1">
        <v>113.01</v>
      </c>
      <c r="C43" s="1">
        <v>3162.24</v>
      </c>
      <c r="D43" s="1">
        <v>259.88990000000001</v>
      </c>
      <c r="E43" s="1">
        <f t="shared" si="1"/>
        <v>3.2693965694280944E-2</v>
      </c>
      <c r="F43" s="1">
        <f t="shared" si="2"/>
        <v>2.6133531438934432E-2</v>
      </c>
      <c r="G43" s="1">
        <f t="shared" si="3"/>
        <v>1.4573342132293172E-2</v>
      </c>
      <c r="I43" s="32"/>
      <c r="J43" s="7"/>
      <c r="K43" s="31"/>
      <c r="P43" s="39">
        <f t="shared" si="4"/>
        <v>1269.9131599403977</v>
      </c>
      <c r="Q43" s="26">
        <f t="shared" si="5"/>
        <v>32.417717959122456</v>
      </c>
      <c r="R43" s="26">
        <f t="shared" si="6"/>
        <v>-32.417717959122456</v>
      </c>
      <c r="T43">
        <v>34</v>
      </c>
      <c r="U43" s="41">
        <f t="shared" si="8"/>
        <v>1.6178736517719568E-2</v>
      </c>
      <c r="V43">
        <f t="shared" si="10"/>
        <v>21</v>
      </c>
      <c r="W43">
        <f t="shared" si="11"/>
        <v>1</v>
      </c>
      <c r="X43">
        <f t="shared" si="12"/>
        <v>7.7041602465331282E-4</v>
      </c>
      <c r="Y43">
        <f t="shared" si="13"/>
        <v>2.6194144838212637E-2</v>
      </c>
    </row>
    <row r="44" spans="1:25" x14ac:dyDescent="0.3">
      <c r="A44" s="2">
        <v>44054</v>
      </c>
      <c r="B44" s="1">
        <v>109.375</v>
      </c>
      <c r="C44" s="1">
        <v>3080.67</v>
      </c>
      <c r="D44" s="1">
        <v>256.12990000000002</v>
      </c>
      <c r="E44" s="1">
        <f t="shared" si="1"/>
        <v>-3.0190170154554181E-2</v>
      </c>
      <c r="F44" s="1">
        <f t="shared" si="2"/>
        <v>-2.16710493885241E-2</v>
      </c>
      <c r="G44" s="1">
        <f t="shared" si="3"/>
        <v>-2.6469294518148334E-2</v>
      </c>
      <c r="I44" s="32"/>
      <c r="J44" s="7"/>
      <c r="K44" s="31"/>
      <c r="P44" s="39">
        <f t="shared" si="4"/>
        <v>1237.4954419812752</v>
      </c>
      <c r="Q44" s="26">
        <f t="shared" si="5"/>
        <v>-27.779538762690663</v>
      </c>
      <c r="R44" s="26">
        <f t="shared" si="6"/>
        <v>27.779538762690663</v>
      </c>
      <c r="T44">
        <v>35</v>
      </c>
      <c r="U44" s="41">
        <f t="shared" si="8"/>
        <v>1.5408320493066256E-2</v>
      </c>
      <c r="V44">
        <f t="shared" si="10"/>
        <v>20</v>
      </c>
      <c r="W44">
        <f t="shared" si="11"/>
        <v>1</v>
      </c>
      <c r="X44">
        <f t="shared" si="12"/>
        <v>7.7041602465331282E-4</v>
      </c>
      <c r="Y44">
        <f t="shared" si="13"/>
        <v>2.6964560862865947E-2</v>
      </c>
    </row>
    <row r="45" spans="1:25" x14ac:dyDescent="0.3">
      <c r="A45" s="2">
        <v>44053</v>
      </c>
      <c r="B45" s="1">
        <v>112.7274</v>
      </c>
      <c r="C45" s="1">
        <v>3148.16</v>
      </c>
      <c r="D45" s="1">
        <v>263</v>
      </c>
      <c r="E45" s="1">
        <f t="shared" si="1"/>
        <v>1.4429313264539379E-2</v>
      </c>
      <c r="F45" s="1">
        <f t="shared" si="2"/>
        <v>-6.1118496929146102E-3</v>
      </c>
      <c r="G45" s="1">
        <f t="shared" si="3"/>
        <v>-2.0473020589480757E-2</v>
      </c>
      <c r="I45" s="32"/>
      <c r="J45" s="7"/>
      <c r="K45" s="31"/>
      <c r="P45" s="39">
        <f t="shared" si="4"/>
        <v>1265.2749807439659</v>
      </c>
      <c r="Q45" s="26">
        <f t="shared" si="5"/>
        <v>-7.6309179678607961</v>
      </c>
      <c r="R45" s="26">
        <f t="shared" si="6"/>
        <v>7.6309179678607961</v>
      </c>
      <c r="T45">
        <v>36</v>
      </c>
      <c r="U45" s="41">
        <f t="shared" si="8"/>
        <v>1.4637904468412942E-2</v>
      </c>
      <c r="V45">
        <f t="shared" si="10"/>
        <v>19</v>
      </c>
      <c r="W45">
        <f t="shared" si="11"/>
        <v>1</v>
      </c>
      <c r="X45">
        <f t="shared" si="12"/>
        <v>7.7041602465331282E-4</v>
      </c>
      <c r="Y45">
        <f t="shared" si="13"/>
        <v>2.7734976887519261E-2</v>
      </c>
    </row>
    <row r="46" spans="1:25" x14ac:dyDescent="0.3">
      <c r="A46" s="2">
        <v>44050</v>
      </c>
      <c r="B46" s="1">
        <v>111.1125</v>
      </c>
      <c r="C46" s="1">
        <v>3167.46</v>
      </c>
      <c r="D46" s="1">
        <v>268.43990000000002</v>
      </c>
      <c r="E46" s="1">
        <f t="shared" si="1"/>
        <v>-2.4799617722604427E-2</v>
      </c>
      <c r="F46" s="1">
        <f t="shared" si="2"/>
        <v>-1.8002945370038003E-2</v>
      </c>
      <c r="G46" s="1">
        <f t="shared" si="3"/>
        <v>1.1841180820315373E-2</v>
      </c>
      <c r="J46" s="7"/>
      <c r="P46" s="39">
        <f t="shared" si="4"/>
        <v>1272.9058987118267</v>
      </c>
      <c r="Q46" s="26">
        <f t="shared" si="5"/>
        <v>-21.701658733651584</v>
      </c>
      <c r="R46" s="26">
        <f t="shared" si="6"/>
        <v>21.701658733651584</v>
      </c>
      <c r="T46">
        <v>37</v>
      </c>
      <c r="U46" s="41">
        <f t="shared" si="8"/>
        <v>1.386748844375963E-2</v>
      </c>
      <c r="V46">
        <f t="shared" si="10"/>
        <v>18</v>
      </c>
      <c r="W46">
        <f t="shared" si="11"/>
        <v>2</v>
      </c>
      <c r="X46">
        <f t="shared" si="12"/>
        <v>1.5408320493066256E-3</v>
      </c>
      <c r="Y46">
        <f t="shared" si="13"/>
        <v>5.7010785824345149E-2</v>
      </c>
    </row>
    <row r="47" spans="1:25" x14ac:dyDescent="0.3">
      <c r="A47" s="2">
        <v>44049</v>
      </c>
      <c r="B47" s="1">
        <v>113.9025</v>
      </c>
      <c r="C47" s="1">
        <v>3225</v>
      </c>
      <c r="D47" s="1">
        <v>265.27999999999997</v>
      </c>
      <c r="E47" s="1">
        <f t="shared" si="1"/>
        <v>3.4294433033972706E-2</v>
      </c>
      <c r="F47" s="1">
        <f t="shared" si="2"/>
        <v>6.2114995444954206E-3</v>
      </c>
      <c r="G47" s="1">
        <f t="shared" si="3"/>
        <v>6.2851163861241816E-2</v>
      </c>
      <c r="J47" s="7"/>
      <c r="P47" s="39">
        <f t="shared" si="4"/>
        <v>1294.6075574454783</v>
      </c>
      <c r="Q47" s="26">
        <f t="shared" si="5"/>
        <v>12.461368666272847</v>
      </c>
      <c r="R47" s="26">
        <f t="shared" si="6"/>
        <v>-12.461368666272847</v>
      </c>
      <c r="T47">
        <v>38</v>
      </c>
      <c r="U47" s="41">
        <f t="shared" si="8"/>
        <v>1.2326656394453005E-2</v>
      </c>
      <c r="V47">
        <f t="shared" si="10"/>
        <v>16</v>
      </c>
      <c r="W47">
        <f t="shared" si="11"/>
        <v>2</v>
      </c>
      <c r="X47">
        <f t="shared" si="12"/>
        <v>1.5408320493066256E-3</v>
      </c>
      <c r="Y47">
        <f t="shared" si="13"/>
        <v>5.8551617873651776E-2</v>
      </c>
    </row>
    <row r="48" spans="1:25" x14ac:dyDescent="0.3">
      <c r="A48" s="2">
        <v>44048</v>
      </c>
      <c r="B48" s="1">
        <v>110.0625</v>
      </c>
      <c r="C48" s="1">
        <v>3205.03</v>
      </c>
      <c r="D48" s="1">
        <v>249.12</v>
      </c>
      <c r="E48" s="1">
        <f t="shared" si="1"/>
        <v>3.6181218430358332E-3</v>
      </c>
      <c r="F48" s="1">
        <f t="shared" si="2"/>
        <v>2.0871331684947609E-2</v>
      </c>
      <c r="G48" s="1">
        <f t="shared" si="3"/>
        <v>-2.84597847169407E-3</v>
      </c>
      <c r="J48" s="7"/>
      <c r="P48" s="39">
        <f t="shared" si="4"/>
        <v>1282.1461887792054</v>
      </c>
      <c r="Q48" s="26">
        <f t="shared" si="5"/>
        <v>24.436599300079024</v>
      </c>
      <c r="R48" s="26">
        <f t="shared" si="6"/>
        <v>-24.436599300079024</v>
      </c>
      <c r="T48">
        <v>39</v>
      </c>
      <c r="U48" s="41">
        <f t="shared" si="8"/>
        <v>1.078582434514638E-2</v>
      </c>
      <c r="V48">
        <f t="shared" si="10"/>
        <v>14</v>
      </c>
      <c r="W48">
        <f t="shared" si="11"/>
        <v>3</v>
      </c>
      <c r="X48">
        <f t="shared" si="12"/>
        <v>2.3112480739599386E-3</v>
      </c>
      <c r="Y48">
        <f t="shared" si="13"/>
        <v>9.0138674884437608E-2</v>
      </c>
    </row>
    <row r="49" spans="1:25" x14ac:dyDescent="0.3">
      <c r="A49" s="2">
        <v>44047</v>
      </c>
      <c r="B49" s="1">
        <v>109.66500000000001</v>
      </c>
      <c r="C49" s="1">
        <v>3138.83</v>
      </c>
      <c r="D49" s="1">
        <v>249.83</v>
      </c>
      <c r="E49" s="1">
        <f t="shared" si="1"/>
        <v>6.6559411331492133E-3</v>
      </c>
      <c r="F49" s="1">
        <f t="shared" si="2"/>
        <v>8.6198603705709073E-3</v>
      </c>
      <c r="G49" s="1">
        <f t="shared" si="3"/>
        <v>-8.4896581963459714E-3</v>
      </c>
      <c r="J49" s="7"/>
      <c r="P49" s="39">
        <f t="shared" si="4"/>
        <v>1257.7095894791264</v>
      </c>
      <c r="Q49" s="26">
        <f t="shared" si="5"/>
        <v>9.7798552884648871</v>
      </c>
      <c r="R49" s="26">
        <f t="shared" si="6"/>
        <v>-9.7798552884648871</v>
      </c>
      <c r="T49" s="49">
        <v>40</v>
      </c>
      <c r="U49" s="50">
        <f>COUNTIF($R:$R,"&gt;"&amp;T49)/COUNT(R:R)</f>
        <v>8.4745762711864406E-3</v>
      </c>
      <c r="V49">
        <f>COUNTIF($R:$R,"&gt;"&amp;T49)</f>
        <v>11</v>
      </c>
      <c r="W49">
        <f>V49-V50</f>
        <v>0</v>
      </c>
      <c r="X49">
        <f>W49/COUNT(R:R)</f>
        <v>0</v>
      </c>
      <c r="Y49">
        <f>X49*T49</f>
        <v>0</v>
      </c>
    </row>
    <row r="50" spans="1:25" x14ac:dyDescent="0.3">
      <c r="A50" s="2">
        <v>44046</v>
      </c>
      <c r="B50" s="1">
        <v>108.9375</v>
      </c>
      <c r="C50" s="1">
        <v>3111.89</v>
      </c>
      <c r="D50" s="1">
        <v>251.96</v>
      </c>
      <c r="E50" s="1">
        <f t="shared" si="1"/>
        <v>2.488540225744253E-2</v>
      </c>
      <c r="F50" s="1">
        <f t="shared" si="2"/>
        <v>-1.682168599169542E-2</v>
      </c>
      <c r="G50" s="1">
        <f t="shared" si="3"/>
        <v>-6.763864957978598E-3</v>
      </c>
      <c r="J50" s="7"/>
      <c r="P50" s="39">
        <f t="shared" si="4"/>
        <v>1247.9297341906615</v>
      </c>
      <c r="Q50" s="26">
        <f t="shared" si="5"/>
        <v>-18.739133449527571</v>
      </c>
      <c r="R50" s="26">
        <f t="shared" si="6"/>
        <v>18.739133449527571</v>
      </c>
      <c r="T50">
        <v>41</v>
      </c>
      <c r="U50" s="41">
        <f t="shared" si="8"/>
        <v>8.4745762711864406E-3</v>
      </c>
      <c r="V50">
        <f t="shared" ref="V50:V80" si="14">COUNTIF($R:$R,"&gt;"&amp;T50)</f>
        <v>11</v>
      </c>
      <c r="W50">
        <f t="shared" ref="W50:W80" si="15">V50-V51</f>
        <v>2</v>
      </c>
      <c r="X50">
        <f t="shared" ref="X50:X80" si="16">W50/COUNT(R:R)</f>
        <v>1.5408320493066256E-3</v>
      </c>
      <c r="Y50">
        <f t="shared" ref="Y50:Y80" si="17">X50*T50</f>
        <v>6.3174114021571651E-2</v>
      </c>
    </row>
    <row r="51" spans="1:25" x14ac:dyDescent="0.3">
      <c r="A51" s="2">
        <v>44043</v>
      </c>
      <c r="B51" s="1">
        <v>106.26</v>
      </c>
      <c r="C51" s="1">
        <v>3164.68</v>
      </c>
      <c r="D51" s="1">
        <v>253.67</v>
      </c>
      <c r="E51" s="1">
        <f t="shared" si="1"/>
        <v>9.9563518858273095E-2</v>
      </c>
      <c r="F51" s="1">
        <f t="shared" si="2"/>
        <v>3.629415046988383E-2</v>
      </c>
      <c r="G51" s="1">
        <f t="shared" si="3"/>
        <v>7.8578621825372827E-2</v>
      </c>
      <c r="J51" s="7"/>
      <c r="P51" s="39">
        <f t="shared" si="4"/>
        <v>1266.6688676401891</v>
      </c>
      <c r="Q51" s="26">
        <f t="shared" si="5"/>
        <v>49.94630451965827</v>
      </c>
      <c r="R51" s="26">
        <f t="shared" si="6"/>
        <v>-49.94630451965827</v>
      </c>
      <c r="T51">
        <v>42</v>
      </c>
      <c r="U51" s="41">
        <f t="shared" si="8"/>
        <v>6.9337442218798152E-3</v>
      </c>
      <c r="V51">
        <f t="shared" si="14"/>
        <v>9</v>
      </c>
      <c r="W51">
        <f t="shared" si="15"/>
        <v>0</v>
      </c>
      <c r="X51">
        <f t="shared" si="16"/>
        <v>0</v>
      </c>
      <c r="Y51">
        <f t="shared" si="17"/>
        <v>0</v>
      </c>
    </row>
    <row r="52" spans="1:25" x14ac:dyDescent="0.3">
      <c r="A52" s="2">
        <v>44042</v>
      </c>
      <c r="B52" s="1">
        <v>96.19</v>
      </c>
      <c r="C52" s="1">
        <v>3051.88</v>
      </c>
      <c r="D52" s="1">
        <v>234.5</v>
      </c>
      <c r="E52" s="1">
        <f t="shared" si="1"/>
        <v>1.2027546550189306E-2</v>
      </c>
      <c r="F52" s="1">
        <f t="shared" si="2"/>
        <v>6.0308362517120569E-3</v>
      </c>
      <c r="G52" s="1">
        <f t="shared" si="3"/>
        <v>5.1732730437867181E-3</v>
      </c>
      <c r="J52" s="7"/>
      <c r="P52" s="39">
        <f t="shared" si="4"/>
        <v>1216.7225631205308</v>
      </c>
      <c r="Q52" s="26">
        <f t="shared" si="5"/>
        <v>7.5092761303069437</v>
      </c>
      <c r="R52" s="26">
        <f t="shared" si="6"/>
        <v>-7.5092761303069437</v>
      </c>
      <c r="T52">
        <v>43</v>
      </c>
      <c r="U52" s="41">
        <f t="shared" si="8"/>
        <v>6.9337442218798152E-3</v>
      </c>
      <c r="V52">
        <f t="shared" si="14"/>
        <v>9</v>
      </c>
      <c r="W52">
        <f t="shared" si="15"/>
        <v>0</v>
      </c>
      <c r="X52">
        <f t="shared" si="16"/>
        <v>0</v>
      </c>
      <c r="Y52">
        <f t="shared" si="17"/>
        <v>0</v>
      </c>
    </row>
    <row r="53" spans="1:25" x14ac:dyDescent="0.3">
      <c r="A53" s="2">
        <v>44041</v>
      </c>
      <c r="B53" s="1">
        <v>95.04</v>
      </c>
      <c r="C53" s="1">
        <v>3033.53</v>
      </c>
      <c r="D53" s="1">
        <v>233.29</v>
      </c>
      <c r="E53" s="1">
        <f t="shared" si="1"/>
        <v>1.8986987798307715E-2</v>
      </c>
      <c r="F53" s="1">
        <f t="shared" si="2"/>
        <v>1.1004675299268098E-2</v>
      </c>
      <c r="G53" s="1">
        <f t="shared" si="3"/>
        <v>1.3681402847454699E-2</v>
      </c>
      <c r="P53" s="39">
        <f t="shared" si="4"/>
        <v>1209.2132869902239</v>
      </c>
      <c r="Q53" s="26">
        <f t="shared" si="5"/>
        <v>13.677355193170797</v>
      </c>
      <c r="R53" s="26">
        <f t="shared" si="6"/>
        <v>-13.677355193170797</v>
      </c>
      <c r="T53">
        <v>44</v>
      </c>
      <c r="U53" s="41">
        <f t="shared" si="8"/>
        <v>6.9337442218798152E-3</v>
      </c>
      <c r="V53">
        <f t="shared" si="14"/>
        <v>9</v>
      </c>
      <c r="W53">
        <f t="shared" si="15"/>
        <v>2</v>
      </c>
      <c r="X53">
        <f t="shared" si="16"/>
        <v>1.5408320493066256E-3</v>
      </c>
      <c r="Y53">
        <f t="shared" si="17"/>
        <v>6.7796610169491525E-2</v>
      </c>
    </row>
    <row r="54" spans="1:25" x14ac:dyDescent="0.3">
      <c r="A54" s="2">
        <v>44040</v>
      </c>
      <c r="B54" s="1">
        <v>93.252499999999998</v>
      </c>
      <c r="C54" s="1">
        <v>3000.33</v>
      </c>
      <c r="D54" s="1">
        <v>230.12</v>
      </c>
      <c r="E54" s="1">
        <f t="shared" si="1"/>
        <v>-1.6564021113840633E-2</v>
      </c>
      <c r="F54" s="1">
        <f t="shared" si="2"/>
        <v>-1.812604741340295E-2</v>
      </c>
      <c r="G54" s="1">
        <f t="shared" si="3"/>
        <v>-1.4581165113859327E-2</v>
      </c>
      <c r="P54" s="39">
        <f t="shared" si="4"/>
        <v>1195.5359317970531</v>
      </c>
      <c r="Q54" s="26">
        <f t="shared" si="5"/>
        <v>-21.626827703108802</v>
      </c>
      <c r="R54" s="26">
        <f t="shared" si="6"/>
        <v>21.626827703108802</v>
      </c>
      <c r="T54">
        <v>45</v>
      </c>
      <c r="U54" s="41">
        <f t="shared" si="8"/>
        <v>5.3929121725731898E-3</v>
      </c>
      <c r="V54">
        <f t="shared" si="14"/>
        <v>7</v>
      </c>
      <c r="W54">
        <f t="shared" si="15"/>
        <v>1</v>
      </c>
      <c r="X54">
        <f t="shared" si="16"/>
        <v>7.7041602465331282E-4</v>
      </c>
      <c r="Y54">
        <f t="shared" si="17"/>
        <v>3.466872110939908E-2</v>
      </c>
    </row>
    <row r="55" spans="1:25" x14ac:dyDescent="0.3">
      <c r="A55" s="2">
        <v>44039</v>
      </c>
      <c r="B55" s="1">
        <v>94.81</v>
      </c>
      <c r="C55" s="1">
        <v>3055.21</v>
      </c>
      <c r="D55" s="1">
        <v>233.5</v>
      </c>
      <c r="E55" s="1">
        <f t="shared" si="1"/>
        <v>2.34237733551814E-2</v>
      </c>
      <c r="F55" s="1">
        <f t="shared" si="2"/>
        <v>1.5270443100561594E-2</v>
      </c>
      <c r="G55" s="1">
        <f t="shared" si="3"/>
        <v>1.2020566531434769E-2</v>
      </c>
      <c r="P55" s="39">
        <f t="shared" si="4"/>
        <v>1217.1627595001619</v>
      </c>
      <c r="Q55" s="26">
        <f t="shared" si="5"/>
        <v>18.597338359081505</v>
      </c>
      <c r="R55" s="26">
        <f t="shared" si="6"/>
        <v>-18.597338359081505</v>
      </c>
      <c r="T55">
        <v>46</v>
      </c>
      <c r="U55" s="41">
        <f t="shared" si="8"/>
        <v>4.6224961479198771E-3</v>
      </c>
      <c r="V55">
        <f t="shared" si="14"/>
        <v>6</v>
      </c>
      <c r="W55">
        <f t="shared" si="15"/>
        <v>0</v>
      </c>
      <c r="X55">
        <f t="shared" si="16"/>
        <v>0</v>
      </c>
      <c r="Y55">
        <f t="shared" si="17"/>
        <v>0</v>
      </c>
    </row>
    <row r="56" spans="1:25" x14ac:dyDescent="0.3">
      <c r="A56" s="2">
        <v>44036</v>
      </c>
      <c r="B56" s="1">
        <v>92.614999999999995</v>
      </c>
      <c r="C56" s="1">
        <v>3008.91</v>
      </c>
      <c r="D56" s="1">
        <v>230.71</v>
      </c>
      <c r="E56" s="1">
        <f t="shared" si="1"/>
        <v>-2.4803204778725985E-3</v>
      </c>
      <c r="F56" s="1">
        <f t="shared" si="2"/>
        <v>7.4590118756245726E-3</v>
      </c>
      <c r="G56" s="1">
        <f t="shared" si="3"/>
        <v>-8.1587295070468611E-3</v>
      </c>
      <c r="P56" s="39">
        <f t="shared" si="4"/>
        <v>1198.5654211410804</v>
      </c>
      <c r="Q56" s="26">
        <f t="shared" si="5"/>
        <v>7.7452763786136529</v>
      </c>
      <c r="R56" s="26">
        <f t="shared" si="6"/>
        <v>-7.7452763786136529</v>
      </c>
      <c r="T56">
        <v>47</v>
      </c>
      <c r="U56" s="41">
        <f t="shared" si="8"/>
        <v>4.6224961479198771E-3</v>
      </c>
      <c r="V56">
        <f t="shared" si="14"/>
        <v>6</v>
      </c>
      <c r="W56">
        <f t="shared" si="15"/>
        <v>0</v>
      </c>
      <c r="X56">
        <f t="shared" si="16"/>
        <v>0</v>
      </c>
      <c r="Y56">
        <f t="shared" si="17"/>
        <v>0</v>
      </c>
    </row>
    <row r="57" spans="1:25" x14ac:dyDescent="0.3">
      <c r="A57" s="2">
        <v>44035</v>
      </c>
      <c r="B57" s="1">
        <v>92.844999999999999</v>
      </c>
      <c r="C57" s="1">
        <v>2986.55</v>
      </c>
      <c r="D57" s="1">
        <v>232.6</v>
      </c>
      <c r="E57" s="1">
        <f t="shared" si="1"/>
        <v>-4.6584882153694669E-2</v>
      </c>
      <c r="F57" s="1">
        <f t="shared" si="2"/>
        <v>-3.7254203755821634E-2</v>
      </c>
      <c r="G57" s="1">
        <f t="shared" si="3"/>
        <v>-3.0776869836374704E-2</v>
      </c>
      <c r="P57" s="39">
        <f t="shared" si="4"/>
        <v>1190.8201447624667</v>
      </c>
      <c r="Q57" s="26">
        <f t="shared" si="5"/>
        <v>-45.236261449417952</v>
      </c>
      <c r="R57" s="26">
        <f t="shared" si="6"/>
        <v>45.236261449417952</v>
      </c>
      <c r="T57">
        <v>48</v>
      </c>
      <c r="U57" s="41">
        <f t="shared" si="8"/>
        <v>4.6224961479198771E-3</v>
      </c>
      <c r="V57">
        <f t="shared" si="14"/>
        <v>6</v>
      </c>
      <c r="W57">
        <f t="shared" si="15"/>
        <v>0</v>
      </c>
      <c r="X57">
        <f t="shared" si="16"/>
        <v>0</v>
      </c>
      <c r="Y57">
        <f t="shared" si="17"/>
        <v>0</v>
      </c>
    </row>
    <row r="58" spans="1:25" x14ac:dyDescent="0.3">
      <c r="A58" s="2">
        <v>44034</v>
      </c>
      <c r="B58" s="1">
        <v>97.272499999999994</v>
      </c>
      <c r="C58" s="1">
        <v>3099.91</v>
      </c>
      <c r="D58" s="1">
        <v>239.87</v>
      </c>
      <c r="E58" s="1">
        <f t="shared" si="1"/>
        <v>2.8053397028707616E-3</v>
      </c>
      <c r="F58" s="1">
        <f t="shared" si="2"/>
        <v>-1.230498678050157E-2</v>
      </c>
      <c r="G58" s="1">
        <f t="shared" si="3"/>
        <v>-7.8070244124649746E-3</v>
      </c>
      <c r="P58" s="39">
        <f t="shared" si="4"/>
        <v>1236.0564062118847</v>
      </c>
      <c r="Q58" s="26">
        <f t="shared" si="5"/>
        <v>-14.455561815558212</v>
      </c>
      <c r="R58" s="26">
        <f t="shared" si="6"/>
        <v>14.455561815558212</v>
      </c>
      <c r="T58">
        <v>49</v>
      </c>
      <c r="U58" s="41">
        <f t="shared" si="8"/>
        <v>4.6224961479198771E-3</v>
      </c>
      <c r="V58">
        <f t="shared" si="14"/>
        <v>6</v>
      </c>
      <c r="W58">
        <f t="shared" si="15"/>
        <v>0</v>
      </c>
      <c r="X58">
        <f t="shared" si="16"/>
        <v>0</v>
      </c>
      <c r="Y58">
        <f t="shared" si="17"/>
        <v>0</v>
      </c>
    </row>
    <row r="59" spans="1:25" x14ac:dyDescent="0.3">
      <c r="A59" s="2">
        <v>44033</v>
      </c>
      <c r="B59" s="1">
        <v>97</v>
      </c>
      <c r="C59" s="1">
        <v>3138.29</v>
      </c>
      <c r="D59" s="1">
        <v>241.75</v>
      </c>
      <c r="E59" s="1">
        <f t="shared" si="1"/>
        <v>-1.3897821685483569E-2</v>
      </c>
      <c r="F59" s="1">
        <f t="shared" si="2"/>
        <v>-1.8484756314235684E-2</v>
      </c>
      <c r="G59" s="1">
        <f t="shared" si="3"/>
        <v>-1.5066894214998005E-2</v>
      </c>
      <c r="P59" s="39">
        <f t="shared" si="4"/>
        <v>1250.5119680274429</v>
      </c>
      <c r="Q59" s="26">
        <f t="shared" si="5"/>
        <v>-22.960928125962482</v>
      </c>
      <c r="R59" s="26">
        <f t="shared" si="6"/>
        <v>22.960928125962482</v>
      </c>
      <c r="T59">
        <v>50</v>
      </c>
      <c r="U59" s="41">
        <f t="shared" si="8"/>
        <v>4.6224961479198771E-3</v>
      </c>
      <c r="V59">
        <f t="shared" si="14"/>
        <v>6</v>
      </c>
      <c r="W59">
        <f t="shared" si="15"/>
        <v>1</v>
      </c>
      <c r="X59">
        <f t="shared" si="16"/>
        <v>7.7041602465331282E-4</v>
      </c>
      <c r="Y59">
        <f t="shared" si="17"/>
        <v>3.8520801232665644E-2</v>
      </c>
    </row>
    <row r="60" spans="1:25" x14ac:dyDescent="0.3">
      <c r="A60" s="2">
        <v>44032</v>
      </c>
      <c r="B60" s="1">
        <v>98.357500000000002</v>
      </c>
      <c r="C60" s="1">
        <v>3196.84</v>
      </c>
      <c r="D60" s="1">
        <v>245.42</v>
      </c>
      <c r="E60" s="1">
        <f t="shared" si="1"/>
        <v>2.0854956211207188E-2</v>
      </c>
      <c r="F60" s="1">
        <f t="shared" si="2"/>
        <v>7.6308234403708347E-2</v>
      </c>
      <c r="G60" s="1">
        <f t="shared" si="3"/>
        <v>1.3909343132832834E-2</v>
      </c>
      <c r="P60" s="39">
        <f t="shared" si="4"/>
        <v>1273.4728961534054</v>
      </c>
      <c r="Q60" s="26">
        <f t="shared" si="5"/>
        <v>88.23555979446337</v>
      </c>
      <c r="R60" s="26">
        <f t="shared" si="6"/>
        <v>-88.23555979446337</v>
      </c>
      <c r="T60">
        <v>51</v>
      </c>
      <c r="U60" s="41">
        <f t="shared" si="8"/>
        <v>3.852080123266564E-3</v>
      </c>
      <c r="V60">
        <f t="shared" si="14"/>
        <v>5</v>
      </c>
      <c r="W60">
        <f t="shared" si="15"/>
        <v>0</v>
      </c>
      <c r="X60">
        <f t="shared" si="16"/>
        <v>0</v>
      </c>
      <c r="Y60">
        <f t="shared" si="17"/>
        <v>0</v>
      </c>
    </row>
    <row r="61" spans="1:25" x14ac:dyDescent="0.3">
      <c r="A61" s="2">
        <v>44029</v>
      </c>
      <c r="B61" s="1">
        <v>96.327500000000001</v>
      </c>
      <c r="C61" s="1">
        <v>2961.97</v>
      </c>
      <c r="D61" s="1">
        <v>242.03</v>
      </c>
      <c r="E61" s="1">
        <f t="shared" si="1"/>
        <v>-2.0222978113292392E-3</v>
      </c>
      <c r="F61" s="1">
        <f t="shared" si="2"/>
        <v>-1.2724367276587762E-2</v>
      </c>
      <c r="G61" s="1">
        <f t="shared" si="3"/>
        <v>4.5552505470882786E-3</v>
      </c>
      <c r="P61" s="39">
        <f t="shared" si="4"/>
        <v>1185.237336358942</v>
      </c>
      <c r="Q61" s="26">
        <f t="shared" si="5"/>
        <v>-13.837417600871504</v>
      </c>
      <c r="R61" s="26">
        <f t="shared" si="6"/>
        <v>13.837417600871504</v>
      </c>
      <c r="T61">
        <v>52</v>
      </c>
      <c r="U61" s="41">
        <f t="shared" si="8"/>
        <v>3.852080123266564E-3</v>
      </c>
      <c r="V61">
        <f t="shared" si="14"/>
        <v>5</v>
      </c>
      <c r="W61">
        <f t="shared" si="15"/>
        <v>1</v>
      </c>
      <c r="X61">
        <f t="shared" si="16"/>
        <v>7.7041602465331282E-4</v>
      </c>
      <c r="Y61">
        <f t="shared" si="17"/>
        <v>4.0061633281972264E-2</v>
      </c>
    </row>
    <row r="62" spans="1:25" x14ac:dyDescent="0.3">
      <c r="A62" s="2">
        <v>44028</v>
      </c>
      <c r="B62" s="1">
        <v>96.522499999999994</v>
      </c>
      <c r="C62" s="1">
        <v>2999.9</v>
      </c>
      <c r="D62" s="1">
        <v>240.93</v>
      </c>
      <c r="E62" s="1">
        <f t="shared" si="1"/>
        <v>-1.2381269890029981E-2</v>
      </c>
      <c r="F62" s="1">
        <f t="shared" si="2"/>
        <v>-2.9856382132251464E-3</v>
      </c>
      <c r="G62" s="1">
        <f t="shared" si="3"/>
        <v>2.7015248865199736E-3</v>
      </c>
      <c r="P62" s="39">
        <f t="shared" si="4"/>
        <v>1199.0747539598135</v>
      </c>
      <c r="Q62" s="26">
        <f t="shared" si="5"/>
        <v>-3.6670106119829597</v>
      </c>
      <c r="R62" s="26">
        <f t="shared" si="6"/>
        <v>3.6670106119829597</v>
      </c>
      <c r="T62">
        <v>53</v>
      </c>
      <c r="U62" s="41">
        <f t="shared" si="8"/>
        <v>3.0816640986132513E-3</v>
      </c>
      <c r="V62">
        <f t="shared" si="14"/>
        <v>4</v>
      </c>
      <c r="W62">
        <f t="shared" si="15"/>
        <v>0</v>
      </c>
      <c r="X62">
        <f t="shared" si="16"/>
        <v>0</v>
      </c>
      <c r="Y62">
        <f t="shared" si="17"/>
        <v>0</v>
      </c>
    </row>
    <row r="63" spans="1:25" x14ac:dyDescent="0.3">
      <c r="A63" s="2">
        <v>44027</v>
      </c>
      <c r="B63" s="1">
        <v>97.724999999999994</v>
      </c>
      <c r="C63" s="1">
        <v>3008.87</v>
      </c>
      <c r="D63" s="1">
        <v>240.28</v>
      </c>
      <c r="E63" s="1">
        <f t="shared" si="1"/>
        <v>6.853825297220578E-3</v>
      </c>
      <c r="F63" s="1">
        <f t="shared" si="2"/>
        <v>-2.4662862708649407E-2</v>
      </c>
      <c r="G63" s="1">
        <f t="shared" si="3"/>
        <v>2.2916199274797032E-3</v>
      </c>
      <c r="P63" s="39">
        <f t="shared" si="4"/>
        <v>1202.7417645717965</v>
      </c>
      <c r="Q63" s="26">
        <f t="shared" si="5"/>
        <v>-27.324920560135979</v>
      </c>
      <c r="R63" s="26">
        <f t="shared" si="6"/>
        <v>27.324920560135979</v>
      </c>
      <c r="T63">
        <v>54</v>
      </c>
      <c r="U63" s="41">
        <f t="shared" si="8"/>
        <v>3.0816640986132513E-3</v>
      </c>
      <c r="V63">
        <f t="shared" si="14"/>
        <v>4</v>
      </c>
      <c r="W63">
        <f t="shared" si="15"/>
        <v>0</v>
      </c>
      <c r="X63">
        <f t="shared" si="16"/>
        <v>0</v>
      </c>
      <c r="Y63">
        <f t="shared" si="17"/>
        <v>0</v>
      </c>
    </row>
    <row r="64" spans="1:25" x14ac:dyDescent="0.3">
      <c r="A64" s="2">
        <v>44026</v>
      </c>
      <c r="B64" s="1">
        <v>97.057500000000005</v>
      </c>
      <c r="C64" s="1">
        <v>3084</v>
      </c>
      <c r="D64" s="1">
        <v>239.73</v>
      </c>
      <c r="E64" s="1">
        <f t="shared" si="1"/>
        <v>1.6412968747887519E-2</v>
      </c>
      <c r="F64" s="1">
        <f t="shared" si="2"/>
        <v>-6.4641466198892376E-3</v>
      </c>
      <c r="G64" s="1">
        <f t="shared" si="3"/>
        <v>3.0497381229703372E-3</v>
      </c>
      <c r="P64" s="39">
        <f t="shared" si="4"/>
        <v>1230.0666851319324</v>
      </c>
      <c r="Q64" s="26">
        <f t="shared" si="5"/>
        <v>-6.5665645551453053</v>
      </c>
      <c r="R64" s="26">
        <f t="shared" si="6"/>
        <v>6.5665645551453053</v>
      </c>
      <c r="T64">
        <v>55</v>
      </c>
      <c r="U64" s="41">
        <f t="shared" si="8"/>
        <v>3.0816640986132513E-3</v>
      </c>
      <c r="V64">
        <f t="shared" si="14"/>
        <v>4</v>
      </c>
      <c r="W64">
        <f t="shared" si="15"/>
        <v>0</v>
      </c>
      <c r="X64">
        <f t="shared" si="16"/>
        <v>0</v>
      </c>
      <c r="Y64">
        <f t="shared" si="17"/>
        <v>0</v>
      </c>
    </row>
    <row r="65" spans="1:25" x14ac:dyDescent="0.3">
      <c r="A65" s="2">
        <v>44025</v>
      </c>
      <c r="B65" s="1">
        <v>95.477500000000006</v>
      </c>
      <c r="C65" s="1">
        <v>3104</v>
      </c>
      <c r="D65" s="1">
        <v>239</v>
      </c>
      <c r="E65" s="1">
        <f t="shared" si="1"/>
        <v>-4.6238930853484649E-3</v>
      </c>
      <c r="F65" s="1">
        <f t="shared" si="2"/>
        <v>-3.0459207484708574E-2</v>
      </c>
      <c r="G65" s="1">
        <f t="shared" si="3"/>
        <v>-2.508033209037697E-2</v>
      </c>
      <c r="P65" s="39">
        <f t="shared" si="4"/>
        <v>1236.6332496870778</v>
      </c>
      <c r="Q65" s="26">
        <f t="shared" si="5"/>
        <v>-36.91983900587843</v>
      </c>
      <c r="R65" s="26">
        <f t="shared" si="6"/>
        <v>36.91983900587843</v>
      </c>
      <c r="T65">
        <v>56</v>
      </c>
      <c r="U65" s="41">
        <f t="shared" si="8"/>
        <v>3.0816640986132513E-3</v>
      </c>
      <c r="V65">
        <f t="shared" si="14"/>
        <v>4</v>
      </c>
      <c r="W65">
        <f t="shared" si="15"/>
        <v>0</v>
      </c>
      <c r="X65">
        <f t="shared" si="16"/>
        <v>0</v>
      </c>
      <c r="Y65">
        <f t="shared" si="17"/>
        <v>0</v>
      </c>
    </row>
    <row r="66" spans="1:25" x14ac:dyDescent="0.3">
      <c r="A66" s="2">
        <v>44022</v>
      </c>
      <c r="B66" s="1">
        <v>95.92</v>
      </c>
      <c r="C66" s="1">
        <v>3200</v>
      </c>
      <c r="D66" s="1">
        <v>245.07</v>
      </c>
      <c r="E66" s="1">
        <f t="shared" si="1"/>
        <v>2.4790920957454355E-3</v>
      </c>
      <c r="F66" s="1">
        <f t="shared" si="2"/>
        <v>5.4429108008981998E-3</v>
      </c>
      <c r="G66" s="1">
        <f t="shared" si="3"/>
        <v>2.3285751069608389E-3</v>
      </c>
      <c r="P66" s="39">
        <f t="shared" si="4"/>
        <v>1273.5530886929562</v>
      </c>
      <c r="Q66" s="26">
        <f t="shared" si="5"/>
        <v>6.630924731480718</v>
      </c>
      <c r="R66" s="26">
        <f t="shared" si="6"/>
        <v>-6.630924731480718</v>
      </c>
      <c r="T66">
        <v>57</v>
      </c>
      <c r="U66" s="41">
        <f t="shared" si="8"/>
        <v>3.0816640986132513E-3</v>
      </c>
      <c r="V66">
        <f t="shared" si="14"/>
        <v>4</v>
      </c>
      <c r="W66">
        <f t="shared" si="15"/>
        <v>0</v>
      </c>
      <c r="X66">
        <f t="shared" si="16"/>
        <v>0</v>
      </c>
      <c r="Y66">
        <f t="shared" si="17"/>
        <v>0</v>
      </c>
    </row>
    <row r="67" spans="1:25" x14ac:dyDescent="0.3">
      <c r="A67" s="2">
        <v>44021</v>
      </c>
      <c r="B67" s="1">
        <v>95.682500000000005</v>
      </c>
      <c r="C67" s="1">
        <v>3182.63</v>
      </c>
      <c r="D67" s="1">
        <v>244.5</v>
      </c>
      <c r="E67" s="1">
        <f t="shared" si="1"/>
        <v>3.5597472481012906E-3</v>
      </c>
      <c r="F67" s="1">
        <f t="shared" si="2"/>
        <v>3.2417977333647062E-2</v>
      </c>
      <c r="G67" s="1">
        <f t="shared" si="3"/>
        <v>3.7698782559621911E-3</v>
      </c>
      <c r="P67" s="39">
        <f t="shared" si="4"/>
        <v>1266.9221639614755</v>
      </c>
      <c r="Q67" s="26">
        <f t="shared" si="5"/>
        <v>37.798015277682225</v>
      </c>
      <c r="R67" s="26">
        <f t="shared" si="6"/>
        <v>-37.798015277682225</v>
      </c>
      <c r="T67">
        <v>58</v>
      </c>
      <c r="U67" s="41">
        <f t="shared" si="8"/>
        <v>3.0816640986132513E-3</v>
      </c>
      <c r="V67">
        <f t="shared" si="14"/>
        <v>4</v>
      </c>
      <c r="W67">
        <f t="shared" si="15"/>
        <v>0</v>
      </c>
      <c r="X67">
        <f t="shared" si="16"/>
        <v>0</v>
      </c>
      <c r="Y67">
        <f t="shared" si="17"/>
        <v>0</v>
      </c>
    </row>
    <row r="68" spans="1:25" x14ac:dyDescent="0.3">
      <c r="A68" s="2">
        <v>44020</v>
      </c>
      <c r="B68" s="1">
        <v>95.342500000000001</v>
      </c>
      <c r="C68" s="1">
        <v>3081.11</v>
      </c>
      <c r="D68" s="1">
        <v>243.58</v>
      </c>
      <c r="E68" s="1">
        <f t="shared" si="1"/>
        <v>2.3023057601607385E-2</v>
      </c>
      <c r="F68" s="1">
        <f t="shared" si="2"/>
        <v>2.6637633803004469E-2</v>
      </c>
      <c r="G68" s="1">
        <f t="shared" si="3"/>
        <v>1.1229578826630686E-2</v>
      </c>
      <c r="P68" s="39">
        <f t="shared" si="4"/>
        <v>1229.1241486837932</v>
      </c>
      <c r="Q68" s="26">
        <f t="shared" si="5"/>
        <v>31.37135848685557</v>
      </c>
      <c r="R68" s="26">
        <f t="shared" si="6"/>
        <v>-31.37135848685557</v>
      </c>
      <c r="T68">
        <v>59</v>
      </c>
      <c r="U68" s="41">
        <f t="shared" si="8"/>
        <v>3.0816640986132513E-3</v>
      </c>
      <c r="V68">
        <f t="shared" si="14"/>
        <v>4</v>
      </c>
      <c r="W68">
        <f t="shared" si="15"/>
        <v>2</v>
      </c>
      <c r="X68">
        <f t="shared" si="16"/>
        <v>1.5408320493066256E-3</v>
      </c>
      <c r="Y68">
        <f t="shared" si="17"/>
        <v>9.0909090909090912E-2</v>
      </c>
    </row>
    <row r="69" spans="1:25" x14ac:dyDescent="0.3">
      <c r="A69" s="2">
        <v>44019</v>
      </c>
      <c r="B69" s="1">
        <v>93.172499999999999</v>
      </c>
      <c r="C69" s="1">
        <v>3000.12</v>
      </c>
      <c r="D69" s="1">
        <v>240.86</v>
      </c>
      <c r="E69" s="1">
        <f t="shared" si="1"/>
        <v>-3.1076725522293748E-3</v>
      </c>
      <c r="F69" s="1">
        <f t="shared" si="2"/>
        <v>-1.8794839678547413E-2</v>
      </c>
      <c r="G69" s="1">
        <f t="shared" si="3"/>
        <v>2.4109418503733028E-3</v>
      </c>
      <c r="P69" s="39">
        <f t="shared" si="4"/>
        <v>1197.7527901969377</v>
      </c>
      <c r="Q69" s="26">
        <f t="shared" si="5"/>
        <v>-20.996196736843785</v>
      </c>
      <c r="R69" s="26">
        <f t="shared" si="6"/>
        <v>20.996196736843785</v>
      </c>
      <c r="T69">
        <v>60</v>
      </c>
      <c r="U69" s="41">
        <f t="shared" si="8"/>
        <v>1.5408320493066256E-3</v>
      </c>
      <c r="V69">
        <f t="shared" si="14"/>
        <v>2</v>
      </c>
      <c r="W69">
        <f t="shared" si="15"/>
        <v>0</v>
      </c>
      <c r="X69">
        <f t="shared" si="16"/>
        <v>0</v>
      </c>
      <c r="Y69">
        <f t="shared" si="17"/>
        <v>0</v>
      </c>
    </row>
    <row r="70" spans="1:25" x14ac:dyDescent="0.3">
      <c r="A70" s="2">
        <v>44018</v>
      </c>
      <c r="B70" s="1">
        <v>93.462500000000006</v>
      </c>
      <c r="C70" s="1">
        <v>3057.04</v>
      </c>
      <c r="D70" s="1">
        <v>240.28</v>
      </c>
      <c r="E70" s="1">
        <f t="shared" ref="E70:E133" si="18">LN(B70/B71)</f>
        <v>2.639862765954477E-2</v>
      </c>
      <c r="F70" s="1">
        <f t="shared" ref="F70:F133" si="19">LN(C70/C71)</f>
        <v>5.6086824581457556E-2</v>
      </c>
      <c r="G70" s="1">
        <f t="shared" ref="G70:G133" si="20">LN(D70/D71)</f>
        <v>2.8965503997753151E-2</v>
      </c>
      <c r="P70" s="39">
        <f t="shared" ref="P70:P133" si="21">B70*$J$13+C70*$J$14+D70*$J$15</f>
        <v>1218.7489869337815</v>
      </c>
      <c r="Q70" s="26">
        <f t="shared" ref="Q70:Q133" si="22">P70-P71</f>
        <v>64.017465497138573</v>
      </c>
      <c r="R70" s="26">
        <f t="shared" ref="R70:R133" si="23">-Q70</f>
        <v>-64.017465497138573</v>
      </c>
      <c r="T70">
        <v>61</v>
      </c>
      <c r="U70" s="41">
        <f t="shared" si="8"/>
        <v>1.5408320493066256E-3</v>
      </c>
      <c r="V70">
        <f t="shared" si="14"/>
        <v>2</v>
      </c>
      <c r="W70">
        <f t="shared" si="15"/>
        <v>0</v>
      </c>
      <c r="X70">
        <f t="shared" si="16"/>
        <v>0</v>
      </c>
      <c r="Y70">
        <f t="shared" si="17"/>
        <v>0</v>
      </c>
    </row>
    <row r="71" spans="1:25" x14ac:dyDescent="0.3">
      <c r="A71" s="2">
        <v>44014</v>
      </c>
      <c r="B71" s="1">
        <v>91.027500000000003</v>
      </c>
      <c r="C71" s="1">
        <v>2890.3</v>
      </c>
      <c r="D71" s="1">
        <v>233.42</v>
      </c>
      <c r="E71" s="1">
        <f t="shared" si="18"/>
        <v>0</v>
      </c>
      <c r="F71" s="1">
        <f t="shared" si="19"/>
        <v>4.0214996128872344E-3</v>
      </c>
      <c r="G71" s="1">
        <f t="shared" si="20"/>
        <v>-1.753872164872284E-2</v>
      </c>
      <c r="P71" s="39">
        <f t="shared" si="21"/>
        <v>1154.7315214366429</v>
      </c>
      <c r="Q71" s="26">
        <f t="shared" si="22"/>
        <v>3.3850240746273812</v>
      </c>
      <c r="R71" s="26">
        <f t="shared" si="23"/>
        <v>-3.3850240746273812</v>
      </c>
      <c r="T71">
        <v>62</v>
      </c>
      <c r="U71" s="41">
        <f t="shared" si="8"/>
        <v>1.5408320493066256E-3</v>
      </c>
      <c r="V71">
        <f t="shared" si="14"/>
        <v>2</v>
      </c>
      <c r="W71">
        <f t="shared" si="15"/>
        <v>0</v>
      </c>
      <c r="X71">
        <f t="shared" si="16"/>
        <v>0</v>
      </c>
      <c r="Y71">
        <f t="shared" si="17"/>
        <v>0</v>
      </c>
    </row>
    <row r="72" spans="1:25" x14ac:dyDescent="0.3">
      <c r="A72" s="2">
        <v>44013</v>
      </c>
      <c r="B72" s="1">
        <v>91.027500000000003</v>
      </c>
      <c r="C72" s="1">
        <v>2878.7</v>
      </c>
      <c r="D72" s="1">
        <v>237.55</v>
      </c>
      <c r="E72" s="1">
        <f t="shared" si="18"/>
        <v>-1.8932384137965272E-3</v>
      </c>
      <c r="F72" s="1">
        <f t="shared" si="19"/>
        <v>4.2535751274831425E-2</v>
      </c>
      <c r="G72" s="1">
        <f t="shared" si="20"/>
        <v>4.511978764374474E-2</v>
      </c>
      <c r="P72" s="39">
        <f t="shared" si="21"/>
        <v>1151.3464973620155</v>
      </c>
      <c r="Q72" s="26">
        <f t="shared" si="22"/>
        <v>46.431722139501744</v>
      </c>
      <c r="R72" s="26">
        <f t="shared" si="23"/>
        <v>-46.431722139501744</v>
      </c>
      <c r="T72">
        <v>63</v>
      </c>
      <c r="U72" s="41">
        <f t="shared" si="8"/>
        <v>1.5408320493066256E-3</v>
      </c>
      <c r="V72">
        <f t="shared" si="14"/>
        <v>2</v>
      </c>
      <c r="W72">
        <f t="shared" si="15"/>
        <v>0</v>
      </c>
      <c r="X72">
        <f t="shared" si="16"/>
        <v>0</v>
      </c>
      <c r="Y72">
        <f t="shared" si="17"/>
        <v>0</v>
      </c>
    </row>
    <row r="73" spans="1:25" x14ac:dyDescent="0.3">
      <c r="A73" s="2">
        <v>44012</v>
      </c>
      <c r="B73" s="1">
        <v>91.2</v>
      </c>
      <c r="C73" s="1">
        <v>2758.82</v>
      </c>
      <c r="D73" s="1">
        <v>227.07</v>
      </c>
      <c r="E73" s="1">
        <f t="shared" si="18"/>
        <v>8.3129659266875273E-3</v>
      </c>
      <c r="F73" s="1">
        <f t="shared" si="19"/>
        <v>2.8844476561360733E-2</v>
      </c>
      <c r="G73" s="1">
        <f t="shared" si="20"/>
        <v>2.8725925944194167E-2</v>
      </c>
      <c r="P73" s="39">
        <f t="shared" si="21"/>
        <v>1104.9147752225138</v>
      </c>
      <c r="Q73" s="26">
        <f t="shared" si="22"/>
        <v>30.648227510502693</v>
      </c>
      <c r="R73" s="26">
        <f t="shared" si="23"/>
        <v>-30.648227510502693</v>
      </c>
      <c r="T73">
        <v>64</v>
      </c>
      <c r="U73" s="41">
        <f t="shared" si="8"/>
        <v>1.5408320493066256E-3</v>
      </c>
      <c r="V73">
        <f t="shared" si="14"/>
        <v>2</v>
      </c>
      <c r="W73">
        <f t="shared" si="15"/>
        <v>0</v>
      </c>
      <c r="X73">
        <f t="shared" si="16"/>
        <v>0</v>
      </c>
      <c r="Y73">
        <f t="shared" si="17"/>
        <v>0</v>
      </c>
    </row>
    <row r="74" spans="1:25" x14ac:dyDescent="0.3">
      <c r="A74" s="2">
        <v>44011</v>
      </c>
      <c r="B74" s="1">
        <v>90.444999999999993</v>
      </c>
      <c r="C74" s="1">
        <v>2680.38</v>
      </c>
      <c r="D74" s="1">
        <v>220.64</v>
      </c>
      <c r="E74" s="1">
        <f t="shared" si="18"/>
        <v>2.2785123479888664E-2</v>
      </c>
      <c r="F74" s="1">
        <f t="shared" si="19"/>
        <v>-4.6489638469759259E-3</v>
      </c>
      <c r="G74" s="1">
        <f t="shared" si="20"/>
        <v>2.0883704560631326E-2</v>
      </c>
      <c r="P74" s="39">
        <f t="shared" si="21"/>
        <v>1074.2665477120111</v>
      </c>
      <c r="Q74" s="26">
        <f t="shared" si="22"/>
        <v>-2.7760465728199506</v>
      </c>
      <c r="R74" s="26">
        <f t="shared" si="23"/>
        <v>2.7760465728199506</v>
      </c>
      <c r="T74">
        <v>65</v>
      </c>
      <c r="U74" s="41">
        <f t="shared" ref="U74:U76" si="24">COUNTIF($R:$R,"&gt;"&amp;T74)/COUNT(R:R)</f>
        <v>1.5408320493066256E-3</v>
      </c>
      <c r="V74">
        <f t="shared" si="14"/>
        <v>2</v>
      </c>
      <c r="W74">
        <f t="shared" si="15"/>
        <v>0</v>
      </c>
      <c r="X74">
        <f t="shared" si="16"/>
        <v>0</v>
      </c>
      <c r="Y74">
        <f t="shared" si="17"/>
        <v>0</v>
      </c>
    </row>
    <row r="75" spans="1:25" x14ac:dyDescent="0.3">
      <c r="A75" s="2">
        <v>44008</v>
      </c>
      <c r="B75" s="1">
        <v>88.407499999999999</v>
      </c>
      <c r="C75" s="1">
        <v>2692.87</v>
      </c>
      <c r="D75" s="1">
        <v>216.08</v>
      </c>
      <c r="E75" s="1">
        <f t="shared" si="18"/>
        <v>-3.1207732518357401E-2</v>
      </c>
      <c r="F75" s="1">
        <f t="shared" si="19"/>
        <v>-2.2657441529320064E-2</v>
      </c>
      <c r="G75" s="1">
        <f t="shared" si="20"/>
        <v>-8.6826243229959979E-2</v>
      </c>
      <c r="P75" s="39">
        <f t="shared" si="21"/>
        <v>1077.042594284831</v>
      </c>
      <c r="Q75" s="26">
        <f t="shared" si="22"/>
        <v>-28.177784715972848</v>
      </c>
      <c r="R75" s="26">
        <f t="shared" si="23"/>
        <v>28.177784715972848</v>
      </c>
      <c r="T75">
        <v>66</v>
      </c>
      <c r="U75" s="41">
        <f t="shared" si="24"/>
        <v>1.5408320493066256E-3</v>
      </c>
      <c r="V75">
        <f t="shared" si="14"/>
        <v>2</v>
      </c>
      <c r="W75">
        <f t="shared" si="15"/>
        <v>0</v>
      </c>
      <c r="X75">
        <f t="shared" si="16"/>
        <v>0</v>
      </c>
      <c r="Y75">
        <f t="shared" si="17"/>
        <v>0</v>
      </c>
    </row>
    <row r="76" spans="1:25" x14ac:dyDescent="0.3">
      <c r="A76" s="2">
        <v>44007</v>
      </c>
      <c r="B76" s="1">
        <v>91.21</v>
      </c>
      <c r="C76" s="1">
        <v>2754.58</v>
      </c>
      <c r="D76" s="1">
        <v>235.68</v>
      </c>
      <c r="E76" s="1">
        <f t="shared" si="18"/>
        <v>1.3188217082481208E-2</v>
      </c>
      <c r="F76" s="1">
        <f t="shared" si="19"/>
        <v>7.3529475132480537E-3</v>
      </c>
      <c r="G76" s="1">
        <f t="shared" si="20"/>
        <v>7.0683709235083427E-3</v>
      </c>
      <c r="P76" s="39">
        <f t="shared" si="21"/>
        <v>1105.2203790008039</v>
      </c>
      <c r="Q76" s="26">
        <f t="shared" si="22"/>
        <v>8.3006548626879066</v>
      </c>
      <c r="R76" s="26">
        <f t="shared" si="23"/>
        <v>-8.3006548626879066</v>
      </c>
      <c r="T76">
        <v>67</v>
      </c>
      <c r="U76" s="41">
        <f t="shared" si="24"/>
        <v>1.5408320493066256E-3</v>
      </c>
      <c r="V76">
        <f t="shared" si="14"/>
        <v>2</v>
      </c>
      <c r="W76">
        <f t="shared" si="15"/>
        <v>1</v>
      </c>
      <c r="X76">
        <f t="shared" si="16"/>
        <v>7.7041602465331282E-4</v>
      </c>
      <c r="Y76">
        <f t="shared" si="17"/>
        <v>5.1617873651771957E-2</v>
      </c>
    </row>
    <row r="77" spans="1:25" x14ac:dyDescent="0.3">
      <c r="A77" s="2">
        <v>44006</v>
      </c>
      <c r="B77" s="1">
        <v>90.015000000000001</v>
      </c>
      <c r="C77" s="1">
        <v>2734.4</v>
      </c>
      <c r="D77" s="1">
        <v>234.02</v>
      </c>
      <c r="E77" s="1">
        <f t="shared" si="18"/>
        <v>-1.7809689136073188E-2</v>
      </c>
      <c r="F77" s="1">
        <f t="shared" si="19"/>
        <v>-1.0915197270871804E-2</v>
      </c>
      <c r="G77" s="1">
        <f t="shared" si="20"/>
        <v>-3.452238845827213E-2</v>
      </c>
      <c r="P77" s="39">
        <f t="shared" si="21"/>
        <v>1096.919724138116</v>
      </c>
      <c r="Q77" s="26">
        <f t="shared" si="22"/>
        <v>-13.524304572817755</v>
      </c>
      <c r="R77" s="26">
        <f t="shared" si="23"/>
        <v>13.524304572817755</v>
      </c>
      <c r="T77">
        <v>68</v>
      </c>
      <c r="U77" s="41">
        <f t="shared" ref="U77:U80" si="25">COUNTIF($R:$R,"&gt;"&amp;T77)/COUNT(R:R)</f>
        <v>7.7041602465331282E-4</v>
      </c>
      <c r="V77">
        <f t="shared" si="14"/>
        <v>1</v>
      </c>
      <c r="W77">
        <f t="shared" si="15"/>
        <v>0</v>
      </c>
      <c r="X77">
        <f t="shared" si="16"/>
        <v>0</v>
      </c>
      <c r="Y77">
        <f t="shared" si="17"/>
        <v>0</v>
      </c>
    </row>
    <row r="78" spans="1:25" x14ac:dyDescent="0.3">
      <c r="A78" s="2">
        <v>44005</v>
      </c>
      <c r="B78" s="1">
        <v>91.632499999999993</v>
      </c>
      <c r="C78" s="1">
        <v>2764.41</v>
      </c>
      <c r="D78" s="1">
        <v>242.24</v>
      </c>
      <c r="E78" s="1">
        <f t="shared" si="18"/>
        <v>2.1120167449104374E-2</v>
      </c>
      <c r="F78" s="1">
        <f t="shared" si="19"/>
        <v>1.8469994207653922E-2</v>
      </c>
      <c r="G78" s="1">
        <f t="shared" si="20"/>
        <v>1.2545339627765287E-2</v>
      </c>
      <c r="P78" s="39">
        <f t="shared" si="21"/>
        <v>1110.4440287109337</v>
      </c>
      <c r="Q78" s="26">
        <f t="shared" si="22"/>
        <v>20.114051591900079</v>
      </c>
      <c r="R78" s="26">
        <f t="shared" si="23"/>
        <v>-20.114051591900079</v>
      </c>
      <c r="T78">
        <v>69</v>
      </c>
      <c r="U78" s="41">
        <f t="shared" si="25"/>
        <v>7.7041602465331282E-4</v>
      </c>
      <c r="V78">
        <f t="shared" si="14"/>
        <v>1</v>
      </c>
      <c r="W78">
        <f t="shared" si="15"/>
        <v>0</v>
      </c>
      <c r="X78">
        <f t="shared" si="16"/>
        <v>0</v>
      </c>
      <c r="Y78">
        <f t="shared" si="17"/>
        <v>0</v>
      </c>
    </row>
    <row r="79" spans="1:25" x14ac:dyDescent="0.3">
      <c r="A79" s="2">
        <v>44004</v>
      </c>
      <c r="B79" s="1">
        <v>89.717500000000001</v>
      </c>
      <c r="C79" s="1">
        <v>2713.82</v>
      </c>
      <c r="D79" s="1">
        <v>239.22</v>
      </c>
      <c r="E79" s="1">
        <f t="shared" si="18"/>
        <v>2.5827371603755051E-2</v>
      </c>
      <c r="F79" s="1">
        <f t="shared" si="19"/>
        <v>1.440411778366788E-2</v>
      </c>
      <c r="G79" s="1">
        <f t="shared" si="20"/>
        <v>1.7991260265989625E-3</v>
      </c>
      <c r="P79" s="39">
        <f t="shared" si="21"/>
        <v>1090.3299771190336</v>
      </c>
      <c r="Q79" s="26">
        <f t="shared" si="22"/>
        <v>15.360641692466743</v>
      </c>
      <c r="R79" s="26">
        <f t="shared" si="23"/>
        <v>-15.360641692466743</v>
      </c>
      <c r="T79">
        <v>70</v>
      </c>
      <c r="U79" s="41">
        <f t="shared" si="25"/>
        <v>7.7041602465331282E-4</v>
      </c>
      <c r="V79">
        <f t="shared" si="14"/>
        <v>1</v>
      </c>
      <c r="W79">
        <f t="shared" si="15"/>
        <v>1</v>
      </c>
      <c r="X79">
        <f t="shared" si="16"/>
        <v>7.7041602465331282E-4</v>
      </c>
      <c r="Y79">
        <f t="shared" si="17"/>
        <v>5.3929121725731895E-2</v>
      </c>
    </row>
    <row r="80" spans="1:25" x14ac:dyDescent="0.3">
      <c r="A80" s="2">
        <v>44001</v>
      </c>
      <c r="B80" s="1">
        <v>87.43</v>
      </c>
      <c r="C80" s="1">
        <v>2675.01</v>
      </c>
      <c r="D80" s="1">
        <v>238.79</v>
      </c>
      <c r="E80" s="1">
        <f t="shared" si="18"/>
        <v>-5.7310015009774829E-3</v>
      </c>
      <c r="F80" s="1">
        <f t="shared" si="19"/>
        <v>7.8927185721442868E-3</v>
      </c>
      <c r="G80" s="1">
        <f t="shared" si="20"/>
        <v>1.200696918102335E-2</v>
      </c>
      <c r="P80" s="39">
        <f t="shared" si="21"/>
        <v>1074.9693354265669</v>
      </c>
      <c r="Q80" s="26">
        <f t="shared" si="22"/>
        <v>8.1688604235027924</v>
      </c>
      <c r="R80" s="26">
        <f t="shared" si="23"/>
        <v>-8.1688604235027924</v>
      </c>
      <c r="T80">
        <v>71</v>
      </c>
      <c r="U80" s="44">
        <f t="shared" si="25"/>
        <v>0</v>
      </c>
      <c r="V80">
        <f t="shared" si="14"/>
        <v>0</v>
      </c>
      <c r="W80">
        <f t="shared" si="15"/>
        <v>0</v>
      </c>
      <c r="X80">
        <f t="shared" si="16"/>
        <v>0</v>
      </c>
      <c r="Y80">
        <f t="shared" si="17"/>
        <v>0</v>
      </c>
    </row>
    <row r="81" spans="1:21" x14ac:dyDescent="0.3">
      <c r="A81" s="2">
        <v>44000</v>
      </c>
      <c r="B81" s="1">
        <v>87.932500000000005</v>
      </c>
      <c r="C81" s="1">
        <v>2653.98</v>
      </c>
      <c r="D81" s="1">
        <v>235.94</v>
      </c>
      <c r="E81" s="1">
        <f t="shared" si="18"/>
        <v>3.981118178045245E-4</v>
      </c>
      <c r="F81" s="1">
        <f t="shared" si="19"/>
        <v>4.9103396893316244E-3</v>
      </c>
      <c r="G81" s="1">
        <f t="shared" si="20"/>
        <v>1.7392415354225597E-3</v>
      </c>
      <c r="P81" s="39">
        <f t="shared" si="21"/>
        <v>1066.8004750030641</v>
      </c>
      <c r="Q81" s="26">
        <f t="shared" si="22"/>
        <v>4.8999550853827714</v>
      </c>
      <c r="R81" s="26">
        <f t="shared" si="23"/>
        <v>-4.8999550853827714</v>
      </c>
      <c r="U81" s="41"/>
    </row>
    <row r="82" spans="1:21" x14ac:dyDescent="0.3">
      <c r="A82" s="2">
        <v>43999</v>
      </c>
      <c r="B82" s="1">
        <v>87.897499999999994</v>
      </c>
      <c r="C82" s="1">
        <v>2640.98</v>
      </c>
      <c r="D82" s="1">
        <v>235.53</v>
      </c>
      <c r="E82" s="1">
        <f t="shared" si="18"/>
        <v>-1.3926985069725745E-3</v>
      </c>
      <c r="F82" s="1">
        <f t="shared" si="19"/>
        <v>9.7827177323296655E-3</v>
      </c>
      <c r="G82" s="1">
        <f t="shared" si="20"/>
        <v>-5.0935949146599347E-4</v>
      </c>
      <c r="P82" s="39">
        <f t="shared" si="21"/>
        <v>1061.9005199176813</v>
      </c>
      <c r="Q82" s="26">
        <f t="shared" si="22"/>
        <v>9.4094433957561705</v>
      </c>
      <c r="R82" s="26">
        <f t="shared" si="23"/>
        <v>-9.4094433957561705</v>
      </c>
      <c r="U82" s="41"/>
    </row>
    <row r="83" spans="1:21" x14ac:dyDescent="0.3">
      <c r="A83" s="2">
        <v>43998</v>
      </c>
      <c r="B83" s="1">
        <v>88.02</v>
      </c>
      <c r="C83" s="1">
        <v>2615.27</v>
      </c>
      <c r="D83" s="1">
        <v>235.65</v>
      </c>
      <c r="E83" s="1">
        <f t="shared" si="18"/>
        <v>2.6157130280847624E-2</v>
      </c>
      <c r="F83" s="1">
        <f t="shared" si="19"/>
        <v>1.6419185541230837E-2</v>
      </c>
      <c r="G83" s="1">
        <f t="shared" si="20"/>
        <v>1.3457428342328962E-2</v>
      </c>
      <c r="P83" s="39">
        <f t="shared" si="21"/>
        <v>1052.4910765219252</v>
      </c>
      <c r="Q83" s="26">
        <f t="shared" si="22"/>
        <v>17.338587971815286</v>
      </c>
      <c r="R83" s="26">
        <f t="shared" si="23"/>
        <v>-17.338587971815286</v>
      </c>
      <c r="U83" s="41"/>
    </row>
    <row r="84" spans="1:21" x14ac:dyDescent="0.3">
      <c r="A84" s="2">
        <v>43997</v>
      </c>
      <c r="B84" s="1">
        <v>85.747500000000002</v>
      </c>
      <c r="C84" s="1">
        <v>2572.6799999999998</v>
      </c>
      <c r="D84" s="1">
        <v>232.5</v>
      </c>
      <c r="E84" s="1">
        <f t="shared" si="18"/>
        <v>1.2291329444088814E-2</v>
      </c>
      <c r="F84" s="1">
        <f t="shared" si="19"/>
        <v>1.0809648605926373E-2</v>
      </c>
      <c r="G84" s="1">
        <f t="shared" si="20"/>
        <v>1.7003966557958963E-2</v>
      </c>
      <c r="P84" s="39">
        <f t="shared" si="21"/>
        <v>1035.1524885501099</v>
      </c>
      <c r="Q84" s="26">
        <f t="shared" si="22"/>
        <v>11.489203109177197</v>
      </c>
      <c r="R84" s="26">
        <f t="shared" si="23"/>
        <v>-11.489203109177197</v>
      </c>
      <c r="U84" s="41"/>
    </row>
    <row r="85" spans="1:21" x14ac:dyDescent="0.3">
      <c r="A85" s="2">
        <v>43994</v>
      </c>
      <c r="B85" s="1">
        <v>84.7</v>
      </c>
      <c r="C85" s="1">
        <v>2545.02</v>
      </c>
      <c r="D85" s="1">
        <v>228.58</v>
      </c>
      <c r="E85" s="1">
        <f t="shared" si="18"/>
        <v>8.5964661596524723E-3</v>
      </c>
      <c r="F85" s="1">
        <f t="shared" si="19"/>
        <v>-5.0715573000361903E-3</v>
      </c>
      <c r="G85" s="1">
        <f t="shared" si="20"/>
        <v>1.8322403917028759E-2</v>
      </c>
      <c r="P85" s="39">
        <f t="shared" si="21"/>
        <v>1023.6632854409327</v>
      </c>
      <c r="Q85" s="26">
        <f t="shared" si="22"/>
        <v>-3.5747278506416933</v>
      </c>
      <c r="R85" s="26">
        <f t="shared" si="23"/>
        <v>3.5747278506416933</v>
      </c>
      <c r="U85" s="41"/>
    </row>
    <row r="86" spans="1:21" x14ac:dyDescent="0.3">
      <c r="A86" s="2">
        <v>43993</v>
      </c>
      <c r="B86" s="1">
        <v>83.974999999999994</v>
      </c>
      <c r="C86" s="1">
        <v>2557.96</v>
      </c>
      <c r="D86" s="1">
        <v>224.43</v>
      </c>
      <c r="E86" s="1">
        <f t="shared" si="18"/>
        <v>-4.9201199772319078E-2</v>
      </c>
      <c r="F86" s="1">
        <f t="shared" si="19"/>
        <v>-3.4386846756008234E-2</v>
      </c>
      <c r="G86" s="1">
        <f t="shared" si="20"/>
        <v>-5.3356396648629976E-2</v>
      </c>
      <c r="P86" s="39">
        <f t="shared" si="21"/>
        <v>1027.2380132915744</v>
      </c>
      <c r="Q86" s="26">
        <f t="shared" si="22"/>
        <v>-37.439267556466575</v>
      </c>
      <c r="R86" s="26">
        <f t="shared" si="23"/>
        <v>37.439267556466575</v>
      </c>
      <c r="U86" s="41"/>
    </row>
    <row r="87" spans="1:21" x14ac:dyDescent="0.3">
      <c r="A87" s="2">
        <v>43992</v>
      </c>
      <c r="B87" s="1">
        <v>88.21</v>
      </c>
      <c r="C87" s="1">
        <v>2647.45</v>
      </c>
      <c r="D87" s="1">
        <v>236.73</v>
      </c>
      <c r="E87" s="1">
        <f t="shared" si="18"/>
        <v>2.5402109207143461E-2</v>
      </c>
      <c r="F87" s="1">
        <f t="shared" si="19"/>
        <v>1.7754753007697566E-2</v>
      </c>
      <c r="G87" s="1">
        <f t="shared" si="20"/>
        <v>-8.1615934743991501E-3</v>
      </c>
      <c r="P87" s="39">
        <f t="shared" si="21"/>
        <v>1064.6772808480409</v>
      </c>
      <c r="Q87" s="26">
        <f t="shared" si="22"/>
        <v>17.686542041848725</v>
      </c>
      <c r="R87" s="26">
        <f t="shared" si="23"/>
        <v>-17.686542041848725</v>
      </c>
      <c r="U87" s="41"/>
    </row>
    <row r="88" spans="1:21" x14ac:dyDescent="0.3">
      <c r="A88" s="2">
        <v>43991</v>
      </c>
      <c r="B88" s="1">
        <v>85.997500000000002</v>
      </c>
      <c r="C88" s="1">
        <v>2600.86</v>
      </c>
      <c r="D88" s="1">
        <v>238.67</v>
      </c>
      <c r="E88" s="1">
        <f t="shared" si="18"/>
        <v>3.1089669051109898E-2</v>
      </c>
      <c r="F88" s="1">
        <f t="shared" si="19"/>
        <v>2.9973443378893249E-2</v>
      </c>
      <c r="G88" s="1">
        <f t="shared" si="20"/>
        <v>3.0934029915876148E-2</v>
      </c>
      <c r="P88" s="39">
        <f t="shared" si="21"/>
        <v>1046.9907388061922</v>
      </c>
      <c r="Q88" s="26">
        <f t="shared" si="22"/>
        <v>31.003038946216407</v>
      </c>
      <c r="R88" s="26">
        <f t="shared" si="23"/>
        <v>-31.003038946216407</v>
      </c>
      <c r="U88" s="41"/>
    </row>
    <row r="89" spans="1:21" x14ac:dyDescent="0.3">
      <c r="A89" s="2">
        <v>43990</v>
      </c>
      <c r="B89" s="1">
        <v>83.364999999999995</v>
      </c>
      <c r="C89" s="1">
        <v>2524.06</v>
      </c>
      <c r="D89" s="1">
        <v>231.4</v>
      </c>
      <c r="E89" s="1">
        <f t="shared" si="18"/>
        <v>5.8951085063955527E-3</v>
      </c>
      <c r="F89" s="1">
        <f t="shared" si="19"/>
        <v>1.6401209661200747E-2</v>
      </c>
      <c r="G89" s="1">
        <f t="shared" si="20"/>
        <v>2.7262712430883018E-3</v>
      </c>
      <c r="P89" s="39">
        <f t="shared" si="21"/>
        <v>1015.9876998599758</v>
      </c>
      <c r="Q89" s="26">
        <f t="shared" si="22"/>
        <v>15.489427601787838</v>
      </c>
      <c r="R89" s="26">
        <f t="shared" si="23"/>
        <v>-15.489427601787838</v>
      </c>
      <c r="U89" s="41"/>
    </row>
    <row r="90" spans="1:21" x14ac:dyDescent="0.3">
      <c r="A90" s="2">
        <v>43987</v>
      </c>
      <c r="B90" s="1">
        <v>82.875</v>
      </c>
      <c r="C90" s="1">
        <v>2483</v>
      </c>
      <c r="D90" s="1">
        <v>230.77</v>
      </c>
      <c r="E90" s="1">
        <f t="shared" si="18"/>
        <v>2.8082968742825305E-2</v>
      </c>
      <c r="F90" s="1">
        <f t="shared" si="19"/>
        <v>9.0622838820981801E-3</v>
      </c>
      <c r="G90" s="1">
        <f t="shared" si="20"/>
        <v>1.9604180982838573E-2</v>
      </c>
      <c r="P90" s="39">
        <f t="shared" si="21"/>
        <v>1000.498272258188</v>
      </c>
      <c r="Q90" s="26">
        <f t="shared" si="22"/>
        <v>10.186645305088518</v>
      </c>
      <c r="R90" s="26">
        <f t="shared" si="23"/>
        <v>-10.186645305088518</v>
      </c>
      <c r="U90" s="41"/>
    </row>
    <row r="91" spans="1:21" x14ac:dyDescent="0.3">
      <c r="A91" s="2">
        <v>43986</v>
      </c>
      <c r="B91" s="1">
        <v>80.58</v>
      </c>
      <c r="C91" s="1">
        <v>2460.6</v>
      </c>
      <c r="D91" s="1">
        <v>226.29</v>
      </c>
      <c r="E91" s="1">
        <f t="shared" si="18"/>
        <v>-8.6495040669705946E-3</v>
      </c>
      <c r="F91" s="1">
        <f t="shared" si="19"/>
        <v>-7.2079680365357201E-3</v>
      </c>
      <c r="G91" s="1">
        <f t="shared" si="20"/>
        <v>-1.6957356709643327E-2</v>
      </c>
      <c r="P91" s="39">
        <f t="shared" si="21"/>
        <v>990.31162695309945</v>
      </c>
      <c r="Q91" s="26">
        <f t="shared" si="22"/>
        <v>-7.6963536785523274</v>
      </c>
      <c r="R91" s="26">
        <f t="shared" si="23"/>
        <v>7.6963536785523274</v>
      </c>
      <c r="U91" s="40"/>
    </row>
    <row r="92" spans="1:21" x14ac:dyDescent="0.3">
      <c r="A92" s="2">
        <v>43985</v>
      </c>
      <c r="B92" s="1">
        <v>81.28</v>
      </c>
      <c r="C92" s="1">
        <v>2478.4</v>
      </c>
      <c r="D92" s="1">
        <v>230.16</v>
      </c>
      <c r="E92" s="1">
        <f t="shared" si="18"/>
        <v>5.4899437766020584E-3</v>
      </c>
      <c r="F92" s="1">
        <f t="shared" si="19"/>
        <v>2.4198072326968405E-3</v>
      </c>
      <c r="G92" s="1">
        <f t="shared" si="20"/>
        <v>-1.1061294943653746E-2</v>
      </c>
      <c r="P92" s="39">
        <f t="shared" si="21"/>
        <v>998.00798063165178</v>
      </c>
      <c r="Q92" s="26">
        <f t="shared" si="22"/>
        <v>1.8397155139871302</v>
      </c>
      <c r="R92" s="26">
        <f t="shared" si="23"/>
        <v>-1.8397155139871302</v>
      </c>
      <c r="U92" s="40"/>
    </row>
    <row r="93" spans="1:21" x14ac:dyDescent="0.3">
      <c r="A93" s="2">
        <v>43984</v>
      </c>
      <c r="B93" s="1">
        <v>80.834999999999994</v>
      </c>
      <c r="C93" s="1">
        <v>2472.41</v>
      </c>
      <c r="D93" s="1">
        <v>232.72</v>
      </c>
      <c r="E93" s="1">
        <f t="shared" si="18"/>
        <v>4.6188026748352805E-3</v>
      </c>
      <c r="F93" s="1">
        <f t="shared" si="19"/>
        <v>5.5426879409044424E-4</v>
      </c>
      <c r="G93" s="1">
        <f t="shared" si="20"/>
        <v>3.4866488198283304E-3</v>
      </c>
      <c r="P93" s="39">
        <f t="shared" si="21"/>
        <v>996.16826511766465</v>
      </c>
      <c r="Q93" s="26">
        <f t="shared" si="22"/>
        <v>0.83535848411759162</v>
      </c>
      <c r="R93" s="26">
        <f t="shared" si="23"/>
        <v>-0.83535848411759162</v>
      </c>
      <c r="U93" s="40"/>
    </row>
    <row r="94" spans="1:21" x14ac:dyDescent="0.3">
      <c r="A94" s="2">
        <v>43983</v>
      </c>
      <c r="B94" s="1">
        <v>80.462500000000006</v>
      </c>
      <c r="C94" s="1">
        <v>2471.04</v>
      </c>
      <c r="D94" s="1">
        <v>231.91</v>
      </c>
      <c r="E94" s="1">
        <f t="shared" si="18"/>
        <v>1.2222912765899315E-2</v>
      </c>
      <c r="F94" s="1">
        <f t="shared" si="19"/>
        <v>1.1670235290912953E-2</v>
      </c>
      <c r="G94" s="1">
        <f t="shared" si="20"/>
        <v>2.9849043141370747E-2</v>
      </c>
      <c r="P94" s="39">
        <f t="shared" si="21"/>
        <v>995.33290663354705</v>
      </c>
      <c r="Q94" s="26">
        <f t="shared" si="22"/>
        <v>12.461324843197417</v>
      </c>
      <c r="R94" s="26">
        <f t="shared" si="23"/>
        <v>-12.461324843197417</v>
      </c>
      <c r="U94" s="40"/>
    </row>
    <row r="95" spans="1:21" x14ac:dyDescent="0.3">
      <c r="A95" s="2">
        <v>43980</v>
      </c>
      <c r="B95" s="1">
        <v>79.484999999999999</v>
      </c>
      <c r="C95" s="1">
        <v>2442.37</v>
      </c>
      <c r="D95" s="1">
        <v>225.09</v>
      </c>
      <c r="E95" s="1">
        <f t="shared" si="18"/>
        <v>-9.7455170479014295E-4</v>
      </c>
      <c r="F95" s="1">
        <f t="shared" si="19"/>
        <v>1.7041913678172808E-2</v>
      </c>
      <c r="G95" s="1">
        <f t="shared" si="20"/>
        <v>-1.6424373906382417E-3</v>
      </c>
      <c r="P95" s="39">
        <f t="shared" si="21"/>
        <v>982.87158179034964</v>
      </c>
      <c r="Q95" s="26">
        <f t="shared" si="22"/>
        <v>15.11507333477482</v>
      </c>
      <c r="R95" s="26">
        <f t="shared" si="23"/>
        <v>-15.11507333477482</v>
      </c>
      <c r="U95" s="40"/>
    </row>
    <row r="96" spans="1:21" x14ac:dyDescent="0.3">
      <c r="A96" s="2">
        <v>43979</v>
      </c>
      <c r="B96" s="1">
        <v>79.5625</v>
      </c>
      <c r="C96" s="1">
        <v>2401.1</v>
      </c>
      <c r="D96" s="1">
        <v>225.46</v>
      </c>
      <c r="E96" s="1">
        <f t="shared" si="18"/>
        <v>4.4000252139874237E-4</v>
      </c>
      <c r="F96" s="1">
        <f t="shared" si="19"/>
        <v>-3.8615944517403698E-3</v>
      </c>
      <c r="G96" s="1">
        <f t="shared" si="20"/>
        <v>-1.6190410849094547E-2</v>
      </c>
      <c r="P96" s="39">
        <f t="shared" si="21"/>
        <v>967.75650845557482</v>
      </c>
      <c r="Q96" s="26">
        <f t="shared" si="22"/>
        <v>-4.2107247861217729</v>
      </c>
      <c r="R96" s="26">
        <f t="shared" si="23"/>
        <v>4.2107247861217729</v>
      </c>
      <c r="U96" s="40"/>
    </row>
    <row r="97" spans="1:21" x14ac:dyDescent="0.3">
      <c r="A97" s="2">
        <v>43978</v>
      </c>
      <c r="B97" s="1">
        <v>79.527500000000003</v>
      </c>
      <c r="C97" s="1">
        <v>2410.39</v>
      </c>
      <c r="D97" s="1">
        <v>229.14</v>
      </c>
      <c r="E97" s="1">
        <f t="shared" si="18"/>
        <v>4.3475589869739579E-3</v>
      </c>
      <c r="F97" s="1">
        <f t="shared" si="19"/>
        <v>-4.7472798556733179E-3</v>
      </c>
      <c r="G97" s="1">
        <f t="shared" si="20"/>
        <v>-1.3265898798311257E-2</v>
      </c>
      <c r="P97" s="39">
        <f t="shared" si="21"/>
        <v>971.96723324169659</v>
      </c>
      <c r="Q97" s="26">
        <f t="shared" si="22"/>
        <v>-4.7522778160014241</v>
      </c>
      <c r="R97" s="26">
        <f t="shared" si="23"/>
        <v>4.7522778160014241</v>
      </c>
      <c r="U97" s="40"/>
    </row>
    <row r="98" spans="1:21" x14ac:dyDescent="0.3">
      <c r="A98" s="2">
        <v>43977</v>
      </c>
      <c r="B98" s="1">
        <v>79.182500000000005</v>
      </c>
      <c r="C98" s="1">
        <v>2421.86</v>
      </c>
      <c r="D98" s="1">
        <v>232.2</v>
      </c>
      <c r="E98" s="1">
        <f t="shared" si="18"/>
        <v>-6.7965398027914452E-3</v>
      </c>
      <c r="F98" s="1">
        <f t="shared" si="19"/>
        <v>-6.1826925687681654E-3</v>
      </c>
      <c r="G98" s="1">
        <f t="shared" si="20"/>
        <v>-1.1603392801882795E-2</v>
      </c>
      <c r="P98" s="39">
        <f t="shared" si="21"/>
        <v>976.71951105769801</v>
      </c>
      <c r="Q98" s="26">
        <f t="shared" si="22"/>
        <v>-6.3529418385353438</v>
      </c>
      <c r="R98" s="26">
        <f t="shared" si="23"/>
        <v>6.3529418385353438</v>
      </c>
      <c r="U98" s="40"/>
    </row>
    <row r="99" spans="1:21" x14ac:dyDescent="0.3">
      <c r="A99" s="2">
        <v>43973</v>
      </c>
      <c r="B99" s="1">
        <v>79.722499999999997</v>
      </c>
      <c r="C99" s="1">
        <v>2436.88</v>
      </c>
      <c r="D99" s="1">
        <v>234.91</v>
      </c>
      <c r="E99" s="1">
        <f t="shared" si="18"/>
        <v>6.4177399624085968E-3</v>
      </c>
      <c r="F99" s="1">
        <f t="shared" si="19"/>
        <v>-4.037993700408307E-3</v>
      </c>
      <c r="G99" s="1">
        <f t="shared" si="20"/>
        <v>1.5097863451656464E-2</v>
      </c>
      <c r="P99" s="39">
        <f t="shared" si="21"/>
        <v>983.07245289623336</v>
      </c>
      <c r="Q99" s="26">
        <f t="shared" si="22"/>
        <v>-2.6639092321616999</v>
      </c>
      <c r="R99" s="26">
        <f t="shared" si="23"/>
        <v>2.6639092321616999</v>
      </c>
      <c r="U99" s="40"/>
    </row>
    <row r="100" spans="1:21" x14ac:dyDescent="0.3">
      <c r="A100" s="2">
        <v>43972</v>
      </c>
      <c r="B100" s="1">
        <v>79.212500000000006</v>
      </c>
      <c r="C100" s="1">
        <v>2446.7399999999998</v>
      </c>
      <c r="D100" s="1">
        <v>231.39</v>
      </c>
      <c r="E100" s="1">
        <f t="shared" si="18"/>
        <v>-7.4833703522239024E-3</v>
      </c>
      <c r="F100" s="1">
        <f t="shared" si="19"/>
        <v>-2.0709865938363593E-2</v>
      </c>
      <c r="G100" s="1">
        <f t="shared" si="20"/>
        <v>6.1557329807867206E-3</v>
      </c>
      <c r="P100" s="39">
        <f t="shared" si="21"/>
        <v>985.73636212839506</v>
      </c>
      <c r="Q100" s="26">
        <f t="shared" si="22"/>
        <v>-18.830020896082942</v>
      </c>
      <c r="R100" s="26">
        <f t="shared" si="23"/>
        <v>18.830020896082942</v>
      </c>
      <c r="U100" s="40"/>
    </row>
    <row r="101" spans="1:21" x14ac:dyDescent="0.3">
      <c r="A101" s="2">
        <v>43971</v>
      </c>
      <c r="B101" s="1">
        <v>79.807500000000005</v>
      </c>
      <c r="C101" s="1">
        <v>2497.94</v>
      </c>
      <c r="D101" s="1">
        <v>229.97</v>
      </c>
      <c r="E101" s="1">
        <f t="shared" si="18"/>
        <v>1.9261471238373101E-2</v>
      </c>
      <c r="F101" s="1">
        <f t="shared" si="19"/>
        <v>1.9651874430238726E-2</v>
      </c>
      <c r="G101" s="1">
        <f t="shared" si="20"/>
        <v>5.8604660442820651E-2</v>
      </c>
      <c r="P101" s="39">
        <f t="shared" si="21"/>
        <v>1004.566383024478</v>
      </c>
      <c r="Q101" s="26">
        <f t="shared" si="22"/>
        <v>21.403162555252834</v>
      </c>
      <c r="R101" s="26">
        <f t="shared" si="23"/>
        <v>-21.403162555252834</v>
      </c>
      <c r="U101" s="40"/>
    </row>
    <row r="102" spans="1:21" x14ac:dyDescent="0.3">
      <c r="A102" s="2">
        <v>43970</v>
      </c>
      <c r="B102" s="1">
        <v>78.284999999999997</v>
      </c>
      <c r="C102" s="1">
        <v>2449.33</v>
      </c>
      <c r="D102" s="1">
        <v>216.88</v>
      </c>
      <c r="E102" s="1">
        <f t="shared" si="18"/>
        <v>-5.7952717521052343E-3</v>
      </c>
      <c r="F102" s="1">
        <f t="shared" si="19"/>
        <v>9.4635406899086453E-3</v>
      </c>
      <c r="G102" s="1">
        <f t="shared" si="20"/>
        <v>1.7160418313959439E-2</v>
      </c>
      <c r="P102" s="39">
        <f t="shared" si="21"/>
        <v>983.16322046922517</v>
      </c>
      <c r="Q102" s="26">
        <f t="shared" si="22"/>
        <v>9.1232762238565783</v>
      </c>
      <c r="R102" s="26">
        <f t="shared" si="23"/>
        <v>-9.1232762238565783</v>
      </c>
      <c r="U102" s="40"/>
    </row>
    <row r="103" spans="1:21" x14ac:dyDescent="0.3">
      <c r="A103" s="2">
        <v>43969</v>
      </c>
      <c r="B103" s="1">
        <v>78.739999999999995</v>
      </c>
      <c r="C103" s="1">
        <v>2426.2600000000002</v>
      </c>
      <c r="D103" s="1">
        <v>213.19</v>
      </c>
      <c r="E103" s="1">
        <f t="shared" si="18"/>
        <v>2.3287865648052835E-2</v>
      </c>
      <c r="F103" s="1">
        <f t="shared" si="19"/>
        <v>6.8155200507390651E-3</v>
      </c>
      <c r="G103" s="1">
        <f t="shared" si="20"/>
        <v>1.0894535562308393E-2</v>
      </c>
      <c r="P103" s="39">
        <f t="shared" si="21"/>
        <v>974.03994424536859</v>
      </c>
      <c r="Q103" s="26">
        <f t="shared" si="22"/>
        <v>7.3321726884344116</v>
      </c>
      <c r="R103" s="26">
        <f t="shared" si="23"/>
        <v>-7.3321726884344116</v>
      </c>
      <c r="U103" s="40"/>
    </row>
    <row r="104" spans="1:21" x14ac:dyDescent="0.3">
      <c r="A104" s="2">
        <v>43966</v>
      </c>
      <c r="B104" s="1">
        <v>76.927499999999995</v>
      </c>
      <c r="C104" s="1">
        <v>2409.7800000000002</v>
      </c>
      <c r="D104" s="1">
        <v>210.88</v>
      </c>
      <c r="E104" s="1">
        <f t="shared" si="18"/>
        <v>-5.9295434971843638E-3</v>
      </c>
      <c r="F104" s="1">
        <f t="shared" si="19"/>
        <v>8.7233784335364467E-3</v>
      </c>
      <c r="G104" s="1">
        <f t="shared" si="20"/>
        <v>1.9488753949557382E-2</v>
      </c>
      <c r="P104" s="39">
        <f t="shared" si="21"/>
        <v>966.70777155693418</v>
      </c>
      <c r="Q104" s="26">
        <f t="shared" si="22"/>
        <v>8.4149965257694248</v>
      </c>
      <c r="R104" s="26">
        <f t="shared" si="23"/>
        <v>-8.4149965257694248</v>
      </c>
      <c r="U104" s="40"/>
    </row>
    <row r="105" spans="1:21" x14ac:dyDescent="0.3">
      <c r="A105" s="2">
        <v>43965</v>
      </c>
      <c r="B105" s="1">
        <v>77.385000000000005</v>
      </c>
      <c r="C105" s="1">
        <v>2388.85</v>
      </c>
      <c r="D105" s="1">
        <v>206.81</v>
      </c>
      <c r="E105" s="1">
        <f t="shared" si="18"/>
        <v>6.1245512981143672E-3</v>
      </c>
      <c r="F105" s="1">
        <f t="shared" si="19"/>
        <v>8.8001459278341503E-3</v>
      </c>
      <c r="G105" s="1">
        <f t="shared" si="20"/>
        <v>8.302832286250077E-3</v>
      </c>
      <c r="P105" s="39">
        <f t="shared" si="21"/>
        <v>958.29277503116475</v>
      </c>
      <c r="Q105" s="26">
        <f t="shared" si="22"/>
        <v>8.2888723422207704</v>
      </c>
      <c r="R105" s="26">
        <f t="shared" si="23"/>
        <v>-8.2888723422207704</v>
      </c>
      <c r="U105" s="40"/>
    </row>
    <row r="106" spans="1:21" x14ac:dyDescent="0.3">
      <c r="A106" s="2">
        <v>43964</v>
      </c>
      <c r="B106" s="1">
        <v>76.912499999999994</v>
      </c>
      <c r="C106" s="1">
        <v>2367.92</v>
      </c>
      <c r="D106" s="1">
        <v>205.1</v>
      </c>
      <c r="E106" s="1">
        <f t="shared" si="18"/>
        <v>-1.2147598735679586E-2</v>
      </c>
      <c r="F106" s="1">
        <f t="shared" si="19"/>
        <v>4.6435223451772468E-3</v>
      </c>
      <c r="G106" s="1">
        <f t="shared" si="20"/>
        <v>-2.4085942772619759E-2</v>
      </c>
      <c r="P106" s="39">
        <f t="shared" si="21"/>
        <v>950.00390268894398</v>
      </c>
      <c r="Q106" s="26">
        <f t="shared" si="22"/>
        <v>2.5745744274598792</v>
      </c>
      <c r="R106" s="26">
        <f t="shared" si="23"/>
        <v>-2.5745744274598792</v>
      </c>
      <c r="U106" s="40"/>
    </row>
    <row r="107" spans="1:21" x14ac:dyDescent="0.3">
      <c r="A107" s="2">
        <v>43963</v>
      </c>
      <c r="B107" s="1">
        <v>77.852500000000006</v>
      </c>
      <c r="C107" s="1">
        <v>2356.9499999999998</v>
      </c>
      <c r="D107" s="1">
        <v>210.1</v>
      </c>
      <c r="E107" s="1">
        <f t="shared" si="18"/>
        <v>-1.1494012431305609E-2</v>
      </c>
      <c r="F107" s="1">
        <f t="shared" si="19"/>
        <v>-2.1843313310621025E-2</v>
      </c>
      <c r="G107" s="1">
        <f t="shared" si="20"/>
        <v>-1.4553271410036003E-2</v>
      </c>
      <c r="P107" s="39">
        <f t="shared" si="21"/>
        <v>947.4293282614841</v>
      </c>
      <c r="Q107" s="26">
        <f t="shared" si="22"/>
        <v>-20.24521627523734</v>
      </c>
      <c r="R107" s="26">
        <f t="shared" si="23"/>
        <v>20.24521627523734</v>
      </c>
      <c r="U107" s="40"/>
    </row>
    <row r="108" spans="1:21" x14ac:dyDescent="0.3">
      <c r="A108" s="2">
        <v>43962</v>
      </c>
      <c r="B108" s="1">
        <v>78.752499999999998</v>
      </c>
      <c r="C108" s="1">
        <v>2409</v>
      </c>
      <c r="D108" s="1">
        <v>213.18</v>
      </c>
      <c r="E108" s="1">
        <f t="shared" si="18"/>
        <v>1.5614109722784894E-2</v>
      </c>
      <c r="F108" s="1">
        <f t="shared" si="19"/>
        <v>1.2275114922994934E-2</v>
      </c>
      <c r="G108" s="1">
        <f t="shared" si="20"/>
        <v>3.9010225017105308E-3</v>
      </c>
      <c r="P108" s="39">
        <f t="shared" si="21"/>
        <v>967.67454453672144</v>
      </c>
      <c r="Q108" s="26">
        <f t="shared" si="22"/>
        <v>11.529391281990343</v>
      </c>
      <c r="R108" s="26">
        <f t="shared" si="23"/>
        <v>-11.529391281990343</v>
      </c>
      <c r="U108" s="40"/>
    </row>
    <row r="109" spans="1:21" x14ac:dyDescent="0.3">
      <c r="A109" s="2">
        <v>43959</v>
      </c>
      <c r="B109" s="1">
        <v>77.532399999999996</v>
      </c>
      <c r="C109" s="1">
        <v>2379.61</v>
      </c>
      <c r="D109" s="1">
        <v>212.35</v>
      </c>
      <c r="E109" s="1">
        <f t="shared" si="18"/>
        <v>2.0818202328575709E-2</v>
      </c>
      <c r="F109" s="1">
        <f t="shared" si="19"/>
        <v>5.0556011977925756E-3</v>
      </c>
      <c r="G109" s="1">
        <f t="shared" si="20"/>
        <v>5.1462543642640341E-3</v>
      </c>
      <c r="P109" s="39">
        <f t="shared" si="21"/>
        <v>956.1451532547311</v>
      </c>
      <c r="Q109" s="26">
        <f t="shared" si="22"/>
        <v>5.325681219393914</v>
      </c>
      <c r="R109" s="26">
        <f t="shared" si="23"/>
        <v>-5.325681219393914</v>
      </c>
      <c r="U109" s="40"/>
    </row>
    <row r="110" spans="1:21" x14ac:dyDescent="0.3">
      <c r="A110" s="2">
        <v>43958</v>
      </c>
      <c r="B110" s="1">
        <v>75.935000000000002</v>
      </c>
      <c r="C110" s="1">
        <v>2367.61</v>
      </c>
      <c r="D110" s="1">
        <v>211.26</v>
      </c>
      <c r="E110" s="1">
        <f t="shared" si="18"/>
        <v>1.0291799563776667E-2</v>
      </c>
      <c r="F110" s="1">
        <f t="shared" si="19"/>
        <v>6.9296528310032381E-3</v>
      </c>
      <c r="G110" s="1">
        <f t="shared" si="20"/>
        <v>1.3294456400670326E-2</v>
      </c>
      <c r="P110" s="39">
        <f t="shared" si="21"/>
        <v>950.81947203533718</v>
      </c>
      <c r="Q110" s="26">
        <f t="shared" si="22"/>
        <v>6.9594087422606208</v>
      </c>
      <c r="R110" s="26">
        <f t="shared" si="23"/>
        <v>-6.9594087422606208</v>
      </c>
      <c r="U110" s="40"/>
    </row>
    <row r="111" spans="1:21" x14ac:dyDescent="0.3">
      <c r="A111" s="2">
        <v>43957</v>
      </c>
      <c r="B111" s="1">
        <v>75.157499999999999</v>
      </c>
      <c r="C111" s="1">
        <v>2351.2600000000002</v>
      </c>
      <c r="D111" s="1">
        <v>208.47</v>
      </c>
      <c r="E111" s="1">
        <f t="shared" si="18"/>
        <v>1.0264387415206463E-2</v>
      </c>
      <c r="F111" s="1">
        <f t="shared" si="19"/>
        <v>1.4332894762789958E-2</v>
      </c>
      <c r="G111" s="1">
        <f t="shared" si="20"/>
        <v>6.7382456424121976E-3</v>
      </c>
      <c r="P111" s="39">
        <f t="shared" si="21"/>
        <v>943.86006329307656</v>
      </c>
      <c r="Q111" s="26">
        <f t="shared" si="22"/>
        <v>12.967101964670405</v>
      </c>
      <c r="R111" s="26">
        <f t="shared" si="23"/>
        <v>-12.967101964670405</v>
      </c>
      <c r="U111" s="40"/>
    </row>
    <row r="112" spans="1:21" x14ac:dyDescent="0.3">
      <c r="A112" s="2">
        <v>43956</v>
      </c>
      <c r="B112" s="1">
        <v>74.39</v>
      </c>
      <c r="C112" s="1">
        <v>2317.8000000000002</v>
      </c>
      <c r="D112" s="1">
        <v>207.07</v>
      </c>
      <c r="E112" s="1">
        <f t="shared" si="18"/>
        <v>1.4897350265491036E-2</v>
      </c>
      <c r="F112" s="1">
        <f t="shared" si="19"/>
        <v>7.8121800601847248E-4</v>
      </c>
      <c r="G112" s="1">
        <f t="shared" si="20"/>
        <v>8.7794321343652067E-3</v>
      </c>
      <c r="P112" s="39">
        <f t="shared" si="21"/>
        <v>930.89296132840616</v>
      </c>
      <c r="Q112" s="26">
        <f t="shared" si="22"/>
        <v>1.5158338207822908</v>
      </c>
      <c r="R112" s="26">
        <f t="shared" si="23"/>
        <v>-1.5158338207822908</v>
      </c>
      <c r="U112" s="40"/>
    </row>
    <row r="113" spans="1:21" x14ac:dyDescent="0.3">
      <c r="A113" s="2">
        <v>43955</v>
      </c>
      <c r="B113" s="1">
        <v>73.290000000000006</v>
      </c>
      <c r="C113" s="1">
        <v>2315.9899999999998</v>
      </c>
      <c r="D113" s="1">
        <v>205.26</v>
      </c>
      <c r="E113" s="1">
        <f t="shared" si="18"/>
        <v>1.4049661741549393E-2</v>
      </c>
      <c r="F113" s="1">
        <f t="shared" si="19"/>
        <v>1.3016178879827771E-2</v>
      </c>
      <c r="G113" s="1">
        <f t="shared" si="20"/>
        <v>1.4674029652564063E-2</v>
      </c>
      <c r="P113" s="39">
        <f t="shared" si="21"/>
        <v>929.37712750762387</v>
      </c>
      <c r="Q113" s="26">
        <f t="shared" si="22"/>
        <v>12.122242824948444</v>
      </c>
      <c r="R113" s="26">
        <f t="shared" si="23"/>
        <v>-12.122242824948444</v>
      </c>
      <c r="U113" s="40"/>
    </row>
    <row r="114" spans="1:21" x14ac:dyDescent="0.3">
      <c r="A114" s="2">
        <v>43952</v>
      </c>
      <c r="B114" s="1">
        <v>72.267499999999998</v>
      </c>
      <c r="C114" s="1">
        <v>2286.04</v>
      </c>
      <c r="D114" s="1">
        <v>202.27</v>
      </c>
      <c r="E114" s="1">
        <f t="shared" si="18"/>
        <v>-1.6230390423676997E-2</v>
      </c>
      <c r="F114" s="1">
        <f t="shared" si="19"/>
        <v>-7.9015210937988828E-2</v>
      </c>
      <c r="G114" s="1">
        <f t="shared" si="20"/>
        <v>-1.1990904887525737E-2</v>
      </c>
      <c r="P114" s="39">
        <f t="shared" si="21"/>
        <v>917.25488468267542</v>
      </c>
      <c r="Q114" s="26">
        <f t="shared" si="22"/>
        <v>-70.370194552333146</v>
      </c>
      <c r="R114" s="26">
        <f t="shared" si="23"/>
        <v>70.370194552333146</v>
      </c>
      <c r="U114" s="40"/>
    </row>
    <row r="115" spans="1:21" x14ac:dyDescent="0.3">
      <c r="A115" s="2">
        <v>43951</v>
      </c>
      <c r="B115" s="1">
        <v>73.45</v>
      </c>
      <c r="C115" s="1">
        <v>2474</v>
      </c>
      <c r="D115" s="1">
        <v>204.71</v>
      </c>
      <c r="E115" s="1">
        <f t="shared" si="18"/>
        <v>2.0876723331807501E-2</v>
      </c>
      <c r="F115" s="1">
        <f t="shared" si="19"/>
        <v>4.1803512160002651E-2</v>
      </c>
      <c r="G115" s="1">
        <f t="shared" si="20"/>
        <v>5.2757282227001386E-2</v>
      </c>
      <c r="P115" s="39">
        <f t="shared" si="21"/>
        <v>987.62507923500857</v>
      </c>
      <c r="Q115" s="26">
        <f t="shared" si="22"/>
        <v>40.281448140859538</v>
      </c>
      <c r="R115" s="26">
        <f t="shared" si="23"/>
        <v>-40.281448140859538</v>
      </c>
      <c r="U115" s="40"/>
    </row>
    <row r="116" spans="1:21" x14ac:dyDescent="0.3">
      <c r="A116" s="2">
        <v>43950</v>
      </c>
      <c r="B116" s="1">
        <v>71.932500000000005</v>
      </c>
      <c r="C116" s="1">
        <v>2372.71</v>
      </c>
      <c r="D116" s="1">
        <v>194.19</v>
      </c>
      <c r="E116" s="1">
        <f t="shared" si="18"/>
        <v>3.2317269148084193E-2</v>
      </c>
      <c r="F116" s="1">
        <f t="shared" si="19"/>
        <v>2.502056146700873E-2</v>
      </c>
      <c r="G116" s="1">
        <f t="shared" si="20"/>
        <v>5.9842832637694181E-2</v>
      </c>
      <c r="P116" s="39">
        <f t="shared" si="21"/>
        <v>947.34363109414903</v>
      </c>
      <c r="Q116" s="26">
        <f t="shared" si="22"/>
        <v>25.024940667417013</v>
      </c>
      <c r="R116" s="26">
        <f t="shared" si="23"/>
        <v>-25.024940667417013</v>
      </c>
      <c r="U116" s="40"/>
    </row>
    <row r="117" spans="1:21" x14ac:dyDescent="0.3">
      <c r="A117" s="2">
        <v>43949</v>
      </c>
      <c r="B117" s="1">
        <v>69.644999999999996</v>
      </c>
      <c r="C117" s="1">
        <v>2314.08</v>
      </c>
      <c r="D117" s="1">
        <v>182.91</v>
      </c>
      <c r="E117" s="1">
        <f t="shared" si="18"/>
        <v>-1.6342152745077457E-2</v>
      </c>
      <c r="F117" s="1">
        <f t="shared" si="19"/>
        <v>-2.6406201157113767E-2</v>
      </c>
      <c r="G117" s="1">
        <f t="shared" si="20"/>
        <v>-2.4784616822631139E-2</v>
      </c>
      <c r="P117" s="39">
        <f t="shared" si="21"/>
        <v>922.31869042673202</v>
      </c>
      <c r="Q117" s="26">
        <f t="shared" si="22"/>
        <v>-24.316723141713965</v>
      </c>
      <c r="R117" s="26">
        <f t="shared" si="23"/>
        <v>24.316723141713965</v>
      </c>
      <c r="U117" s="40"/>
    </row>
    <row r="118" spans="1:21" x14ac:dyDescent="0.3">
      <c r="A118" s="2">
        <v>43948</v>
      </c>
      <c r="B118" s="1">
        <v>70.792500000000004</v>
      </c>
      <c r="C118" s="1">
        <v>2376</v>
      </c>
      <c r="D118" s="1">
        <v>187.5</v>
      </c>
      <c r="E118" s="1">
        <f t="shared" si="18"/>
        <v>7.0653904800923651E-4</v>
      </c>
      <c r="F118" s="1">
        <f t="shared" si="19"/>
        <v>-1.4299628142877573E-2</v>
      </c>
      <c r="G118" s="1">
        <f t="shared" si="20"/>
        <v>-1.3613579952280658E-2</v>
      </c>
      <c r="P118" s="39">
        <f t="shared" si="21"/>
        <v>946.63541356844598</v>
      </c>
      <c r="Q118" s="26">
        <f t="shared" si="22"/>
        <v>-13.162366374646581</v>
      </c>
      <c r="R118" s="26">
        <f t="shared" si="23"/>
        <v>13.162366374646581</v>
      </c>
      <c r="U118" s="40"/>
    </row>
    <row r="119" spans="1:21" x14ac:dyDescent="0.3">
      <c r="A119" s="2">
        <v>43945</v>
      </c>
      <c r="B119" s="1">
        <v>70.742500000000007</v>
      </c>
      <c r="C119" s="1">
        <v>2410.2199999999998</v>
      </c>
      <c r="D119" s="1">
        <v>190.07</v>
      </c>
      <c r="E119" s="1">
        <f t="shared" si="18"/>
        <v>2.8460702331272025E-2</v>
      </c>
      <c r="F119" s="1">
        <f t="shared" si="19"/>
        <v>4.478485218735808E-3</v>
      </c>
      <c r="G119" s="1">
        <f t="shared" si="20"/>
        <v>2.6334144361660969E-2</v>
      </c>
      <c r="P119" s="39">
        <f t="shared" si="21"/>
        <v>959.79777994309256</v>
      </c>
      <c r="Q119" s="26">
        <f t="shared" si="22"/>
        <v>5.8667801579629213</v>
      </c>
      <c r="R119" s="26">
        <f t="shared" si="23"/>
        <v>-5.8667801579629213</v>
      </c>
      <c r="U119" s="40"/>
    </row>
    <row r="120" spans="1:21" x14ac:dyDescent="0.3">
      <c r="A120" s="2">
        <v>43944</v>
      </c>
      <c r="B120" s="1">
        <v>68.757499999999993</v>
      </c>
      <c r="C120" s="1">
        <v>2399.4499999999998</v>
      </c>
      <c r="D120" s="1">
        <v>185.13</v>
      </c>
      <c r="E120" s="1">
        <f t="shared" si="18"/>
        <v>-3.8829363104271753E-3</v>
      </c>
      <c r="F120" s="1">
        <f t="shared" si="19"/>
        <v>1.510020419566468E-2</v>
      </c>
      <c r="G120" s="1">
        <f t="shared" si="20"/>
        <v>1.5514314605403291E-2</v>
      </c>
      <c r="P120" s="39">
        <f t="shared" si="21"/>
        <v>953.93099978512964</v>
      </c>
      <c r="Q120" s="26">
        <f t="shared" si="22"/>
        <v>13.774938190747548</v>
      </c>
      <c r="R120" s="26">
        <f t="shared" si="23"/>
        <v>-13.774938190747548</v>
      </c>
      <c r="U120" s="40"/>
    </row>
    <row r="121" spans="1:21" x14ac:dyDescent="0.3">
      <c r="A121" s="2">
        <v>43943</v>
      </c>
      <c r="B121" s="1">
        <v>69.025000000000006</v>
      </c>
      <c r="C121" s="1">
        <v>2363.4899999999998</v>
      </c>
      <c r="D121" s="1">
        <v>182.28</v>
      </c>
      <c r="E121" s="1">
        <f t="shared" si="18"/>
        <v>2.839649355813148E-2</v>
      </c>
      <c r="F121" s="1">
        <f t="shared" si="19"/>
        <v>1.5078265296401095E-2</v>
      </c>
      <c r="G121" s="1">
        <f t="shared" si="20"/>
        <v>6.5050685041212156E-2</v>
      </c>
      <c r="P121" s="39">
        <f t="shared" si="21"/>
        <v>940.15606159438209</v>
      </c>
      <c r="Q121" s="26">
        <f t="shared" si="22"/>
        <v>16.338972113586465</v>
      </c>
      <c r="R121" s="26">
        <f t="shared" si="23"/>
        <v>-16.338972113586465</v>
      </c>
      <c r="U121" s="40"/>
    </row>
    <row r="122" spans="1:21" x14ac:dyDescent="0.3">
      <c r="A122" s="2">
        <v>43942</v>
      </c>
      <c r="B122" s="1">
        <v>67.092500000000001</v>
      </c>
      <c r="C122" s="1">
        <v>2328.12</v>
      </c>
      <c r="D122" s="1">
        <v>170.8</v>
      </c>
      <c r="E122" s="1">
        <f t="shared" si="18"/>
        <v>-3.1398141292192448E-2</v>
      </c>
      <c r="F122" s="1">
        <f t="shared" si="19"/>
        <v>-2.7741611664306384E-2</v>
      </c>
      <c r="G122" s="1">
        <f t="shared" si="20"/>
        <v>-4.2637675384449743E-2</v>
      </c>
      <c r="P122" s="39">
        <f t="shared" si="21"/>
        <v>923.81708948079563</v>
      </c>
      <c r="Q122" s="26">
        <f t="shared" si="22"/>
        <v>-26.662784368857274</v>
      </c>
      <c r="R122" s="26">
        <f t="shared" si="23"/>
        <v>26.662784368857274</v>
      </c>
      <c r="U122" s="40"/>
    </row>
    <row r="123" spans="1:21" x14ac:dyDescent="0.3">
      <c r="A123" s="2">
        <v>43941</v>
      </c>
      <c r="B123" s="1">
        <v>69.232500000000002</v>
      </c>
      <c r="C123" s="1">
        <v>2393.61</v>
      </c>
      <c r="D123" s="1">
        <v>178.24</v>
      </c>
      <c r="E123" s="1">
        <f t="shared" si="18"/>
        <v>-2.0975167352247834E-2</v>
      </c>
      <c r="F123" s="1">
        <f t="shared" si="19"/>
        <v>7.8052491101761696E-3</v>
      </c>
      <c r="G123" s="1">
        <f t="shared" si="20"/>
        <v>-5.5947331790231012E-3</v>
      </c>
      <c r="P123" s="39">
        <f t="shared" si="21"/>
        <v>950.4798738496529</v>
      </c>
      <c r="Q123" s="26">
        <f t="shared" si="22"/>
        <v>6.041795694987627</v>
      </c>
      <c r="R123" s="26">
        <f t="shared" si="23"/>
        <v>-6.041795694987627</v>
      </c>
      <c r="U123" s="40"/>
    </row>
    <row r="124" spans="1:21" x14ac:dyDescent="0.3">
      <c r="A124" s="2">
        <v>43938</v>
      </c>
      <c r="B124" s="1">
        <v>70.7</v>
      </c>
      <c r="C124" s="1">
        <v>2375</v>
      </c>
      <c r="D124" s="1">
        <v>179.24</v>
      </c>
      <c r="E124" s="1">
        <f t="shared" si="18"/>
        <v>-1.3661558593441493E-2</v>
      </c>
      <c r="F124" s="1">
        <f t="shared" si="19"/>
        <v>-1.3877990501725517E-2</v>
      </c>
      <c r="G124" s="1">
        <f t="shared" si="20"/>
        <v>1.6822248225564315E-2</v>
      </c>
      <c r="P124" s="39">
        <f t="shared" si="21"/>
        <v>944.43807815466528</v>
      </c>
      <c r="Q124" s="26">
        <f t="shared" si="22"/>
        <v>-12.001049620970321</v>
      </c>
      <c r="R124" s="26">
        <f t="shared" si="23"/>
        <v>12.001049620970321</v>
      </c>
      <c r="U124" s="40"/>
    </row>
    <row r="125" spans="1:21" x14ac:dyDescent="0.3">
      <c r="A125" s="2">
        <v>43937</v>
      </c>
      <c r="B125" s="1">
        <v>71.672499999999999</v>
      </c>
      <c r="C125" s="1">
        <v>2408.19</v>
      </c>
      <c r="D125" s="1">
        <v>176.25</v>
      </c>
      <c r="E125" s="1">
        <f t="shared" si="18"/>
        <v>7.9143150178817567E-3</v>
      </c>
      <c r="F125" s="1">
        <f t="shared" si="19"/>
        <v>4.2632737135267128E-2</v>
      </c>
      <c r="G125" s="1">
        <f t="shared" si="20"/>
        <v>-4.0767849907155027E-3</v>
      </c>
      <c r="P125" s="39">
        <f t="shared" si="21"/>
        <v>956.4391277756356</v>
      </c>
      <c r="Q125" s="26">
        <f t="shared" si="22"/>
        <v>37.163170108336203</v>
      </c>
      <c r="R125" s="26">
        <f t="shared" si="23"/>
        <v>-37.163170108336203</v>
      </c>
      <c r="U125" s="40"/>
    </row>
    <row r="126" spans="1:21" x14ac:dyDescent="0.3">
      <c r="A126" s="2">
        <v>43936</v>
      </c>
      <c r="B126" s="1">
        <v>71.107500000000002</v>
      </c>
      <c r="C126" s="1">
        <v>2307.6799999999998</v>
      </c>
      <c r="D126" s="1">
        <v>176.97</v>
      </c>
      <c r="E126" s="1">
        <f t="shared" si="18"/>
        <v>-9.1692390156684084E-3</v>
      </c>
      <c r="F126" s="1">
        <f t="shared" si="19"/>
        <v>1.0612166680146555E-2</v>
      </c>
      <c r="G126" s="1">
        <f t="shared" si="20"/>
        <v>-6.7579240127848281E-3</v>
      </c>
      <c r="P126" s="39">
        <f t="shared" si="21"/>
        <v>919.27595766729939</v>
      </c>
      <c r="Q126" s="26">
        <f t="shared" si="22"/>
        <v>8.4566610748875064</v>
      </c>
      <c r="R126" s="26">
        <f t="shared" si="23"/>
        <v>-8.4566610748875064</v>
      </c>
      <c r="U126" s="40"/>
    </row>
    <row r="127" spans="1:21" x14ac:dyDescent="0.3">
      <c r="A127" s="2">
        <v>43935</v>
      </c>
      <c r="B127" s="1">
        <v>71.762500000000003</v>
      </c>
      <c r="C127" s="1">
        <v>2283.3200000000002</v>
      </c>
      <c r="D127" s="1">
        <v>178.17</v>
      </c>
      <c r="E127" s="1">
        <f t="shared" si="18"/>
        <v>4.9269289556997879E-2</v>
      </c>
      <c r="F127" s="1">
        <f t="shared" si="19"/>
        <v>5.142422957850671E-2</v>
      </c>
      <c r="G127" s="1">
        <f t="shared" si="20"/>
        <v>1.9152897348883303E-2</v>
      </c>
      <c r="P127" s="39">
        <f t="shared" si="21"/>
        <v>910.81929659241189</v>
      </c>
      <c r="Q127" s="26">
        <f t="shared" si="22"/>
        <v>44.39043179503858</v>
      </c>
      <c r="R127" s="26">
        <f t="shared" si="23"/>
        <v>-44.39043179503858</v>
      </c>
      <c r="U127" s="40"/>
    </row>
    <row r="128" spans="1:21" x14ac:dyDescent="0.3">
      <c r="A128" s="2">
        <v>43934</v>
      </c>
      <c r="B128" s="1">
        <v>68.3125</v>
      </c>
      <c r="C128" s="1">
        <v>2168.87</v>
      </c>
      <c r="D128" s="1">
        <v>174.79</v>
      </c>
      <c r="E128" s="1">
        <f t="shared" si="18"/>
        <v>1.9437460674790529E-2</v>
      </c>
      <c r="F128" s="1">
        <f t="shared" si="19"/>
        <v>5.9904459962067468E-2</v>
      </c>
      <c r="G128" s="1">
        <f t="shared" si="20"/>
        <v>-2.2858459007355021E-3</v>
      </c>
      <c r="P128" s="39">
        <f t="shared" si="21"/>
        <v>866.42886479737331</v>
      </c>
      <c r="Q128" s="26">
        <f t="shared" si="22"/>
        <v>46.988873121004417</v>
      </c>
      <c r="R128" s="26">
        <f t="shared" si="23"/>
        <v>-46.988873121004417</v>
      </c>
      <c r="U128" s="40"/>
    </row>
    <row r="129" spans="1:21" x14ac:dyDescent="0.3">
      <c r="A129" s="2">
        <v>43930</v>
      </c>
      <c r="B129" s="1">
        <v>66.997500000000002</v>
      </c>
      <c r="C129" s="1">
        <v>2042.76</v>
      </c>
      <c r="D129" s="1">
        <v>175.19</v>
      </c>
      <c r="E129" s="1">
        <f t="shared" si="18"/>
        <v>7.1902343253867421E-3</v>
      </c>
      <c r="F129" s="1">
        <f t="shared" si="19"/>
        <v>-1.1748120314262327E-4</v>
      </c>
      <c r="G129" s="1">
        <f t="shared" si="20"/>
        <v>5.2078979984893472E-3</v>
      </c>
      <c r="P129" s="39">
        <f t="shared" si="21"/>
        <v>819.43999167636889</v>
      </c>
      <c r="Q129" s="26">
        <f t="shared" si="22"/>
        <v>0.30752822646684308</v>
      </c>
      <c r="R129" s="26">
        <f t="shared" si="23"/>
        <v>-0.30752822646684308</v>
      </c>
      <c r="U129" s="40"/>
    </row>
    <row r="130" spans="1:21" x14ac:dyDescent="0.3">
      <c r="A130" s="2">
        <v>43929</v>
      </c>
      <c r="B130" s="1">
        <v>66.517499999999998</v>
      </c>
      <c r="C130" s="1">
        <v>2043</v>
      </c>
      <c r="D130" s="1">
        <v>174.28</v>
      </c>
      <c r="E130" s="1">
        <f t="shared" si="18"/>
        <v>2.5272515357777109E-2</v>
      </c>
      <c r="F130" s="1">
        <f t="shared" si="19"/>
        <v>1.5488890519812445E-2</v>
      </c>
      <c r="G130" s="1">
        <f t="shared" si="20"/>
        <v>3.1770909760139028E-2</v>
      </c>
      <c r="P130" s="39">
        <f t="shared" si="21"/>
        <v>819.13246344990205</v>
      </c>
      <c r="Q130" s="26">
        <f t="shared" si="22"/>
        <v>13.454488167221029</v>
      </c>
      <c r="R130" s="26">
        <f t="shared" si="23"/>
        <v>-13.454488167221029</v>
      </c>
      <c r="U130" s="40"/>
    </row>
    <row r="131" spans="1:21" x14ac:dyDescent="0.3">
      <c r="A131" s="2">
        <v>43928</v>
      </c>
      <c r="B131" s="1">
        <v>64.857500000000002</v>
      </c>
      <c r="C131" s="1">
        <v>2011.6</v>
      </c>
      <c r="D131" s="1">
        <v>168.83</v>
      </c>
      <c r="E131" s="1">
        <f t="shared" si="18"/>
        <v>-1.164987308758943E-2</v>
      </c>
      <c r="F131" s="1">
        <f t="shared" si="19"/>
        <v>6.9889713519850419E-3</v>
      </c>
      <c r="G131" s="1">
        <f t="shared" si="20"/>
        <v>1.9619027495847027E-2</v>
      </c>
      <c r="P131" s="39">
        <f t="shared" si="21"/>
        <v>805.67797528268102</v>
      </c>
      <c r="Q131" s="26">
        <f t="shared" si="22"/>
        <v>5.5651945001434342</v>
      </c>
      <c r="R131" s="26">
        <f t="shared" si="23"/>
        <v>-5.5651945001434342</v>
      </c>
      <c r="U131" s="40"/>
    </row>
    <row r="132" spans="1:21" x14ac:dyDescent="0.3">
      <c r="A132" s="2">
        <v>43927</v>
      </c>
      <c r="B132" s="1">
        <v>65.617500000000007</v>
      </c>
      <c r="C132" s="1">
        <v>1997.59</v>
      </c>
      <c r="D132" s="1">
        <v>165.55</v>
      </c>
      <c r="E132" s="1">
        <f t="shared" si="18"/>
        <v>8.3640056960131812E-2</v>
      </c>
      <c r="F132" s="1">
        <f t="shared" si="19"/>
        <v>4.6625147838735906E-2</v>
      </c>
      <c r="G132" s="1">
        <f t="shared" si="20"/>
        <v>7.115251296213923E-2</v>
      </c>
      <c r="P132" s="39">
        <f t="shared" si="21"/>
        <v>800.11278078253758</v>
      </c>
      <c r="Q132" s="26">
        <f t="shared" si="22"/>
        <v>38.221617235817916</v>
      </c>
      <c r="R132" s="26">
        <f t="shared" si="23"/>
        <v>-38.221617235817916</v>
      </c>
      <c r="U132" s="40"/>
    </row>
    <row r="133" spans="1:21" x14ac:dyDescent="0.3">
      <c r="A133" s="2">
        <v>43924</v>
      </c>
      <c r="B133" s="1">
        <v>60.352499999999999</v>
      </c>
      <c r="C133" s="1">
        <v>1906.59</v>
      </c>
      <c r="D133" s="1">
        <v>154.18</v>
      </c>
      <c r="E133" s="1">
        <f t="shared" si="18"/>
        <v>-1.4475722608758856E-2</v>
      </c>
      <c r="F133" s="1">
        <f t="shared" si="19"/>
        <v>-6.3993191703306451E-3</v>
      </c>
      <c r="G133" s="1">
        <f t="shared" si="20"/>
        <v>-2.5676091179371884E-2</v>
      </c>
      <c r="P133" s="39">
        <f t="shared" si="21"/>
        <v>761.89116354671967</v>
      </c>
      <c r="Q133" s="26">
        <f t="shared" si="22"/>
        <v>-5.7498009314839464</v>
      </c>
      <c r="R133" s="26">
        <f t="shared" si="23"/>
        <v>5.7498009314839464</v>
      </c>
      <c r="U133" s="40"/>
    </row>
    <row r="134" spans="1:21" x14ac:dyDescent="0.3">
      <c r="A134" s="2">
        <v>43923</v>
      </c>
      <c r="B134" s="1">
        <v>61.232500000000002</v>
      </c>
      <c r="C134" s="1">
        <v>1918.83</v>
      </c>
      <c r="D134" s="1">
        <v>158.19</v>
      </c>
      <c r="E134" s="1">
        <f t="shared" ref="E134:E197" si="26">LN(B134/B135)</f>
        <v>1.6549035675227041E-2</v>
      </c>
      <c r="F134" s="1">
        <f t="shared" ref="F134:F197" si="27">LN(C134/C135)</f>
        <v>5.8172973359475267E-3</v>
      </c>
      <c r="G134" s="1">
        <f t="shared" ref="G134:G197" si="28">LN(D134/D135)</f>
        <v>-8.8738428052202896E-3</v>
      </c>
      <c r="P134" s="39">
        <f t="shared" ref="P134:P197" si="29">B134*$J$13+C134*$J$14+D134*$J$15</f>
        <v>767.64096447820361</v>
      </c>
      <c r="Q134" s="26">
        <f t="shared" ref="Q134:Q197" si="30">P134-P135</f>
        <v>4.2174554049340713</v>
      </c>
      <c r="R134" s="26">
        <f t="shared" ref="R134:R197" si="31">-Q134</f>
        <v>-4.2174554049340713</v>
      </c>
      <c r="U134" s="40"/>
    </row>
    <row r="135" spans="1:21" x14ac:dyDescent="0.3">
      <c r="A135" s="2">
        <v>43922</v>
      </c>
      <c r="B135" s="1">
        <v>60.227499999999999</v>
      </c>
      <c r="C135" s="1">
        <v>1907.7</v>
      </c>
      <c r="D135" s="1">
        <v>159.6</v>
      </c>
      <c r="E135" s="1">
        <f t="shared" si="26"/>
        <v>-5.4051928261692854E-2</v>
      </c>
      <c r="F135" s="1">
        <f t="shared" si="27"/>
        <v>-2.1787444562736753E-2</v>
      </c>
      <c r="G135" s="1">
        <f t="shared" si="28"/>
        <v>-4.412480490893806E-2</v>
      </c>
      <c r="P135" s="39">
        <f t="shared" si="29"/>
        <v>763.42350907326954</v>
      </c>
      <c r="Q135" s="26">
        <f t="shared" si="30"/>
        <v>-18.450315897934729</v>
      </c>
      <c r="R135" s="26">
        <f t="shared" si="31"/>
        <v>18.450315897934729</v>
      </c>
      <c r="U135" s="40"/>
    </row>
    <row r="136" spans="1:21" x14ac:dyDescent="0.3">
      <c r="A136" s="2">
        <v>43921</v>
      </c>
      <c r="B136" s="1">
        <v>63.572499999999998</v>
      </c>
      <c r="C136" s="1">
        <v>1949.72</v>
      </c>
      <c r="D136" s="1">
        <v>166.8</v>
      </c>
      <c r="E136" s="1">
        <f t="shared" si="26"/>
        <v>-2.042821374327881E-3</v>
      </c>
      <c r="F136" s="1">
        <f t="shared" si="27"/>
        <v>-7.2719788376634648E-3</v>
      </c>
      <c r="G136" s="1">
        <f t="shared" si="28"/>
        <v>5.1089517586628509E-3</v>
      </c>
      <c r="P136" s="39">
        <f t="shared" si="29"/>
        <v>781.87382497120427</v>
      </c>
      <c r="Q136" s="26">
        <f t="shared" si="30"/>
        <v>-5.1200905037625262</v>
      </c>
      <c r="R136" s="26">
        <f t="shared" si="31"/>
        <v>5.1200905037625262</v>
      </c>
      <c r="U136" s="40"/>
    </row>
    <row r="137" spans="1:21" x14ac:dyDescent="0.3">
      <c r="A137" s="2">
        <v>43920</v>
      </c>
      <c r="B137" s="1">
        <v>63.702500000000001</v>
      </c>
      <c r="C137" s="1">
        <v>1963.95</v>
      </c>
      <c r="D137" s="1">
        <v>165.95</v>
      </c>
      <c r="E137" s="1">
        <f t="shared" si="26"/>
        <v>2.8138360269649835E-2</v>
      </c>
      <c r="F137" s="1">
        <f t="shared" si="27"/>
        <v>3.3051234993385914E-2</v>
      </c>
      <c r="G137" s="1">
        <f t="shared" si="28"/>
        <v>5.6779207793624491E-2</v>
      </c>
      <c r="P137" s="39">
        <f t="shared" si="29"/>
        <v>786.9939154749668</v>
      </c>
      <c r="Q137" s="26">
        <f t="shared" si="30"/>
        <v>26.276085646601132</v>
      </c>
      <c r="R137" s="26">
        <f t="shared" si="31"/>
        <v>-26.276085646601132</v>
      </c>
      <c r="U137" s="40"/>
    </row>
    <row r="138" spans="1:21" x14ac:dyDescent="0.3">
      <c r="A138" s="2">
        <v>43917</v>
      </c>
      <c r="B138" s="1">
        <v>61.935000000000002</v>
      </c>
      <c r="C138" s="1">
        <v>1900.1</v>
      </c>
      <c r="D138" s="1">
        <v>156.79</v>
      </c>
      <c r="E138" s="1">
        <f t="shared" si="26"/>
        <v>-4.2283749563910837E-2</v>
      </c>
      <c r="F138" s="1">
        <f t="shared" si="27"/>
        <v>-2.8734285052365686E-2</v>
      </c>
      <c r="G138" s="1">
        <f t="shared" si="28"/>
        <v>-4.0926587557770615E-2</v>
      </c>
      <c r="P138" s="39">
        <f t="shared" si="29"/>
        <v>760.71782982836567</v>
      </c>
      <c r="Q138" s="26">
        <f t="shared" si="30"/>
        <v>-22.964980292237215</v>
      </c>
      <c r="R138" s="26">
        <f t="shared" si="31"/>
        <v>22.964980292237215</v>
      </c>
      <c r="U138" s="40"/>
    </row>
    <row r="139" spans="1:21" x14ac:dyDescent="0.3">
      <c r="A139" s="2">
        <v>43916</v>
      </c>
      <c r="B139" s="1">
        <v>64.61</v>
      </c>
      <c r="C139" s="1">
        <v>1955.49</v>
      </c>
      <c r="D139" s="1">
        <v>163.34</v>
      </c>
      <c r="E139" s="1">
        <f t="shared" si="26"/>
        <v>5.1285148378484004E-2</v>
      </c>
      <c r="F139" s="1">
        <f t="shared" si="27"/>
        <v>3.6267456437159833E-2</v>
      </c>
      <c r="G139" s="1">
        <f t="shared" si="28"/>
        <v>4.4632662087212088E-2</v>
      </c>
      <c r="P139" s="39">
        <f t="shared" si="29"/>
        <v>783.68281012060288</v>
      </c>
      <c r="Q139" s="26">
        <f t="shared" si="30"/>
        <v>28.582123503122943</v>
      </c>
      <c r="R139" s="26">
        <f t="shared" si="31"/>
        <v>-28.582123503122943</v>
      </c>
      <c r="U139" s="40"/>
    </row>
    <row r="140" spans="1:21" x14ac:dyDescent="0.3">
      <c r="A140" s="2">
        <v>43915</v>
      </c>
      <c r="B140" s="1">
        <v>61.38</v>
      </c>
      <c r="C140" s="1">
        <v>1885.84</v>
      </c>
      <c r="D140" s="1">
        <v>156.21</v>
      </c>
      <c r="E140" s="1">
        <f t="shared" si="26"/>
        <v>-5.5239783033699009E-3</v>
      </c>
      <c r="F140" s="1">
        <f t="shared" si="27"/>
        <v>-2.836617315696471E-2</v>
      </c>
      <c r="G140" s="1">
        <f t="shared" si="28"/>
        <v>-3.0078877822670231E-2</v>
      </c>
      <c r="P140" s="39">
        <f t="shared" si="29"/>
        <v>755.10068661747994</v>
      </c>
      <c r="Q140" s="26">
        <f t="shared" si="30"/>
        <v>-21.194863589859096</v>
      </c>
      <c r="R140" s="26">
        <f t="shared" si="31"/>
        <v>21.194863589859096</v>
      </c>
      <c r="U140" s="40"/>
    </row>
    <row r="141" spans="1:21" x14ac:dyDescent="0.3">
      <c r="A141" s="2">
        <v>43914</v>
      </c>
      <c r="B141" s="1">
        <v>61.72</v>
      </c>
      <c r="C141" s="1">
        <v>1940.1</v>
      </c>
      <c r="D141" s="1">
        <v>160.97999999999999</v>
      </c>
      <c r="E141" s="1">
        <f t="shared" si="26"/>
        <v>9.5605913743164753E-2</v>
      </c>
      <c r="F141" s="1">
        <f t="shared" si="27"/>
        <v>1.9397266447589826E-2</v>
      </c>
      <c r="G141" s="1">
        <f t="shared" si="28"/>
        <v>8.3392412391834744E-2</v>
      </c>
      <c r="P141" s="39">
        <f t="shared" si="29"/>
        <v>776.29555020733903</v>
      </c>
      <c r="Q141" s="26">
        <f t="shared" si="30"/>
        <v>18.874317906082865</v>
      </c>
      <c r="R141" s="26">
        <f t="shared" si="31"/>
        <v>-18.874317906082865</v>
      </c>
      <c r="U141" s="40"/>
    </row>
    <row r="142" spans="1:21" x14ac:dyDescent="0.3">
      <c r="A142" s="2">
        <v>43913</v>
      </c>
      <c r="B142" s="1">
        <v>56.092500000000001</v>
      </c>
      <c r="C142" s="1">
        <v>1902.83</v>
      </c>
      <c r="D142" s="1">
        <v>148.1</v>
      </c>
      <c r="E142" s="1">
        <f t="shared" si="26"/>
        <v>-2.1473014811850877E-2</v>
      </c>
      <c r="F142" s="1">
        <f t="shared" si="27"/>
        <v>3.0272362735871593E-2</v>
      </c>
      <c r="G142" s="1">
        <f t="shared" si="28"/>
        <v>-1.0945950875874459E-2</v>
      </c>
      <c r="P142" s="39">
        <f t="shared" si="29"/>
        <v>757.42123230125617</v>
      </c>
      <c r="Q142" s="26">
        <f t="shared" si="30"/>
        <v>20.077649358797203</v>
      </c>
      <c r="R142" s="26">
        <f t="shared" si="31"/>
        <v>-20.077649358797203</v>
      </c>
      <c r="U142" s="40"/>
    </row>
    <row r="143" spans="1:21" x14ac:dyDescent="0.3">
      <c r="A143" s="2">
        <v>43910</v>
      </c>
      <c r="B143" s="1">
        <v>57.31</v>
      </c>
      <c r="C143" s="1">
        <v>1846.09</v>
      </c>
      <c r="D143" s="1">
        <v>149.72999999999999</v>
      </c>
      <c r="E143" s="1">
        <f t="shared" si="26"/>
        <v>-6.5590358270655694E-2</v>
      </c>
      <c r="F143" s="1">
        <f t="shared" si="27"/>
        <v>-1.8696446423627236E-2</v>
      </c>
      <c r="G143" s="1">
        <f t="shared" si="28"/>
        <v>-2.2453561677488843E-2</v>
      </c>
      <c r="P143" s="39">
        <f t="shared" si="29"/>
        <v>737.34358294245897</v>
      </c>
      <c r="Q143" s="26">
        <f t="shared" si="30"/>
        <v>-15.201341939854274</v>
      </c>
      <c r="R143" s="26">
        <f t="shared" si="31"/>
        <v>15.201341939854274</v>
      </c>
      <c r="U143" s="40"/>
    </row>
    <row r="144" spans="1:21" x14ac:dyDescent="0.3">
      <c r="A144" s="2">
        <v>43909</v>
      </c>
      <c r="B144" s="1">
        <v>61.195</v>
      </c>
      <c r="C144" s="1">
        <v>1880.93</v>
      </c>
      <c r="D144" s="1">
        <v>153.13</v>
      </c>
      <c r="E144" s="1">
        <f t="shared" si="26"/>
        <v>-7.6915629981200691E-3</v>
      </c>
      <c r="F144" s="1">
        <f t="shared" si="27"/>
        <v>2.7450368525355873E-2</v>
      </c>
      <c r="G144" s="1">
        <f t="shared" si="28"/>
        <v>4.1126792920246111E-2</v>
      </c>
      <c r="P144" s="39">
        <f t="shared" si="29"/>
        <v>752.54492488231324</v>
      </c>
      <c r="Q144" s="26">
        <f t="shared" si="30"/>
        <v>19.932958583867162</v>
      </c>
      <c r="R144" s="26">
        <f t="shared" si="31"/>
        <v>-19.932958583867162</v>
      </c>
      <c r="U144" s="40"/>
    </row>
    <row r="145" spans="1:21" x14ac:dyDescent="0.3">
      <c r="A145" s="2">
        <v>43908</v>
      </c>
      <c r="B145" s="1">
        <v>61.667499999999997</v>
      </c>
      <c r="C145" s="1">
        <v>1830</v>
      </c>
      <c r="D145" s="1">
        <v>146.96</v>
      </c>
      <c r="E145" s="1">
        <f t="shared" si="26"/>
        <v>-2.4784564931439157E-2</v>
      </c>
      <c r="F145" s="1">
        <f t="shared" si="27"/>
        <v>1.2183204374530625E-2</v>
      </c>
      <c r="G145" s="1">
        <f t="shared" si="28"/>
        <v>-1.6600691640784794E-2</v>
      </c>
      <c r="P145" s="39">
        <f t="shared" si="29"/>
        <v>732.61196629844608</v>
      </c>
      <c r="Q145" s="26">
        <f t="shared" si="30"/>
        <v>7.0020919254396858</v>
      </c>
      <c r="R145" s="26">
        <f t="shared" si="31"/>
        <v>-7.0020919254396858</v>
      </c>
      <c r="U145" s="40"/>
    </row>
    <row r="146" spans="1:21" x14ac:dyDescent="0.3">
      <c r="A146" s="2">
        <v>43907</v>
      </c>
      <c r="B146" s="1">
        <v>63.215000000000003</v>
      </c>
      <c r="C146" s="1">
        <v>1807.84</v>
      </c>
      <c r="D146" s="1">
        <v>149.41999999999999</v>
      </c>
      <c r="E146" s="1">
        <f t="shared" si="26"/>
        <v>4.3030857425516565E-2</v>
      </c>
      <c r="F146" s="1">
        <f t="shared" si="27"/>
        <v>6.7907318649791673E-2</v>
      </c>
      <c r="G146" s="1">
        <f t="shared" si="28"/>
        <v>2.3086020034182551E-2</v>
      </c>
      <c r="P146" s="39">
        <f t="shared" si="29"/>
        <v>725.60987437300639</v>
      </c>
      <c r="Q146" s="26">
        <f t="shared" si="30"/>
        <v>45.635087477576576</v>
      </c>
      <c r="R146" s="26">
        <f t="shared" si="31"/>
        <v>-45.635087477576576</v>
      </c>
      <c r="U146" s="40"/>
    </row>
    <row r="147" spans="1:21" x14ac:dyDescent="0.3">
      <c r="A147" s="2">
        <v>43906</v>
      </c>
      <c r="B147" s="1">
        <v>60.552500000000002</v>
      </c>
      <c r="C147" s="1">
        <v>1689.15</v>
      </c>
      <c r="D147" s="1">
        <v>146.01</v>
      </c>
      <c r="E147" s="1">
        <f t="shared" si="26"/>
        <v>-0.13770807574023833</v>
      </c>
      <c r="F147" s="1">
        <f t="shared" si="27"/>
        <v>-5.5192971402595152E-2</v>
      </c>
      <c r="G147" s="1">
        <f t="shared" si="28"/>
        <v>-0.15376902844647902</v>
      </c>
      <c r="P147" s="39">
        <f t="shared" si="29"/>
        <v>679.97478689542982</v>
      </c>
      <c r="Q147" s="26">
        <f t="shared" si="30"/>
        <v>-44.329324956523692</v>
      </c>
      <c r="R147" s="26">
        <f t="shared" si="31"/>
        <v>44.329324956523692</v>
      </c>
      <c r="U147" s="40"/>
    </row>
    <row r="148" spans="1:21" x14ac:dyDescent="0.3">
      <c r="A148" s="2">
        <v>43903</v>
      </c>
      <c r="B148" s="1">
        <v>69.492500000000007</v>
      </c>
      <c r="C148" s="1">
        <v>1785</v>
      </c>
      <c r="D148" s="1">
        <v>170.28</v>
      </c>
      <c r="E148" s="1">
        <f t="shared" si="26"/>
        <v>0.11315745846627409</v>
      </c>
      <c r="F148" s="1">
        <f t="shared" si="27"/>
        <v>6.2644517575902864E-2</v>
      </c>
      <c r="G148" s="1">
        <f t="shared" si="28"/>
        <v>9.7444238233791877E-2</v>
      </c>
      <c r="P148" s="39">
        <f t="shared" si="29"/>
        <v>724.30411185195351</v>
      </c>
      <c r="Q148" s="26">
        <f t="shared" si="30"/>
        <v>46.499267623970695</v>
      </c>
      <c r="R148" s="26">
        <f t="shared" si="31"/>
        <v>-46.499267623970695</v>
      </c>
      <c r="U148" s="40"/>
    </row>
    <row r="149" spans="1:21" x14ac:dyDescent="0.3">
      <c r="A149" s="2">
        <v>43902</v>
      </c>
      <c r="B149" s="1">
        <v>62.057499999999997</v>
      </c>
      <c r="C149" s="1">
        <v>1676.61</v>
      </c>
      <c r="D149" s="1">
        <v>154.47</v>
      </c>
      <c r="E149" s="1">
        <f t="shared" si="26"/>
        <v>-0.10397777709151899</v>
      </c>
      <c r="F149" s="1">
        <f t="shared" si="27"/>
        <v>-8.2535019299582346E-2</v>
      </c>
      <c r="G149" s="1">
        <f t="shared" si="28"/>
        <v>-9.720930342711992E-2</v>
      </c>
      <c r="P149" s="39">
        <f t="shared" si="29"/>
        <v>677.80484422798281</v>
      </c>
      <c r="Q149" s="26">
        <f t="shared" si="30"/>
        <v>-59.45874896979808</v>
      </c>
      <c r="R149" s="26">
        <f t="shared" si="31"/>
        <v>59.45874896979808</v>
      </c>
      <c r="U149" s="40"/>
    </row>
    <row r="150" spans="1:21" x14ac:dyDescent="0.3">
      <c r="A150" s="2">
        <v>43901</v>
      </c>
      <c r="B150" s="1">
        <v>68.857500000000002</v>
      </c>
      <c r="C150" s="1">
        <v>1820.86</v>
      </c>
      <c r="D150" s="1">
        <v>170.24</v>
      </c>
      <c r="E150" s="1">
        <f t="shared" si="26"/>
        <v>-3.5347938862949943E-2</v>
      </c>
      <c r="F150" s="1">
        <f t="shared" si="27"/>
        <v>-3.8230411727834403E-2</v>
      </c>
      <c r="G150" s="1">
        <f t="shared" si="28"/>
        <v>-4.5641190586043705E-2</v>
      </c>
      <c r="P150" s="39">
        <f t="shared" si="29"/>
        <v>737.26359319778089</v>
      </c>
      <c r="Q150" s="26">
        <f t="shared" si="30"/>
        <v>-28.931402562164863</v>
      </c>
      <c r="R150" s="26">
        <f t="shared" si="31"/>
        <v>28.931402562164863</v>
      </c>
      <c r="U150" s="40"/>
    </row>
    <row r="151" spans="1:21" x14ac:dyDescent="0.3">
      <c r="A151" s="2">
        <v>43900</v>
      </c>
      <c r="B151" s="1">
        <v>71.334999999999994</v>
      </c>
      <c r="C151" s="1">
        <v>1891.82</v>
      </c>
      <c r="D151" s="1">
        <v>178.19</v>
      </c>
      <c r="E151" s="1">
        <f t="shared" si="26"/>
        <v>6.954775209669338E-2</v>
      </c>
      <c r="F151" s="1">
        <f t="shared" si="27"/>
        <v>4.9413832301977857E-2</v>
      </c>
      <c r="G151" s="1">
        <f t="shared" si="28"/>
        <v>4.9997469918818351E-2</v>
      </c>
      <c r="P151" s="39">
        <f t="shared" si="29"/>
        <v>766.19499575994575</v>
      </c>
      <c r="Q151" s="26">
        <f t="shared" si="30"/>
        <v>37.522588414049665</v>
      </c>
      <c r="R151" s="26">
        <f t="shared" si="31"/>
        <v>-37.522588414049665</v>
      </c>
      <c r="U151" s="40"/>
    </row>
    <row r="152" spans="1:21" x14ac:dyDescent="0.3">
      <c r="A152" s="2">
        <v>43899</v>
      </c>
      <c r="B152" s="1">
        <v>66.542400000000001</v>
      </c>
      <c r="C152" s="1">
        <v>1800.61</v>
      </c>
      <c r="D152" s="1">
        <v>169.5</v>
      </c>
      <c r="E152" s="1">
        <f t="shared" si="26"/>
        <v>-8.2396789363337122E-2</v>
      </c>
      <c r="F152" s="1">
        <f t="shared" si="27"/>
        <v>-5.43019095079047E-2</v>
      </c>
      <c r="G152" s="1">
        <f t="shared" si="28"/>
        <v>-6.6141218432746104E-2</v>
      </c>
      <c r="P152" s="39">
        <f t="shared" si="29"/>
        <v>728.67240734589609</v>
      </c>
      <c r="Q152" s="26">
        <f t="shared" si="30"/>
        <v>-41.953608434072066</v>
      </c>
      <c r="R152" s="26">
        <f t="shared" si="31"/>
        <v>41.953608434072066</v>
      </c>
      <c r="U152" s="40"/>
    </row>
    <row r="153" spans="1:21" x14ac:dyDescent="0.3">
      <c r="A153" s="2">
        <v>43896</v>
      </c>
      <c r="B153" s="1">
        <v>72.257499999999993</v>
      </c>
      <c r="C153" s="1">
        <v>1901.09</v>
      </c>
      <c r="D153" s="1">
        <v>181.09</v>
      </c>
      <c r="E153" s="1">
        <f t="shared" si="26"/>
        <v>-1.3369045239556957E-2</v>
      </c>
      <c r="F153" s="1">
        <f t="shared" si="27"/>
        <v>-1.1994538748502254E-2</v>
      </c>
      <c r="G153" s="1">
        <f t="shared" si="28"/>
        <v>-2.2280176796473438E-2</v>
      </c>
      <c r="P153" s="39">
        <f t="shared" si="29"/>
        <v>770.62601577996816</v>
      </c>
      <c r="Q153" s="26">
        <f t="shared" si="30"/>
        <v>-9.7512676524717108</v>
      </c>
      <c r="R153" s="26">
        <f t="shared" si="31"/>
        <v>9.7512676524717108</v>
      </c>
      <c r="U153" s="40"/>
    </row>
    <row r="154" spans="1:21" x14ac:dyDescent="0.3">
      <c r="A154" s="2">
        <v>43895</v>
      </c>
      <c r="B154" s="1">
        <v>73.23</v>
      </c>
      <c r="C154" s="1">
        <v>1924.03</v>
      </c>
      <c r="D154" s="1">
        <v>185.17</v>
      </c>
      <c r="E154" s="1">
        <f t="shared" si="26"/>
        <v>-3.2974817141550067E-2</v>
      </c>
      <c r="F154" s="1">
        <f t="shared" si="27"/>
        <v>-2.6566618598468612E-2</v>
      </c>
      <c r="G154" s="1">
        <f t="shared" si="28"/>
        <v>-3.4970268076404347E-2</v>
      </c>
      <c r="P154" s="39">
        <f t="shared" si="29"/>
        <v>780.37728343243987</v>
      </c>
      <c r="Q154" s="26">
        <f t="shared" si="30"/>
        <v>-21.557898601641</v>
      </c>
      <c r="R154" s="26">
        <f t="shared" si="31"/>
        <v>21.557898601641</v>
      </c>
      <c r="U154" s="40"/>
    </row>
    <row r="155" spans="1:21" x14ac:dyDescent="0.3">
      <c r="A155" s="2">
        <v>43894</v>
      </c>
      <c r="B155" s="1">
        <v>75.685000000000002</v>
      </c>
      <c r="C155" s="1">
        <v>1975.83</v>
      </c>
      <c r="D155" s="1">
        <v>191.76</v>
      </c>
      <c r="E155" s="1">
        <f t="shared" si="26"/>
        <v>4.5341009353339227E-2</v>
      </c>
      <c r="F155" s="1">
        <f t="shared" si="27"/>
        <v>3.4414256850806645E-2</v>
      </c>
      <c r="G155" s="1">
        <f t="shared" si="28"/>
        <v>3.1089489207076208E-2</v>
      </c>
      <c r="P155" s="39">
        <f t="shared" si="29"/>
        <v>801.93518203408087</v>
      </c>
      <c r="Q155" s="26">
        <f t="shared" si="30"/>
        <v>27.324052166472484</v>
      </c>
      <c r="R155" s="26">
        <f t="shared" si="31"/>
        <v>-27.324052166472484</v>
      </c>
      <c r="U155" s="40"/>
    </row>
    <row r="156" spans="1:21" x14ac:dyDescent="0.3">
      <c r="A156" s="2">
        <v>43893</v>
      </c>
      <c r="B156" s="1">
        <v>72.33</v>
      </c>
      <c r="C156" s="1">
        <v>1908.99</v>
      </c>
      <c r="D156" s="1">
        <v>185.89</v>
      </c>
      <c r="E156" s="1">
        <f t="shared" si="26"/>
        <v>-3.2274577919709828E-2</v>
      </c>
      <c r="F156" s="1">
        <f t="shared" si="27"/>
        <v>-2.3278658371655856E-2</v>
      </c>
      <c r="G156" s="1">
        <f t="shared" si="28"/>
        <v>-5.5201940251991218E-2</v>
      </c>
      <c r="P156" s="39">
        <f t="shared" si="29"/>
        <v>774.61112986760838</v>
      </c>
      <c r="Q156" s="26">
        <f t="shared" si="30"/>
        <v>-19.858146464990114</v>
      </c>
      <c r="R156" s="26">
        <f t="shared" si="31"/>
        <v>19.858146464990114</v>
      </c>
      <c r="U156" s="40"/>
    </row>
    <row r="157" spans="1:21" x14ac:dyDescent="0.3">
      <c r="A157" s="2">
        <v>43892</v>
      </c>
      <c r="B157" s="1">
        <v>74.702500000000001</v>
      </c>
      <c r="C157" s="1">
        <v>1953.95</v>
      </c>
      <c r="D157" s="1">
        <v>196.44</v>
      </c>
      <c r="E157" s="1">
        <f t="shared" si="26"/>
        <v>8.9018312093753493E-2</v>
      </c>
      <c r="F157" s="1">
        <f t="shared" si="27"/>
        <v>3.6588493798295041E-2</v>
      </c>
      <c r="G157" s="1">
        <f t="shared" si="28"/>
        <v>2.041674374401127E-2</v>
      </c>
      <c r="P157" s="39">
        <f t="shared" si="29"/>
        <v>794.4692763325985</v>
      </c>
      <c r="Q157" s="26">
        <f t="shared" si="30"/>
        <v>29.398099471396677</v>
      </c>
      <c r="R157" s="26">
        <f t="shared" si="31"/>
        <v>-29.398099471396677</v>
      </c>
      <c r="U157" s="40"/>
    </row>
    <row r="158" spans="1:21" x14ac:dyDescent="0.3">
      <c r="A158" s="2">
        <v>43889</v>
      </c>
      <c r="B158" s="1">
        <v>68.34</v>
      </c>
      <c r="C158" s="1">
        <v>1883.75</v>
      </c>
      <c r="D158" s="1">
        <v>192.47</v>
      </c>
      <c r="E158" s="1">
        <f t="shared" si="26"/>
        <v>-5.8513752400935826E-4</v>
      </c>
      <c r="F158" s="1">
        <f t="shared" si="27"/>
        <v>-2.9192818773949404E-4</v>
      </c>
      <c r="G158" s="1">
        <f t="shared" si="28"/>
        <v>1.4232881151293142E-2</v>
      </c>
      <c r="P158" s="39">
        <f t="shared" si="29"/>
        <v>765.07117686120182</v>
      </c>
      <c r="Q158" s="26">
        <f t="shared" si="30"/>
        <v>0.36995088199478232</v>
      </c>
      <c r="R158" s="26">
        <f t="shared" si="31"/>
        <v>-0.36995088199478232</v>
      </c>
      <c r="U158" s="40"/>
    </row>
    <row r="159" spans="1:21" x14ac:dyDescent="0.3">
      <c r="A159" s="2">
        <v>43888</v>
      </c>
      <c r="B159" s="1">
        <v>68.38</v>
      </c>
      <c r="C159" s="1">
        <v>1884.3</v>
      </c>
      <c r="D159" s="1">
        <v>189.75</v>
      </c>
      <c r="E159" s="1">
        <f t="shared" si="26"/>
        <v>-6.7601243584816076E-2</v>
      </c>
      <c r="F159" s="1">
        <f t="shared" si="27"/>
        <v>-4.9333353410966528E-2</v>
      </c>
      <c r="G159" s="1">
        <f t="shared" si="28"/>
        <v>-3.8511025892795633E-2</v>
      </c>
      <c r="P159" s="39">
        <f t="shared" si="29"/>
        <v>764.70122597920704</v>
      </c>
      <c r="Q159" s="26">
        <f t="shared" si="30"/>
        <v>-38.755034505529011</v>
      </c>
      <c r="R159" s="26">
        <f t="shared" si="31"/>
        <v>38.755034505529011</v>
      </c>
      <c r="U159" s="40"/>
    </row>
    <row r="160" spans="1:21" x14ac:dyDescent="0.3">
      <c r="A160" s="2">
        <v>43887</v>
      </c>
      <c r="B160" s="1">
        <v>73.162400000000005</v>
      </c>
      <c r="C160" s="1">
        <v>1979.59</v>
      </c>
      <c r="D160" s="1">
        <v>197.2</v>
      </c>
      <c r="E160" s="1">
        <f t="shared" si="26"/>
        <v>1.573776957524221E-2</v>
      </c>
      <c r="F160" s="1">
        <f t="shared" si="27"/>
        <v>3.4663132171392766E-3</v>
      </c>
      <c r="G160" s="1">
        <f t="shared" si="28"/>
        <v>2.1829081947810809E-3</v>
      </c>
      <c r="P160" s="39">
        <f t="shared" si="29"/>
        <v>803.45626048473605</v>
      </c>
      <c r="Q160" s="26">
        <f t="shared" si="30"/>
        <v>3.0939439899028685</v>
      </c>
      <c r="R160" s="26">
        <f t="shared" si="31"/>
        <v>-3.0939439899028685</v>
      </c>
      <c r="U160" s="40"/>
    </row>
    <row r="161" spans="1:21" x14ac:dyDescent="0.3">
      <c r="A161" s="2">
        <v>43886</v>
      </c>
      <c r="B161" s="1">
        <v>72.02</v>
      </c>
      <c r="C161" s="1">
        <v>1972.74</v>
      </c>
      <c r="D161" s="1">
        <v>196.77</v>
      </c>
      <c r="E161" s="1">
        <f t="shared" si="26"/>
        <v>-3.4459111659633314E-2</v>
      </c>
      <c r="F161" s="1">
        <f t="shared" si="27"/>
        <v>-1.8357986498238575E-2</v>
      </c>
      <c r="G161" s="1">
        <f t="shared" si="28"/>
        <v>-1.9875368084412939E-2</v>
      </c>
      <c r="P161" s="39">
        <f t="shared" si="29"/>
        <v>800.36231649483318</v>
      </c>
      <c r="Q161" s="26">
        <f t="shared" si="30"/>
        <v>-15.387997971496247</v>
      </c>
      <c r="R161" s="26">
        <f t="shared" si="31"/>
        <v>15.387997971496247</v>
      </c>
      <c r="U161" s="40"/>
    </row>
    <row r="162" spans="1:21" x14ac:dyDescent="0.3">
      <c r="A162" s="2">
        <v>43885</v>
      </c>
      <c r="B162" s="1">
        <v>74.545000000000002</v>
      </c>
      <c r="C162" s="1">
        <v>2009.29</v>
      </c>
      <c r="D162" s="1">
        <v>200.72</v>
      </c>
      <c r="E162" s="1">
        <f t="shared" si="26"/>
        <v>-4.8665591191066455E-2</v>
      </c>
      <c r="F162" s="1">
        <f t="shared" si="27"/>
        <v>-4.2235027540891187E-2</v>
      </c>
      <c r="G162" s="1">
        <f t="shared" si="28"/>
        <v>-4.6053404379283618E-2</v>
      </c>
      <c r="P162" s="39">
        <f t="shared" si="29"/>
        <v>815.75031446632943</v>
      </c>
      <c r="Q162" s="26">
        <f t="shared" si="30"/>
        <v>-35.572591498882957</v>
      </c>
      <c r="R162" s="26">
        <f t="shared" si="31"/>
        <v>35.572591498882957</v>
      </c>
      <c r="U162" s="40"/>
    </row>
    <row r="163" spans="1:21" x14ac:dyDescent="0.3">
      <c r="A163" s="2">
        <v>43882</v>
      </c>
      <c r="B163" s="1">
        <v>78.262500000000003</v>
      </c>
      <c r="C163" s="1">
        <v>2095.9699999999998</v>
      </c>
      <c r="D163" s="1">
        <v>210.18</v>
      </c>
      <c r="E163" s="1">
        <f t="shared" si="26"/>
        <v>-2.289513442379297E-2</v>
      </c>
      <c r="F163" s="1">
        <f t="shared" si="27"/>
        <v>-2.689221074273403E-2</v>
      </c>
      <c r="G163" s="1">
        <f t="shared" si="28"/>
        <v>-2.071832277114978E-2</v>
      </c>
      <c r="P163" s="39">
        <f t="shared" si="29"/>
        <v>851.32290596521239</v>
      </c>
      <c r="Q163" s="26">
        <f t="shared" si="30"/>
        <v>-22.783706345449559</v>
      </c>
      <c r="R163" s="26">
        <f t="shared" si="31"/>
        <v>22.783706345449559</v>
      </c>
      <c r="U163" s="40"/>
    </row>
    <row r="164" spans="1:21" x14ac:dyDescent="0.3">
      <c r="A164" s="2">
        <v>43881</v>
      </c>
      <c r="B164" s="1">
        <v>80.075000000000003</v>
      </c>
      <c r="C164" s="1">
        <v>2153.1</v>
      </c>
      <c r="D164" s="1">
        <v>214.58</v>
      </c>
      <c r="E164" s="1">
        <f t="shared" si="26"/>
        <v>-1.0311931356549493E-2</v>
      </c>
      <c r="F164" s="1">
        <f t="shared" si="27"/>
        <v>-7.9198807799913899E-3</v>
      </c>
      <c r="G164" s="1">
        <f t="shared" si="28"/>
        <v>-1.347024325166918E-2</v>
      </c>
      <c r="P164" s="39">
        <f t="shared" si="29"/>
        <v>874.10661231066194</v>
      </c>
      <c r="Q164" s="26">
        <f t="shared" si="30"/>
        <v>-7.2912723389933944</v>
      </c>
      <c r="R164" s="26">
        <f t="shared" si="31"/>
        <v>7.2912723389933944</v>
      </c>
      <c r="U164" s="40"/>
    </row>
    <row r="165" spans="1:21" x14ac:dyDescent="0.3">
      <c r="A165" s="2">
        <v>43880</v>
      </c>
      <c r="B165" s="1">
        <v>80.905000000000001</v>
      </c>
      <c r="C165" s="1">
        <v>2170.2199999999998</v>
      </c>
      <c r="D165" s="1">
        <v>217.49</v>
      </c>
      <c r="E165" s="1">
        <f t="shared" si="26"/>
        <v>1.4378885186817483E-2</v>
      </c>
      <c r="F165" s="1">
        <f t="shared" si="27"/>
        <v>6.7269647947939886E-3</v>
      </c>
      <c r="G165" s="1">
        <f t="shared" si="28"/>
        <v>-1.4243380385907502E-3</v>
      </c>
      <c r="P165" s="39">
        <f t="shared" si="29"/>
        <v>881.39788464965534</v>
      </c>
      <c r="Q165" s="26">
        <f t="shared" si="30"/>
        <v>5.779861741958257</v>
      </c>
      <c r="R165" s="26">
        <f t="shared" si="31"/>
        <v>-5.779861741958257</v>
      </c>
      <c r="U165" s="40"/>
    </row>
    <row r="166" spans="1:21" x14ac:dyDescent="0.3">
      <c r="A166" s="2">
        <v>43879</v>
      </c>
      <c r="B166" s="1">
        <v>79.75</v>
      </c>
      <c r="C166" s="1">
        <v>2155.67</v>
      </c>
      <c r="D166" s="1">
        <v>217.8</v>
      </c>
      <c r="E166" s="1">
        <f t="shared" si="26"/>
        <v>-1.8480221555513314E-2</v>
      </c>
      <c r="F166" s="1">
        <f t="shared" si="27"/>
        <v>9.6958252102178188E-3</v>
      </c>
      <c r="G166" s="1">
        <f t="shared" si="28"/>
        <v>1.6760427526131189E-2</v>
      </c>
      <c r="P166" s="39">
        <f t="shared" si="29"/>
        <v>875.61802290769708</v>
      </c>
      <c r="Q166" s="26">
        <f t="shared" si="30"/>
        <v>7.8427619625703073</v>
      </c>
      <c r="R166" s="26">
        <f t="shared" si="31"/>
        <v>-7.8427619625703073</v>
      </c>
      <c r="U166" s="40"/>
    </row>
    <row r="167" spans="1:21" x14ac:dyDescent="0.3">
      <c r="A167" s="2">
        <v>43875</v>
      </c>
      <c r="B167" s="1">
        <v>81.237499999999997</v>
      </c>
      <c r="C167" s="1">
        <v>2134.87</v>
      </c>
      <c r="D167" s="1">
        <v>214.18</v>
      </c>
      <c r="E167" s="1">
        <f t="shared" si="26"/>
        <v>2.4622203195997903E-4</v>
      </c>
      <c r="F167" s="1">
        <f t="shared" si="27"/>
        <v>-7.0016202982250524E-3</v>
      </c>
      <c r="G167" s="1">
        <f t="shared" si="28"/>
        <v>4.8675561799190453E-3</v>
      </c>
      <c r="P167" s="39">
        <f t="shared" si="29"/>
        <v>867.77526094512677</v>
      </c>
      <c r="Q167" s="26">
        <f t="shared" si="30"/>
        <v>-5.3008738550215639</v>
      </c>
      <c r="R167" s="26">
        <f t="shared" si="31"/>
        <v>5.3008738550215639</v>
      </c>
      <c r="U167" s="40"/>
    </row>
    <row r="168" spans="1:21" x14ac:dyDescent="0.3">
      <c r="A168" s="2">
        <v>43874</v>
      </c>
      <c r="B168" s="1">
        <v>81.217500000000001</v>
      </c>
      <c r="C168" s="1">
        <v>2149.87</v>
      </c>
      <c r="D168" s="1">
        <v>213.14</v>
      </c>
      <c r="E168" s="1">
        <f t="shared" si="26"/>
        <v>-7.146502420194204E-3</v>
      </c>
      <c r="F168" s="1">
        <f t="shared" si="27"/>
        <v>-4.7008465008701907E-3</v>
      </c>
      <c r="G168" s="1">
        <f t="shared" si="28"/>
        <v>1.122918145172503E-2</v>
      </c>
      <c r="P168" s="39">
        <f t="shared" si="29"/>
        <v>873.07613480014834</v>
      </c>
      <c r="Q168" s="26">
        <f t="shared" si="30"/>
        <v>-3.4632257362577548</v>
      </c>
      <c r="R168" s="26">
        <f t="shared" si="31"/>
        <v>3.4632257362577548</v>
      </c>
      <c r="U168" s="40"/>
    </row>
    <row r="169" spans="1:21" x14ac:dyDescent="0.3">
      <c r="A169" s="2">
        <v>43873</v>
      </c>
      <c r="B169" s="1">
        <v>81.8</v>
      </c>
      <c r="C169" s="1">
        <v>2160</v>
      </c>
      <c r="D169" s="1">
        <v>210.76</v>
      </c>
      <c r="E169" s="1">
        <f t="shared" si="26"/>
        <v>2.3470102214577199E-2</v>
      </c>
      <c r="F169" s="1">
        <f t="shared" si="27"/>
        <v>4.2683557426876741E-3</v>
      </c>
      <c r="G169" s="1">
        <f t="shared" si="28"/>
        <v>1.7083798668693816E-2</v>
      </c>
      <c r="P169" s="39">
        <f t="shared" si="29"/>
        <v>876.53936053640609</v>
      </c>
      <c r="Q169" s="26">
        <f t="shared" si="30"/>
        <v>4.9543498372588601</v>
      </c>
      <c r="R169" s="26">
        <f t="shared" si="31"/>
        <v>-4.9543498372588601</v>
      </c>
      <c r="U169" s="40"/>
    </row>
    <row r="170" spans="1:21" x14ac:dyDescent="0.3">
      <c r="A170" s="2">
        <v>43872</v>
      </c>
      <c r="B170" s="1">
        <v>79.902500000000003</v>
      </c>
      <c r="C170" s="1">
        <v>2150.8000000000002</v>
      </c>
      <c r="D170" s="1">
        <v>207.19</v>
      </c>
      <c r="E170" s="1">
        <f t="shared" si="26"/>
        <v>-6.0515500668573263E-3</v>
      </c>
      <c r="F170" s="1">
        <f t="shared" si="27"/>
        <v>7.8838882837109336E-3</v>
      </c>
      <c r="G170" s="1">
        <f t="shared" si="28"/>
        <v>-2.7937569510660301E-2</v>
      </c>
      <c r="P170" s="39">
        <f t="shared" si="29"/>
        <v>871.58501069914723</v>
      </c>
      <c r="Q170" s="26">
        <f t="shared" si="30"/>
        <v>4.7588486407438495</v>
      </c>
      <c r="R170" s="26">
        <f t="shared" si="31"/>
        <v>-4.7588486407438495</v>
      </c>
      <c r="U170" s="40"/>
    </row>
    <row r="171" spans="1:21" x14ac:dyDescent="0.3">
      <c r="A171" s="2">
        <v>43871</v>
      </c>
      <c r="B171" s="1">
        <v>80.387500000000003</v>
      </c>
      <c r="C171" s="1">
        <v>2133.91</v>
      </c>
      <c r="D171" s="1">
        <v>213.06</v>
      </c>
      <c r="E171" s="1">
        <f t="shared" si="26"/>
        <v>4.7383111813566131E-3</v>
      </c>
      <c r="F171" s="1">
        <f t="shared" si="27"/>
        <v>2.5934297727674048E-2</v>
      </c>
      <c r="G171" s="1">
        <f t="shared" si="28"/>
        <v>3.4321479893490029E-3</v>
      </c>
      <c r="P171" s="39">
        <f t="shared" si="29"/>
        <v>866.82616205840338</v>
      </c>
      <c r="Q171" s="26">
        <f t="shared" si="30"/>
        <v>20.472438307983907</v>
      </c>
      <c r="R171" s="26">
        <f t="shared" si="31"/>
        <v>-20.472438307983907</v>
      </c>
      <c r="U171" s="40"/>
    </row>
    <row r="172" spans="1:21" x14ac:dyDescent="0.3">
      <c r="A172" s="2">
        <v>43868</v>
      </c>
      <c r="B172" s="1">
        <v>80.007499999999993</v>
      </c>
      <c r="C172" s="1">
        <v>2079.2800000000002</v>
      </c>
      <c r="D172" s="1">
        <v>212.33</v>
      </c>
      <c r="E172" s="1">
        <f t="shared" si="26"/>
        <v>-1.6056386108862043E-2</v>
      </c>
      <c r="F172" s="1">
        <f t="shared" si="27"/>
        <v>1.4069697963134923E-2</v>
      </c>
      <c r="G172" s="1">
        <f t="shared" si="28"/>
        <v>6.9946880011335106E-3</v>
      </c>
      <c r="P172" s="39">
        <f t="shared" si="29"/>
        <v>846.35372375041948</v>
      </c>
      <c r="Q172" s="26">
        <f t="shared" si="30"/>
        <v>10.502751910229904</v>
      </c>
      <c r="R172" s="26">
        <f t="shared" si="31"/>
        <v>-10.502751910229904</v>
      </c>
      <c r="U172" s="40"/>
    </row>
    <row r="173" spans="1:21" x14ac:dyDescent="0.3">
      <c r="A173" s="2">
        <v>43867</v>
      </c>
      <c r="B173" s="1">
        <v>81.302499999999995</v>
      </c>
      <c r="C173" s="1">
        <v>2050.23</v>
      </c>
      <c r="D173" s="1">
        <v>210.85</v>
      </c>
      <c r="E173" s="1">
        <f t="shared" si="26"/>
        <v>1.162911692068175E-2</v>
      </c>
      <c r="F173" s="1">
        <f t="shared" si="27"/>
        <v>5.0659016434923985E-3</v>
      </c>
      <c r="G173" s="1">
        <f t="shared" si="28"/>
        <v>3.5157770916109323E-3</v>
      </c>
      <c r="P173" s="39">
        <f t="shared" si="29"/>
        <v>835.85097184018957</v>
      </c>
      <c r="Q173" s="26">
        <f t="shared" si="30"/>
        <v>4.3723491878175764</v>
      </c>
      <c r="R173" s="26">
        <f t="shared" si="31"/>
        <v>-4.3723491878175764</v>
      </c>
      <c r="U173" s="40"/>
    </row>
    <row r="174" spans="1:21" x14ac:dyDescent="0.3">
      <c r="A174" s="2">
        <v>43866</v>
      </c>
      <c r="B174" s="1">
        <v>80.362499999999997</v>
      </c>
      <c r="C174" s="1">
        <v>2039.87</v>
      </c>
      <c r="D174" s="1">
        <v>210.11</v>
      </c>
      <c r="E174" s="1">
        <f t="shared" si="26"/>
        <v>8.1212378264149867E-3</v>
      </c>
      <c r="F174" s="1">
        <f t="shared" si="27"/>
        <v>-4.7927242472230848E-3</v>
      </c>
      <c r="G174" s="1">
        <f t="shared" si="28"/>
        <v>1.333524034354161E-3</v>
      </c>
      <c r="P174" s="39">
        <f t="shared" si="29"/>
        <v>831.478622652372</v>
      </c>
      <c r="Q174" s="26">
        <f t="shared" si="30"/>
        <v>-3.2859135240198611</v>
      </c>
      <c r="R174" s="26">
        <f t="shared" si="31"/>
        <v>3.2859135240198611</v>
      </c>
      <c r="U174" s="40"/>
    </row>
    <row r="175" spans="1:21" x14ac:dyDescent="0.3">
      <c r="A175" s="2">
        <v>43865</v>
      </c>
      <c r="B175" s="1">
        <v>79.712500000000006</v>
      </c>
      <c r="C175" s="1">
        <v>2049.67</v>
      </c>
      <c r="D175" s="1">
        <v>209.83</v>
      </c>
      <c r="E175" s="1">
        <f t="shared" si="26"/>
        <v>3.2480425288595127E-2</v>
      </c>
      <c r="F175" s="1">
        <f t="shared" si="27"/>
        <v>2.2433825940505216E-2</v>
      </c>
      <c r="G175" s="1">
        <f t="shared" si="28"/>
        <v>2.7246746131660411E-2</v>
      </c>
      <c r="P175" s="39">
        <f t="shared" si="29"/>
        <v>834.76453617639186</v>
      </c>
      <c r="Q175" s="26">
        <f t="shared" si="30"/>
        <v>19.054770416179849</v>
      </c>
      <c r="R175" s="26">
        <f t="shared" si="31"/>
        <v>-19.054770416179849</v>
      </c>
      <c r="U175" s="40"/>
    </row>
    <row r="176" spans="1:21" x14ac:dyDescent="0.3">
      <c r="A176" s="2">
        <v>43864</v>
      </c>
      <c r="B176" s="1">
        <v>77.165000000000006</v>
      </c>
      <c r="C176" s="1">
        <v>2004.2</v>
      </c>
      <c r="D176" s="1">
        <v>204.19</v>
      </c>
      <c r="E176" s="1">
        <f t="shared" si="26"/>
        <v>-2.7500543077087192E-3</v>
      </c>
      <c r="F176" s="1">
        <f t="shared" si="27"/>
        <v>-2.2527246551119549E-3</v>
      </c>
      <c r="G176" s="1">
        <f t="shared" si="28"/>
        <v>1.1228879372660488E-2</v>
      </c>
      <c r="P176" s="39">
        <f t="shared" si="29"/>
        <v>815.70976576021201</v>
      </c>
      <c r="Q176" s="26">
        <f t="shared" si="30"/>
        <v>-1.2616808285858951</v>
      </c>
      <c r="R176" s="26">
        <f t="shared" si="31"/>
        <v>1.2616808285858951</v>
      </c>
      <c r="U176" s="40"/>
    </row>
    <row r="177" spans="1:21" x14ac:dyDescent="0.3">
      <c r="A177" s="2">
        <v>43861</v>
      </c>
      <c r="B177" s="1">
        <v>77.377499999999998</v>
      </c>
      <c r="C177" s="1">
        <v>2008.72</v>
      </c>
      <c r="D177" s="1">
        <v>201.91</v>
      </c>
      <c r="E177" s="1">
        <f t="shared" si="26"/>
        <v>-4.5351798927906729E-2</v>
      </c>
      <c r="F177" s="1">
        <f t="shared" si="27"/>
        <v>7.1195702166750516E-2</v>
      </c>
      <c r="G177" s="1">
        <f t="shared" si="28"/>
        <v>-3.7044873638733884E-2</v>
      </c>
      <c r="P177" s="39">
        <f t="shared" si="29"/>
        <v>816.9714465887979</v>
      </c>
      <c r="Q177" s="26">
        <f t="shared" si="30"/>
        <v>47.793784298831156</v>
      </c>
      <c r="R177" s="26">
        <f t="shared" si="31"/>
        <v>-47.793784298831156</v>
      </c>
      <c r="U177" s="40"/>
    </row>
    <row r="178" spans="1:21" x14ac:dyDescent="0.3">
      <c r="A178" s="2">
        <v>43860</v>
      </c>
      <c r="B178" s="1">
        <v>80.967500000000001</v>
      </c>
      <c r="C178" s="1">
        <v>1870.68</v>
      </c>
      <c r="D178" s="1">
        <v>209.53</v>
      </c>
      <c r="E178" s="1">
        <f t="shared" si="26"/>
        <v>-1.4501475829272309E-3</v>
      </c>
      <c r="F178" s="1">
        <f t="shared" si="27"/>
        <v>6.801360738806158E-3</v>
      </c>
      <c r="G178" s="1">
        <f t="shared" si="28"/>
        <v>-6.3335702876262917E-2</v>
      </c>
      <c r="P178" s="39">
        <f t="shared" si="29"/>
        <v>769.17766228996675</v>
      </c>
      <c r="Q178" s="26">
        <f t="shared" si="30"/>
        <v>1.6608942255865031</v>
      </c>
      <c r="R178" s="26">
        <f t="shared" si="31"/>
        <v>-1.6608942255865031</v>
      </c>
      <c r="U178" s="40"/>
    </row>
    <row r="179" spans="1:21" x14ac:dyDescent="0.3">
      <c r="A179" s="2">
        <v>43859</v>
      </c>
      <c r="B179" s="1">
        <v>81.084999999999994</v>
      </c>
      <c r="C179" s="1">
        <v>1858</v>
      </c>
      <c r="D179" s="1">
        <v>223.23</v>
      </c>
      <c r="E179" s="1">
        <f t="shared" si="26"/>
        <v>2.0716283746587138E-2</v>
      </c>
      <c r="F179" s="1">
        <f t="shared" si="27"/>
        <v>2.5597858369547214E-3</v>
      </c>
      <c r="G179" s="1">
        <f t="shared" si="28"/>
        <v>2.4671334314762244E-2</v>
      </c>
      <c r="P179" s="39">
        <f t="shared" si="29"/>
        <v>767.51676806438024</v>
      </c>
      <c r="Q179" s="26">
        <f t="shared" si="30"/>
        <v>3.6203227559399238</v>
      </c>
      <c r="R179" s="26">
        <f t="shared" si="31"/>
        <v>-3.6203227559399238</v>
      </c>
      <c r="U179" s="40"/>
    </row>
    <row r="180" spans="1:21" x14ac:dyDescent="0.3">
      <c r="A180" s="2">
        <v>43858</v>
      </c>
      <c r="B180" s="1">
        <v>79.422499999999999</v>
      </c>
      <c r="C180" s="1">
        <v>1853.25</v>
      </c>
      <c r="D180" s="1">
        <v>217.79</v>
      </c>
      <c r="E180" s="1">
        <f t="shared" si="26"/>
        <v>2.7896613037652646E-2</v>
      </c>
      <c r="F180" s="1">
        <f t="shared" si="27"/>
        <v>1.3532403194143021E-2</v>
      </c>
      <c r="G180" s="1">
        <f t="shared" si="28"/>
        <v>1.3498101672880335E-2</v>
      </c>
      <c r="P180" s="39">
        <f t="shared" si="29"/>
        <v>763.89644530844032</v>
      </c>
      <c r="Q180" s="26">
        <f t="shared" si="30"/>
        <v>10.729112613815118</v>
      </c>
      <c r="R180" s="26">
        <f t="shared" si="31"/>
        <v>-10.729112613815118</v>
      </c>
      <c r="U180" s="40"/>
    </row>
    <row r="181" spans="1:21" x14ac:dyDescent="0.3">
      <c r="A181" s="2">
        <v>43857</v>
      </c>
      <c r="B181" s="1">
        <v>77.237499999999997</v>
      </c>
      <c r="C181" s="1">
        <v>1828.34</v>
      </c>
      <c r="D181" s="1">
        <v>214.87</v>
      </c>
      <c r="E181" s="1">
        <f t="shared" si="26"/>
        <v>-2.9846299189851485E-2</v>
      </c>
      <c r="F181" s="1">
        <f t="shared" si="27"/>
        <v>-1.8049368307551179E-2</v>
      </c>
      <c r="G181" s="1">
        <f t="shared" si="28"/>
        <v>-1.4186601459103112E-2</v>
      </c>
      <c r="P181" s="39">
        <f t="shared" si="29"/>
        <v>753.1673326946252</v>
      </c>
      <c r="Q181" s="26">
        <f t="shared" si="30"/>
        <v>-13.921491931884361</v>
      </c>
      <c r="R181" s="26">
        <f t="shared" si="31"/>
        <v>13.921491931884361</v>
      </c>
      <c r="U181" s="40"/>
    </row>
    <row r="182" spans="1:21" x14ac:dyDescent="0.3">
      <c r="A182" s="2">
        <v>43854</v>
      </c>
      <c r="B182" s="1">
        <v>79.577500000000001</v>
      </c>
      <c r="C182" s="1">
        <v>1861.64</v>
      </c>
      <c r="D182" s="1">
        <v>217.94</v>
      </c>
      <c r="E182" s="1">
        <f t="shared" si="26"/>
        <v>-2.8860954249098963E-3</v>
      </c>
      <c r="F182" s="1">
        <f t="shared" si="27"/>
        <v>-1.2247164734578044E-2</v>
      </c>
      <c r="G182" s="1">
        <f t="shared" si="28"/>
        <v>-8.3162462382783721E-3</v>
      </c>
      <c r="P182" s="39">
        <f t="shared" si="29"/>
        <v>767.08882462650956</v>
      </c>
      <c r="Q182" s="26">
        <f t="shared" si="30"/>
        <v>-8.9538668788707128</v>
      </c>
      <c r="R182" s="26">
        <f t="shared" si="31"/>
        <v>8.9538668788707128</v>
      </c>
      <c r="U182" s="40"/>
    </row>
    <row r="183" spans="1:21" x14ac:dyDescent="0.3">
      <c r="A183" s="2">
        <v>43853</v>
      </c>
      <c r="B183" s="1">
        <v>79.807500000000005</v>
      </c>
      <c r="C183" s="1">
        <v>1884.58</v>
      </c>
      <c r="D183" s="1">
        <v>219.76</v>
      </c>
      <c r="E183" s="1">
        <f t="shared" si="26"/>
        <v>4.804304846279475E-3</v>
      </c>
      <c r="F183" s="1">
        <f t="shared" si="27"/>
        <v>-1.5270254608295748E-3</v>
      </c>
      <c r="G183" s="1">
        <f t="shared" si="28"/>
        <v>-7.0735762428905972E-3</v>
      </c>
      <c r="P183" s="39">
        <f t="shared" si="29"/>
        <v>776.04269150538028</v>
      </c>
      <c r="Q183" s="26">
        <f t="shared" si="30"/>
        <v>-1.2422257798294822</v>
      </c>
      <c r="R183" s="26">
        <f t="shared" si="31"/>
        <v>1.2422257798294822</v>
      </c>
      <c r="U183" s="40"/>
    </row>
    <row r="184" spans="1:21" x14ac:dyDescent="0.3">
      <c r="A184" s="2">
        <v>43852</v>
      </c>
      <c r="B184" s="1">
        <v>79.424999999999997</v>
      </c>
      <c r="C184" s="1">
        <v>1887.46</v>
      </c>
      <c r="D184" s="1">
        <v>221.32</v>
      </c>
      <c r="E184" s="1">
        <f t="shared" si="26"/>
        <v>3.5631551091704003E-3</v>
      </c>
      <c r="F184" s="1">
        <f t="shared" si="27"/>
        <v>-2.4024607661786456E-3</v>
      </c>
      <c r="G184" s="1">
        <f t="shared" si="28"/>
        <v>-5.4205439939581095E-4</v>
      </c>
      <c r="P184" s="39">
        <f t="shared" si="29"/>
        <v>777.28491728520976</v>
      </c>
      <c r="Q184" s="26">
        <f t="shared" si="30"/>
        <v>-1.5840814565516439</v>
      </c>
      <c r="R184" s="26">
        <f t="shared" si="31"/>
        <v>1.5840814565516439</v>
      </c>
      <c r="U184" s="40"/>
    </row>
    <row r="185" spans="1:21" x14ac:dyDescent="0.3">
      <c r="A185" s="2">
        <v>43851</v>
      </c>
      <c r="B185" s="1">
        <v>79.142499999999998</v>
      </c>
      <c r="C185" s="1">
        <v>1892</v>
      </c>
      <c r="D185" s="1">
        <v>221.44</v>
      </c>
      <c r="E185" s="1">
        <f t="shared" si="26"/>
        <v>-6.7999632397407039E-3</v>
      </c>
      <c r="F185" s="1">
        <f t="shared" si="27"/>
        <v>1.4523562853409481E-2</v>
      </c>
      <c r="G185" s="1">
        <f t="shared" si="28"/>
        <v>-3.1561413096691257E-3</v>
      </c>
      <c r="P185" s="39">
        <f t="shared" si="29"/>
        <v>778.8689987417614</v>
      </c>
      <c r="Q185" s="26">
        <f t="shared" si="30"/>
        <v>9.6900543380127147</v>
      </c>
      <c r="R185" s="26">
        <f t="shared" si="31"/>
        <v>-9.6900543380127147</v>
      </c>
      <c r="U185" s="40"/>
    </row>
    <row r="186" spans="1:21" x14ac:dyDescent="0.3">
      <c r="A186" s="2">
        <v>43847</v>
      </c>
      <c r="B186" s="1">
        <v>79.682500000000005</v>
      </c>
      <c r="C186" s="1">
        <v>1864.72</v>
      </c>
      <c r="D186" s="1">
        <v>222.14</v>
      </c>
      <c r="E186" s="1">
        <f t="shared" si="26"/>
        <v>1.1010095920591972E-2</v>
      </c>
      <c r="F186" s="1">
        <f t="shared" si="27"/>
        <v>-7.0645236176285044E-3</v>
      </c>
      <c r="G186" s="1">
        <f t="shared" si="28"/>
        <v>1.6670049590363307E-3</v>
      </c>
      <c r="P186" s="39">
        <f t="shared" si="29"/>
        <v>769.17894440374869</v>
      </c>
      <c r="Q186" s="26">
        <f t="shared" si="30"/>
        <v>-4.4360988528256939</v>
      </c>
      <c r="R186" s="26">
        <f t="shared" si="31"/>
        <v>4.4360988528256939</v>
      </c>
      <c r="U186" s="40"/>
    </row>
    <row r="187" spans="1:21" x14ac:dyDescent="0.3">
      <c r="A187" s="2">
        <v>43846</v>
      </c>
      <c r="B187" s="1">
        <v>78.81</v>
      </c>
      <c r="C187" s="1">
        <v>1877.94</v>
      </c>
      <c r="D187" s="1">
        <v>221.77</v>
      </c>
      <c r="E187" s="1">
        <f t="shared" si="26"/>
        <v>1.2448690877745642E-2</v>
      </c>
      <c r="F187" s="1">
        <f t="shared" si="27"/>
        <v>8.5135114581552651E-3</v>
      </c>
      <c r="G187" s="1">
        <f t="shared" si="28"/>
        <v>2.7996044656018867E-3</v>
      </c>
      <c r="P187" s="39">
        <f t="shared" si="29"/>
        <v>773.61504325657438</v>
      </c>
      <c r="Q187" s="26">
        <f t="shared" si="30"/>
        <v>6.4123146668475783</v>
      </c>
      <c r="R187" s="26">
        <f t="shared" si="31"/>
        <v>-6.4123146668475783</v>
      </c>
      <c r="U187" s="40"/>
    </row>
    <row r="188" spans="1:21" x14ac:dyDescent="0.3">
      <c r="A188" s="2">
        <v>43845</v>
      </c>
      <c r="B188" s="1">
        <v>77.834999999999994</v>
      </c>
      <c r="C188" s="1">
        <v>1862.02</v>
      </c>
      <c r="D188" s="1">
        <v>221.15</v>
      </c>
      <c r="E188" s="1">
        <f t="shared" si="26"/>
        <v>-4.2947407444264936E-3</v>
      </c>
      <c r="F188" s="1">
        <f t="shared" si="27"/>
        <v>-3.9770008414340445E-3</v>
      </c>
      <c r="G188" s="1">
        <f t="shared" si="28"/>
        <v>9.4955394187353596E-3</v>
      </c>
      <c r="P188" s="39">
        <f t="shared" si="29"/>
        <v>767.2027285897268</v>
      </c>
      <c r="Q188" s="26">
        <f t="shared" si="30"/>
        <v>-2.4236213566332481</v>
      </c>
      <c r="R188" s="26">
        <f t="shared" si="31"/>
        <v>2.4236213566332481</v>
      </c>
      <c r="U188" s="40"/>
    </row>
    <row r="189" spans="1:21" x14ac:dyDescent="0.3">
      <c r="A189" s="2">
        <v>43844</v>
      </c>
      <c r="B189" s="1">
        <v>78.17</v>
      </c>
      <c r="C189" s="1">
        <v>1869.44</v>
      </c>
      <c r="D189" s="1">
        <v>219.06</v>
      </c>
      <c r="E189" s="1">
        <f t="shared" si="26"/>
        <v>-1.3595279598111076E-2</v>
      </c>
      <c r="F189" s="1">
        <f t="shared" si="27"/>
        <v>-1.1625502535087139E-2</v>
      </c>
      <c r="G189" s="1">
        <f t="shared" si="28"/>
        <v>-1.2926229372285459E-2</v>
      </c>
      <c r="P189" s="39">
        <f t="shared" si="29"/>
        <v>769.62634994636005</v>
      </c>
      <c r="Q189" s="26">
        <f t="shared" si="30"/>
        <v>-9.1266209515166565</v>
      </c>
      <c r="R189" s="26">
        <f t="shared" si="31"/>
        <v>9.1266209515166565</v>
      </c>
      <c r="U189" s="40"/>
    </row>
    <row r="190" spans="1:21" x14ac:dyDescent="0.3">
      <c r="A190" s="2">
        <v>43843</v>
      </c>
      <c r="B190" s="1">
        <v>79.239999999999995</v>
      </c>
      <c r="C190" s="1">
        <v>1891.3</v>
      </c>
      <c r="D190" s="1">
        <v>221.91</v>
      </c>
      <c r="E190" s="1">
        <f t="shared" si="26"/>
        <v>2.1139335537530484E-2</v>
      </c>
      <c r="F190" s="1">
        <f t="shared" si="27"/>
        <v>4.313206455778912E-3</v>
      </c>
      <c r="G190" s="1">
        <f t="shared" si="28"/>
        <v>1.7501639989650319E-2</v>
      </c>
      <c r="P190" s="39">
        <f t="shared" si="29"/>
        <v>778.75297089787671</v>
      </c>
      <c r="Q190" s="26">
        <f t="shared" si="30"/>
        <v>4.5244852101353672</v>
      </c>
      <c r="R190" s="26">
        <f t="shared" si="31"/>
        <v>-4.5244852101353672</v>
      </c>
      <c r="U190" s="40"/>
    </row>
    <row r="191" spans="1:21" x14ac:dyDescent="0.3">
      <c r="A191" s="2">
        <v>43840</v>
      </c>
      <c r="B191" s="1">
        <v>77.582499999999996</v>
      </c>
      <c r="C191" s="1">
        <v>1883.16</v>
      </c>
      <c r="D191" s="1">
        <v>218.06</v>
      </c>
      <c r="E191" s="1">
        <f t="shared" si="26"/>
        <v>2.2582111667585961E-3</v>
      </c>
      <c r="F191" s="1">
        <f t="shared" si="27"/>
        <v>-9.4551482502532626E-3</v>
      </c>
      <c r="G191" s="1">
        <f t="shared" si="28"/>
        <v>-1.1000092776625857E-3</v>
      </c>
      <c r="P191" s="39">
        <f t="shared" si="29"/>
        <v>774.22848568774134</v>
      </c>
      <c r="Q191" s="26">
        <f t="shared" si="30"/>
        <v>-6.5803674266059033</v>
      </c>
      <c r="R191" s="26">
        <f t="shared" si="31"/>
        <v>6.5803674266059033</v>
      </c>
      <c r="U191" s="40"/>
    </row>
    <row r="192" spans="1:21" x14ac:dyDescent="0.3">
      <c r="A192" s="2">
        <v>43839</v>
      </c>
      <c r="B192" s="1">
        <v>77.407499999999999</v>
      </c>
      <c r="C192" s="1">
        <v>1901.05</v>
      </c>
      <c r="D192" s="1">
        <v>218.3</v>
      </c>
      <c r="E192" s="1">
        <f t="shared" si="26"/>
        <v>2.1018364551980692E-2</v>
      </c>
      <c r="F192" s="1">
        <f t="shared" si="27"/>
        <v>4.787750839557332E-3</v>
      </c>
      <c r="G192" s="1">
        <f t="shared" si="28"/>
        <v>1.4209502783652156E-2</v>
      </c>
      <c r="P192" s="39">
        <f t="shared" si="29"/>
        <v>780.80885311434724</v>
      </c>
      <c r="Q192" s="26">
        <f t="shared" si="30"/>
        <v>4.6847680182496561</v>
      </c>
      <c r="R192" s="26">
        <f t="shared" si="31"/>
        <v>-4.6847680182496561</v>
      </c>
      <c r="U192" s="40"/>
    </row>
    <row r="193" spans="1:21" x14ac:dyDescent="0.3">
      <c r="A193" s="2">
        <v>43838</v>
      </c>
      <c r="B193" s="1">
        <v>75.797499999999999</v>
      </c>
      <c r="C193" s="1">
        <v>1891.97</v>
      </c>
      <c r="D193" s="1">
        <v>215.22</v>
      </c>
      <c r="E193" s="1">
        <f t="shared" si="26"/>
        <v>1.595831599025016E-2</v>
      </c>
      <c r="F193" s="1">
        <f t="shared" si="27"/>
        <v>-7.8392959173160665E-3</v>
      </c>
      <c r="G193" s="1">
        <f t="shared" si="28"/>
        <v>1.0086944589194562E-2</v>
      </c>
      <c r="P193" s="39">
        <f t="shared" si="29"/>
        <v>776.12408509609759</v>
      </c>
      <c r="Q193" s="26">
        <f t="shared" si="30"/>
        <v>-4.5286738192593248</v>
      </c>
      <c r="R193" s="26">
        <f t="shared" si="31"/>
        <v>4.5286738192593248</v>
      </c>
      <c r="U193" s="40"/>
    </row>
    <row r="194" spans="1:21" x14ac:dyDescent="0.3">
      <c r="A194" s="2">
        <v>43837</v>
      </c>
      <c r="B194" s="1">
        <v>74.597499999999997</v>
      </c>
      <c r="C194" s="1">
        <v>1906.86</v>
      </c>
      <c r="D194" s="1">
        <v>213.06</v>
      </c>
      <c r="E194" s="1">
        <f t="shared" si="26"/>
        <v>-4.714229964776516E-3</v>
      </c>
      <c r="F194" s="1">
        <f t="shared" si="27"/>
        <v>2.0893821877064908E-3</v>
      </c>
      <c r="G194" s="1">
        <f t="shared" si="28"/>
        <v>2.1613502752039172E-3</v>
      </c>
      <c r="P194" s="39">
        <f t="shared" si="29"/>
        <v>780.65275891535691</v>
      </c>
      <c r="Q194" s="26">
        <f t="shared" si="30"/>
        <v>1.4221384002973991</v>
      </c>
      <c r="R194" s="26">
        <f t="shared" si="31"/>
        <v>-1.4221384002973991</v>
      </c>
      <c r="U194" s="40"/>
    </row>
    <row r="195" spans="1:21" x14ac:dyDescent="0.3">
      <c r="A195" s="2">
        <v>43836</v>
      </c>
      <c r="B195" s="1">
        <v>74.95</v>
      </c>
      <c r="C195" s="1">
        <v>1902.88</v>
      </c>
      <c r="D195" s="1">
        <v>212.6</v>
      </c>
      <c r="E195" s="1">
        <f t="shared" si="26"/>
        <v>7.9366824864639061E-3</v>
      </c>
      <c r="F195" s="1">
        <f t="shared" si="27"/>
        <v>1.4775868702425381E-2</v>
      </c>
      <c r="G195" s="1">
        <f t="shared" si="28"/>
        <v>1.8658409162554283E-2</v>
      </c>
      <c r="P195" s="39">
        <f t="shared" si="29"/>
        <v>779.23062051505951</v>
      </c>
      <c r="Q195" s="26">
        <f t="shared" si="30"/>
        <v>11.395097629909628</v>
      </c>
      <c r="R195" s="26">
        <f t="shared" si="31"/>
        <v>-11.395097629909628</v>
      </c>
      <c r="U195" s="40"/>
    </row>
    <row r="196" spans="1:21" x14ac:dyDescent="0.3">
      <c r="A196" s="2">
        <v>43833</v>
      </c>
      <c r="B196" s="1">
        <v>74.357500000000002</v>
      </c>
      <c r="C196" s="1">
        <v>1874.97</v>
      </c>
      <c r="D196" s="1">
        <v>208.67</v>
      </c>
      <c r="E196" s="1">
        <f t="shared" si="26"/>
        <v>-9.7695581141369284E-3</v>
      </c>
      <c r="F196" s="1">
        <f t="shared" si="27"/>
        <v>-1.221330958338258E-2</v>
      </c>
      <c r="G196" s="1">
        <f t="shared" si="28"/>
        <v>-5.3053057881644822E-3</v>
      </c>
      <c r="P196" s="39">
        <f t="shared" si="29"/>
        <v>767.83552288514989</v>
      </c>
      <c r="Q196" s="26">
        <f t="shared" si="30"/>
        <v>-9.0440575403760022</v>
      </c>
      <c r="R196" s="26">
        <f t="shared" si="31"/>
        <v>9.0440575403760022</v>
      </c>
      <c r="U196" s="40"/>
    </row>
    <row r="197" spans="1:21" x14ac:dyDescent="0.3">
      <c r="A197" s="2">
        <v>43832</v>
      </c>
      <c r="B197" s="1">
        <v>75.087500000000006</v>
      </c>
      <c r="C197" s="1">
        <v>1898.01</v>
      </c>
      <c r="D197" s="1">
        <v>209.78</v>
      </c>
      <c r="E197" s="1">
        <f t="shared" si="26"/>
        <v>2.2559879327641991E-2</v>
      </c>
      <c r="F197" s="1">
        <f t="shared" si="27"/>
        <v>2.6788579493115187E-2</v>
      </c>
      <c r="G197" s="1">
        <f t="shared" si="28"/>
        <v>2.1830614200920171E-2</v>
      </c>
      <c r="P197" s="39">
        <f t="shared" si="29"/>
        <v>776.87958042552589</v>
      </c>
      <c r="Q197" s="26">
        <f t="shared" si="30"/>
        <v>20.186883196535177</v>
      </c>
      <c r="R197" s="26">
        <f t="shared" si="31"/>
        <v>-20.186883196535177</v>
      </c>
      <c r="U197" s="40"/>
    </row>
    <row r="198" spans="1:21" x14ac:dyDescent="0.3">
      <c r="A198" s="2">
        <v>43831</v>
      </c>
      <c r="B198" s="1">
        <v>73.412499999999994</v>
      </c>
      <c r="C198" s="1">
        <v>1847.84</v>
      </c>
      <c r="D198" s="1">
        <v>205.25</v>
      </c>
      <c r="E198" s="1">
        <f t="shared" ref="E198:E261" si="32">LN(B198/B199)</f>
        <v>0</v>
      </c>
      <c r="F198" s="1">
        <f t="shared" ref="F198:F261" si="33">LN(C198/C199)</f>
        <v>0</v>
      </c>
      <c r="G198" s="1">
        <f t="shared" ref="G198:G261" si="34">LN(D198/D199)</f>
        <v>0</v>
      </c>
      <c r="P198" s="39">
        <f t="shared" ref="P198:P261" si="35">B198*$J$13+C198*$J$14+D198*$J$15</f>
        <v>756.69269722899071</v>
      </c>
      <c r="Q198" s="26">
        <f t="shared" ref="Q198:Q261" si="36">P198-P199</f>
        <v>0</v>
      </c>
      <c r="R198" s="26">
        <f t="shared" ref="R198:R261" si="37">-Q198</f>
        <v>0</v>
      </c>
      <c r="U198" s="40"/>
    </row>
    <row r="199" spans="1:21" x14ac:dyDescent="0.3">
      <c r="A199" s="2">
        <v>43830</v>
      </c>
      <c r="B199" s="1">
        <v>73.412499999999994</v>
      </c>
      <c r="C199" s="1">
        <v>1847.84</v>
      </c>
      <c r="D199" s="1">
        <v>205.25</v>
      </c>
      <c r="E199" s="1">
        <f t="shared" si="32"/>
        <v>7.2799678969350549E-3</v>
      </c>
      <c r="F199" s="1">
        <f t="shared" si="33"/>
        <v>5.1424597788499984E-4</v>
      </c>
      <c r="G199" s="1">
        <f t="shared" si="34"/>
        <v>4.1009675206517176E-3</v>
      </c>
      <c r="P199" s="39">
        <f t="shared" si="35"/>
        <v>756.69269722899071</v>
      </c>
      <c r="Q199" s="26">
        <f t="shared" si="36"/>
        <v>0.75318367435386335</v>
      </c>
      <c r="R199" s="26">
        <f t="shared" si="37"/>
        <v>-0.75318367435386335</v>
      </c>
      <c r="U199" s="40"/>
    </row>
    <row r="200" spans="1:21" x14ac:dyDescent="0.3">
      <c r="A200" s="2">
        <v>43829</v>
      </c>
      <c r="B200" s="1">
        <v>72.88</v>
      </c>
      <c r="C200" s="1">
        <v>1846.89</v>
      </c>
      <c r="D200" s="1">
        <v>204.41</v>
      </c>
      <c r="E200" s="1">
        <f t="shared" si="32"/>
        <v>5.9175841850114654E-3</v>
      </c>
      <c r="F200" s="1">
        <f t="shared" si="33"/>
        <v>-1.2328329868322897E-2</v>
      </c>
      <c r="G200" s="1">
        <f t="shared" si="34"/>
        <v>-1.7890952587702815E-2</v>
      </c>
      <c r="P200" s="39">
        <f t="shared" si="35"/>
        <v>755.93951355463685</v>
      </c>
      <c r="Q200" s="26">
        <f t="shared" si="36"/>
        <v>-9.0745990864521673</v>
      </c>
      <c r="R200" s="26">
        <f t="shared" si="37"/>
        <v>9.0745990864521673</v>
      </c>
      <c r="U200" s="40"/>
    </row>
    <row r="201" spans="1:21" x14ac:dyDescent="0.3">
      <c r="A201" s="2">
        <v>43826</v>
      </c>
      <c r="B201" s="1">
        <v>72.45</v>
      </c>
      <c r="C201" s="1">
        <v>1869.8</v>
      </c>
      <c r="D201" s="1">
        <v>208.1</v>
      </c>
      <c r="E201" s="1">
        <f t="shared" si="32"/>
        <v>-3.7950009942974369E-4</v>
      </c>
      <c r="F201" s="1">
        <f t="shared" si="33"/>
        <v>5.5101283435124264E-4</v>
      </c>
      <c r="G201" s="1">
        <f t="shared" si="34"/>
        <v>1.4907790878000999E-3</v>
      </c>
      <c r="P201" s="39">
        <f t="shared" si="35"/>
        <v>765.01411264108901</v>
      </c>
      <c r="Q201" s="26">
        <f t="shared" si="36"/>
        <v>0.43582544180685545</v>
      </c>
      <c r="R201" s="26">
        <f t="shared" si="37"/>
        <v>-0.43582544180685545</v>
      </c>
      <c r="U201" s="40"/>
    </row>
    <row r="202" spans="1:21" x14ac:dyDescent="0.3">
      <c r="A202" s="2">
        <v>43825</v>
      </c>
      <c r="B202" s="1">
        <v>72.477500000000006</v>
      </c>
      <c r="C202" s="1">
        <v>1868.77</v>
      </c>
      <c r="D202" s="1">
        <v>207.79</v>
      </c>
      <c r="E202" s="1">
        <f t="shared" si="32"/>
        <v>1.9646039232492037E-2</v>
      </c>
      <c r="F202" s="1">
        <f t="shared" si="33"/>
        <v>4.3506278789693771E-2</v>
      </c>
      <c r="G202" s="1">
        <f t="shared" si="34"/>
        <v>1.2932780579483525E-2</v>
      </c>
      <c r="P202" s="39">
        <f t="shared" si="35"/>
        <v>764.57828719928216</v>
      </c>
      <c r="Q202" s="26">
        <f t="shared" si="36"/>
        <v>30.518014557533434</v>
      </c>
      <c r="R202" s="26">
        <f t="shared" si="37"/>
        <v>-30.518014557533434</v>
      </c>
      <c r="U202" s="40"/>
    </row>
    <row r="203" spans="1:21" x14ac:dyDescent="0.3">
      <c r="A203" s="2">
        <v>43824</v>
      </c>
      <c r="B203" s="1">
        <v>71.067499999999995</v>
      </c>
      <c r="C203" s="1">
        <v>1789.21</v>
      </c>
      <c r="D203" s="1">
        <v>205.12</v>
      </c>
      <c r="E203" s="1">
        <f t="shared" si="32"/>
        <v>0</v>
      </c>
      <c r="F203" s="1">
        <f t="shared" si="33"/>
        <v>0</v>
      </c>
      <c r="G203" s="1">
        <f t="shared" si="34"/>
        <v>0</v>
      </c>
      <c r="P203" s="39">
        <f t="shared" si="35"/>
        <v>734.06027264174872</v>
      </c>
      <c r="Q203" s="26">
        <f t="shared" si="36"/>
        <v>0</v>
      </c>
      <c r="R203" s="26">
        <f t="shared" si="37"/>
        <v>0</v>
      </c>
      <c r="U203" s="40"/>
    </row>
    <row r="204" spans="1:21" x14ac:dyDescent="0.3">
      <c r="A204" s="2">
        <v>43823</v>
      </c>
      <c r="B204" s="1">
        <v>71.067499999999995</v>
      </c>
      <c r="C204" s="1">
        <v>1789.21</v>
      </c>
      <c r="D204" s="1">
        <v>205.12</v>
      </c>
      <c r="E204" s="1">
        <f t="shared" si="32"/>
        <v>9.5025259231361358E-4</v>
      </c>
      <c r="F204" s="1">
        <f t="shared" si="33"/>
        <v>-2.1160129719625729E-3</v>
      </c>
      <c r="G204" s="1">
        <f t="shared" si="34"/>
        <v>-5.1543999359333998E-3</v>
      </c>
      <c r="P204" s="39">
        <f t="shared" si="35"/>
        <v>734.06027264174872</v>
      </c>
      <c r="Q204" s="26">
        <f t="shared" si="36"/>
        <v>-1.600142239714387</v>
      </c>
      <c r="R204" s="26">
        <f t="shared" si="37"/>
        <v>1.600142239714387</v>
      </c>
      <c r="U204" s="40"/>
    </row>
    <row r="205" spans="1:21" x14ac:dyDescent="0.3">
      <c r="A205" s="2">
        <v>43822</v>
      </c>
      <c r="B205" s="1">
        <v>71</v>
      </c>
      <c r="C205" s="1">
        <v>1793</v>
      </c>
      <c r="D205" s="1">
        <v>206.18</v>
      </c>
      <c r="E205" s="1">
        <f t="shared" si="32"/>
        <v>1.6186637662629479E-2</v>
      </c>
      <c r="F205" s="1">
        <f t="shared" si="33"/>
        <v>3.631796141668333E-3</v>
      </c>
      <c r="G205" s="1">
        <f t="shared" si="34"/>
        <v>-5.8184640896749096E-4</v>
      </c>
      <c r="P205" s="39">
        <f t="shared" si="35"/>
        <v>735.66041488146311</v>
      </c>
      <c r="Q205" s="26">
        <f t="shared" si="36"/>
        <v>2.844618711433327</v>
      </c>
      <c r="R205" s="26">
        <f t="shared" si="37"/>
        <v>-2.844618711433327</v>
      </c>
      <c r="U205" s="40"/>
    </row>
    <row r="206" spans="1:21" x14ac:dyDescent="0.3">
      <c r="A206" s="2">
        <v>43819</v>
      </c>
      <c r="B206" s="1">
        <v>69.86</v>
      </c>
      <c r="C206" s="1">
        <v>1786.5</v>
      </c>
      <c r="D206" s="1">
        <v>206.3</v>
      </c>
      <c r="E206" s="1">
        <f t="shared" si="32"/>
        <v>-2.0734286912026429E-3</v>
      </c>
      <c r="F206" s="1">
        <f t="shared" si="33"/>
        <v>-3.2301538656514485E-3</v>
      </c>
      <c r="G206" s="1">
        <f t="shared" si="34"/>
        <v>1.1640315602841364E-3</v>
      </c>
      <c r="P206" s="39">
        <f t="shared" si="35"/>
        <v>732.81579617002978</v>
      </c>
      <c r="Q206" s="26">
        <f t="shared" si="36"/>
        <v>-2.1407083389593708</v>
      </c>
      <c r="R206" s="26">
        <f t="shared" si="37"/>
        <v>2.1407083389593708</v>
      </c>
      <c r="U206" s="40"/>
    </row>
    <row r="207" spans="1:21" x14ac:dyDescent="0.3">
      <c r="A207" s="2">
        <v>43818</v>
      </c>
      <c r="B207" s="1">
        <v>70.004999999999995</v>
      </c>
      <c r="C207" s="1">
        <v>1792.28</v>
      </c>
      <c r="D207" s="1">
        <v>206.06</v>
      </c>
      <c r="E207" s="1">
        <f t="shared" si="32"/>
        <v>1.0004288386213317E-3</v>
      </c>
      <c r="F207" s="1">
        <f t="shared" si="33"/>
        <v>4.6137021870532981E-3</v>
      </c>
      <c r="G207" s="1">
        <f t="shared" si="34"/>
        <v>1.7427501970328076E-2</v>
      </c>
      <c r="P207" s="39">
        <f t="shared" si="35"/>
        <v>734.95650450898916</v>
      </c>
      <c r="Q207" s="26">
        <f t="shared" si="36"/>
        <v>3.8444946292319173</v>
      </c>
      <c r="R207" s="26">
        <f t="shared" si="37"/>
        <v>-3.8444946292319173</v>
      </c>
      <c r="U207" s="40"/>
    </row>
    <row r="208" spans="1:21" x14ac:dyDescent="0.3">
      <c r="A208" s="2">
        <v>43817</v>
      </c>
      <c r="B208" s="1">
        <v>69.935000000000002</v>
      </c>
      <c r="C208" s="1">
        <v>1784.03</v>
      </c>
      <c r="D208" s="1">
        <v>202.5</v>
      </c>
      <c r="E208" s="1">
        <f t="shared" si="32"/>
        <v>-2.3922175114439001E-3</v>
      </c>
      <c r="F208" s="1">
        <f t="shared" si="33"/>
        <v>-3.7094168178348737E-3</v>
      </c>
      <c r="G208" s="1">
        <f t="shared" si="34"/>
        <v>2.0505096191913125E-2</v>
      </c>
      <c r="P208" s="39">
        <f t="shared" si="35"/>
        <v>731.11200987975724</v>
      </c>
      <c r="Q208" s="26">
        <f t="shared" si="36"/>
        <v>-1.6249788357384887</v>
      </c>
      <c r="R208" s="26">
        <f t="shared" si="37"/>
        <v>1.6249788357384887</v>
      </c>
      <c r="U208" s="40"/>
    </row>
    <row r="209" spans="1:21" x14ac:dyDescent="0.3">
      <c r="A209" s="2">
        <v>43816</v>
      </c>
      <c r="B209" s="1">
        <v>70.102500000000006</v>
      </c>
      <c r="C209" s="1">
        <v>1790.66</v>
      </c>
      <c r="D209" s="1">
        <v>198.39</v>
      </c>
      <c r="E209" s="1">
        <f t="shared" si="32"/>
        <v>1.9633397350343859E-3</v>
      </c>
      <c r="F209" s="1">
        <f t="shared" si="33"/>
        <v>1.2051147709486315E-2</v>
      </c>
      <c r="G209" s="1">
        <f t="shared" si="34"/>
        <v>2.3718817105028551E-3</v>
      </c>
      <c r="P209" s="39">
        <f t="shared" si="35"/>
        <v>732.73698871549573</v>
      </c>
      <c r="Q209" s="26">
        <f t="shared" si="36"/>
        <v>8.073216757157752</v>
      </c>
      <c r="R209" s="26">
        <f t="shared" si="37"/>
        <v>-8.073216757157752</v>
      </c>
      <c r="U209" s="40"/>
    </row>
    <row r="210" spans="1:21" x14ac:dyDescent="0.3">
      <c r="A210" s="2">
        <v>43815</v>
      </c>
      <c r="B210" s="1">
        <v>69.965000000000003</v>
      </c>
      <c r="C210" s="1">
        <v>1769.21</v>
      </c>
      <c r="D210" s="1">
        <v>197.92</v>
      </c>
      <c r="E210" s="1">
        <f t="shared" si="32"/>
        <v>1.697307462179971E-2</v>
      </c>
      <c r="F210" s="1">
        <f t="shared" si="33"/>
        <v>4.6853618849088891E-3</v>
      </c>
      <c r="G210" s="1">
        <f t="shared" si="34"/>
        <v>1.9437899961177708E-2</v>
      </c>
      <c r="P210" s="39">
        <f t="shared" si="35"/>
        <v>724.66377195833797</v>
      </c>
      <c r="Q210" s="26">
        <f t="shared" si="36"/>
        <v>4.3649098380352598</v>
      </c>
      <c r="R210" s="26">
        <f t="shared" si="37"/>
        <v>-4.3649098380352598</v>
      </c>
      <c r="U210" s="40"/>
    </row>
    <row r="211" spans="1:21" x14ac:dyDescent="0.3">
      <c r="A211" s="2">
        <v>43812</v>
      </c>
      <c r="B211" s="1">
        <v>68.787499999999994</v>
      </c>
      <c r="C211" s="1">
        <v>1760.94</v>
      </c>
      <c r="D211" s="1">
        <v>194.11</v>
      </c>
      <c r="E211" s="1">
        <f t="shared" si="32"/>
        <v>1.3501604635948721E-2</v>
      </c>
      <c r="F211" s="1">
        <f t="shared" si="33"/>
        <v>3.464659092327355E-4</v>
      </c>
      <c r="G211" s="1">
        <f t="shared" si="34"/>
        <v>-1.3508878614512589E-2</v>
      </c>
      <c r="P211" s="39">
        <f t="shared" si="35"/>
        <v>720.29886212030272</v>
      </c>
      <c r="Q211" s="26">
        <f t="shared" si="36"/>
        <v>3.5160376551175432E-2</v>
      </c>
      <c r="R211" s="26">
        <f t="shared" si="37"/>
        <v>-3.5160376551175432E-2</v>
      </c>
      <c r="U211" s="40"/>
    </row>
    <row r="212" spans="1:21" x14ac:dyDescent="0.3">
      <c r="A212" s="2">
        <v>43811</v>
      </c>
      <c r="B212" s="1">
        <v>67.864999999999995</v>
      </c>
      <c r="C212" s="1">
        <v>1760.33</v>
      </c>
      <c r="D212" s="1">
        <v>196.75</v>
      </c>
      <c r="E212" s="1">
        <f t="shared" si="32"/>
        <v>2.5450468341574129E-3</v>
      </c>
      <c r="F212" s="1">
        <f t="shared" si="33"/>
        <v>6.6171997345225598E-3</v>
      </c>
      <c r="G212" s="1">
        <f t="shared" si="34"/>
        <v>-2.7620111176511742E-2</v>
      </c>
      <c r="P212" s="39">
        <f t="shared" si="35"/>
        <v>720.26370174375154</v>
      </c>
      <c r="Q212" s="26">
        <f t="shared" si="36"/>
        <v>3.1611210865102066</v>
      </c>
      <c r="R212" s="26">
        <f t="shared" si="37"/>
        <v>-3.1611210865102066</v>
      </c>
    </row>
    <row r="213" spans="1:21" x14ac:dyDescent="0.3">
      <c r="A213" s="2">
        <v>43810</v>
      </c>
      <c r="B213" s="1">
        <v>67.692499999999995</v>
      </c>
      <c r="C213" s="1">
        <v>1748.72</v>
      </c>
      <c r="D213" s="1">
        <v>202.26</v>
      </c>
      <c r="E213" s="1">
        <f t="shared" si="32"/>
        <v>8.4933287568201184E-3</v>
      </c>
      <c r="F213" s="1">
        <f t="shared" si="33"/>
        <v>5.4531046013224678E-3</v>
      </c>
      <c r="G213" s="1">
        <f t="shared" si="34"/>
        <v>6.8960658275674857E-3</v>
      </c>
      <c r="P213" s="39">
        <f t="shared" si="35"/>
        <v>717.10258065724133</v>
      </c>
      <c r="Q213" s="26">
        <f t="shared" si="36"/>
        <v>4.0473259744990173</v>
      </c>
      <c r="R213" s="26">
        <f t="shared" si="37"/>
        <v>-4.0473259744990173</v>
      </c>
    </row>
    <row r="214" spans="1:21" x14ac:dyDescent="0.3">
      <c r="A214" s="2">
        <v>43809</v>
      </c>
      <c r="B214" s="1">
        <v>67.12</v>
      </c>
      <c r="C214" s="1">
        <v>1739.21</v>
      </c>
      <c r="D214" s="1">
        <v>200.87</v>
      </c>
      <c r="E214" s="1">
        <f t="shared" si="32"/>
        <v>5.8274352434354547E-3</v>
      </c>
      <c r="F214" s="1">
        <f t="shared" si="33"/>
        <v>-5.9047615898165304E-3</v>
      </c>
      <c r="G214" s="1">
        <f t="shared" si="34"/>
        <v>-2.3370886548204745E-3</v>
      </c>
      <c r="P214" s="39">
        <f t="shared" si="35"/>
        <v>713.05525468274232</v>
      </c>
      <c r="Q214" s="26">
        <f t="shared" si="36"/>
        <v>-3.7406550824699707</v>
      </c>
      <c r="R214" s="26">
        <f t="shared" si="37"/>
        <v>3.7406550824699707</v>
      </c>
    </row>
    <row r="215" spans="1:21" x14ac:dyDescent="0.3">
      <c r="A215" s="2">
        <v>43808</v>
      </c>
      <c r="B215" s="1">
        <v>66.73</v>
      </c>
      <c r="C215" s="1">
        <v>1749.51</v>
      </c>
      <c r="D215" s="1">
        <v>201.34</v>
      </c>
      <c r="E215" s="1">
        <f t="shared" si="32"/>
        <v>-1.4099149165929161E-2</v>
      </c>
      <c r="F215" s="1">
        <f t="shared" si="33"/>
        <v>-1.1939072170024094E-3</v>
      </c>
      <c r="G215" s="1">
        <f t="shared" si="34"/>
        <v>1.4413879579940852E-3</v>
      </c>
      <c r="P215" s="39">
        <f t="shared" si="35"/>
        <v>716.79590976521229</v>
      </c>
      <c r="Q215" s="26">
        <f t="shared" si="36"/>
        <v>-1.1008663550569509</v>
      </c>
      <c r="R215" s="26">
        <f t="shared" si="37"/>
        <v>1.1008663550569509</v>
      </c>
    </row>
    <row r="216" spans="1:21" x14ac:dyDescent="0.3">
      <c r="A216" s="2">
        <v>43805</v>
      </c>
      <c r="B216" s="1">
        <v>67.677499999999995</v>
      </c>
      <c r="C216" s="1">
        <v>1751.6</v>
      </c>
      <c r="D216" s="1">
        <v>201.05</v>
      </c>
      <c r="E216" s="1">
        <f t="shared" si="32"/>
        <v>1.9132023639153513E-2</v>
      </c>
      <c r="F216" s="1">
        <f t="shared" si="33"/>
        <v>6.3687186926472406E-3</v>
      </c>
      <c r="G216" s="1">
        <f t="shared" si="34"/>
        <v>8.441397744194605E-3</v>
      </c>
      <c r="P216" s="39">
        <f t="shared" si="35"/>
        <v>717.89677612026924</v>
      </c>
      <c r="Q216" s="26">
        <f t="shared" si="36"/>
        <v>5.0005464782477702</v>
      </c>
      <c r="R216" s="26">
        <f t="shared" si="37"/>
        <v>-5.0005464782477702</v>
      </c>
    </row>
    <row r="217" spans="1:21" x14ac:dyDescent="0.3">
      <c r="A217" s="2">
        <v>43804</v>
      </c>
      <c r="B217" s="1">
        <v>66.394999999999996</v>
      </c>
      <c r="C217" s="1">
        <v>1740.48</v>
      </c>
      <c r="D217" s="1">
        <v>199.36</v>
      </c>
      <c r="E217" s="1">
        <f t="shared" si="32"/>
        <v>1.4564468934846784E-2</v>
      </c>
      <c r="F217" s="1">
        <f t="shared" si="33"/>
        <v>-1.1544840422407608E-2</v>
      </c>
      <c r="G217" s="1">
        <f t="shared" si="34"/>
        <v>3.2657601813635253E-3</v>
      </c>
      <c r="P217" s="39">
        <f t="shared" si="35"/>
        <v>712.89622964202147</v>
      </c>
      <c r="Q217" s="26">
        <f t="shared" si="36"/>
        <v>-6.9182625987129995</v>
      </c>
      <c r="R217" s="26">
        <f t="shared" si="37"/>
        <v>6.9182625987129995</v>
      </c>
    </row>
    <row r="218" spans="1:21" x14ac:dyDescent="0.3">
      <c r="A218" s="2">
        <v>43803</v>
      </c>
      <c r="B218" s="1">
        <v>65.435000000000002</v>
      </c>
      <c r="C218" s="1">
        <v>1760.69</v>
      </c>
      <c r="D218" s="1">
        <v>198.71</v>
      </c>
      <c r="E218" s="1">
        <f t="shared" si="32"/>
        <v>8.7876388135858883E-3</v>
      </c>
      <c r="F218" s="1">
        <f t="shared" si="33"/>
        <v>-5.2511697854564238E-3</v>
      </c>
      <c r="G218" s="1">
        <f t="shared" si="34"/>
        <v>-5.5341736627412058E-4</v>
      </c>
      <c r="P218" s="39">
        <f t="shared" si="35"/>
        <v>719.81449224073447</v>
      </c>
      <c r="Q218" s="26">
        <f t="shared" si="36"/>
        <v>-3.206987139905209</v>
      </c>
      <c r="R218" s="26">
        <f t="shared" si="37"/>
        <v>3.206987139905209</v>
      </c>
    </row>
    <row r="219" spans="1:21" x14ac:dyDescent="0.3">
      <c r="A219" s="2">
        <v>43802</v>
      </c>
      <c r="B219" s="1">
        <v>64.862499999999997</v>
      </c>
      <c r="C219" s="1">
        <v>1769.96</v>
      </c>
      <c r="D219" s="1">
        <v>198.82</v>
      </c>
      <c r="E219" s="1">
        <f t="shared" si="32"/>
        <v>-1.7990974358069328E-2</v>
      </c>
      <c r="F219" s="1">
        <f t="shared" si="33"/>
        <v>-6.5548895006978265E-3</v>
      </c>
      <c r="G219" s="1">
        <f t="shared" si="34"/>
        <v>-4.4163476377704469E-3</v>
      </c>
      <c r="P219" s="39">
        <f t="shared" si="35"/>
        <v>723.02147938063968</v>
      </c>
      <c r="Q219" s="26">
        <f t="shared" si="36"/>
        <v>-4.9733703455515297</v>
      </c>
      <c r="R219" s="26">
        <f t="shared" si="37"/>
        <v>4.9733703455515297</v>
      </c>
    </row>
    <row r="220" spans="1:21" x14ac:dyDescent="0.3">
      <c r="A220" s="2">
        <v>43801</v>
      </c>
      <c r="B220" s="1">
        <v>66.040000000000006</v>
      </c>
      <c r="C220" s="1">
        <v>1781.6</v>
      </c>
      <c r="D220" s="1">
        <v>199.7</v>
      </c>
      <c r="E220" s="1">
        <f t="shared" si="32"/>
        <v>-1.1629569733336675E-2</v>
      </c>
      <c r="F220" s="1">
        <f t="shared" si="33"/>
        <v>-1.071917364936468E-2</v>
      </c>
      <c r="G220" s="1">
        <f t="shared" si="34"/>
        <v>-9.6676887926605264E-3</v>
      </c>
      <c r="P220" s="39">
        <f t="shared" si="35"/>
        <v>727.99484972619121</v>
      </c>
      <c r="Q220" s="26">
        <f t="shared" si="36"/>
        <v>-7.8246946486793831</v>
      </c>
      <c r="R220" s="26">
        <f t="shared" si="37"/>
        <v>7.8246946486793831</v>
      </c>
    </row>
    <row r="221" spans="1:21" x14ac:dyDescent="0.3">
      <c r="A221" s="2">
        <v>43798</v>
      </c>
      <c r="B221" s="1">
        <v>66.8125</v>
      </c>
      <c r="C221" s="1">
        <v>1800.8</v>
      </c>
      <c r="D221" s="1">
        <v>201.64</v>
      </c>
      <c r="E221" s="1">
        <f t="shared" si="32"/>
        <v>-2.2052373959558008E-3</v>
      </c>
      <c r="F221" s="1">
        <f t="shared" si="33"/>
        <v>-9.7864738570699657E-3</v>
      </c>
      <c r="G221" s="1">
        <f t="shared" si="34"/>
        <v>-1.7837681867747797E-3</v>
      </c>
      <c r="P221" s="39">
        <f t="shared" si="35"/>
        <v>735.81954437487059</v>
      </c>
      <c r="Q221" s="26">
        <f t="shared" si="36"/>
        <v>-6.6735761202273807</v>
      </c>
      <c r="R221" s="26">
        <f t="shared" si="37"/>
        <v>6.6735761202273807</v>
      </c>
    </row>
    <row r="222" spans="1:21" x14ac:dyDescent="0.3">
      <c r="A222" s="2">
        <v>43797</v>
      </c>
      <c r="B222" s="1">
        <v>66.959999999999994</v>
      </c>
      <c r="C222" s="1">
        <v>1818.51</v>
      </c>
      <c r="D222" s="1">
        <v>202</v>
      </c>
      <c r="E222" s="1">
        <f t="shared" si="32"/>
        <v>0</v>
      </c>
      <c r="F222" s="1">
        <f t="shared" si="33"/>
        <v>0</v>
      </c>
      <c r="G222" s="1">
        <f t="shared" si="34"/>
        <v>0</v>
      </c>
      <c r="P222" s="39">
        <f t="shared" si="35"/>
        <v>742.49312049509797</v>
      </c>
      <c r="Q222" s="26">
        <f t="shared" si="36"/>
        <v>0</v>
      </c>
      <c r="R222" s="26">
        <f t="shared" si="37"/>
        <v>0</v>
      </c>
    </row>
    <row r="223" spans="1:21" x14ac:dyDescent="0.3">
      <c r="A223" s="2">
        <v>43796</v>
      </c>
      <c r="B223" s="1">
        <v>66.959999999999994</v>
      </c>
      <c r="C223" s="1">
        <v>1818.51</v>
      </c>
      <c r="D223" s="1">
        <v>202</v>
      </c>
      <c r="E223" s="1">
        <f t="shared" si="32"/>
        <v>1.3342802199318405E-2</v>
      </c>
      <c r="F223" s="1">
        <f t="shared" si="33"/>
        <v>1.1932266205093953E-2</v>
      </c>
      <c r="G223" s="1">
        <f t="shared" si="34"/>
        <v>1.5113637810048106E-2</v>
      </c>
      <c r="P223" s="39">
        <f t="shared" si="35"/>
        <v>742.49312049509797</v>
      </c>
      <c r="Q223" s="26">
        <f t="shared" si="36"/>
        <v>8.9830148621479111</v>
      </c>
      <c r="R223" s="26">
        <f t="shared" si="37"/>
        <v>-8.9830148621479111</v>
      </c>
    </row>
    <row r="224" spans="1:21" x14ac:dyDescent="0.3">
      <c r="A224" s="2">
        <v>43795</v>
      </c>
      <c r="B224" s="1">
        <v>66.072500000000005</v>
      </c>
      <c r="C224" s="1">
        <v>1796.94</v>
      </c>
      <c r="D224" s="1">
        <v>198.97</v>
      </c>
      <c r="E224" s="1">
        <f t="shared" si="32"/>
        <v>-7.8393346105530091E-3</v>
      </c>
      <c r="F224" s="1">
        <f t="shared" si="33"/>
        <v>1.2938530099757513E-2</v>
      </c>
      <c r="G224" s="1">
        <f t="shared" si="34"/>
        <v>-4.112755320700886E-3</v>
      </c>
      <c r="P224" s="39">
        <f t="shared" si="35"/>
        <v>733.51010563295006</v>
      </c>
      <c r="Q224" s="26">
        <f t="shared" si="36"/>
        <v>8.1300432371507441</v>
      </c>
      <c r="R224" s="26">
        <f t="shared" si="37"/>
        <v>-8.1300432371507441</v>
      </c>
    </row>
    <row r="225" spans="1:18" x14ac:dyDescent="0.3">
      <c r="A225" s="2">
        <v>43794</v>
      </c>
      <c r="B225" s="1">
        <v>66.592500000000001</v>
      </c>
      <c r="C225" s="1">
        <v>1773.84</v>
      </c>
      <c r="D225" s="1">
        <v>199.79</v>
      </c>
      <c r="E225" s="1">
        <f t="shared" si="32"/>
        <v>1.7381863348771995E-2</v>
      </c>
      <c r="F225" s="1">
        <f t="shared" si="33"/>
        <v>1.597961015740303E-2</v>
      </c>
      <c r="G225" s="1">
        <f t="shared" si="34"/>
        <v>4.8669221278583854E-3</v>
      </c>
      <c r="P225" s="39">
        <f t="shared" si="35"/>
        <v>725.38006239579931</v>
      </c>
      <c r="Q225" s="26">
        <f t="shared" si="36"/>
        <v>11.061060324022037</v>
      </c>
      <c r="R225" s="26">
        <f t="shared" si="37"/>
        <v>-11.061060324022037</v>
      </c>
    </row>
    <row r="226" spans="1:18" x14ac:dyDescent="0.3">
      <c r="A226" s="2">
        <v>43791</v>
      </c>
      <c r="B226" s="1">
        <v>65.444999999999993</v>
      </c>
      <c r="C226" s="1">
        <v>1745.72</v>
      </c>
      <c r="D226" s="1">
        <v>198.82</v>
      </c>
      <c r="E226" s="1">
        <f t="shared" si="32"/>
        <v>-8.782146080777689E-4</v>
      </c>
      <c r="F226" s="1">
        <f t="shared" si="33"/>
        <v>6.3268255510539806E-3</v>
      </c>
      <c r="G226" s="1">
        <f t="shared" si="34"/>
        <v>4.4864599513552558E-3</v>
      </c>
      <c r="P226" s="39">
        <f t="shared" si="35"/>
        <v>714.31900207177728</v>
      </c>
      <c r="Q226" s="26">
        <f t="shared" si="36"/>
        <v>4.231403329669206</v>
      </c>
      <c r="R226" s="26">
        <f t="shared" si="37"/>
        <v>-4.231403329669206</v>
      </c>
    </row>
    <row r="227" spans="1:18" x14ac:dyDescent="0.3">
      <c r="A227" s="2">
        <v>43790</v>
      </c>
      <c r="B227" s="1">
        <v>65.502499999999998</v>
      </c>
      <c r="C227" s="1">
        <v>1734.71</v>
      </c>
      <c r="D227" s="1">
        <v>197.93</v>
      </c>
      <c r="E227" s="1">
        <f t="shared" si="32"/>
        <v>-4.4935338367513402E-3</v>
      </c>
      <c r="F227" s="1">
        <f t="shared" si="33"/>
        <v>-6.2179820135316232E-3</v>
      </c>
      <c r="G227" s="1">
        <f t="shared" si="34"/>
        <v>2.1242168618775155E-3</v>
      </c>
      <c r="P227" s="39">
        <f t="shared" si="35"/>
        <v>710.08759874210807</v>
      </c>
      <c r="Q227" s="26">
        <f t="shared" si="36"/>
        <v>-4.023453649686985</v>
      </c>
      <c r="R227" s="26">
        <f t="shared" si="37"/>
        <v>4.023453649686985</v>
      </c>
    </row>
    <row r="228" spans="1:18" x14ac:dyDescent="0.3">
      <c r="A228" s="2">
        <v>43789</v>
      </c>
      <c r="B228" s="1">
        <v>65.797499999999999</v>
      </c>
      <c r="C228" s="1">
        <v>1745.53</v>
      </c>
      <c r="D228" s="1">
        <v>197.51</v>
      </c>
      <c r="E228" s="1">
        <f t="shared" si="32"/>
        <v>-1.1709735672908094E-2</v>
      </c>
      <c r="F228" s="1">
        <f t="shared" si="33"/>
        <v>-4.1505696577043994E-3</v>
      </c>
      <c r="G228" s="1">
        <f t="shared" si="34"/>
        <v>-9.1223574424374523E-3</v>
      </c>
      <c r="P228" s="39">
        <f t="shared" si="35"/>
        <v>714.11105239179506</v>
      </c>
      <c r="Q228" s="26">
        <f t="shared" si="36"/>
        <v>-3.3920634315675215</v>
      </c>
      <c r="R228" s="26">
        <f t="shared" si="37"/>
        <v>3.3920634315675215</v>
      </c>
    </row>
    <row r="229" spans="1:18" x14ac:dyDescent="0.3">
      <c r="A229" s="2">
        <v>43788</v>
      </c>
      <c r="B229" s="1">
        <v>66.572500000000005</v>
      </c>
      <c r="C229" s="1">
        <v>1752.79</v>
      </c>
      <c r="D229" s="1">
        <v>199.32</v>
      </c>
      <c r="E229" s="1">
        <f t="shared" si="32"/>
        <v>-3.037179634604965E-3</v>
      </c>
      <c r="F229" s="1">
        <f t="shared" si="33"/>
        <v>1.4834594301040089E-4</v>
      </c>
      <c r="G229" s="1">
        <f t="shared" si="34"/>
        <v>9.679446413822651E-3</v>
      </c>
      <c r="P229" s="39">
        <f t="shared" si="35"/>
        <v>717.50311582336258</v>
      </c>
      <c r="Q229" s="26">
        <f t="shared" si="36"/>
        <v>0.42811967390207428</v>
      </c>
      <c r="R229" s="26">
        <f t="shared" si="37"/>
        <v>-0.42811967390207428</v>
      </c>
    </row>
    <row r="230" spans="1:18" x14ac:dyDescent="0.3">
      <c r="A230" s="2">
        <v>43787</v>
      </c>
      <c r="B230" s="1">
        <v>66.775000000000006</v>
      </c>
      <c r="C230" s="1">
        <v>1752.53</v>
      </c>
      <c r="D230" s="1">
        <v>197.4</v>
      </c>
      <c r="E230" s="1">
        <f t="shared" si="32"/>
        <v>5.0294742509306009E-3</v>
      </c>
      <c r="F230" s="1">
        <f t="shared" si="33"/>
        <v>7.4684913674214629E-3</v>
      </c>
      <c r="G230" s="1">
        <f t="shared" si="34"/>
        <v>1.171987937031576E-2</v>
      </c>
      <c r="P230" s="39">
        <f t="shared" si="35"/>
        <v>717.0749961494605</v>
      </c>
      <c r="Q230" s="26">
        <f t="shared" si="36"/>
        <v>5.4485952107130515</v>
      </c>
      <c r="R230" s="26">
        <f t="shared" si="37"/>
        <v>-5.4485952107130515</v>
      </c>
    </row>
    <row r="231" spans="1:18" x14ac:dyDescent="0.3">
      <c r="A231" s="2">
        <v>43784</v>
      </c>
      <c r="B231" s="1">
        <v>66.44</v>
      </c>
      <c r="C231" s="1">
        <v>1739.49</v>
      </c>
      <c r="D231" s="1">
        <v>195.1</v>
      </c>
      <c r="E231" s="1">
        <f t="shared" si="32"/>
        <v>1.1809372671647542E-2</v>
      </c>
      <c r="F231" s="1">
        <f t="shared" si="33"/>
        <v>-8.6489438971956555E-3</v>
      </c>
      <c r="G231" s="1">
        <f t="shared" si="34"/>
        <v>1.0045158516775104E-2</v>
      </c>
      <c r="P231" s="39">
        <f t="shared" si="35"/>
        <v>711.62640093874745</v>
      </c>
      <c r="Q231" s="26">
        <f t="shared" si="36"/>
        <v>-4.8293704111790703</v>
      </c>
      <c r="R231" s="26">
        <f t="shared" si="37"/>
        <v>4.8293704111790703</v>
      </c>
    </row>
    <row r="232" spans="1:18" x14ac:dyDescent="0.3">
      <c r="A232" s="2">
        <v>43783</v>
      </c>
      <c r="B232" s="1">
        <v>65.66</v>
      </c>
      <c r="C232" s="1">
        <v>1754.6</v>
      </c>
      <c r="D232" s="1">
        <v>193.15</v>
      </c>
      <c r="E232" s="1">
        <f t="shared" si="32"/>
        <v>-6.9435501222121065E-3</v>
      </c>
      <c r="F232" s="1">
        <f t="shared" si="33"/>
        <v>8.4955716955914908E-4</v>
      </c>
      <c r="G232" s="1">
        <f t="shared" si="34"/>
        <v>-2.0707149217231063E-4</v>
      </c>
      <c r="P232" s="39">
        <f t="shared" si="35"/>
        <v>716.45577134992652</v>
      </c>
      <c r="Q232" s="26">
        <f t="shared" si="36"/>
        <v>0.35154515797239583</v>
      </c>
      <c r="R232" s="26">
        <f t="shared" si="37"/>
        <v>-0.35154515797239583</v>
      </c>
    </row>
    <row r="233" spans="1:18" x14ac:dyDescent="0.3">
      <c r="A233" s="2">
        <v>43782</v>
      </c>
      <c r="B233" s="1">
        <v>66.117500000000007</v>
      </c>
      <c r="C233" s="1">
        <v>1753.11</v>
      </c>
      <c r="D233" s="1">
        <v>193.19</v>
      </c>
      <c r="E233" s="1">
        <f t="shared" si="32"/>
        <v>9.5360029656964742E-3</v>
      </c>
      <c r="F233" s="1">
        <f t="shared" si="33"/>
        <v>-1.4097783549125498E-2</v>
      </c>
      <c r="G233" s="1">
        <f t="shared" si="34"/>
        <v>-6.6037489123283053E-3</v>
      </c>
      <c r="P233" s="39">
        <f t="shared" si="35"/>
        <v>716.10422619195413</v>
      </c>
      <c r="Q233" s="26">
        <f t="shared" si="36"/>
        <v>-9.201054501839053</v>
      </c>
      <c r="R233" s="26">
        <f t="shared" si="37"/>
        <v>9.201054501839053</v>
      </c>
    </row>
    <row r="234" spans="1:18" x14ac:dyDescent="0.3">
      <c r="A234" s="2">
        <v>43781</v>
      </c>
      <c r="B234" s="1">
        <v>65.489999999999995</v>
      </c>
      <c r="C234" s="1">
        <v>1778</v>
      </c>
      <c r="D234" s="1">
        <v>194.47</v>
      </c>
      <c r="E234" s="1">
        <f t="shared" si="32"/>
        <v>-9.1575097974667193E-4</v>
      </c>
      <c r="F234" s="1">
        <f t="shared" si="33"/>
        <v>3.5778213478839024E-3</v>
      </c>
      <c r="G234" s="1">
        <f t="shared" si="34"/>
        <v>2.5308578470678463E-2</v>
      </c>
      <c r="P234" s="39">
        <f t="shared" si="35"/>
        <v>725.30528069379318</v>
      </c>
      <c r="Q234" s="26">
        <f t="shared" si="36"/>
        <v>3.3713170559468608</v>
      </c>
      <c r="R234" s="26">
        <f t="shared" si="37"/>
        <v>-3.3713170559468608</v>
      </c>
    </row>
    <row r="235" spans="1:18" x14ac:dyDescent="0.3">
      <c r="A235" s="2">
        <v>43780</v>
      </c>
      <c r="B235" s="1">
        <v>65.55</v>
      </c>
      <c r="C235" s="1">
        <v>1771.65</v>
      </c>
      <c r="D235" s="1">
        <v>189.61</v>
      </c>
      <c r="E235" s="1">
        <f t="shared" si="32"/>
        <v>7.8876236940047841E-3</v>
      </c>
      <c r="F235" s="1">
        <f t="shared" si="33"/>
        <v>-7.999975203459686E-3</v>
      </c>
      <c r="G235" s="1">
        <f t="shared" si="34"/>
        <v>-6.4660496017939157E-3</v>
      </c>
      <c r="P235" s="39">
        <f t="shared" si="35"/>
        <v>721.93396363784632</v>
      </c>
      <c r="Q235" s="26">
        <f t="shared" si="36"/>
        <v>-5.3036161025555657</v>
      </c>
      <c r="R235" s="26">
        <f t="shared" si="37"/>
        <v>5.3036161025555657</v>
      </c>
    </row>
    <row r="236" spans="1:18" x14ac:dyDescent="0.3">
      <c r="A236" s="2">
        <v>43777</v>
      </c>
      <c r="B236" s="1">
        <v>65.034999999999997</v>
      </c>
      <c r="C236" s="1">
        <v>1785.88</v>
      </c>
      <c r="D236" s="1">
        <v>190.84</v>
      </c>
      <c r="E236" s="1">
        <f t="shared" si="32"/>
        <v>2.7330309369011079E-3</v>
      </c>
      <c r="F236" s="1">
        <f t="shared" si="33"/>
        <v>-1.2982363717920389E-3</v>
      </c>
      <c r="G236" s="1">
        <f t="shared" si="34"/>
        <v>2.2032217903609659E-3</v>
      </c>
      <c r="P236" s="39">
        <f t="shared" si="35"/>
        <v>727.23757974040188</v>
      </c>
      <c r="Q236" s="26">
        <f t="shared" si="36"/>
        <v>-0.69144836387772557</v>
      </c>
      <c r="R236" s="26">
        <f t="shared" si="37"/>
        <v>0.69144836387772557</v>
      </c>
    </row>
    <row r="237" spans="1:18" x14ac:dyDescent="0.3">
      <c r="A237" s="2">
        <v>43776</v>
      </c>
      <c r="B237" s="1">
        <v>64.857500000000002</v>
      </c>
      <c r="C237" s="1">
        <v>1788.2</v>
      </c>
      <c r="D237" s="1">
        <v>190.42</v>
      </c>
      <c r="E237" s="1">
        <f t="shared" si="32"/>
        <v>8.4774154320310414E-3</v>
      </c>
      <c r="F237" s="1">
        <f t="shared" si="33"/>
        <v>-4.2243719994411845E-3</v>
      </c>
      <c r="G237" s="1">
        <f t="shared" si="34"/>
        <v>-5.9167122891127695E-3</v>
      </c>
      <c r="P237" s="39">
        <f t="shared" si="35"/>
        <v>727.92902810427961</v>
      </c>
      <c r="Q237" s="26">
        <f t="shared" si="36"/>
        <v>-2.8111434455952349</v>
      </c>
      <c r="R237" s="26">
        <f t="shared" si="37"/>
        <v>2.8111434455952349</v>
      </c>
    </row>
    <row r="238" spans="1:18" x14ac:dyDescent="0.3">
      <c r="A238" s="2">
        <v>43775</v>
      </c>
      <c r="B238" s="1">
        <v>64.31</v>
      </c>
      <c r="C238" s="1">
        <v>1795.77</v>
      </c>
      <c r="D238" s="1">
        <v>191.55</v>
      </c>
      <c r="E238" s="1">
        <f t="shared" si="32"/>
        <v>4.2770768776131507E-4</v>
      </c>
      <c r="F238" s="1">
        <f t="shared" si="33"/>
        <v>-3.302314619185434E-3</v>
      </c>
      <c r="G238" s="1">
        <f t="shared" si="34"/>
        <v>-1.4357413547258996E-2</v>
      </c>
      <c r="P238" s="39">
        <f t="shared" si="35"/>
        <v>730.74017154987484</v>
      </c>
      <c r="Q238" s="26">
        <f t="shared" si="36"/>
        <v>-2.7805767697276451</v>
      </c>
      <c r="R238" s="26">
        <f t="shared" si="37"/>
        <v>2.7805767697276451</v>
      </c>
    </row>
    <row r="239" spans="1:18" x14ac:dyDescent="0.3">
      <c r="A239" s="2">
        <v>43774</v>
      </c>
      <c r="B239" s="1">
        <v>64.282499999999999</v>
      </c>
      <c r="C239" s="1">
        <v>1801.71</v>
      </c>
      <c r="D239" s="1">
        <v>194.32</v>
      </c>
      <c r="E239" s="1">
        <f t="shared" si="32"/>
        <v>-1.4379265248897698E-3</v>
      </c>
      <c r="F239" s="1">
        <f t="shared" si="33"/>
        <v>-1.6359944531301488E-3</v>
      </c>
      <c r="G239" s="1">
        <f t="shared" si="34"/>
        <v>-2.0563445453000316E-3</v>
      </c>
      <c r="P239" s="39">
        <f t="shared" si="35"/>
        <v>733.52074831960249</v>
      </c>
      <c r="Q239" s="26">
        <f t="shared" si="36"/>
        <v>-1.2134689716391449</v>
      </c>
      <c r="R239" s="26">
        <f t="shared" si="37"/>
        <v>1.2134689716391449</v>
      </c>
    </row>
    <row r="240" spans="1:18" x14ac:dyDescent="0.3">
      <c r="A240" s="2">
        <v>43773</v>
      </c>
      <c r="B240" s="1">
        <v>64.375</v>
      </c>
      <c r="C240" s="1">
        <v>1804.66</v>
      </c>
      <c r="D240" s="1">
        <v>194.72</v>
      </c>
      <c r="E240" s="1">
        <f t="shared" si="32"/>
        <v>6.5456479325438485E-3</v>
      </c>
      <c r="F240" s="1">
        <f t="shared" si="33"/>
        <v>7.3524426763984388E-3</v>
      </c>
      <c r="G240" s="1">
        <f t="shared" si="34"/>
        <v>5.6651539472915699E-3</v>
      </c>
      <c r="P240" s="39">
        <f t="shared" si="35"/>
        <v>734.73421729124163</v>
      </c>
      <c r="Q240" s="26">
        <f t="shared" si="36"/>
        <v>5.2901723133454652</v>
      </c>
      <c r="R240" s="26">
        <f t="shared" si="37"/>
        <v>-5.2901723133454652</v>
      </c>
    </row>
    <row r="241" spans="1:18" x14ac:dyDescent="0.3">
      <c r="A241" s="2">
        <v>43770</v>
      </c>
      <c r="B241" s="1">
        <v>63.954999999999998</v>
      </c>
      <c r="C241" s="1">
        <v>1791.44</v>
      </c>
      <c r="D241" s="1">
        <v>193.62</v>
      </c>
      <c r="E241" s="1">
        <f t="shared" si="32"/>
        <v>2.7985495935558668E-2</v>
      </c>
      <c r="F241" s="1">
        <f t="shared" si="33"/>
        <v>8.2845685570511422E-3</v>
      </c>
      <c r="G241" s="1">
        <f t="shared" si="34"/>
        <v>1.0226683465361453E-2</v>
      </c>
      <c r="P241" s="39">
        <f t="shared" si="35"/>
        <v>729.44404497789617</v>
      </c>
      <c r="Q241" s="26">
        <f t="shared" si="36"/>
        <v>6.6115625054795828</v>
      </c>
      <c r="R241" s="26">
        <f t="shared" si="37"/>
        <v>-6.6115625054795828</v>
      </c>
    </row>
    <row r="242" spans="1:18" x14ac:dyDescent="0.3">
      <c r="A242" s="2">
        <v>43769</v>
      </c>
      <c r="B242" s="1">
        <v>62.19</v>
      </c>
      <c r="C242" s="1">
        <v>1776.66</v>
      </c>
      <c r="D242" s="1">
        <v>191.65</v>
      </c>
      <c r="E242" s="1">
        <f t="shared" si="32"/>
        <v>2.2357746045398162E-2</v>
      </c>
      <c r="F242" s="1">
        <f t="shared" si="33"/>
        <v>-1.8725491532971385E-3</v>
      </c>
      <c r="G242" s="1">
        <f t="shared" si="34"/>
        <v>1.7899925146561253E-2</v>
      </c>
      <c r="P242" s="39">
        <f t="shared" si="35"/>
        <v>722.83248247241659</v>
      </c>
      <c r="Q242" s="26">
        <f t="shared" si="36"/>
        <v>7.7840956168756748E-2</v>
      </c>
      <c r="R242" s="26">
        <f t="shared" si="37"/>
        <v>-7.7840956168756748E-2</v>
      </c>
    </row>
    <row r="243" spans="1:18" x14ac:dyDescent="0.3">
      <c r="A243" s="2">
        <v>43768</v>
      </c>
      <c r="B243" s="1">
        <v>60.814999999999998</v>
      </c>
      <c r="C243" s="1">
        <v>1779.99</v>
      </c>
      <c r="D243" s="1">
        <v>188.25</v>
      </c>
      <c r="E243" s="1">
        <f t="shared" si="32"/>
        <v>-1.2331723373965468E-4</v>
      </c>
      <c r="F243" s="1">
        <f t="shared" si="33"/>
        <v>9.7553487678986514E-3</v>
      </c>
      <c r="G243" s="1">
        <f t="shared" si="34"/>
        <v>-5.6150163418156361E-3</v>
      </c>
      <c r="P243" s="39">
        <f t="shared" si="35"/>
        <v>722.75464151624783</v>
      </c>
      <c r="Q243" s="26">
        <f t="shared" si="36"/>
        <v>6.1429687918019908</v>
      </c>
      <c r="R243" s="26">
        <f t="shared" si="37"/>
        <v>-6.1429687918019908</v>
      </c>
    </row>
    <row r="244" spans="1:18" x14ac:dyDescent="0.3">
      <c r="A244" s="2">
        <v>43767</v>
      </c>
      <c r="B244" s="1">
        <v>60.822499999999998</v>
      </c>
      <c r="C244" s="1">
        <v>1762.71</v>
      </c>
      <c r="D244" s="1">
        <v>189.31</v>
      </c>
      <c r="E244" s="1">
        <f t="shared" si="32"/>
        <v>-2.3399532095262503E-2</v>
      </c>
      <c r="F244" s="1">
        <f t="shared" si="33"/>
        <v>-8.1191703124889551E-3</v>
      </c>
      <c r="G244" s="1">
        <f t="shared" si="34"/>
        <v>-4.7529773015927724E-4</v>
      </c>
      <c r="P244" s="39">
        <f t="shared" si="35"/>
        <v>716.61167272444584</v>
      </c>
      <c r="Q244" s="26">
        <f t="shared" si="36"/>
        <v>-5.9182128644988552</v>
      </c>
      <c r="R244" s="26">
        <f t="shared" si="37"/>
        <v>5.9182128644988552</v>
      </c>
    </row>
    <row r="245" spans="1:18" x14ac:dyDescent="0.3">
      <c r="A245" s="2">
        <v>43766</v>
      </c>
      <c r="B245" s="1">
        <v>62.262500000000003</v>
      </c>
      <c r="C245" s="1">
        <v>1777.08</v>
      </c>
      <c r="D245" s="1">
        <v>189.4</v>
      </c>
      <c r="E245" s="1">
        <f t="shared" si="32"/>
        <v>9.9671950788857641E-3</v>
      </c>
      <c r="F245" s="1">
        <f t="shared" si="33"/>
        <v>8.9023623707742503E-3</v>
      </c>
      <c r="G245" s="1">
        <f t="shared" si="34"/>
        <v>8.0044955465468429E-3</v>
      </c>
      <c r="P245" s="39">
        <f t="shared" si="35"/>
        <v>722.52988558894469</v>
      </c>
      <c r="Q245" s="26">
        <f t="shared" si="36"/>
        <v>6.3943447132235178</v>
      </c>
      <c r="R245" s="26">
        <f t="shared" si="37"/>
        <v>-6.3943447132235178</v>
      </c>
    </row>
    <row r="246" spans="1:18" x14ac:dyDescent="0.3">
      <c r="A246" s="2">
        <v>43763</v>
      </c>
      <c r="B246" s="1">
        <v>61.645000000000003</v>
      </c>
      <c r="C246" s="1">
        <v>1761.33</v>
      </c>
      <c r="D246" s="1">
        <v>187.89</v>
      </c>
      <c r="E246" s="1">
        <f t="shared" si="32"/>
        <v>1.2241053781442197E-2</v>
      </c>
      <c r="F246" s="1">
        <f t="shared" si="33"/>
        <v>-1.0982265084117995E-2</v>
      </c>
      <c r="G246" s="1">
        <f t="shared" si="34"/>
        <v>8.0690848479217005E-3</v>
      </c>
      <c r="P246" s="39">
        <f t="shared" si="35"/>
        <v>716.13554087572118</v>
      </c>
      <c r="Q246" s="26">
        <f t="shared" si="36"/>
        <v>-6.538480398764591</v>
      </c>
      <c r="R246" s="26">
        <f t="shared" si="37"/>
        <v>6.538480398764591</v>
      </c>
    </row>
    <row r="247" spans="1:18" x14ac:dyDescent="0.3">
      <c r="A247" s="2">
        <v>43762</v>
      </c>
      <c r="B247" s="1">
        <v>60.895000000000003</v>
      </c>
      <c r="C247" s="1">
        <v>1780.78</v>
      </c>
      <c r="D247" s="1">
        <v>186.38</v>
      </c>
      <c r="E247" s="1">
        <f t="shared" si="32"/>
        <v>1.643520790692368E-3</v>
      </c>
      <c r="F247" s="1">
        <f t="shared" si="33"/>
        <v>1.0505466437367007E-2</v>
      </c>
      <c r="G247" s="1">
        <f t="shared" si="34"/>
        <v>1.2348000387834232E-3</v>
      </c>
      <c r="P247" s="39">
        <f t="shared" si="35"/>
        <v>722.67402127448577</v>
      </c>
      <c r="Q247" s="26">
        <f t="shared" si="36"/>
        <v>6.9577958672726936</v>
      </c>
      <c r="R247" s="26">
        <f t="shared" si="37"/>
        <v>-6.9577958672726936</v>
      </c>
    </row>
    <row r="248" spans="1:18" x14ac:dyDescent="0.3">
      <c r="A248" s="2">
        <v>43761</v>
      </c>
      <c r="B248" s="1">
        <v>60.795000000000002</v>
      </c>
      <c r="C248" s="1">
        <v>1762.17</v>
      </c>
      <c r="D248" s="1">
        <v>186.15</v>
      </c>
      <c r="E248" s="1">
        <f t="shared" si="32"/>
        <v>1.3329667083379933E-2</v>
      </c>
      <c r="F248" s="1">
        <f t="shared" si="33"/>
        <v>-2.0181984797529562E-3</v>
      </c>
      <c r="G248" s="1">
        <f t="shared" si="34"/>
        <v>2.0679724161969133E-2</v>
      </c>
      <c r="P248" s="39">
        <f t="shared" si="35"/>
        <v>715.71622540721307</v>
      </c>
      <c r="Q248" s="26">
        <f t="shared" si="36"/>
        <v>-0.15433164070975636</v>
      </c>
      <c r="R248" s="26">
        <f t="shared" si="37"/>
        <v>0.15433164070975636</v>
      </c>
    </row>
    <row r="249" spans="1:18" x14ac:dyDescent="0.3">
      <c r="A249" s="2">
        <v>43760</v>
      </c>
      <c r="B249" s="1">
        <v>59.99</v>
      </c>
      <c r="C249" s="1">
        <v>1765.73</v>
      </c>
      <c r="D249" s="1">
        <v>182.34</v>
      </c>
      <c r="E249" s="1">
        <f t="shared" si="32"/>
        <v>-2.289425938077481E-3</v>
      </c>
      <c r="F249" s="1">
        <f t="shared" si="33"/>
        <v>-1.1223892179847879E-2</v>
      </c>
      <c r="G249" s="1">
        <f t="shared" si="34"/>
        <v>-3.9887039652603866E-2</v>
      </c>
      <c r="P249" s="39">
        <f t="shared" si="35"/>
        <v>715.87055704792283</v>
      </c>
      <c r="Q249" s="26">
        <f t="shared" si="36"/>
        <v>-9.0185320657117245</v>
      </c>
      <c r="R249" s="26">
        <f t="shared" si="37"/>
        <v>9.0185320657117245</v>
      </c>
    </row>
    <row r="250" spans="1:18" x14ac:dyDescent="0.3">
      <c r="A250" s="2">
        <v>43759</v>
      </c>
      <c r="B250" s="1">
        <v>60.127499999999998</v>
      </c>
      <c r="C250" s="1">
        <v>1785.66</v>
      </c>
      <c r="D250" s="1">
        <v>189.76</v>
      </c>
      <c r="E250" s="1">
        <f t="shared" si="32"/>
        <v>1.7194082901263532E-2</v>
      </c>
      <c r="F250" s="1">
        <f t="shared" si="33"/>
        <v>1.5890060203930641E-2</v>
      </c>
      <c r="G250" s="1">
        <f t="shared" si="34"/>
        <v>2.0820219066099526E-2</v>
      </c>
      <c r="P250" s="39">
        <f t="shared" si="35"/>
        <v>724.88908911363455</v>
      </c>
      <c r="Q250" s="26">
        <f t="shared" si="36"/>
        <v>11.658508819215626</v>
      </c>
      <c r="R250" s="26">
        <f t="shared" si="37"/>
        <v>-11.658508819215626</v>
      </c>
    </row>
    <row r="251" spans="1:18" x14ac:dyDescent="0.3">
      <c r="A251" s="2">
        <v>43756</v>
      </c>
      <c r="B251" s="1">
        <v>59.102499999999999</v>
      </c>
      <c r="C251" s="1">
        <v>1757.51</v>
      </c>
      <c r="D251" s="1">
        <v>185.85</v>
      </c>
      <c r="E251" s="1">
        <f t="shared" si="32"/>
        <v>4.7912915759668736E-3</v>
      </c>
      <c r="F251" s="1">
        <f t="shared" si="33"/>
        <v>-1.6908772125319407E-2</v>
      </c>
      <c r="G251" s="1">
        <f t="shared" si="34"/>
        <v>-2.4134703226323884E-2</v>
      </c>
      <c r="P251" s="39">
        <f t="shared" si="35"/>
        <v>713.23058029441893</v>
      </c>
      <c r="Q251" s="26">
        <f t="shared" si="36"/>
        <v>-11.924840171918959</v>
      </c>
      <c r="R251" s="26">
        <f t="shared" si="37"/>
        <v>11.924840171918959</v>
      </c>
    </row>
    <row r="252" spans="1:18" x14ac:dyDescent="0.3">
      <c r="A252" s="2">
        <v>43755</v>
      </c>
      <c r="B252" s="1">
        <v>58.82</v>
      </c>
      <c r="C252" s="1">
        <v>1787.48</v>
      </c>
      <c r="D252" s="1">
        <v>190.39</v>
      </c>
      <c r="E252" s="1">
        <f t="shared" si="32"/>
        <v>3.8752310819564484E-3</v>
      </c>
      <c r="F252" s="1">
        <f t="shared" si="33"/>
        <v>5.6383059457459257E-3</v>
      </c>
      <c r="G252" s="1">
        <f t="shared" si="34"/>
        <v>4.4217580072411274E-3</v>
      </c>
      <c r="P252" s="39">
        <f t="shared" si="35"/>
        <v>725.15542046633789</v>
      </c>
      <c r="Q252" s="26">
        <f t="shared" si="36"/>
        <v>3.9844379084714774</v>
      </c>
      <c r="R252" s="26">
        <f t="shared" si="37"/>
        <v>-3.9844379084714774</v>
      </c>
    </row>
    <row r="253" spans="1:18" x14ac:dyDescent="0.3">
      <c r="A253" s="2">
        <v>43754</v>
      </c>
      <c r="B253" s="1">
        <v>58.592500000000001</v>
      </c>
      <c r="C253" s="1">
        <v>1777.43</v>
      </c>
      <c r="D253" s="1">
        <v>189.55</v>
      </c>
      <c r="E253" s="1">
        <f t="shared" si="32"/>
        <v>-4.0452268324719948E-3</v>
      </c>
      <c r="F253" s="1">
        <f t="shared" si="33"/>
        <v>5.6702767862413933E-3</v>
      </c>
      <c r="G253" s="1">
        <f t="shared" si="34"/>
        <v>3.4880069186157088E-3</v>
      </c>
      <c r="P253" s="39">
        <f t="shared" si="35"/>
        <v>721.17098255786641</v>
      </c>
      <c r="Q253" s="26">
        <f t="shared" si="36"/>
        <v>3.7527716073658439</v>
      </c>
      <c r="R253" s="26">
        <f t="shared" si="37"/>
        <v>-3.7527716073658439</v>
      </c>
    </row>
    <row r="254" spans="1:18" x14ac:dyDescent="0.3">
      <c r="A254" s="2">
        <v>43753</v>
      </c>
      <c r="B254" s="1">
        <v>58.83</v>
      </c>
      <c r="C254" s="1">
        <v>1767.38</v>
      </c>
      <c r="D254" s="1">
        <v>188.89</v>
      </c>
      <c r="E254" s="1">
        <f t="shared" si="32"/>
        <v>-2.334515799528931E-3</v>
      </c>
      <c r="F254" s="1">
        <f t="shared" si="33"/>
        <v>1.7666942561114455E-2</v>
      </c>
      <c r="G254" s="1">
        <f t="shared" si="34"/>
        <v>3.0149796898488103E-2</v>
      </c>
      <c r="P254" s="39">
        <f t="shared" si="35"/>
        <v>717.41821095050057</v>
      </c>
      <c r="Q254" s="26">
        <f t="shared" si="36"/>
        <v>12.578388257238998</v>
      </c>
      <c r="R254" s="26">
        <f t="shared" si="37"/>
        <v>-12.578388257238998</v>
      </c>
    </row>
    <row r="255" spans="1:18" x14ac:dyDescent="0.3">
      <c r="A255" s="2">
        <v>43752</v>
      </c>
      <c r="B255" s="1">
        <v>58.967500000000001</v>
      </c>
      <c r="C255" s="1">
        <v>1736.43</v>
      </c>
      <c r="D255" s="1">
        <v>183.28</v>
      </c>
      <c r="E255" s="1">
        <f t="shared" si="32"/>
        <v>-1.4404340738325713E-3</v>
      </c>
      <c r="F255" s="1">
        <f t="shared" si="33"/>
        <v>2.6006617221020572E-3</v>
      </c>
      <c r="G255" s="1">
        <f t="shared" si="34"/>
        <v>-4.9527953857714047E-3</v>
      </c>
      <c r="P255" s="39">
        <f t="shared" si="35"/>
        <v>704.83982269326157</v>
      </c>
      <c r="Q255" s="26">
        <f t="shared" si="36"/>
        <v>1.4316268758821025</v>
      </c>
      <c r="R255" s="26">
        <f t="shared" si="37"/>
        <v>-1.4316268758821025</v>
      </c>
    </row>
    <row r="256" spans="1:18" x14ac:dyDescent="0.3">
      <c r="A256" s="2">
        <v>43749</v>
      </c>
      <c r="B256" s="1">
        <v>59.052500000000002</v>
      </c>
      <c r="C256" s="1">
        <v>1731.92</v>
      </c>
      <c r="D256" s="1">
        <v>184.19</v>
      </c>
      <c r="E256" s="1">
        <f t="shared" si="32"/>
        <v>2.6250703138175204E-2</v>
      </c>
      <c r="F256" s="1">
        <f t="shared" si="33"/>
        <v>6.7551775049220714E-3</v>
      </c>
      <c r="G256" s="1">
        <f t="shared" si="34"/>
        <v>2.2844329861480273E-2</v>
      </c>
      <c r="P256" s="39">
        <f t="shared" si="35"/>
        <v>703.40819581737946</v>
      </c>
      <c r="Q256" s="26">
        <f t="shared" si="36"/>
        <v>5.8376125622062318</v>
      </c>
      <c r="R256" s="26">
        <f t="shared" si="37"/>
        <v>-5.8376125622062318</v>
      </c>
    </row>
    <row r="257" spans="1:18" x14ac:dyDescent="0.3">
      <c r="A257" s="2">
        <v>43748</v>
      </c>
      <c r="B257" s="1">
        <v>57.522500000000001</v>
      </c>
      <c r="C257" s="1">
        <v>1720.26</v>
      </c>
      <c r="D257" s="1">
        <v>180.03</v>
      </c>
      <c r="E257" s="1">
        <f t="shared" si="32"/>
        <v>1.3388369391907559E-2</v>
      </c>
      <c r="F257" s="1">
        <f t="shared" si="33"/>
        <v>-1.0051565956321086E-3</v>
      </c>
      <c r="G257" s="1">
        <f t="shared" si="34"/>
        <v>1.0003335278981984E-3</v>
      </c>
      <c r="P257" s="39">
        <f t="shared" si="35"/>
        <v>697.57058325517323</v>
      </c>
      <c r="Q257" s="26">
        <f t="shared" si="36"/>
        <v>-0.282355164761384</v>
      </c>
      <c r="R257" s="26">
        <f t="shared" si="37"/>
        <v>0.282355164761384</v>
      </c>
    </row>
    <row r="258" spans="1:18" x14ac:dyDescent="0.3">
      <c r="A258" s="2">
        <v>43747</v>
      </c>
      <c r="B258" s="1">
        <v>56.7575</v>
      </c>
      <c r="C258" s="1">
        <v>1721.99</v>
      </c>
      <c r="D258" s="1">
        <v>179.85</v>
      </c>
      <c r="E258" s="1">
        <f t="shared" si="32"/>
        <v>1.1651993690992643E-2</v>
      </c>
      <c r="F258" s="1">
        <f t="shared" si="33"/>
        <v>9.6164125452020983E-3</v>
      </c>
      <c r="G258" s="1">
        <f t="shared" si="34"/>
        <v>1.1745101458282673E-2</v>
      </c>
      <c r="P258" s="39">
        <f t="shared" si="35"/>
        <v>697.85293841993462</v>
      </c>
      <c r="Q258" s="26">
        <f t="shared" si="36"/>
        <v>6.8081252177487386</v>
      </c>
      <c r="R258" s="26">
        <f t="shared" si="37"/>
        <v>-6.8081252177487386</v>
      </c>
    </row>
    <row r="259" spans="1:18" x14ac:dyDescent="0.3">
      <c r="A259" s="2">
        <v>43746</v>
      </c>
      <c r="B259" s="1">
        <v>56.1</v>
      </c>
      <c r="C259" s="1">
        <v>1705.51</v>
      </c>
      <c r="D259" s="1">
        <v>177.75</v>
      </c>
      <c r="E259" s="1">
        <f t="shared" si="32"/>
        <v>-1.1784126087846273E-2</v>
      </c>
      <c r="F259" s="1">
        <f t="shared" si="33"/>
        <v>-1.5793613667535501E-2</v>
      </c>
      <c r="G259" s="1">
        <f t="shared" si="34"/>
        <v>-1.0799422306782797E-2</v>
      </c>
      <c r="P259" s="39">
        <f t="shared" si="35"/>
        <v>691.04481320218588</v>
      </c>
      <c r="Q259" s="26">
        <f t="shared" si="36"/>
        <v>-10.711294886557653</v>
      </c>
      <c r="R259" s="26">
        <f t="shared" si="37"/>
        <v>10.711294886557653</v>
      </c>
    </row>
    <row r="260" spans="1:18" x14ac:dyDescent="0.3">
      <c r="A260" s="2">
        <v>43745</v>
      </c>
      <c r="B260" s="1">
        <v>56.765000000000001</v>
      </c>
      <c r="C260" s="1">
        <v>1732.66</v>
      </c>
      <c r="D260" s="1">
        <v>179.68</v>
      </c>
      <c r="E260" s="1">
        <f t="shared" si="32"/>
        <v>2.2023036184768487E-4</v>
      </c>
      <c r="F260" s="1">
        <f t="shared" si="33"/>
        <v>-4.0261436578099491E-3</v>
      </c>
      <c r="G260" s="1">
        <f t="shared" si="34"/>
        <v>-4.2762400986644765E-3</v>
      </c>
      <c r="P260" s="39">
        <f t="shared" si="35"/>
        <v>701.75610808874353</v>
      </c>
      <c r="Q260" s="26">
        <f t="shared" si="36"/>
        <v>-2.740785294325633</v>
      </c>
      <c r="R260" s="26">
        <f t="shared" si="37"/>
        <v>2.740785294325633</v>
      </c>
    </row>
    <row r="261" spans="1:18" x14ac:dyDescent="0.3">
      <c r="A261" s="2">
        <v>43742</v>
      </c>
      <c r="B261" s="1">
        <v>56.752499999999998</v>
      </c>
      <c r="C261" s="1">
        <v>1739.65</v>
      </c>
      <c r="D261" s="1">
        <v>180.45</v>
      </c>
      <c r="E261" s="1">
        <f t="shared" si="32"/>
        <v>2.7646179363548958E-2</v>
      </c>
      <c r="F261" s="1">
        <f t="shared" si="33"/>
        <v>8.7931815072399382E-3</v>
      </c>
      <c r="G261" s="1">
        <f t="shared" si="34"/>
        <v>5.9472703989405058E-3</v>
      </c>
      <c r="P261" s="39">
        <f t="shared" si="35"/>
        <v>704.49689338306916</v>
      </c>
      <c r="Q261" s="26">
        <f t="shared" si="36"/>
        <v>6.4924435928149933</v>
      </c>
      <c r="R261" s="26">
        <f t="shared" si="37"/>
        <v>-6.4924435928149933</v>
      </c>
    </row>
    <row r="262" spans="1:18" x14ac:dyDescent="0.3">
      <c r="A262" s="2">
        <v>43741</v>
      </c>
      <c r="B262" s="1">
        <v>55.204999999999998</v>
      </c>
      <c r="C262" s="1">
        <v>1724.42</v>
      </c>
      <c r="D262" s="1">
        <v>179.38</v>
      </c>
      <c r="E262" s="1">
        <f t="shared" ref="E262:E325" si="38">LN(B262/B263)</f>
        <v>8.4588252785671274E-3</v>
      </c>
      <c r="F262" s="1">
        <f t="shared" ref="F262:F325" si="39">LN(C262/C263)</f>
        <v>6.5102843645327485E-3</v>
      </c>
      <c r="G262" s="1">
        <f t="shared" ref="G262:G325" si="40">LN(D262/D263)</f>
        <v>2.7008817284355106E-2</v>
      </c>
      <c r="P262" s="39">
        <f t="shared" ref="P262:P325" si="41">B262*$J$13+C262*$J$14+D262*$J$15</f>
        <v>698.00444979025417</v>
      </c>
      <c r="Q262" s="26">
        <f t="shared" ref="Q262:Q325" si="42">P262-P263</f>
        <v>5.3573091560609782</v>
      </c>
      <c r="R262" s="26">
        <f t="shared" ref="R262:R325" si="43">-Q262</f>
        <v>-5.3573091560609782</v>
      </c>
    </row>
    <row r="263" spans="1:18" x14ac:dyDescent="0.3">
      <c r="A263" s="2">
        <v>43740</v>
      </c>
      <c r="B263" s="1">
        <v>54.74</v>
      </c>
      <c r="C263" s="1">
        <v>1713.23</v>
      </c>
      <c r="D263" s="1">
        <v>174.6</v>
      </c>
      <c r="E263" s="1">
        <f t="shared" si="38"/>
        <v>-2.5387452983207721E-2</v>
      </c>
      <c r="F263" s="1">
        <f t="shared" si="39"/>
        <v>-1.3001505312200477E-2</v>
      </c>
      <c r="G263" s="1">
        <f t="shared" si="40"/>
        <v>-6.9062230491964086E-3</v>
      </c>
      <c r="P263" s="39">
        <f t="shared" si="41"/>
        <v>692.64714063419319</v>
      </c>
      <c r="Q263" s="26">
        <f t="shared" si="42"/>
        <v>-9.1176685535160686</v>
      </c>
      <c r="R263" s="26">
        <f t="shared" si="43"/>
        <v>9.1176685535160686</v>
      </c>
    </row>
    <row r="264" spans="1:18" x14ac:dyDescent="0.3">
      <c r="A264" s="2">
        <v>43739</v>
      </c>
      <c r="B264" s="1">
        <v>56.147500000000001</v>
      </c>
      <c r="C264" s="1">
        <v>1735.65</v>
      </c>
      <c r="D264" s="1">
        <v>175.81</v>
      </c>
      <c r="E264" s="1">
        <f t="shared" si="38"/>
        <v>2.7644034012519973E-3</v>
      </c>
      <c r="F264" s="1">
        <f t="shared" si="39"/>
        <v>-1.4978856795571022E-4</v>
      </c>
      <c r="G264" s="1">
        <f t="shared" si="40"/>
        <v>-1.282902107253648E-2</v>
      </c>
      <c r="P264" s="39">
        <f t="shared" si="41"/>
        <v>701.76480918770926</v>
      </c>
      <c r="Q264" s="26">
        <f t="shared" si="42"/>
        <v>-0.52364902436625016</v>
      </c>
      <c r="R264" s="26">
        <f t="shared" si="43"/>
        <v>0.52364902436625016</v>
      </c>
    </row>
    <row r="265" spans="1:18" x14ac:dyDescent="0.3">
      <c r="A265" s="2">
        <v>43738</v>
      </c>
      <c r="B265" s="1">
        <v>55.9925</v>
      </c>
      <c r="C265" s="1">
        <v>1735.91</v>
      </c>
      <c r="D265" s="1">
        <v>178.08</v>
      </c>
      <c r="E265" s="1">
        <f t="shared" si="38"/>
        <v>2.3262640265735535E-2</v>
      </c>
      <c r="F265" s="1">
        <f t="shared" si="39"/>
        <v>6.0438855482828849E-3</v>
      </c>
      <c r="G265" s="1">
        <f t="shared" si="40"/>
        <v>5.5183427384470334E-3</v>
      </c>
      <c r="P265" s="39">
        <f t="shared" si="41"/>
        <v>702.28845821207551</v>
      </c>
      <c r="Q265" s="26">
        <f t="shared" si="42"/>
        <v>4.6052327194838654</v>
      </c>
      <c r="R265" s="26">
        <f t="shared" si="43"/>
        <v>-4.6052327194838654</v>
      </c>
    </row>
    <row r="266" spans="1:18" x14ac:dyDescent="0.3">
      <c r="A266" s="2">
        <v>43735</v>
      </c>
      <c r="B266" s="1">
        <v>54.704999999999998</v>
      </c>
      <c r="C266" s="1">
        <v>1725.45</v>
      </c>
      <c r="D266" s="1">
        <v>177.1</v>
      </c>
      <c r="E266" s="1">
        <f t="shared" si="38"/>
        <v>-4.8779472620353002E-3</v>
      </c>
      <c r="F266" s="1">
        <f t="shared" si="39"/>
        <v>-8.3052689474267631E-3</v>
      </c>
      <c r="G266" s="1">
        <f t="shared" si="40"/>
        <v>-1.685323056017831E-2</v>
      </c>
      <c r="P266" s="39">
        <f t="shared" si="41"/>
        <v>697.68322549259165</v>
      </c>
      <c r="Q266" s="26">
        <f t="shared" si="42"/>
        <v>-6.072602934386623</v>
      </c>
      <c r="R266" s="26">
        <f t="shared" si="43"/>
        <v>6.072602934386623</v>
      </c>
    </row>
    <row r="267" spans="1:18" x14ac:dyDescent="0.3">
      <c r="A267" s="2">
        <v>43734</v>
      </c>
      <c r="B267" s="1">
        <v>54.972499999999997</v>
      </c>
      <c r="C267" s="1">
        <v>1739.84</v>
      </c>
      <c r="D267" s="1">
        <v>180.11</v>
      </c>
      <c r="E267" s="1">
        <f t="shared" si="38"/>
        <v>-5.1710176006716808E-3</v>
      </c>
      <c r="F267" s="1">
        <f t="shared" si="39"/>
        <v>-1.6242443406503684E-2</v>
      </c>
      <c r="G267" s="1">
        <f t="shared" si="40"/>
        <v>-1.482488367108355E-2</v>
      </c>
      <c r="P267" s="39">
        <f t="shared" si="41"/>
        <v>703.75582842697827</v>
      </c>
      <c r="Q267" s="26">
        <f t="shared" si="42"/>
        <v>-11.212973968357119</v>
      </c>
      <c r="R267" s="26">
        <f t="shared" si="43"/>
        <v>11.212973968357119</v>
      </c>
    </row>
    <row r="268" spans="1:18" x14ac:dyDescent="0.3">
      <c r="A268" s="2">
        <v>43733</v>
      </c>
      <c r="B268" s="1">
        <v>55.2575</v>
      </c>
      <c r="C268" s="1">
        <v>1768.33</v>
      </c>
      <c r="D268" s="1">
        <v>182.8</v>
      </c>
      <c r="E268" s="1">
        <f t="shared" si="38"/>
        <v>1.5272344436359988E-2</v>
      </c>
      <c r="F268" s="1">
        <f t="shared" si="39"/>
        <v>1.5225625613628455E-2</v>
      </c>
      <c r="G268" s="1">
        <f t="shared" si="40"/>
        <v>8.3498617403534054E-3</v>
      </c>
      <c r="P268" s="39">
        <f t="shared" si="41"/>
        <v>714.96880239533539</v>
      </c>
      <c r="Q268" s="26">
        <f t="shared" si="42"/>
        <v>10.535256061402379</v>
      </c>
      <c r="R268" s="26">
        <f t="shared" si="43"/>
        <v>-10.535256061402379</v>
      </c>
    </row>
    <row r="269" spans="1:18" x14ac:dyDescent="0.3">
      <c r="A269" s="2">
        <v>43732</v>
      </c>
      <c r="B269" s="1">
        <v>54.42</v>
      </c>
      <c r="C269" s="1">
        <v>1741.61</v>
      </c>
      <c r="D269" s="1">
        <v>181.28</v>
      </c>
      <c r="E269" s="1">
        <f t="shared" si="38"/>
        <v>-4.7662785006485648E-3</v>
      </c>
      <c r="F269" s="1">
        <f t="shared" si="39"/>
        <v>-2.4776495568484869E-2</v>
      </c>
      <c r="G269" s="1">
        <f t="shared" si="40"/>
        <v>-3.0102789165006475E-2</v>
      </c>
      <c r="P269" s="39">
        <f t="shared" si="41"/>
        <v>704.43354633393301</v>
      </c>
      <c r="Q269" s="26">
        <f t="shared" si="42"/>
        <v>-17.428579995851237</v>
      </c>
      <c r="R269" s="26">
        <f t="shared" si="43"/>
        <v>17.428579995851237</v>
      </c>
    </row>
    <row r="270" spans="1:18" x14ac:dyDescent="0.3">
      <c r="A270" s="2">
        <v>43731</v>
      </c>
      <c r="B270" s="1">
        <v>54.68</v>
      </c>
      <c r="C270" s="1">
        <v>1785.3</v>
      </c>
      <c r="D270" s="1">
        <v>186.82</v>
      </c>
      <c r="E270" s="1">
        <f t="shared" si="38"/>
        <v>4.5366099114118562E-3</v>
      </c>
      <c r="F270" s="1">
        <f t="shared" si="39"/>
        <v>-4.9504774991176006E-3</v>
      </c>
      <c r="G270" s="1">
        <f t="shared" si="40"/>
        <v>-1.6509996779442222E-2</v>
      </c>
      <c r="P270" s="39">
        <f t="shared" si="41"/>
        <v>721.86212632978425</v>
      </c>
      <c r="Q270" s="26">
        <f t="shared" si="42"/>
        <v>-3.8404993859149954</v>
      </c>
      <c r="R270" s="26">
        <f t="shared" si="43"/>
        <v>3.8404993859149954</v>
      </c>
    </row>
    <row r="271" spans="1:18" x14ac:dyDescent="0.3">
      <c r="A271" s="2">
        <v>43728</v>
      </c>
      <c r="B271" s="1">
        <v>54.432499999999997</v>
      </c>
      <c r="C271" s="1">
        <v>1794.16</v>
      </c>
      <c r="D271" s="1">
        <v>189.93</v>
      </c>
      <c r="E271" s="1">
        <f t="shared" si="38"/>
        <v>-1.4725926596754473E-2</v>
      </c>
      <c r="F271" s="1">
        <f t="shared" si="39"/>
        <v>-1.5123391630584857E-2</v>
      </c>
      <c r="G271" s="1">
        <f t="shared" si="40"/>
        <v>-1.1050597067394535E-3</v>
      </c>
      <c r="P271" s="39">
        <f t="shared" si="41"/>
        <v>725.70262571569924</v>
      </c>
      <c r="Q271" s="26">
        <f t="shared" si="42"/>
        <v>-10.467694732496284</v>
      </c>
      <c r="R271" s="26">
        <f t="shared" si="43"/>
        <v>10.467694732496284</v>
      </c>
    </row>
    <row r="272" spans="1:18" x14ac:dyDescent="0.3">
      <c r="A272" s="2">
        <v>43727</v>
      </c>
      <c r="B272" s="1">
        <v>55.24</v>
      </c>
      <c r="C272" s="1">
        <v>1821.5</v>
      </c>
      <c r="D272" s="1">
        <v>190.14</v>
      </c>
      <c r="E272" s="1">
        <f t="shared" si="38"/>
        <v>-8.1581594158005397E-3</v>
      </c>
      <c r="F272" s="1">
        <f t="shared" si="39"/>
        <v>2.2204155362240481E-3</v>
      </c>
      <c r="G272" s="1">
        <f t="shared" si="40"/>
        <v>1.0574276387078974E-2</v>
      </c>
      <c r="P272" s="39">
        <f t="shared" si="41"/>
        <v>736.17032044819553</v>
      </c>
      <c r="Q272" s="26">
        <f t="shared" si="42"/>
        <v>1.7365812696430112</v>
      </c>
      <c r="R272" s="26">
        <f t="shared" si="43"/>
        <v>-1.7365812696430112</v>
      </c>
    </row>
    <row r="273" spans="1:18" x14ac:dyDescent="0.3">
      <c r="A273" s="2">
        <v>43726</v>
      </c>
      <c r="B273" s="1">
        <v>55.692500000000003</v>
      </c>
      <c r="C273" s="1">
        <v>1817.46</v>
      </c>
      <c r="D273" s="1">
        <v>188.14</v>
      </c>
      <c r="E273" s="1">
        <f t="shared" si="38"/>
        <v>9.3355358140919369E-3</v>
      </c>
      <c r="F273" s="1">
        <f t="shared" si="39"/>
        <v>-2.7966974363400391E-3</v>
      </c>
      <c r="G273" s="1">
        <f t="shared" si="40"/>
        <v>3.1896231199108287E-4</v>
      </c>
      <c r="P273" s="39">
        <f t="shared" si="41"/>
        <v>734.43373917855251</v>
      </c>
      <c r="Q273" s="26">
        <f t="shared" si="42"/>
        <v>-1.6506415860436618</v>
      </c>
      <c r="R273" s="26">
        <f t="shared" si="43"/>
        <v>1.6506415860436618</v>
      </c>
    </row>
    <row r="274" spans="1:18" x14ac:dyDescent="0.3">
      <c r="A274" s="2">
        <v>43725</v>
      </c>
      <c r="B274" s="1">
        <v>55.174999999999997</v>
      </c>
      <c r="C274" s="1">
        <v>1822.55</v>
      </c>
      <c r="D274" s="1">
        <v>188.08</v>
      </c>
      <c r="E274" s="1">
        <f t="shared" si="38"/>
        <v>3.6314157019752399E-3</v>
      </c>
      <c r="F274" s="1">
        <f t="shared" si="39"/>
        <v>8.1038568877982997E-3</v>
      </c>
      <c r="G274" s="1">
        <f t="shared" si="40"/>
        <v>9.9386337714303732E-3</v>
      </c>
      <c r="P274" s="39">
        <f t="shared" si="41"/>
        <v>736.08438076459618</v>
      </c>
      <c r="Q274" s="26">
        <f t="shared" si="42"/>
        <v>5.9134877727293542</v>
      </c>
      <c r="R274" s="26">
        <f t="shared" si="43"/>
        <v>-5.9134877727293542</v>
      </c>
    </row>
    <row r="275" spans="1:18" x14ac:dyDescent="0.3">
      <c r="A275" s="2">
        <v>43724</v>
      </c>
      <c r="B275" s="1">
        <v>54.975000000000001</v>
      </c>
      <c r="C275" s="1">
        <v>1807.84</v>
      </c>
      <c r="D275" s="1">
        <v>186.22</v>
      </c>
      <c r="E275" s="1">
        <f t="shared" si="38"/>
        <v>5.2433723229916816E-3</v>
      </c>
      <c r="F275" s="1">
        <f t="shared" si="39"/>
        <v>-1.7274049143248069E-2</v>
      </c>
      <c r="G275" s="1">
        <f t="shared" si="40"/>
        <v>-5.1953733528539827E-3</v>
      </c>
      <c r="P275" s="39">
        <f t="shared" si="41"/>
        <v>730.17089299186682</v>
      </c>
      <c r="Q275" s="26">
        <f t="shared" si="42"/>
        <v>-11.713629705522294</v>
      </c>
      <c r="R275" s="26">
        <f t="shared" si="43"/>
        <v>11.713629705522294</v>
      </c>
    </row>
    <row r="276" spans="1:18" x14ac:dyDescent="0.3">
      <c r="A276" s="2">
        <v>43721</v>
      </c>
      <c r="B276" s="1">
        <v>54.6875</v>
      </c>
      <c r="C276" s="1">
        <v>1839.34</v>
      </c>
      <c r="D276" s="1">
        <v>187.19</v>
      </c>
      <c r="E276" s="1">
        <f t="shared" si="38"/>
        <v>-1.9622442996736846E-2</v>
      </c>
      <c r="F276" s="1">
        <f t="shared" si="39"/>
        <v>-2.2862490238822245E-3</v>
      </c>
      <c r="G276" s="1">
        <f t="shared" si="40"/>
        <v>-1.4946887958622167E-3</v>
      </c>
      <c r="P276" s="39">
        <f t="shared" si="41"/>
        <v>741.88452269738912</v>
      </c>
      <c r="Q276" s="26">
        <f t="shared" si="42"/>
        <v>-2.0630375081472039</v>
      </c>
      <c r="R276" s="26">
        <f t="shared" si="43"/>
        <v>2.0630375081472039</v>
      </c>
    </row>
    <row r="277" spans="1:18" x14ac:dyDescent="0.3">
      <c r="A277" s="2">
        <v>43720</v>
      </c>
      <c r="B277" s="1">
        <v>55.7712</v>
      </c>
      <c r="C277" s="1">
        <v>1843.55</v>
      </c>
      <c r="D277" s="1">
        <v>187.47</v>
      </c>
      <c r="E277" s="1">
        <f t="shared" si="38"/>
        <v>-2.2620493272514958E-3</v>
      </c>
      <c r="F277" s="1">
        <f t="shared" si="39"/>
        <v>1.1215050427970243E-2</v>
      </c>
      <c r="G277" s="1">
        <f t="shared" si="40"/>
        <v>-5.4261224738654272E-3</v>
      </c>
      <c r="P277" s="39">
        <f t="shared" si="41"/>
        <v>743.94756020553632</v>
      </c>
      <c r="Q277" s="26">
        <f t="shared" si="42"/>
        <v>7.3126358087039307</v>
      </c>
      <c r="R277" s="26">
        <f t="shared" si="43"/>
        <v>-7.3126358087039307</v>
      </c>
    </row>
    <row r="278" spans="1:18" x14ac:dyDescent="0.3">
      <c r="A278" s="2">
        <v>43719</v>
      </c>
      <c r="B278" s="1">
        <v>55.897500000000001</v>
      </c>
      <c r="C278" s="1">
        <v>1822.99</v>
      </c>
      <c r="D278" s="1">
        <v>188.49</v>
      </c>
      <c r="E278" s="1">
        <f t="shared" si="38"/>
        <v>3.1300109019398815E-2</v>
      </c>
      <c r="F278" s="1">
        <f t="shared" si="39"/>
        <v>1.3393569796161071E-3</v>
      </c>
      <c r="G278" s="1">
        <f t="shared" si="40"/>
        <v>1.2384720299159775E-2</v>
      </c>
      <c r="P278" s="39">
        <f t="shared" si="41"/>
        <v>736.63492439683239</v>
      </c>
      <c r="Q278" s="26">
        <f t="shared" si="42"/>
        <v>2.1167209851344069</v>
      </c>
      <c r="R278" s="26">
        <f t="shared" si="43"/>
        <v>-2.1167209851344069</v>
      </c>
    </row>
    <row r="279" spans="1:18" x14ac:dyDescent="0.3">
      <c r="A279" s="2">
        <v>43718</v>
      </c>
      <c r="B279" s="1">
        <v>54.174999999999997</v>
      </c>
      <c r="C279" s="1">
        <v>1820.55</v>
      </c>
      <c r="D279" s="1">
        <v>186.17</v>
      </c>
      <c r="E279" s="1">
        <f t="shared" si="38"/>
        <v>1.1743816359834488E-2</v>
      </c>
      <c r="F279" s="1">
        <f t="shared" si="39"/>
        <v>-5.9147465624939163E-3</v>
      </c>
      <c r="G279" s="1">
        <f t="shared" si="40"/>
        <v>-1.3816132074381145E-2</v>
      </c>
      <c r="P279" s="39">
        <f t="shared" si="41"/>
        <v>734.51820341169798</v>
      </c>
      <c r="Q279" s="26">
        <f t="shared" si="42"/>
        <v>-4.2840970767903173</v>
      </c>
      <c r="R279" s="26">
        <f t="shared" si="43"/>
        <v>4.2840970767903173</v>
      </c>
    </row>
    <row r="280" spans="1:18" x14ac:dyDescent="0.3">
      <c r="A280" s="2">
        <v>43717</v>
      </c>
      <c r="B280" s="1">
        <v>53.542499999999997</v>
      </c>
      <c r="C280" s="1">
        <v>1831.35</v>
      </c>
      <c r="D280" s="1">
        <v>188.76</v>
      </c>
      <c r="E280" s="1">
        <f t="shared" si="38"/>
        <v>4.2580135924454414E-3</v>
      </c>
      <c r="F280" s="1">
        <f t="shared" si="39"/>
        <v>-1.1787627631651659E-3</v>
      </c>
      <c r="G280" s="1">
        <f t="shared" si="40"/>
        <v>6.7508562033273432E-3</v>
      </c>
      <c r="P280" s="39">
        <f t="shared" si="41"/>
        <v>738.8023004884883</v>
      </c>
      <c r="Q280" s="26">
        <f t="shared" si="42"/>
        <v>-0.42749208875284239</v>
      </c>
      <c r="R280" s="26">
        <f t="shared" si="43"/>
        <v>0.42749208875284239</v>
      </c>
    </row>
    <row r="281" spans="1:18" x14ac:dyDescent="0.3">
      <c r="A281" s="2">
        <v>43714</v>
      </c>
      <c r="B281" s="1">
        <v>53.314999999999998</v>
      </c>
      <c r="C281" s="1">
        <v>1833.51</v>
      </c>
      <c r="D281" s="1">
        <v>187.49</v>
      </c>
      <c r="E281" s="1">
        <f t="shared" si="38"/>
        <v>-9.3777840365146266E-5</v>
      </c>
      <c r="F281" s="1">
        <f t="shared" si="39"/>
        <v>-3.9246368651380649E-3</v>
      </c>
      <c r="G281" s="1">
        <f t="shared" si="40"/>
        <v>-1.8024220076842512E-2</v>
      </c>
      <c r="P281" s="39">
        <f t="shared" si="41"/>
        <v>739.22979257724114</v>
      </c>
      <c r="Q281" s="26">
        <f t="shared" si="42"/>
        <v>-3.401328955146937</v>
      </c>
      <c r="R281" s="26">
        <f t="shared" si="43"/>
        <v>3.401328955146937</v>
      </c>
    </row>
    <row r="282" spans="1:18" x14ac:dyDescent="0.3">
      <c r="A282" s="2">
        <v>43713</v>
      </c>
      <c r="B282" s="1">
        <v>53.32</v>
      </c>
      <c r="C282" s="1">
        <v>1840.72</v>
      </c>
      <c r="D282" s="1">
        <v>190.9</v>
      </c>
      <c r="E282" s="1">
        <f t="shared" si="38"/>
        <v>1.9362926529369578E-2</v>
      </c>
      <c r="F282" s="1">
        <f t="shared" si="39"/>
        <v>2.202574938994618E-2</v>
      </c>
      <c r="G282" s="1">
        <f t="shared" si="40"/>
        <v>1.9892730883935159E-2</v>
      </c>
      <c r="P282" s="39">
        <f t="shared" si="41"/>
        <v>742.63112153238808</v>
      </c>
      <c r="Q282" s="26">
        <f t="shared" si="42"/>
        <v>16.034150355163661</v>
      </c>
      <c r="R282" s="26">
        <f t="shared" si="43"/>
        <v>-16.034150355163661</v>
      </c>
    </row>
    <row r="283" spans="1:18" x14ac:dyDescent="0.3">
      <c r="A283" s="2">
        <v>43712</v>
      </c>
      <c r="B283" s="1">
        <v>52.297499999999999</v>
      </c>
      <c r="C283" s="1">
        <v>1800.62</v>
      </c>
      <c r="D283" s="1">
        <v>187.14</v>
      </c>
      <c r="E283" s="1">
        <f t="shared" si="38"/>
        <v>1.6824133242117543E-2</v>
      </c>
      <c r="F283" s="1">
        <f t="shared" si="39"/>
        <v>6.0048196565104482E-3</v>
      </c>
      <c r="G283" s="1">
        <f t="shared" si="40"/>
        <v>2.5709748271860559E-2</v>
      </c>
      <c r="P283" s="39">
        <f t="shared" si="41"/>
        <v>726.59697117722442</v>
      </c>
      <c r="Q283" s="26">
        <f t="shared" si="42"/>
        <v>5.3683651610875813</v>
      </c>
      <c r="R283" s="26">
        <f t="shared" si="43"/>
        <v>-5.3683651610875813</v>
      </c>
    </row>
    <row r="284" spans="1:18" x14ac:dyDescent="0.3">
      <c r="A284" s="2">
        <v>43711</v>
      </c>
      <c r="B284" s="1">
        <v>51.424999999999997</v>
      </c>
      <c r="C284" s="1">
        <v>1789.84</v>
      </c>
      <c r="D284" s="1">
        <v>182.39</v>
      </c>
      <c r="E284" s="1">
        <f t="shared" si="38"/>
        <v>-1.467066173299424E-2</v>
      </c>
      <c r="F284" s="1">
        <f t="shared" si="39"/>
        <v>7.5993108544985767E-3</v>
      </c>
      <c r="G284" s="1">
        <f t="shared" si="40"/>
        <v>-1.7823652843473488E-2</v>
      </c>
      <c r="P284" s="39">
        <f t="shared" si="41"/>
        <v>721.22860601613684</v>
      </c>
      <c r="Q284" s="26">
        <f t="shared" si="42"/>
        <v>3.9738375119048897</v>
      </c>
      <c r="R284" s="26">
        <f t="shared" si="43"/>
        <v>-3.9738375119048897</v>
      </c>
    </row>
    <row r="285" spans="1:18" x14ac:dyDescent="0.3">
      <c r="A285" s="2">
        <v>43710</v>
      </c>
      <c r="B285" s="1">
        <v>52.185000000000002</v>
      </c>
      <c r="C285" s="1">
        <v>1776.29</v>
      </c>
      <c r="D285" s="1">
        <v>185.67</v>
      </c>
      <c r="E285" s="1">
        <f t="shared" si="38"/>
        <v>0</v>
      </c>
      <c r="F285" s="1">
        <f t="shared" si="39"/>
        <v>0</v>
      </c>
      <c r="G285" s="1">
        <f t="shared" si="40"/>
        <v>0</v>
      </c>
      <c r="P285" s="39">
        <f t="shared" si="41"/>
        <v>717.25476850423195</v>
      </c>
      <c r="Q285" s="26">
        <f t="shared" si="42"/>
        <v>0</v>
      </c>
      <c r="R285" s="26">
        <f t="shared" si="43"/>
        <v>0</v>
      </c>
    </row>
    <row r="286" spans="1:18" x14ac:dyDescent="0.3">
      <c r="A286" s="2">
        <v>43707</v>
      </c>
      <c r="B286" s="1">
        <v>52.185000000000002</v>
      </c>
      <c r="C286" s="1">
        <v>1776.29</v>
      </c>
      <c r="D286" s="1">
        <v>185.67</v>
      </c>
      <c r="E286" s="1">
        <f t="shared" si="38"/>
        <v>-1.2926393182315016E-3</v>
      </c>
      <c r="F286" s="1">
        <f t="shared" si="39"/>
        <v>-5.6755020156260428E-3</v>
      </c>
      <c r="G286" s="1">
        <f t="shared" si="40"/>
        <v>5.387350631322988E-4</v>
      </c>
      <c r="P286" s="39">
        <f t="shared" si="41"/>
        <v>717.25476850423195</v>
      </c>
      <c r="Q286" s="26">
        <f t="shared" si="42"/>
        <v>-3.7365757711821743</v>
      </c>
      <c r="R286" s="26">
        <f t="shared" si="43"/>
        <v>3.7365757711821743</v>
      </c>
    </row>
    <row r="287" spans="1:18" x14ac:dyDescent="0.3">
      <c r="A287" s="2">
        <v>43706</v>
      </c>
      <c r="B287" s="1">
        <v>52.252499999999998</v>
      </c>
      <c r="C287" s="1">
        <v>1786.4</v>
      </c>
      <c r="D287" s="1">
        <v>185.57</v>
      </c>
      <c r="E287" s="1">
        <f t="shared" si="38"/>
        <v>1.6790089027219835E-2</v>
      </c>
      <c r="F287" s="1">
        <f t="shared" si="39"/>
        <v>1.2476750645008533E-2</v>
      </c>
      <c r="G287" s="1">
        <f t="shared" si="40"/>
        <v>2.0745033823461059E-2</v>
      </c>
      <c r="P287" s="39">
        <f t="shared" si="41"/>
        <v>720.99134427541412</v>
      </c>
      <c r="Q287" s="26">
        <f t="shared" si="42"/>
        <v>9.3588019319041678</v>
      </c>
      <c r="R287" s="26">
        <f t="shared" si="43"/>
        <v>-9.3588019319041678</v>
      </c>
    </row>
    <row r="288" spans="1:18" x14ac:dyDescent="0.3">
      <c r="A288" s="2">
        <v>43705</v>
      </c>
      <c r="B288" s="1">
        <v>51.3825</v>
      </c>
      <c r="C288" s="1">
        <v>1764.25</v>
      </c>
      <c r="D288" s="1">
        <v>181.76</v>
      </c>
      <c r="E288" s="1">
        <f t="shared" si="38"/>
        <v>6.6880085264923173E-3</v>
      </c>
      <c r="F288" s="1">
        <f t="shared" si="39"/>
        <v>1.3726293107147616E-3</v>
      </c>
      <c r="G288" s="1">
        <f t="shared" si="40"/>
        <v>2.5340177719810329E-3</v>
      </c>
      <c r="P288" s="39">
        <f t="shared" si="41"/>
        <v>711.63254234350995</v>
      </c>
      <c r="Q288" s="26">
        <f t="shared" si="42"/>
        <v>1.1344975618333137</v>
      </c>
      <c r="R288" s="26">
        <f t="shared" si="43"/>
        <v>-1.1344975618333137</v>
      </c>
    </row>
    <row r="289" spans="1:18" x14ac:dyDescent="0.3">
      <c r="A289" s="2">
        <v>43704</v>
      </c>
      <c r="B289" s="1">
        <v>51.04</v>
      </c>
      <c r="C289" s="1">
        <v>1761.83</v>
      </c>
      <c r="D289" s="1">
        <v>181.3</v>
      </c>
      <c r="E289" s="1">
        <f t="shared" si="38"/>
        <v>-1.1347984921957514E-2</v>
      </c>
      <c r="F289" s="1">
        <f t="shared" si="39"/>
        <v>-3.9878830429554155E-3</v>
      </c>
      <c r="G289" s="1">
        <f t="shared" si="40"/>
        <v>5.1982642079218908E-3</v>
      </c>
      <c r="P289" s="39">
        <f t="shared" si="41"/>
        <v>710.49804478167664</v>
      </c>
      <c r="Q289" s="26">
        <f t="shared" si="42"/>
        <v>-2.6351756964526203</v>
      </c>
      <c r="R289" s="26">
        <f t="shared" si="43"/>
        <v>2.6351756964526203</v>
      </c>
    </row>
    <row r="290" spans="1:18" x14ac:dyDescent="0.3">
      <c r="A290" s="2">
        <v>43703</v>
      </c>
      <c r="B290" s="1">
        <v>51.622500000000002</v>
      </c>
      <c r="C290" s="1">
        <v>1768.87</v>
      </c>
      <c r="D290" s="1">
        <v>180.36</v>
      </c>
      <c r="E290" s="1">
        <f t="shared" si="38"/>
        <v>1.8820979384962869E-2</v>
      </c>
      <c r="F290" s="1">
        <f t="shared" si="39"/>
        <v>1.0942303131687122E-2</v>
      </c>
      <c r="G290" s="1">
        <f t="shared" si="40"/>
        <v>1.4576784869533295E-2</v>
      </c>
      <c r="P290" s="39">
        <f t="shared" si="41"/>
        <v>713.13322047812926</v>
      </c>
      <c r="Q290" s="26">
        <f t="shared" si="42"/>
        <v>8.0670607206227487</v>
      </c>
      <c r="R290" s="26">
        <f t="shared" si="43"/>
        <v>-8.0670607206227487</v>
      </c>
    </row>
    <row r="291" spans="1:18" x14ac:dyDescent="0.3">
      <c r="A291" s="2">
        <v>43700</v>
      </c>
      <c r="B291" s="1">
        <v>50.66</v>
      </c>
      <c r="C291" s="1">
        <v>1749.62</v>
      </c>
      <c r="D291" s="1">
        <v>177.75</v>
      </c>
      <c r="E291" s="1">
        <f t="shared" si="38"/>
        <v>-4.7322729658447658E-2</v>
      </c>
      <c r="F291" s="1">
        <f t="shared" si="39"/>
        <v>-3.1494325021832657E-2</v>
      </c>
      <c r="G291" s="1">
        <f t="shared" si="40"/>
        <v>-2.3848374465090909E-2</v>
      </c>
      <c r="P291" s="39">
        <f t="shared" si="41"/>
        <v>705.06615975750651</v>
      </c>
      <c r="Q291" s="26">
        <f t="shared" si="42"/>
        <v>-22.601752904065506</v>
      </c>
      <c r="R291" s="26">
        <f t="shared" si="43"/>
        <v>22.601752904065506</v>
      </c>
    </row>
    <row r="292" spans="1:18" x14ac:dyDescent="0.3">
      <c r="A292" s="2">
        <v>43699</v>
      </c>
      <c r="B292" s="1">
        <v>53.115000000000002</v>
      </c>
      <c r="C292" s="1">
        <v>1805.6</v>
      </c>
      <c r="D292" s="1">
        <v>182.04</v>
      </c>
      <c r="E292" s="1">
        <f t="shared" si="38"/>
        <v>-8.4685961306768163E-4</v>
      </c>
      <c r="F292" s="1">
        <f t="shared" si="39"/>
        <v>-9.8867203424968537E-3</v>
      </c>
      <c r="G292" s="1">
        <f t="shared" si="40"/>
        <v>-8.2606667944021949E-3</v>
      </c>
      <c r="P292" s="39">
        <f t="shared" si="41"/>
        <v>727.66791266157202</v>
      </c>
      <c r="Q292" s="26">
        <f t="shared" si="42"/>
        <v>-6.9651902875708629</v>
      </c>
      <c r="R292" s="26">
        <f t="shared" si="43"/>
        <v>6.9651902875708629</v>
      </c>
    </row>
    <row r="293" spans="1:18" x14ac:dyDescent="0.3">
      <c r="A293" s="2">
        <v>43698</v>
      </c>
      <c r="B293" s="1">
        <v>53.16</v>
      </c>
      <c r="C293" s="1">
        <v>1823.54</v>
      </c>
      <c r="D293" s="1">
        <v>183.55</v>
      </c>
      <c r="E293" s="1">
        <f t="shared" si="38"/>
        <v>1.0780246243791704E-2</v>
      </c>
      <c r="F293" s="1">
        <f t="shared" si="39"/>
        <v>1.2226629033665211E-2</v>
      </c>
      <c r="G293" s="1">
        <f t="shared" si="40"/>
        <v>-1.4155054628294899E-3</v>
      </c>
      <c r="P293" s="39">
        <f t="shared" si="41"/>
        <v>734.63310294914288</v>
      </c>
      <c r="Q293" s="26">
        <f t="shared" si="42"/>
        <v>8.3561779989586285</v>
      </c>
      <c r="R293" s="26">
        <f t="shared" si="43"/>
        <v>-8.3561779989586285</v>
      </c>
    </row>
    <row r="294" spans="1:18" x14ac:dyDescent="0.3">
      <c r="A294" s="2">
        <v>43697</v>
      </c>
      <c r="B294" s="1">
        <v>52.59</v>
      </c>
      <c r="C294" s="1">
        <v>1801.38</v>
      </c>
      <c r="D294" s="1">
        <v>183.81</v>
      </c>
      <c r="E294" s="1">
        <f t="shared" si="38"/>
        <v>4.7538684613537089E-5</v>
      </c>
      <c r="F294" s="1">
        <f t="shared" si="39"/>
        <v>-8.1493194610948189E-3</v>
      </c>
      <c r="G294" s="1">
        <f t="shared" si="40"/>
        <v>-1.2757619378132631E-2</v>
      </c>
      <c r="P294" s="39">
        <f t="shared" si="41"/>
        <v>726.27692495018425</v>
      </c>
      <c r="Q294" s="26">
        <f t="shared" si="42"/>
        <v>-5.9490133721858456</v>
      </c>
      <c r="R294" s="26">
        <f t="shared" si="43"/>
        <v>5.9490133721858456</v>
      </c>
    </row>
    <row r="295" spans="1:18" x14ac:dyDescent="0.3">
      <c r="A295" s="2">
        <v>43696</v>
      </c>
      <c r="B295" s="1">
        <v>52.587499999999999</v>
      </c>
      <c r="C295" s="1">
        <v>1816.12</v>
      </c>
      <c r="D295" s="1">
        <v>186.17</v>
      </c>
      <c r="E295" s="1">
        <f t="shared" si="38"/>
        <v>1.8472397635442481E-2</v>
      </c>
      <c r="F295" s="1">
        <f t="shared" si="39"/>
        <v>1.3052012958065667E-2</v>
      </c>
      <c r="G295" s="1">
        <f t="shared" si="40"/>
        <v>1.3356242562725542E-2</v>
      </c>
      <c r="P295" s="39">
        <f t="shared" si="41"/>
        <v>732.2259383223701</v>
      </c>
      <c r="Q295" s="26">
        <f t="shared" si="42"/>
        <v>9.6232893848934964</v>
      </c>
      <c r="R295" s="26">
        <f t="shared" si="43"/>
        <v>-9.6232893848934964</v>
      </c>
    </row>
    <row r="296" spans="1:18" x14ac:dyDescent="0.3">
      <c r="A296" s="2">
        <v>43693</v>
      </c>
      <c r="B296" s="1">
        <v>51.625</v>
      </c>
      <c r="C296" s="1">
        <v>1792.57</v>
      </c>
      <c r="D296" s="1">
        <v>183.7</v>
      </c>
      <c r="E296" s="1">
        <f t="shared" si="38"/>
        <v>2.332067277439805E-2</v>
      </c>
      <c r="F296" s="1">
        <f t="shared" si="39"/>
        <v>9.2191344780888102E-3</v>
      </c>
      <c r="G296" s="1">
        <f t="shared" si="40"/>
        <v>6.0607900724383868E-3</v>
      </c>
      <c r="P296" s="39">
        <f t="shared" si="41"/>
        <v>722.6026489374766</v>
      </c>
      <c r="Q296" s="26">
        <f t="shared" si="42"/>
        <v>6.8031358375862965</v>
      </c>
      <c r="R296" s="26">
        <f t="shared" si="43"/>
        <v>-6.8031358375862965</v>
      </c>
    </row>
    <row r="297" spans="1:18" x14ac:dyDescent="0.3">
      <c r="A297" s="2">
        <v>43692</v>
      </c>
      <c r="B297" s="1">
        <v>50.435000000000002</v>
      </c>
      <c r="C297" s="1">
        <v>1776.12</v>
      </c>
      <c r="D297" s="1">
        <v>182.59</v>
      </c>
      <c r="E297" s="1">
        <f t="shared" si="38"/>
        <v>-4.9939533688328677E-3</v>
      </c>
      <c r="F297" s="1">
        <f t="shared" si="39"/>
        <v>7.4369952955964476E-3</v>
      </c>
      <c r="G297" s="1">
        <f t="shared" si="40"/>
        <v>1.5898761604710862E-2</v>
      </c>
      <c r="P297" s="39">
        <f t="shared" si="41"/>
        <v>715.79951309989031</v>
      </c>
      <c r="Q297" s="26">
        <f t="shared" si="42"/>
        <v>5.3751523725512698</v>
      </c>
      <c r="R297" s="26">
        <f t="shared" si="43"/>
        <v>-5.3751523725512698</v>
      </c>
    </row>
    <row r="298" spans="1:18" x14ac:dyDescent="0.3">
      <c r="A298" s="2">
        <v>43691</v>
      </c>
      <c r="B298" s="1">
        <v>50.6875</v>
      </c>
      <c r="C298" s="1">
        <v>1762.96</v>
      </c>
      <c r="D298" s="1">
        <v>179.71</v>
      </c>
      <c r="E298" s="1">
        <f t="shared" si="38"/>
        <v>-3.0217007996484326E-2</v>
      </c>
      <c r="F298" s="1">
        <f t="shared" si="39"/>
        <v>-3.4224063230572158E-2</v>
      </c>
      <c r="G298" s="1">
        <f t="shared" si="40"/>
        <v>-4.7488279169213582E-2</v>
      </c>
      <c r="P298" s="39">
        <f t="shared" si="41"/>
        <v>710.42436072733904</v>
      </c>
      <c r="Q298" s="26">
        <f t="shared" si="42"/>
        <v>-25.185669510800608</v>
      </c>
      <c r="R298" s="26">
        <f t="shared" si="43"/>
        <v>25.185669510800608</v>
      </c>
    </row>
    <row r="299" spans="1:18" x14ac:dyDescent="0.3">
      <c r="A299" s="2">
        <v>43690</v>
      </c>
      <c r="B299" s="1">
        <v>52.2425</v>
      </c>
      <c r="C299" s="1">
        <v>1824.34</v>
      </c>
      <c r="D299" s="1">
        <v>188.45</v>
      </c>
      <c r="E299" s="1">
        <f t="shared" si="38"/>
        <v>4.1476209844248525E-2</v>
      </c>
      <c r="F299" s="1">
        <f t="shared" si="39"/>
        <v>2.1844681489857892E-2</v>
      </c>
      <c r="G299" s="1">
        <f t="shared" si="40"/>
        <v>1.6478891972146411E-2</v>
      </c>
      <c r="P299" s="39">
        <f t="shared" si="41"/>
        <v>735.61003023813964</v>
      </c>
      <c r="Q299" s="26">
        <f t="shared" si="42"/>
        <v>16.091637396019792</v>
      </c>
      <c r="R299" s="26">
        <f t="shared" si="43"/>
        <v>-16.091637396019792</v>
      </c>
    </row>
    <row r="300" spans="1:18" x14ac:dyDescent="0.3">
      <c r="A300" s="2">
        <v>43689</v>
      </c>
      <c r="B300" s="1">
        <v>50.12</v>
      </c>
      <c r="C300" s="1">
        <v>1784.92</v>
      </c>
      <c r="D300" s="1">
        <v>185.37</v>
      </c>
      <c r="E300" s="1">
        <f t="shared" si="38"/>
        <v>-2.5406644299024541E-3</v>
      </c>
      <c r="F300" s="1">
        <f t="shared" si="39"/>
        <v>-1.261533779892076E-2</v>
      </c>
      <c r="G300" s="1">
        <f t="shared" si="40"/>
        <v>-1.3289944278979948E-2</v>
      </c>
      <c r="P300" s="39">
        <f t="shared" si="41"/>
        <v>719.51839284211985</v>
      </c>
      <c r="Q300" s="26">
        <f t="shared" si="42"/>
        <v>-8.9511177540478002</v>
      </c>
      <c r="R300" s="26">
        <f t="shared" si="43"/>
        <v>8.9511177540478002</v>
      </c>
    </row>
    <row r="301" spans="1:18" x14ac:dyDescent="0.3">
      <c r="A301" s="2">
        <v>43686</v>
      </c>
      <c r="B301" s="1">
        <v>50.247500000000002</v>
      </c>
      <c r="C301" s="1">
        <v>1807.58</v>
      </c>
      <c r="D301" s="1">
        <v>187.85</v>
      </c>
      <c r="E301" s="1">
        <f t="shared" si="38"/>
        <v>-1.2066809786199935E-2</v>
      </c>
      <c r="F301" s="1">
        <f t="shared" si="39"/>
        <v>-1.3905022046767468E-2</v>
      </c>
      <c r="G301" s="1">
        <f t="shared" si="40"/>
        <v>-1.2222051031960598E-2</v>
      </c>
      <c r="P301" s="39">
        <f t="shared" si="41"/>
        <v>728.46951059616765</v>
      </c>
      <c r="Q301" s="26">
        <f t="shared" si="42"/>
        <v>-10.091954279190645</v>
      </c>
      <c r="R301" s="26">
        <f t="shared" si="43"/>
        <v>10.091954279190645</v>
      </c>
    </row>
    <row r="302" spans="1:18" x14ac:dyDescent="0.3">
      <c r="A302" s="2">
        <v>43685</v>
      </c>
      <c r="B302" s="1">
        <v>50.857500000000002</v>
      </c>
      <c r="C302" s="1">
        <v>1832.89</v>
      </c>
      <c r="D302" s="1">
        <v>190.16</v>
      </c>
      <c r="E302" s="1">
        <f t="shared" si="38"/>
        <v>2.1816155813045975E-2</v>
      </c>
      <c r="F302" s="1">
        <f t="shared" si="39"/>
        <v>2.1780696609956279E-2</v>
      </c>
      <c r="G302" s="1">
        <f t="shared" si="40"/>
        <v>2.6699515692316635E-2</v>
      </c>
      <c r="P302" s="39">
        <f t="shared" si="41"/>
        <v>738.5614648753583</v>
      </c>
      <c r="Q302" s="26">
        <f t="shared" si="42"/>
        <v>16.111042989998396</v>
      </c>
      <c r="R302" s="26">
        <f t="shared" si="43"/>
        <v>-16.111042989998396</v>
      </c>
    </row>
    <row r="303" spans="1:18" x14ac:dyDescent="0.3">
      <c r="A303" s="2">
        <v>43684</v>
      </c>
      <c r="B303" s="1">
        <v>49.76</v>
      </c>
      <c r="C303" s="1">
        <v>1793.4</v>
      </c>
      <c r="D303" s="1">
        <v>185.15</v>
      </c>
      <c r="E303" s="1">
        <f t="shared" si="38"/>
        <v>1.0302080812826029E-2</v>
      </c>
      <c r="F303" s="1">
        <f t="shared" si="39"/>
        <v>3.110665604492237E-3</v>
      </c>
      <c r="G303" s="1">
        <f t="shared" si="40"/>
        <v>3.4626448058306921E-3</v>
      </c>
      <c r="P303" s="39">
        <f t="shared" si="41"/>
        <v>722.4504218853599</v>
      </c>
      <c r="Q303" s="26">
        <f t="shared" si="42"/>
        <v>2.4051576506806214</v>
      </c>
      <c r="R303" s="26">
        <f t="shared" si="43"/>
        <v>-2.4051576506806214</v>
      </c>
    </row>
    <row r="304" spans="1:18" x14ac:dyDescent="0.3">
      <c r="A304" s="2">
        <v>43683</v>
      </c>
      <c r="B304" s="1">
        <v>49.25</v>
      </c>
      <c r="C304" s="1">
        <v>1787.83</v>
      </c>
      <c r="D304" s="1">
        <v>184.51</v>
      </c>
      <c r="E304" s="1">
        <f t="shared" si="38"/>
        <v>1.8753431701529048E-2</v>
      </c>
      <c r="F304" s="1">
        <f t="shared" si="39"/>
        <v>1.2778251867474588E-2</v>
      </c>
      <c r="G304" s="1">
        <f t="shared" si="40"/>
        <v>1.5181593460621109E-2</v>
      </c>
      <c r="P304" s="39">
        <f t="shared" si="41"/>
        <v>720.04526423467928</v>
      </c>
      <c r="Q304" s="26">
        <f t="shared" si="42"/>
        <v>9.3571660132843135</v>
      </c>
      <c r="R304" s="26">
        <f t="shared" si="43"/>
        <v>-9.3571660132843135</v>
      </c>
    </row>
    <row r="305" spans="1:18" x14ac:dyDescent="0.3">
      <c r="A305" s="2">
        <v>43682</v>
      </c>
      <c r="B305" s="1">
        <v>48.335000000000001</v>
      </c>
      <c r="C305" s="1">
        <v>1765.13</v>
      </c>
      <c r="D305" s="1">
        <v>181.73</v>
      </c>
      <c r="E305" s="1">
        <f t="shared" si="38"/>
        <v>-5.3767731217913485E-2</v>
      </c>
      <c r="F305" s="1">
        <f t="shared" si="39"/>
        <v>-3.2390796091953757E-2</v>
      </c>
      <c r="G305" s="1">
        <f t="shared" si="40"/>
        <v>-3.9330760473740206E-2</v>
      </c>
      <c r="P305" s="39">
        <f t="shared" si="41"/>
        <v>710.68809822139497</v>
      </c>
      <c r="Q305" s="26">
        <f t="shared" si="42"/>
        <v>-24.126872343923424</v>
      </c>
      <c r="R305" s="26">
        <f t="shared" si="43"/>
        <v>24.126872343923424</v>
      </c>
    </row>
    <row r="306" spans="1:18" x14ac:dyDescent="0.3">
      <c r="A306" s="2">
        <v>43679</v>
      </c>
      <c r="B306" s="1">
        <v>51.005000000000003</v>
      </c>
      <c r="C306" s="1">
        <v>1823.24</v>
      </c>
      <c r="D306" s="1">
        <v>189.02</v>
      </c>
      <c r="E306" s="1">
        <f t="shared" si="38"/>
        <v>-2.1385225199206482E-2</v>
      </c>
      <c r="F306" s="1">
        <f t="shared" si="39"/>
        <v>-1.7442049764569166E-2</v>
      </c>
      <c r="G306" s="1">
        <f t="shared" si="40"/>
        <v>-1.9437416144049962E-2</v>
      </c>
      <c r="P306" s="39">
        <f t="shared" si="41"/>
        <v>734.81497056531839</v>
      </c>
      <c r="Q306" s="26">
        <f t="shared" si="42"/>
        <v>-13.097325776718094</v>
      </c>
      <c r="R306" s="26">
        <f t="shared" si="43"/>
        <v>13.097325776718094</v>
      </c>
    </row>
    <row r="307" spans="1:18" x14ac:dyDescent="0.3">
      <c r="A307" s="2">
        <v>43678</v>
      </c>
      <c r="B307" s="1">
        <v>52.107500000000002</v>
      </c>
      <c r="C307" s="1">
        <v>1855.32</v>
      </c>
      <c r="D307" s="1">
        <v>192.73</v>
      </c>
      <c r="E307" s="1">
        <f t="shared" si="38"/>
        <v>-2.1876688052097398E-2</v>
      </c>
      <c r="F307" s="1">
        <f t="shared" si="39"/>
        <v>-6.1578335953040905E-3</v>
      </c>
      <c r="G307" s="1">
        <f t="shared" si="40"/>
        <v>-7.7527781330813551E-3</v>
      </c>
      <c r="P307" s="39">
        <f t="shared" si="41"/>
        <v>747.91229634203648</v>
      </c>
      <c r="Q307" s="26">
        <f t="shared" si="42"/>
        <v>-5.0309593655751996</v>
      </c>
      <c r="R307" s="26">
        <f t="shared" si="43"/>
        <v>5.0309593655751996</v>
      </c>
    </row>
    <row r="308" spans="1:18" x14ac:dyDescent="0.3">
      <c r="A308" s="2">
        <v>43677</v>
      </c>
      <c r="B308" s="1">
        <v>53.26</v>
      </c>
      <c r="C308" s="1">
        <v>1866.78</v>
      </c>
      <c r="D308" s="1">
        <v>194.23</v>
      </c>
      <c r="E308" s="1">
        <f t="shared" si="38"/>
        <v>2.0198875525524452E-2</v>
      </c>
      <c r="F308" s="1">
        <f t="shared" si="39"/>
        <v>-1.6864880998106981E-2</v>
      </c>
      <c r="G308" s="1">
        <f t="shared" si="40"/>
        <v>-1.4363729968241062E-2</v>
      </c>
      <c r="P308" s="39">
        <f t="shared" si="41"/>
        <v>752.94325570761168</v>
      </c>
      <c r="Q308" s="26">
        <f t="shared" si="42"/>
        <v>-11.882489547985642</v>
      </c>
      <c r="R308" s="26">
        <f t="shared" si="43"/>
        <v>11.882489547985642</v>
      </c>
    </row>
    <row r="309" spans="1:18" x14ac:dyDescent="0.3">
      <c r="A309" s="2">
        <v>43676</v>
      </c>
      <c r="B309" s="1">
        <v>52.195</v>
      </c>
      <c r="C309" s="1">
        <v>1898.53</v>
      </c>
      <c r="D309" s="1">
        <v>197.04</v>
      </c>
      <c r="E309" s="1">
        <f t="shared" si="38"/>
        <v>-4.3014930349985717E-3</v>
      </c>
      <c r="F309" s="1">
        <f t="shared" si="39"/>
        <v>-7.3052400721718485E-3</v>
      </c>
      <c r="G309" s="1">
        <f t="shared" si="40"/>
        <v>5.5982638957863002E-3</v>
      </c>
      <c r="P309" s="39">
        <f t="shared" si="41"/>
        <v>764.82574525559733</v>
      </c>
      <c r="Q309" s="26">
        <f t="shared" si="42"/>
        <v>-4.9908922447006034</v>
      </c>
      <c r="R309" s="26">
        <f t="shared" si="43"/>
        <v>4.9908922447006034</v>
      </c>
    </row>
    <row r="310" spans="1:18" x14ac:dyDescent="0.3">
      <c r="A310" s="2">
        <v>43675</v>
      </c>
      <c r="B310" s="1">
        <v>52.42</v>
      </c>
      <c r="C310" s="1">
        <v>1912.45</v>
      </c>
      <c r="D310" s="1">
        <v>195.94</v>
      </c>
      <c r="E310" s="1">
        <f t="shared" si="38"/>
        <v>9.2952612154856042E-3</v>
      </c>
      <c r="F310" s="1">
        <f t="shared" si="39"/>
        <v>-1.5873760880211044E-2</v>
      </c>
      <c r="G310" s="1">
        <f t="shared" si="40"/>
        <v>-1.9258094729887799E-2</v>
      </c>
      <c r="P310" s="39">
        <f t="shared" si="41"/>
        <v>769.81663750029793</v>
      </c>
      <c r="Q310" s="26">
        <f t="shared" si="42"/>
        <v>-11.915191575942231</v>
      </c>
      <c r="R310" s="26">
        <f t="shared" si="43"/>
        <v>11.915191575942231</v>
      </c>
    </row>
    <row r="311" spans="1:18" x14ac:dyDescent="0.3">
      <c r="A311" s="2">
        <v>43672</v>
      </c>
      <c r="B311" s="1">
        <v>51.935000000000002</v>
      </c>
      <c r="C311" s="1">
        <v>1943.05</v>
      </c>
      <c r="D311" s="1">
        <v>199.75</v>
      </c>
      <c r="E311" s="1">
        <f t="shared" si="38"/>
        <v>3.4718908440613287E-3</v>
      </c>
      <c r="F311" s="1">
        <f t="shared" si="39"/>
        <v>-1.5711847977152776E-2</v>
      </c>
      <c r="G311" s="1">
        <f t="shared" si="40"/>
        <v>-4.7944955250177291E-3</v>
      </c>
      <c r="P311" s="39">
        <f t="shared" si="41"/>
        <v>781.73182907624016</v>
      </c>
      <c r="Q311" s="26">
        <f t="shared" si="42"/>
        <v>-11.486654180014057</v>
      </c>
      <c r="R311" s="26">
        <f t="shared" si="43"/>
        <v>11.486654180014057</v>
      </c>
    </row>
    <row r="312" spans="1:18" x14ac:dyDescent="0.3">
      <c r="A312" s="2">
        <v>43671</v>
      </c>
      <c r="B312" s="1">
        <v>51.755000000000003</v>
      </c>
      <c r="C312" s="1">
        <v>1973.82</v>
      </c>
      <c r="D312" s="1">
        <v>200.71</v>
      </c>
      <c r="E312" s="1">
        <f t="shared" si="38"/>
        <v>-7.9386497896891048E-3</v>
      </c>
      <c r="F312" s="1">
        <f t="shared" si="39"/>
        <v>-1.35813471262688E-2</v>
      </c>
      <c r="G312" s="1">
        <f t="shared" si="40"/>
        <v>-1.9488985487207566E-2</v>
      </c>
      <c r="P312" s="39">
        <f t="shared" si="41"/>
        <v>793.21848325625422</v>
      </c>
      <c r="Q312" s="26">
        <f t="shared" si="42"/>
        <v>-10.985402696368624</v>
      </c>
      <c r="R312" s="26">
        <f t="shared" si="43"/>
        <v>10.985402696368624</v>
      </c>
    </row>
    <row r="313" spans="1:18" x14ac:dyDescent="0.3">
      <c r="A313" s="2">
        <v>43670</v>
      </c>
      <c r="B313" s="1">
        <v>52.167499999999997</v>
      </c>
      <c r="C313" s="1">
        <v>2000.81</v>
      </c>
      <c r="D313" s="1">
        <v>204.66</v>
      </c>
      <c r="E313" s="1">
        <f t="shared" si="38"/>
        <v>-8.1435179705833594E-4</v>
      </c>
      <c r="F313" s="1">
        <f t="shared" si="39"/>
        <v>3.1637200067435533E-3</v>
      </c>
      <c r="G313" s="1">
        <f t="shared" si="40"/>
        <v>1.1301776234874021E-2</v>
      </c>
      <c r="P313" s="39">
        <f t="shared" si="41"/>
        <v>804.20388595262284</v>
      </c>
      <c r="Q313" s="26">
        <f t="shared" si="42"/>
        <v>2.8127156920775178</v>
      </c>
      <c r="R313" s="26">
        <f t="shared" si="43"/>
        <v>-2.8127156920775178</v>
      </c>
    </row>
    <row r="314" spans="1:18" x14ac:dyDescent="0.3">
      <c r="A314" s="2">
        <v>43669</v>
      </c>
      <c r="B314" s="1">
        <v>52.21</v>
      </c>
      <c r="C314" s="1">
        <v>1994.49</v>
      </c>
      <c r="D314" s="1">
        <v>202.36</v>
      </c>
      <c r="E314" s="1">
        <f t="shared" si="38"/>
        <v>7.7873777187458899E-3</v>
      </c>
      <c r="F314" s="1">
        <f t="shared" si="39"/>
        <v>4.4521344255298119E-3</v>
      </c>
      <c r="G314" s="1">
        <f t="shared" si="40"/>
        <v>1.9768706202576516E-4</v>
      </c>
      <c r="P314" s="39">
        <f t="shared" si="41"/>
        <v>801.39117026054532</v>
      </c>
      <c r="Q314" s="26">
        <f t="shared" si="42"/>
        <v>3.4455362432869379</v>
      </c>
      <c r="R314" s="26">
        <f t="shared" si="43"/>
        <v>-3.4455362432869379</v>
      </c>
    </row>
    <row r="315" spans="1:18" x14ac:dyDescent="0.3">
      <c r="A315" s="2">
        <v>43668</v>
      </c>
      <c r="B315" s="1">
        <v>51.805</v>
      </c>
      <c r="C315" s="1">
        <v>1985.63</v>
      </c>
      <c r="D315" s="1">
        <v>202.32</v>
      </c>
      <c r="E315" s="1">
        <f t="shared" si="38"/>
        <v>2.2596798568745524E-2</v>
      </c>
      <c r="F315" s="1">
        <f t="shared" si="39"/>
        <v>1.0688303465195049E-2</v>
      </c>
      <c r="G315" s="1">
        <f t="shared" si="40"/>
        <v>1.9767040740776582E-2</v>
      </c>
      <c r="P315" s="39">
        <f t="shared" si="41"/>
        <v>797.94563401725839</v>
      </c>
      <c r="Q315" s="26">
        <f t="shared" si="42"/>
        <v>9.1266971670987687</v>
      </c>
      <c r="R315" s="26">
        <f t="shared" si="43"/>
        <v>-9.1266971670987687</v>
      </c>
    </row>
    <row r="316" spans="1:18" x14ac:dyDescent="0.3">
      <c r="A316" s="2">
        <v>43665</v>
      </c>
      <c r="B316" s="1">
        <v>50.647500000000001</v>
      </c>
      <c r="C316" s="1">
        <v>1964.52</v>
      </c>
      <c r="D316" s="1">
        <v>198.36</v>
      </c>
      <c r="E316" s="1">
        <f t="shared" si="38"/>
        <v>-1.5040087546184295E-2</v>
      </c>
      <c r="F316" s="1">
        <f t="shared" si="39"/>
        <v>-6.7877351331131304E-3</v>
      </c>
      <c r="G316" s="1">
        <f t="shared" si="40"/>
        <v>-1.2126219642447289E-2</v>
      </c>
      <c r="P316" s="39">
        <f t="shared" si="41"/>
        <v>788.81893685015962</v>
      </c>
      <c r="Q316" s="26">
        <f t="shared" si="42"/>
        <v>-5.7792430259346474</v>
      </c>
      <c r="R316" s="26">
        <f t="shared" si="43"/>
        <v>5.7792430259346474</v>
      </c>
    </row>
    <row r="317" spans="1:18" x14ac:dyDescent="0.3">
      <c r="A317" s="2">
        <v>43664</v>
      </c>
      <c r="B317" s="1">
        <v>51.414999999999999</v>
      </c>
      <c r="C317" s="1">
        <v>1977.9</v>
      </c>
      <c r="D317" s="1">
        <v>200.78</v>
      </c>
      <c r="E317" s="1">
        <f t="shared" si="38"/>
        <v>1.129568744781095E-2</v>
      </c>
      <c r="F317" s="1">
        <f t="shared" si="39"/>
        <v>-7.1185434847394089E-3</v>
      </c>
      <c r="G317" s="1">
        <f t="shared" si="40"/>
        <v>-5.0673266561280716E-3</v>
      </c>
      <c r="P317" s="39">
        <f t="shared" si="41"/>
        <v>794.59817987609426</v>
      </c>
      <c r="Q317" s="26">
        <f t="shared" si="42"/>
        <v>-5.1953147227465024</v>
      </c>
      <c r="R317" s="26">
        <f t="shared" si="43"/>
        <v>5.1953147227465024</v>
      </c>
    </row>
    <row r="318" spans="1:18" x14ac:dyDescent="0.3">
      <c r="A318" s="2">
        <v>43663</v>
      </c>
      <c r="B318" s="1">
        <v>50.837499999999999</v>
      </c>
      <c r="C318" s="1">
        <v>1992.03</v>
      </c>
      <c r="D318" s="1">
        <v>201.8</v>
      </c>
      <c r="E318" s="1">
        <f t="shared" si="38"/>
        <v>-5.6393431296228721E-3</v>
      </c>
      <c r="F318" s="1">
        <f t="shared" si="39"/>
        <v>-8.930750299603064E-3</v>
      </c>
      <c r="G318" s="1">
        <f t="shared" si="40"/>
        <v>-1.0058264464289939E-2</v>
      </c>
      <c r="P318" s="39">
        <f t="shared" si="41"/>
        <v>799.79349459884077</v>
      </c>
      <c r="Q318" s="26">
        <f t="shared" si="42"/>
        <v>-7.1546920704355443</v>
      </c>
      <c r="R318" s="26">
        <f t="shared" si="43"/>
        <v>7.1546920704355443</v>
      </c>
    </row>
    <row r="319" spans="1:18" x14ac:dyDescent="0.3">
      <c r="A319" s="2">
        <v>43662</v>
      </c>
      <c r="B319" s="1">
        <v>51.125</v>
      </c>
      <c r="C319" s="1">
        <v>2009.9</v>
      </c>
      <c r="D319" s="1">
        <v>203.84</v>
      </c>
      <c r="E319" s="1">
        <f t="shared" si="38"/>
        <v>-3.4658695698165896E-3</v>
      </c>
      <c r="F319" s="1">
        <f t="shared" si="39"/>
        <v>-5.502520774151148E-3</v>
      </c>
      <c r="G319" s="1">
        <f t="shared" si="40"/>
        <v>-3.4334764285801625E-4</v>
      </c>
      <c r="P319" s="39">
        <f t="shared" si="41"/>
        <v>806.94818666927631</v>
      </c>
      <c r="Q319" s="26">
        <f t="shared" si="42"/>
        <v>-4.1805818585932002</v>
      </c>
      <c r="R319" s="26">
        <f t="shared" si="43"/>
        <v>4.1805818585932002</v>
      </c>
    </row>
    <row r="320" spans="1:18" x14ac:dyDescent="0.3">
      <c r="A320" s="2">
        <v>43661</v>
      </c>
      <c r="B320" s="1">
        <v>51.302500000000002</v>
      </c>
      <c r="C320" s="1">
        <v>2020.99</v>
      </c>
      <c r="D320" s="1">
        <v>203.91</v>
      </c>
      <c r="E320" s="1">
        <f t="shared" si="38"/>
        <v>9.351124418371954E-3</v>
      </c>
      <c r="F320" s="1">
        <f t="shared" si="39"/>
        <v>4.955379573205426E-3</v>
      </c>
      <c r="G320" s="1">
        <f t="shared" si="40"/>
        <v>-4.6969116144510402E-3</v>
      </c>
      <c r="P320" s="39">
        <f t="shared" si="41"/>
        <v>811.12876852786951</v>
      </c>
      <c r="Q320" s="26">
        <f t="shared" si="42"/>
        <v>3.6757976895346474</v>
      </c>
      <c r="R320" s="26">
        <f t="shared" si="43"/>
        <v>-3.6757976895346474</v>
      </c>
    </row>
    <row r="321" spans="1:18" x14ac:dyDescent="0.3">
      <c r="A321" s="2">
        <v>43658</v>
      </c>
      <c r="B321" s="1">
        <v>50.825000000000003</v>
      </c>
      <c r="C321" s="1">
        <v>2011</v>
      </c>
      <c r="D321" s="1">
        <v>204.87</v>
      </c>
      <c r="E321" s="1">
        <f t="shared" si="38"/>
        <v>7.6534134842428025E-3</v>
      </c>
      <c r="F321" s="1">
        <f t="shared" si="39"/>
        <v>4.9500732920467845E-3</v>
      </c>
      <c r="G321" s="1">
        <f t="shared" si="40"/>
        <v>1.7927099162830758E-2</v>
      </c>
      <c r="P321" s="39">
        <f t="shared" si="41"/>
        <v>807.45297083833486</v>
      </c>
      <c r="Q321" s="26">
        <f t="shared" si="42"/>
        <v>4.6132463023864148</v>
      </c>
      <c r="R321" s="26">
        <f t="shared" si="43"/>
        <v>-4.6132463023864148</v>
      </c>
    </row>
    <row r="322" spans="1:18" x14ac:dyDescent="0.3">
      <c r="A322" s="2">
        <v>43657</v>
      </c>
      <c r="B322" s="1">
        <v>50.4375</v>
      </c>
      <c r="C322" s="1">
        <v>2001.07</v>
      </c>
      <c r="D322" s="1">
        <v>201.23</v>
      </c>
      <c r="E322" s="1">
        <f t="shared" si="38"/>
        <v>-7.3090354521574653E-3</v>
      </c>
      <c r="F322" s="1">
        <f t="shared" si="39"/>
        <v>-8.132473003030322E-3</v>
      </c>
      <c r="G322" s="1">
        <f t="shared" si="40"/>
        <v>-7.4265120018255845E-3</v>
      </c>
      <c r="P322" s="39">
        <f t="shared" si="41"/>
        <v>802.83972453594845</v>
      </c>
      <c r="Q322" s="26">
        <f t="shared" si="42"/>
        <v>-6.5073256851624137</v>
      </c>
      <c r="R322" s="26">
        <f t="shared" si="43"/>
        <v>6.5073256851624137</v>
      </c>
    </row>
    <row r="323" spans="1:18" x14ac:dyDescent="0.3">
      <c r="A323" s="2">
        <v>43656</v>
      </c>
      <c r="B323" s="1">
        <v>50.807499999999997</v>
      </c>
      <c r="C323" s="1">
        <v>2017.41</v>
      </c>
      <c r="D323" s="1">
        <v>202.73</v>
      </c>
      <c r="E323" s="1">
        <f t="shared" si="38"/>
        <v>9.8401169790978977E-3</v>
      </c>
      <c r="F323" s="1">
        <f t="shared" si="39"/>
        <v>1.4534508219600249E-2</v>
      </c>
      <c r="G323" s="1">
        <f t="shared" si="40"/>
        <v>1.7515499786409813E-2</v>
      </c>
      <c r="P323" s="39">
        <f t="shared" si="41"/>
        <v>809.34705022111086</v>
      </c>
      <c r="Q323" s="26">
        <f t="shared" si="42"/>
        <v>11.70964868548208</v>
      </c>
      <c r="R323" s="26">
        <f t="shared" si="43"/>
        <v>-11.70964868548208</v>
      </c>
    </row>
    <row r="324" spans="1:18" x14ac:dyDescent="0.3">
      <c r="A324" s="2">
        <v>43655</v>
      </c>
      <c r="B324" s="1">
        <v>50.31</v>
      </c>
      <c r="C324" s="1">
        <v>1988.3</v>
      </c>
      <c r="D324" s="1">
        <v>199.21</v>
      </c>
      <c r="E324" s="1">
        <f t="shared" si="38"/>
        <v>6.0808640747477107E-3</v>
      </c>
      <c r="F324" s="1">
        <f t="shared" si="39"/>
        <v>1.8261593300547899E-2</v>
      </c>
      <c r="G324" s="1">
        <f t="shared" si="40"/>
        <v>1.7470125559276496E-2</v>
      </c>
      <c r="P324" s="39">
        <f t="shared" si="41"/>
        <v>797.63740153562878</v>
      </c>
      <c r="Q324" s="26">
        <f t="shared" si="42"/>
        <v>14.149542187487668</v>
      </c>
      <c r="R324" s="26">
        <f t="shared" si="43"/>
        <v>-14.149542187487668</v>
      </c>
    </row>
    <row r="325" spans="1:18" x14ac:dyDescent="0.3">
      <c r="A325" s="2">
        <v>43654</v>
      </c>
      <c r="B325" s="1">
        <v>50.005000000000003</v>
      </c>
      <c r="C325" s="1">
        <v>1952.32</v>
      </c>
      <c r="D325" s="1">
        <v>195.76</v>
      </c>
      <c r="E325" s="1">
        <f t="shared" si="38"/>
        <v>-2.0829448180696448E-2</v>
      </c>
      <c r="F325" s="1">
        <f t="shared" si="39"/>
        <v>4.8315597823778075E-3</v>
      </c>
      <c r="G325" s="1">
        <f t="shared" si="40"/>
        <v>-3.2639767859493425E-3</v>
      </c>
      <c r="P325" s="39">
        <f t="shared" si="41"/>
        <v>783.48785934814111</v>
      </c>
      <c r="Q325" s="26">
        <f t="shared" si="42"/>
        <v>2.8972359035989257</v>
      </c>
      <c r="R325" s="26">
        <f t="shared" si="43"/>
        <v>-2.8972359035989257</v>
      </c>
    </row>
    <row r="326" spans="1:18" x14ac:dyDescent="0.3">
      <c r="A326" s="2">
        <v>43651</v>
      </c>
      <c r="B326" s="1">
        <v>51.057499999999997</v>
      </c>
      <c r="C326" s="1">
        <v>1942.91</v>
      </c>
      <c r="D326" s="1">
        <v>196.4</v>
      </c>
      <c r="E326" s="1">
        <f t="shared" ref="E326:E389" si="44">LN(B326/B327)</f>
        <v>-8.8097108281940133E-4</v>
      </c>
      <c r="F326" s="1">
        <f t="shared" ref="F326:F389" si="45">LN(C326/C327)</f>
        <v>2.0144729384579375E-3</v>
      </c>
      <c r="G326" s="1">
        <f t="shared" ref="G326:G389" si="46">LN(D326/D327)</f>
        <v>-4.0650462481694452E-3</v>
      </c>
      <c r="P326" s="39">
        <f t="shared" ref="P326:P389" si="47">B326*$J$13+C326*$J$14+D326*$J$15</f>
        <v>780.59062344454219</v>
      </c>
      <c r="Q326" s="26">
        <f t="shared" ref="Q326:Q389" si="48">P326-P327</f>
        <v>1.250656313788113</v>
      </c>
      <c r="R326" s="26">
        <f t="shared" ref="R326:R389" si="49">-Q326</f>
        <v>-1.250656313788113</v>
      </c>
    </row>
    <row r="327" spans="1:18" x14ac:dyDescent="0.3">
      <c r="A327" s="2">
        <v>43650</v>
      </c>
      <c r="B327" s="1">
        <v>51.102499999999999</v>
      </c>
      <c r="C327" s="1">
        <v>1939</v>
      </c>
      <c r="D327" s="1">
        <v>197.2</v>
      </c>
      <c r="E327" s="1">
        <f t="shared" si="44"/>
        <v>0</v>
      </c>
      <c r="F327" s="1">
        <f t="shared" si="45"/>
        <v>0</v>
      </c>
      <c r="G327" s="1">
        <f t="shared" si="46"/>
        <v>0</v>
      </c>
      <c r="P327" s="39">
        <f t="shared" si="47"/>
        <v>779.33996713075408</v>
      </c>
      <c r="Q327" s="26">
        <f t="shared" si="48"/>
        <v>0</v>
      </c>
      <c r="R327" s="26">
        <f t="shared" si="49"/>
        <v>0</v>
      </c>
    </row>
    <row r="328" spans="1:18" x14ac:dyDescent="0.3">
      <c r="A328" s="2">
        <v>43649</v>
      </c>
      <c r="B328" s="1">
        <v>51.102499999999999</v>
      </c>
      <c r="C328" s="1">
        <v>1939</v>
      </c>
      <c r="D328" s="1">
        <v>197.2</v>
      </c>
      <c r="E328" s="1">
        <f t="shared" si="44"/>
        <v>8.2527363317833856E-3</v>
      </c>
      <c r="F328" s="1">
        <f t="shared" si="45"/>
        <v>2.4217025190846984E-3</v>
      </c>
      <c r="G328" s="1">
        <f t="shared" si="46"/>
        <v>1.1218883604788244E-2</v>
      </c>
      <c r="P328" s="39">
        <f t="shared" si="47"/>
        <v>779.33996713075408</v>
      </c>
      <c r="Q328" s="26">
        <f t="shared" si="48"/>
        <v>2.3812467256354921</v>
      </c>
      <c r="R328" s="26">
        <f t="shared" si="49"/>
        <v>-2.3812467256354921</v>
      </c>
    </row>
    <row r="329" spans="1:18" x14ac:dyDescent="0.3">
      <c r="A329" s="2">
        <v>43648</v>
      </c>
      <c r="B329" s="1">
        <v>50.682499999999997</v>
      </c>
      <c r="C329" s="1">
        <v>1934.31</v>
      </c>
      <c r="D329" s="1">
        <v>195</v>
      </c>
      <c r="E329" s="1">
        <f t="shared" si="44"/>
        <v>5.837554916927553E-3</v>
      </c>
      <c r="F329" s="1">
        <f t="shared" si="45"/>
        <v>6.285512720197348E-3</v>
      </c>
      <c r="G329" s="1">
        <f t="shared" si="46"/>
        <v>1.0309369658861287E-2</v>
      </c>
      <c r="P329" s="39">
        <f t="shared" si="47"/>
        <v>776.95872040511858</v>
      </c>
      <c r="Q329" s="26">
        <f t="shared" si="48"/>
        <v>5.0275570187429821</v>
      </c>
      <c r="R329" s="26">
        <f t="shared" si="49"/>
        <v>-5.0275570187429821</v>
      </c>
    </row>
    <row r="330" spans="1:18" x14ac:dyDescent="0.3">
      <c r="A330" s="2">
        <v>43647</v>
      </c>
      <c r="B330" s="1">
        <v>50.387500000000003</v>
      </c>
      <c r="C330" s="1">
        <v>1922.19</v>
      </c>
      <c r="D330" s="1">
        <v>193</v>
      </c>
      <c r="E330" s="1">
        <f t="shared" si="44"/>
        <v>1.8174580918997062E-2</v>
      </c>
      <c r="F330" s="1">
        <f t="shared" si="45"/>
        <v>1.4969539090055368E-2</v>
      </c>
      <c r="G330" s="1">
        <f t="shared" si="46"/>
        <v>0</v>
      </c>
      <c r="P330" s="39">
        <f t="shared" si="47"/>
        <v>771.9311633863756</v>
      </c>
      <c r="Q330" s="26">
        <f t="shared" si="48"/>
        <v>10.91375970611341</v>
      </c>
      <c r="R330" s="26">
        <f t="shared" si="49"/>
        <v>-10.91375970611341</v>
      </c>
    </row>
    <row r="331" spans="1:18" x14ac:dyDescent="0.3">
      <c r="A331" s="2">
        <v>43644</v>
      </c>
      <c r="B331" s="1">
        <v>49.48</v>
      </c>
      <c r="C331" s="1">
        <v>1893.63</v>
      </c>
      <c r="D331" s="1">
        <v>193</v>
      </c>
      <c r="E331" s="1">
        <f t="shared" si="44"/>
        <v>-9.1536121708109645E-3</v>
      </c>
      <c r="F331" s="1">
        <f t="shared" si="45"/>
        <v>-5.6083624494366957E-3</v>
      </c>
      <c r="G331" s="1">
        <f t="shared" si="46"/>
        <v>1.8301164382404443E-2</v>
      </c>
      <c r="P331" s="39">
        <f t="shared" si="47"/>
        <v>761.01740368026219</v>
      </c>
      <c r="Q331" s="26">
        <f t="shared" si="48"/>
        <v>-3.3595466992979937</v>
      </c>
      <c r="R331" s="26">
        <f t="shared" si="49"/>
        <v>3.3595466992979937</v>
      </c>
    </row>
    <row r="332" spans="1:18" x14ac:dyDescent="0.3">
      <c r="A332" s="2">
        <v>43643</v>
      </c>
      <c r="B332" s="1">
        <v>49.935000000000002</v>
      </c>
      <c r="C332" s="1">
        <v>1904.28</v>
      </c>
      <c r="D332" s="1">
        <v>189.5</v>
      </c>
      <c r="E332" s="1">
        <f t="shared" si="44"/>
        <v>-3.0034539946452812E-4</v>
      </c>
      <c r="F332" s="1">
        <f t="shared" si="45"/>
        <v>3.3928561706082451E-3</v>
      </c>
      <c r="G332" s="1">
        <f t="shared" si="46"/>
        <v>9.7572096605773578E-3</v>
      </c>
      <c r="P332" s="39">
        <f t="shared" si="47"/>
        <v>764.37695037956018</v>
      </c>
      <c r="Q332" s="26">
        <f t="shared" si="48"/>
        <v>2.7723879278272534</v>
      </c>
      <c r="R332" s="26">
        <f t="shared" si="49"/>
        <v>-2.7723879278272534</v>
      </c>
    </row>
    <row r="333" spans="1:18" x14ac:dyDescent="0.3">
      <c r="A333" s="2">
        <v>43642</v>
      </c>
      <c r="B333" s="1">
        <v>49.95</v>
      </c>
      <c r="C333" s="1">
        <v>1897.83</v>
      </c>
      <c r="D333" s="1">
        <v>187.66</v>
      </c>
      <c r="E333" s="1">
        <f t="shared" si="44"/>
        <v>2.1398494609895607E-2</v>
      </c>
      <c r="F333" s="1">
        <f t="shared" si="45"/>
        <v>1.0359987789795034E-2</v>
      </c>
      <c r="G333" s="1">
        <f t="shared" si="46"/>
        <v>-6.2682808161823953E-3</v>
      </c>
      <c r="P333" s="39">
        <f t="shared" si="47"/>
        <v>761.60456245173293</v>
      </c>
      <c r="Q333" s="26">
        <f t="shared" si="48"/>
        <v>7.3994628100221007</v>
      </c>
      <c r="R333" s="26">
        <f t="shared" si="49"/>
        <v>-7.3994628100221007</v>
      </c>
    </row>
    <row r="334" spans="1:18" x14ac:dyDescent="0.3">
      <c r="A334" s="2">
        <v>43641</v>
      </c>
      <c r="B334" s="1">
        <v>48.892499999999998</v>
      </c>
      <c r="C334" s="1">
        <v>1878.27</v>
      </c>
      <c r="D334" s="1">
        <v>188.84</v>
      </c>
      <c r="E334" s="1">
        <f t="shared" si="44"/>
        <v>-1.5273670000890454E-2</v>
      </c>
      <c r="F334" s="1">
        <f t="shared" si="45"/>
        <v>-1.8791904641679544E-2</v>
      </c>
      <c r="G334" s="1">
        <f t="shared" si="46"/>
        <v>-1.9715403685939138E-2</v>
      </c>
      <c r="P334" s="39">
        <f t="shared" si="47"/>
        <v>754.20509964171083</v>
      </c>
      <c r="Q334" s="26">
        <f t="shared" si="48"/>
        <v>-14.272991196273097</v>
      </c>
      <c r="R334" s="26">
        <f t="shared" si="49"/>
        <v>14.272991196273097</v>
      </c>
    </row>
    <row r="335" spans="1:18" x14ac:dyDescent="0.3">
      <c r="A335" s="2">
        <v>43640</v>
      </c>
      <c r="B335" s="1">
        <v>49.645000000000003</v>
      </c>
      <c r="C335" s="1">
        <v>1913.9</v>
      </c>
      <c r="D335" s="1">
        <v>192.6</v>
      </c>
      <c r="E335" s="1">
        <f t="shared" si="44"/>
        <v>-1.0066439344114438E-3</v>
      </c>
      <c r="F335" s="1">
        <f t="shared" si="45"/>
        <v>1.3594062534753903E-3</v>
      </c>
      <c r="G335" s="1">
        <f t="shared" si="46"/>
        <v>7.6093555259916183E-3</v>
      </c>
      <c r="P335" s="39">
        <f t="shared" si="47"/>
        <v>768.47809083798393</v>
      </c>
      <c r="Q335" s="26">
        <f t="shared" si="48"/>
        <v>1.2550040688711306</v>
      </c>
      <c r="R335" s="26">
        <f t="shared" si="49"/>
        <v>-1.2550040688711306</v>
      </c>
    </row>
    <row r="336" spans="1:18" x14ac:dyDescent="0.3">
      <c r="A336" s="2">
        <v>43637</v>
      </c>
      <c r="B336" s="1">
        <v>49.695</v>
      </c>
      <c r="C336" s="1">
        <v>1911.3</v>
      </c>
      <c r="D336" s="1">
        <v>191.14</v>
      </c>
      <c r="E336" s="1">
        <f t="shared" si="44"/>
        <v>-3.4150294338623809E-3</v>
      </c>
      <c r="F336" s="1">
        <f t="shared" si="45"/>
        <v>-3.5983942689819782E-3</v>
      </c>
      <c r="G336" s="1">
        <f t="shared" si="46"/>
        <v>8.458820499824625E-3</v>
      </c>
      <c r="P336" s="39">
        <f t="shared" si="47"/>
        <v>767.2230867691128</v>
      </c>
      <c r="Q336" s="26">
        <f t="shared" si="48"/>
        <v>-2.2637268059887674</v>
      </c>
      <c r="R336" s="26">
        <f t="shared" si="49"/>
        <v>2.2637268059887674</v>
      </c>
    </row>
    <row r="337" spans="1:18" x14ac:dyDescent="0.3">
      <c r="A337" s="2">
        <v>43636</v>
      </c>
      <c r="B337" s="1">
        <v>49.865000000000002</v>
      </c>
      <c r="C337" s="1">
        <v>1918.19</v>
      </c>
      <c r="D337" s="1">
        <v>189.53</v>
      </c>
      <c r="E337" s="1">
        <f t="shared" si="44"/>
        <v>8.0034655693733085E-3</v>
      </c>
      <c r="F337" s="1">
        <f t="shared" si="45"/>
        <v>4.9124996231511859E-3</v>
      </c>
      <c r="G337" s="1">
        <f t="shared" si="46"/>
        <v>1.0875150283703408E-2</v>
      </c>
      <c r="P337" s="39">
        <f t="shared" si="47"/>
        <v>769.48681357510156</v>
      </c>
      <c r="Q337" s="26">
        <f t="shared" si="48"/>
        <v>4.0772635492137397</v>
      </c>
      <c r="R337" s="26">
        <f t="shared" si="49"/>
        <v>-4.0772635492137397</v>
      </c>
    </row>
    <row r="338" spans="1:18" x14ac:dyDescent="0.3">
      <c r="A338" s="2">
        <v>43635</v>
      </c>
      <c r="B338" s="1">
        <v>49.467500000000001</v>
      </c>
      <c r="C338" s="1">
        <v>1908.79</v>
      </c>
      <c r="D338" s="1">
        <v>187.48</v>
      </c>
      <c r="E338" s="1">
        <f t="shared" si="44"/>
        <v>-2.9269298247256311E-3</v>
      </c>
      <c r="F338" s="1">
        <f t="shared" si="45"/>
        <v>3.8948544838260466E-3</v>
      </c>
      <c r="G338" s="1">
        <f t="shared" si="46"/>
        <v>-5.2666699740310406E-3</v>
      </c>
      <c r="P338" s="39">
        <f t="shared" si="47"/>
        <v>765.40955002588782</v>
      </c>
      <c r="Q338" s="26">
        <f t="shared" si="48"/>
        <v>2.4631317056860098</v>
      </c>
      <c r="R338" s="26">
        <f t="shared" si="49"/>
        <v>-2.4631317056860098</v>
      </c>
    </row>
    <row r="339" spans="1:18" x14ac:dyDescent="0.3">
      <c r="A339" s="2">
        <v>43634</v>
      </c>
      <c r="B339" s="1">
        <v>49.612499999999997</v>
      </c>
      <c r="C339" s="1">
        <v>1901.37</v>
      </c>
      <c r="D339" s="1">
        <v>188.47</v>
      </c>
      <c r="E339" s="1">
        <f t="shared" si="44"/>
        <v>2.3246191286160529E-2</v>
      </c>
      <c r="F339" s="1">
        <f t="shared" si="45"/>
        <v>8.1005882048581241E-3</v>
      </c>
      <c r="G339" s="1">
        <f t="shared" si="46"/>
        <v>-2.8610806843284904E-3</v>
      </c>
      <c r="P339" s="39">
        <f t="shared" si="47"/>
        <v>762.94641832020181</v>
      </c>
      <c r="Q339" s="26">
        <f t="shared" si="48"/>
        <v>6.0152890046641687</v>
      </c>
      <c r="R339" s="26">
        <f t="shared" si="49"/>
        <v>-6.0152890046641687</v>
      </c>
    </row>
    <row r="340" spans="1:18" x14ac:dyDescent="0.3">
      <c r="A340" s="2">
        <v>43633</v>
      </c>
      <c r="B340" s="1">
        <v>48.472499999999997</v>
      </c>
      <c r="C340" s="1">
        <v>1886.03</v>
      </c>
      <c r="D340" s="1">
        <v>189.01</v>
      </c>
      <c r="E340" s="1">
        <f t="shared" si="44"/>
        <v>5.9488575197722635E-3</v>
      </c>
      <c r="F340" s="1">
        <f t="shared" si="45"/>
        <v>8.7121460600681714E-3</v>
      </c>
      <c r="G340" s="1">
        <f t="shared" si="46"/>
        <v>4.1481348046930565E-2</v>
      </c>
      <c r="P340" s="39">
        <f t="shared" si="47"/>
        <v>756.93112931553765</v>
      </c>
      <c r="Q340" s="26">
        <f t="shared" si="48"/>
        <v>7.8198042826306846</v>
      </c>
      <c r="R340" s="26">
        <f t="shared" si="49"/>
        <v>-7.8198042826306846</v>
      </c>
    </row>
    <row r="341" spans="1:18" x14ac:dyDescent="0.3">
      <c r="A341" s="2">
        <v>43630</v>
      </c>
      <c r="B341" s="1">
        <v>48.185000000000002</v>
      </c>
      <c r="C341" s="1">
        <v>1869.67</v>
      </c>
      <c r="D341" s="1">
        <v>181.33</v>
      </c>
      <c r="E341" s="1">
        <f t="shared" si="44"/>
        <v>-7.2889257545349579E-3</v>
      </c>
      <c r="F341" s="1">
        <f t="shared" si="45"/>
        <v>-3.3690110132365597E-4</v>
      </c>
      <c r="G341" s="1">
        <f t="shared" si="46"/>
        <v>2.151699511946081E-2</v>
      </c>
      <c r="P341" s="39">
        <f t="shared" si="47"/>
        <v>749.11132503290696</v>
      </c>
      <c r="Q341" s="26">
        <f t="shared" si="48"/>
        <v>0.45801052164233624</v>
      </c>
      <c r="R341" s="26">
        <f t="shared" si="49"/>
        <v>-0.45801052164233624</v>
      </c>
    </row>
    <row r="342" spans="1:18" x14ac:dyDescent="0.3">
      <c r="A342" s="2">
        <v>43629</v>
      </c>
      <c r="B342" s="1">
        <v>48.537500000000001</v>
      </c>
      <c r="C342" s="1">
        <v>1870.3</v>
      </c>
      <c r="D342" s="1">
        <v>177.47</v>
      </c>
      <c r="E342" s="1">
        <f t="shared" si="44"/>
        <v>-2.0600504785213181E-4</v>
      </c>
      <c r="F342" s="1">
        <f t="shared" si="45"/>
        <v>8.0416578864508873E-3</v>
      </c>
      <c r="G342" s="1">
        <f t="shared" si="46"/>
        <v>1.3787061312857252E-2</v>
      </c>
      <c r="P342" s="39">
        <f t="shared" si="47"/>
        <v>748.65331451126463</v>
      </c>
      <c r="Q342" s="26">
        <f t="shared" si="48"/>
        <v>6.0496284789120409</v>
      </c>
      <c r="R342" s="26">
        <f t="shared" si="49"/>
        <v>-6.0496284789120409</v>
      </c>
    </row>
    <row r="343" spans="1:18" x14ac:dyDescent="0.3">
      <c r="A343" s="2">
        <v>43628</v>
      </c>
      <c r="B343" s="1">
        <v>48.547499999999999</v>
      </c>
      <c r="C343" s="1">
        <v>1855.32</v>
      </c>
      <c r="D343" s="1">
        <v>175.04</v>
      </c>
      <c r="E343" s="1">
        <f t="shared" si="44"/>
        <v>-3.187663367584239E-3</v>
      </c>
      <c r="F343" s="1">
        <f t="shared" si="45"/>
        <v>-4.5065711841159421E-3</v>
      </c>
      <c r="G343" s="1">
        <f t="shared" si="46"/>
        <v>-1.7330671061999554E-2</v>
      </c>
      <c r="P343" s="39">
        <f t="shared" si="47"/>
        <v>742.60368603235258</v>
      </c>
      <c r="Q343" s="26">
        <f t="shared" si="48"/>
        <v>-3.8193217001690982</v>
      </c>
      <c r="R343" s="26">
        <f t="shared" si="49"/>
        <v>3.8193217001690982</v>
      </c>
    </row>
    <row r="344" spans="1:18" x14ac:dyDescent="0.3">
      <c r="A344" s="2">
        <v>43627</v>
      </c>
      <c r="B344" s="1">
        <v>48.702500000000001</v>
      </c>
      <c r="C344" s="1">
        <v>1863.7</v>
      </c>
      <c r="D344" s="1">
        <v>178.1</v>
      </c>
      <c r="E344" s="1">
        <f t="shared" si="44"/>
        <v>1.1513072780974794E-2</v>
      </c>
      <c r="F344" s="1">
        <f t="shared" si="45"/>
        <v>1.6486190511264167E-3</v>
      </c>
      <c r="G344" s="1">
        <f t="shared" si="46"/>
        <v>1.8588317143274188E-2</v>
      </c>
      <c r="P344" s="39">
        <f t="shared" si="47"/>
        <v>746.42300773252168</v>
      </c>
      <c r="Q344" s="26">
        <f t="shared" si="48"/>
        <v>2.0745341435280125</v>
      </c>
      <c r="R344" s="26">
        <f t="shared" si="49"/>
        <v>-2.0745341435280125</v>
      </c>
    </row>
    <row r="345" spans="1:18" x14ac:dyDescent="0.3">
      <c r="A345" s="2">
        <v>43626</v>
      </c>
      <c r="B345" s="1">
        <v>48.145000000000003</v>
      </c>
      <c r="C345" s="1">
        <v>1860.63</v>
      </c>
      <c r="D345" s="1">
        <v>174.82</v>
      </c>
      <c r="E345" s="1">
        <f t="shared" si="44"/>
        <v>1.2698417437869296E-2</v>
      </c>
      <c r="F345" s="1">
        <f t="shared" si="45"/>
        <v>3.089208883944445E-2</v>
      </c>
      <c r="G345" s="1">
        <f t="shared" si="46"/>
        <v>8.4442010213094509E-3</v>
      </c>
      <c r="P345" s="39">
        <f t="shared" si="47"/>
        <v>744.34847358899367</v>
      </c>
      <c r="Q345" s="26">
        <f t="shared" si="48"/>
        <v>21.453932387300256</v>
      </c>
      <c r="R345" s="26">
        <f t="shared" si="49"/>
        <v>-21.453932387300256</v>
      </c>
    </row>
    <row r="346" spans="1:18" x14ac:dyDescent="0.3">
      <c r="A346" s="2">
        <v>43623</v>
      </c>
      <c r="B346" s="1">
        <v>47.537500000000001</v>
      </c>
      <c r="C346" s="1">
        <v>1804.03</v>
      </c>
      <c r="D346" s="1">
        <v>173.35</v>
      </c>
      <c r="E346" s="1">
        <f t="shared" si="44"/>
        <v>2.6268926632145719E-2</v>
      </c>
      <c r="F346" s="1">
        <f t="shared" si="45"/>
        <v>2.7918933169891351E-2</v>
      </c>
      <c r="G346" s="1">
        <f t="shared" si="46"/>
        <v>2.9386333700042028E-2</v>
      </c>
      <c r="P346" s="39">
        <f t="shared" si="47"/>
        <v>722.89454120169341</v>
      </c>
      <c r="Q346" s="26">
        <f t="shared" si="48"/>
        <v>19.92525144691831</v>
      </c>
      <c r="R346" s="26">
        <f t="shared" si="49"/>
        <v>-19.92525144691831</v>
      </c>
    </row>
    <row r="347" spans="1:18" x14ac:dyDescent="0.3">
      <c r="A347" s="2">
        <v>43622</v>
      </c>
      <c r="B347" s="1">
        <v>46.305</v>
      </c>
      <c r="C347" s="1">
        <v>1754.36</v>
      </c>
      <c r="D347" s="1">
        <v>168.33</v>
      </c>
      <c r="E347" s="1">
        <f t="shared" si="44"/>
        <v>1.457498065339172E-2</v>
      </c>
      <c r="F347" s="1">
        <f t="shared" si="45"/>
        <v>9.0814455782409938E-3</v>
      </c>
      <c r="G347" s="1">
        <f t="shared" si="46"/>
        <v>9.5096589633190628E-4</v>
      </c>
      <c r="P347" s="39">
        <f t="shared" si="47"/>
        <v>702.9692897547751</v>
      </c>
      <c r="Q347" s="26">
        <f t="shared" si="48"/>
        <v>6.1641217976539338</v>
      </c>
      <c r="R347" s="26">
        <f t="shared" si="49"/>
        <v>-6.1641217976539338</v>
      </c>
    </row>
    <row r="348" spans="1:18" x14ac:dyDescent="0.3">
      <c r="A348" s="2">
        <v>43621</v>
      </c>
      <c r="B348" s="1">
        <v>45.634999999999998</v>
      </c>
      <c r="C348" s="1">
        <v>1738.5</v>
      </c>
      <c r="D348" s="1">
        <v>168.17</v>
      </c>
      <c r="E348" s="1">
        <f t="shared" si="44"/>
        <v>1.6014478869193965E-2</v>
      </c>
      <c r="F348" s="1">
        <f t="shared" si="45"/>
        <v>5.1556315649044608E-3</v>
      </c>
      <c r="G348" s="1">
        <f t="shared" si="46"/>
        <v>3.9920212695374567E-3</v>
      </c>
      <c r="P348" s="39">
        <f t="shared" si="47"/>
        <v>696.80516795712117</v>
      </c>
      <c r="Q348" s="26">
        <f t="shared" si="48"/>
        <v>3.7441643277072671</v>
      </c>
      <c r="R348" s="26">
        <f t="shared" si="49"/>
        <v>-3.7441643277072671</v>
      </c>
    </row>
    <row r="349" spans="1:18" x14ac:dyDescent="0.3">
      <c r="A349" s="2">
        <v>43620</v>
      </c>
      <c r="B349" s="1">
        <v>44.91</v>
      </c>
      <c r="C349" s="1">
        <v>1729.56</v>
      </c>
      <c r="D349" s="1">
        <v>167.5</v>
      </c>
      <c r="E349" s="1">
        <f t="shared" si="44"/>
        <v>3.5930651497976709E-2</v>
      </c>
      <c r="F349" s="1">
        <f t="shared" si="45"/>
        <v>2.1548061426802694E-2</v>
      </c>
      <c r="G349" s="1">
        <f t="shared" si="46"/>
        <v>2.0202707317519469E-2</v>
      </c>
      <c r="P349" s="39">
        <f t="shared" si="47"/>
        <v>693.0610036294139</v>
      </c>
      <c r="Q349" s="26">
        <f t="shared" si="48"/>
        <v>14.986581493724088</v>
      </c>
      <c r="R349" s="26">
        <f t="shared" si="49"/>
        <v>-14.986581493724088</v>
      </c>
    </row>
    <row r="350" spans="1:18" x14ac:dyDescent="0.3">
      <c r="A350" s="2">
        <v>43619</v>
      </c>
      <c r="B350" s="1">
        <v>43.325000000000003</v>
      </c>
      <c r="C350" s="1">
        <v>1692.69</v>
      </c>
      <c r="D350" s="1">
        <v>164.15</v>
      </c>
      <c r="E350" s="1">
        <f t="shared" si="44"/>
        <v>-1.0161697223280449E-2</v>
      </c>
      <c r="F350" s="1">
        <f t="shared" si="45"/>
        <v>-4.752087929542239E-2</v>
      </c>
      <c r="G350" s="1">
        <f t="shared" si="46"/>
        <v>-7.8020936598871812E-2</v>
      </c>
      <c r="P350" s="39">
        <f t="shared" si="47"/>
        <v>678.07442213568982</v>
      </c>
      <c r="Q350" s="26">
        <f t="shared" si="48"/>
        <v>-33.465638382496536</v>
      </c>
      <c r="R350" s="26">
        <f t="shared" si="49"/>
        <v>33.465638382496536</v>
      </c>
    </row>
    <row r="351" spans="1:18" x14ac:dyDescent="0.3">
      <c r="A351" s="2">
        <v>43616</v>
      </c>
      <c r="B351" s="1">
        <v>43.767499999999998</v>
      </c>
      <c r="C351" s="1">
        <v>1775.07</v>
      </c>
      <c r="D351" s="1">
        <v>177.47</v>
      </c>
      <c r="E351" s="1">
        <f t="shared" si="44"/>
        <v>-1.8281630924253847E-2</v>
      </c>
      <c r="F351" s="1">
        <f t="shared" si="45"/>
        <v>-2.2972617339937076E-2</v>
      </c>
      <c r="G351" s="1">
        <f t="shared" si="46"/>
        <v>-3.0739215610717369E-2</v>
      </c>
      <c r="P351" s="39">
        <f t="shared" si="47"/>
        <v>711.54006051818635</v>
      </c>
      <c r="Q351" s="26">
        <f t="shared" si="48"/>
        <v>-16.755134111413554</v>
      </c>
      <c r="R351" s="26">
        <f t="shared" si="49"/>
        <v>16.755134111413554</v>
      </c>
    </row>
    <row r="352" spans="1:18" x14ac:dyDescent="0.3">
      <c r="A352" s="2">
        <v>43615</v>
      </c>
      <c r="B352" s="1">
        <v>44.575000000000003</v>
      </c>
      <c r="C352" s="1">
        <v>1816.32</v>
      </c>
      <c r="D352" s="1">
        <v>183.01</v>
      </c>
      <c r="E352" s="1">
        <f t="shared" si="44"/>
        <v>5.1732009207884934E-3</v>
      </c>
      <c r="F352" s="1">
        <f t="shared" si="45"/>
        <v>-1.5788709678712742E-3</v>
      </c>
      <c r="G352" s="1">
        <f t="shared" si="46"/>
        <v>4.4906975795972002E-3</v>
      </c>
      <c r="P352" s="39">
        <f t="shared" si="47"/>
        <v>728.29519462959991</v>
      </c>
      <c r="Q352" s="26">
        <f t="shared" si="48"/>
        <v>-0.78594497919618789</v>
      </c>
      <c r="R352" s="26">
        <f t="shared" si="49"/>
        <v>0.78594497919618789</v>
      </c>
    </row>
    <row r="353" spans="1:18" x14ac:dyDescent="0.3">
      <c r="A353" s="2">
        <v>43614</v>
      </c>
      <c r="B353" s="1">
        <v>44.344999999999999</v>
      </c>
      <c r="C353" s="1">
        <v>1819.19</v>
      </c>
      <c r="D353" s="1">
        <v>182.19</v>
      </c>
      <c r="E353" s="1">
        <f t="shared" si="44"/>
        <v>-4.7805270874534626E-3</v>
      </c>
      <c r="F353" s="1">
        <f t="shared" si="45"/>
        <v>-9.432122492363415E-3</v>
      </c>
      <c r="G353" s="1">
        <f t="shared" si="46"/>
        <v>-1.1569023985937683E-2</v>
      </c>
      <c r="P353" s="39">
        <f t="shared" si="47"/>
        <v>729.08113960879609</v>
      </c>
      <c r="Q353" s="26">
        <f t="shared" si="48"/>
        <v>-6.9085044305478505</v>
      </c>
      <c r="R353" s="26">
        <f t="shared" si="49"/>
        <v>6.9085044305478505</v>
      </c>
    </row>
    <row r="354" spans="1:18" x14ac:dyDescent="0.3">
      <c r="A354" s="2">
        <v>43613</v>
      </c>
      <c r="B354" s="1">
        <v>44.557499999999997</v>
      </c>
      <c r="C354" s="1">
        <v>1836.43</v>
      </c>
      <c r="D354" s="1">
        <v>184.31</v>
      </c>
      <c r="E354" s="1">
        <f t="shared" si="44"/>
        <v>-4.1433429935572438E-3</v>
      </c>
      <c r="F354" s="1">
        <f t="shared" si="45"/>
        <v>7.1863926887272313E-3</v>
      </c>
      <c r="G354" s="1">
        <f t="shared" si="46"/>
        <v>1.7790654516237028E-2</v>
      </c>
      <c r="P354" s="39">
        <f t="shared" si="47"/>
        <v>735.98964403934394</v>
      </c>
      <c r="Q354" s="26">
        <f t="shared" si="48"/>
        <v>5.4796126414913715</v>
      </c>
      <c r="R354" s="26">
        <f t="shared" si="49"/>
        <v>-5.4796126414913715</v>
      </c>
    </row>
    <row r="355" spans="1:18" x14ac:dyDescent="0.3">
      <c r="A355" s="2">
        <v>43612</v>
      </c>
      <c r="B355" s="1">
        <v>44.7425</v>
      </c>
      <c r="C355" s="1">
        <v>1823.28</v>
      </c>
      <c r="D355" s="1">
        <v>181.06</v>
      </c>
      <c r="E355" s="1">
        <f t="shared" si="44"/>
        <v>0</v>
      </c>
      <c r="F355" s="1">
        <f t="shared" si="45"/>
        <v>0</v>
      </c>
      <c r="G355" s="1">
        <f t="shared" si="46"/>
        <v>0</v>
      </c>
      <c r="P355" s="39">
        <f t="shared" si="47"/>
        <v>730.51003139785257</v>
      </c>
      <c r="Q355" s="26">
        <f t="shared" si="48"/>
        <v>0</v>
      </c>
      <c r="R355" s="26">
        <f t="shared" si="49"/>
        <v>0</v>
      </c>
    </row>
    <row r="356" spans="1:18" x14ac:dyDescent="0.3">
      <c r="A356" s="2">
        <v>43609</v>
      </c>
      <c r="B356" s="1">
        <v>44.7425</v>
      </c>
      <c r="C356" s="1">
        <v>1823.28</v>
      </c>
      <c r="D356" s="1">
        <v>181.06</v>
      </c>
      <c r="E356" s="1">
        <f t="shared" si="44"/>
        <v>-3.8479817717436407E-3</v>
      </c>
      <c r="F356" s="1">
        <f t="shared" si="45"/>
        <v>4.2871813183319989E-3</v>
      </c>
      <c r="G356" s="1">
        <f t="shared" si="46"/>
        <v>1.0499268778703112E-3</v>
      </c>
      <c r="P356" s="39">
        <f t="shared" si="47"/>
        <v>730.51003139785257</v>
      </c>
      <c r="Q356" s="26">
        <f t="shared" si="48"/>
        <v>2.8476665344279581</v>
      </c>
      <c r="R356" s="26">
        <f t="shared" si="49"/>
        <v>-2.8476665344279581</v>
      </c>
    </row>
    <row r="357" spans="1:18" x14ac:dyDescent="0.3">
      <c r="A357" s="2">
        <v>43608</v>
      </c>
      <c r="B357" s="1">
        <v>44.914999999999999</v>
      </c>
      <c r="C357" s="1">
        <v>1815.48</v>
      </c>
      <c r="D357" s="1">
        <v>180.87</v>
      </c>
      <c r="E357" s="1">
        <f t="shared" si="44"/>
        <v>-1.7217068042995082E-2</v>
      </c>
      <c r="F357" s="1">
        <f t="shared" si="45"/>
        <v>-2.4054534350653866E-2</v>
      </c>
      <c r="G357" s="1">
        <f t="shared" si="46"/>
        <v>-2.4305519379023702E-2</v>
      </c>
      <c r="P357" s="39">
        <f t="shared" si="47"/>
        <v>727.66236486342461</v>
      </c>
      <c r="Q357" s="26">
        <f t="shared" si="48"/>
        <v>-17.595983895733184</v>
      </c>
      <c r="R357" s="26">
        <f t="shared" si="49"/>
        <v>17.595983895733184</v>
      </c>
    </row>
    <row r="358" spans="1:18" x14ac:dyDescent="0.3">
      <c r="A358" s="2">
        <v>43607</v>
      </c>
      <c r="B358" s="1">
        <v>45.695</v>
      </c>
      <c r="C358" s="1">
        <v>1859.68</v>
      </c>
      <c r="D358" s="1">
        <v>185.32</v>
      </c>
      <c r="E358" s="1">
        <f t="shared" si="44"/>
        <v>-2.068404456918788E-2</v>
      </c>
      <c r="F358" s="1">
        <f t="shared" si="45"/>
        <v>1.1621652012875779E-3</v>
      </c>
      <c r="G358" s="1">
        <f t="shared" si="46"/>
        <v>2.7016820885531999E-3</v>
      </c>
      <c r="P358" s="39">
        <f t="shared" si="47"/>
        <v>745.2583487591578</v>
      </c>
      <c r="Q358" s="26">
        <f t="shared" si="48"/>
        <v>0.50965566954550923</v>
      </c>
      <c r="R358" s="26">
        <f t="shared" si="49"/>
        <v>-0.50965566954550923</v>
      </c>
    </row>
    <row r="359" spans="1:18" x14ac:dyDescent="0.3">
      <c r="A359" s="2">
        <v>43606</v>
      </c>
      <c r="B359" s="1">
        <v>46.65</v>
      </c>
      <c r="C359" s="1">
        <v>1857.52</v>
      </c>
      <c r="D359" s="1">
        <v>184.82</v>
      </c>
      <c r="E359" s="1">
        <f t="shared" si="44"/>
        <v>1.8989453188730094E-2</v>
      </c>
      <c r="F359" s="1">
        <f t="shared" si="45"/>
        <v>-7.8030618867417452E-4</v>
      </c>
      <c r="G359" s="1">
        <f t="shared" si="46"/>
        <v>1.1427451992249009E-2</v>
      </c>
      <c r="P359" s="39">
        <f t="shared" si="47"/>
        <v>744.74869308961229</v>
      </c>
      <c r="Q359" s="26">
        <f t="shared" si="48"/>
        <v>0.28365424394132788</v>
      </c>
      <c r="R359" s="26">
        <f t="shared" si="49"/>
        <v>-0.28365424394132788</v>
      </c>
    </row>
    <row r="360" spans="1:18" x14ac:dyDescent="0.3">
      <c r="A360" s="2">
        <v>43605</v>
      </c>
      <c r="B360" s="1">
        <v>45.772500000000001</v>
      </c>
      <c r="C360" s="1">
        <v>1858.97</v>
      </c>
      <c r="D360" s="1">
        <v>182.72</v>
      </c>
      <c r="E360" s="1">
        <f t="shared" si="44"/>
        <v>-3.1769179835129058E-2</v>
      </c>
      <c r="F360" s="1">
        <f t="shared" si="45"/>
        <v>-5.3809575727784623E-3</v>
      </c>
      <c r="G360" s="1">
        <f t="shared" si="46"/>
        <v>-1.4021206823668744E-2</v>
      </c>
      <c r="P360" s="39">
        <f t="shared" si="47"/>
        <v>744.46503884567096</v>
      </c>
      <c r="Q360" s="26">
        <f t="shared" si="48"/>
        <v>-4.8720356968802889</v>
      </c>
      <c r="R360" s="26">
        <f t="shared" si="49"/>
        <v>4.8720356968802889</v>
      </c>
    </row>
    <row r="361" spans="1:18" x14ac:dyDescent="0.3">
      <c r="A361" s="2">
        <v>43602</v>
      </c>
      <c r="B361" s="1">
        <v>47.25</v>
      </c>
      <c r="C361" s="1">
        <v>1869</v>
      </c>
      <c r="D361" s="1">
        <v>185.3</v>
      </c>
      <c r="E361" s="1">
        <f t="shared" si="44"/>
        <v>-5.6980211146377786E-3</v>
      </c>
      <c r="F361" s="1">
        <f t="shared" si="45"/>
        <v>-2.0426652277428115E-2</v>
      </c>
      <c r="G361" s="1">
        <f t="shared" si="46"/>
        <v>-9.0790061975548116E-3</v>
      </c>
      <c r="P361" s="39">
        <f t="shared" si="47"/>
        <v>749.33707454255125</v>
      </c>
      <c r="Q361" s="26">
        <f t="shared" si="48"/>
        <v>-14.709258528398095</v>
      </c>
      <c r="R361" s="26">
        <f t="shared" si="49"/>
        <v>14.709258528398095</v>
      </c>
    </row>
    <row r="362" spans="1:18" x14ac:dyDescent="0.3">
      <c r="A362" s="2">
        <v>43601</v>
      </c>
      <c r="B362" s="1">
        <v>47.52</v>
      </c>
      <c r="C362" s="1">
        <v>1907.57</v>
      </c>
      <c r="D362" s="1">
        <v>186.99</v>
      </c>
      <c r="E362" s="1">
        <f t="shared" si="44"/>
        <v>-4.4094559634155544E-3</v>
      </c>
      <c r="F362" s="1">
        <f t="shared" si="45"/>
        <v>1.9276965640892797E-2</v>
      </c>
      <c r="G362" s="1">
        <f t="shared" si="46"/>
        <v>3.8579054439577994E-3</v>
      </c>
      <c r="P362" s="39">
        <f t="shared" si="47"/>
        <v>764.04633307094934</v>
      </c>
      <c r="Q362" s="26">
        <f t="shared" si="48"/>
        <v>13.506890750637353</v>
      </c>
      <c r="R362" s="26">
        <f t="shared" si="49"/>
        <v>-13.506890750637353</v>
      </c>
    </row>
    <row r="363" spans="1:18" x14ac:dyDescent="0.3">
      <c r="A363" s="2">
        <v>43600</v>
      </c>
      <c r="B363" s="1">
        <v>47.73</v>
      </c>
      <c r="C363" s="1">
        <v>1871.15</v>
      </c>
      <c r="D363" s="1">
        <v>186.27</v>
      </c>
      <c r="E363" s="1">
        <f t="shared" si="44"/>
        <v>1.1908038915988677E-2</v>
      </c>
      <c r="F363" s="1">
        <f t="shared" si="45"/>
        <v>1.6722428224324268E-2</v>
      </c>
      <c r="G363" s="1">
        <f t="shared" si="46"/>
        <v>3.0193029197364E-2</v>
      </c>
      <c r="P363" s="39">
        <f t="shared" si="47"/>
        <v>750.53944232031199</v>
      </c>
      <c r="Q363" s="26">
        <f t="shared" si="48"/>
        <v>12.88379475421948</v>
      </c>
      <c r="R363" s="26">
        <f t="shared" si="49"/>
        <v>-12.88379475421948</v>
      </c>
    </row>
    <row r="364" spans="1:18" x14ac:dyDescent="0.3">
      <c r="A364" s="2">
        <v>43599</v>
      </c>
      <c r="B364" s="1">
        <v>47.164999999999999</v>
      </c>
      <c r="C364" s="1">
        <v>1840.12</v>
      </c>
      <c r="D364" s="1">
        <v>180.73</v>
      </c>
      <c r="E364" s="1">
        <f t="shared" si="44"/>
        <v>1.5706290069986212E-2</v>
      </c>
      <c r="F364" s="1">
        <f t="shared" si="45"/>
        <v>9.5228414298461593E-3</v>
      </c>
      <c r="G364" s="1">
        <f t="shared" si="46"/>
        <v>-4.4718102509339087E-3</v>
      </c>
      <c r="P364" s="39">
        <f t="shared" si="47"/>
        <v>737.65564756609251</v>
      </c>
      <c r="Q364" s="26">
        <f t="shared" si="48"/>
        <v>6.5638134391522271</v>
      </c>
      <c r="R364" s="26">
        <f t="shared" si="49"/>
        <v>-6.5638134391522271</v>
      </c>
    </row>
    <row r="365" spans="1:18" x14ac:dyDescent="0.3">
      <c r="A365" s="2">
        <v>43598</v>
      </c>
      <c r="B365" s="1">
        <v>46.43</v>
      </c>
      <c r="C365" s="1">
        <v>1822.68</v>
      </c>
      <c r="D365" s="1">
        <v>181.54</v>
      </c>
      <c r="E365" s="1">
        <f t="shared" si="44"/>
        <v>-5.9876853995174346E-2</v>
      </c>
      <c r="F365" s="1">
        <f t="shared" si="45"/>
        <v>-3.6258301549188333E-2</v>
      </c>
      <c r="G365" s="1">
        <f t="shared" si="46"/>
        <v>-3.6772824983436009E-2</v>
      </c>
      <c r="P365" s="39">
        <f t="shared" si="47"/>
        <v>731.09183412694028</v>
      </c>
      <c r="Q365" s="26">
        <f t="shared" si="48"/>
        <v>-27.492304197493922</v>
      </c>
      <c r="R365" s="26">
        <f t="shared" si="49"/>
        <v>27.492304197493922</v>
      </c>
    </row>
    <row r="366" spans="1:18" x14ac:dyDescent="0.3">
      <c r="A366" s="2">
        <v>43595</v>
      </c>
      <c r="B366" s="1">
        <v>49.295000000000002</v>
      </c>
      <c r="C366" s="1">
        <v>1889.98</v>
      </c>
      <c r="D366" s="1">
        <v>188.34</v>
      </c>
      <c r="E366" s="1">
        <f t="shared" si="44"/>
        <v>-1.7793884911271513E-2</v>
      </c>
      <c r="F366" s="1">
        <f t="shared" si="45"/>
        <v>-5.2192157739569785E-3</v>
      </c>
      <c r="G366" s="1">
        <f t="shared" si="46"/>
        <v>-1.6446063284023219E-3</v>
      </c>
      <c r="P366" s="39">
        <f t="shared" si="47"/>
        <v>758.58413832443421</v>
      </c>
      <c r="Q366" s="26">
        <f t="shared" si="48"/>
        <v>-4.0829598733066632</v>
      </c>
      <c r="R366" s="26">
        <f t="shared" si="49"/>
        <v>4.0829598733066632</v>
      </c>
    </row>
    <row r="367" spans="1:18" x14ac:dyDescent="0.3">
      <c r="A367" s="2">
        <v>43594</v>
      </c>
      <c r="B367" s="1">
        <v>50.18</v>
      </c>
      <c r="C367" s="1">
        <v>1899.87</v>
      </c>
      <c r="D367" s="1">
        <v>188.65</v>
      </c>
      <c r="E367" s="1">
        <f t="shared" si="44"/>
        <v>-1.080234477360228E-2</v>
      </c>
      <c r="F367" s="1">
        <f t="shared" si="45"/>
        <v>-9.3775899119718197E-3</v>
      </c>
      <c r="G367" s="1">
        <f t="shared" si="46"/>
        <v>-4.7066376317292796E-3</v>
      </c>
      <c r="P367" s="39">
        <f t="shared" si="47"/>
        <v>762.66709819774087</v>
      </c>
      <c r="Q367" s="26">
        <f t="shared" si="48"/>
        <v>-7.0232293201204357</v>
      </c>
      <c r="R367" s="26">
        <f t="shared" si="49"/>
        <v>7.0232293201204357</v>
      </c>
    </row>
    <row r="368" spans="1:18" x14ac:dyDescent="0.3">
      <c r="A368" s="2">
        <v>43593</v>
      </c>
      <c r="B368" s="1">
        <v>50.725000000000001</v>
      </c>
      <c r="C368" s="1">
        <v>1917.77</v>
      </c>
      <c r="D368" s="1">
        <v>189.54</v>
      </c>
      <c r="E368" s="1">
        <f t="shared" si="44"/>
        <v>1.9716088391932133E-4</v>
      </c>
      <c r="F368" s="1">
        <f t="shared" si="45"/>
        <v>-1.6828310955116436E-3</v>
      </c>
      <c r="G368" s="1">
        <f t="shared" si="46"/>
        <v>-1.2127285238387757E-3</v>
      </c>
      <c r="P368" s="39">
        <f t="shared" si="47"/>
        <v>769.69032751786131</v>
      </c>
      <c r="Q368" s="26">
        <f t="shared" si="48"/>
        <v>-1.2374716974527473</v>
      </c>
      <c r="R368" s="26">
        <f t="shared" si="49"/>
        <v>1.2374716974527473</v>
      </c>
    </row>
    <row r="369" spans="1:18" x14ac:dyDescent="0.3">
      <c r="A369" s="2">
        <v>43592</v>
      </c>
      <c r="B369" s="1">
        <v>50.715000000000003</v>
      </c>
      <c r="C369" s="1">
        <v>1921</v>
      </c>
      <c r="D369" s="1">
        <v>189.77</v>
      </c>
      <c r="E369" s="1">
        <f t="shared" si="44"/>
        <v>-2.7327027428685272E-2</v>
      </c>
      <c r="F369" s="1">
        <f t="shared" si="45"/>
        <v>-1.526550030230195E-2</v>
      </c>
      <c r="G369" s="1">
        <f t="shared" si="46"/>
        <v>-2.1426598411287662E-2</v>
      </c>
      <c r="P369" s="39">
        <f t="shared" si="47"/>
        <v>770.92779921531405</v>
      </c>
      <c r="Q369" s="26">
        <f t="shared" si="48"/>
        <v>-12.37584942138551</v>
      </c>
      <c r="R369" s="26">
        <f t="shared" si="49"/>
        <v>12.37584942138551</v>
      </c>
    </row>
    <row r="370" spans="1:18" x14ac:dyDescent="0.3">
      <c r="A370" s="2">
        <v>43591</v>
      </c>
      <c r="B370" s="1">
        <v>52.12</v>
      </c>
      <c r="C370" s="1">
        <v>1950.55</v>
      </c>
      <c r="D370" s="1">
        <v>193.88</v>
      </c>
      <c r="E370" s="1">
        <f t="shared" si="44"/>
        <v>-1.5563220155628835E-2</v>
      </c>
      <c r="F370" s="1">
        <f t="shared" si="45"/>
        <v>-6.0874042123806368E-3</v>
      </c>
      <c r="G370" s="1">
        <f t="shared" si="46"/>
        <v>-8.1675039877553406E-3</v>
      </c>
      <c r="P370" s="39">
        <f t="shared" si="47"/>
        <v>783.30364863669956</v>
      </c>
      <c r="Q370" s="26">
        <f t="shared" si="48"/>
        <v>-5.0777029548946757</v>
      </c>
      <c r="R370" s="26">
        <f t="shared" si="49"/>
        <v>5.0777029548946757</v>
      </c>
    </row>
    <row r="371" spans="1:18" x14ac:dyDescent="0.3">
      <c r="A371" s="2">
        <v>43588</v>
      </c>
      <c r="B371" s="1">
        <v>52.9375</v>
      </c>
      <c r="C371" s="1">
        <v>1962.46</v>
      </c>
      <c r="D371" s="1">
        <v>195.47</v>
      </c>
      <c r="E371" s="1">
        <f t="shared" si="44"/>
        <v>1.2354635643956283E-2</v>
      </c>
      <c r="F371" s="1">
        <f t="shared" si="45"/>
        <v>3.1913416284746227E-2</v>
      </c>
      <c r="G371" s="1">
        <f t="shared" si="46"/>
        <v>1.5154929223686418E-2</v>
      </c>
      <c r="P371" s="39">
        <f t="shared" si="47"/>
        <v>788.38135159159424</v>
      </c>
      <c r="Q371" s="26">
        <f t="shared" si="48"/>
        <v>23.64971334100278</v>
      </c>
      <c r="R371" s="26">
        <f t="shared" si="49"/>
        <v>-23.64971334100278</v>
      </c>
    </row>
    <row r="372" spans="1:18" x14ac:dyDescent="0.3">
      <c r="A372" s="2">
        <v>43587</v>
      </c>
      <c r="B372" s="1">
        <v>52.287500000000001</v>
      </c>
      <c r="C372" s="1">
        <v>1900.82</v>
      </c>
      <c r="D372" s="1">
        <v>192.53</v>
      </c>
      <c r="E372" s="1">
        <f t="shared" si="44"/>
        <v>-6.528962597370778E-3</v>
      </c>
      <c r="F372" s="1">
        <f t="shared" si="45"/>
        <v>-5.6133650704206272E-3</v>
      </c>
      <c r="G372" s="1">
        <f t="shared" si="46"/>
        <v>-2.5936314985396747E-3</v>
      </c>
      <c r="P372" s="39">
        <f t="shared" si="47"/>
        <v>764.73163825059146</v>
      </c>
      <c r="Q372" s="26">
        <f t="shared" si="48"/>
        <v>-4.1982325446001596</v>
      </c>
      <c r="R372" s="26">
        <f t="shared" si="49"/>
        <v>4.1982325446001596</v>
      </c>
    </row>
    <row r="373" spans="1:18" x14ac:dyDescent="0.3">
      <c r="A373" s="2">
        <v>43586</v>
      </c>
      <c r="B373" s="1">
        <v>52.63</v>
      </c>
      <c r="C373" s="1">
        <v>1911.52</v>
      </c>
      <c r="D373" s="1">
        <v>193.03</v>
      </c>
      <c r="E373" s="1">
        <f t="shared" si="44"/>
        <v>4.7918892687151951E-2</v>
      </c>
      <c r="F373" s="1">
        <f t="shared" si="45"/>
        <v>-7.8165294643038601E-3</v>
      </c>
      <c r="G373" s="1">
        <f t="shared" si="46"/>
        <v>-1.9149657794100821E-3</v>
      </c>
      <c r="P373" s="39">
        <f t="shared" si="47"/>
        <v>768.92987079519162</v>
      </c>
      <c r="Q373" s="26">
        <f t="shared" si="48"/>
        <v>-4.5944647622147841</v>
      </c>
      <c r="R373" s="26">
        <f t="shared" si="49"/>
        <v>4.5944647622147841</v>
      </c>
    </row>
    <row r="374" spans="1:18" x14ac:dyDescent="0.3">
      <c r="A374" s="2">
        <v>43585</v>
      </c>
      <c r="B374" s="1">
        <v>50.167499999999997</v>
      </c>
      <c r="C374" s="1">
        <v>1926.52</v>
      </c>
      <c r="D374" s="1">
        <v>193.4</v>
      </c>
      <c r="E374" s="1">
        <f t="shared" si="44"/>
        <v>-1.9443960380041692E-2</v>
      </c>
      <c r="F374" s="1">
        <f t="shared" si="45"/>
        <v>-6.1631005311353591E-3</v>
      </c>
      <c r="G374" s="1">
        <f t="shared" si="46"/>
        <v>-7.1101335138592332E-3</v>
      </c>
      <c r="P374" s="39">
        <f t="shared" si="47"/>
        <v>773.5243355574064</v>
      </c>
      <c r="Q374" s="26">
        <f t="shared" si="48"/>
        <v>-5.1015917828228794</v>
      </c>
      <c r="R374" s="26">
        <f t="shared" si="49"/>
        <v>5.1015917828228794</v>
      </c>
    </row>
    <row r="375" spans="1:18" x14ac:dyDescent="0.3">
      <c r="A375" s="2">
        <v>43584</v>
      </c>
      <c r="B375" s="1">
        <v>51.152500000000003</v>
      </c>
      <c r="C375" s="1">
        <v>1938.43</v>
      </c>
      <c r="D375" s="1">
        <v>194.78</v>
      </c>
      <c r="E375" s="1">
        <f t="shared" si="44"/>
        <v>1.5162263548915062E-3</v>
      </c>
      <c r="F375" s="1">
        <f t="shared" si="45"/>
        <v>-6.2740302384055729E-3</v>
      </c>
      <c r="G375" s="1">
        <f t="shared" si="46"/>
        <v>1.7035128596977509E-2</v>
      </c>
      <c r="P375" s="39">
        <f t="shared" si="47"/>
        <v>778.62592734022928</v>
      </c>
      <c r="Q375" s="26">
        <f t="shared" si="48"/>
        <v>-3.7563341415444711</v>
      </c>
      <c r="R375" s="26">
        <f t="shared" si="49"/>
        <v>3.7563341415444711</v>
      </c>
    </row>
    <row r="376" spans="1:18" x14ac:dyDescent="0.3">
      <c r="A376" s="2">
        <v>43581</v>
      </c>
      <c r="B376" s="1">
        <v>51.075000000000003</v>
      </c>
      <c r="C376" s="1">
        <v>1950.63</v>
      </c>
      <c r="D376" s="1">
        <v>191.49</v>
      </c>
      <c r="E376" s="1">
        <f t="shared" si="44"/>
        <v>-4.7853990437498597E-3</v>
      </c>
      <c r="F376" s="1">
        <f t="shared" si="45"/>
        <v>2.511500124612626E-2</v>
      </c>
      <c r="G376" s="1">
        <f t="shared" si="46"/>
        <v>-9.2008446350866861E-3</v>
      </c>
      <c r="P376" s="39">
        <f t="shared" si="47"/>
        <v>782.38226148177375</v>
      </c>
      <c r="Q376" s="26">
        <f t="shared" si="48"/>
        <v>17.365650421757323</v>
      </c>
      <c r="R376" s="26">
        <f t="shared" si="49"/>
        <v>-17.365650421757323</v>
      </c>
    </row>
    <row r="377" spans="1:18" x14ac:dyDescent="0.3">
      <c r="A377" s="2">
        <v>43580</v>
      </c>
      <c r="B377" s="1">
        <v>51.32</v>
      </c>
      <c r="C377" s="1">
        <v>1902.25</v>
      </c>
      <c r="D377" s="1">
        <v>193.26</v>
      </c>
      <c r="E377" s="1">
        <f t="shared" si="44"/>
        <v>-9.1165406883644152E-3</v>
      </c>
      <c r="F377" s="1">
        <f t="shared" si="45"/>
        <v>2.6288117922154751E-4</v>
      </c>
      <c r="G377" s="1">
        <f t="shared" si="46"/>
        <v>5.6847999434227671E-2</v>
      </c>
      <c r="P377" s="39">
        <f t="shared" si="47"/>
        <v>765.01661106001643</v>
      </c>
      <c r="Q377" s="26">
        <f t="shared" si="48"/>
        <v>2.304239700115204</v>
      </c>
      <c r="R377" s="26">
        <f t="shared" si="49"/>
        <v>-2.304239700115204</v>
      </c>
    </row>
    <row r="378" spans="1:18" x14ac:dyDescent="0.3">
      <c r="A378" s="2">
        <v>43579</v>
      </c>
      <c r="B378" s="1">
        <v>51.79</v>
      </c>
      <c r="C378" s="1">
        <v>1901.75</v>
      </c>
      <c r="D378" s="1">
        <v>182.58</v>
      </c>
      <c r="E378" s="1">
        <f t="shared" si="44"/>
        <v>-1.5435079275087137E-3</v>
      </c>
      <c r="F378" s="1">
        <f t="shared" si="45"/>
        <v>-1.1512287582910162E-2</v>
      </c>
      <c r="G378" s="1">
        <f t="shared" si="46"/>
        <v>-6.5509569358040559E-3</v>
      </c>
      <c r="P378" s="39">
        <f t="shared" si="47"/>
        <v>762.71237135990123</v>
      </c>
      <c r="Q378" s="26">
        <f t="shared" si="48"/>
        <v>-8.4179057879018728</v>
      </c>
      <c r="R378" s="26">
        <f t="shared" si="49"/>
        <v>8.4179057879018728</v>
      </c>
    </row>
    <row r="379" spans="1:18" x14ac:dyDescent="0.3">
      <c r="A379" s="2">
        <v>43578</v>
      </c>
      <c r="B379" s="1">
        <v>51.87</v>
      </c>
      <c r="C379" s="1">
        <v>1923.77</v>
      </c>
      <c r="D379" s="1">
        <v>183.78</v>
      </c>
      <c r="E379" s="1">
        <f t="shared" si="44"/>
        <v>1.4320285493124347E-2</v>
      </c>
      <c r="F379" s="1">
        <f t="shared" si="45"/>
        <v>1.9134267655581103E-2</v>
      </c>
      <c r="G379" s="1">
        <f t="shared" si="46"/>
        <v>1.2814369533351584E-2</v>
      </c>
      <c r="P379" s="39">
        <f t="shared" si="47"/>
        <v>771.1302771478031</v>
      </c>
      <c r="Q379" s="26">
        <f t="shared" si="48"/>
        <v>14.265289890574422</v>
      </c>
      <c r="R379" s="26">
        <f t="shared" si="49"/>
        <v>-14.265289890574422</v>
      </c>
    </row>
    <row r="380" spans="1:18" x14ac:dyDescent="0.3">
      <c r="A380" s="2">
        <v>43577</v>
      </c>
      <c r="B380" s="1">
        <v>51.1325</v>
      </c>
      <c r="C380" s="1">
        <v>1887.31</v>
      </c>
      <c r="D380" s="1">
        <v>181.44</v>
      </c>
      <c r="E380" s="1">
        <f t="shared" si="44"/>
        <v>3.2811802498082252E-3</v>
      </c>
      <c r="F380" s="1">
        <f t="shared" si="45"/>
        <v>1.3667857476024801E-2</v>
      </c>
      <c r="G380" s="1">
        <f t="shared" si="46"/>
        <v>1.7569672461032259E-2</v>
      </c>
      <c r="P380" s="39">
        <f t="shared" si="47"/>
        <v>756.86498725722868</v>
      </c>
      <c r="Q380" s="26">
        <f t="shared" si="48"/>
        <v>10.207204070013404</v>
      </c>
      <c r="R380" s="26">
        <f t="shared" si="49"/>
        <v>-10.207204070013404</v>
      </c>
    </row>
    <row r="381" spans="1:18" x14ac:dyDescent="0.3">
      <c r="A381" s="2">
        <v>43574</v>
      </c>
      <c r="B381" s="1">
        <v>50.965000000000003</v>
      </c>
      <c r="C381" s="1">
        <v>1861.69</v>
      </c>
      <c r="D381" s="1">
        <v>178.28</v>
      </c>
      <c r="E381" s="1">
        <f t="shared" si="44"/>
        <v>0</v>
      </c>
      <c r="F381" s="1">
        <f t="shared" si="45"/>
        <v>0</v>
      </c>
      <c r="G381" s="1">
        <f t="shared" si="46"/>
        <v>0</v>
      </c>
      <c r="P381" s="39">
        <f t="shared" si="47"/>
        <v>746.65778318721527</v>
      </c>
      <c r="Q381" s="26">
        <f t="shared" si="48"/>
        <v>0</v>
      </c>
      <c r="R381" s="26">
        <f t="shared" si="49"/>
        <v>0</v>
      </c>
    </row>
    <row r="382" spans="1:18" x14ac:dyDescent="0.3">
      <c r="A382" s="2">
        <v>43573</v>
      </c>
      <c r="B382" s="1">
        <v>50.965000000000003</v>
      </c>
      <c r="C382" s="1">
        <v>1861.69</v>
      </c>
      <c r="D382" s="1">
        <v>178.28</v>
      </c>
      <c r="E382" s="1">
        <f t="shared" si="44"/>
        <v>3.5873155746030099E-3</v>
      </c>
      <c r="F382" s="1">
        <f t="shared" si="45"/>
        <v>-1.6798563460449518E-3</v>
      </c>
      <c r="G382" s="1">
        <f t="shared" si="46"/>
        <v>-2.8006515813515198E-3</v>
      </c>
      <c r="P382" s="39">
        <f t="shared" si="47"/>
        <v>746.65778318721527</v>
      </c>
      <c r="Q382" s="26">
        <f t="shared" si="48"/>
        <v>-1.1876170615151977</v>
      </c>
      <c r="R382" s="26">
        <f t="shared" si="49"/>
        <v>1.1876170615151977</v>
      </c>
    </row>
    <row r="383" spans="1:18" x14ac:dyDescent="0.3">
      <c r="A383" s="2">
        <v>43572</v>
      </c>
      <c r="B383" s="1">
        <v>50.782499999999999</v>
      </c>
      <c r="C383" s="1">
        <v>1864.82</v>
      </c>
      <c r="D383" s="1">
        <v>178.78</v>
      </c>
      <c r="E383" s="1">
        <f t="shared" si="44"/>
        <v>1.928585049533919E-2</v>
      </c>
      <c r="F383" s="1">
        <f t="shared" si="45"/>
        <v>9.5497155755611704E-4</v>
      </c>
      <c r="G383" s="1">
        <f t="shared" si="46"/>
        <v>-5.0328534544793698E-4</v>
      </c>
      <c r="P383" s="39">
        <f t="shared" si="47"/>
        <v>747.84540024873047</v>
      </c>
      <c r="Q383" s="26">
        <f t="shared" si="48"/>
        <v>1.0391504243445979</v>
      </c>
      <c r="R383" s="26">
        <f t="shared" si="49"/>
        <v>-1.0391504243445979</v>
      </c>
    </row>
    <row r="384" spans="1:18" x14ac:dyDescent="0.3">
      <c r="A384" s="2">
        <v>43571</v>
      </c>
      <c r="B384" s="1">
        <v>49.8125</v>
      </c>
      <c r="C384" s="1">
        <v>1863.04</v>
      </c>
      <c r="D384" s="1">
        <v>178.87</v>
      </c>
      <c r="E384" s="1">
        <f t="shared" si="44"/>
        <v>1.0038144959242428E-4</v>
      </c>
      <c r="F384" s="1">
        <f t="shared" si="45"/>
        <v>9.8007478296552649E-3</v>
      </c>
      <c r="G384" s="1">
        <f t="shared" si="46"/>
        <v>-4.3512285543732777E-3</v>
      </c>
      <c r="P384" s="39">
        <f t="shared" si="47"/>
        <v>746.80624982438587</v>
      </c>
      <c r="Q384" s="26">
        <f t="shared" si="48"/>
        <v>6.5372099007137194</v>
      </c>
      <c r="R384" s="26">
        <f t="shared" si="49"/>
        <v>-6.5372099007137194</v>
      </c>
    </row>
    <row r="385" spans="1:18" x14ac:dyDescent="0.3">
      <c r="A385" s="2">
        <v>43570</v>
      </c>
      <c r="B385" s="1">
        <v>49.807499999999997</v>
      </c>
      <c r="C385" s="1">
        <v>1844.87</v>
      </c>
      <c r="D385" s="1">
        <v>179.65</v>
      </c>
      <c r="E385" s="1">
        <f t="shared" si="44"/>
        <v>1.8085912993220619E-3</v>
      </c>
      <c r="F385" s="1">
        <f t="shared" si="45"/>
        <v>9.8158053180396124E-4</v>
      </c>
      <c r="G385" s="1">
        <f t="shared" si="46"/>
        <v>3.0662044928616125E-3</v>
      </c>
      <c r="P385" s="39">
        <f t="shared" si="47"/>
        <v>740.26903992367215</v>
      </c>
      <c r="Q385" s="26">
        <f t="shared" si="48"/>
        <v>0.8243148853597404</v>
      </c>
      <c r="R385" s="26">
        <f t="shared" si="49"/>
        <v>-0.8243148853597404</v>
      </c>
    </row>
    <row r="386" spans="1:18" x14ac:dyDescent="0.3">
      <c r="A386" s="2">
        <v>43567</v>
      </c>
      <c r="B386" s="1">
        <v>49.717500000000001</v>
      </c>
      <c r="C386" s="1">
        <v>1843.06</v>
      </c>
      <c r="D386" s="1">
        <v>179.1</v>
      </c>
      <c r="E386" s="1">
        <f t="shared" si="44"/>
        <v>-4.0219195152770405E-4</v>
      </c>
      <c r="F386" s="1">
        <f t="shared" si="45"/>
        <v>-5.4785159474275247E-4</v>
      </c>
      <c r="G386" s="1">
        <f t="shared" si="46"/>
        <v>8.9173637099537982E-3</v>
      </c>
      <c r="P386" s="39">
        <f t="shared" si="47"/>
        <v>739.44472503831241</v>
      </c>
      <c r="Q386" s="26">
        <f t="shared" si="48"/>
        <v>-3.6373284015326135E-2</v>
      </c>
      <c r="R386" s="26">
        <f t="shared" si="49"/>
        <v>3.6373284015326135E-2</v>
      </c>
    </row>
    <row r="387" spans="1:18" x14ac:dyDescent="0.3">
      <c r="A387" s="2">
        <v>43566</v>
      </c>
      <c r="B387" s="1">
        <v>49.737499999999997</v>
      </c>
      <c r="C387" s="1">
        <v>1844.07</v>
      </c>
      <c r="D387" s="1">
        <v>177.51</v>
      </c>
      <c r="E387" s="1">
        <f t="shared" si="44"/>
        <v>-8.3590345824015016E-3</v>
      </c>
      <c r="F387" s="1">
        <f t="shared" si="45"/>
        <v>-1.7662679999562567E-3</v>
      </c>
      <c r="G387" s="1">
        <f t="shared" si="46"/>
        <v>-1.7448573362805193E-3</v>
      </c>
      <c r="P387" s="39">
        <f t="shared" si="47"/>
        <v>739.48109832232774</v>
      </c>
      <c r="Q387" s="26">
        <f t="shared" si="48"/>
        <v>-1.4429989286379623</v>
      </c>
      <c r="R387" s="26">
        <f t="shared" si="49"/>
        <v>1.4429989286379623</v>
      </c>
    </row>
    <row r="388" spans="1:18" x14ac:dyDescent="0.3">
      <c r="A388" s="2">
        <v>43565</v>
      </c>
      <c r="B388" s="1">
        <v>50.155000000000001</v>
      </c>
      <c r="C388" s="1">
        <v>1847.33</v>
      </c>
      <c r="D388" s="1">
        <v>177.82</v>
      </c>
      <c r="E388" s="1">
        <f t="shared" si="44"/>
        <v>5.5983351254210549E-3</v>
      </c>
      <c r="F388" s="1">
        <f t="shared" si="45"/>
        <v>6.2392109369372502E-3</v>
      </c>
      <c r="G388" s="1">
        <f t="shared" si="46"/>
        <v>1.3505910888121219E-3</v>
      </c>
      <c r="P388" s="39">
        <f t="shared" si="47"/>
        <v>740.9240972509657</v>
      </c>
      <c r="Q388" s="26">
        <f t="shared" si="48"/>
        <v>4.4074783139900546</v>
      </c>
      <c r="R388" s="26">
        <f t="shared" si="49"/>
        <v>-4.4074783139900546</v>
      </c>
    </row>
    <row r="389" spans="1:18" x14ac:dyDescent="0.3">
      <c r="A389" s="2">
        <v>43564</v>
      </c>
      <c r="B389" s="1">
        <v>49.875</v>
      </c>
      <c r="C389" s="1">
        <v>1835.84</v>
      </c>
      <c r="D389" s="1">
        <v>177.58</v>
      </c>
      <c r="E389" s="1">
        <f t="shared" si="44"/>
        <v>-3.0030052597695457E-3</v>
      </c>
      <c r="F389" s="1">
        <f t="shared" si="45"/>
        <v>-7.6078181196402011E-3</v>
      </c>
      <c r="G389" s="1">
        <f t="shared" si="46"/>
        <v>1.5035317702006347E-2</v>
      </c>
      <c r="P389" s="39">
        <f t="shared" si="47"/>
        <v>736.51661893697565</v>
      </c>
      <c r="Q389" s="26">
        <f t="shared" si="48"/>
        <v>-4.6608116078817829</v>
      </c>
      <c r="R389" s="26">
        <f t="shared" si="49"/>
        <v>4.6608116078817829</v>
      </c>
    </row>
    <row r="390" spans="1:18" x14ac:dyDescent="0.3">
      <c r="A390" s="2">
        <v>43563</v>
      </c>
      <c r="B390" s="1">
        <v>50.024999999999999</v>
      </c>
      <c r="C390" s="1">
        <v>1849.86</v>
      </c>
      <c r="D390" s="1">
        <v>174.93</v>
      </c>
      <c r="E390" s="1">
        <f t="shared" ref="E390:E453" si="50">LN(B390/B391)</f>
        <v>1.5613512851699297E-2</v>
      </c>
      <c r="F390" s="1">
        <f t="shared" ref="F390:F453" si="51">LN(C390/C391)</f>
        <v>6.8237435052671564E-3</v>
      </c>
      <c r="G390" s="1">
        <f t="shared" ref="G390:G453" si="52">LN(D390/D391)</f>
        <v>-4.5059252054045033E-3</v>
      </c>
      <c r="P390" s="39">
        <f t="shared" ref="P390:P453" si="53">B390*$J$13+C390*$J$14+D390*$J$15</f>
        <v>741.17743054485743</v>
      </c>
      <c r="Q390" s="26">
        <f t="shared" ref="Q390:Q453" si="54">P390-P391</f>
        <v>4.7915292158277225</v>
      </c>
      <c r="R390" s="26">
        <f t="shared" ref="R390:R453" si="55">-Q390</f>
        <v>-4.7915292158277225</v>
      </c>
    </row>
    <row r="391" spans="1:18" x14ac:dyDescent="0.3">
      <c r="A391" s="2">
        <v>43560</v>
      </c>
      <c r="B391" s="1">
        <v>49.25</v>
      </c>
      <c r="C391" s="1">
        <v>1837.28</v>
      </c>
      <c r="D391" s="1">
        <v>175.72</v>
      </c>
      <c r="E391" s="1">
        <f t="shared" si="50"/>
        <v>6.6719542618741299E-3</v>
      </c>
      <c r="F391" s="1">
        <f t="shared" si="51"/>
        <v>1.0076285837328095E-2</v>
      </c>
      <c r="G391" s="1">
        <f t="shared" si="52"/>
        <v>-1.7058058380868815E-3</v>
      </c>
      <c r="P391" s="39">
        <f t="shared" si="53"/>
        <v>736.38590132902971</v>
      </c>
      <c r="Q391" s="26">
        <f t="shared" si="54"/>
        <v>6.8670917688042437</v>
      </c>
      <c r="R391" s="26">
        <f t="shared" si="55"/>
        <v>-6.8670917688042437</v>
      </c>
    </row>
    <row r="392" spans="1:18" x14ac:dyDescent="0.3">
      <c r="A392" s="2">
        <v>43559</v>
      </c>
      <c r="B392" s="1">
        <v>48.922499999999999</v>
      </c>
      <c r="C392" s="1">
        <v>1818.86</v>
      </c>
      <c r="D392" s="1">
        <v>176.02</v>
      </c>
      <c r="E392" s="1">
        <f t="shared" si="50"/>
        <v>1.7389529750348404E-3</v>
      </c>
      <c r="F392" s="1">
        <f t="shared" si="51"/>
        <v>-1.0111113193682622E-3</v>
      </c>
      <c r="G392" s="1">
        <f t="shared" si="52"/>
        <v>1.4189504580322036E-2</v>
      </c>
      <c r="P392" s="39">
        <f t="shared" si="53"/>
        <v>729.51880956022546</v>
      </c>
      <c r="Q392" s="26">
        <f t="shared" si="54"/>
        <v>-0.10624069611321829</v>
      </c>
      <c r="R392" s="26">
        <f t="shared" si="55"/>
        <v>0.10624069611321829</v>
      </c>
    </row>
    <row r="393" spans="1:18" x14ac:dyDescent="0.3">
      <c r="A393" s="2">
        <v>43558</v>
      </c>
      <c r="B393" s="1">
        <v>48.837499999999999</v>
      </c>
      <c r="C393" s="1">
        <v>1820.7</v>
      </c>
      <c r="D393" s="1">
        <v>173.54</v>
      </c>
      <c r="E393" s="1">
        <f t="shared" si="50"/>
        <v>6.8315749679420199E-3</v>
      </c>
      <c r="F393" s="1">
        <f t="shared" si="51"/>
        <v>3.6977162539411175E-3</v>
      </c>
      <c r="G393" s="1">
        <f t="shared" si="52"/>
        <v>-3.7959440530587981E-3</v>
      </c>
      <c r="P393" s="39">
        <f t="shared" si="53"/>
        <v>729.62505025633868</v>
      </c>
      <c r="Q393" s="26">
        <f t="shared" si="54"/>
        <v>2.4742052279649442</v>
      </c>
      <c r="R393" s="26">
        <f t="shared" si="55"/>
        <v>-2.4742052279649442</v>
      </c>
    </row>
    <row r="394" spans="1:18" x14ac:dyDescent="0.3">
      <c r="A394" s="2">
        <v>43557</v>
      </c>
      <c r="B394" s="1">
        <v>48.505000000000003</v>
      </c>
      <c r="C394" s="1">
        <v>1813.98</v>
      </c>
      <c r="D394" s="1">
        <v>174.2</v>
      </c>
      <c r="E394" s="1">
        <f t="shared" si="50"/>
        <v>1.443206277523486E-2</v>
      </c>
      <c r="F394" s="1">
        <f t="shared" si="51"/>
        <v>-1.1576083823770969E-4</v>
      </c>
      <c r="G394" s="1">
        <f t="shared" si="52"/>
        <v>3.2082074866479911E-2</v>
      </c>
      <c r="P394" s="39">
        <f t="shared" si="53"/>
        <v>727.15084502837374</v>
      </c>
      <c r="Q394" s="26">
        <f t="shared" si="54"/>
        <v>1.402384124849732</v>
      </c>
      <c r="R394" s="26">
        <f t="shared" si="55"/>
        <v>-1.402384124849732</v>
      </c>
    </row>
    <row r="395" spans="1:18" x14ac:dyDescent="0.3">
      <c r="A395" s="2">
        <v>43556</v>
      </c>
      <c r="B395" s="1">
        <v>47.81</v>
      </c>
      <c r="C395" s="1">
        <v>1814.19</v>
      </c>
      <c r="D395" s="1">
        <v>168.7</v>
      </c>
      <c r="E395" s="1">
        <f t="shared" si="50"/>
        <v>6.7683041242681341E-3</v>
      </c>
      <c r="F395" s="1">
        <f t="shared" si="51"/>
        <v>1.8604463235752551E-2</v>
      </c>
      <c r="G395" s="1">
        <f t="shared" si="52"/>
        <v>1.1986189596925954E-2</v>
      </c>
      <c r="P395" s="39">
        <f t="shared" si="53"/>
        <v>725.74846090352401</v>
      </c>
      <c r="Q395" s="26">
        <f t="shared" si="54"/>
        <v>12.907545169462196</v>
      </c>
      <c r="R395" s="26">
        <f t="shared" si="55"/>
        <v>-12.907545169462196</v>
      </c>
    </row>
    <row r="396" spans="1:18" x14ac:dyDescent="0.3">
      <c r="A396" s="2">
        <v>43553</v>
      </c>
      <c r="B396" s="1">
        <v>47.487499999999997</v>
      </c>
      <c r="C396" s="1">
        <v>1780.75</v>
      </c>
      <c r="D396" s="1">
        <v>166.69</v>
      </c>
      <c r="E396" s="1">
        <f t="shared" si="50"/>
        <v>6.4964445342148396E-3</v>
      </c>
      <c r="F396" s="1">
        <f t="shared" si="51"/>
        <v>4.1247382046376733E-3</v>
      </c>
      <c r="G396" s="1">
        <f t="shared" si="52"/>
        <v>6.8625359617413197E-3</v>
      </c>
      <c r="P396" s="39">
        <f t="shared" si="53"/>
        <v>712.84091573406181</v>
      </c>
      <c r="Q396" s="26">
        <f t="shared" si="54"/>
        <v>3.079000284687595</v>
      </c>
      <c r="R396" s="26">
        <f t="shared" si="55"/>
        <v>-3.079000284687595</v>
      </c>
    </row>
    <row r="397" spans="1:18" x14ac:dyDescent="0.3">
      <c r="A397" s="2">
        <v>43552</v>
      </c>
      <c r="B397" s="1">
        <v>47.18</v>
      </c>
      <c r="C397" s="1">
        <v>1773.42</v>
      </c>
      <c r="D397" s="1">
        <v>165.55</v>
      </c>
      <c r="E397" s="1">
        <f t="shared" si="50"/>
        <v>1.3255920708832372E-3</v>
      </c>
      <c r="F397" s="1">
        <f t="shared" si="51"/>
        <v>4.3626733450728011E-3</v>
      </c>
      <c r="G397" s="1">
        <f t="shared" si="52"/>
        <v>-1.9310850246960049E-3</v>
      </c>
      <c r="P397" s="39">
        <f t="shared" si="53"/>
        <v>709.76191544937421</v>
      </c>
      <c r="Q397" s="26">
        <f t="shared" si="54"/>
        <v>2.8049906985030475</v>
      </c>
      <c r="R397" s="26">
        <f t="shared" si="55"/>
        <v>-2.8049906985030475</v>
      </c>
    </row>
    <row r="398" spans="1:18" x14ac:dyDescent="0.3">
      <c r="A398" s="2">
        <v>43551</v>
      </c>
      <c r="B398" s="1">
        <v>47.1175</v>
      </c>
      <c r="C398" s="1">
        <v>1765.7</v>
      </c>
      <c r="D398" s="1">
        <v>165.87</v>
      </c>
      <c r="E398" s="1">
        <f t="shared" si="50"/>
        <v>8.953851857324736E-3</v>
      </c>
      <c r="F398" s="1">
        <f t="shared" si="51"/>
        <v>-1.0176283633362627E-2</v>
      </c>
      <c r="G398" s="1">
        <f t="shared" si="52"/>
        <v>-1.0853052114726055E-2</v>
      </c>
      <c r="P398" s="39">
        <f t="shared" si="53"/>
        <v>706.95692475087117</v>
      </c>
      <c r="Q398" s="26">
        <f t="shared" si="54"/>
        <v>-6.8818220982834646</v>
      </c>
      <c r="R398" s="26">
        <f t="shared" si="55"/>
        <v>6.8818220982834646</v>
      </c>
    </row>
    <row r="399" spans="1:18" x14ac:dyDescent="0.3">
      <c r="A399" s="2">
        <v>43550</v>
      </c>
      <c r="B399" s="1">
        <v>46.697499999999998</v>
      </c>
      <c r="C399" s="1">
        <v>1783.76</v>
      </c>
      <c r="D399" s="1">
        <v>167.68</v>
      </c>
      <c r="E399" s="1">
        <f t="shared" si="50"/>
        <v>-1.0385415421975358E-2</v>
      </c>
      <c r="F399" s="1">
        <f t="shared" si="51"/>
        <v>5.3400613686028489E-3</v>
      </c>
      <c r="G399" s="1">
        <f t="shared" si="52"/>
        <v>8.3241490328545137E-3</v>
      </c>
      <c r="P399" s="39">
        <f t="shared" si="53"/>
        <v>713.83874684915463</v>
      </c>
      <c r="Q399" s="26">
        <f t="shared" si="54"/>
        <v>3.6044586046421045</v>
      </c>
      <c r="R399" s="26">
        <f t="shared" si="55"/>
        <v>-3.6044586046421045</v>
      </c>
    </row>
    <row r="400" spans="1:18" x14ac:dyDescent="0.3">
      <c r="A400" s="2">
        <v>43549</v>
      </c>
      <c r="B400" s="1">
        <v>47.185000000000002</v>
      </c>
      <c r="C400" s="1">
        <v>1774.26</v>
      </c>
      <c r="D400" s="1">
        <v>166.29</v>
      </c>
      <c r="E400" s="1">
        <f t="shared" si="50"/>
        <v>-1.2164767299721994E-2</v>
      </c>
      <c r="F400" s="1">
        <f t="shared" si="51"/>
        <v>5.3630643121421471E-3</v>
      </c>
      <c r="G400" s="1">
        <f t="shared" si="52"/>
        <v>1.1795799596781105E-2</v>
      </c>
      <c r="P400" s="39">
        <f t="shared" si="53"/>
        <v>710.23428824451253</v>
      </c>
      <c r="Q400" s="26">
        <f t="shared" si="54"/>
        <v>3.684838990205094</v>
      </c>
      <c r="R400" s="26">
        <f t="shared" si="55"/>
        <v>-3.684838990205094</v>
      </c>
    </row>
    <row r="401" spans="1:18" x14ac:dyDescent="0.3">
      <c r="A401" s="2">
        <v>43546</v>
      </c>
      <c r="B401" s="1">
        <v>47.762500000000003</v>
      </c>
      <c r="C401" s="1">
        <v>1764.77</v>
      </c>
      <c r="D401" s="1">
        <v>164.34</v>
      </c>
      <c r="E401" s="1">
        <f t="shared" si="50"/>
        <v>-2.092581665626109E-2</v>
      </c>
      <c r="F401" s="1">
        <f t="shared" si="51"/>
        <v>-3.0409454721365754E-2</v>
      </c>
      <c r="G401" s="1">
        <f t="shared" si="52"/>
        <v>-1.0532147474482109E-2</v>
      </c>
      <c r="P401" s="39">
        <f t="shared" si="53"/>
        <v>706.54944925430743</v>
      </c>
      <c r="Q401" s="26">
        <f t="shared" si="54"/>
        <v>-20.900682462564987</v>
      </c>
      <c r="R401" s="26">
        <f t="shared" si="55"/>
        <v>20.900682462564987</v>
      </c>
    </row>
    <row r="402" spans="1:18" x14ac:dyDescent="0.3">
      <c r="A402" s="2">
        <v>43545</v>
      </c>
      <c r="B402" s="1">
        <v>48.772500000000001</v>
      </c>
      <c r="C402" s="1">
        <v>1819.26</v>
      </c>
      <c r="D402" s="1">
        <v>166.08</v>
      </c>
      <c r="E402" s="1">
        <f t="shared" si="50"/>
        <v>3.6168325838908111E-2</v>
      </c>
      <c r="F402" s="1">
        <f t="shared" si="51"/>
        <v>1.2160978068277997E-2</v>
      </c>
      <c r="G402" s="1">
        <f t="shared" si="52"/>
        <v>3.8610086574595933E-3</v>
      </c>
      <c r="P402" s="39">
        <f t="shared" si="53"/>
        <v>727.45013171687242</v>
      </c>
      <c r="Q402" s="26">
        <f t="shared" si="54"/>
        <v>8.9701393805341922</v>
      </c>
      <c r="R402" s="26">
        <f t="shared" si="55"/>
        <v>-8.9701393805341922</v>
      </c>
    </row>
    <row r="403" spans="1:18" x14ac:dyDescent="0.3">
      <c r="A403" s="2">
        <v>43544</v>
      </c>
      <c r="B403" s="1">
        <v>47.04</v>
      </c>
      <c r="C403" s="1">
        <v>1797.27</v>
      </c>
      <c r="D403" s="1">
        <v>165.44</v>
      </c>
      <c r="E403" s="1">
        <f t="shared" si="50"/>
        <v>8.7005806537908056E-3</v>
      </c>
      <c r="F403" s="1">
        <f t="shared" si="51"/>
        <v>1.9904453575627298E-2</v>
      </c>
      <c r="G403" s="1">
        <f t="shared" si="52"/>
        <v>2.3670106031325282E-2</v>
      </c>
      <c r="P403" s="39">
        <f t="shared" si="53"/>
        <v>718.47999233633823</v>
      </c>
      <c r="Q403" s="26">
        <f t="shared" si="54"/>
        <v>14.076406047513501</v>
      </c>
      <c r="R403" s="26">
        <f t="shared" si="55"/>
        <v>-14.076406047513501</v>
      </c>
    </row>
    <row r="404" spans="1:18" x14ac:dyDescent="0.3">
      <c r="A404" s="2">
        <v>43543</v>
      </c>
      <c r="B404" s="1">
        <v>46.6325</v>
      </c>
      <c r="C404" s="1">
        <v>1761.85</v>
      </c>
      <c r="D404" s="1">
        <v>161.57</v>
      </c>
      <c r="E404" s="1">
        <f t="shared" si="50"/>
        <v>-7.9562560939336474E-3</v>
      </c>
      <c r="F404" s="1">
        <f t="shared" si="51"/>
        <v>1.124441071152785E-2</v>
      </c>
      <c r="G404" s="1">
        <f t="shared" si="52"/>
        <v>6.8314760774707654E-3</v>
      </c>
      <c r="P404" s="39">
        <f t="shared" si="53"/>
        <v>704.40358628882473</v>
      </c>
      <c r="Q404" s="26">
        <f t="shared" si="54"/>
        <v>7.3527464619227203</v>
      </c>
      <c r="R404" s="26">
        <f t="shared" si="55"/>
        <v>-7.3527464619227203</v>
      </c>
    </row>
    <row r="405" spans="1:18" x14ac:dyDescent="0.3">
      <c r="A405" s="2">
        <v>43542</v>
      </c>
      <c r="B405" s="1">
        <v>47.005000000000003</v>
      </c>
      <c r="C405" s="1">
        <v>1742.15</v>
      </c>
      <c r="D405" s="1">
        <v>160.47</v>
      </c>
      <c r="E405" s="1">
        <f t="shared" si="50"/>
        <v>1.0156713173957166E-2</v>
      </c>
      <c r="F405" s="1">
        <f t="shared" si="51"/>
        <v>1.7247446657602521E-2</v>
      </c>
      <c r="G405" s="1">
        <f t="shared" si="52"/>
        <v>-3.3760289959033386E-2</v>
      </c>
      <c r="P405" s="39">
        <f t="shared" si="53"/>
        <v>697.05083982690201</v>
      </c>
      <c r="Q405" s="26">
        <f t="shared" si="54"/>
        <v>9.9943158551420765</v>
      </c>
      <c r="R405" s="26">
        <f t="shared" si="55"/>
        <v>-9.9943158551420765</v>
      </c>
    </row>
    <row r="406" spans="1:18" x14ac:dyDescent="0.3">
      <c r="A406" s="2">
        <v>43539</v>
      </c>
      <c r="B406" s="1">
        <v>46.53</v>
      </c>
      <c r="C406" s="1">
        <v>1712.36</v>
      </c>
      <c r="D406" s="1">
        <v>165.98</v>
      </c>
      <c r="E406" s="1">
        <f t="shared" si="50"/>
        <v>1.2924338344804514E-2</v>
      </c>
      <c r="F406" s="1">
        <f t="shared" si="51"/>
        <v>1.5383198562259292E-2</v>
      </c>
      <c r="G406" s="1">
        <f t="shared" si="52"/>
        <v>-2.4930638213043341E-2</v>
      </c>
      <c r="P406" s="39">
        <f t="shared" si="53"/>
        <v>687.05652397175993</v>
      </c>
      <c r="Q406" s="26">
        <f t="shared" si="54"/>
        <v>8.9843915376707173</v>
      </c>
      <c r="R406" s="26">
        <f t="shared" si="55"/>
        <v>-8.9843915376707173</v>
      </c>
    </row>
    <row r="407" spans="1:18" x14ac:dyDescent="0.3">
      <c r="A407" s="2">
        <v>43538</v>
      </c>
      <c r="B407" s="1">
        <v>45.932499999999997</v>
      </c>
      <c r="C407" s="1">
        <v>1686.22</v>
      </c>
      <c r="D407" s="1">
        <v>170.17</v>
      </c>
      <c r="E407" s="1">
        <f t="shared" si="50"/>
        <v>1.1055278970677722E-2</v>
      </c>
      <c r="F407" s="1">
        <f t="shared" si="51"/>
        <v>-2.7183666277704821E-3</v>
      </c>
      <c r="G407" s="1">
        <f t="shared" si="52"/>
        <v>-1.8630101614451094E-2</v>
      </c>
      <c r="P407" s="39">
        <f t="shared" si="53"/>
        <v>678.07213243408921</v>
      </c>
      <c r="Q407" s="26">
        <f t="shared" si="54"/>
        <v>-2.177817170702383</v>
      </c>
      <c r="R407" s="26">
        <f t="shared" si="55"/>
        <v>2.177817170702383</v>
      </c>
    </row>
    <row r="408" spans="1:18" x14ac:dyDescent="0.3">
      <c r="A408" s="2">
        <v>43537</v>
      </c>
      <c r="B408" s="1">
        <v>45.427500000000002</v>
      </c>
      <c r="C408" s="1">
        <v>1690.81</v>
      </c>
      <c r="D408" s="1">
        <v>173.37</v>
      </c>
      <c r="E408" s="1">
        <f t="shared" si="50"/>
        <v>4.4123396277958105E-3</v>
      </c>
      <c r="F408" s="1">
        <f t="shared" si="51"/>
        <v>1.0529510971593539E-2</v>
      </c>
      <c r="G408" s="1">
        <f t="shared" si="52"/>
        <v>8.3987866635414164E-3</v>
      </c>
      <c r="P408" s="39">
        <f t="shared" si="53"/>
        <v>680.2499496047916</v>
      </c>
      <c r="Q408" s="26">
        <f t="shared" si="54"/>
        <v>6.9315439831581216</v>
      </c>
      <c r="R408" s="26">
        <f t="shared" si="55"/>
        <v>-6.9315439831581216</v>
      </c>
    </row>
    <row r="409" spans="1:18" x14ac:dyDescent="0.3">
      <c r="A409" s="2">
        <v>43536</v>
      </c>
      <c r="B409" s="1">
        <v>45.227499999999999</v>
      </c>
      <c r="C409" s="1">
        <v>1673.1</v>
      </c>
      <c r="D409" s="1">
        <v>171.92</v>
      </c>
      <c r="E409" s="1">
        <f t="shared" si="50"/>
        <v>1.1172679518496185E-2</v>
      </c>
      <c r="F409" s="1">
        <f t="shared" si="51"/>
        <v>1.4833780667947011E-3</v>
      </c>
      <c r="G409" s="1">
        <f t="shared" si="52"/>
        <v>-8.7211843081128743E-4</v>
      </c>
      <c r="P409" s="39">
        <f t="shared" si="53"/>
        <v>673.31840562163347</v>
      </c>
      <c r="Q409" s="26">
        <f t="shared" si="54"/>
        <v>1.0907323421573665</v>
      </c>
      <c r="R409" s="26">
        <f t="shared" si="55"/>
        <v>-1.0907323421573665</v>
      </c>
    </row>
    <row r="410" spans="1:18" x14ac:dyDescent="0.3">
      <c r="A410" s="2">
        <v>43535</v>
      </c>
      <c r="B410" s="1">
        <v>44.725000000000001</v>
      </c>
      <c r="C410" s="1">
        <v>1670.62</v>
      </c>
      <c r="D410" s="1">
        <v>172.07</v>
      </c>
      <c r="E410" s="1">
        <f t="shared" si="50"/>
        <v>3.4055762597975596E-2</v>
      </c>
      <c r="F410" s="1">
        <f t="shared" si="51"/>
        <v>3.0274960502404014E-2</v>
      </c>
      <c r="G410" s="1">
        <f t="shared" si="52"/>
        <v>1.445864740726357E-2</v>
      </c>
      <c r="P410" s="39">
        <f t="shared" si="53"/>
        <v>672.22767327947611</v>
      </c>
      <c r="Q410" s="26">
        <f t="shared" si="54"/>
        <v>19.537775536892809</v>
      </c>
      <c r="R410" s="26">
        <f t="shared" si="55"/>
        <v>-19.537775536892809</v>
      </c>
    </row>
    <row r="411" spans="1:18" x14ac:dyDescent="0.3">
      <c r="A411" s="2">
        <v>43532</v>
      </c>
      <c r="B411" s="1">
        <v>43.227499999999999</v>
      </c>
      <c r="C411" s="1">
        <v>1620.8</v>
      </c>
      <c r="D411" s="1">
        <v>169.6</v>
      </c>
      <c r="E411" s="1">
        <f t="shared" si="50"/>
        <v>2.3739914452835121E-3</v>
      </c>
      <c r="F411" s="1">
        <f t="shared" si="51"/>
        <v>-3.1724058330335589E-3</v>
      </c>
      <c r="G411" s="1">
        <f t="shared" si="52"/>
        <v>2.7750733718520017E-3</v>
      </c>
      <c r="P411" s="39">
        <f t="shared" si="53"/>
        <v>652.6898977425833</v>
      </c>
      <c r="Q411" s="26">
        <f t="shared" si="54"/>
        <v>-1.7558700104663103</v>
      </c>
      <c r="R411" s="26">
        <f t="shared" si="55"/>
        <v>1.7558700104663103</v>
      </c>
    </row>
    <row r="412" spans="1:18" x14ac:dyDescent="0.3">
      <c r="A412" s="2">
        <v>43531</v>
      </c>
      <c r="B412" s="1">
        <v>43.125</v>
      </c>
      <c r="C412" s="1">
        <v>1625.95</v>
      </c>
      <c r="D412" s="1">
        <v>169.13</v>
      </c>
      <c r="E412" s="1">
        <f t="shared" si="50"/>
        <v>-1.1642111783994503E-2</v>
      </c>
      <c r="F412" s="1">
        <f t="shared" si="51"/>
        <v>-2.6102425826913238E-2</v>
      </c>
      <c r="G412" s="1">
        <f t="shared" si="52"/>
        <v>-1.9787555819702162E-2</v>
      </c>
      <c r="P412" s="39">
        <f t="shared" si="53"/>
        <v>654.44576775304961</v>
      </c>
      <c r="Q412" s="26">
        <f t="shared" si="54"/>
        <v>-16.807401132807399</v>
      </c>
      <c r="R412" s="26">
        <f t="shared" si="55"/>
        <v>16.807401132807399</v>
      </c>
    </row>
    <row r="413" spans="1:18" x14ac:dyDescent="0.3">
      <c r="A413" s="2">
        <v>43530</v>
      </c>
      <c r="B413" s="1">
        <v>43.63</v>
      </c>
      <c r="C413" s="1">
        <v>1668.95</v>
      </c>
      <c r="D413" s="1">
        <v>172.51</v>
      </c>
      <c r="E413" s="1">
        <f t="shared" si="50"/>
        <v>-5.7706202128455647E-3</v>
      </c>
      <c r="F413" s="1">
        <f t="shared" si="51"/>
        <v>-1.3970679840275509E-2</v>
      </c>
      <c r="G413" s="1">
        <f t="shared" si="52"/>
        <v>7.272336207606876E-3</v>
      </c>
      <c r="P413" s="39">
        <f t="shared" si="53"/>
        <v>671.25316888585701</v>
      </c>
      <c r="Q413" s="26">
        <f t="shared" si="54"/>
        <v>-8.4971265094389992</v>
      </c>
      <c r="R413" s="26">
        <f t="shared" si="55"/>
        <v>8.4971265094389992</v>
      </c>
    </row>
    <row r="414" spans="1:18" x14ac:dyDescent="0.3">
      <c r="A414" s="2">
        <v>43529</v>
      </c>
      <c r="B414" s="1">
        <v>43.8825</v>
      </c>
      <c r="C414" s="1">
        <v>1692.43</v>
      </c>
      <c r="D414" s="1">
        <v>171.26</v>
      </c>
      <c r="E414" s="1">
        <f t="shared" si="50"/>
        <v>-1.8213904517370076E-3</v>
      </c>
      <c r="F414" s="1">
        <f t="shared" si="51"/>
        <v>-2.2074021829867657E-3</v>
      </c>
      <c r="G414" s="1">
        <f t="shared" si="52"/>
        <v>2.2975939072499146E-2</v>
      </c>
      <c r="P414" s="39">
        <f t="shared" si="53"/>
        <v>679.75029539529601</v>
      </c>
      <c r="Q414" s="26">
        <f t="shared" si="54"/>
        <v>-0.57008109318337574</v>
      </c>
      <c r="R414" s="26">
        <f t="shared" si="55"/>
        <v>0.57008109318337574</v>
      </c>
    </row>
    <row r="415" spans="1:18" x14ac:dyDescent="0.3">
      <c r="A415" s="2">
        <v>43528</v>
      </c>
      <c r="B415" s="1">
        <v>43.962499999999999</v>
      </c>
      <c r="C415" s="1">
        <v>1696.17</v>
      </c>
      <c r="D415" s="1">
        <v>167.37</v>
      </c>
      <c r="E415" s="1">
        <f t="shared" si="50"/>
        <v>5.0168282634629651E-3</v>
      </c>
      <c r="F415" s="1">
        <f t="shared" si="51"/>
        <v>1.4513749826393956E-2</v>
      </c>
      <c r="G415" s="1">
        <f t="shared" si="52"/>
        <v>3.0883692187300128E-2</v>
      </c>
      <c r="P415" s="39">
        <f t="shared" si="53"/>
        <v>680.32037648847938</v>
      </c>
      <c r="Q415" s="26">
        <f t="shared" si="54"/>
        <v>10.21182618468049</v>
      </c>
      <c r="R415" s="26">
        <f t="shared" si="55"/>
        <v>-10.21182618468049</v>
      </c>
    </row>
    <row r="416" spans="1:18" x14ac:dyDescent="0.3">
      <c r="A416" s="2">
        <v>43525</v>
      </c>
      <c r="B416" s="1">
        <v>43.7425</v>
      </c>
      <c r="C416" s="1">
        <v>1671.73</v>
      </c>
      <c r="D416" s="1">
        <v>162.28</v>
      </c>
      <c r="E416" s="1">
        <f t="shared" si="50"/>
        <v>1.0456259808097369E-2</v>
      </c>
      <c r="F416" s="1">
        <f t="shared" si="51"/>
        <v>1.9266440442492722E-2</v>
      </c>
      <c r="G416" s="1">
        <f t="shared" si="52"/>
        <v>5.1277411339623151E-3</v>
      </c>
      <c r="P416" s="39">
        <f t="shared" si="53"/>
        <v>670.10855030379889</v>
      </c>
      <c r="Q416" s="26">
        <f t="shared" si="54"/>
        <v>12.138509304165268</v>
      </c>
      <c r="R416" s="26">
        <f t="shared" si="55"/>
        <v>-12.138509304165268</v>
      </c>
    </row>
    <row r="417" spans="1:18" x14ac:dyDescent="0.3">
      <c r="A417" s="2">
        <v>43524</v>
      </c>
      <c r="B417" s="1">
        <v>43.287500000000001</v>
      </c>
      <c r="C417" s="1">
        <v>1639.83</v>
      </c>
      <c r="D417" s="1">
        <v>161.44999999999999</v>
      </c>
      <c r="E417" s="1">
        <f t="shared" si="50"/>
        <v>-9.8845698771371261E-3</v>
      </c>
      <c r="F417" s="1">
        <f t="shared" si="51"/>
        <v>-7.6807728438610466E-4</v>
      </c>
      <c r="G417" s="1">
        <f t="shared" si="52"/>
        <v>-8.3883795391390004E-3</v>
      </c>
      <c r="P417" s="39">
        <f t="shared" si="53"/>
        <v>657.97004099963362</v>
      </c>
      <c r="Q417" s="26">
        <f t="shared" si="54"/>
        <v>-0.93778679866738912</v>
      </c>
      <c r="R417" s="26">
        <f t="shared" si="55"/>
        <v>0.93778679866738912</v>
      </c>
    </row>
    <row r="418" spans="1:18" x14ac:dyDescent="0.3">
      <c r="A418" s="2">
        <v>43523</v>
      </c>
      <c r="B418" s="1">
        <v>43.717500000000001</v>
      </c>
      <c r="C418" s="1">
        <v>1641.09</v>
      </c>
      <c r="D418" s="1">
        <v>162.81</v>
      </c>
      <c r="E418" s="1">
        <f t="shared" si="50"/>
        <v>3.0927859704441541E-3</v>
      </c>
      <c r="F418" s="1">
        <f t="shared" si="51"/>
        <v>2.8619481378838545E-3</v>
      </c>
      <c r="G418" s="1">
        <f t="shared" si="52"/>
        <v>-8.0749200004210393E-3</v>
      </c>
      <c r="P418" s="39">
        <f t="shared" si="53"/>
        <v>658.90782779830101</v>
      </c>
      <c r="Q418" s="26">
        <f t="shared" si="54"/>
        <v>1.5003395067564043</v>
      </c>
      <c r="R418" s="26">
        <f t="shared" si="55"/>
        <v>-1.5003395067564043</v>
      </c>
    </row>
    <row r="419" spans="1:18" x14ac:dyDescent="0.3">
      <c r="A419" s="2">
        <v>43522</v>
      </c>
      <c r="B419" s="1">
        <v>43.582500000000003</v>
      </c>
      <c r="C419" s="1">
        <v>1636.4</v>
      </c>
      <c r="D419" s="1">
        <v>164.13</v>
      </c>
      <c r="E419" s="1">
        <f t="shared" si="50"/>
        <v>5.7378932031007166E-4</v>
      </c>
      <c r="F419" s="1">
        <f t="shared" si="51"/>
        <v>2.0798930847785008E-3</v>
      </c>
      <c r="G419" s="1">
        <f t="shared" si="52"/>
        <v>-2.9809908006537674E-3</v>
      </c>
      <c r="P419" s="39">
        <f t="shared" si="53"/>
        <v>657.40748829154461</v>
      </c>
      <c r="Q419" s="26">
        <f t="shared" si="54"/>
        <v>1.1586649638519475</v>
      </c>
      <c r="R419" s="26">
        <f t="shared" si="55"/>
        <v>-1.1586649638519475</v>
      </c>
    </row>
    <row r="420" spans="1:18" x14ac:dyDescent="0.3">
      <c r="A420" s="2">
        <v>43521</v>
      </c>
      <c r="B420" s="1">
        <v>43.557499999999997</v>
      </c>
      <c r="C420" s="1">
        <v>1633</v>
      </c>
      <c r="D420" s="1">
        <v>164.62</v>
      </c>
      <c r="E420" s="1">
        <f t="shared" si="50"/>
        <v>7.2580963789818705E-3</v>
      </c>
      <c r="F420" s="1">
        <f t="shared" si="51"/>
        <v>8.8220164027838889E-4</v>
      </c>
      <c r="G420" s="1">
        <f t="shared" si="52"/>
        <v>1.6722695291083483E-2</v>
      </c>
      <c r="P420" s="39">
        <f t="shared" si="53"/>
        <v>656.24882332769266</v>
      </c>
      <c r="Q420" s="26">
        <f t="shared" si="54"/>
        <v>1.2534501665647895</v>
      </c>
      <c r="R420" s="26">
        <f t="shared" si="55"/>
        <v>-1.2534501665647895</v>
      </c>
    </row>
    <row r="421" spans="1:18" x14ac:dyDescent="0.3">
      <c r="A421" s="2">
        <v>43518</v>
      </c>
      <c r="B421" s="1">
        <v>43.2425</v>
      </c>
      <c r="C421" s="1">
        <v>1631.56</v>
      </c>
      <c r="D421" s="1">
        <v>161.88999999999999</v>
      </c>
      <c r="E421" s="1">
        <f t="shared" si="50"/>
        <v>1.1103796903196281E-2</v>
      </c>
      <c r="F421" s="1">
        <f t="shared" si="51"/>
        <v>7.4562018768648351E-3</v>
      </c>
      <c r="G421" s="1">
        <f t="shared" si="52"/>
        <v>1.1493308264380078E-2</v>
      </c>
      <c r="P421" s="39">
        <f t="shared" si="53"/>
        <v>654.99537316112787</v>
      </c>
      <c r="Q421" s="26">
        <f t="shared" si="54"/>
        <v>5.0706633483207497</v>
      </c>
      <c r="R421" s="26">
        <f t="shared" si="55"/>
        <v>-5.0706633483207497</v>
      </c>
    </row>
    <row r="422" spans="1:18" x14ac:dyDescent="0.3">
      <c r="A422" s="2">
        <v>43517</v>
      </c>
      <c r="B422" s="1">
        <v>42.765000000000001</v>
      </c>
      <c r="C422" s="1">
        <v>1619.44</v>
      </c>
      <c r="D422" s="1">
        <v>160.04</v>
      </c>
      <c r="E422" s="1">
        <f t="shared" si="50"/>
        <v>-5.6545080563122196E-3</v>
      </c>
      <c r="F422" s="1">
        <f t="shared" si="51"/>
        <v>-1.6411956027468778E-3</v>
      </c>
      <c r="G422" s="1">
        <f t="shared" si="52"/>
        <v>-1.5623380401082821E-2</v>
      </c>
      <c r="P422" s="39">
        <f t="shared" si="53"/>
        <v>649.92470981280712</v>
      </c>
      <c r="Q422" s="26">
        <f t="shared" si="54"/>
        <v>-1.6280451881887075</v>
      </c>
      <c r="R422" s="26">
        <f t="shared" si="55"/>
        <v>1.6280451881887075</v>
      </c>
    </row>
    <row r="423" spans="1:18" x14ac:dyDescent="0.3">
      <c r="A423" s="2">
        <v>43516</v>
      </c>
      <c r="B423" s="1">
        <v>43.0075</v>
      </c>
      <c r="C423" s="1">
        <v>1622.1</v>
      </c>
      <c r="D423" s="1">
        <v>162.56</v>
      </c>
      <c r="E423" s="1">
        <f t="shared" si="50"/>
        <v>6.4147642407710722E-3</v>
      </c>
      <c r="F423" s="1">
        <f t="shared" si="51"/>
        <v>-3.3726429645101544E-3</v>
      </c>
      <c r="G423" s="1">
        <f t="shared" si="52"/>
        <v>1.6623060623265559E-3</v>
      </c>
      <c r="P423" s="39">
        <f t="shared" si="53"/>
        <v>651.55275500099583</v>
      </c>
      <c r="Q423" s="26">
        <f t="shared" si="54"/>
        <v>-1.8495023659546632</v>
      </c>
      <c r="R423" s="26">
        <f t="shared" si="55"/>
        <v>1.8495023659546632</v>
      </c>
    </row>
    <row r="424" spans="1:18" x14ac:dyDescent="0.3">
      <c r="A424" s="2">
        <v>43515</v>
      </c>
      <c r="B424" s="1">
        <v>42.732500000000002</v>
      </c>
      <c r="C424" s="1">
        <v>1627.58</v>
      </c>
      <c r="D424" s="1">
        <v>162.29</v>
      </c>
      <c r="E424" s="1">
        <f t="shared" si="50"/>
        <v>2.9881375683668745E-3</v>
      </c>
      <c r="F424" s="1">
        <f t="shared" si="51"/>
        <v>1.2134173292475419E-2</v>
      </c>
      <c r="G424" s="1">
        <f t="shared" si="52"/>
        <v>-1.2931434420016034E-3</v>
      </c>
      <c r="P424" s="39">
        <f t="shared" si="53"/>
        <v>653.40225736695049</v>
      </c>
      <c r="Q424" s="26">
        <f t="shared" si="54"/>
        <v>7.2501850959723697</v>
      </c>
      <c r="R424" s="26">
        <f t="shared" si="55"/>
        <v>-7.2501850959723697</v>
      </c>
    </row>
    <row r="425" spans="1:18" x14ac:dyDescent="0.3">
      <c r="A425" s="2">
        <v>43514</v>
      </c>
      <c r="B425" s="1">
        <v>42.604999999999997</v>
      </c>
      <c r="C425" s="1">
        <v>1607.95</v>
      </c>
      <c r="D425" s="1">
        <v>162.5</v>
      </c>
      <c r="E425" s="1">
        <f t="shared" si="50"/>
        <v>0</v>
      </c>
      <c r="F425" s="1">
        <f t="shared" si="51"/>
        <v>0</v>
      </c>
      <c r="G425" s="1">
        <f t="shared" si="52"/>
        <v>0</v>
      </c>
      <c r="P425" s="39">
        <f t="shared" si="53"/>
        <v>646.15207227097812</v>
      </c>
      <c r="Q425" s="26">
        <f t="shared" si="54"/>
        <v>0</v>
      </c>
      <c r="R425" s="26">
        <f t="shared" si="55"/>
        <v>0</v>
      </c>
    </row>
    <row r="426" spans="1:18" x14ac:dyDescent="0.3">
      <c r="A426" s="2">
        <v>43511</v>
      </c>
      <c r="B426" s="1">
        <v>42.604999999999997</v>
      </c>
      <c r="C426" s="1">
        <v>1607.95</v>
      </c>
      <c r="D426" s="1">
        <v>162.5</v>
      </c>
      <c r="E426" s="1">
        <f t="shared" si="50"/>
        <v>-2.2273029546597293E-3</v>
      </c>
      <c r="F426" s="1">
        <f t="shared" si="51"/>
        <v>-9.1005394998690987E-3</v>
      </c>
      <c r="G426" s="1">
        <f t="shared" si="52"/>
        <v>-8.883501520864992E-3</v>
      </c>
      <c r="P426" s="39">
        <f t="shared" si="53"/>
        <v>646.15207227097812</v>
      </c>
      <c r="Q426" s="26">
        <f t="shared" si="54"/>
        <v>-5.7774426878776239</v>
      </c>
      <c r="R426" s="26">
        <f t="shared" si="55"/>
        <v>5.7774426878776239</v>
      </c>
    </row>
    <row r="427" spans="1:18" x14ac:dyDescent="0.3">
      <c r="A427" s="2">
        <v>43510</v>
      </c>
      <c r="B427" s="1">
        <v>42.7</v>
      </c>
      <c r="C427" s="1">
        <v>1622.65</v>
      </c>
      <c r="D427" s="1">
        <v>163.95</v>
      </c>
      <c r="E427" s="1">
        <f t="shared" si="50"/>
        <v>3.6365809330583436E-3</v>
      </c>
      <c r="F427" s="1">
        <f t="shared" si="51"/>
        <v>-1.0635626590271331E-2</v>
      </c>
      <c r="G427" s="1">
        <f t="shared" si="52"/>
        <v>-7.3166273613378457E-4</v>
      </c>
      <c r="P427" s="39">
        <f t="shared" si="53"/>
        <v>651.92951495885575</v>
      </c>
      <c r="Q427" s="26">
        <f t="shared" si="54"/>
        <v>-6.3634048839891193</v>
      </c>
      <c r="R427" s="26">
        <f t="shared" si="55"/>
        <v>6.3634048839891193</v>
      </c>
    </row>
    <row r="428" spans="1:18" x14ac:dyDescent="0.3">
      <c r="A428" s="2">
        <v>43509</v>
      </c>
      <c r="B428" s="1">
        <v>42.545000000000002</v>
      </c>
      <c r="C428" s="1">
        <v>1640</v>
      </c>
      <c r="D428" s="1">
        <v>164.07</v>
      </c>
      <c r="E428" s="1">
        <f t="shared" si="50"/>
        <v>-4.1633742374061139E-3</v>
      </c>
      <c r="F428" s="1">
        <f t="shared" si="51"/>
        <v>1.214151417759741E-3</v>
      </c>
      <c r="G428" s="1">
        <f t="shared" si="52"/>
        <v>-5.8947027362053024E-3</v>
      </c>
      <c r="P428" s="39">
        <f t="shared" si="53"/>
        <v>658.29291984284487</v>
      </c>
      <c r="Q428" s="26">
        <f t="shared" si="54"/>
        <v>0.45049683764045767</v>
      </c>
      <c r="R428" s="26">
        <f t="shared" si="55"/>
        <v>-0.45049683764045767</v>
      </c>
    </row>
    <row r="429" spans="1:18" x14ac:dyDescent="0.3">
      <c r="A429" s="2">
        <v>43508</v>
      </c>
      <c r="B429" s="1">
        <v>42.722499999999997</v>
      </c>
      <c r="C429" s="1">
        <v>1638.01</v>
      </c>
      <c r="D429" s="1">
        <v>165.04</v>
      </c>
      <c r="E429" s="1">
        <f t="shared" si="50"/>
        <v>8.5802124888025282E-3</v>
      </c>
      <c r="F429" s="1">
        <f t="shared" si="51"/>
        <v>2.9119341062697382E-2</v>
      </c>
      <c r="G429" s="1">
        <f t="shared" si="52"/>
        <v>-4.534058488377503E-3</v>
      </c>
      <c r="P429" s="39">
        <f t="shared" si="53"/>
        <v>657.84242300520441</v>
      </c>
      <c r="Q429" s="26">
        <f t="shared" si="54"/>
        <v>17.333942983144311</v>
      </c>
      <c r="R429" s="26">
        <f t="shared" si="55"/>
        <v>-17.333942983144311</v>
      </c>
    </row>
    <row r="430" spans="1:18" x14ac:dyDescent="0.3">
      <c r="A430" s="2">
        <v>43507</v>
      </c>
      <c r="B430" s="1">
        <v>42.357500000000002</v>
      </c>
      <c r="C430" s="1">
        <v>1591</v>
      </c>
      <c r="D430" s="1">
        <v>165.79</v>
      </c>
      <c r="E430" s="1">
        <f t="shared" si="50"/>
        <v>-5.7674359492863305E-3</v>
      </c>
      <c r="F430" s="1">
        <f t="shared" si="51"/>
        <v>1.7488570835315679E-3</v>
      </c>
      <c r="G430" s="1">
        <f t="shared" si="52"/>
        <v>-9.2459832551085499E-3</v>
      </c>
      <c r="P430" s="39">
        <f t="shared" si="53"/>
        <v>640.5084800220601</v>
      </c>
      <c r="Q430" s="26">
        <f t="shared" si="54"/>
        <v>0.59049027760659101</v>
      </c>
      <c r="R430" s="26">
        <f t="shared" si="55"/>
        <v>-0.59049027760659101</v>
      </c>
    </row>
    <row r="431" spans="1:18" x14ac:dyDescent="0.3">
      <c r="A431" s="2">
        <v>43504</v>
      </c>
      <c r="B431" s="1">
        <v>42.602499999999999</v>
      </c>
      <c r="C431" s="1">
        <v>1588.22</v>
      </c>
      <c r="D431" s="1">
        <v>167.33</v>
      </c>
      <c r="E431" s="1">
        <f t="shared" si="50"/>
        <v>-3.1053196185706366E-3</v>
      </c>
      <c r="F431" s="1">
        <f t="shared" si="51"/>
        <v>-1.6330895417224444E-2</v>
      </c>
      <c r="G431" s="1">
        <f t="shared" si="52"/>
        <v>5.693581650740593E-3</v>
      </c>
      <c r="P431" s="39">
        <f t="shared" si="53"/>
        <v>639.91798974445351</v>
      </c>
      <c r="Q431" s="26">
        <f t="shared" si="54"/>
        <v>-9.4975701536775432</v>
      </c>
      <c r="R431" s="26">
        <f t="shared" si="55"/>
        <v>9.4975701536775432</v>
      </c>
    </row>
    <row r="432" spans="1:18" x14ac:dyDescent="0.3">
      <c r="A432" s="2">
        <v>43503</v>
      </c>
      <c r="B432" s="1">
        <v>42.734999999999999</v>
      </c>
      <c r="C432" s="1">
        <v>1614.37</v>
      </c>
      <c r="D432" s="1">
        <v>166.38</v>
      </c>
      <c r="E432" s="1">
        <f t="shared" si="50"/>
        <v>-1.9121041446778512E-2</v>
      </c>
      <c r="F432" s="1">
        <f t="shared" si="51"/>
        <v>-1.5909978166533854E-2</v>
      </c>
      <c r="G432" s="1">
        <f t="shared" si="52"/>
        <v>-2.4402315121398198E-2</v>
      </c>
      <c r="P432" s="39">
        <f t="shared" si="53"/>
        <v>649.41555989813105</v>
      </c>
      <c r="Q432" s="26">
        <f t="shared" si="54"/>
        <v>-10.78511670933608</v>
      </c>
      <c r="R432" s="26">
        <f t="shared" si="55"/>
        <v>10.78511670933608</v>
      </c>
    </row>
    <row r="433" spans="1:18" x14ac:dyDescent="0.3">
      <c r="A433" s="2">
        <v>43502</v>
      </c>
      <c r="B433" s="1">
        <v>43.56</v>
      </c>
      <c r="C433" s="1">
        <v>1640.26</v>
      </c>
      <c r="D433" s="1">
        <v>170.49</v>
      </c>
      <c r="E433" s="1">
        <f t="shared" si="50"/>
        <v>3.4441192005689816E-4</v>
      </c>
      <c r="F433" s="1">
        <f t="shared" si="51"/>
        <v>-1.1245711970345946E-2</v>
      </c>
      <c r="G433" s="1">
        <f t="shared" si="52"/>
        <v>-3.922147571476243E-3</v>
      </c>
      <c r="P433" s="39">
        <f t="shared" si="53"/>
        <v>660.20067660746713</v>
      </c>
      <c r="Q433" s="26">
        <f t="shared" si="54"/>
        <v>-6.9833643731415123</v>
      </c>
      <c r="R433" s="26">
        <f t="shared" si="55"/>
        <v>6.9833643731415123</v>
      </c>
    </row>
    <row r="434" spans="1:18" x14ac:dyDescent="0.3">
      <c r="A434" s="2">
        <v>43501</v>
      </c>
      <c r="B434" s="1">
        <v>43.545000000000002</v>
      </c>
      <c r="C434" s="1">
        <v>1658.81</v>
      </c>
      <c r="D434" s="1">
        <v>171.16</v>
      </c>
      <c r="E434" s="1">
        <f t="shared" si="50"/>
        <v>1.6964770122258957E-2</v>
      </c>
      <c r="F434" s="1">
        <f t="shared" si="51"/>
        <v>1.549184719407881E-2</v>
      </c>
      <c r="G434" s="1">
        <f t="shared" si="52"/>
        <v>1.122187975623172E-2</v>
      </c>
      <c r="P434" s="39">
        <f t="shared" si="53"/>
        <v>667.18404098060864</v>
      </c>
      <c r="Q434" s="26">
        <f t="shared" si="54"/>
        <v>10.126127664619958</v>
      </c>
      <c r="R434" s="26">
        <f t="shared" si="55"/>
        <v>-10.126127664619958</v>
      </c>
    </row>
    <row r="435" spans="1:18" x14ac:dyDescent="0.3">
      <c r="A435" s="2">
        <v>43500</v>
      </c>
      <c r="B435" s="1">
        <v>42.8125</v>
      </c>
      <c r="C435" s="1">
        <v>1633.31</v>
      </c>
      <c r="D435" s="1">
        <v>169.25</v>
      </c>
      <c r="E435" s="1">
        <f t="shared" si="50"/>
        <v>2.8009054815559917E-2</v>
      </c>
      <c r="F435" s="1">
        <f t="shared" si="51"/>
        <v>4.3441780953186156E-3</v>
      </c>
      <c r="G435" s="1">
        <f t="shared" si="52"/>
        <v>2.1137639150681873E-2</v>
      </c>
      <c r="P435" s="39">
        <f t="shared" si="53"/>
        <v>657.05791331598869</v>
      </c>
      <c r="Q435" s="26">
        <f t="shared" si="54"/>
        <v>3.8693956092594135</v>
      </c>
      <c r="R435" s="26">
        <f t="shared" si="55"/>
        <v>-3.8693956092594135</v>
      </c>
    </row>
    <row r="436" spans="1:18" x14ac:dyDescent="0.3">
      <c r="A436" s="2">
        <v>43497</v>
      </c>
      <c r="B436" s="1">
        <v>41.63</v>
      </c>
      <c r="C436" s="1">
        <v>1626.23</v>
      </c>
      <c r="D436" s="1">
        <v>165.71</v>
      </c>
      <c r="E436" s="1">
        <f t="shared" si="50"/>
        <v>4.805382120342681E-4</v>
      </c>
      <c r="F436" s="1">
        <f t="shared" si="51"/>
        <v>-5.5321193464579997E-2</v>
      </c>
      <c r="G436" s="1">
        <f t="shared" si="52"/>
        <v>-5.8965273132940829E-3</v>
      </c>
      <c r="P436" s="39">
        <f t="shared" si="53"/>
        <v>653.18851770672927</v>
      </c>
      <c r="Q436" s="26">
        <f t="shared" si="54"/>
        <v>-34.333759473595364</v>
      </c>
      <c r="R436" s="26">
        <f t="shared" si="55"/>
        <v>34.333759473595364</v>
      </c>
    </row>
    <row r="437" spans="1:18" x14ac:dyDescent="0.3">
      <c r="A437" s="2">
        <v>43496</v>
      </c>
      <c r="B437" s="1">
        <v>41.61</v>
      </c>
      <c r="C437" s="1">
        <v>1718.73</v>
      </c>
      <c r="D437" s="1">
        <v>166.69</v>
      </c>
      <c r="E437" s="1">
        <f t="shared" si="50"/>
        <v>7.1754053829448461E-3</v>
      </c>
      <c r="F437" s="1">
        <f t="shared" si="51"/>
        <v>2.8504567686382189E-2</v>
      </c>
      <c r="G437" s="1">
        <f t="shared" si="52"/>
        <v>0.10270441855673969</v>
      </c>
      <c r="P437" s="39">
        <f t="shared" si="53"/>
        <v>687.52227718032464</v>
      </c>
      <c r="Q437" s="26">
        <f t="shared" si="54"/>
        <v>21.470386137789887</v>
      </c>
      <c r="R437" s="26">
        <f t="shared" si="55"/>
        <v>-21.470386137789887</v>
      </c>
    </row>
    <row r="438" spans="1:18" x14ac:dyDescent="0.3">
      <c r="A438" s="2">
        <v>43495</v>
      </c>
      <c r="B438" s="1">
        <v>41.3125</v>
      </c>
      <c r="C438" s="1">
        <v>1670.43</v>
      </c>
      <c r="D438" s="1">
        <v>150.41999999999999</v>
      </c>
      <c r="E438" s="1">
        <f t="shared" si="50"/>
        <v>6.6101011992699382E-2</v>
      </c>
      <c r="F438" s="1">
        <f t="shared" si="51"/>
        <v>4.690978308951213E-2</v>
      </c>
      <c r="G438" s="1">
        <f t="shared" si="52"/>
        <v>4.2299507079701294E-2</v>
      </c>
      <c r="P438" s="39">
        <f t="shared" si="53"/>
        <v>666.05189104253475</v>
      </c>
      <c r="Q438" s="26">
        <f t="shared" si="54"/>
        <v>30.689559250074353</v>
      </c>
      <c r="R438" s="26">
        <f t="shared" si="55"/>
        <v>-30.689559250074353</v>
      </c>
    </row>
    <row r="439" spans="1:18" x14ac:dyDescent="0.3">
      <c r="A439" s="2">
        <v>43494</v>
      </c>
      <c r="B439" s="1">
        <v>38.67</v>
      </c>
      <c r="C439" s="1">
        <v>1593.88</v>
      </c>
      <c r="D439" s="1">
        <v>144.19</v>
      </c>
      <c r="E439" s="1">
        <f t="shared" si="50"/>
        <v>-1.0418770688334572E-2</v>
      </c>
      <c r="F439" s="1">
        <f t="shared" si="51"/>
        <v>-2.7237532883209539E-2</v>
      </c>
      <c r="G439" s="1">
        <f t="shared" si="52"/>
        <v>-2.249289094429395E-2</v>
      </c>
      <c r="P439" s="39">
        <f t="shared" si="53"/>
        <v>635.3623317924604</v>
      </c>
      <c r="Q439" s="26">
        <f t="shared" si="54"/>
        <v>-17.116957149195514</v>
      </c>
      <c r="R439" s="26">
        <f t="shared" si="55"/>
        <v>17.116957149195514</v>
      </c>
    </row>
    <row r="440" spans="1:18" x14ac:dyDescent="0.3">
      <c r="A440" s="2">
        <v>43493</v>
      </c>
      <c r="B440" s="1">
        <v>39.075000000000003</v>
      </c>
      <c r="C440" s="1">
        <v>1637.89</v>
      </c>
      <c r="D440" s="1">
        <v>147.47</v>
      </c>
      <c r="E440" s="1">
        <f t="shared" si="50"/>
        <v>-9.2976534268942035E-3</v>
      </c>
      <c r="F440" s="1">
        <f t="shared" si="51"/>
        <v>-1.9756057449691861E-2</v>
      </c>
      <c r="G440" s="1">
        <f t="shared" si="52"/>
        <v>-1.0388652524519273E-2</v>
      </c>
      <c r="P440" s="39">
        <f t="shared" si="53"/>
        <v>652.47928894165591</v>
      </c>
      <c r="Q440" s="26">
        <f t="shared" si="54"/>
        <v>-12.542882311231438</v>
      </c>
      <c r="R440" s="26">
        <f t="shared" si="55"/>
        <v>12.542882311231438</v>
      </c>
    </row>
    <row r="441" spans="1:18" x14ac:dyDescent="0.3">
      <c r="A441" s="2">
        <v>43490</v>
      </c>
      <c r="B441" s="1">
        <v>39.44</v>
      </c>
      <c r="C441" s="1">
        <v>1670.57</v>
      </c>
      <c r="D441" s="1">
        <v>149.01</v>
      </c>
      <c r="E441" s="1">
        <f t="shared" si="50"/>
        <v>3.2599678629738615E-2</v>
      </c>
      <c r="F441" s="1">
        <f t="shared" si="51"/>
        <v>9.4061736963974504E-3</v>
      </c>
      <c r="G441" s="1">
        <f t="shared" si="52"/>
        <v>2.1571858061894874E-2</v>
      </c>
      <c r="P441" s="39">
        <f t="shared" si="53"/>
        <v>665.02217125288735</v>
      </c>
      <c r="Q441" s="26">
        <f t="shared" si="54"/>
        <v>6.9839384795361639</v>
      </c>
      <c r="R441" s="26">
        <f t="shared" si="55"/>
        <v>-6.9839384795361639</v>
      </c>
    </row>
    <row r="442" spans="1:18" x14ac:dyDescent="0.3">
      <c r="A442" s="2">
        <v>43489</v>
      </c>
      <c r="B442" s="1">
        <v>38.174999999999997</v>
      </c>
      <c r="C442" s="1">
        <v>1654.93</v>
      </c>
      <c r="D442" s="1">
        <v>145.83000000000001</v>
      </c>
      <c r="E442" s="1">
        <f t="shared" si="50"/>
        <v>-7.9577746928096195E-3</v>
      </c>
      <c r="F442" s="1">
        <f t="shared" si="51"/>
        <v>9.0502749783161526E-3</v>
      </c>
      <c r="G442" s="1">
        <f t="shared" si="52"/>
        <v>1.0547093945648655E-2</v>
      </c>
      <c r="P442" s="39">
        <f t="shared" si="53"/>
        <v>658.03823277335118</v>
      </c>
      <c r="Q442" s="26">
        <f t="shared" si="54"/>
        <v>5.7065357979214468</v>
      </c>
      <c r="R442" s="26">
        <f t="shared" si="55"/>
        <v>-5.7065357979214468</v>
      </c>
    </row>
    <row r="443" spans="1:18" x14ac:dyDescent="0.3">
      <c r="A443" s="2">
        <v>43488</v>
      </c>
      <c r="B443" s="1">
        <v>38.479999999999997</v>
      </c>
      <c r="C443" s="1">
        <v>1640.02</v>
      </c>
      <c r="D443" s="1">
        <v>144.30000000000001</v>
      </c>
      <c r="E443" s="1">
        <f t="shared" si="50"/>
        <v>4.0362010396276854E-3</v>
      </c>
      <c r="F443" s="1">
        <f t="shared" si="51"/>
        <v>4.7980191000869046E-3</v>
      </c>
      <c r="G443" s="1">
        <f t="shared" si="52"/>
        <v>-2.2408173695532815E-2</v>
      </c>
      <c r="P443" s="39">
        <f t="shared" si="53"/>
        <v>652.33169697542974</v>
      </c>
      <c r="Q443" s="26">
        <f t="shared" si="54"/>
        <v>2.2519806273663789</v>
      </c>
      <c r="R443" s="26">
        <f t="shared" si="55"/>
        <v>-2.2519806273663789</v>
      </c>
    </row>
    <row r="444" spans="1:18" x14ac:dyDescent="0.3">
      <c r="A444" s="2">
        <v>43487</v>
      </c>
      <c r="B444" s="1">
        <v>38.325000000000003</v>
      </c>
      <c r="C444" s="1">
        <v>1632.17</v>
      </c>
      <c r="D444" s="1">
        <v>147.57</v>
      </c>
      <c r="E444" s="1">
        <f t="shared" si="50"/>
        <v>-2.2701864925007316E-2</v>
      </c>
      <c r="F444" s="1">
        <f t="shared" si="51"/>
        <v>-3.8480037161851131E-2</v>
      </c>
      <c r="G444" s="1">
        <f t="shared" si="52"/>
        <v>-1.6599285738328477E-2</v>
      </c>
      <c r="P444" s="39">
        <f t="shared" si="53"/>
        <v>650.07971634806336</v>
      </c>
      <c r="Q444" s="26">
        <f t="shared" si="54"/>
        <v>-24.524988773219093</v>
      </c>
      <c r="R444" s="26">
        <f t="shared" si="55"/>
        <v>24.524988773219093</v>
      </c>
    </row>
    <row r="445" spans="1:18" x14ac:dyDescent="0.3">
      <c r="A445" s="2">
        <v>43486</v>
      </c>
      <c r="B445" s="1">
        <v>39.204999999999998</v>
      </c>
      <c r="C445" s="1">
        <v>1696.2</v>
      </c>
      <c r="D445" s="1">
        <v>150.04</v>
      </c>
      <c r="E445" s="1">
        <f t="shared" si="50"/>
        <v>0</v>
      </c>
      <c r="F445" s="1">
        <f t="shared" si="51"/>
        <v>0</v>
      </c>
      <c r="G445" s="1">
        <f t="shared" si="52"/>
        <v>0</v>
      </c>
      <c r="P445" s="39">
        <f t="shared" si="53"/>
        <v>674.60470512128245</v>
      </c>
      <c r="Q445" s="26">
        <f t="shared" si="54"/>
        <v>0</v>
      </c>
      <c r="R445" s="26">
        <f t="shared" si="55"/>
        <v>0</v>
      </c>
    </row>
    <row r="446" spans="1:18" x14ac:dyDescent="0.3">
      <c r="A446" s="2">
        <v>43483</v>
      </c>
      <c r="B446" s="1">
        <v>39.204999999999998</v>
      </c>
      <c r="C446" s="1">
        <v>1696.2</v>
      </c>
      <c r="D446" s="1">
        <v>150.04</v>
      </c>
      <c r="E446" s="1">
        <f t="shared" si="50"/>
        <v>6.1404823873608648E-3</v>
      </c>
      <c r="F446" s="1">
        <f t="shared" si="51"/>
        <v>1.7584133968945061E-3</v>
      </c>
      <c r="G446" s="1">
        <f t="shared" si="52"/>
        <v>1.1664676069800041E-2</v>
      </c>
      <c r="P446" s="39">
        <f t="shared" si="53"/>
        <v>674.60470512128245</v>
      </c>
      <c r="Q446" s="26">
        <f t="shared" si="54"/>
        <v>1.5760441929070339</v>
      </c>
      <c r="R446" s="26">
        <f t="shared" si="55"/>
        <v>-1.5760441929070339</v>
      </c>
    </row>
    <row r="447" spans="1:18" x14ac:dyDescent="0.3">
      <c r="A447" s="2">
        <v>43482</v>
      </c>
      <c r="B447" s="1">
        <v>38.965000000000003</v>
      </c>
      <c r="C447" s="1">
        <v>1693.22</v>
      </c>
      <c r="D447" s="1">
        <v>148.30000000000001</v>
      </c>
      <c r="E447" s="1">
        <f t="shared" si="50"/>
        <v>5.9202232116584829E-3</v>
      </c>
      <c r="F447" s="1">
        <f t="shared" si="51"/>
        <v>5.5907755929212582E-3</v>
      </c>
      <c r="G447" s="1">
        <f t="shared" si="52"/>
        <v>5.1379236877303726E-3</v>
      </c>
      <c r="P447" s="39">
        <f t="shared" si="53"/>
        <v>673.02866092837542</v>
      </c>
      <c r="Q447" s="26">
        <f t="shared" si="54"/>
        <v>3.7430654162687915</v>
      </c>
      <c r="R447" s="26">
        <f t="shared" si="55"/>
        <v>-3.7430654162687915</v>
      </c>
    </row>
    <row r="448" spans="1:18" x14ac:dyDescent="0.3">
      <c r="A448" s="2">
        <v>43481</v>
      </c>
      <c r="B448" s="1">
        <v>38.734999999999999</v>
      </c>
      <c r="C448" s="1">
        <v>1683.78</v>
      </c>
      <c r="D448" s="1">
        <v>147.54</v>
      </c>
      <c r="E448" s="1">
        <f t="shared" si="50"/>
        <v>1.2142612100140771E-2</v>
      </c>
      <c r="F448" s="1">
        <f t="shared" si="51"/>
        <v>5.4908217539409851E-3</v>
      </c>
      <c r="G448" s="1">
        <f t="shared" si="52"/>
        <v>-9.5113537031350937E-3</v>
      </c>
      <c r="P448" s="39">
        <f t="shared" si="53"/>
        <v>669.28559551210662</v>
      </c>
      <c r="Q448" s="26">
        <f t="shared" si="54"/>
        <v>3.2900276540146933</v>
      </c>
      <c r="R448" s="26">
        <f t="shared" si="55"/>
        <v>-3.2900276540146933</v>
      </c>
    </row>
    <row r="449" spans="1:18" x14ac:dyDescent="0.3">
      <c r="A449" s="2">
        <v>43480</v>
      </c>
      <c r="B449" s="1">
        <v>38.267499999999998</v>
      </c>
      <c r="C449" s="1">
        <v>1674.56</v>
      </c>
      <c r="D449" s="1">
        <v>148.94999999999999</v>
      </c>
      <c r="E449" s="1">
        <f t="shared" si="50"/>
        <v>2.0260039007360012E-2</v>
      </c>
      <c r="F449" s="1">
        <f t="shared" si="51"/>
        <v>3.4848001909261177E-2</v>
      </c>
      <c r="G449" s="1">
        <f t="shared" si="52"/>
        <v>2.4190892215957036E-2</v>
      </c>
      <c r="P449" s="39">
        <f t="shared" si="53"/>
        <v>665.99556785809193</v>
      </c>
      <c r="Q449" s="26">
        <f t="shared" si="54"/>
        <v>22.249878587363696</v>
      </c>
      <c r="R449" s="26">
        <f t="shared" si="55"/>
        <v>-22.249878587363696</v>
      </c>
    </row>
    <row r="450" spans="1:18" x14ac:dyDescent="0.3">
      <c r="A450" s="2">
        <v>43479</v>
      </c>
      <c r="B450" s="1">
        <v>37.5</v>
      </c>
      <c r="C450" s="1">
        <v>1617.21</v>
      </c>
      <c r="D450" s="1">
        <v>145.38999999999999</v>
      </c>
      <c r="E450" s="1">
        <f t="shared" si="50"/>
        <v>-1.5151303767343681E-2</v>
      </c>
      <c r="F450" s="1">
        <f t="shared" si="51"/>
        <v>-1.4335204672932502E-2</v>
      </c>
      <c r="G450" s="1">
        <f t="shared" si="52"/>
        <v>1.0996341656387781E-2</v>
      </c>
      <c r="P450" s="39">
        <f t="shared" si="53"/>
        <v>643.74568927072823</v>
      </c>
      <c r="Q450" s="26">
        <f t="shared" si="54"/>
        <v>-8.508060331211027</v>
      </c>
      <c r="R450" s="26">
        <f t="shared" si="55"/>
        <v>8.508060331211027</v>
      </c>
    </row>
    <row r="451" spans="1:18" x14ac:dyDescent="0.3">
      <c r="A451" s="2">
        <v>43476</v>
      </c>
      <c r="B451" s="1">
        <v>38.072499999999998</v>
      </c>
      <c r="C451" s="1">
        <v>1640.56</v>
      </c>
      <c r="D451" s="1">
        <v>143.80000000000001</v>
      </c>
      <c r="E451" s="1">
        <f t="shared" si="50"/>
        <v>-9.8664592079442514E-3</v>
      </c>
      <c r="F451" s="1">
        <f t="shared" si="51"/>
        <v>-9.5002504154247935E-3</v>
      </c>
      <c r="G451" s="1">
        <f t="shared" si="52"/>
        <v>-2.7777795639022749E-3</v>
      </c>
      <c r="P451" s="39">
        <f t="shared" si="53"/>
        <v>652.25374960193926</v>
      </c>
      <c r="Q451" s="26">
        <f t="shared" si="54"/>
        <v>-6.0211506342219536</v>
      </c>
      <c r="R451" s="26">
        <f t="shared" si="55"/>
        <v>6.0211506342219536</v>
      </c>
    </row>
    <row r="452" spans="1:18" x14ac:dyDescent="0.3">
      <c r="A452" s="2">
        <v>43475</v>
      </c>
      <c r="B452" s="1">
        <v>38.450000000000003</v>
      </c>
      <c r="C452" s="1">
        <v>1656.22</v>
      </c>
      <c r="D452" s="1">
        <v>144.19999999999999</v>
      </c>
      <c r="E452" s="1">
        <f t="shared" si="50"/>
        <v>3.1910417491808744E-3</v>
      </c>
      <c r="F452" s="1">
        <f t="shared" si="51"/>
        <v>-1.9302463437286318E-3</v>
      </c>
      <c r="G452" s="1">
        <f t="shared" si="52"/>
        <v>-2.0802274457016961E-4</v>
      </c>
      <c r="P452" s="39">
        <f t="shared" si="53"/>
        <v>658.27490023616122</v>
      </c>
      <c r="Q452" s="26">
        <f t="shared" si="54"/>
        <v>-1.1364493669549347</v>
      </c>
      <c r="R452" s="26">
        <f t="shared" si="55"/>
        <v>1.1364493669549347</v>
      </c>
    </row>
    <row r="453" spans="1:18" x14ac:dyDescent="0.3">
      <c r="A453" s="2">
        <v>43474</v>
      </c>
      <c r="B453" s="1">
        <v>38.327500000000001</v>
      </c>
      <c r="C453" s="1">
        <v>1659.42</v>
      </c>
      <c r="D453" s="1">
        <v>144.22999999999999</v>
      </c>
      <c r="E453" s="1">
        <f t="shared" si="50"/>
        <v>1.6839179715067942E-2</v>
      </c>
      <c r="F453" s="1">
        <f t="shared" si="51"/>
        <v>1.7129075358218262E-3</v>
      </c>
      <c r="G453" s="1">
        <f t="shared" si="52"/>
        <v>1.1856743728479122E-2</v>
      </c>
      <c r="P453" s="39">
        <f t="shared" si="53"/>
        <v>659.41134960311615</v>
      </c>
      <c r="Q453" s="26">
        <f t="shared" si="54"/>
        <v>1.6814474218964506</v>
      </c>
      <c r="R453" s="26">
        <f t="shared" si="55"/>
        <v>-1.6814474218964506</v>
      </c>
    </row>
    <row r="454" spans="1:18" x14ac:dyDescent="0.3">
      <c r="A454" s="2">
        <v>43473</v>
      </c>
      <c r="B454" s="1">
        <v>37.6875</v>
      </c>
      <c r="C454" s="1">
        <v>1656.58</v>
      </c>
      <c r="D454" s="1">
        <v>142.53</v>
      </c>
      <c r="E454" s="1">
        <f t="shared" ref="E454:E517" si="56">LN(B454/B455)</f>
        <v>1.888364670315034E-2</v>
      </c>
      <c r="F454" s="1">
        <f t="shared" ref="F454:F517" si="57">LN(C454/C455)</f>
        <v>1.6475880060265173E-2</v>
      </c>
      <c r="G454" s="1">
        <f t="shared" ref="G454:G517" si="58">LN(D454/D455)</f>
        <v>3.1936565490776142E-2</v>
      </c>
      <c r="P454" s="39">
        <f t="shared" ref="P454:P517" si="59">B454*$J$13+C454*$J$14+D454*$J$15</f>
        <v>657.7299021812197</v>
      </c>
      <c r="Q454" s="26">
        <f t="shared" ref="Q454:Q517" si="60">P454-P455</f>
        <v>11.250965814967572</v>
      </c>
      <c r="R454" s="26">
        <f t="shared" ref="R454:R517" si="61">-Q454</f>
        <v>-11.250965814967572</v>
      </c>
    </row>
    <row r="455" spans="1:18" x14ac:dyDescent="0.3">
      <c r="A455" s="2">
        <v>43472</v>
      </c>
      <c r="B455" s="1">
        <v>36.982500000000002</v>
      </c>
      <c r="C455" s="1">
        <v>1629.51</v>
      </c>
      <c r="D455" s="1">
        <v>138.05000000000001</v>
      </c>
      <c r="E455" s="1">
        <f t="shared" si="56"/>
        <v>-2.2283003244291597E-3</v>
      </c>
      <c r="F455" s="1">
        <f t="shared" si="57"/>
        <v>3.3776495455764631E-2</v>
      </c>
      <c r="G455" s="1">
        <f t="shared" si="58"/>
        <v>7.2463771286851246E-4</v>
      </c>
      <c r="P455" s="39">
        <f t="shared" si="59"/>
        <v>646.47893636625213</v>
      </c>
      <c r="Q455" s="26">
        <f t="shared" si="60"/>
        <v>19.956112993261627</v>
      </c>
      <c r="R455" s="26">
        <f t="shared" si="61"/>
        <v>-19.956112993261627</v>
      </c>
    </row>
    <row r="456" spans="1:18" x14ac:dyDescent="0.3">
      <c r="A456" s="2">
        <v>43469</v>
      </c>
      <c r="B456" s="1">
        <v>37.064999999999998</v>
      </c>
      <c r="C456" s="1">
        <v>1575.39</v>
      </c>
      <c r="D456" s="1">
        <v>137.94999999999999</v>
      </c>
      <c r="E456" s="1">
        <f t="shared" si="56"/>
        <v>4.1803297820290658E-2</v>
      </c>
      <c r="F456" s="1">
        <f t="shared" si="57"/>
        <v>4.8851103317902579E-2</v>
      </c>
      <c r="G456" s="1">
        <f t="shared" si="58"/>
        <v>4.606101745074806E-2</v>
      </c>
      <c r="P456" s="39">
        <f t="shared" si="59"/>
        <v>626.5228233729905</v>
      </c>
      <c r="Q456" s="26">
        <f t="shared" si="60"/>
        <v>29.687800713287174</v>
      </c>
      <c r="R456" s="26">
        <f t="shared" si="61"/>
        <v>-29.687800713287174</v>
      </c>
    </row>
    <row r="457" spans="1:18" x14ac:dyDescent="0.3">
      <c r="A457" s="2">
        <v>43468</v>
      </c>
      <c r="B457" s="1">
        <v>35.547499999999999</v>
      </c>
      <c r="C457" s="1">
        <v>1500.28</v>
      </c>
      <c r="D457" s="1">
        <v>131.74</v>
      </c>
      <c r="E457" s="1">
        <f t="shared" si="56"/>
        <v>-0.10492438427688831</v>
      </c>
      <c r="F457" s="1">
        <f t="shared" si="57"/>
        <v>-2.5565564369886939E-2</v>
      </c>
      <c r="G457" s="1">
        <f t="shared" si="58"/>
        <v>-2.9468888831046085E-2</v>
      </c>
      <c r="P457" s="39">
        <f t="shared" si="59"/>
        <v>596.83502265970333</v>
      </c>
      <c r="Q457" s="26">
        <f t="shared" si="60"/>
        <v>-16.817613810874377</v>
      </c>
      <c r="R457" s="26">
        <f t="shared" si="61"/>
        <v>16.817613810874377</v>
      </c>
    </row>
    <row r="458" spans="1:18" x14ac:dyDescent="0.3">
      <c r="A458" s="2">
        <v>43467</v>
      </c>
      <c r="B458" s="1">
        <v>39.479999999999997</v>
      </c>
      <c r="C458" s="1">
        <v>1539.13</v>
      </c>
      <c r="D458" s="1">
        <v>135.68</v>
      </c>
      <c r="E458" s="1">
        <f t="shared" si="56"/>
        <v>1.1404677153263752E-3</v>
      </c>
      <c r="F458" s="1">
        <f t="shared" si="57"/>
        <v>2.4439741951032528E-2</v>
      </c>
      <c r="G458" s="1">
        <f t="shared" si="58"/>
        <v>3.4415061833875167E-2</v>
      </c>
      <c r="P458" s="39">
        <f t="shared" si="59"/>
        <v>613.6526364705777</v>
      </c>
      <c r="Q458" s="26">
        <f t="shared" si="60"/>
        <v>14.724254975662575</v>
      </c>
      <c r="R458" s="26">
        <f t="shared" si="61"/>
        <v>-14.724254975662575</v>
      </c>
    </row>
    <row r="459" spans="1:18" x14ac:dyDescent="0.3">
      <c r="A459" s="2">
        <v>43466</v>
      </c>
      <c r="B459" s="1">
        <v>39.435000000000002</v>
      </c>
      <c r="C459" s="1">
        <v>1501.97</v>
      </c>
      <c r="D459" s="1">
        <v>131.09</v>
      </c>
      <c r="E459" s="1">
        <f t="shared" si="56"/>
        <v>0</v>
      </c>
      <c r="F459" s="1">
        <f t="shared" si="57"/>
        <v>0</v>
      </c>
      <c r="G459" s="1">
        <f t="shared" si="58"/>
        <v>0</v>
      </c>
      <c r="P459" s="39">
        <f t="shared" si="59"/>
        <v>598.92838149491513</v>
      </c>
      <c r="Q459" s="26">
        <f t="shared" si="60"/>
        <v>0</v>
      </c>
      <c r="R459" s="26">
        <f t="shared" si="61"/>
        <v>0</v>
      </c>
    </row>
    <row r="460" spans="1:18" x14ac:dyDescent="0.3">
      <c r="A460" s="2">
        <v>43465</v>
      </c>
      <c r="B460" s="1">
        <v>39.435000000000002</v>
      </c>
      <c r="C460" s="1">
        <v>1501.97</v>
      </c>
      <c r="D460" s="1">
        <v>131.09</v>
      </c>
      <c r="E460" s="1">
        <f t="shared" si="56"/>
        <v>9.6188275460332238E-3</v>
      </c>
      <c r="F460" s="1">
        <f t="shared" si="57"/>
        <v>1.6074225539445666E-2</v>
      </c>
      <c r="G460" s="1">
        <f t="shared" si="58"/>
        <v>-1.5967647896570757E-2</v>
      </c>
      <c r="P460" s="39">
        <f t="shared" si="59"/>
        <v>598.92838149491513</v>
      </c>
      <c r="Q460" s="26">
        <f t="shared" si="60"/>
        <v>8.5359595741807652</v>
      </c>
      <c r="R460" s="26">
        <f t="shared" si="61"/>
        <v>-8.5359595741807652</v>
      </c>
    </row>
    <row r="461" spans="1:18" x14ac:dyDescent="0.3">
      <c r="A461" s="2">
        <v>43462</v>
      </c>
      <c r="B461" s="1">
        <v>39.057499999999997</v>
      </c>
      <c r="C461" s="1">
        <v>1478.02</v>
      </c>
      <c r="D461" s="1">
        <v>133.19999999999999</v>
      </c>
      <c r="E461" s="1">
        <f t="shared" si="56"/>
        <v>5.1219669472401641E-4</v>
      </c>
      <c r="F461" s="1">
        <f t="shared" si="57"/>
        <v>1.1144261258255669E-2</v>
      </c>
      <c r="G461" s="1">
        <f t="shared" si="58"/>
        <v>-9.8611287657802953E-3</v>
      </c>
      <c r="P461" s="39">
        <f t="shared" si="59"/>
        <v>590.39242192073436</v>
      </c>
      <c r="Q461" s="26">
        <f t="shared" si="60"/>
        <v>5.7659449726119192</v>
      </c>
      <c r="R461" s="26">
        <f t="shared" si="61"/>
        <v>-5.7659449726119192</v>
      </c>
    </row>
    <row r="462" spans="1:18" x14ac:dyDescent="0.3">
      <c r="A462" s="2">
        <v>43461</v>
      </c>
      <c r="B462" s="1">
        <v>39.037500000000001</v>
      </c>
      <c r="C462" s="1">
        <v>1461.64</v>
      </c>
      <c r="D462" s="1">
        <v>134.52000000000001</v>
      </c>
      <c r="E462" s="1">
        <f t="shared" si="56"/>
        <v>-6.510938359150324E-3</v>
      </c>
      <c r="F462" s="1">
        <f t="shared" si="57"/>
        <v>-6.3153653672305922E-3</v>
      </c>
      <c r="G462" s="1">
        <f t="shared" si="58"/>
        <v>2.5307047373268588E-3</v>
      </c>
      <c r="P462" s="39">
        <f t="shared" si="59"/>
        <v>584.62647694812244</v>
      </c>
      <c r="Q462" s="26">
        <f t="shared" si="60"/>
        <v>-3.4486256322348936</v>
      </c>
      <c r="R462" s="26">
        <f t="shared" si="61"/>
        <v>3.4486256322348936</v>
      </c>
    </row>
    <row r="463" spans="1:18" x14ac:dyDescent="0.3">
      <c r="A463" s="2">
        <v>43460</v>
      </c>
      <c r="B463" s="1">
        <v>39.292499999999997</v>
      </c>
      <c r="C463" s="1">
        <v>1470.9</v>
      </c>
      <c r="D463" s="1">
        <v>134.18</v>
      </c>
      <c r="E463" s="1">
        <f t="shared" si="56"/>
        <v>6.8052567113391749E-2</v>
      </c>
      <c r="F463" s="1">
        <f t="shared" si="57"/>
        <v>9.0253978589858605E-2</v>
      </c>
      <c r="G463" s="1">
        <f t="shared" si="58"/>
        <v>7.84168625897705E-2</v>
      </c>
      <c r="P463" s="39">
        <f t="shared" si="59"/>
        <v>588.07510258035734</v>
      </c>
      <c r="Q463" s="26">
        <f t="shared" si="60"/>
        <v>50.101113087674435</v>
      </c>
      <c r="R463" s="26">
        <f t="shared" si="61"/>
        <v>-50.101113087674435</v>
      </c>
    </row>
    <row r="464" spans="1:18" x14ac:dyDescent="0.3">
      <c r="A464" s="2">
        <v>43459</v>
      </c>
      <c r="B464" s="1">
        <v>36.707500000000003</v>
      </c>
      <c r="C464" s="1">
        <v>1343.96</v>
      </c>
      <c r="D464" s="1">
        <v>124.06</v>
      </c>
      <c r="E464" s="1">
        <f t="shared" si="56"/>
        <v>0</v>
      </c>
      <c r="F464" s="1">
        <f t="shared" si="57"/>
        <v>0</v>
      </c>
      <c r="G464" s="1">
        <f t="shared" si="58"/>
        <v>0</v>
      </c>
      <c r="P464" s="39">
        <f t="shared" si="59"/>
        <v>537.9739894926829</v>
      </c>
      <c r="Q464" s="26">
        <f t="shared" si="60"/>
        <v>0</v>
      </c>
      <c r="R464" s="26">
        <f t="shared" si="61"/>
        <v>0</v>
      </c>
    </row>
    <row r="465" spans="1:18" x14ac:dyDescent="0.3">
      <c r="A465" s="2">
        <v>43458</v>
      </c>
      <c r="B465" s="1">
        <v>36.707500000000003</v>
      </c>
      <c r="C465" s="1">
        <v>1343.96</v>
      </c>
      <c r="D465" s="1">
        <v>124.06</v>
      </c>
      <c r="E465" s="1">
        <f t="shared" si="56"/>
        <v>-2.6214701847591528E-2</v>
      </c>
      <c r="F465" s="1">
        <f t="shared" si="57"/>
        <v>-2.4613483992202232E-2</v>
      </c>
      <c r="G465" s="1">
        <f t="shared" si="58"/>
        <v>-7.1483377359899385E-3</v>
      </c>
      <c r="P465" s="39">
        <f t="shared" si="59"/>
        <v>537.9739894926829</v>
      </c>
      <c r="Q465" s="26">
        <f t="shared" si="60"/>
        <v>-12.953619000537401</v>
      </c>
      <c r="R465" s="26">
        <f t="shared" si="61"/>
        <v>12.953619000537401</v>
      </c>
    </row>
    <row r="466" spans="1:18" x14ac:dyDescent="0.3">
      <c r="A466" s="2">
        <v>43455</v>
      </c>
      <c r="B466" s="1">
        <v>37.682499999999997</v>
      </c>
      <c r="C466" s="1">
        <v>1377.45</v>
      </c>
      <c r="D466" s="1">
        <v>124.95</v>
      </c>
      <c r="E466" s="1">
        <f t="shared" si="56"/>
        <v>-3.9672259323895565E-2</v>
      </c>
      <c r="F466" s="1">
        <f t="shared" si="57"/>
        <v>-5.8770803594411468E-2</v>
      </c>
      <c r="G466" s="1">
        <f t="shared" si="58"/>
        <v>-6.5438476200561993E-2</v>
      </c>
      <c r="P466" s="39">
        <f t="shared" si="59"/>
        <v>550.9276084932203</v>
      </c>
      <c r="Q466" s="26">
        <f t="shared" si="60"/>
        <v>-33.227719909323014</v>
      </c>
      <c r="R466" s="26">
        <f t="shared" si="61"/>
        <v>33.227719909323014</v>
      </c>
    </row>
    <row r="467" spans="1:18" x14ac:dyDescent="0.3">
      <c r="A467" s="2">
        <v>43454</v>
      </c>
      <c r="B467" s="1">
        <v>39.207500000000003</v>
      </c>
      <c r="C467" s="1">
        <v>1460.83</v>
      </c>
      <c r="D467" s="1">
        <v>133.4</v>
      </c>
      <c r="E467" s="1">
        <f t="shared" si="56"/>
        <v>-2.5558485516610111E-2</v>
      </c>
      <c r="F467" s="1">
        <f t="shared" si="57"/>
        <v>-2.3174949776719713E-2</v>
      </c>
      <c r="G467" s="1">
        <f t="shared" si="58"/>
        <v>1.2001201560444073E-3</v>
      </c>
      <c r="P467" s="39">
        <f t="shared" si="59"/>
        <v>584.15532840254332</v>
      </c>
      <c r="Q467" s="26">
        <f t="shared" si="60"/>
        <v>-13.023060818702334</v>
      </c>
      <c r="R467" s="26">
        <f t="shared" si="61"/>
        <v>13.023060818702334</v>
      </c>
    </row>
    <row r="468" spans="1:18" x14ac:dyDescent="0.3">
      <c r="A468" s="2">
        <v>43453</v>
      </c>
      <c r="B468" s="1">
        <v>40.222499999999997</v>
      </c>
      <c r="C468" s="1">
        <v>1495.08</v>
      </c>
      <c r="D468" s="1">
        <v>133.24</v>
      </c>
      <c r="E468" s="1">
        <f t="shared" si="56"/>
        <v>-3.168848455571821E-2</v>
      </c>
      <c r="F468" s="1">
        <f t="shared" si="57"/>
        <v>-3.7029596955690067E-2</v>
      </c>
      <c r="G468" s="1">
        <f t="shared" si="58"/>
        <v>-7.5297383321176581E-2</v>
      </c>
      <c r="P468" s="39">
        <f t="shared" si="59"/>
        <v>597.17838922124565</v>
      </c>
      <c r="Q468" s="26">
        <f t="shared" si="60"/>
        <v>-23.604555401652533</v>
      </c>
      <c r="R468" s="26">
        <f t="shared" si="61"/>
        <v>23.604555401652533</v>
      </c>
    </row>
    <row r="469" spans="1:18" x14ac:dyDescent="0.3">
      <c r="A469" s="2">
        <v>43452</v>
      </c>
      <c r="B469" s="1">
        <v>41.517499999999998</v>
      </c>
      <c r="C469" s="1">
        <v>1551.48</v>
      </c>
      <c r="D469" s="1">
        <v>143.66</v>
      </c>
      <c r="E469" s="1">
        <f t="shared" si="56"/>
        <v>1.2908878993777004E-2</v>
      </c>
      <c r="F469" s="1">
        <f t="shared" si="57"/>
        <v>1.9900474143510549E-2</v>
      </c>
      <c r="G469" s="1">
        <f t="shared" si="58"/>
        <v>2.4450751266211039E-2</v>
      </c>
      <c r="P469" s="39">
        <f t="shared" si="59"/>
        <v>620.78294462289819</v>
      </c>
      <c r="Q469" s="26">
        <f t="shared" si="60"/>
        <v>12.252009533316709</v>
      </c>
      <c r="R469" s="26">
        <f t="shared" si="61"/>
        <v>-12.252009533316709</v>
      </c>
    </row>
    <row r="470" spans="1:18" x14ac:dyDescent="0.3">
      <c r="A470" s="2">
        <v>43451</v>
      </c>
      <c r="B470" s="1">
        <v>40.984999999999999</v>
      </c>
      <c r="C470" s="1">
        <v>1520.91</v>
      </c>
      <c r="D470" s="1">
        <v>140.19</v>
      </c>
      <c r="E470" s="1">
        <f t="shared" si="56"/>
        <v>-9.3498343683261001E-3</v>
      </c>
      <c r="F470" s="1">
        <f t="shared" si="57"/>
        <v>-4.5625713232028867E-2</v>
      </c>
      <c r="G470" s="1">
        <f t="shared" si="58"/>
        <v>-2.7231234080772378E-2</v>
      </c>
      <c r="P470" s="39">
        <f t="shared" si="59"/>
        <v>608.53093508958148</v>
      </c>
      <c r="Q470" s="26">
        <f t="shared" si="60"/>
        <v>-27.195014567322801</v>
      </c>
      <c r="R470" s="26">
        <f t="shared" si="61"/>
        <v>27.195014567322801</v>
      </c>
    </row>
    <row r="471" spans="1:18" x14ac:dyDescent="0.3">
      <c r="A471" s="2">
        <v>43448</v>
      </c>
      <c r="B471" s="1">
        <v>41.37</v>
      </c>
      <c r="C471" s="1">
        <v>1591.91</v>
      </c>
      <c r="D471" s="1">
        <v>144.06</v>
      </c>
      <c r="E471" s="1">
        <f t="shared" si="56"/>
        <v>-3.2520774492099586E-2</v>
      </c>
      <c r="F471" s="1">
        <f t="shared" si="57"/>
        <v>-4.0906669089178331E-2</v>
      </c>
      <c r="G471" s="1">
        <f t="shared" si="58"/>
        <v>-6.57282609858685E-3</v>
      </c>
      <c r="P471" s="39">
        <f t="shared" si="59"/>
        <v>635.72594965690428</v>
      </c>
      <c r="Q471" s="26">
        <f t="shared" si="60"/>
        <v>-25.297852048161303</v>
      </c>
      <c r="R471" s="26">
        <f t="shared" si="61"/>
        <v>25.297852048161303</v>
      </c>
    </row>
    <row r="472" spans="1:18" x14ac:dyDescent="0.3">
      <c r="A472" s="2">
        <v>43447</v>
      </c>
      <c r="B472" s="1">
        <v>42.737499999999997</v>
      </c>
      <c r="C472" s="1">
        <v>1658.38</v>
      </c>
      <c r="D472" s="1">
        <v>145.01</v>
      </c>
      <c r="E472" s="1">
        <f t="shared" si="56"/>
        <v>1.0880860180775654E-2</v>
      </c>
      <c r="F472" s="1">
        <f t="shared" si="57"/>
        <v>-3.1066396240845033E-3</v>
      </c>
      <c r="G472" s="1">
        <f t="shared" si="58"/>
        <v>3.523198007316878E-3</v>
      </c>
      <c r="P472" s="39">
        <f t="shared" si="59"/>
        <v>661.02380170506558</v>
      </c>
      <c r="Q472" s="26">
        <f t="shared" si="60"/>
        <v>-1.6017365397435697</v>
      </c>
      <c r="R472" s="26">
        <f t="shared" si="61"/>
        <v>1.6017365397435697</v>
      </c>
    </row>
    <row r="473" spans="1:18" x14ac:dyDescent="0.3">
      <c r="A473" s="2">
        <v>43446</v>
      </c>
      <c r="B473" s="1">
        <v>42.274999999999999</v>
      </c>
      <c r="C473" s="1">
        <v>1663.54</v>
      </c>
      <c r="D473" s="1">
        <v>144.5</v>
      </c>
      <c r="E473" s="1">
        <f t="shared" si="56"/>
        <v>2.7832902224414081E-3</v>
      </c>
      <c r="F473" s="1">
        <f t="shared" si="57"/>
        <v>1.2277959232367642E-2</v>
      </c>
      <c r="G473" s="1">
        <f t="shared" si="58"/>
        <v>1.6889228308626863E-2</v>
      </c>
      <c r="P473" s="39">
        <f t="shared" si="59"/>
        <v>662.62553824480915</v>
      </c>
      <c r="Q473" s="26">
        <f t="shared" si="60"/>
        <v>8.0632040986553193</v>
      </c>
      <c r="R473" s="26">
        <f t="shared" si="61"/>
        <v>-8.0632040986553193</v>
      </c>
    </row>
    <row r="474" spans="1:18" x14ac:dyDescent="0.3">
      <c r="A474" s="2">
        <v>43445</v>
      </c>
      <c r="B474" s="1">
        <v>42.157499999999999</v>
      </c>
      <c r="C474" s="1">
        <v>1643.24</v>
      </c>
      <c r="D474" s="1">
        <v>142.08000000000001</v>
      </c>
      <c r="E474" s="1">
        <f t="shared" si="56"/>
        <v>-5.7357576757093697E-3</v>
      </c>
      <c r="F474" s="1">
        <f t="shared" si="57"/>
        <v>1.3458091652411583E-3</v>
      </c>
      <c r="G474" s="1">
        <f t="shared" si="58"/>
        <v>1.6201179889997616E-3</v>
      </c>
      <c r="P474" s="39">
        <f t="shared" si="59"/>
        <v>654.56233414615383</v>
      </c>
      <c r="Q474" s="26">
        <f t="shared" si="60"/>
        <v>0.76479385990717219</v>
      </c>
      <c r="R474" s="26">
        <f t="shared" si="61"/>
        <v>-0.76479385990717219</v>
      </c>
    </row>
    <row r="475" spans="1:18" x14ac:dyDescent="0.3">
      <c r="A475" s="2">
        <v>43444</v>
      </c>
      <c r="B475" s="1">
        <v>42.4</v>
      </c>
      <c r="C475" s="1">
        <v>1641.03</v>
      </c>
      <c r="D475" s="1">
        <v>141.85</v>
      </c>
      <c r="E475" s="1">
        <f t="shared" si="56"/>
        <v>6.56632250750863E-3</v>
      </c>
      <c r="F475" s="1">
        <f t="shared" si="57"/>
        <v>7.2779634802577157E-3</v>
      </c>
      <c r="G475" s="1">
        <f t="shared" si="58"/>
        <v>3.1728231651930602E-2</v>
      </c>
      <c r="P475" s="39">
        <f t="shared" si="59"/>
        <v>653.79754028624666</v>
      </c>
      <c r="Q475" s="26">
        <f t="shared" si="60"/>
        <v>5.465743469612562</v>
      </c>
      <c r="R475" s="26">
        <f t="shared" si="61"/>
        <v>-5.465743469612562</v>
      </c>
    </row>
    <row r="476" spans="1:18" x14ac:dyDescent="0.3">
      <c r="A476" s="2">
        <v>43441</v>
      </c>
      <c r="B476" s="1">
        <v>42.122500000000002</v>
      </c>
      <c r="C476" s="1">
        <v>1629.13</v>
      </c>
      <c r="D476" s="1">
        <v>137.41999999999999</v>
      </c>
      <c r="E476" s="1">
        <f t="shared" si="56"/>
        <v>-3.6308291706246262E-2</v>
      </c>
      <c r="F476" s="1">
        <f t="shared" si="57"/>
        <v>-4.2105536929514742E-2</v>
      </c>
      <c r="G476" s="1">
        <f t="shared" si="58"/>
        <v>-1.5954137351173479E-2</v>
      </c>
      <c r="P476" s="39">
        <f t="shared" si="59"/>
        <v>648.3317968166341</v>
      </c>
      <c r="Q476" s="26">
        <f t="shared" si="60"/>
        <v>-26.974229851553446</v>
      </c>
      <c r="R476" s="26">
        <f t="shared" si="61"/>
        <v>26.974229851553446</v>
      </c>
    </row>
    <row r="477" spans="1:18" x14ac:dyDescent="0.3">
      <c r="A477" s="2">
        <v>43440</v>
      </c>
      <c r="B477" s="1">
        <v>43.68</v>
      </c>
      <c r="C477" s="1">
        <v>1699.19</v>
      </c>
      <c r="D477" s="1">
        <v>139.63</v>
      </c>
      <c r="E477" s="1">
        <f t="shared" si="56"/>
        <v>-1.1212092072018474E-2</v>
      </c>
      <c r="F477" s="1">
        <f t="shared" si="57"/>
        <v>1.8286583585101646E-2</v>
      </c>
      <c r="G477" s="1">
        <f t="shared" si="58"/>
        <v>1.22497568666748E-2</v>
      </c>
      <c r="P477" s="39">
        <f t="shared" si="59"/>
        <v>675.30602666818754</v>
      </c>
      <c r="Q477" s="26">
        <f t="shared" si="60"/>
        <v>11.524925936639761</v>
      </c>
      <c r="R477" s="26">
        <f t="shared" si="61"/>
        <v>-11.524925936639761</v>
      </c>
    </row>
    <row r="478" spans="1:18" x14ac:dyDescent="0.3">
      <c r="A478" s="2">
        <v>43439</v>
      </c>
      <c r="B478" s="1">
        <v>44.172499999999999</v>
      </c>
      <c r="C478" s="1">
        <v>1668.4</v>
      </c>
      <c r="D478" s="1">
        <v>137.93</v>
      </c>
      <c r="E478" s="1">
        <f t="shared" si="56"/>
        <v>0</v>
      </c>
      <c r="F478" s="1">
        <f t="shared" si="57"/>
        <v>0</v>
      </c>
      <c r="G478" s="1">
        <f t="shared" si="58"/>
        <v>0</v>
      </c>
      <c r="P478" s="39">
        <f t="shared" si="59"/>
        <v>663.78110073154778</v>
      </c>
      <c r="Q478" s="26">
        <f t="shared" si="60"/>
        <v>0</v>
      </c>
      <c r="R478" s="26">
        <f t="shared" si="61"/>
        <v>0</v>
      </c>
    </row>
    <row r="479" spans="1:18" x14ac:dyDescent="0.3">
      <c r="A479" s="2">
        <v>43438</v>
      </c>
      <c r="B479" s="1">
        <v>44.172499999999999</v>
      </c>
      <c r="C479" s="1">
        <v>1668.4</v>
      </c>
      <c r="D479" s="1">
        <v>137.93</v>
      </c>
      <c r="E479" s="1">
        <f t="shared" si="56"/>
        <v>-4.4985593831335616E-2</v>
      </c>
      <c r="F479" s="1">
        <f t="shared" si="57"/>
        <v>-6.0446908478863165E-2</v>
      </c>
      <c r="G479" s="1">
        <f t="shared" si="58"/>
        <v>-2.2651674537637733E-2</v>
      </c>
      <c r="P479" s="39">
        <f t="shared" si="59"/>
        <v>663.78110073154778</v>
      </c>
      <c r="Q479" s="26">
        <f t="shared" si="60"/>
        <v>-39.88496974166128</v>
      </c>
      <c r="R479" s="26">
        <f t="shared" si="61"/>
        <v>39.88496974166128</v>
      </c>
    </row>
    <row r="480" spans="1:18" x14ac:dyDescent="0.3">
      <c r="A480" s="2">
        <v>43437</v>
      </c>
      <c r="B480" s="1">
        <v>46.204999999999998</v>
      </c>
      <c r="C480" s="1">
        <v>1772.36</v>
      </c>
      <c r="D480" s="1">
        <v>141.09</v>
      </c>
      <c r="E480" s="1">
        <f t="shared" si="56"/>
        <v>3.4345698370823956E-2</v>
      </c>
      <c r="F480" s="1">
        <f t="shared" si="57"/>
        <v>4.7482876227565279E-2</v>
      </c>
      <c r="G480" s="1">
        <f t="shared" si="58"/>
        <v>3.4078840223416918E-3</v>
      </c>
      <c r="P480" s="39">
        <f t="shared" si="59"/>
        <v>703.66607047320906</v>
      </c>
      <c r="Q480" s="26">
        <f t="shared" si="60"/>
        <v>31.07595242478817</v>
      </c>
      <c r="R480" s="26">
        <f t="shared" si="61"/>
        <v>-31.07595242478817</v>
      </c>
    </row>
    <row r="481" spans="1:18" x14ac:dyDescent="0.3">
      <c r="A481" s="2">
        <v>43434</v>
      </c>
      <c r="B481" s="1">
        <v>44.645000000000003</v>
      </c>
      <c r="C481" s="1">
        <v>1690.17</v>
      </c>
      <c r="D481" s="1">
        <v>140.61000000000001</v>
      </c>
      <c r="E481" s="1">
        <f t="shared" si="56"/>
        <v>-5.4170405830214693E-3</v>
      </c>
      <c r="F481" s="1">
        <f t="shared" si="57"/>
        <v>9.8700462943571068E-3</v>
      </c>
      <c r="G481" s="1">
        <f t="shared" si="58"/>
        <v>1.3820979785901816E-2</v>
      </c>
      <c r="P481" s="39">
        <f t="shared" si="59"/>
        <v>672.59011804842089</v>
      </c>
      <c r="Q481" s="26">
        <f t="shared" si="60"/>
        <v>6.4426737886839192</v>
      </c>
      <c r="R481" s="26">
        <f t="shared" si="61"/>
        <v>-6.4426737886839192</v>
      </c>
    </row>
    <row r="482" spans="1:18" x14ac:dyDescent="0.3">
      <c r="A482" s="2">
        <v>43433</v>
      </c>
      <c r="B482" s="1">
        <v>44.887500000000003</v>
      </c>
      <c r="C482" s="1">
        <v>1673.57</v>
      </c>
      <c r="D482" s="1">
        <v>138.68</v>
      </c>
      <c r="E482" s="1">
        <f t="shared" si="56"/>
        <v>-7.7117639255036728E-3</v>
      </c>
      <c r="F482" s="1">
        <f t="shared" si="57"/>
        <v>-2.4945407586177562E-3</v>
      </c>
      <c r="G482" s="1">
        <f t="shared" si="58"/>
        <v>1.3941556045722248E-2</v>
      </c>
      <c r="P482" s="39">
        <f t="shared" si="59"/>
        <v>666.14744425973697</v>
      </c>
      <c r="Q482" s="26">
        <f t="shared" si="60"/>
        <v>-1.270180583179922</v>
      </c>
      <c r="R482" s="26">
        <f t="shared" si="61"/>
        <v>1.270180583179922</v>
      </c>
    </row>
    <row r="483" spans="1:18" x14ac:dyDescent="0.3">
      <c r="A483" s="2">
        <v>43432</v>
      </c>
      <c r="B483" s="1">
        <v>45.234999999999999</v>
      </c>
      <c r="C483" s="1">
        <v>1677.75</v>
      </c>
      <c r="D483" s="1">
        <v>136.76</v>
      </c>
      <c r="E483" s="1">
        <f t="shared" si="56"/>
        <v>3.7731825412945244E-2</v>
      </c>
      <c r="F483" s="1">
        <f t="shared" si="57"/>
        <v>5.9130432459868563E-2</v>
      </c>
      <c r="G483" s="1">
        <f t="shared" si="58"/>
        <v>1.2952786332671011E-2</v>
      </c>
      <c r="P483" s="39">
        <f t="shared" si="59"/>
        <v>667.41762484291689</v>
      </c>
      <c r="Q483" s="26">
        <f t="shared" si="60"/>
        <v>36.618217579686871</v>
      </c>
      <c r="R483" s="26">
        <f t="shared" si="61"/>
        <v>-36.618217579686871</v>
      </c>
    </row>
    <row r="484" spans="1:18" x14ac:dyDescent="0.3">
      <c r="A484" s="2">
        <v>43431</v>
      </c>
      <c r="B484" s="1">
        <v>43.56</v>
      </c>
      <c r="C484" s="1">
        <v>1581.42</v>
      </c>
      <c r="D484" s="1">
        <v>135</v>
      </c>
      <c r="E484" s="1">
        <f t="shared" si="56"/>
        <v>-2.1785251980111931E-3</v>
      </c>
      <c r="F484" s="1">
        <f t="shared" si="57"/>
        <v>5.6912497051365758E-5</v>
      </c>
      <c r="G484" s="1">
        <f t="shared" si="58"/>
        <v>-1.0170328654077332E-2</v>
      </c>
      <c r="P484" s="39">
        <f t="shared" si="59"/>
        <v>630.79940726323002</v>
      </c>
      <c r="Q484" s="26">
        <f t="shared" si="60"/>
        <v>-0.30521565279582319</v>
      </c>
      <c r="R484" s="26">
        <f t="shared" si="61"/>
        <v>0.30521565279582319</v>
      </c>
    </row>
    <row r="485" spans="1:18" x14ac:dyDescent="0.3">
      <c r="A485" s="2">
        <v>43430</v>
      </c>
      <c r="B485" s="1">
        <v>43.655000000000001</v>
      </c>
      <c r="C485" s="1">
        <v>1581.33</v>
      </c>
      <c r="D485" s="1">
        <v>136.38</v>
      </c>
      <c r="E485" s="1">
        <f t="shared" si="56"/>
        <v>1.3433080838346925E-2</v>
      </c>
      <c r="F485" s="1">
        <f t="shared" si="57"/>
        <v>5.1428765817515508E-2</v>
      </c>
      <c r="G485" s="1">
        <f t="shared" si="58"/>
        <v>3.4690733850771191E-2</v>
      </c>
      <c r="P485" s="39">
        <f t="shared" si="59"/>
        <v>631.10462291602585</v>
      </c>
      <c r="Q485" s="26">
        <f t="shared" si="60"/>
        <v>30.497254691953458</v>
      </c>
      <c r="R485" s="26">
        <f t="shared" si="61"/>
        <v>-30.497254691953458</v>
      </c>
    </row>
    <row r="486" spans="1:18" x14ac:dyDescent="0.3">
      <c r="A486" s="2">
        <v>43427</v>
      </c>
      <c r="B486" s="1">
        <v>43.072499999999998</v>
      </c>
      <c r="C486" s="1">
        <v>1502.06</v>
      </c>
      <c r="D486" s="1">
        <v>131.72999999999999</v>
      </c>
      <c r="E486" s="1">
        <f t="shared" si="56"/>
        <v>-2.572691808848715E-2</v>
      </c>
      <c r="F486" s="1">
        <f t="shared" si="57"/>
        <v>-9.7192023828801492E-3</v>
      </c>
      <c r="G486" s="1">
        <f t="shared" si="58"/>
        <v>-2.3186182183557013E-2</v>
      </c>
      <c r="P486" s="39">
        <f t="shared" si="59"/>
        <v>600.60736822407239</v>
      </c>
      <c r="Q486" s="26">
        <f t="shared" si="60"/>
        <v>-6.5474936969794726</v>
      </c>
      <c r="R486" s="26">
        <f t="shared" si="61"/>
        <v>6.5474936969794726</v>
      </c>
    </row>
    <row r="487" spans="1:18" x14ac:dyDescent="0.3">
      <c r="A487" s="2">
        <v>43426</v>
      </c>
      <c r="B487" s="1">
        <v>44.195</v>
      </c>
      <c r="C487" s="1">
        <v>1516.73</v>
      </c>
      <c r="D487" s="1">
        <v>134.82</v>
      </c>
      <c r="E487" s="1">
        <f t="shared" si="56"/>
        <v>0</v>
      </c>
      <c r="F487" s="1">
        <f t="shared" si="57"/>
        <v>0</v>
      </c>
      <c r="G487" s="1">
        <f t="shared" si="58"/>
        <v>0</v>
      </c>
      <c r="P487" s="39">
        <f t="shared" si="59"/>
        <v>607.15486192105186</v>
      </c>
      <c r="Q487" s="26">
        <f t="shared" si="60"/>
        <v>0</v>
      </c>
      <c r="R487" s="26">
        <f t="shared" si="61"/>
        <v>0</v>
      </c>
    </row>
    <row r="488" spans="1:18" x14ac:dyDescent="0.3">
      <c r="A488" s="2">
        <v>43425</v>
      </c>
      <c r="B488" s="1">
        <v>44.195</v>
      </c>
      <c r="C488" s="1">
        <v>1516.73</v>
      </c>
      <c r="D488" s="1">
        <v>134.82</v>
      </c>
      <c r="E488" s="1">
        <f t="shared" si="56"/>
        <v>-1.1307102064021337E-3</v>
      </c>
      <c r="F488" s="1">
        <f t="shared" si="57"/>
        <v>1.4122849841884555E-2</v>
      </c>
      <c r="G488" s="1">
        <f t="shared" si="58"/>
        <v>1.7886351486419719E-2</v>
      </c>
      <c r="P488" s="39">
        <f t="shared" si="59"/>
        <v>607.15486192105186</v>
      </c>
      <c r="Q488" s="26">
        <f t="shared" si="60"/>
        <v>8.3452046804752626</v>
      </c>
      <c r="R488" s="26">
        <f t="shared" si="61"/>
        <v>-8.3452046804752626</v>
      </c>
    </row>
    <row r="489" spans="1:18" x14ac:dyDescent="0.3">
      <c r="A489" s="2">
        <v>43424</v>
      </c>
      <c r="B489" s="1">
        <v>44.244999999999997</v>
      </c>
      <c r="C489" s="1">
        <v>1495.46</v>
      </c>
      <c r="D489" s="1">
        <v>132.43</v>
      </c>
      <c r="E489" s="1">
        <f t="shared" si="56"/>
        <v>-4.8956970289989292E-2</v>
      </c>
      <c r="F489" s="1">
        <f t="shared" si="57"/>
        <v>-1.1191206485302701E-2</v>
      </c>
      <c r="G489" s="1">
        <f t="shared" si="58"/>
        <v>6.6671964525712403E-3</v>
      </c>
      <c r="P489" s="39">
        <f t="shared" si="59"/>
        <v>598.8096572405766</v>
      </c>
      <c r="Q489" s="26">
        <f t="shared" si="60"/>
        <v>-6.9388353360637893</v>
      </c>
      <c r="R489" s="26">
        <f t="shared" si="61"/>
        <v>6.9388353360637893</v>
      </c>
    </row>
    <row r="490" spans="1:18" x14ac:dyDescent="0.3">
      <c r="A490" s="2">
        <v>43423</v>
      </c>
      <c r="B490" s="1">
        <v>46.465000000000003</v>
      </c>
      <c r="C490" s="1">
        <v>1512.29</v>
      </c>
      <c r="D490" s="1">
        <v>131.55000000000001</v>
      </c>
      <c r="E490" s="1">
        <f t="shared" si="56"/>
        <v>-4.0438837083066718E-2</v>
      </c>
      <c r="F490" s="1">
        <f t="shared" si="57"/>
        <v>-5.2251315524398871E-2</v>
      </c>
      <c r="G490" s="1">
        <f t="shared" si="58"/>
        <v>-5.8892624417813504E-2</v>
      </c>
      <c r="P490" s="39">
        <f t="shared" si="59"/>
        <v>605.74849257664039</v>
      </c>
      <c r="Q490" s="26">
        <f t="shared" si="60"/>
        <v>-32.454614471690093</v>
      </c>
      <c r="R490" s="26">
        <f t="shared" si="61"/>
        <v>32.454614471690093</v>
      </c>
    </row>
    <row r="491" spans="1:18" x14ac:dyDescent="0.3">
      <c r="A491" s="2">
        <v>43420</v>
      </c>
      <c r="B491" s="1">
        <v>48.3825</v>
      </c>
      <c r="C491" s="1">
        <v>1593.41</v>
      </c>
      <c r="D491" s="1">
        <v>139.53</v>
      </c>
      <c r="E491" s="1">
        <f t="shared" si="56"/>
        <v>1.1014814954241668E-2</v>
      </c>
      <c r="F491" s="1">
        <f t="shared" si="57"/>
        <v>-1.620403663871129E-2</v>
      </c>
      <c r="G491" s="1">
        <f t="shared" si="58"/>
        <v>-3.0491458093441521E-2</v>
      </c>
      <c r="P491" s="39">
        <f t="shared" si="59"/>
        <v>638.20310704833048</v>
      </c>
      <c r="Q491" s="26">
        <f t="shared" si="60"/>
        <v>-10.320880302480532</v>
      </c>
      <c r="R491" s="26">
        <f t="shared" si="61"/>
        <v>10.320880302480532</v>
      </c>
    </row>
    <row r="492" spans="1:18" x14ac:dyDescent="0.3">
      <c r="A492" s="2">
        <v>43419</v>
      </c>
      <c r="B492" s="1">
        <v>47.852499999999999</v>
      </c>
      <c r="C492" s="1">
        <v>1619.44</v>
      </c>
      <c r="D492" s="1">
        <v>143.85</v>
      </c>
      <c r="E492" s="1">
        <f t="shared" si="56"/>
        <v>2.4379198463276127E-2</v>
      </c>
      <c r="F492" s="1">
        <f t="shared" si="57"/>
        <v>1.2695722730230282E-2</v>
      </c>
      <c r="G492" s="1">
        <f t="shared" si="58"/>
        <v>-2.5688214910566114E-3</v>
      </c>
      <c r="P492" s="39">
        <f t="shared" si="59"/>
        <v>648.52398735081101</v>
      </c>
      <c r="Q492" s="26">
        <f t="shared" si="60"/>
        <v>7.9353632010407864</v>
      </c>
      <c r="R492" s="26">
        <f t="shared" si="61"/>
        <v>-7.9353632010407864</v>
      </c>
    </row>
    <row r="493" spans="1:18" x14ac:dyDescent="0.3">
      <c r="A493" s="2">
        <v>43418</v>
      </c>
      <c r="B493" s="1">
        <v>46.7</v>
      </c>
      <c r="C493" s="1">
        <v>1599.01</v>
      </c>
      <c r="D493" s="1">
        <v>144.22</v>
      </c>
      <c r="E493" s="1">
        <f t="shared" si="56"/>
        <v>-2.8654045970026604E-2</v>
      </c>
      <c r="F493" s="1">
        <f t="shared" si="57"/>
        <v>-1.9912860999712862E-2</v>
      </c>
      <c r="G493" s="1">
        <f t="shared" si="58"/>
        <v>1.4386727642217535E-2</v>
      </c>
      <c r="P493" s="39">
        <f t="shared" si="59"/>
        <v>640.58862414977023</v>
      </c>
      <c r="Q493" s="26">
        <f t="shared" si="60"/>
        <v>-11.982066011627239</v>
      </c>
      <c r="R493" s="26">
        <f t="shared" si="61"/>
        <v>11.982066011627239</v>
      </c>
    </row>
    <row r="494" spans="1:18" x14ac:dyDescent="0.3">
      <c r="A494" s="2">
        <v>43417</v>
      </c>
      <c r="B494" s="1">
        <v>48.057499999999997</v>
      </c>
      <c r="C494" s="1">
        <v>1631.17</v>
      </c>
      <c r="D494" s="1">
        <v>142.16</v>
      </c>
      <c r="E494" s="1">
        <f t="shared" si="56"/>
        <v>-1.0041492241593453E-2</v>
      </c>
      <c r="F494" s="1">
        <f t="shared" si="57"/>
        <v>-3.4761144175746083E-3</v>
      </c>
      <c r="G494" s="1">
        <f t="shared" si="58"/>
        <v>4.3001722884872086E-3</v>
      </c>
      <c r="P494" s="39">
        <f t="shared" si="59"/>
        <v>652.57069016139747</v>
      </c>
      <c r="Q494" s="26">
        <f t="shared" si="60"/>
        <v>-2.1644962518932971</v>
      </c>
      <c r="R494" s="26">
        <f t="shared" si="61"/>
        <v>2.1644962518932971</v>
      </c>
    </row>
    <row r="495" spans="1:18" x14ac:dyDescent="0.3">
      <c r="A495" s="2">
        <v>43416</v>
      </c>
      <c r="B495" s="1">
        <v>48.542499999999997</v>
      </c>
      <c r="C495" s="1">
        <v>1636.85</v>
      </c>
      <c r="D495" s="1">
        <v>141.55000000000001</v>
      </c>
      <c r="E495" s="1">
        <f t="shared" si="56"/>
        <v>-5.1687201448600596E-2</v>
      </c>
      <c r="F495" s="1">
        <f t="shared" si="57"/>
        <v>-4.5139751248149687E-2</v>
      </c>
      <c r="G495" s="1">
        <f t="shared" si="58"/>
        <v>-2.3804830736760551E-2</v>
      </c>
      <c r="P495" s="39">
        <f t="shared" si="59"/>
        <v>654.73518641329076</v>
      </c>
      <c r="Q495" s="26">
        <f t="shared" si="60"/>
        <v>-29.692564453393288</v>
      </c>
      <c r="R495" s="26">
        <f t="shared" si="61"/>
        <v>29.692564453393288</v>
      </c>
    </row>
    <row r="496" spans="1:18" x14ac:dyDescent="0.3">
      <c r="A496" s="2">
        <v>43413</v>
      </c>
      <c r="B496" s="1">
        <v>51.1175</v>
      </c>
      <c r="C496" s="1">
        <v>1712.43</v>
      </c>
      <c r="D496" s="1">
        <v>144.96</v>
      </c>
      <c r="E496" s="1">
        <f t="shared" si="56"/>
        <v>-1.9469813003002021E-2</v>
      </c>
      <c r="F496" s="1">
        <f t="shared" si="57"/>
        <v>-2.4504159145186038E-2</v>
      </c>
      <c r="G496" s="1">
        <f t="shared" si="58"/>
        <v>-1.987566709072687E-2</v>
      </c>
      <c r="P496" s="39">
        <f t="shared" si="59"/>
        <v>684.42775086668405</v>
      </c>
      <c r="Q496" s="26">
        <f t="shared" si="60"/>
        <v>-16.720841669011065</v>
      </c>
      <c r="R496" s="26">
        <f t="shared" si="61"/>
        <v>16.720841669011065</v>
      </c>
    </row>
    <row r="497" spans="1:18" x14ac:dyDescent="0.3">
      <c r="A497" s="2">
        <v>43412</v>
      </c>
      <c r="B497" s="1">
        <v>52.122500000000002</v>
      </c>
      <c r="C497" s="1">
        <v>1754.91</v>
      </c>
      <c r="D497" s="1">
        <v>147.87</v>
      </c>
      <c r="E497" s="1">
        <f t="shared" si="56"/>
        <v>-6.9783286722373133E-3</v>
      </c>
      <c r="F497" s="1">
        <f t="shared" si="57"/>
        <v>-3.3044667575073252E-4</v>
      </c>
      <c r="G497" s="1">
        <f t="shared" si="58"/>
        <v>-2.4450115762674748E-2</v>
      </c>
      <c r="P497" s="39">
        <f t="shared" si="59"/>
        <v>701.14859253569512</v>
      </c>
      <c r="Q497" s="26">
        <f t="shared" si="60"/>
        <v>-1.1583946341611409</v>
      </c>
      <c r="R497" s="26">
        <f t="shared" si="61"/>
        <v>1.1583946341611409</v>
      </c>
    </row>
    <row r="498" spans="1:18" x14ac:dyDescent="0.3">
      <c r="A498" s="2">
        <v>43411</v>
      </c>
      <c r="B498" s="1">
        <v>52.487499999999997</v>
      </c>
      <c r="C498" s="1">
        <v>1755.49</v>
      </c>
      <c r="D498" s="1">
        <v>151.53</v>
      </c>
      <c r="E498" s="1">
        <f t="shared" si="56"/>
        <v>2.9877500317357083E-2</v>
      </c>
      <c r="F498" s="1">
        <f t="shared" si="57"/>
        <v>6.6339829977339448E-2</v>
      </c>
      <c r="G498" s="1">
        <f t="shared" si="58"/>
        <v>1.0548411073154941E-2</v>
      </c>
      <c r="P498" s="39">
        <f t="shared" si="59"/>
        <v>702.30698716985626</v>
      </c>
      <c r="Q498" s="26">
        <f t="shared" si="60"/>
        <v>42.56016454805922</v>
      </c>
      <c r="R498" s="26">
        <f t="shared" si="61"/>
        <v>-42.56016454805922</v>
      </c>
    </row>
    <row r="499" spans="1:18" x14ac:dyDescent="0.3">
      <c r="A499" s="2">
        <v>43410</v>
      </c>
      <c r="B499" s="1">
        <v>50.942500000000003</v>
      </c>
      <c r="C499" s="1">
        <v>1642.81</v>
      </c>
      <c r="D499" s="1">
        <v>149.94</v>
      </c>
      <c r="E499" s="1">
        <f t="shared" si="56"/>
        <v>1.0755975020512992E-2</v>
      </c>
      <c r="F499" s="1">
        <f t="shared" si="57"/>
        <v>9.1787803391851289E-3</v>
      </c>
      <c r="G499" s="1">
        <f t="shared" si="58"/>
        <v>8.4388686458646035E-3</v>
      </c>
      <c r="P499" s="39">
        <f t="shared" si="59"/>
        <v>659.74682262179704</v>
      </c>
      <c r="Q499" s="26">
        <f t="shared" si="60"/>
        <v>6.0370912598026507</v>
      </c>
      <c r="R499" s="26">
        <f t="shared" si="61"/>
        <v>-6.0370912598026507</v>
      </c>
    </row>
    <row r="500" spans="1:18" x14ac:dyDescent="0.3">
      <c r="A500" s="2">
        <v>43409</v>
      </c>
      <c r="B500" s="1">
        <v>50.397500000000001</v>
      </c>
      <c r="C500" s="1">
        <v>1627.8</v>
      </c>
      <c r="D500" s="1">
        <v>148.68</v>
      </c>
      <c r="E500" s="1">
        <f t="shared" si="56"/>
        <v>-2.8799017690867113E-2</v>
      </c>
      <c r="F500" s="1">
        <f t="shared" si="57"/>
        <v>-2.2913981187394392E-2</v>
      </c>
      <c r="G500" s="1">
        <f t="shared" si="58"/>
        <v>-1.1169564005486653E-2</v>
      </c>
      <c r="P500" s="39">
        <f t="shared" si="59"/>
        <v>653.70973136199439</v>
      </c>
      <c r="Q500" s="26">
        <f t="shared" si="60"/>
        <v>-14.893208075794632</v>
      </c>
      <c r="R500" s="26">
        <f t="shared" si="61"/>
        <v>14.893208075794632</v>
      </c>
    </row>
    <row r="501" spans="1:18" x14ac:dyDescent="0.3">
      <c r="A501" s="2">
        <v>43406</v>
      </c>
      <c r="B501" s="1">
        <v>51.87</v>
      </c>
      <c r="C501" s="1">
        <v>1665.53</v>
      </c>
      <c r="D501" s="1">
        <v>150.35</v>
      </c>
      <c r="E501" s="1">
        <f t="shared" si="56"/>
        <v>-6.8632932672663197E-2</v>
      </c>
      <c r="F501" s="1">
        <f t="shared" si="57"/>
        <v>0</v>
      </c>
      <c r="G501" s="1">
        <f t="shared" si="58"/>
        <v>-9.2685205050695892E-3</v>
      </c>
      <c r="P501" s="39">
        <f t="shared" si="59"/>
        <v>668.60293943778902</v>
      </c>
      <c r="Q501" s="26">
        <f t="shared" si="60"/>
        <v>-1.83016077702041</v>
      </c>
      <c r="R501" s="26">
        <f t="shared" si="61"/>
        <v>1.83016077702041</v>
      </c>
    </row>
    <row r="502" spans="1:18" x14ac:dyDescent="0.3">
      <c r="A502" s="2">
        <v>43405</v>
      </c>
      <c r="B502" s="1">
        <v>55.555</v>
      </c>
      <c r="C502" s="1">
        <v>1665.53</v>
      </c>
      <c r="D502" s="1">
        <v>151.75</v>
      </c>
      <c r="E502" s="1">
        <f t="shared" si="56"/>
        <v>1.5235626165565584E-2</v>
      </c>
      <c r="F502" s="1">
        <f t="shared" si="57"/>
        <v>4.1384285951417764E-2</v>
      </c>
      <c r="G502" s="1">
        <f t="shared" si="58"/>
        <v>-2.6355669916015574E-4</v>
      </c>
      <c r="P502" s="39">
        <f t="shared" si="59"/>
        <v>670.43310021480943</v>
      </c>
      <c r="Q502" s="26">
        <f t="shared" si="60"/>
        <v>25.252171926847041</v>
      </c>
      <c r="R502" s="26">
        <f t="shared" si="61"/>
        <v>-25.252171926847041</v>
      </c>
    </row>
    <row r="503" spans="1:18" x14ac:dyDescent="0.3">
      <c r="A503" s="2">
        <v>43404</v>
      </c>
      <c r="B503" s="1">
        <v>54.715000000000003</v>
      </c>
      <c r="C503" s="1">
        <v>1598.01</v>
      </c>
      <c r="D503" s="1">
        <v>151.79</v>
      </c>
      <c r="E503" s="1">
        <f t="shared" si="56"/>
        <v>2.5732630512992103E-2</v>
      </c>
      <c r="F503" s="1">
        <f t="shared" si="57"/>
        <v>4.3216897609437262E-2</v>
      </c>
      <c r="G503" s="1">
        <f t="shared" si="58"/>
        <v>3.7385649773597825E-2</v>
      </c>
      <c r="P503" s="39">
        <f t="shared" si="59"/>
        <v>645.18092828796239</v>
      </c>
      <c r="Q503" s="26">
        <f t="shared" si="60"/>
        <v>26.721629613618234</v>
      </c>
      <c r="R503" s="26">
        <f t="shared" si="61"/>
        <v>-26.721629613618234</v>
      </c>
    </row>
    <row r="504" spans="1:18" x14ac:dyDescent="0.3">
      <c r="A504" s="2">
        <v>43403</v>
      </c>
      <c r="B504" s="1">
        <v>53.325000000000003</v>
      </c>
      <c r="C504" s="1">
        <v>1530.42</v>
      </c>
      <c r="D504" s="1">
        <v>146.22</v>
      </c>
      <c r="E504" s="1">
        <f t="shared" si="56"/>
        <v>4.9819156478205793E-3</v>
      </c>
      <c r="F504" s="1">
        <f t="shared" si="57"/>
        <v>-5.5126715698175293E-3</v>
      </c>
      <c r="G504" s="1">
        <f t="shared" si="58"/>
        <v>2.8651677215185859E-2</v>
      </c>
      <c r="P504" s="39">
        <f t="shared" si="59"/>
        <v>618.45929867434415</v>
      </c>
      <c r="Q504" s="26">
        <f t="shared" si="60"/>
        <v>-2.1166657894451646</v>
      </c>
      <c r="R504" s="26">
        <f t="shared" si="61"/>
        <v>2.1166657894451646</v>
      </c>
    </row>
    <row r="505" spans="1:18" x14ac:dyDescent="0.3">
      <c r="A505" s="2">
        <v>43402</v>
      </c>
      <c r="B505" s="1">
        <v>53.06</v>
      </c>
      <c r="C505" s="1">
        <v>1538.88</v>
      </c>
      <c r="D505" s="1">
        <v>142.09</v>
      </c>
      <c r="E505" s="1">
        <f t="shared" si="56"/>
        <v>-1.8948623129528868E-2</v>
      </c>
      <c r="F505" s="1">
        <f t="shared" si="57"/>
        <v>-6.5353311142828205E-2</v>
      </c>
      <c r="G505" s="1">
        <f t="shared" si="58"/>
        <v>-2.2821556788249563E-2</v>
      </c>
      <c r="P505" s="39">
        <f t="shared" si="59"/>
        <v>620.57596446378932</v>
      </c>
      <c r="Q505" s="26">
        <f t="shared" si="60"/>
        <v>-39.47833696944906</v>
      </c>
      <c r="R505" s="26">
        <f t="shared" si="61"/>
        <v>39.47833696944906</v>
      </c>
    </row>
    <row r="506" spans="1:18" x14ac:dyDescent="0.3">
      <c r="A506" s="2">
        <v>43399</v>
      </c>
      <c r="B506" s="1">
        <v>54.075000000000003</v>
      </c>
      <c r="C506" s="1">
        <v>1642.81</v>
      </c>
      <c r="D506" s="1">
        <v>145.37</v>
      </c>
      <c r="E506" s="1">
        <f t="shared" si="56"/>
        <v>-1.6051709010507901E-2</v>
      </c>
      <c r="F506" s="1">
        <f t="shared" si="57"/>
        <v>-8.1423532677219565E-2</v>
      </c>
      <c r="G506" s="1">
        <f t="shared" si="58"/>
        <v>-3.7666439714614183E-2</v>
      </c>
      <c r="P506" s="39">
        <f t="shared" si="59"/>
        <v>660.05430143323838</v>
      </c>
      <c r="Q506" s="26">
        <f t="shared" si="60"/>
        <v>-52.991355373823239</v>
      </c>
      <c r="R506" s="26">
        <f t="shared" si="61"/>
        <v>52.991355373823239</v>
      </c>
    </row>
    <row r="507" spans="1:18" x14ac:dyDescent="0.3">
      <c r="A507" s="2">
        <v>43398</v>
      </c>
      <c r="B507" s="1">
        <v>54.95</v>
      </c>
      <c r="C507" s="1">
        <v>1782.17</v>
      </c>
      <c r="D507" s="1">
        <v>150.94999999999999</v>
      </c>
      <c r="E507" s="1">
        <f t="shared" si="56"/>
        <v>2.1661496781179467E-2</v>
      </c>
      <c r="F507" s="1">
        <f t="shared" si="57"/>
        <v>6.848719544301618E-2</v>
      </c>
      <c r="G507" s="1">
        <f t="shared" si="58"/>
        <v>3.3068099365411607E-2</v>
      </c>
      <c r="P507" s="39">
        <f t="shared" si="59"/>
        <v>713.04565680706162</v>
      </c>
      <c r="Q507" s="26">
        <f t="shared" si="60"/>
        <v>45.079234536398644</v>
      </c>
      <c r="R507" s="26">
        <f t="shared" si="61"/>
        <v>-45.079234536398644</v>
      </c>
    </row>
    <row r="508" spans="1:18" x14ac:dyDescent="0.3">
      <c r="A508" s="2">
        <v>43397</v>
      </c>
      <c r="B508" s="1">
        <v>53.772500000000001</v>
      </c>
      <c r="C508" s="1">
        <v>1664.2</v>
      </c>
      <c r="D508" s="1">
        <v>146.04</v>
      </c>
      <c r="E508" s="1">
        <f t="shared" si="56"/>
        <v>-3.4903730375051532E-2</v>
      </c>
      <c r="F508" s="1">
        <f t="shared" si="57"/>
        <v>-6.0900285974418503E-2</v>
      </c>
      <c r="G508" s="1">
        <f t="shared" si="58"/>
        <v>-5.5601311866399064E-2</v>
      </c>
      <c r="P508" s="39">
        <f t="shared" si="59"/>
        <v>667.96642227066297</v>
      </c>
      <c r="Q508" s="26">
        <f t="shared" si="60"/>
        <v>-41.158194743335798</v>
      </c>
      <c r="R508" s="26">
        <f t="shared" si="61"/>
        <v>41.158194743335798</v>
      </c>
    </row>
    <row r="509" spans="1:18" x14ac:dyDescent="0.3">
      <c r="A509" s="2">
        <v>43396</v>
      </c>
      <c r="B509" s="1">
        <v>55.682499999999997</v>
      </c>
      <c r="C509" s="1">
        <v>1768.7</v>
      </c>
      <c r="D509" s="1">
        <v>154.38999999999999</v>
      </c>
      <c r="E509" s="1">
        <f t="shared" si="56"/>
        <v>9.3825398478369574E-3</v>
      </c>
      <c r="F509" s="1">
        <f t="shared" si="57"/>
        <v>-1.1579668457068129E-2</v>
      </c>
      <c r="G509" s="1">
        <f t="shared" si="58"/>
        <v>-2.5228851884779089E-3</v>
      </c>
      <c r="P509" s="39">
        <f t="shared" si="59"/>
        <v>709.12461701399877</v>
      </c>
      <c r="Q509" s="26">
        <f t="shared" si="60"/>
        <v>-7.4698413616590642</v>
      </c>
      <c r="R509" s="26">
        <f t="shared" si="61"/>
        <v>7.4698413616590642</v>
      </c>
    </row>
    <row r="510" spans="1:18" x14ac:dyDescent="0.3">
      <c r="A510" s="2">
        <v>43395</v>
      </c>
      <c r="B510" s="1">
        <v>55.162500000000001</v>
      </c>
      <c r="C510" s="1">
        <v>1789.3</v>
      </c>
      <c r="D510" s="1">
        <v>154.78</v>
      </c>
      <c r="E510" s="1">
        <f t="shared" si="56"/>
        <v>6.0914816961425257E-3</v>
      </c>
      <c r="F510" s="1">
        <f t="shared" si="57"/>
        <v>1.4223517672972422E-2</v>
      </c>
      <c r="G510" s="1">
        <f t="shared" si="58"/>
        <v>4.7275287996361654E-3</v>
      </c>
      <c r="P510" s="39">
        <f t="shared" si="59"/>
        <v>716.59445837565784</v>
      </c>
      <c r="Q510" s="26">
        <f t="shared" si="60"/>
        <v>9.6208528545296303</v>
      </c>
      <c r="R510" s="26">
        <f t="shared" si="61"/>
        <v>-9.6208528545296303</v>
      </c>
    </row>
    <row r="511" spans="1:18" x14ac:dyDescent="0.3">
      <c r="A511" s="2">
        <v>43392</v>
      </c>
      <c r="B511" s="1">
        <v>54.827500000000001</v>
      </c>
      <c r="C511" s="1">
        <v>1764.03</v>
      </c>
      <c r="D511" s="1">
        <v>154.05000000000001</v>
      </c>
      <c r="E511" s="1">
        <f t="shared" si="56"/>
        <v>1.511525802908552E-2</v>
      </c>
      <c r="F511" s="1">
        <f t="shared" si="57"/>
        <v>-3.7852792916315912E-3</v>
      </c>
      <c r="G511" s="1">
        <f t="shared" si="58"/>
        <v>-5.6316296038743064E-3</v>
      </c>
      <c r="P511" s="39">
        <f t="shared" si="59"/>
        <v>706.97360552112821</v>
      </c>
      <c r="Q511" s="26">
        <f t="shared" si="60"/>
        <v>-2.3161676489985439</v>
      </c>
      <c r="R511" s="26">
        <f t="shared" si="61"/>
        <v>2.3161676489985439</v>
      </c>
    </row>
    <row r="512" spans="1:18" x14ac:dyDescent="0.3">
      <c r="A512" s="2">
        <v>43391</v>
      </c>
      <c r="B512" s="1">
        <v>54.005000000000003</v>
      </c>
      <c r="C512" s="1">
        <v>1770.72</v>
      </c>
      <c r="D512" s="1">
        <v>154.91999999999999</v>
      </c>
      <c r="E512" s="1">
        <f t="shared" si="56"/>
        <v>-2.3651064679340767E-2</v>
      </c>
      <c r="F512" s="1">
        <f t="shared" si="57"/>
        <v>-3.387463194345007E-2</v>
      </c>
      <c r="G512" s="1">
        <f t="shared" si="58"/>
        <v>-2.8633374353225698E-2</v>
      </c>
      <c r="P512" s="39">
        <f t="shared" si="59"/>
        <v>709.28977317012675</v>
      </c>
      <c r="Q512" s="26">
        <f t="shared" si="60"/>
        <v>-24.02153310886024</v>
      </c>
      <c r="R512" s="26">
        <f t="shared" si="61"/>
        <v>24.02153310886024</v>
      </c>
    </row>
    <row r="513" spans="1:18" x14ac:dyDescent="0.3">
      <c r="A513" s="2">
        <v>43390</v>
      </c>
      <c r="B513" s="1">
        <v>55.297499999999999</v>
      </c>
      <c r="C513" s="1">
        <v>1831.73</v>
      </c>
      <c r="D513" s="1">
        <v>159.41999999999999</v>
      </c>
      <c r="E513" s="1">
        <f t="shared" si="56"/>
        <v>-4.3307687122485835E-3</v>
      </c>
      <c r="F513" s="1">
        <f t="shared" si="57"/>
        <v>6.4463526525824558E-3</v>
      </c>
      <c r="G513" s="1">
        <f t="shared" si="58"/>
        <v>4.0226327028096654E-3</v>
      </c>
      <c r="P513" s="39">
        <f t="shared" si="59"/>
        <v>733.31130627898699</v>
      </c>
      <c r="Q513" s="26">
        <f t="shared" si="60"/>
        <v>4.3820289105975689</v>
      </c>
      <c r="R513" s="26">
        <f t="shared" si="61"/>
        <v>-4.3820289105975689</v>
      </c>
    </row>
    <row r="514" spans="1:18" x14ac:dyDescent="0.3">
      <c r="A514" s="2">
        <v>43389</v>
      </c>
      <c r="B514" s="1">
        <v>55.537500000000001</v>
      </c>
      <c r="C514" s="1">
        <v>1819.96</v>
      </c>
      <c r="D514" s="1">
        <v>158.78</v>
      </c>
      <c r="E514" s="1">
        <f t="shared" si="56"/>
        <v>2.179786426382509E-2</v>
      </c>
      <c r="F514" s="1">
        <f t="shared" si="57"/>
        <v>3.2961086672770548E-2</v>
      </c>
      <c r="G514" s="1">
        <f t="shared" si="58"/>
        <v>3.3688744597522823E-2</v>
      </c>
      <c r="P514" s="39">
        <f t="shared" si="59"/>
        <v>728.92927736838942</v>
      </c>
      <c r="Q514" s="26">
        <f t="shared" si="60"/>
        <v>23.408935237904188</v>
      </c>
      <c r="R514" s="26">
        <f t="shared" si="61"/>
        <v>-23.408935237904188</v>
      </c>
    </row>
    <row r="515" spans="1:18" x14ac:dyDescent="0.3">
      <c r="A515" s="2">
        <v>43388</v>
      </c>
      <c r="B515" s="1">
        <v>54.34</v>
      </c>
      <c r="C515" s="1">
        <v>1760.95</v>
      </c>
      <c r="D515" s="1">
        <v>153.52000000000001</v>
      </c>
      <c r="E515" s="1">
        <f t="shared" si="56"/>
        <v>-2.1617789532325248E-2</v>
      </c>
      <c r="F515" s="1">
        <f t="shared" si="57"/>
        <v>-1.5585345726879656E-2</v>
      </c>
      <c r="G515" s="1">
        <f t="shared" si="58"/>
        <v>-1.4320122215414658E-3</v>
      </c>
      <c r="P515" s="39">
        <f t="shared" si="59"/>
        <v>705.52034213048523</v>
      </c>
      <c r="Q515" s="26">
        <f t="shared" si="60"/>
        <v>-10.7453731096208</v>
      </c>
      <c r="R515" s="26">
        <f t="shared" si="61"/>
        <v>10.7453731096208</v>
      </c>
    </row>
    <row r="516" spans="1:18" x14ac:dyDescent="0.3">
      <c r="A516" s="2">
        <v>43385</v>
      </c>
      <c r="B516" s="1">
        <v>55.527500000000003</v>
      </c>
      <c r="C516" s="1">
        <v>1788.61</v>
      </c>
      <c r="D516" s="1">
        <v>153.74</v>
      </c>
      <c r="E516" s="1">
        <f t="shared" si="56"/>
        <v>3.509614368752819E-2</v>
      </c>
      <c r="F516" s="1">
        <f t="shared" si="57"/>
        <v>3.9486653320995338E-2</v>
      </c>
      <c r="G516" s="1">
        <f t="shared" si="58"/>
        <v>2.539973360725525E-3</v>
      </c>
      <c r="P516" s="39">
        <f t="shared" si="59"/>
        <v>716.26571524010603</v>
      </c>
      <c r="Q516" s="26">
        <f t="shared" si="60"/>
        <v>26.429067598890128</v>
      </c>
      <c r="R516" s="26">
        <f t="shared" si="61"/>
        <v>-26.429067598890128</v>
      </c>
    </row>
    <row r="517" spans="1:18" x14ac:dyDescent="0.3">
      <c r="A517" s="2">
        <v>43384</v>
      </c>
      <c r="B517" s="1">
        <v>53.612499999999997</v>
      </c>
      <c r="C517" s="1">
        <v>1719.36</v>
      </c>
      <c r="D517" s="1">
        <v>153.35</v>
      </c>
      <c r="E517" s="1">
        <f t="shared" si="56"/>
        <v>-8.8670760403368135E-3</v>
      </c>
      <c r="F517" s="1">
        <f t="shared" si="57"/>
        <v>-2.0659168356901625E-2</v>
      </c>
      <c r="G517" s="1">
        <f t="shared" si="58"/>
        <v>1.2929658679239188E-2</v>
      </c>
      <c r="P517" s="39">
        <f t="shared" si="59"/>
        <v>689.8366476412159</v>
      </c>
      <c r="Q517" s="26">
        <f t="shared" si="60"/>
        <v>-13.013225564461891</v>
      </c>
      <c r="R517" s="26">
        <f t="shared" si="61"/>
        <v>13.013225564461891</v>
      </c>
    </row>
    <row r="518" spans="1:18" x14ac:dyDescent="0.3">
      <c r="A518" s="2">
        <v>43383</v>
      </c>
      <c r="B518" s="1">
        <v>54.09</v>
      </c>
      <c r="C518" s="1">
        <v>1755.25</v>
      </c>
      <c r="D518" s="1">
        <v>151.38</v>
      </c>
      <c r="E518" s="1">
        <f t="shared" ref="E518:E581" si="62">LN(B518/B519)</f>
        <v>-4.7433479205543055E-2</v>
      </c>
      <c r="F518" s="1">
        <f t="shared" ref="F518:F581" si="63">LN(C518/C519)</f>
        <v>-6.349824230605694E-2</v>
      </c>
      <c r="G518" s="1">
        <f t="shared" ref="G518:G581" si="64">LN(D518/D519)</f>
        <v>-4.2168689380575136E-2</v>
      </c>
      <c r="P518" s="39">
        <f t="shared" ref="P518:P581" si="65">B518*$J$13+C518*$J$14+D518*$J$15</f>
        <v>702.8498732056778</v>
      </c>
      <c r="Q518" s="26">
        <f t="shared" ref="Q518:Q581" si="66">P518-P519</f>
        <v>-44.95889164399307</v>
      </c>
      <c r="R518" s="26">
        <f t="shared" ref="R518:R581" si="67">-Q518</f>
        <v>44.95889164399307</v>
      </c>
    </row>
    <row r="519" spans="1:18" x14ac:dyDescent="0.3">
      <c r="A519" s="2">
        <v>43382</v>
      </c>
      <c r="B519" s="1">
        <v>56.717500000000001</v>
      </c>
      <c r="C519" s="1">
        <v>1870.32</v>
      </c>
      <c r="D519" s="1">
        <v>157.9</v>
      </c>
      <c r="E519" s="1">
        <f t="shared" si="62"/>
        <v>1.3758427573587828E-2</v>
      </c>
      <c r="F519" s="1">
        <f t="shared" si="63"/>
        <v>3.1595264506308145E-3</v>
      </c>
      <c r="G519" s="1">
        <f t="shared" si="64"/>
        <v>4.125025681046576E-3</v>
      </c>
      <c r="P519" s="39">
        <f t="shared" si="65"/>
        <v>747.80876484967087</v>
      </c>
      <c r="Q519" s="26">
        <f t="shared" si="66"/>
        <v>2.6388790869842751</v>
      </c>
      <c r="R519" s="26">
        <f t="shared" si="67"/>
        <v>-2.6388790869842751</v>
      </c>
    </row>
    <row r="520" spans="1:18" x14ac:dyDescent="0.3">
      <c r="A520" s="2">
        <v>43381</v>
      </c>
      <c r="B520" s="1">
        <v>55.942500000000003</v>
      </c>
      <c r="C520" s="1">
        <v>1864.42</v>
      </c>
      <c r="D520" s="1">
        <v>157.25</v>
      </c>
      <c r="E520" s="1">
        <f t="shared" si="62"/>
        <v>-2.3211187495526561E-3</v>
      </c>
      <c r="F520" s="1">
        <f t="shared" si="63"/>
        <v>-1.3441613966824908E-2</v>
      </c>
      <c r="G520" s="1">
        <f t="shared" si="64"/>
        <v>-5.0861467178208949E-4</v>
      </c>
      <c r="P520" s="39">
        <f t="shared" si="65"/>
        <v>745.16988576268659</v>
      </c>
      <c r="Q520" s="26">
        <f t="shared" si="66"/>
        <v>-9.3802959390649221</v>
      </c>
      <c r="R520" s="26">
        <f t="shared" si="67"/>
        <v>9.3802959390649221</v>
      </c>
    </row>
    <row r="521" spans="1:18" x14ac:dyDescent="0.3">
      <c r="A521" s="2">
        <v>43378</v>
      </c>
      <c r="B521" s="1">
        <v>56.072499999999998</v>
      </c>
      <c r="C521" s="1">
        <v>1889.65</v>
      </c>
      <c r="D521" s="1">
        <v>157.33000000000001</v>
      </c>
      <c r="E521" s="1">
        <f t="shared" si="62"/>
        <v>-1.6361910958721096E-2</v>
      </c>
      <c r="F521" s="1">
        <f t="shared" si="63"/>
        <v>-1.0407904284072062E-2</v>
      </c>
      <c r="G521" s="1">
        <f t="shared" si="64"/>
        <v>-9.6148504631930771E-3</v>
      </c>
      <c r="P521" s="39">
        <f t="shared" si="65"/>
        <v>754.55018170175151</v>
      </c>
      <c r="Q521" s="26">
        <f t="shared" si="66"/>
        <v>-8.0071717158758702</v>
      </c>
      <c r="R521" s="26">
        <f t="shared" si="67"/>
        <v>8.0071717158758702</v>
      </c>
    </row>
    <row r="522" spans="1:18" x14ac:dyDescent="0.3">
      <c r="A522" s="2">
        <v>43377</v>
      </c>
      <c r="B522" s="1">
        <v>56.997500000000002</v>
      </c>
      <c r="C522" s="1">
        <v>1909.42</v>
      </c>
      <c r="D522" s="1">
        <v>158.85</v>
      </c>
      <c r="E522" s="1">
        <f t="shared" si="62"/>
        <v>-1.773728195121178E-2</v>
      </c>
      <c r="F522" s="1">
        <f t="shared" si="63"/>
        <v>-2.2444225456841906E-2</v>
      </c>
      <c r="G522" s="1">
        <f t="shared" si="64"/>
        <v>-2.2286779015779384E-2</v>
      </c>
      <c r="P522" s="39">
        <f t="shared" si="65"/>
        <v>762.55735341762738</v>
      </c>
      <c r="Q522" s="26">
        <f t="shared" si="66"/>
        <v>-17.189567193703851</v>
      </c>
      <c r="R522" s="26">
        <f t="shared" si="67"/>
        <v>17.189567193703851</v>
      </c>
    </row>
    <row r="523" spans="1:18" x14ac:dyDescent="0.3">
      <c r="A523" s="2">
        <v>43376</v>
      </c>
      <c r="B523" s="1">
        <v>58.017499999999998</v>
      </c>
      <c r="C523" s="1">
        <v>1952.76</v>
      </c>
      <c r="D523" s="1">
        <v>162.43</v>
      </c>
      <c r="E523" s="1">
        <f t="shared" si="62"/>
        <v>1.2095086214805446E-2</v>
      </c>
      <c r="F523" s="1">
        <f t="shared" si="63"/>
        <v>-9.454539893144525E-3</v>
      </c>
      <c r="G523" s="1">
        <f t="shared" si="64"/>
        <v>1.9269616628886869E-2</v>
      </c>
      <c r="P523" s="39">
        <f t="shared" si="65"/>
        <v>779.74692061133123</v>
      </c>
      <c r="Q523" s="26">
        <f t="shared" si="66"/>
        <v>-5.8835875123593269</v>
      </c>
      <c r="R523" s="26">
        <f t="shared" si="67"/>
        <v>5.8835875123593269</v>
      </c>
    </row>
    <row r="524" spans="1:18" x14ac:dyDescent="0.3">
      <c r="A524" s="2">
        <v>43375</v>
      </c>
      <c r="B524" s="1">
        <v>57.32</v>
      </c>
      <c r="C524" s="1">
        <v>1971.31</v>
      </c>
      <c r="D524" s="1">
        <v>159.33000000000001</v>
      </c>
      <c r="E524" s="1">
        <f t="shared" si="62"/>
        <v>8.8492275899986622E-3</v>
      </c>
      <c r="F524" s="1">
        <f t="shared" si="63"/>
        <v>-1.6626511436188707E-2</v>
      </c>
      <c r="G524" s="1">
        <f t="shared" si="64"/>
        <v>-1.933117971567952E-2</v>
      </c>
      <c r="P524" s="39">
        <f t="shared" si="65"/>
        <v>785.63050812369056</v>
      </c>
      <c r="Q524" s="26">
        <f t="shared" si="66"/>
        <v>-12.659181758311433</v>
      </c>
      <c r="R524" s="26">
        <f t="shared" si="67"/>
        <v>12.659181758311433</v>
      </c>
    </row>
    <row r="525" spans="1:18" x14ac:dyDescent="0.3">
      <c r="A525" s="2">
        <v>43374</v>
      </c>
      <c r="B525" s="1">
        <v>56.814999999999998</v>
      </c>
      <c r="C525" s="1">
        <v>2004.36</v>
      </c>
      <c r="D525" s="1">
        <v>162.44</v>
      </c>
      <c r="E525" s="1">
        <f t="shared" si="62"/>
        <v>6.7108419623827797E-3</v>
      </c>
      <c r="F525" s="1">
        <f t="shared" si="63"/>
        <v>6.787511240382403E-4</v>
      </c>
      <c r="G525" s="1">
        <f t="shared" si="64"/>
        <v>-1.2358676724652438E-2</v>
      </c>
      <c r="P525" s="39">
        <f t="shared" si="65"/>
        <v>798.28968988200199</v>
      </c>
      <c r="Q525" s="26">
        <f t="shared" si="66"/>
        <v>0.22148106783936328</v>
      </c>
      <c r="R525" s="26">
        <f t="shared" si="67"/>
        <v>-0.22148106783936328</v>
      </c>
    </row>
    <row r="526" spans="1:18" x14ac:dyDescent="0.3">
      <c r="A526" s="2">
        <v>43371</v>
      </c>
      <c r="B526" s="1">
        <v>56.435000000000002</v>
      </c>
      <c r="C526" s="1">
        <v>2003</v>
      </c>
      <c r="D526" s="1">
        <v>164.46</v>
      </c>
      <c r="E526" s="1">
        <f t="shared" si="62"/>
        <v>3.5057392402991208E-3</v>
      </c>
      <c r="F526" s="1">
        <f t="shared" si="63"/>
        <v>-4.9701545048451822E-3</v>
      </c>
      <c r="G526" s="1">
        <f t="shared" si="64"/>
        <v>-2.6284141371548542E-2</v>
      </c>
      <c r="P526" s="39">
        <f t="shared" si="65"/>
        <v>798.06820881416263</v>
      </c>
      <c r="Q526" s="26">
        <f t="shared" si="66"/>
        <v>-4.5496853323151072</v>
      </c>
      <c r="R526" s="26">
        <f t="shared" si="67"/>
        <v>4.5496853323151072</v>
      </c>
    </row>
    <row r="527" spans="1:18" x14ac:dyDescent="0.3">
      <c r="A527" s="2">
        <v>43370</v>
      </c>
      <c r="B527" s="1">
        <v>56.237499999999997</v>
      </c>
      <c r="C527" s="1">
        <v>2012.98</v>
      </c>
      <c r="D527" s="1">
        <v>168.84</v>
      </c>
      <c r="E527" s="1">
        <f t="shared" si="62"/>
        <v>2.034333802378548E-2</v>
      </c>
      <c r="F527" s="1">
        <f t="shared" si="63"/>
        <v>1.912376508682901E-2</v>
      </c>
      <c r="G527" s="1">
        <f t="shared" si="64"/>
        <v>1.1257154524634468E-2</v>
      </c>
      <c r="P527" s="39">
        <f t="shared" si="65"/>
        <v>802.61789414647774</v>
      </c>
      <c r="Q527" s="26">
        <f t="shared" si="66"/>
        <v>14.947604170062618</v>
      </c>
      <c r="R527" s="26">
        <f t="shared" si="67"/>
        <v>-14.947604170062618</v>
      </c>
    </row>
    <row r="528" spans="1:18" x14ac:dyDescent="0.3">
      <c r="A528" s="2">
        <v>43369</v>
      </c>
      <c r="B528" s="1">
        <v>55.104999999999997</v>
      </c>
      <c r="C528" s="1">
        <v>1974.85</v>
      </c>
      <c r="D528" s="1">
        <v>166.95</v>
      </c>
      <c r="E528" s="1">
        <f t="shared" si="62"/>
        <v>-7.9980544289507995E-3</v>
      </c>
      <c r="F528" s="1">
        <f t="shared" si="63"/>
        <v>1.5192181120010878E-4</v>
      </c>
      <c r="G528" s="1">
        <f t="shared" si="64"/>
        <v>1.2294495848984888E-2</v>
      </c>
      <c r="P528" s="39">
        <f t="shared" si="65"/>
        <v>787.67028997641512</v>
      </c>
      <c r="Q528" s="26">
        <f t="shared" si="66"/>
        <v>0.36944744075094604</v>
      </c>
      <c r="R528" s="26">
        <f t="shared" si="67"/>
        <v>-0.36944744075094604</v>
      </c>
    </row>
    <row r="529" spans="1:18" x14ac:dyDescent="0.3">
      <c r="A529" s="2">
        <v>43368</v>
      </c>
      <c r="B529" s="1">
        <v>55.547499999999999</v>
      </c>
      <c r="C529" s="1">
        <v>1974.55</v>
      </c>
      <c r="D529" s="1">
        <v>164.91</v>
      </c>
      <c r="E529" s="1">
        <f t="shared" si="62"/>
        <v>6.3208481700952916E-3</v>
      </c>
      <c r="F529" s="1">
        <f t="shared" si="63"/>
        <v>2.0564001872388576E-2</v>
      </c>
      <c r="G529" s="1">
        <f t="shared" si="64"/>
        <v>-3.0273697134511309E-3</v>
      </c>
      <c r="P529" s="39">
        <f t="shared" si="65"/>
        <v>787.30084253566417</v>
      </c>
      <c r="Q529" s="26">
        <f t="shared" si="66"/>
        <v>14.865535018318496</v>
      </c>
      <c r="R529" s="26">
        <f t="shared" si="67"/>
        <v>-14.865535018318496</v>
      </c>
    </row>
    <row r="530" spans="1:18" x14ac:dyDescent="0.3">
      <c r="A530" s="2">
        <v>43367</v>
      </c>
      <c r="B530" s="1">
        <v>55.197499999999998</v>
      </c>
      <c r="C530" s="1">
        <v>1934.36</v>
      </c>
      <c r="D530" s="1">
        <v>165.41</v>
      </c>
      <c r="E530" s="1">
        <f t="shared" si="62"/>
        <v>1.4277811254335767E-2</v>
      </c>
      <c r="F530" s="1">
        <f t="shared" si="63"/>
        <v>1.0053677867018532E-2</v>
      </c>
      <c r="G530" s="1">
        <f t="shared" si="64"/>
        <v>1.5106579539266212E-2</v>
      </c>
      <c r="P530" s="39">
        <f t="shared" si="65"/>
        <v>772.43530751734568</v>
      </c>
      <c r="Q530" s="26">
        <f t="shared" si="66"/>
        <v>8.0012077508596349</v>
      </c>
      <c r="R530" s="26">
        <f t="shared" si="67"/>
        <v>-8.0012077508596349</v>
      </c>
    </row>
    <row r="531" spans="1:18" x14ac:dyDescent="0.3">
      <c r="A531" s="2">
        <v>43364</v>
      </c>
      <c r="B531" s="1">
        <v>54.414999999999999</v>
      </c>
      <c r="C531" s="1">
        <v>1915.01</v>
      </c>
      <c r="D531" s="1">
        <v>162.93</v>
      </c>
      <c r="E531" s="1">
        <f t="shared" si="62"/>
        <v>-1.0829688424134044E-2</v>
      </c>
      <c r="F531" s="1">
        <f t="shared" si="63"/>
        <v>-1.5179170568552985E-2</v>
      </c>
      <c r="G531" s="1">
        <f t="shared" si="64"/>
        <v>-1.8787602312025919E-2</v>
      </c>
      <c r="P531" s="39">
        <f t="shared" si="65"/>
        <v>764.43409976648604</v>
      </c>
      <c r="Q531" s="26">
        <f t="shared" si="66"/>
        <v>-11.722237254999754</v>
      </c>
      <c r="R531" s="26">
        <f t="shared" si="67"/>
        <v>11.722237254999754</v>
      </c>
    </row>
    <row r="532" spans="1:18" x14ac:dyDescent="0.3">
      <c r="A532" s="2">
        <v>43363</v>
      </c>
      <c r="B532" s="1">
        <v>55.0075</v>
      </c>
      <c r="C532" s="1">
        <v>1944.3</v>
      </c>
      <c r="D532" s="1">
        <v>166.02</v>
      </c>
      <c r="E532" s="1">
        <f t="shared" si="62"/>
        <v>7.5730288937733209E-3</v>
      </c>
      <c r="F532" s="1">
        <f t="shared" si="63"/>
        <v>9.23865698137054E-3</v>
      </c>
      <c r="G532" s="1">
        <f t="shared" si="64"/>
        <v>1.7990031792124911E-2</v>
      </c>
      <c r="P532" s="39">
        <f t="shared" si="65"/>
        <v>776.1563370214858</v>
      </c>
      <c r="Q532" s="26">
        <f t="shared" si="66"/>
        <v>7.4105824702684231</v>
      </c>
      <c r="R532" s="26">
        <f t="shared" si="67"/>
        <v>-7.4105824702684231</v>
      </c>
    </row>
    <row r="533" spans="1:18" x14ac:dyDescent="0.3">
      <c r="A533" s="2">
        <v>43362</v>
      </c>
      <c r="B533" s="1">
        <v>54.592500000000001</v>
      </c>
      <c r="C533" s="1">
        <v>1926.42</v>
      </c>
      <c r="D533" s="1">
        <v>163.06</v>
      </c>
      <c r="E533" s="1">
        <f t="shared" si="62"/>
        <v>5.9549714317886065E-4</v>
      </c>
      <c r="F533" s="1">
        <f t="shared" si="63"/>
        <v>-7.5657056343881495E-3</v>
      </c>
      <c r="G533" s="1">
        <f t="shared" si="64"/>
        <v>1.7071171619257364E-2</v>
      </c>
      <c r="P533" s="39">
        <f t="shared" si="65"/>
        <v>768.74575455121737</v>
      </c>
      <c r="Q533" s="26">
        <f t="shared" si="66"/>
        <v>-4.786431468692399</v>
      </c>
      <c r="R533" s="26">
        <f t="shared" si="67"/>
        <v>4.786431468692399</v>
      </c>
    </row>
    <row r="534" spans="1:18" x14ac:dyDescent="0.3">
      <c r="A534" s="2">
        <v>43361</v>
      </c>
      <c r="B534" s="1">
        <v>54.56</v>
      </c>
      <c r="C534" s="1">
        <v>1941.05</v>
      </c>
      <c r="D534" s="1">
        <v>160.30000000000001</v>
      </c>
      <c r="E534" s="1">
        <f t="shared" si="62"/>
        <v>1.6509221396235352E-3</v>
      </c>
      <c r="F534" s="1">
        <f t="shared" si="63"/>
        <v>1.7157767599734794E-2</v>
      </c>
      <c r="G534" s="1">
        <f t="shared" si="64"/>
        <v>-1.7452011410306386E-3</v>
      </c>
      <c r="P534" s="39">
        <f t="shared" si="65"/>
        <v>773.53218601990977</v>
      </c>
      <c r="Q534" s="26">
        <f t="shared" si="66"/>
        <v>12.159978359680167</v>
      </c>
      <c r="R534" s="26">
        <f t="shared" si="67"/>
        <v>-12.159978359680167</v>
      </c>
    </row>
    <row r="535" spans="1:18" x14ac:dyDescent="0.3">
      <c r="A535" s="2">
        <v>43360</v>
      </c>
      <c r="B535" s="1">
        <v>54.47</v>
      </c>
      <c r="C535" s="1">
        <v>1908.03</v>
      </c>
      <c r="D535" s="1">
        <v>160.58000000000001</v>
      </c>
      <c r="E535" s="1">
        <f t="shared" si="62"/>
        <v>-2.6987058401697381E-2</v>
      </c>
      <c r="F535" s="1">
        <f t="shared" si="63"/>
        <v>-3.2058688626795055E-2</v>
      </c>
      <c r="G535" s="1">
        <f t="shared" si="64"/>
        <v>-1.0777434761021241E-2</v>
      </c>
      <c r="P535" s="39">
        <f t="shared" si="65"/>
        <v>761.37220766022961</v>
      </c>
      <c r="Q535" s="26">
        <f t="shared" si="66"/>
        <v>-23.929550548760744</v>
      </c>
      <c r="R535" s="26">
        <f t="shared" si="67"/>
        <v>23.929550548760744</v>
      </c>
    </row>
    <row r="536" spans="1:18" x14ac:dyDescent="0.3">
      <c r="A536" s="2">
        <v>43357</v>
      </c>
      <c r="B536" s="1">
        <v>55.96</v>
      </c>
      <c r="C536" s="1">
        <v>1970.19</v>
      </c>
      <c r="D536" s="1">
        <v>162.32</v>
      </c>
      <c r="E536" s="1">
        <f t="shared" si="62"/>
        <v>-1.1416004047715613E-2</v>
      </c>
      <c r="F536" s="1">
        <f t="shared" si="63"/>
        <v>-9.9393251696369492E-3</v>
      </c>
      <c r="G536" s="1">
        <f t="shared" si="64"/>
        <v>5.9318018716028841E-3</v>
      </c>
      <c r="P536" s="39">
        <f t="shared" si="65"/>
        <v>785.30175820899035</v>
      </c>
      <c r="Q536" s="26">
        <f t="shared" si="66"/>
        <v>-7.3194735845618197</v>
      </c>
      <c r="R536" s="26">
        <f t="shared" si="67"/>
        <v>7.3194735845618197</v>
      </c>
    </row>
    <row r="537" spans="1:18" x14ac:dyDescent="0.3">
      <c r="A537" s="2">
        <v>43356</v>
      </c>
      <c r="B537" s="1">
        <v>56.602499999999999</v>
      </c>
      <c r="C537" s="1">
        <v>1989.87</v>
      </c>
      <c r="D537" s="1">
        <v>161.36000000000001</v>
      </c>
      <c r="E537" s="1">
        <f t="shared" si="62"/>
        <v>2.3868121517869031E-2</v>
      </c>
      <c r="F537" s="1">
        <f t="shared" si="63"/>
        <v>-6.5328767043263346E-5</v>
      </c>
      <c r="G537" s="1">
        <f t="shared" si="64"/>
        <v>-3.9584415864276443E-3</v>
      </c>
      <c r="P537" s="39">
        <f t="shared" si="65"/>
        <v>792.62123179355217</v>
      </c>
      <c r="Q537" s="26">
        <f t="shared" si="66"/>
        <v>0.36645354640847927</v>
      </c>
      <c r="R537" s="26">
        <f t="shared" si="67"/>
        <v>-0.36645354640847927</v>
      </c>
    </row>
    <row r="538" spans="1:18" x14ac:dyDescent="0.3">
      <c r="A538" s="2">
        <v>43355</v>
      </c>
      <c r="B538" s="1">
        <v>55.267499999999998</v>
      </c>
      <c r="C538" s="1">
        <v>1990</v>
      </c>
      <c r="D538" s="1">
        <v>162</v>
      </c>
      <c r="E538" s="1">
        <f t="shared" si="62"/>
        <v>-1.2496791239956945E-2</v>
      </c>
      <c r="F538" s="1">
        <f t="shared" si="63"/>
        <v>1.4331873265183341E-3</v>
      </c>
      <c r="G538" s="1">
        <f t="shared" si="64"/>
        <v>-2.4029942003755182E-2</v>
      </c>
      <c r="P538" s="39">
        <f t="shared" si="65"/>
        <v>792.25477824714369</v>
      </c>
      <c r="Q538" s="26">
        <f t="shared" si="66"/>
        <v>-9.0234147140677123E-2</v>
      </c>
      <c r="R538" s="26">
        <f t="shared" si="67"/>
        <v>9.0234147140677123E-2</v>
      </c>
    </row>
    <row r="539" spans="1:18" x14ac:dyDescent="0.3">
      <c r="A539" s="2">
        <v>43354</v>
      </c>
      <c r="B539" s="1">
        <v>55.962499999999999</v>
      </c>
      <c r="C539" s="1">
        <v>1987.15</v>
      </c>
      <c r="D539" s="1">
        <v>165.94</v>
      </c>
      <c r="E539" s="1">
        <f t="shared" si="62"/>
        <v>2.4968505011949253E-2</v>
      </c>
      <c r="F539" s="1">
        <f t="shared" si="63"/>
        <v>2.4523917865090838E-2</v>
      </c>
      <c r="G539" s="1">
        <f t="shared" si="64"/>
        <v>1.0662890316019058E-2</v>
      </c>
      <c r="P539" s="39">
        <f t="shared" si="65"/>
        <v>792.34501239428437</v>
      </c>
      <c r="Q539" s="26">
        <f t="shared" si="66"/>
        <v>18.715358982433827</v>
      </c>
      <c r="R539" s="26">
        <f t="shared" si="67"/>
        <v>-18.715358982433827</v>
      </c>
    </row>
    <row r="540" spans="1:18" x14ac:dyDescent="0.3">
      <c r="A540" s="2">
        <v>43353</v>
      </c>
      <c r="B540" s="1">
        <v>54.582500000000003</v>
      </c>
      <c r="C540" s="1">
        <v>1939.01</v>
      </c>
      <c r="D540" s="1">
        <v>164.18</v>
      </c>
      <c r="E540" s="1">
        <f t="shared" si="62"/>
        <v>-1.3511567381978777E-2</v>
      </c>
      <c r="F540" s="1">
        <f t="shared" si="63"/>
        <v>-6.7128144588684945E-3</v>
      </c>
      <c r="G540" s="1">
        <f t="shared" si="64"/>
        <v>6.9678174457054416E-3</v>
      </c>
      <c r="P540" s="39">
        <f t="shared" si="65"/>
        <v>773.62965341185054</v>
      </c>
      <c r="Q540" s="26">
        <f t="shared" si="66"/>
        <v>-4.8793199481817737</v>
      </c>
      <c r="R540" s="26">
        <f t="shared" si="67"/>
        <v>4.8793199481817737</v>
      </c>
    </row>
    <row r="541" spans="1:18" x14ac:dyDescent="0.3">
      <c r="A541" s="2">
        <v>43350</v>
      </c>
      <c r="B541" s="1">
        <v>55.325000000000003</v>
      </c>
      <c r="C541" s="1">
        <v>1952.07</v>
      </c>
      <c r="D541" s="1">
        <v>163.04</v>
      </c>
      <c r="E541" s="1">
        <f t="shared" si="62"/>
        <v>-8.1008543814828117E-3</v>
      </c>
      <c r="F541" s="1">
        <f t="shared" si="63"/>
        <v>-3.1915083938525387E-3</v>
      </c>
      <c r="G541" s="1">
        <f t="shared" si="64"/>
        <v>3.1329693593299727E-3</v>
      </c>
      <c r="P541" s="39">
        <f t="shared" si="65"/>
        <v>778.50897336003231</v>
      </c>
      <c r="Q541" s="26">
        <f t="shared" si="66"/>
        <v>-2.3782891626869969</v>
      </c>
      <c r="R541" s="26">
        <f t="shared" si="67"/>
        <v>2.3782891626869969</v>
      </c>
    </row>
    <row r="542" spans="1:18" x14ac:dyDescent="0.3">
      <c r="A542" s="2">
        <v>43349</v>
      </c>
      <c r="B542" s="1">
        <v>55.774999999999999</v>
      </c>
      <c r="C542" s="1">
        <v>1958.31</v>
      </c>
      <c r="D542" s="1">
        <v>162.53</v>
      </c>
      <c r="E542" s="1">
        <f t="shared" si="62"/>
        <v>-1.6757064770282559E-2</v>
      </c>
      <c r="F542" s="1">
        <f t="shared" si="63"/>
        <v>-1.847196430983292E-2</v>
      </c>
      <c r="G542" s="1">
        <f t="shared" si="64"/>
        <v>-2.8208476155925508E-2</v>
      </c>
      <c r="P542" s="39">
        <f t="shared" si="65"/>
        <v>780.88726252271931</v>
      </c>
      <c r="Q542" s="26">
        <f t="shared" si="66"/>
        <v>-14.869278508836601</v>
      </c>
      <c r="R542" s="26">
        <f t="shared" si="67"/>
        <v>14.869278508836601</v>
      </c>
    </row>
    <row r="543" spans="1:18" x14ac:dyDescent="0.3">
      <c r="A543" s="2">
        <v>43348</v>
      </c>
      <c r="B543" s="1">
        <v>56.717500000000001</v>
      </c>
      <c r="C543" s="1">
        <v>1994.82</v>
      </c>
      <c r="D543" s="1">
        <v>167.18</v>
      </c>
      <c r="E543" s="1">
        <f t="shared" si="62"/>
        <v>-6.5461648872891616E-3</v>
      </c>
      <c r="F543" s="1">
        <f t="shared" si="63"/>
        <v>-2.2155762218649535E-2</v>
      </c>
      <c r="G543" s="1">
        <f t="shared" si="64"/>
        <v>-2.3527715277606005E-2</v>
      </c>
      <c r="P543" s="39">
        <f t="shared" si="65"/>
        <v>795.75654103155591</v>
      </c>
      <c r="Q543" s="26">
        <f t="shared" si="66"/>
        <v>-17.506089414643384</v>
      </c>
      <c r="R543" s="26">
        <f t="shared" si="67"/>
        <v>17.506089414643384</v>
      </c>
    </row>
    <row r="544" spans="1:18" x14ac:dyDescent="0.3">
      <c r="A544" s="2">
        <v>43347</v>
      </c>
      <c r="B544" s="1">
        <v>57.09</v>
      </c>
      <c r="C544" s="1">
        <v>2039.51</v>
      </c>
      <c r="D544" s="1">
        <v>171.16</v>
      </c>
      <c r="E544" s="1">
        <f t="shared" si="62"/>
        <v>3.201827336761364E-3</v>
      </c>
      <c r="F544" s="1">
        <f t="shared" si="63"/>
        <v>1.3227510233182907E-2</v>
      </c>
      <c r="G544" s="1">
        <f t="shared" si="64"/>
        <v>-2.6349934658138653E-2</v>
      </c>
      <c r="P544" s="39">
        <f t="shared" si="65"/>
        <v>813.2626304461993</v>
      </c>
      <c r="Q544" s="26">
        <f t="shared" si="66"/>
        <v>8.9736185474895365</v>
      </c>
      <c r="R544" s="26">
        <f t="shared" si="67"/>
        <v>-8.9736185474895365</v>
      </c>
    </row>
    <row r="545" spans="1:18" x14ac:dyDescent="0.3">
      <c r="A545" s="2">
        <v>43346</v>
      </c>
      <c r="B545" s="1">
        <v>56.907499999999999</v>
      </c>
      <c r="C545" s="1">
        <v>2012.71</v>
      </c>
      <c r="D545" s="1">
        <v>175.73</v>
      </c>
      <c r="E545" s="1">
        <f t="shared" si="62"/>
        <v>0</v>
      </c>
      <c r="F545" s="1">
        <f t="shared" si="63"/>
        <v>0</v>
      </c>
      <c r="G545" s="1">
        <f t="shared" si="64"/>
        <v>0</v>
      </c>
      <c r="P545" s="39">
        <f t="shared" si="65"/>
        <v>804.28901189870976</v>
      </c>
      <c r="Q545" s="26">
        <f t="shared" si="66"/>
        <v>0</v>
      </c>
      <c r="R545" s="26">
        <f t="shared" si="67"/>
        <v>0</v>
      </c>
    </row>
    <row r="546" spans="1:18" x14ac:dyDescent="0.3">
      <c r="A546" s="2">
        <v>43343</v>
      </c>
      <c r="B546" s="1">
        <v>56.907499999999999</v>
      </c>
      <c r="C546" s="1">
        <v>2012.71</v>
      </c>
      <c r="D546" s="1">
        <v>175.73</v>
      </c>
      <c r="E546" s="1">
        <f t="shared" si="62"/>
        <v>1.1487777109642648E-2</v>
      </c>
      <c r="F546" s="1">
        <f t="shared" si="63"/>
        <v>5.1455996216484366E-3</v>
      </c>
      <c r="G546" s="1">
        <f t="shared" si="64"/>
        <v>-1.0810304217146762E-2</v>
      </c>
      <c r="P546" s="39">
        <f t="shared" si="65"/>
        <v>804.28901189870976</v>
      </c>
      <c r="Q546" s="26">
        <f t="shared" si="66"/>
        <v>3.6668407812245505</v>
      </c>
      <c r="R546" s="26">
        <f t="shared" si="67"/>
        <v>-3.6668407812245505</v>
      </c>
    </row>
    <row r="547" spans="1:18" x14ac:dyDescent="0.3">
      <c r="A547" s="2">
        <v>43342</v>
      </c>
      <c r="B547" s="1">
        <v>56.2575</v>
      </c>
      <c r="C547" s="1">
        <v>2002.38</v>
      </c>
      <c r="D547" s="1">
        <v>177.64</v>
      </c>
      <c r="E547" s="1">
        <f t="shared" si="62"/>
        <v>9.1516453102292641E-3</v>
      </c>
      <c r="F547" s="1">
        <f t="shared" si="63"/>
        <v>2.1397440472143833E-3</v>
      </c>
      <c r="G547" s="1">
        <f t="shared" si="64"/>
        <v>9.843378680388877E-3</v>
      </c>
      <c r="P547" s="39">
        <f t="shared" si="65"/>
        <v>800.62217111748521</v>
      </c>
      <c r="Q547" s="26">
        <f t="shared" si="66"/>
        <v>2.1686062005013582</v>
      </c>
      <c r="R547" s="26">
        <f t="shared" si="67"/>
        <v>-2.1686062005013582</v>
      </c>
    </row>
    <row r="548" spans="1:18" x14ac:dyDescent="0.3">
      <c r="A548" s="2">
        <v>43341</v>
      </c>
      <c r="B548" s="1">
        <v>55.744999999999997</v>
      </c>
      <c r="C548" s="1">
        <v>1998.1</v>
      </c>
      <c r="D548" s="1">
        <v>175.9</v>
      </c>
      <c r="E548" s="1">
        <f t="shared" si="62"/>
        <v>1.481910194886101E-2</v>
      </c>
      <c r="F548" s="1">
        <f t="shared" si="63"/>
        <v>3.3216652637008813E-2</v>
      </c>
      <c r="G548" s="1">
        <f t="shared" si="64"/>
        <v>-2.0445259280018079E-3</v>
      </c>
      <c r="P548" s="39">
        <f t="shared" si="65"/>
        <v>798.45356491698385</v>
      </c>
      <c r="Q548" s="26">
        <f t="shared" si="66"/>
        <v>24.348046277994854</v>
      </c>
      <c r="R548" s="26">
        <f t="shared" si="67"/>
        <v>-24.348046277994854</v>
      </c>
    </row>
    <row r="549" spans="1:18" x14ac:dyDescent="0.3">
      <c r="A549" s="2">
        <v>43340</v>
      </c>
      <c r="B549" s="1">
        <v>54.924999999999997</v>
      </c>
      <c r="C549" s="1">
        <v>1932.82</v>
      </c>
      <c r="D549" s="1">
        <v>176.26</v>
      </c>
      <c r="E549" s="1">
        <f t="shared" si="62"/>
        <v>8.0431838418243366E-3</v>
      </c>
      <c r="F549" s="1">
        <f t="shared" si="63"/>
        <v>2.6628690777133314E-3</v>
      </c>
      <c r="G549" s="1">
        <f t="shared" si="64"/>
        <v>-6.7850537356774392E-3</v>
      </c>
      <c r="P549" s="39">
        <f t="shared" si="65"/>
        <v>774.105518638989</v>
      </c>
      <c r="Q549" s="26">
        <f t="shared" si="66"/>
        <v>1.8187483375418196</v>
      </c>
      <c r="R549" s="26">
        <f t="shared" si="67"/>
        <v>-1.8187483375418196</v>
      </c>
    </row>
    <row r="550" spans="1:18" x14ac:dyDescent="0.3">
      <c r="A550" s="2">
        <v>43339</v>
      </c>
      <c r="B550" s="1">
        <v>54.484999999999999</v>
      </c>
      <c r="C550" s="1">
        <v>1927.68</v>
      </c>
      <c r="D550" s="1">
        <v>177.46</v>
      </c>
      <c r="E550" s="1">
        <f t="shared" si="62"/>
        <v>8.2009213368514269E-3</v>
      </c>
      <c r="F550" s="1">
        <f t="shared" si="63"/>
        <v>1.163049527429677E-2</v>
      </c>
      <c r="G550" s="1">
        <f t="shared" si="64"/>
        <v>1.5989889250102668E-2</v>
      </c>
      <c r="P550" s="39">
        <f t="shared" si="65"/>
        <v>772.28677030144718</v>
      </c>
      <c r="Q550" s="26">
        <f t="shared" si="66"/>
        <v>9.0187437633941272</v>
      </c>
      <c r="R550" s="26">
        <f t="shared" si="67"/>
        <v>-9.0187437633941272</v>
      </c>
    </row>
    <row r="551" spans="1:18" x14ac:dyDescent="0.3">
      <c r="A551" s="2">
        <v>43336</v>
      </c>
      <c r="B551" s="1">
        <v>54.04</v>
      </c>
      <c r="C551" s="1">
        <v>1905.39</v>
      </c>
      <c r="D551" s="1">
        <v>174.64500000000001</v>
      </c>
      <c r="E551" s="1">
        <f t="shared" si="62"/>
        <v>3.104369457068649E-3</v>
      </c>
      <c r="F551" s="1">
        <f t="shared" si="63"/>
        <v>1.3076737091069018E-3</v>
      </c>
      <c r="G551" s="1">
        <f t="shared" si="64"/>
        <v>1.004194946784432E-2</v>
      </c>
      <c r="P551" s="39">
        <f t="shared" si="65"/>
        <v>763.26802653805305</v>
      </c>
      <c r="Q551" s="26">
        <f t="shared" si="66"/>
        <v>1.3662946591845184</v>
      </c>
      <c r="R551" s="26">
        <f t="shared" si="67"/>
        <v>-1.3662946591845184</v>
      </c>
    </row>
    <row r="552" spans="1:18" x14ac:dyDescent="0.3">
      <c r="A552" s="2">
        <v>43335</v>
      </c>
      <c r="B552" s="1">
        <v>53.872500000000002</v>
      </c>
      <c r="C552" s="1">
        <v>1902.9</v>
      </c>
      <c r="D552" s="1">
        <v>172.9</v>
      </c>
      <c r="E552" s="1">
        <f t="shared" si="62"/>
        <v>2.0439455250746866E-3</v>
      </c>
      <c r="F552" s="1">
        <f t="shared" si="63"/>
        <v>-1.0504754366911805E-3</v>
      </c>
      <c r="G552" s="1">
        <f t="shared" si="64"/>
        <v>-4.2707977421478733E-3</v>
      </c>
      <c r="P552" s="39">
        <f t="shared" si="65"/>
        <v>761.90173187886853</v>
      </c>
      <c r="Q552" s="26">
        <f t="shared" si="66"/>
        <v>-0.85273064607088145</v>
      </c>
      <c r="R552" s="26">
        <f t="shared" si="67"/>
        <v>0.85273064607088145</v>
      </c>
    </row>
    <row r="553" spans="1:18" x14ac:dyDescent="0.3">
      <c r="A553" s="2">
        <v>43334</v>
      </c>
      <c r="B553" s="1">
        <v>53.762500000000003</v>
      </c>
      <c r="C553" s="1">
        <v>1904.9</v>
      </c>
      <c r="D553" s="1">
        <v>173.64</v>
      </c>
      <c r="E553" s="1">
        <f t="shared" si="62"/>
        <v>4.6501894960588474E-5</v>
      </c>
      <c r="F553" s="1">
        <f t="shared" si="63"/>
        <v>1.1340240631942236E-2</v>
      </c>
      <c r="G553" s="1">
        <f t="shared" si="64"/>
        <v>5.8915436398811411E-3</v>
      </c>
      <c r="P553" s="39">
        <f t="shared" si="65"/>
        <v>762.75446252493941</v>
      </c>
      <c r="Q553" s="26">
        <f t="shared" si="66"/>
        <v>8.1475444622474242</v>
      </c>
      <c r="R553" s="26">
        <f t="shared" si="67"/>
        <v>-8.1475444622474242</v>
      </c>
    </row>
    <row r="554" spans="1:18" x14ac:dyDescent="0.3">
      <c r="A554" s="2">
        <v>43333</v>
      </c>
      <c r="B554" s="1">
        <v>53.76</v>
      </c>
      <c r="C554" s="1">
        <v>1883.42</v>
      </c>
      <c r="D554" s="1">
        <v>172.62</v>
      </c>
      <c r="E554" s="1">
        <f t="shared" si="62"/>
        <v>-1.9512201312618048E-3</v>
      </c>
      <c r="F554" s="1">
        <f t="shared" si="63"/>
        <v>3.5690293275217264E-3</v>
      </c>
      <c r="G554" s="1">
        <f t="shared" si="64"/>
        <v>6.9541032009703995E-4</v>
      </c>
      <c r="P554" s="39">
        <f t="shared" si="65"/>
        <v>754.60691806269199</v>
      </c>
      <c r="Q554" s="26">
        <f t="shared" si="66"/>
        <v>2.4582865649252881</v>
      </c>
      <c r="R554" s="26">
        <f t="shared" si="67"/>
        <v>-2.4582865649252881</v>
      </c>
    </row>
    <row r="555" spans="1:18" x14ac:dyDescent="0.3">
      <c r="A555" s="2">
        <v>43332</v>
      </c>
      <c r="B555" s="1">
        <v>53.865000000000002</v>
      </c>
      <c r="C555" s="1">
        <v>1876.71</v>
      </c>
      <c r="D555" s="1">
        <v>172.5</v>
      </c>
      <c r="E555" s="1">
        <f t="shared" si="62"/>
        <v>-9.7913215268901465E-3</v>
      </c>
      <c r="F555" s="1">
        <f t="shared" si="63"/>
        <v>-2.9316874463961866E-3</v>
      </c>
      <c r="G555" s="1">
        <f t="shared" si="64"/>
        <v>-7.5079763598773072E-3</v>
      </c>
      <c r="P555" s="39">
        <f t="shared" si="65"/>
        <v>752.1486314977667</v>
      </c>
      <c r="Q555" s="26">
        <f t="shared" si="66"/>
        <v>-2.5343358142462193</v>
      </c>
      <c r="R555" s="26">
        <f t="shared" si="67"/>
        <v>2.5343358142462193</v>
      </c>
    </row>
    <row r="556" spans="1:18" x14ac:dyDescent="0.3">
      <c r="A556" s="2">
        <v>43329</v>
      </c>
      <c r="B556" s="1">
        <v>54.395000000000003</v>
      </c>
      <c r="C556" s="1">
        <v>1882.22</v>
      </c>
      <c r="D556" s="1">
        <v>173.8</v>
      </c>
      <c r="E556" s="1">
        <f t="shared" si="62"/>
        <v>1.9773213260535199E-2</v>
      </c>
      <c r="F556" s="1">
        <f t="shared" si="63"/>
        <v>-2.2819307598380151E-3</v>
      </c>
      <c r="G556" s="1">
        <f t="shared" si="64"/>
        <v>-5.1650043087190546E-3</v>
      </c>
      <c r="P556" s="39">
        <f t="shared" si="65"/>
        <v>754.68296731201292</v>
      </c>
      <c r="Q556" s="26">
        <f t="shared" si="66"/>
        <v>-1.3403599311751577</v>
      </c>
      <c r="R556" s="26">
        <f t="shared" si="67"/>
        <v>1.3403599311751577</v>
      </c>
    </row>
    <row r="557" spans="1:18" x14ac:dyDescent="0.3">
      <c r="A557" s="2">
        <v>43328</v>
      </c>
      <c r="B557" s="1">
        <v>53.33</v>
      </c>
      <c r="C557" s="1">
        <v>1886.52</v>
      </c>
      <c r="D557" s="1">
        <v>174.7</v>
      </c>
      <c r="E557" s="1">
        <f t="shared" si="62"/>
        <v>1.4543650436155752E-2</v>
      </c>
      <c r="F557" s="1">
        <f t="shared" si="63"/>
        <v>2.0694383290813722E-3</v>
      </c>
      <c r="G557" s="1">
        <f t="shared" si="64"/>
        <v>-2.7272107742726644E-2</v>
      </c>
      <c r="P557" s="39">
        <f t="shared" si="65"/>
        <v>756.02332724318808</v>
      </c>
      <c r="Q557" s="26">
        <f t="shared" si="66"/>
        <v>0.71128667224434139</v>
      </c>
      <c r="R557" s="26">
        <f t="shared" si="67"/>
        <v>-0.71128667224434139</v>
      </c>
    </row>
    <row r="558" spans="1:18" x14ac:dyDescent="0.3">
      <c r="A558" s="2">
        <v>43327</v>
      </c>
      <c r="B558" s="1">
        <v>52.56</v>
      </c>
      <c r="C558" s="1">
        <v>1882.62</v>
      </c>
      <c r="D558" s="1">
        <v>179.53</v>
      </c>
      <c r="E558" s="1">
        <f t="shared" si="62"/>
        <v>2.3333899489301974E-3</v>
      </c>
      <c r="F558" s="1">
        <f t="shared" si="63"/>
        <v>-1.9478454075673821E-2</v>
      </c>
      <c r="G558" s="1">
        <f t="shared" si="64"/>
        <v>-8.7622565937070553E-3</v>
      </c>
      <c r="P558" s="39">
        <f t="shared" si="65"/>
        <v>755.31204057094374</v>
      </c>
      <c r="Q558" s="26">
        <f t="shared" si="66"/>
        <v>-13.954587315243771</v>
      </c>
      <c r="R558" s="26">
        <f t="shared" si="67"/>
        <v>13.954587315243771</v>
      </c>
    </row>
    <row r="559" spans="1:18" x14ac:dyDescent="0.3">
      <c r="A559" s="2">
        <v>43326</v>
      </c>
      <c r="B559" s="1">
        <v>52.4375</v>
      </c>
      <c r="C559" s="1">
        <v>1919.65</v>
      </c>
      <c r="D559" s="1">
        <v>181.11</v>
      </c>
      <c r="E559" s="1">
        <f t="shared" si="62"/>
        <v>4.2042964800899198E-3</v>
      </c>
      <c r="F559" s="1">
        <f t="shared" si="63"/>
        <v>1.2290994254156565E-2</v>
      </c>
      <c r="G559" s="1">
        <f t="shared" si="64"/>
        <v>5.8699913815601851E-3</v>
      </c>
      <c r="P559" s="39">
        <f t="shared" si="65"/>
        <v>769.26662788618751</v>
      </c>
      <c r="Q559" s="26">
        <f t="shared" si="66"/>
        <v>8.9731969184291529</v>
      </c>
      <c r="R559" s="26">
        <f t="shared" si="67"/>
        <v>-8.9731969184291529</v>
      </c>
    </row>
    <row r="560" spans="1:18" x14ac:dyDescent="0.3">
      <c r="A560" s="2">
        <v>43325</v>
      </c>
      <c r="B560" s="1">
        <v>52.217500000000001</v>
      </c>
      <c r="C560" s="1">
        <v>1896.2</v>
      </c>
      <c r="D560" s="1">
        <v>180.05</v>
      </c>
      <c r="E560" s="1">
        <f t="shared" si="62"/>
        <v>6.4361413336567587E-3</v>
      </c>
      <c r="F560" s="1">
        <f t="shared" si="63"/>
        <v>5.2346451321799081E-3</v>
      </c>
      <c r="G560" s="1">
        <f t="shared" si="64"/>
        <v>-1.1656630333793769E-3</v>
      </c>
      <c r="P560" s="39">
        <f t="shared" si="65"/>
        <v>760.29343096775835</v>
      </c>
      <c r="Q560" s="26">
        <f t="shared" si="66"/>
        <v>3.746084090028944</v>
      </c>
      <c r="R560" s="26">
        <f t="shared" si="67"/>
        <v>-3.746084090028944</v>
      </c>
    </row>
    <row r="561" spans="1:18" x14ac:dyDescent="0.3">
      <c r="A561" s="2">
        <v>43322</v>
      </c>
      <c r="B561" s="1">
        <v>51.8825</v>
      </c>
      <c r="C561" s="1">
        <v>1886.3</v>
      </c>
      <c r="D561" s="1">
        <v>180.26</v>
      </c>
      <c r="E561" s="1">
        <f t="shared" si="62"/>
        <v>-6.4840168573044631E-3</v>
      </c>
      <c r="F561" s="1">
        <f t="shared" si="63"/>
        <v>-6.4573968972939499E-3</v>
      </c>
      <c r="G561" s="1">
        <f t="shared" si="64"/>
        <v>-1.5577582096249607E-2</v>
      </c>
      <c r="P561" s="39">
        <f t="shared" si="65"/>
        <v>756.54734687772941</v>
      </c>
      <c r="Q561" s="26">
        <f t="shared" si="66"/>
        <v>-5.2619335005313133</v>
      </c>
      <c r="R561" s="26">
        <f t="shared" si="67"/>
        <v>5.2619335005313133</v>
      </c>
    </row>
    <row r="562" spans="1:18" x14ac:dyDescent="0.3">
      <c r="A562" s="2">
        <v>43321</v>
      </c>
      <c r="B562" s="1">
        <v>52.22</v>
      </c>
      <c r="C562" s="1">
        <v>1898.52</v>
      </c>
      <c r="D562" s="1">
        <v>183.09</v>
      </c>
      <c r="E562" s="1">
        <f t="shared" si="62"/>
        <v>7.8341303754689406E-3</v>
      </c>
      <c r="F562" s="1">
        <f t="shared" si="63"/>
        <v>6.3407732575500022E-3</v>
      </c>
      <c r="G562" s="1">
        <f t="shared" si="64"/>
        <v>-1.1350489795387773E-2</v>
      </c>
      <c r="P562" s="39">
        <f t="shared" si="65"/>
        <v>761.80928037826072</v>
      </c>
      <c r="Q562" s="26">
        <f t="shared" si="66"/>
        <v>4.143539231728596</v>
      </c>
      <c r="R562" s="26">
        <f t="shared" si="67"/>
        <v>-4.143539231728596</v>
      </c>
    </row>
    <row r="563" spans="1:18" x14ac:dyDescent="0.3">
      <c r="A563" s="2">
        <v>43320</v>
      </c>
      <c r="B563" s="1">
        <v>51.8125</v>
      </c>
      <c r="C563" s="1">
        <v>1886.52</v>
      </c>
      <c r="D563" s="1">
        <v>185.18</v>
      </c>
      <c r="E563" s="1">
        <f t="shared" si="62"/>
        <v>6.7574092734475435E-4</v>
      </c>
      <c r="F563" s="1">
        <f t="shared" si="63"/>
        <v>1.2824929050397189E-2</v>
      </c>
      <c r="G563" s="1">
        <f t="shared" si="64"/>
        <v>7.4257096142281752E-3</v>
      </c>
      <c r="P563" s="39">
        <f t="shared" si="65"/>
        <v>757.66574114653213</v>
      </c>
      <c r="Q563" s="26">
        <f t="shared" si="66"/>
        <v>9.1814206576584638</v>
      </c>
      <c r="R563" s="26">
        <f t="shared" si="67"/>
        <v>-9.1814206576584638</v>
      </c>
    </row>
    <row r="564" spans="1:18" x14ac:dyDescent="0.3">
      <c r="A564" s="2">
        <v>43319</v>
      </c>
      <c r="B564" s="1">
        <v>51.777500000000003</v>
      </c>
      <c r="C564" s="1">
        <v>1862.48</v>
      </c>
      <c r="D564" s="1">
        <v>183.81</v>
      </c>
      <c r="E564" s="1">
        <f t="shared" si="62"/>
        <v>-9.4190710304775539E-3</v>
      </c>
      <c r="F564" s="1">
        <f t="shared" si="63"/>
        <v>7.9402502760294556E-3</v>
      </c>
      <c r="G564" s="1">
        <f t="shared" si="64"/>
        <v>-1.0176001206831362E-2</v>
      </c>
      <c r="P564" s="39">
        <f t="shared" si="65"/>
        <v>748.48432048887366</v>
      </c>
      <c r="Q564" s="26">
        <f t="shared" si="66"/>
        <v>4.8244842720206407</v>
      </c>
      <c r="R564" s="26">
        <f t="shared" si="67"/>
        <v>-4.8244842720206407</v>
      </c>
    </row>
    <row r="565" spans="1:18" x14ac:dyDescent="0.3">
      <c r="A565" s="2">
        <v>43318</v>
      </c>
      <c r="B565" s="1">
        <v>52.267499999999998</v>
      </c>
      <c r="C565" s="1">
        <v>1847.75</v>
      </c>
      <c r="D565" s="1">
        <v>185.69</v>
      </c>
      <c r="E565" s="1">
        <f t="shared" si="62"/>
        <v>5.1791224960282718E-3</v>
      </c>
      <c r="F565" s="1">
        <f t="shared" si="63"/>
        <v>1.3326121195838444E-2</v>
      </c>
      <c r="G565" s="1">
        <f t="shared" si="64"/>
        <v>4.3531785798975285E-2</v>
      </c>
      <c r="P565" s="39">
        <f t="shared" si="65"/>
        <v>743.65983621685302</v>
      </c>
      <c r="Q565" s="26">
        <f t="shared" si="66"/>
        <v>10.85104949159529</v>
      </c>
      <c r="R565" s="26">
        <f t="shared" si="67"/>
        <v>-10.85104949159529</v>
      </c>
    </row>
    <row r="566" spans="1:18" x14ac:dyDescent="0.3">
      <c r="A566" s="2">
        <v>43315</v>
      </c>
      <c r="B566" s="1">
        <v>51.997500000000002</v>
      </c>
      <c r="C566" s="1">
        <v>1823.29</v>
      </c>
      <c r="D566" s="1">
        <v>177.78</v>
      </c>
      <c r="E566" s="1">
        <f t="shared" si="62"/>
        <v>2.8889229972256076E-3</v>
      </c>
      <c r="F566" s="1">
        <f t="shared" si="63"/>
        <v>-6.0367307302169508E-3</v>
      </c>
      <c r="G566" s="1">
        <f t="shared" si="64"/>
        <v>7.9627697312556357E-3</v>
      </c>
      <c r="P566" s="39">
        <f t="shared" si="65"/>
        <v>732.80878672525773</v>
      </c>
      <c r="Q566" s="26">
        <f t="shared" si="66"/>
        <v>-3.7057102209302002</v>
      </c>
      <c r="R566" s="26">
        <f t="shared" si="67"/>
        <v>3.7057102209302002</v>
      </c>
    </row>
    <row r="567" spans="1:18" x14ac:dyDescent="0.3">
      <c r="A567" s="2">
        <v>43314</v>
      </c>
      <c r="B567" s="1">
        <v>51.847499999999997</v>
      </c>
      <c r="C567" s="1">
        <v>1834.33</v>
      </c>
      <c r="D567" s="1">
        <v>176.37</v>
      </c>
      <c r="E567" s="1">
        <f t="shared" si="62"/>
        <v>2.8811697238545597E-2</v>
      </c>
      <c r="F567" s="1">
        <f t="shared" si="63"/>
        <v>2.0466086775677926E-2</v>
      </c>
      <c r="G567" s="1">
        <f t="shared" si="64"/>
        <v>2.7126541178572185E-2</v>
      </c>
      <c r="P567" s="39">
        <f t="shared" si="65"/>
        <v>736.51449694618793</v>
      </c>
      <c r="Q567" s="26">
        <f t="shared" si="66"/>
        <v>15.343867290281878</v>
      </c>
      <c r="R567" s="26">
        <f t="shared" si="67"/>
        <v>-15.343867290281878</v>
      </c>
    </row>
    <row r="568" spans="1:18" x14ac:dyDescent="0.3">
      <c r="A568" s="2">
        <v>43313</v>
      </c>
      <c r="B568" s="1">
        <v>50.375</v>
      </c>
      <c r="C568" s="1">
        <v>1797.17</v>
      </c>
      <c r="D568" s="1">
        <v>171.65</v>
      </c>
      <c r="E568" s="1">
        <f t="shared" si="62"/>
        <v>5.7240157072822158E-2</v>
      </c>
      <c r="F568" s="1">
        <f t="shared" si="63"/>
        <v>1.1039078590284357E-2</v>
      </c>
      <c r="G568" s="1">
        <f t="shared" si="64"/>
        <v>-5.4033771764604652E-3</v>
      </c>
      <c r="P568" s="39">
        <f t="shared" si="65"/>
        <v>721.17062965590605</v>
      </c>
      <c r="Q568" s="26">
        <f t="shared" si="66"/>
        <v>8.2393515098984835</v>
      </c>
      <c r="R568" s="26">
        <f t="shared" si="67"/>
        <v>-8.2393515098984835</v>
      </c>
    </row>
    <row r="569" spans="1:18" x14ac:dyDescent="0.3">
      <c r="A569" s="2">
        <v>43312</v>
      </c>
      <c r="B569" s="1">
        <v>47.572499999999998</v>
      </c>
      <c r="C569" s="1">
        <v>1777.44</v>
      </c>
      <c r="D569" s="1">
        <v>172.58</v>
      </c>
      <c r="E569" s="1">
        <f t="shared" si="62"/>
        <v>1.9989485877618405E-3</v>
      </c>
      <c r="F569" s="1">
        <f t="shared" si="63"/>
        <v>-1.0009391668656051E-3</v>
      </c>
      <c r="G569" s="1">
        <f t="shared" si="64"/>
        <v>8.8465249275257781E-3</v>
      </c>
      <c r="P569" s="39">
        <f t="shared" si="65"/>
        <v>712.93127814600757</v>
      </c>
      <c r="Q569" s="26">
        <f t="shared" si="66"/>
        <v>-0.28800291888705942</v>
      </c>
      <c r="R569" s="26">
        <f t="shared" si="67"/>
        <v>0.28800291888705942</v>
      </c>
    </row>
    <row r="570" spans="1:18" x14ac:dyDescent="0.3">
      <c r="A570" s="2">
        <v>43311</v>
      </c>
      <c r="B570" s="1">
        <v>47.477499999999999</v>
      </c>
      <c r="C570" s="1">
        <v>1779.22</v>
      </c>
      <c r="D570" s="1">
        <v>171.06</v>
      </c>
      <c r="E570" s="1">
        <f t="shared" si="62"/>
        <v>-5.6184347959026991E-3</v>
      </c>
      <c r="F570" s="1">
        <f t="shared" si="63"/>
        <v>-2.1160308944296012E-2</v>
      </c>
      <c r="G570" s="1">
        <f t="shared" si="64"/>
        <v>-2.2142832708464132E-2</v>
      </c>
      <c r="P570" s="39">
        <f t="shared" si="65"/>
        <v>713.21928106489463</v>
      </c>
      <c r="Q570" s="26">
        <f t="shared" si="66"/>
        <v>-14.9801224469212</v>
      </c>
      <c r="R570" s="26">
        <f t="shared" si="67"/>
        <v>14.9801224469212</v>
      </c>
    </row>
    <row r="571" spans="1:18" x14ac:dyDescent="0.3">
      <c r="A571" s="2">
        <v>43308</v>
      </c>
      <c r="B571" s="1">
        <v>47.744999999999997</v>
      </c>
      <c r="C571" s="1">
        <v>1817.27</v>
      </c>
      <c r="D571" s="1">
        <v>174.89</v>
      </c>
      <c r="E571" s="1">
        <f t="shared" si="62"/>
        <v>-1.67713373153036E-2</v>
      </c>
      <c r="F571" s="1">
        <f t="shared" si="63"/>
        <v>5.1141129924521826E-3</v>
      </c>
      <c r="G571" s="1">
        <f t="shared" si="64"/>
        <v>-7.8029728104146009E-3</v>
      </c>
      <c r="P571" s="39">
        <f t="shared" si="65"/>
        <v>728.19940351181583</v>
      </c>
      <c r="Q571" s="26">
        <f t="shared" si="66"/>
        <v>2.7888884384594803</v>
      </c>
      <c r="R571" s="26">
        <f t="shared" si="67"/>
        <v>-2.7888884384594803</v>
      </c>
    </row>
    <row r="572" spans="1:18" x14ac:dyDescent="0.3">
      <c r="A572" s="2">
        <v>43307</v>
      </c>
      <c r="B572" s="1">
        <v>48.552500000000002</v>
      </c>
      <c r="C572" s="1">
        <v>1808</v>
      </c>
      <c r="D572" s="1">
        <v>176.26</v>
      </c>
      <c r="E572" s="1">
        <f t="shared" si="62"/>
        <v>-3.1360075054495265E-3</v>
      </c>
      <c r="F572" s="1">
        <f t="shared" si="63"/>
        <v>-3.0294204934483301E-2</v>
      </c>
      <c r="G572" s="1">
        <f t="shared" si="64"/>
        <v>-0.21023867285722447</v>
      </c>
      <c r="P572" s="39">
        <f t="shared" si="65"/>
        <v>725.41051507335635</v>
      </c>
      <c r="Q572" s="26">
        <f t="shared" si="66"/>
        <v>-29.518776122365352</v>
      </c>
      <c r="R572" s="26">
        <f t="shared" si="67"/>
        <v>29.518776122365352</v>
      </c>
    </row>
    <row r="573" spans="1:18" x14ac:dyDescent="0.3">
      <c r="A573" s="2">
        <v>43306</v>
      </c>
      <c r="B573" s="1">
        <v>48.704999999999998</v>
      </c>
      <c r="C573" s="1">
        <v>1863.61</v>
      </c>
      <c r="D573" s="1">
        <v>217.5</v>
      </c>
      <c r="E573" s="1">
        <f t="shared" si="62"/>
        <v>9.3858664379240942E-3</v>
      </c>
      <c r="F573" s="1">
        <f t="shared" si="63"/>
        <v>1.8614886858742252E-2</v>
      </c>
      <c r="G573" s="1">
        <f t="shared" si="64"/>
        <v>1.3096885262741725E-2</v>
      </c>
      <c r="P573" s="39">
        <f t="shared" si="65"/>
        <v>754.9292911957217</v>
      </c>
      <c r="Q573" s="26">
        <f t="shared" si="66"/>
        <v>13.483287790150371</v>
      </c>
      <c r="R573" s="26">
        <f t="shared" si="67"/>
        <v>-13.483287790150371</v>
      </c>
    </row>
    <row r="574" spans="1:18" x14ac:dyDescent="0.3">
      <c r="A574" s="2">
        <v>43305</v>
      </c>
      <c r="B574" s="1">
        <v>48.25</v>
      </c>
      <c r="C574" s="1">
        <v>1829.24</v>
      </c>
      <c r="D574" s="1">
        <v>214.67</v>
      </c>
      <c r="E574" s="1">
        <f t="shared" si="62"/>
        <v>7.2281326632780774E-3</v>
      </c>
      <c r="F574" s="1">
        <f t="shared" si="63"/>
        <v>1.5003420859579682E-2</v>
      </c>
      <c r="G574" s="1">
        <f t="shared" si="64"/>
        <v>1.7670463068473922E-2</v>
      </c>
      <c r="P574" s="39">
        <f t="shared" si="65"/>
        <v>741.44600340557133</v>
      </c>
      <c r="Q574" s="26">
        <f t="shared" si="66"/>
        <v>11.009539045672113</v>
      </c>
      <c r="R574" s="26">
        <f t="shared" si="67"/>
        <v>-11.009539045672113</v>
      </c>
    </row>
    <row r="575" spans="1:18" x14ac:dyDescent="0.3">
      <c r="A575" s="2">
        <v>43304</v>
      </c>
      <c r="B575" s="1">
        <v>47.902500000000003</v>
      </c>
      <c r="C575" s="1">
        <v>1802</v>
      </c>
      <c r="D575" s="1">
        <v>210.91</v>
      </c>
      <c r="E575" s="1">
        <f t="shared" si="62"/>
        <v>8.8761264148967559E-4</v>
      </c>
      <c r="F575" s="1">
        <f t="shared" si="63"/>
        <v>-6.4717984550943606E-3</v>
      </c>
      <c r="G575" s="1">
        <f t="shared" si="64"/>
        <v>4.6097265898715351E-3</v>
      </c>
      <c r="P575" s="39">
        <f t="shared" si="65"/>
        <v>730.43646435989922</v>
      </c>
      <c r="Q575" s="26">
        <f t="shared" si="66"/>
        <v>-4.0891225634817374</v>
      </c>
      <c r="R575" s="26">
        <f t="shared" si="67"/>
        <v>4.0891225634817374</v>
      </c>
    </row>
    <row r="576" spans="1:18" x14ac:dyDescent="0.3">
      <c r="A576" s="2">
        <v>43301</v>
      </c>
      <c r="B576" s="1">
        <v>47.86</v>
      </c>
      <c r="C576" s="1">
        <v>1813.7</v>
      </c>
      <c r="D576" s="1">
        <v>209.94</v>
      </c>
      <c r="E576" s="1">
        <f t="shared" si="62"/>
        <v>-2.2957330337452682E-3</v>
      </c>
      <c r="F576" s="1">
        <f t="shared" si="63"/>
        <v>4.0257316483653563E-4</v>
      </c>
      <c r="G576" s="1">
        <f t="shared" si="64"/>
        <v>8.8510971829633429E-3</v>
      </c>
      <c r="P576" s="39">
        <f t="shared" si="65"/>
        <v>734.52558692338096</v>
      </c>
      <c r="Q576" s="26">
        <f t="shared" si="66"/>
        <v>0.62468990770435084</v>
      </c>
      <c r="R576" s="26">
        <f t="shared" si="67"/>
        <v>-0.62468990770435084</v>
      </c>
    </row>
    <row r="577" spans="1:18" x14ac:dyDescent="0.3">
      <c r="A577" s="2">
        <v>43300</v>
      </c>
      <c r="B577" s="1">
        <v>47.97</v>
      </c>
      <c r="C577" s="1">
        <v>1812.97</v>
      </c>
      <c r="D577" s="1">
        <v>208.09</v>
      </c>
      <c r="E577" s="1">
        <f t="shared" si="62"/>
        <v>7.7430542765982071E-3</v>
      </c>
      <c r="F577" s="1">
        <f t="shared" si="63"/>
        <v>-1.6384885781358348E-2</v>
      </c>
      <c r="G577" s="1">
        <f t="shared" si="64"/>
        <v>-6.0845797972022848E-3</v>
      </c>
      <c r="P577" s="39">
        <f t="shared" si="65"/>
        <v>733.90089701567661</v>
      </c>
      <c r="Q577" s="26">
        <f t="shared" si="66"/>
        <v>-11.172559494804204</v>
      </c>
      <c r="R577" s="26">
        <f t="shared" si="67"/>
        <v>11.172559494804204</v>
      </c>
    </row>
    <row r="578" spans="1:18" x14ac:dyDescent="0.3">
      <c r="A578" s="2">
        <v>43299</v>
      </c>
      <c r="B578" s="1">
        <v>47.6</v>
      </c>
      <c r="C578" s="1">
        <v>1842.92</v>
      </c>
      <c r="D578" s="1">
        <v>209.36</v>
      </c>
      <c r="E578" s="1">
        <f t="shared" si="62"/>
        <v>-5.4995555660384355E-3</v>
      </c>
      <c r="F578" s="1">
        <f t="shared" si="63"/>
        <v>-5.4789320165759875E-4</v>
      </c>
      <c r="G578" s="1">
        <f t="shared" si="64"/>
        <v>-3.0046523141363688E-3</v>
      </c>
      <c r="P578" s="39">
        <f t="shared" si="65"/>
        <v>745.07345651048081</v>
      </c>
      <c r="Q578" s="26">
        <f t="shared" si="66"/>
        <v>-0.6179462943331373</v>
      </c>
      <c r="R578" s="26">
        <f t="shared" si="67"/>
        <v>0.6179462943331373</v>
      </c>
    </row>
    <row r="579" spans="1:18" x14ac:dyDescent="0.3">
      <c r="A579" s="2">
        <v>43298</v>
      </c>
      <c r="B579" s="1">
        <v>47.862499999999997</v>
      </c>
      <c r="C579" s="1">
        <v>1843.93</v>
      </c>
      <c r="D579" s="1">
        <v>209.99</v>
      </c>
      <c r="E579" s="1">
        <f t="shared" si="62"/>
        <v>2.8245651167355577E-3</v>
      </c>
      <c r="F579" s="1">
        <f t="shared" si="63"/>
        <v>1.1695465542247228E-2</v>
      </c>
      <c r="G579" s="1">
        <f t="shared" si="64"/>
        <v>1.3230622986630705E-2</v>
      </c>
      <c r="P579" s="39">
        <f t="shared" si="65"/>
        <v>745.69140280481395</v>
      </c>
      <c r="Q579" s="26">
        <f t="shared" si="66"/>
        <v>8.5647618696272048</v>
      </c>
      <c r="R579" s="26">
        <f t="shared" si="67"/>
        <v>-8.5647618696272048</v>
      </c>
    </row>
    <row r="580" spans="1:18" x14ac:dyDescent="0.3">
      <c r="A580" s="2">
        <v>43297</v>
      </c>
      <c r="B580" s="1">
        <v>47.727499999999999</v>
      </c>
      <c r="C580" s="1">
        <v>1822.49</v>
      </c>
      <c r="D580" s="1">
        <v>207.23</v>
      </c>
      <c r="E580" s="1">
        <f t="shared" si="62"/>
        <v>-2.1975730903435772E-3</v>
      </c>
      <c r="F580" s="1">
        <f t="shared" si="63"/>
        <v>5.2042191219572624E-3</v>
      </c>
      <c r="G580" s="1">
        <f t="shared" si="64"/>
        <v>-4.3420577210959236E-4</v>
      </c>
      <c r="P580" s="39">
        <f t="shared" si="65"/>
        <v>737.12664093518674</v>
      </c>
      <c r="Q580" s="26">
        <f t="shared" si="66"/>
        <v>3.4274428400382249</v>
      </c>
      <c r="R580" s="26">
        <f t="shared" si="67"/>
        <v>-3.4274428400382249</v>
      </c>
    </row>
    <row r="581" spans="1:18" x14ac:dyDescent="0.3">
      <c r="A581" s="2">
        <v>43294</v>
      </c>
      <c r="B581" s="1">
        <v>47.832500000000003</v>
      </c>
      <c r="C581" s="1">
        <v>1813.03</v>
      </c>
      <c r="D581" s="1">
        <v>207.32</v>
      </c>
      <c r="E581" s="1">
        <f t="shared" si="62"/>
        <v>1.5692021213509818E-3</v>
      </c>
      <c r="F581" s="1">
        <f t="shared" si="63"/>
        <v>9.0923569057244219E-3</v>
      </c>
      <c r="G581" s="1">
        <f t="shared" si="64"/>
        <v>1.9312481861914739E-3</v>
      </c>
      <c r="P581" s="39">
        <f t="shared" si="65"/>
        <v>733.69919809514852</v>
      </c>
      <c r="Q581" s="26">
        <f t="shared" si="66"/>
        <v>6.1725463072326647</v>
      </c>
      <c r="R581" s="26">
        <f t="shared" si="67"/>
        <v>-6.1725463072326647</v>
      </c>
    </row>
    <row r="582" spans="1:18" x14ac:dyDescent="0.3">
      <c r="A582" s="2">
        <v>43293</v>
      </c>
      <c r="B582" s="1">
        <v>47.7575</v>
      </c>
      <c r="C582" s="1">
        <v>1796.62</v>
      </c>
      <c r="D582" s="1">
        <v>206.92</v>
      </c>
      <c r="E582" s="1">
        <f t="shared" ref="E582:E645" si="68">LN(B582/B583)</f>
        <v>1.6627022616766154E-2</v>
      </c>
      <c r="F582" s="1">
        <f t="shared" ref="F582:F645" si="69">LN(C582/C583)</f>
        <v>2.3438264971662032E-2</v>
      </c>
      <c r="G582" s="1">
        <f t="shared" ref="G582:G645" si="70">LN(D582/D583)</f>
        <v>2.1394847231175448E-2</v>
      </c>
      <c r="P582" s="39">
        <f t="shared" ref="P582:P645" si="71">B582*$J$13+C582*$J$14+D582*$J$15</f>
        <v>727.52665178791585</v>
      </c>
      <c r="Q582" s="26">
        <f t="shared" ref="Q582:Q645" si="72">P582-P583</f>
        <v>16.631980430135172</v>
      </c>
      <c r="R582" s="26">
        <f t="shared" ref="R582:R645" si="73">-Q582</f>
        <v>-16.631980430135172</v>
      </c>
    </row>
    <row r="583" spans="1:18" x14ac:dyDescent="0.3">
      <c r="A583" s="2">
        <v>43292</v>
      </c>
      <c r="B583" s="1">
        <v>46.97</v>
      </c>
      <c r="C583" s="1">
        <v>1755</v>
      </c>
      <c r="D583" s="1">
        <v>202.54</v>
      </c>
      <c r="E583" s="1">
        <f t="shared" si="68"/>
        <v>-1.3061021669711955E-2</v>
      </c>
      <c r="F583" s="1">
        <f t="shared" si="69"/>
        <v>6.8209305437919509E-3</v>
      </c>
      <c r="G583" s="1">
        <f t="shared" si="70"/>
        <v>-4.9251478596465939E-3</v>
      </c>
      <c r="P583" s="39">
        <f t="shared" si="71"/>
        <v>710.89467135778068</v>
      </c>
      <c r="Q583" s="26">
        <f t="shared" si="72"/>
        <v>3.9292509869145533</v>
      </c>
      <c r="R583" s="26">
        <f t="shared" si="73"/>
        <v>-3.9292509869145533</v>
      </c>
    </row>
    <row r="584" spans="1:18" x14ac:dyDescent="0.3">
      <c r="A584" s="2">
        <v>43291</v>
      </c>
      <c r="B584" s="1">
        <v>47.587499999999999</v>
      </c>
      <c r="C584" s="1">
        <v>1743.07</v>
      </c>
      <c r="D584" s="1">
        <v>203.54</v>
      </c>
      <c r="E584" s="1">
        <f t="shared" si="68"/>
        <v>-1.2075710915359459E-3</v>
      </c>
      <c r="F584" s="1">
        <f t="shared" si="69"/>
        <v>2.3261902054609561E-3</v>
      </c>
      <c r="G584" s="1">
        <f t="shared" si="70"/>
        <v>-5.8783357278393072E-3</v>
      </c>
      <c r="P584" s="39">
        <f t="shared" si="71"/>
        <v>706.96542037086613</v>
      </c>
      <c r="Q584" s="26">
        <f t="shared" si="72"/>
        <v>1.2104482241029473</v>
      </c>
      <c r="R584" s="26">
        <f t="shared" si="73"/>
        <v>-1.2104482241029473</v>
      </c>
    </row>
    <row r="585" spans="1:18" x14ac:dyDescent="0.3">
      <c r="A585" s="2">
        <v>43290</v>
      </c>
      <c r="B585" s="1">
        <v>47.645000000000003</v>
      </c>
      <c r="C585" s="1">
        <v>1739.02</v>
      </c>
      <c r="D585" s="1">
        <v>204.74</v>
      </c>
      <c r="E585" s="1">
        <f t="shared" si="68"/>
        <v>1.3789678291538309E-2</v>
      </c>
      <c r="F585" s="1">
        <f t="shared" si="69"/>
        <v>1.6460012451747622E-2</v>
      </c>
      <c r="G585" s="1">
        <f t="shared" si="70"/>
        <v>7.4025388894091966E-3</v>
      </c>
      <c r="P585" s="39">
        <f t="shared" si="71"/>
        <v>705.75497214676318</v>
      </c>
      <c r="Q585" s="26">
        <f t="shared" si="72"/>
        <v>11.072618878347498</v>
      </c>
      <c r="R585" s="26">
        <f t="shared" si="73"/>
        <v>-11.072618878347498</v>
      </c>
    </row>
    <row r="586" spans="1:18" x14ac:dyDescent="0.3">
      <c r="A586" s="2">
        <v>43287</v>
      </c>
      <c r="B586" s="1">
        <v>46.9925</v>
      </c>
      <c r="C586" s="1">
        <v>1710.63</v>
      </c>
      <c r="D586" s="1">
        <v>203.23</v>
      </c>
      <c r="E586" s="1">
        <f t="shared" si="68"/>
        <v>1.3766722496749269E-2</v>
      </c>
      <c r="F586" s="1">
        <f t="shared" si="69"/>
        <v>6.3923087978622999E-3</v>
      </c>
      <c r="G586" s="1">
        <f t="shared" si="70"/>
        <v>2.3801163373141299E-2</v>
      </c>
      <c r="P586" s="39">
        <f t="shared" si="71"/>
        <v>694.68235326841568</v>
      </c>
      <c r="Q586" s="26">
        <f t="shared" si="72"/>
        <v>5.3238495794670371</v>
      </c>
      <c r="R586" s="26">
        <f t="shared" si="73"/>
        <v>-5.3238495794670371</v>
      </c>
    </row>
    <row r="587" spans="1:18" x14ac:dyDescent="0.3">
      <c r="A587" s="2">
        <v>43286</v>
      </c>
      <c r="B587" s="1">
        <v>46.35</v>
      </c>
      <c r="C587" s="1">
        <v>1699.73</v>
      </c>
      <c r="D587" s="1">
        <v>198.45</v>
      </c>
      <c r="E587" s="1">
        <f t="shared" si="68"/>
        <v>8.0147726768287769E-3</v>
      </c>
      <c r="F587" s="1">
        <f t="shared" si="69"/>
        <v>3.4004317187744963E-3</v>
      </c>
      <c r="G587" s="1">
        <f t="shared" si="70"/>
        <v>2.9246933518114283E-2</v>
      </c>
      <c r="P587" s="39">
        <f t="shared" si="71"/>
        <v>689.35850368894864</v>
      </c>
      <c r="Q587" s="26">
        <f t="shared" si="72"/>
        <v>3.5218441610149966</v>
      </c>
      <c r="R587" s="26">
        <f t="shared" si="73"/>
        <v>-3.5218441610149966</v>
      </c>
    </row>
    <row r="588" spans="1:18" x14ac:dyDescent="0.3">
      <c r="A588" s="2">
        <v>43285</v>
      </c>
      <c r="B588" s="1">
        <v>45.98</v>
      </c>
      <c r="C588" s="1">
        <v>1693.96</v>
      </c>
      <c r="D588" s="1">
        <v>192.73</v>
      </c>
      <c r="E588" s="1">
        <f t="shared" si="68"/>
        <v>0</v>
      </c>
      <c r="F588" s="1">
        <f t="shared" si="69"/>
        <v>0</v>
      </c>
      <c r="G588" s="1">
        <f t="shared" si="70"/>
        <v>0</v>
      </c>
      <c r="P588" s="39">
        <f t="shared" si="71"/>
        <v>685.83665952793365</v>
      </c>
      <c r="Q588" s="26">
        <f t="shared" si="72"/>
        <v>0</v>
      </c>
      <c r="R588" s="26">
        <f t="shared" si="73"/>
        <v>0</v>
      </c>
    </row>
    <row r="589" spans="1:18" x14ac:dyDescent="0.3">
      <c r="A589" s="2">
        <v>43284</v>
      </c>
      <c r="B589" s="1">
        <v>45.98</v>
      </c>
      <c r="C589" s="1">
        <v>1693.96</v>
      </c>
      <c r="D589" s="1">
        <v>192.73</v>
      </c>
      <c r="E589" s="1">
        <f t="shared" si="68"/>
        <v>-1.7569840274184432E-2</v>
      </c>
      <c r="F589" s="1">
        <f t="shared" si="69"/>
        <v>-1.1632474011435858E-2</v>
      </c>
      <c r="G589" s="1">
        <f t="shared" si="70"/>
        <v>-2.3739226510141268E-2</v>
      </c>
      <c r="P589" s="39">
        <f t="shared" si="71"/>
        <v>685.83665952793365</v>
      </c>
      <c r="Q589" s="26">
        <f t="shared" si="72"/>
        <v>-8.6540196298901719</v>
      </c>
      <c r="R589" s="26">
        <f t="shared" si="73"/>
        <v>8.6540196298901719</v>
      </c>
    </row>
    <row r="590" spans="1:18" x14ac:dyDescent="0.3">
      <c r="A590" s="2">
        <v>43283</v>
      </c>
      <c r="B590" s="1">
        <v>46.795000000000002</v>
      </c>
      <c r="C590" s="1">
        <v>1713.78</v>
      </c>
      <c r="D590" s="1">
        <v>197.36</v>
      </c>
      <c r="E590" s="1">
        <f t="shared" si="68"/>
        <v>1.1120477757516548E-2</v>
      </c>
      <c r="F590" s="1">
        <f t="shared" si="69"/>
        <v>8.1908601292388222E-3</v>
      </c>
      <c r="G590" s="1">
        <f t="shared" si="70"/>
        <v>1.5523187527184377E-2</v>
      </c>
      <c r="P590" s="39">
        <f t="shared" si="71"/>
        <v>694.49067915782382</v>
      </c>
      <c r="Q590" s="26">
        <f t="shared" si="72"/>
        <v>6.0314064890693544</v>
      </c>
      <c r="R590" s="26">
        <f t="shared" si="73"/>
        <v>-6.0314064890693544</v>
      </c>
    </row>
    <row r="591" spans="1:18" x14ac:dyDescent="0.3">
      <c r="A591" s="2">
        <v>43280</v>
      </c>
      <c r="B591" s="1">
        <v>46.277500000000003</v>
      </c>
      <c r="C591" s="1">
        <v>1699.8</v>
      </c>
      <c r="D591" s="1">
        <v>194.32</v>
      </c>
      <c r="E591" s="1">
        <f t="shared" si="68"/>
        <v>-2.1046390758960231E-3</v>
      </c>
      <c r="F591" s="1">
        <f t="shared" si="69"/>
        <v>-9.7023160863540792E-4</v>
      </c>
      <c r="G591" s="1">
        <f t="shared" si="70"/>
        <v>-9.7811559473140169E-3</v>
      </c>
      <c r="P591" s="39">
        <f t="shared" si="71"/>
        <v>688.45927266875447</v>
      </c>
      <c r="Q591" s="26">
        <f t="shared" si="72"/>
        <v>-1.0631155659950764</v>
      </c>
      <c r="R591" s="26">
        <f t="shared" si="73"/>
        <v>1.0631155659950764</v>
      </c>
    </row>
    <row r="592" spans="1:18" x14ac:dyDescent="0.3">
      <c r="A592" s="2">
        <v>43279</v>
      </c>
      <c r="B592" s="1">
        <v>46.375</v>
      </c>
      <c r="C592" s="1">
        <v>1701.45</v>
      </c>
      <c r="D592" s="1">
        <v>196.23</v>
      </c>
      <c r="E592" s="1">
        <f t="shared" si="68"/>
        <v>7.2499370739173554E-3</v>
      </c>
      <c r="F592" s="1">
        <f t="shared" si="69"/>
        <v>2.4356044592048869E-2</v>
      </c>
      <c r="G592" s="1">
        <f t="shared" si="70"/>
        <v>1.9894413172697693E-3</v>
      </c>
      <c r="P592" s="39">
        <f t="shared" si="71"/>
        <v>689.52238823474954</v>
      </c>
      <c r="Q592" s="26">
        <f t="shared" si="72"/>
        <v>15.328921005677557</v>
      </c>
      <c r="R592" s="26">
        <f t="shared" si="73"/>
        <v>-15.328921005677557</v>
      </c>
    </row>
    <row r="593" spans="1:18" x14ac:dyDescent="0.3">
      <c r="A593" s="2">
        <v>43278</v>
      </c>
      <c r="B593" s="1">
        <v>46.04</v>
      </c>
      <c r="C593" s="1">
        <v>1660.51</v>
      </c>
      <c r="D593" s="1">
        <v>195.84</v>
      </c>
      <c r="E593" s="1">
        <f t="shared" si="68"/>
        <v>-1.4650427211420831E-3</v>
      </c>
      <c r="F593" s="1">
        <f t="shared" si="69"/>
        <v>-1.8248507346180075E-2</v>
      </c>
      <c r="G593" s="1">
        <f t="shared" si="70"/>
        <v>-1.6006825400531086E-2</v>
      </c>
      <c r="P593" s="39">
        <f t="shared" si="71"/>
        <v>674.19346722907198</v>
      </c>
      <c r="Q593" s="26">
        <f t="shared" si="72"/>
        <v>-11.99586035908635</v>
      </c>
      <c r="R593" s="26">
        <f t="shared" si="73"/>
        <v>11.99586035908635</v>
      </c>
    </row>
    <row r="594" spans="1:18" x14ac:dyDescent="0.3">
      <c r="A594" s="2">
        <v>43277</v>
      </c>
      <c r="B594" s="1">
        <v>46.107500000000002</v>
      </c>
      <c r="C594" s="1">
        <v>1691.09</v>
      </c>
      <c r="D594" s="1">
        <v>199</v>
      </c>
      <c r="E594" s="1">
        <f t="shared" si="68"/>
        <v>1.2329670651977202E-2</v>
      </c>
      <c r="F594" s="1">
        <f t="shared" si="69"/>
        <v>1.6659896865438801E-2</v>
      </c>
      <c r="G594" s="1">
        <f t="shared" si="70"/>
        <v>1.34060437004738E-2</v>
      </c>
      <c r="P594" s="39">
        <f t="shared" si="71"/>
        <v>686.18932758815833</v>
      </c>
      <c r="Q594" s="26">
        <f t="shared" si="72"/>
        <v>11.117381522378423</v>
      </c>
      <c r="R594" s="26">
        <f t="shared" si="73"/>
        <v>-11.117381522378423</v>
      </c>
    </row>
    <row r="595" spans="1:18" x14ac:dyDescent="0.3">
      <c r="A595" s="2">
        <v>43276</v>
      </c>
      <c r="B595" s="1">
        <v>45.542499999999997</v>
      </c>
      <c r="C595" s="1">
        <v>1663.15</v>
      </c>
      <c r="D595" s="1">
        <v>196.35</v>
      </c>
      <c r="E595" s="1">
        <f t="shared" si="68"/>
        <v>-1.4982982077287156E-2</v>
      </c>
      <c r="F595" s="1">
        <f t="shared" si="69"/>
        <v>-3.1090280300250937E-2</v>
      </c>
      <c r="G595" s="1">
        <f t="shared" si="70"/>
        <v>-2.7080958602670811E-2</v>
      </c>
      <c r="P595" s="39">
        <f t="shared" si="71"/>
        <v>675.07194606577991</v>
      </c>
      <c r="Q595" s="26">
        <f t="shared" si="72"/>
        <v>-20.831194035083627</v>
      </c>
      <c r="R595" s="26">
        <f t="shared" si="73"/>
        <v>20.831194035083627</v>
      </c>
    </row>
    <row r="596" spans="1:18" x14ac:dyDescent="0.3">
      <c r="A596" s="2">
        <v>43273</v>
      </c>
      <c r="B596" s="1">
        <v>46.23</v>
      </c>
      <c r="C596" s="1">
        <v>1715.67</v>
      </c>
      <c r="D596" s="1">
        <v>201.74</v>
      </c>
      <c r="E596" s="1">
        <f t="shared" si="68"/>
        <v>-2.9159262520553919E-3</v>
      </c>
      <c r="F596" s="1">
        <f t="shared" si="69"/>
        <v>-8.444893174660113E-3</v>
      </c>
      <c r="G596" s="1">
        <f t="shared" si="70"/>
        <v>1.1903582399516379E-3</v>
      </c>
      <c r="P596" s="39">
        <f t="shared" si="71"/>
        <v>695.90314010086354</v>
      </c>
      <c r="Q596" s="26">
        <f t="shared" si="72"/>
        <v>-5.3724266521851405</v>
      </c>
      <c r="R596" s="26">
        <f t="shared" si="73"/>
        <v>5.3724266521851405</v>
      </c>
    </row>
    <row r="597" spans="1:18" x14ac:dyDescent="0.3">
      <c r="A597" s="2">
        <v>43272</v>
      </c>
      <c r="B597" s="1">
        <v>46.365000000000002</v>
      </c>
      <c r="C597" s="1">
        <v>1730.22</v>
      </c>
      <c r="D597" s="1">
        <v>201.5</v>
      </c>
      <c r="E597" s="1">
        <f t="shared" si="68"/>
        <v>-5.5920137117902845E-3</v>
      </c>
      <c r="F597" s="1">
        <f t="shared" si="69"/>
        <v>-1.14129331216431E-2</v>
      </c>
      <c r="G597" s="1">
        <f t="shared" si="70"/>
        <v>-2.4783160144670898E-3</v>
      </c>
      <c r="P597" s="39">
        <f t="shared" si="71"/>
        <v>701.27556675304868</v>
      </c>
      <c r="Q597" s="26">
        <f t="shared" si="72"/>
        <v>-7.5438108218726256</v>
      </c>
      <c r="R597" s="26">
        <f t="shared" si="73"/>
        <v>7.5438108218726256</v>
      </c>
    </row>
    <row r="598" spans="1:18" x14ac:dyDescent="0.3">
      <c r="A598" s="2">
        <v>43271</v>
      </c>
      <c r="B598" s="1">
        <v>46.625</v>
      </c>
      <c r="C598" s="1">
        <v>1750.08</v>
      </c>
      <c r="D598" s="1">
        <v>202</v>
      </c>
      <c r="E598" s="1">
        <f t="shared" si="68"/>
        <v>4.3526224713660447E-3</v>
      </c>
      <c r="F598" s="1">
        <f t="shared" si="69"/>
        <v>8.7808969701318428E-3</v>
      </c>
      <c r="G598" s="1">
        <f t="shared" si="70"/>
        <v>2.2579747253309624E-2</v>
      </c>
      <c r="P598" s="39">
        <f t="shared" si="71"/>
        <v>708.8193775749213</v>
      </c>
      <c r="Q598" s="26">
        <f t="shared" si="72"/>
        <v>6.7065024477817587</v>
      </c>
      <c r="R598" s="26">
        <f t="shared" si="73"/>
        <v>-6.7065024477817587</v>
      </c>
    </row>
    <row r="599" spans="1:18" x14ac:dyDescent="0.3">
      <c r="A599" s="2">
        <v>43270</v>
      </c>
      <c r="B599" s="1">
        <v>46.422499999999999</v>
      </c>
      <c r="C599" s="1">
        <v>1734.78</v>
      </c>
      <c r="D599" s="1">
        <v>197.49</v>
      </c>
      <c r="E599" s="1">
        <f t="shared" si="68"/>
        <v>-1.6291789980682755E-2</v>
      </c>
      <c r="F599" s="1">
        <f t="shared" si="69"/>
        <v>6.3552491288265938E-3</v>
      </c>
      <c r="G599" s="1">
        <f t="shared" si="70"/>
        <v>-4.1435127498433873E-3</v>
      </c>
      <c r="P599" s="39">
        <f t="shared" si="71"/>
        <v>702.11287512713955</v>
      </c>
      <c r="Q599" s="26">
        <f t="shared" si="72"/>
        <v>3.5613517439445559</v>
      </c>
      <c r="R599" s="26">
        <f t="shared" si="73"/>
        <v>-3.5613517439445559</v>
      </c>
    </row>
    <row r="600" spans="1:18" x14ac:dyDescent="0.3">
      <c r="A600" s="2">
        <v>43269</v>
      </c>
      <c r="B600" s="1">
        <v>47.185000000000002</v>
      </c>
      <c r="C600" s="1">
        <v>1723.79</v>
      </c>
      <c r="D600" s="1">
        <v>198.31</v>
      </c>
      <c r="E600" s="1">
        <f t="shared" si="68"/>
        <v>-5.296890848990127E-4</v>
      </c>
      <c r="F600" s="1">
        <f t="shared" si="69"/>
        <v>4.5468366818452385E-3</v>
      </c>
      <c r="G600" s="1">
        <f t="shared" si="70"/>
        <v>1.2482402785898225E-2</v>
      </c>
      <c r="P600" s="39">
        <f t="shared" si="71"/>
        <v>698.55152338319499</v>
      </c>
      <c r="Q600" s="26">
        <f t="shared" si="72"/>
        <v>3.4080942716914251</v>
      </c>
      <c r="R600" s="26">
        <f t="shared" si="73"/>
        <v>-3.4080942716914251</v>
      </c>
    </row>
    <row r="601" spans="1:18" x14ac:dyDescent="0.3">
      <c r="A601" s="2">
        <v>43266</v>
      </c>
      <c r="B601" s="1">
        <v>47.21</v>
      </c>
      <c r="C601" s="1">
        <v>1715.97</v>
      </c>
      <c r="D601" s="1">
        <v>195.85</v>
      </c>
      <c r="E601" s="1">
        <f t="shared" si="68"/>
        <v>-1.0325663336100193E-2</v>
      </c>
      <c r="F601" s="1">
        <f t="shared" si="69"/>
        <v>-4.5874440520884754E-3</v>
      </c>
      <c r="G601" s="1">
        <f t="shared" si="70"/>
        <v>-4.889736223505658E-3</v>
      </c>
      <c r="P601" s="39">
        <f t="shared" si="71"/>
        <v>695.14342911150356</v>
      </c>
      <c r="Q601" s="26">
        <f t="shared" si="72"/>
        <v>-3.3222281077722755</v>
      </c>
      <c r="R601" s="26">
        <f t="shared" si="73"/>
        <v>3.3222281077722755</v>
      </c>
    </row>
    <row r="602" spans="1:18" x14ac:dyDescent="0.3">
      <c r="A602" s="2">
        <v>43265</v>
      </c>
      <c r="B602" s="1">
        <v>47.7</v>
      </c>
      <c r="C602" s="1">
        <v>1723.86</v>
      </c>
      <c r="D602" s="1">
        <v>196.81</v>
      </c>
      <c r="E602" s="1">
        <f t="shared" si="68"/>
        <v>5.2424640781277912E-4</v>
      </c>
      <c r="F602" s="1">
        <f t="shared" si="69"/>
        <v>1.1082966520354226E-2</v>
      </c>
      <c r="G602" s="1">
        <f t="shared" si="70"/>
        <v>2.2610284402421077E-2</v>
      </c>
      <c r="P602" s="39">
        <f t="shared" si="71"/>
        <v>698.46565721927584</v>
      </c>
      <c r="Q602" s="26">
        <f t="shared" si="72"/>
        <v>7.9743092983756014</v>
      </c>
      <c r="R602" s="26">
        <f t="shared" si="73"/>
        <v>-7.9743092983756014</v>
      </c>
    </row>
    <row r="603" spans="1:18" x14ac:dyDescent="0.3">
      <c r="A603" s="2">
        <v>43264</v>
      </c>
      <c r="B603" s="1">
        <v>47.674999999999997</v>
      </c>
      <c r="C603" s="1">
        <v>1704.86</v>
      </c>
      <c r="D603" s="1">
        <v>192.41</v>
      </c>
      <c r="E603" s="1">
        <f t="shared" si="68"/>
        <v>-8.2511304193866337E-3</v>
      </c>
      <c r="F603" s="1">
        <f t="shared" si="69"/>
        <v>3.5903094439849034E-3</v>
      </c>
      <c r="G603" s="1">
        <f t="shared" si="70"/>
        <v>5.1973701318747954E-5</v>
      </c>
      <c r="P603" s="39">
        <f t="shared" si="71"/>
        <v>690.49134792090024</v>
      </c>
      <c r="Q603" s="26">
        <f t="shared" si="72"/>
        <v>2.0929142254898352</v>
      </c>
      <c r="R603" s="26">
        <f t="shared" si="73"/>
        <v>-2.0929142254898352</v>
      </c>
    </row>
    <row r="604" spans="1:18" x14ac:dyDescent="0.3">
      <c r="A604" s="2">
        <v>43263</v>
      </c>
      <c r="B604" s="1">
        <v>48.07</v>
      </c>
      <c r="C604" s="1">
        <v>1698.75</v>
      </c>
      <c r="D604" s="1">
        <v>192.4</v>
      </c>
      <c r="E604" s="1">
        <f t="shared" si="68"/>
        <v>5.4757509508770764E-3</v>
      </c>
      <c r="F604" s="1">
        <f t="shared" si="69"/>
        <v>5.6850032239687421E-3</v>
      </c>
      <c r="G604" s="1">
        <f t="shared" si="70"/>
        <v>4.4798741381330007E-3</v>
      </c>
      <c r="P604" s="39">
        <f t="shared" si="71"/>
        <v>688.3984336954104</v>
      </c>
      <c r="Q604" s="26">
        <f t="shared" si="72"/>
        <v>3.8483061578870092</v>
      </c>
      <c r="R604" s="26">
        <f t="shared" si="73"/>
        <v>-3.8483061578870092</v>
      </c>
    </row>
    <row r="605" spans="1:18" x14ac:dyDescent="0.3">
      <c r="A605" s="2">
        <v>43262</v>
      </c>
      <c r="B605" s="1">
        <v>47.807499999999997</v>
      </c>
      <c r="C605" s="1">
        <v>1689.12</v>
      </c>
      <c r="D605" s="1">
        <v>191.54</v>
      </c>
      <c r="E605" s="1">
        <f t="shared" si="68"/>
        <v>-2.4547579767159014E-3</v>
      </c>
      <c r="F605" s="1">
        <f t="shared" si="69"/>
        <v>3.0417056990242378E-3</v>
      </c>
      <c r="G605" s="1">
        <f t="shared" si="70"/>
        <v>1.2820688429061469E-2</v>
      </c>
      <c r="P605" s="39">
        <f t="shared" si="71"/>
        <v>684.55012753752339</v>
      </c>
      <c r="Q605" s="26">
        <f t="shared" si="72"/>
        <v>2.3729079202904586</v>
      </c>
      <c r="R605" s="26">
        <f t="shared" si="73"/>
        <v>-2.3729079202904586</v>
      </c>
    </row>
    <row r="606" spans="1:18" x14ac:dyDescent="0.3">
      <c r="A606" s="2">
        <v>43259</v>
      </c>
      <c r="B606" s="1">
        <v>47.924999999999997</v>
      </c>
      <c r="C606" s="1">
        <v>1683.99</v>
      </c>
      <c r="D606" s="1">
        <v>189.1</v>
      </c>
      <c r="E606" s="1">
        <f t="shared" si="68"/>
        <v>-9.139122702802217E-3</v>
      </c>
      <c r="F606" s="1">
        <f t="shared" si="69"/>
        <v>-3.1482643863221522E-3</v>
      </c>
      <c r="G606" s="1">
        <f t="shared" si="70"/>
        <v>4.8770240857921527E-3</v>
      </c>
      <c r="P606" s="39">
        <f t="shared" si="71"/>
        <v>682.17721961723294</v>
      </c>
      <c r="Q606" s="26">
        <f t="shared" si="72"/>
        <v>-1.9421525078493005</v>
      </c>
      <c r="R606" s="26">
        <f t="shared" si="73"/>
        <v>1.9421525078493005</v>
      </c>
    </row>
    <row r="607" spans="1:18" x14ac:dyDescent="0.3">
      <c r="A607" s="2">
        <v>43258</v>
      </c>
      <c r="B607" s="1">
        <v>48.365000000000002</v>
      </c>
      <c r="C607" s="1">
        <v>1689.3</v>
      </c>
      <c r="D607" s="1">
        <v>188.18</v>
      </c>
      <c r="E607" s="1">
        <f t="shared" si="68"/>
        <v>-2.6842882109956376E-3</v>
      </c>
      <c r="F607" s="1">
        <f t="shared" si="69"/>
        <v>-3.8108788975064574E-3</v>
      </c>
      <c r="G607" s="1">
        <f t="shared" si="70"/>
        <v>-1.6652998671401607E-2</v>
      </c>
      <c r="P607" s="39">
        <f t="shared" si="71"/>
        <v>684.11937212508224</v>
      </c>
      <c r="Q607" s="26">
        <f t="shared" si="72"/>
        <v>-3.1185240300936812</v>
      </c>
      <c r="R607" s="26">
        <f t="shared" si="73"/>
        <v>3.1185240300936812</v>
      </c>
    </row>
    <row r="608" spans="1:18" x14ac:dyDescent="0.3">
      <c r="A608" s="2">
        <v>43257</v>
      </c>
      <c r="B608" s="1">
        <v>48.494999999999997</v>
      </c>
      <c r="C608" s="1">
        <v>1695.75</v>
      </c>
      <c r="D608" s="1">
        <v>191.34</v>
      </c>
      <c r="E608" s="1">
        <f t="shared" si="68"/>
        <v>3.4599430317961252E-3</v>
      </c>
      <c r="F608" s="1">
        <f t="shared" si="69"/>
        <v>-3.5376315925669821E-4</v>
      </c>
      <c r="G608" s="1">
        <f t="shared" si="70"/>
        <v>-8.3273094923862079E-3</v>
      </c>
      <c r="P608" s="39">
        <f t="shared" si="71"/>
        <v>687.23789615517592</v>
      </c>
      <c r="Q608" s="26">
        <f t="shared" si="72"/>
        <v>-0.49872255703883184</v>
      </c>
      <c r="R608" s="26">
        <f t="shared" si="73"/>
        <v>0.49872255703883184</v>
      </c>
    </row>
    <row r="609" spans="1:18" x14ac:dyDescent="0.3">
      <c r="A609" s="2">
        <v>43256</v>
      </c>
      <c r="B609" s="1">
        <v>48.327500000000001</v>
      </c>
      <c r="C609" s="1">
        <v>1696.35</v>
      </c>
      <c r="D609" s="1">
        <v>192.94</v>
      </c>
      <c r="E609" s="1">
        <f t="shared" si="68"/>
        <v>7.6855547853539579E-3</v>
      </c>
      <c r="F609" s="1">
        <f t="shared" si="69"/>
        <v>1.8491611555601372E-2</v>
      </c>
      <c r="G609" s="1">
        <f t="shared" si="70"/>
        <v>-1.7606550040426621E-3</v>
      </c>
      <c r="P609" s="39">
        <f t="shared" si="71"/>
        <v>687.73661871221475</v>
      </c>
      <c r="Q609" s="26">
        <f t="shared" si="72"/>
        <v>11.547184228684159</v>
      </c>
      <c r="R609" s="26">
        <f t="shared" si="73"/>
        <v>-11.547184228684159</v>
      </c>
    </row>
    <row r="610" spans="1:18" x14ac:dyDescent="0.3">
      <c r="A610" s="2">
        <v>43255</v>
      </c>
      <c r="B610" s="1">
        <v>47.957500000000003</v>
      </c>
      <c r="C610" s="1">
        <v>1665.27</v>
      </c>
      <c r="D610" s="1">
        <v>193.28</v>
      </c>
      <c r="E610" s="1">
        <f t="shared" si="68"/>
        <v>8.323130205774739E-3</v>
      </c>
      <c r="F610" s="1">
        <f t="shared" si="69"/>
        <v>1.4352446828953083E-2</v>
      </c>
      <c r="G610" s="1">
        <f t="shared" si="70"/>
        <v>-3.666696596564596E-3</v>
      </c>
      <c r="P610" s="39">
        <f t="shared" si="71"/>
        <v>676.18943448353059</v>
      </c>
      <c r="Q610" s="26">
        <f t="shared" si="72"/>
        <v>8.766469555940148</v>
      </c>
      <c r="R610" s="26">
        <f t="shared" si="73"/>
        <v>-8.766469555940148</v>
      </c>
    </row>
    <row r="611" spans="1:18" x14ac:dyDescent="0.3">
      <c r="A611" s="2">
        <v>43252</v>
      </c>
      <c r="B611" s="1">
        <v>47.56</v>
      </c>
      <c r="C611" s="1">
        <v>1641.54</v>
      </c>
      <c r="D611" s="1">
        <v>193.99</v>
      </c>
      <c r="E611" s="1">
        <f t="shared" si="68"/>
        <v>1.7873245008307968E-2</v>
      </c>
      <c r="F611" s="1">
        <f t="shared" si="69"/>
        <v>7.2879668131898808E-3</v>
      </c>
      <c r="G611" s="1">
        <f t="shared" si="70"/>
        <v>1.1457729617479574E-2</v>
      </c>
      <c r="P611" s="39">
        <f t="shared" si="71"/>
        <v>667.42296492759044</v>
      </c>
      <c r="Q611" s="26">
        <f t="shared" si="72"/>
        <v>5.2261120860176788</v>
      </c>
      <c r="R611" s="26">
        <f t="shared" si="73"/>
        <v>-5.2261120860176788</v>
      </c>
    </row>
    <row r="612" spans="1:18" x14ac:dyDescent="0.3">
      <c r="A612" s="2">
        <v>43251</v>
      </c>
      <c r="B612" s="1">
        <v>46.717500000000001</v>
      </c>
      <c r="C612" s="1">
        <v>1629.62</v>
      </c>
      <c r="D612" s="1">
        <v>191.78</v>
      </c>
      <c r="E612" s="1">
        <f t="shared" si="68"/>
        <v>-3.3656574763016871E-3</v>
      </c>
      <c r="F612" s="1">
        <f t="shared" si="69"/>
        <v>2.9067376227832555E-3</v>
      </c>
      <c r="G612" s="1">
        <f t="shared" si="70"/>
        <v>2.166378042235392E-2</v>
      </c>
      <c r="P612" s="39">
        <f t="shared" si="71"/>
        <v>662.19685284157276</v>
      </c>
      <c r="Q612" s="26">
        <f t="shared" si="72"/>
        <v>2.5706565536378321</v>
      </c>
      <c r="R612" s="26">
        <f t="shared" si="73"/>
        <v>-2.5706565536378321</v>
      </c>
    </row>
    <row r="613" spans="1:18" x14ac:dyDescent="0.3">
      <c r="A613" s="2">
        <v>43250</v>
      </c>
      <c r="B613" s="1">
        <v>46.875</v>
      </c>
      <c r="C613" s="1">
        <v>1624.89</v>
      </c>
      <c r="D613" s="1">
        <v>187.67</v>
      </c>
      <c r="E613" s="1">
        <f t="shared" si="68"/>
        <v>-2.1310610089541738E-3</v>
      </c>
      <c r="F613" s="1">
        <f t="shared" si="69"/>
        <v>7.4249204519640311E-3</v>
      </c>
      <c r="G613" s="1">
        <f t="shared" si="70"/>
        <v>1.0337254955318856E-2</v>
      </c>
      <c r="P613" s="39">
        <f t="shared" si="71"/>
        <v>659.62619628793493</v>
      </c>
      <c r="Q613" s="26">
        <f t="shared" si="72"/>
        <v>4.811834404478418</v>
      </c>
      <c r="R613" s="26">
        <f t="shared" si="73"/>
        <v>-4.811834404478418</v>
      </c>
    </row>
    <row r="614" spans="1:18" x14ac:dyDescent="0.3">
      <c r="A614" s="2">
        <v>43249</v>
      </c>
      <c r="B614" s="1">
        <v>46.975000000000001</v>
      </c>
      <c r="C614" s="1">
        <v>1612.87</v>
      </c>
      <c r="D614" s="1">
        <v>185.74</v>
      </c>
      <c r="E614" s="1">
        <f t="shared" si="68"/>
        <v>-3.6124136181116366E-3</v>
      </c>
      <c r="F614" s="1">
        <f t="shared" si="69"/>
        <v>1.6878583724225255E-3</v>
      </c>
      <c r="G614" s="1">
        <f t="shared" si="70"/>
        <v>4.4245472278376385E-3</v>
      </c>
      <c r="P614" s="39">
        <f t="shared" si="71"/>
        <v>654.81436188345651</v>
      </c>
      <c r="Q614" s="26">
        <f t="shared" si="72"/>
        <v>1.1108664531972181</v>
      </c>
      <c r="R614" s="26">
        <f t="shared" si="73"/>
        <v>-1.1108664531972181</v>
      </c>
    </row>
    <row r="615" spans="1:18" x14ac:dyDescent="0.3">
      <c r="A615" s="2">
        <v>43248</v>
      </c>
      <c r="B615" s="1">
        <v>47.145000000000003</v>
      </c>
      <c r="C615" s="1">
        <v>1610.15</v>
      </c>
      <c r="D615" s="1">
        <v>184.92</v>
      </c>
      <c r="E615" s="1">
        <f t="shared" si="68"/>
        <v>0</v>
      </c>
      <c r="F615" s="1">
        <f t="shared" si="69"/>
        <v>0</v>
      </c>
      <c r="G615" s="1">
        <f t="shared" si="70"/>
        <v>0</v>
      </c>
      <c r="P615" s="39">
        <f t="shared" si="71"/>
        <v>653.7034954302593</v>
      </c>
      <c r="Q615" s="26">
        <f t="shared" si="72"/>
        <v>0</v>
      </c>
      <c r="R615" s="26">
        <f t="shared" si="73"/>
        <v>0</v>
      </c>
    </row>
    <row r="616" spans="1:18" x14ac:dyDescent="0.3">
      <c r="A616" s="2">
        <v>43245</v>
      </c>
      <c r="B616" s="1">
        <v>47.145000000000003</v>
      </c>
      <c r="C616" s="1">
        <v>1610.15</v>
      </c>
      <c r="D616" s="1">
        <v>184.92</v>
      </c>
      <c r="E616" s="1">
        <f t="shared" si="68"/>
        <v>2.2828029980850621E-3</v>
      </c>
      <c r="F616" s="1">
        <f t="shared" si="69"/>
        <v>4.406801562132379E-3</v>
      </c>
      <c r="G616" s="1">
        <f t="shared" si="70"/>
        <v>-5.4469596719467616E-3</v>
      </c>
      <c r="P616" s="39">
        <f t="shared" si="71"/>
        <v>653.7034954302593</v>
      </c>
      <c r="Q616" s="26">
        <f t="shared" si="72"/>
        <v>2.4379633109844008</v>
      </c>
      <c r="R616" s="26">
        <f t="shared" si="73"/>
        <v>-2.4379633109844008</v>
      </c>
    </row>
    <row r="617" spans="1:18" x14ac:dyDescent="0.3">
      <c r="A617" s="2">
        <v>43244</v>
      </c>
      <c r="B617" s="1">
        <v>47.037500000000001</v>
      </c>
      <c r="C617" s="1">
        <v>1603.07</v>
      </c>
      <c r="D617" s="1">
        <v>185.93</v>
      </c>
      <c r="E617" s="1">
        <f t="shared" si="68"/>
        <v>-1.1155083359075978E-3</v>
      </c>
      <c r="F617" s="1">
        <f t="shared" si="69"/>
        <v>7.5508673043771408E-4</v>
      </c>
      <c r="G617" s="1">
        <f t="shared" si="70"/>
        <v>-5.2034556695457253E-3</v>
      </c>
      <c r="P617" s="39">
        <f t="shared" si="71"/>
        <v>651.26553211927489</v>
      </c>
      <c r="Q617" s="26">
        <f t="shared" si="72"/>
        <v>0.2144905383013338</v>
      </c>
      <c r="R617" s="26">
        <f t="shared" si="73"/>
        <v>-0.2144905383013338</v>
      </c>
    </row>
    <row r="618" spans="1:18" x14ac:dyDescent="0.3">
      <c r="A618" s="2">
        <v>43243</v>
      </c>
      <c r="B618" s="1">
        <v>47.09</v>
      </c>
      <c r="C618" s="1">
        <v>1601.86</v>
      </c>
      <c r="D618" s="1">
        <v>186.9</v>
      </c>
      <c r="E618" s="1">
        <f t="shared" si="68"/>
        <v>6.391159377338332E-3</v>
      </c>
      <c r="F618" s="1">
        <f t="shared" si="69"/>
        <v>1.2854923411134526E-2</v>
      </c>
      <c r="G618" s="1">
        <f t="shared" si="70"/>
        <v>1.672550453993053E-2</v>
      </c>
      <c r="P618" s="39">
        <f t="shared" si="71"/>
        <v>651.05104158097356</v>
      </c>
      <c r="Q618" s="26">
        <f t="shared" si="72"/>
        <v>8.3452165341724367</v>
      </c>
      <c r="R618" s="26">
        <f t="shared" si="73"/>
        <v>-8.3452165341724367</v>
      </c>
    </row>
    <row r="619" spans="1:18" x14ac:dyDescent="0.3">
      <c r="A619" s="2">
        <v>43242</v>
      </c>
      <c r="B619" s="1">
        <v>46.79</v>
      </c>
      <c r="C619" s="1">
        <v>1581.4</v>
      </c>
      <c r="D619" s="1">
        <v>183.8</v>
      </c>
      <c r="E619" s="1">
        <f t="shared" si="68"/>
        <v>-2.5080725012676785E-3</v>
      </c>
      <c r="F619" s="1">
        <f t="shared" si="69"/>
        <v>-2.5640553888278197E-3</v>
      </c>
      <c r="G619" s="1">
        <f t="shared" si="70"/>
        <v>-3.7470515480872782E-3</v>
      </c>
      <c r="P619" s="39">
        <f t="shared" si="71"/>
        <v>642.70582504680112</v>
      </c>
      <c r="Q619" s="26">
        <f t="shared" si="72"/>
        <v>-1.6962294476244324</v>
      </c>
      <c r="R619" s="26">
        <f t="shared" si="73"/>
        <v>1.6962294476244324</v>
      </c>
    </row>
    <row r="620" spans="1:18" x14ac:dyDescent="0.3">
      <c r="A620" s="2">
        <v>43241</v>
      </c>
      <c r="B620" s="1">
        <v>46.907499999999999</v>
      </c>
      <c r="C620" s="1">
        <v>1585.46</v>
      </c>
      <c r="D620" s="1">
        <v>184.49</v>
      </c>
      <c r="E620" s="1">
        <f t="shared" si="68"/>
        <v>7.0599854670207601E-3</v>
      </c>
      <c r="F620" s="1">
        <f t="shared" si="69"/>
        <v>7.0193937872609653E-3</v>
      </c>
      <c r="G620" s="1">
        <f t="shared" si="70"/>
        <v>9.8592731528757954E-3</v>
      </c>
      <c r="P620" s="39">
        <f t="shared" si="71"/>
        <v>644.40205449442556</v>
      </c>
      <c r="Q620" s="26">
        <f t="shared" si="72"/>
        <v>4.6208444125838923</v>
      </c>
      <c r="R620" s="26">
        <f t="shared" si="73"/>
        <v>-4.6208444125838923</v>
      </c>
    </row>
    <row r="621" spans="1:18" x14ac:dyDescent="0.3">
      <c r="A621" s="2">
        <v>43238</v>
      </c>
      <c r="B621" s="1">
        <v>46.577500000000001</v>
      </c>
      <c r="C621" s="1">
        <v>1574.37</v>
      </c>
      <c r="D621" s="1">
        <v>182.68</v>
      </c>
      <c r="E621" s="1">
        <f t="shared" si="68"/>
        <v>-3.6431864566065044E-3</v>
      </c>
      <c r="F621" s="1">
        <f t="shared" si="69"/>
        <v>-4.6829588802008576E-3</v>
      </c>
      <c r="G621" s="1">
        <f t="shared" si="70"/>
        <v>-5.8945700640444876E-3</v>
      </c>
      <c r="P621" s="39">
        <f t="shared" si="71"/>
        <v>639.78121008184166</v>
      </c>
      <c r="Q621" s="26">
        <f t="shared" si="72"/>
        <v>-3.031166922207035</v>
      </c>
      <c r="R621" s="26">
        <f t="shared" si="73"/>
        <v>3.031166922207035</v>
      </c>
    </row>
    <row r="622" spans="1:18" x14ac:dyDescent="0.3">
      <c r="A622" s="2">
        <v>43237</v>
      </c>
      <c r="B622" s="1">
        <v>46.747500000000002</v>
      </c>
      <c r="C622" s="1">
        <v>1581.76</v>
      </c>
      <c r="D622" s="1">
        <v>183.76</v>
      </c>
      <c r="E622" s="1">
        <f t="shared" si="68"/>
        <v>-6.3438120897507128E-3</v>
      </c>
      <c r="F622" s="1">
        <f t="shared" si="69"/>
        <v>-3.483708367620388E-3</v>
      </c>
      <c r="G622" s="1">
        <f t="shared" si="70"/>
        <v>3.0521061408129366E-3</v>
      </c>
      <c r="P622" s="39">
        <f t="shared" si="71"/>
        <v>642.8123770040487</v>
      </c>
      <c r="Q622" s="26">
        <f t="shared" si="72"/>
        <v>-2.0386120226842195</v>
      </c>
      <c r="R622" s="26">
        <f t="shared" si="73"/>
        <v>2.0386120226842195</v>
      </c>
    </row>
    <row r="623" spans="1:18" x14ac:dyDescent="0.3">
      <c r="A623" s="2">
        <v>43236</v>
      </c>
      <c r="B623" s="1">
        <v>47.045000000000002</v>
      </c>
      <c r="C623" s="1">
        <v>1587.28</v>
      </c>
      <c r="D623" s="1">
        <v>183.2</v>
      </c>
      <c r="E623" s="1">
        <f t="shared" si="68"/>
        <v>9.2894800740795213E-3</v>
      </c>
      <c r="F623" s="1">
        <f t="shared" si="69"/>
        <v>7.0557288350758052E-3</v>
      </c>
      <c r="G623" s="1">
        <f t="shared" si="70"/>
        <v>-6.0949252674965875E-3</v>
      </c>
      <c r="P623" s="39">
        <f t="shared" si="71"/>
        <v>644.85098902673292</v>
      </c>
      <c r="Q623" s="26">
        <f t="shared" si="72"/>
        <v>4.0552094014996101</v>
      </c>
      <c r="R623" s="26">
        <f t="shared" si="73"/>
        <v>-4.0552094014996101</v>
      </c>
    </row>
    <row r="624" spans="1:18" x14ac:dyDescent="0.3">
      <c r="A624" s="2">
        <v>43235</v>
      </c>
      <c r="B624" s="1">
        <v>46.61</v>
      </c>
      <c r="C624" s="1">
        <v>1576.12</v>
      </c>
      <c r="D624" s="1">
        <v>184.32</v>
      </c>
      <c r="E624" s="1">
        <f t="shared" si="68"/>
        <v>-9.1300455349060949E-3</v>
      </c>
      <c r="F624" s="1">
        <f t="shared" si="69"/>
        <v>-1.599953567061611E-2</v>
      </c>
      <c r="G624" s="1">
        <f t="shared" si="70"/>
        <v>-1.2508250205648105E-2</v>
      </c>
      <c r="P624" s="39">
        <f t="shared" si="71"/>
        <v>640.79577962523331</v>
      </c>
      <c r="Q624" s="26">
        <f t="shared" si="72"/>
        <v>-10.059094894365217</v>
      </c>
      <c r="R624" s="26">
        <f t="shared" si="73"/>
        <v>10.059094894365217</v>
      </c>
    </row>
    <row r="625" spans="1:18" x14ac:dyDescent="0.3">
      <c r="A625" s="2">
        <v>43234</v>
      </c>
      <c r="B625" s="1">
        <v>47.037500000000001</v>
      </c>
      <c r="C625" s="1">
        <v>1601.54</v>
      </c>
      <c r="D625" s="1">
        <v>186.64</v>
      </c>
      <c r="E625" s="1">
        <f t="shared" si="68"/>
        <v>-2.3358294848274748E-3</v>
      </c>
      <c r="F625" s="1">
        <f t="shared" si="69"/>
        <v>-8.5506098298972005E-4</v>
      </c>
      <c r="G625" s="1">
        <f t="shared" si="70"/>
        <v>-1.873511775694534E-3</v>
      </c>
      <c r="P625" s="39">
        <f t="shared" si="71"/>
        <v>650.85487451959852</v>
      </c>
      <c r="Q625" s="26">
        <f t="shared" si="72"/>
        <v>-0.62691231686903848</v>
      </c>
      <c r="R625" s="26">
        <f t="shared" si="73"/>
        <v>0.62691231686903848</v>
      </c>
    </row>
    <row r="626" spans="1:18" x14ac:dyDescent="0.3">
      <c r="A626" s="2">
        <v>43231</v>
      </c>
      <c r="B626" s="1">
        <v>47.147500000000001</v>
      </c>
      <c r="C626" s="1">
        <v>1602.91</v>
      </c>
      <c r="D626" s="1">
        <v>186.99</v>
      </c>
      <c r="E626" s="1">
        <f t="shared" si="68"/>
        <v>-7.6592297944467333E-3</v>
      </c>
      <c r="F626" s="1">
        <f t="shared" si="69"/>
        <v>-3.841859774806024E-3</v>
      </c>
      <c r="G626" s="1">
        <f t="shared" si="70"/>
        <v>7.8385454500825447E-3</v>
      </c>
      <c r="P626" s="39">
        <f t="shared" si="71"/>
        <v>651.48178683646756</v>
      </c>
      <c r="Q626" s="26">
        <f t="shared" si="72"/>
        <v>-2.1103319806895797</v>
      </c>
      <c r="R626" s="26">
        <f t="shared" si="73"/>
        <v>2.1103319806895797</v>
      </c>
    </row>
    <row r="627" spans="1:18" x14ac:dyDescent="0.3">
      <c r="A627" s="2">
        <v>43230</v>
      </c>
      <c r="B627" s="1">
        <v>47.51</v>
      </c>
      <c r="C627" s="1">
        <v>1609.08</v>
      </c>
      <c r="D627" s="1">
        <v>185.53</v>
      </c>
      <c r="E627" s="1">
        <f t="shared" si="68"/>
        <v>1.4202676469313212E-2</v>
      </c>
      <c r="F627" s="1">
        <f t="shared" si="69"/>
        <v>6.714163406393971E-4</v>
      </c>
      <c r="G627" s="1">
        <f t="shared" si="70"/>
        <v>1.5590092775253564E-2</v>
      </c>
      <c r="P627" s="39">
        <f t="shared" si="71"/>
        <v>653.59211881715714</v>
      </c>
      <c r="Q627" s="26">
        <f t="shared" si="72"/>
        <v>1.2980439653881604</v>
      </c>
      <c r="R627" s="26">
        <f t="shared" si="73"/>
        <v>-1.2980439653881604</v>
      </c>
    </row>
    <row r="628" spans="1:18" x14ac:dyDescent="0.3">
      <c r="A628" s="2">
        <v>43229</v>
      </c>
      <c r="B628" s="1">
        <v>46.84</v>
      </c>
      <c r="C628" s="1">
        <v>1608</v>
      </c>
      <c r="D628" s="1">
        <v>182.66</v>
      </c>
      <c r="E628" s="1">
        <f t="shared" si="68"/>
        <v>7.0164450567757617E-3</v>
      </c>
      <c r="F628" s="1">
        <f t="shared" si="69"/>
        <v>9.7551384616563711E-3</v>
      </c>
      <c r="G628" s="1">
        <f t="shared" si="70"/>
        <v>2.0687722698885552E-2</v>
      </c>
      <c r="P628" s="39">
        <f t="shared" si="71"/>
        <v>652.29407485176898</v>
      </c>
      <c r="Q628" s="26">
        <f t="shared" si="72"/>
        <v>6.7058044958852179</v>
      </c>
      <c r="R628" s="26">
        <f t="shared" si="73"/>
        <v>-6.7058044958852179</v>
      </c>
    </row>
    <row r="629" spans="1:18" x14ac:dyDescent="0.3">
      <c r="A629" s="2">
        <v>43228</v>
      </c>
      <c r="B629" s="1">
        <v>46.512500000000003</v>
      </c>
      <c r="C629" s="1">
        <v>1592.39</v>
      </c>
      <c r="D629" s="1">
        <v>178.92</v>
      </c>
      <c r="E629" s="1">
        <f t="shared" si="68"/>
        <v>4.7951386295617075E-3</v>
      </c>
      <c r="F629" s="1">
        <f t="shared" si="69"/>
        <v>-4.8550931227155682E-3</v>
      </c>
      <c r="G629" s="1">
        <f t="shared" si="70"/>
        <v>5.323781802753105E-3</v>
      </c>
      <c r="P629" s="39">
        <f t="shared" si="71"/>
        <v>645.58827035588376</v>
      </c>
      <c r="Q629" s="26">
        <f t="shared" si="72"/>
        <v>-2.5614503960169941</v>
      </c>
      <c r="R629" s="26">
        <f t="shared" si="73"/>
        <v>2.5614503960169941</v>
      </c>
    </row>
    <row r="630" spans="1:18" x14ac:dyDescent="0.3">
      <c r="A630" s="2">
        <v>43227</v>
      </c>
      <c r="B630" s="1">
        <v>46.29</v>
      </c>
      <c r="C630" s="1">
        <v>1600.14</v>
      </c>
      <c r="D630" s="1">
        <v>177.97</v>
      </c>
      <c r="E630" s="1">
        <f t="shared" si="68"/>
        <v>7.2088986682893675E-3</v>
      </c>
      <c r="F630" s="1">
        <f t="shared" si="69"/>
        <v>1.2065193244044451E-2</v>
      </c>
      <c r="G630" s="1">
        <f t="shared" si="70"/>
        <v>7.6710850536144048E-3</v>
      </c>
      <c r="P630" s="39">
        <f t="shared" si="71"/>
        <v>648.14972075190076</v>
      </c>
      <c r="Q630" s="26">
        <f t="shared" si="72"/>
        <v>7.5130117963542489</v>
      </c>
      <c r="R630" s="26">
        <f t="shared" si="73"/>
        <v>-7.5130117963542489</v>
      </c>
    </row>
    <row r="631" spans="1:18" x14ac:dyDescent="0.3">
      <c r="A631" s="2">
        <v>43224</v>
      </c>
      <c r="B631" s="1">
        <v>45.957500000000003</v>
      </c>
      <c r="C631" s="1">
        <v>1580.95</v>
      </c>
      <c r="D631" s="1">
        <v>176.61</v>
      </c>
      <c r="E631" s="1">
        <f t="shared" si="68"/>
        <v>3.8483347039364256E-2</v>
      </c>
      <c r="F631" s="1">
        <f t="shared" si="69"/>
        <v>5.6295293811927955E-3</v>
      </c>
      <c r="G631" s="1">
        <f t="shared" si="70"/>
        <v>1.4773676570401238E-2</v>
      </c>
      <c r="P631" s="39">
        <f t="shared" si="71"/>
        <v>640.63670895554651</v>
      </c>
      <c r="Q631" s="26">
        <f t="shared" si="72"/>
        <v>4.5547302085290085</v>
      </c>
      <c r="R631" s="26">
        <f t="shared" si="73"/>
        <v>-4.5547302085290085</v>
      </c>
    </row>
    <row r="632" spans="1:18" x14ac:dyDescent="0.3">
      <c r="A632" s="2">
        <v>43223</v>
      </c>
      <c r="B632" s="1">
        <v>44.222499999999997</v>
      </c>
      <c r="C632" s="1">
        <v>1572.075</v>
      </c>
      <c r="D632" s="1">
        <v>174.02</v>
      </c>
      <c r="E632" s="1">
        <f t="shared" si="68"/>
        <v>1.8106721407092951E-3</v>
      </c>
      <c r="F632" s="1">
        <f t="shared" si="69"/>
        <v>1.5246258628876185E-3</v>
      </c>
      <c r="G632" s="1">
        <f t="shared" si="70"/>
        <v>-1.1711408100474356E-2</v>
      </c>
      <c r="P632" s="39">
        <f t="shared" si="71"/>
        <v>636.0819787470175</v>
      </c>
      <c r="Q632" s="26">
        <f t="shared" si="72"/>
        <v>0.47256745012600732</v>
      </c>
      <c r="R632" s="26">
        <f t="shared" si="73"/>
        <v>-0.47256745012600732</v>
      </c>
    </row>
    <row r="633" spans="1:18" x14ac:dyDescent="0.3">
      <c r="A633" s="2">
        <v>43222</v>
      </c>
      <c r="B633" s="1">
        <v>44.142499999999998</v>
      </c>
      <c r="C633" s="1">
        <v>1569.68</v>
      </c>
      <c r="D633" s="1">
        <v>176.07</v>
      </c>
      <c r="E633" s="1">
        <f t="shared" si="68"/>
        <v>4.3227142410172288E-2</v>
      </c>
      <c r="F633" s="1">
        <f t="shared" si="69"/>
        <v>-7.9824278373587538E-3</v>
      </c>
      <c r="G633" s="1">
        <f t="shared" si="70"/>
        <v>1.2631265587434526E-2</v>
      </c>
      <c r="P633" s="39">
        <f t="shared" si="71"/>
        <v>635.60941129689149</v>
      </c>
      <c r="Q633" s="26">
        <f t="shared" si="72"/>
        <v>-3.3889612989109992</v>
      </c>
      <c r="R633" s="26">
        <f t="shared" si="73"/>
        <v>3.3889612989109992</v>
      </c>
    </row>
    <row r="634" spans="1:18" x14ac:dyDescent="0.3">
      <c r="A634" s="2">
        <v>43221</v>
      </c>
      <c r="B634" s="1">
        <v>42.274999999999999</v>
      </c>
      <c r="C634" s="1">
        <v>1582.26</v>
      </c>
      <c r="D634" s="1">
        <v>173.86</v>
      </c>
      <c r="E634" s="1">
        <f t="shared" si="68"/>
        <v>2.297026463149638E-2</v>
      </c>
      <c r="F634" s="1">
        <f t="shared" si="69"/>
        <v>1.0246596595400613E-2</v>
      </c>
      <c r="G634" s="1">
        <f t="shared" si="70"/>
        <v>1.0755900837465356E-2</v>
      </c>
      <c r="P634" s="39">
        <f t="shared" si="71"/>
        <v>638.99837259580249</v>
      </c>
      <c r="Q634" s="26">
        <f t="shared" si="72"/>
        <v>6.7523064055303621</v>
      </c>
      <c r="R634" s="26">
        <f t="shared" si="73"/>
        <v>-6.7523064055303621</v>
      </c>
    </row>
    <row r="635" spans="1:18" x14ac:dyDescent="0.3">
      <c r="A635" s="2">
        <v>43220</v>
      </c>
      <c r="B635" s="1">
        <v>41.314999999999998</v>
      </c>
      <c r="C635" s="1">
        <v>1566.13</v>
      </c>
      <c r="D635" s="1">
        <v>172</v>
      </c>
      <c r="E635" s="1">
        <f t="shared" si="68"/>
        <v>1.7950295755478976E-2</v>
      </c>
      <c r="F635" s="1">
        <f t="shared" si="69"/>
        <v>-4.1354101149321185E-3</v>
      </c>
      <c r="G635" s="1">
        <f t="shared" si="70"/>
        <v>-9.2017200670047733E-3</v>
      </c>
      <c r="P635" s="39">
        <f t="shared" si="71"/>
        <v>632.24606619027213</v>
      </c>
      <c r="Q635" s="26">
        <f t="shared" si="72"/>
        <v>-2.4346593249547368</v>
      </c>
      <c r="R635" s="26">
        <f t="shared" si="73"/>
        <v>2.4346593249547368</v>
      </c>
    </row>
    <row r="636" spans="1:18" x14ac:dyDescent="0.3">
      <c r="A636" s="2">
        <v>43217</v>
      </c>
      <c r="B636" s="1">
        <v>40.58</v>
      </c>
      <c r="C636" s="1">
        <v>1572.62</v>
      </c>
      <c r="D636" s="1">
        <v>173.59</v>
      </c>
      <c r="E636" s="1">
        <f t="shared" si="68"/>
        <v>-1.1637296763083452E-2</v>
      </c>
      <c r="F636" s="1">
        <f t="shared" si="69"/>
        <v>3.5375690121473721E-2</v>
      </c>
      <c r="G636" s="1">
        <f t="shared" si="70"/>
        <v>-3.2782200458341534E-3</v>
      </c>
      <c r="P636" s="39">
        <f t="shared" si="71"/>
        <v>634.68072551522687</v>
      </c>
      <c r="Q636" s="26">
        <f t="shared" si="72"/>
        <v>19.847539349095314</v>
      </c>
      <c r="R636" s="26">
        <f t="shared" si="73"/>
        <v>-19.847539349095314</v>
      </c>
    </row>
    <row r="637" spans="1:18" x14ac:dyDescent="0.3">
      <c r="A637" s="2">
        <v>43216</v>
      </c>
      <c r="B637" s="1">
        <v>41.055</v>
      </c>
      <c r="C637" s="1">
        <v>1517.96</v>
      </c>
      <c r="D637" s="1">
        <v>174.16</v>
      </c>
      <c r="E637" s="1">
        <f t="shared" si="68"/>
        <v>3.476991333453069E-3</v>
      </c>
      <c r="F637" s="1">
        <f t="shared" si="69"/>
        <v>3.8814460867135435E-2</v>
      </c>
      <c r="G637" s="1">
        <f t="shared" si="70"/>
        <v>8.673998107351627E-2</v>
      </c>
      <c r="P637" s="39">
        <f t="shared" si="71"/>
        <v>614.83318616613155</v>
      </c>
      <c r="Q637" s="26">
        <f t="shared" si="72"/>
        <v>24.517604519602742</v>
      </c>
      <c r="R637" s="26">
        <f t="shared" si="73"/>
        <v>-24.517604519602742</v>
      </c>
    </row>
    <row r="638" spans="1:18" x14ac:dyDescent="0.3">
      <c r="A638" s="2">
        <v>43215</v>
      </c>
      <c r="B638" s="1">
        <v>40.912500000000001</v>
      </c>
      <c r="C638" s="1">
        <v>1460.17</v>
      </c>
      <c r="D638" s="1">
        <v>159.69</v>
      </c>
      <c r="E638" s="1">
        <f t="shared" si="68"/>
        <v>4.3479660646938674E-3</v>
      </c>
      <c r="F638" s="1">
        <f t="shared" si="69"/>
        <v>5.4789642031917987E-5</v>
      </c>
      <c r="G638" s="1">
        <f t="shared" si="70"/>
        <v>0</v>
      </c>
      <c r="P638" s="39">
        <f t="shared" si="71"/>
        <v>590.31558164652881</v>
      </c>
      <c r="Q638" s="26">
        <f t="shared" si="72"/>
        <v>0.10305909553517267</v>
      </c>
      <c r="R638" s="26">
        <f t="shared" si="73"/>
        <v>-0.10305909553517267</v>
      </c>
    </row>
    <row r="639" spans="1:18" x14ac:dyDescent="0.3">
      <c r="A639" s="2">
        <v>43214</v>
      </c>
      <c r="B639" s="1">
        <v>40.734999999999999</v>
      </c>
      <c r="C639" s="1">
        <v>1460.09</v>
      </c>
      <c r="D639" s="1">
        <v>159.69</v>
      </c>
      <c r="E639" s="1">
        <f t="shared" si="68"/>
        <v>-1.401692764606813E-2</v>
      </c>
      <c r="F639" s="1">
        <f t="shared" si="69"/>
        <v>-3.8803370450378356E-2</v>
      </c>
      <c r="G639" s="1">
        <f t="shared" si="70"/>
        <v>-3.7789032274748523E-2</v>
      </c>
      <c r="P639" s="39">
        <f t="shared" si="71"/>
        <v>590.21252255099364</v>
      </c>
      <c r="Q639" s="26">
        <f t="shared" si="72"/>
        <v>-22.886373624253565</v>
      </c>
      <c r="R639" s="26">
        <f t="shared" si="73"/>
        <v>22.886373624253565</v>
      </c>
    </row>
    <row r="640" spans="1:18" x14ac:dyDescent="0.3">
      <c r="A640" s="2">
        <v>43213</v>
      </c>
      <c r="B640" s="1">
        <v>41.31</v>
      </c>
      <c r="C640" s="1">
        <v>1517.86</v>
      </c>
      <c r="D640" s="1">
        <v>165.84</v>
      </c>
      <c r="E640" s="1">
        <f t="shared" si="68"/>
        <v>-2.9006546806372331E-3</v>
      </c>
      <c r="F640" s="1">
        <f t="shared" si="69"/>
        <v>-6.3244172910027988E-3</v>
      </c>
      <c r="G640" s="1">
        <f t="shared" si="70"/>
        <v>-2.6496462569125826E-3</v>
      </c>
      <c r="P640" s="39">
        <f t="shared" si="71"/>
        <v>613.09889617524721</v>
      </c>
      <c r="Q640" s="26">
        <f t="shared" si="72"/>
        <v>-3.6982467002552539</v>
      </c>
      <c r="R640" s="26">
        <f t="shared" si="73"/>
        <v>3.6982467002552539</v>
      </c>
    </row>
    <row r="641" spans="1:18" x14ac:dyDescent="0.3">
      <c r="A641" s="2">
        <v>43210</v>
      </c>
      <c r="B641" s="1">
        <v>41.43</v>
      </c>
      <c r="C641" s="1">
        <v>1527.49</v>
      </c>
      <c r="D641" s="1">
        <v>166.28</v>
      </c>
      <c r="E641" s="1">
        <f t="shared" si="68"/>
        <v>-4.1835239160754267E-2</v>
      </c>
      <c r="F641" s="1">
        <f t="shared" si="69"/>
        <v>-1.9077222315628885E-2</v>
      </c>
      <c r="G641" s="1">
        <f t="shared" si="70"/>
        <v>-1.088592603013314E-2</v>
      </c>
      <c r="P641" s="39">
        <f t="shared" si="71"/>
        <v>616.79714287550246</v>
      </c>
      <c r="Q641" s="26">
        <f t="shared" si="72"/>
        <v>-11.982839073963646</v>
      </c>
      <c r="R641" s="26">
        <f t="shared" si="73"/>
        <v>11.982839073963646</v>
      </c>
    </row>
    <row r="642" spans="1:18" x14ac:dyDescent="0.3">
      <c r="A642" s="2">
        <v>43209</v>
      </c>
      <c r="B642" s="1">
        <v>43.2</v>
      </c>
      <c r="C642" s="1">
        <v>1556.91</v>
      </c>
      <c r="D642" s="1">
        <v>168.1</v>
      </c>
      <c r="E642" s="1">
        <f t="shared" si="68"/>
        <v>-2.8749413285985823E-2</v>
      </c>
      <c r="F642" s="1">
        <f t="shared" si="69"/>
        <v>1.8848114493213153E-2</v>
      </c>
      <c r="G642" s="1">
        <f t="shared" si="70"/>
        <v>1.0404925539858945E-2</v>
      </c>
      <c r="P642" s="39">
        <f t="shared" si="71"/>
        <v>628.77998194946611</v>
      </c>
      <c r="Q642" s="26">
        <f t="shared" si="72"/>
        <v>10.580977581525303</v>
      </c>
      <c r="R642" s="26">
        <f t="shared" si="73"/>
        <v>-10.580977581525303</v>
      </c>
    </row>
    <row r="643" spans="1:18" x14ac:dyDescent="0.3">
      <c r="A643" s="2">
        <v>43208</v>
      </c>
      <c r="B643" s="1">
        <v>44.46</v>
      </c>
      <c r="C643" s="1">
        <v>1527.84</v>
      </c>
      <c r="D643" s="1">
        <v>166.36</v>
      </c>
      <c r="E643" s="1">
        <f t="shared" si="68"/>
        <v>-2.2466870829780982E-3</v>
      </c>
      <c r="F643" s="1">
        <f t="shared" si="69"/>
        <v>1.5839785995589231E-2</v>
      </c>
      <c r="G643" s="1">
        <f t="shared" si="70"/>
        <v>-1.3730739271784522E-2</v>
      </c>
      <c r="P643" s="39">
        <f t="shared" si="71"/>
        <v>618.1990043679408</v>
      </c>
      <c r="Q643" s="26">
        <f t="shared" si="72"/>
        <v>8.3190853335588599</v>
      </c>
      <c r="R643" s="26">
        <f t="shared" si="73"/>
        <v>-8.3190853335588599</v>
      </c>
    </row>
    <row r="644" spans="1:18" x14ac:dyDescent="0.3">
      <c r="A644" s="2">
        <v>43207</v>
      </c>
      <c r="B644" s="1">
        <v>44.56</v>
      </c>
      <c r="C644" s="1">
        <v>1503.83</v>
      </c>
      <c r="D644" s="1">
        <v>168.66</v>
      </c>
      <c r="E644" s="1">
        <f t="shared" si="68"/>
        <v>1.3670212315886717E-2</v>
      </c>
      <c r="F644" s="1">
        <f t="shared" si="69"/>
        <v>4.2330949127846233E-2</v>
      </c>
      <c r="G644" s="1">
        <f t="shared" si="70"/>
        <v>2.2970214403230778E-2</v>
      </c>
      <c r="P644" s="39">
        <f t="shared" si="71"/>
        <v>609.87991903438194</v>
      </c>
      <c r="Q644" s="26">
        <f t="shared" si="72"/>
        <v>24.078531608445473</v>
      </c>
      <c r="R644" s="26">
        <f t="shared" si="73"/>
        <v>-24.078531608445473</v>
      </c>
    </row>
    <row r="645" spans="1:18" x14ac:dyDescent="0.3">
      <c r="A645" s="2">
        <v>43206</v>
      </c>
      <c r="B645" s="1">
        <v>43.954999999999998</v>
      </c>
      <c r="C645" s="1">
        <v>1441.5</v>
      </c>
      <c r="D645" s="1">
        <v>164.83</v>
      </c>
      <c r="E645" s="1">
        <f t="shared" si="68"/>
        <v>6.2188190720854526E-3</v>
      </c>
      <c r="F645" s="1">
        <f t="shared" si="69"/>
        <v>7.4574988150268324E-3</v>
      </c>
      <c r="G645" s="1">
        <f t="shared" si="70"/>
        <v>1.8824963810412639E-3</v>
      </c>
      <c r="P645" s="39">
        <f t="shared" si="71"/>
        <v>585.80138742593647</v>
      </c>
      <c r="Q645" s="26">
        <f t="shared" si="72"/>
        <v>4.1317446489002805</v>
      </c>
      <c r="R645" s="26">
        <f t="shared" si="73"/>
        <v>-4.1317446489002805</v>
      </c>
    </row>
    <row r="646" spans="1:18" x14ac:dyDescent="0.3">
      <c r="A646" s="2">
        <v>43203</v>
      </c>
      <c r="B646" s="1">
        <v>43.682499999999997</v>
      </c>
      <c r="C646" s="1">
        <v>1430.79</v>
      </c>
      <c r="D646" s="1">
        <v>164.52</v>
      </c>
      <c r="E646" s="1">
        <f t="shared" ref="E646:E709" si="74">LN(B646/B647)</f>
        <v>3.3823519504774724E-3</v>
      </c>
      <c r="F646" s="1">
        <f t="shared" ref="F646:F709" si="75">LN(C646/C647)</f>
        <v>-1.230179894597494E-2</v>
      </c>
      <c r="G646" s="1">
        <f t="shared" ref="G646:G709" si="76">LN(D646/D647)</f>
        <v>3.9587128040905568E-3</v>
      </c>
      <c r="P646" s="39">
        <f t="shared" ref="P646:P709" si="77">B646*$J$13+C646*$J$14+D646*$J$15</f>
        <v>581.66964277703619</v>
      </c>
      <c r="Q646" s="26">
        <f t="shared" ref="Q646:Q709" si="78">P646-P647</f>
        <v>-6.3324729702314926</v>
      </c>
      <c r="R646" s="26">
        <f t="shared" ref="R646:R709" si="79">-Q646</f>
        <v>6.3324729702314926</v>
      </c>
    </row>
    <row r="647" spans="1:18" x14ac:dyDescent="0.3">
      <c r="A647" s="2">
        <v>43202</v>
      </c>
      <c r="B647" s="1">
        <v>43.534999999999997</v>
      </c>
      <c r="C647" s="1">
        <v>1448.5</v>
      </c>
      <c r="D647" s="1">
        <v>163.87</v>
      </c>
      <c r="E647" s="1">
        <f t="shared" si="74"/>
        <v>9.8102235215356392E-3</v>
      </c>
      <c r="F647" s="1">
        <f t="shared" si="75"/>
        <v>1.4919161804007526E-2</v>
      </c>
      <c r="G647" s="1">
        <f t="shared" si="76"/>
        <v>-1.4840212991624755E-2</v>
      </c>
      <c r="P647" s="39">
        <f t="shared" si="77"/>
        <v>588.00211574726768</v>
      </c>
      <c r="Q647" s="26">
        <f t="shared" si="78"/>
        <v>7.5595341473359667</v>
      </c>
      <c r="R647" s="26">
        <f t="shared" si="79"/>
        <v>-7.5595341473359667</v>
      </c>
    </row>
    <row r="648" spans="1:18" x14ac:dyDescent="0.3">
      <c r="A648" s="2">
        <v>43201</v>
      </c>
      <c r="B648" s="1">
        <v>43.11</v>
      </c>
      <c r="C648" s="1">
        <v>1427.05</v>
      </c>
      <c r="D648" s="1">
        <v>166.32</v>
      </c>
      <c r="E648" s="1">
        <f t="shared" si="74"/>
        <v>-4.6862881910787902E-3</v>
      </c>
      <c r="F648" s="1">
        <f t="shared" si="75"/>
        <v>-6.4052858109566934E-3</v>
      </c>
      <c r="G648" s="1">
        <f t="shared" si="76"/>
        <v>7.725774786761141E-3</v>
      </c>
      <c r="P648" s="39">
        <f t="shared" si="77"/>
        <v>580.44258159993171</v>
      </c>
      <c r="Q648" s="26">
        <f t="shared" si="78"/>
        <v>-3.1899573327706321</v>
      </c>
      <c r="R648" s="26">
        <f t="shared" si="79"/>
        <v>3.1899573327706321</v>
      </c>
    </row>
    <row r="649" spans="1:18" x14ac:dyDescent="0.3">
      <c r="A649" s="2">
        <v>43200</v>
      </c>
      <c r="B649" s="1">
        <v>43.3125</v>
      </c>
      <c r="C649" s="1">
        <v>1436.22</v>
      </c>
      <c r="D649" s="1">
        <v>165.04</v>
      </c>
      <c r="E649" s="1">
        <f t="shared" si="74"/>
        <v>1.8643126616808108E-2</v>
      </c>
      <c r="F649" s="1">
        <f t="shared" si="75"/>
        <v>2.1208971460163664E-2</v>
      </c>
      <c r="G649" s="1">
        <f t="shared" si="76"/>
        <v>4.4035971881033031E-2</v>
      </c>
      <c r="P649" s="39">
        <f t="shared" si="77"/>
        <v>583.63253893270235</v>
      </c>
      <c r="Q649" s="26">
        <f t="shared" si="78"/>
        <v>12.993014788609457</v>
      </c>
      <c r="R649" s="26">
        <f t="shared" si="79"/>
        <v>-12.993014788609457</v>
      </c>
    </row>
    <row r="650" spans="1:18" x14ac:dyDescent="0.3">
      <c r="A650" s="2">
        <v>43199</v>
      </c>
      <c r="B650" s="1">
        <v>42.512500000000003</v>
      </c>
      <c r="C650" s="1">
        <v>1406.08</v>
      </c>
      <c r="D650" s="1">
        <v>157.93</v>
      </c>
      <c r="E650" s="1">
        <f t="shared" si="74"/>
        <v>9.8691815436866837E-3</v>
      </c>
      <c r="F650" s="1">
        <f t="shared" si="75"/>
        <v>6.0470031828655662E-4</v>
      </c>
      <c r="G650" s="1">
        <f t="shared" si="76"/>
        <v>4.633016886857232E-3</v>
      </c>
      <c r="P650" s="39">
        <f t="shared" si="77"/>
        <v>570.63952414409289</v>
      </c>
      <c r="Q650" s="26">
        <f t="shared" si="78"/>
        <v>0.64480177538371208</v>
      </c>
      <c r="R650" s="26">
        <f t="shared" si="79"/>
        <v>-0.64480177538371208</v>
      </c>
    </row>
    <row r="651" spans="1:18" x14ac:dyDescent="0.3">
      <c r="A651" s="2">
        <v>43196</v>
      </c>
      <c r="B651" s="1">
        <v>42.094999999999999</v>
      </c>
      <c r="C651" s="1">
        <v>1405.23</v>
      </c>
      <c r="D651" s="1">
        <v>157.19999999999999</v>
      </c>
      <c r="E651" s="1">
        <f t="shared" si="74"/>
        <v>-2.5911526460437356E-2</v>
      </c>
      <c r="F651" s="1">
        <f t="shared" si="75"/>
        <v>-3.256873481425511E-2</v>
      </c>
      <c r="G651" s="1">
        <f t="shared" si="76"/>
        <v>-1.3521403957113865E-2</v>
      </c>
      <c r="P651" s="39">
        <f t="shared" si="77"/>
        <v>569.99472236870918</v>
      </c>
      <c r="Q651" s="26">
        <f t="shared" si="78"/>
        <v>-18.086041555874658</v>
      </c>
      <c r="R651" s="26">
        <f t="shared" si="79"/>
        <v>18.086041555874658</v>
      </c>
    </row>
    <row r="652" spans="1:18" x14ac:dyDescent="0.3">
      <c r="A652" s="2">
        <v>43195</v>
      </c>
      <c r="B652" s="1">
        <v>43.2</v>
      </c>
      <c r="C652" s="1">
        <v>1451.75</v>
      </c>
      <c r="D652" s="1">
        <v>159.34</v>
      </c>
      <c r="E652" s="1">
        <f t="shared" si="74"/>
        <v>6.9103959557435101E-3</v>
      </c>
      <c r="F652" s="1">
        <f t="shared" si="75"/>
        <v>2.8775847249963116E-2</v>
      </c>
      <c r="G652" s="1">
        <f t="shared" si="76"/>
        <v>2.6970213769726806E-2</v>
      </c>
      <c r="P652" s="39">
        <f t="shared" si="77"/>
        <v>588.08076392458383</v>
      </c>
      <c r="Q652" s="26">
        <f t="shared" si="78"/>
        <v>16.236278118097971</v>
      </c>
      <c r="R652" s="26">
        <f t="shared" si="79"/>
        <v>-16.236278118097971</v>
      </c>
    </row>
    <row r="653" spans="1:18" x14ac:dyDescent="0.3">
      <c r="A653" s="2">
        <v>43194</v>
      </c>
      <c r="B653" s="1">
        <v>42.902500000000003</v>
      </c>
      <c r="C653" s="1">
        <v>1410.57</v>
      </c>
      <c r="D653" s="1">
        <v>155.1</v>
      </c>
      <c r="E653" s="1">
        <f t="shared" si="74"/>
        <v>1.8941742791994311E-2</v>
      </c>
      <c r="F653" s="1">
        <f t="shared" si="75"/>
        <v>1.3216397212692502E-2</v>
      </c>
      <c r="G653" s="1">
        <f t="shared" si="76"/>
        <v>-6.4908167860822253E-3</v>
      </c>
      <c r="P653" s="39">
        <f t="shared" si="77"/>
        <v>571.84448580648586</v>
      </c>
      <c r="Q653" s="26">
        <f t="shared" si="78"/>
        <v>6.9479602626581709</v>
      </c>
      <c r="R653" s="26">
        <f t="shared" si="79"/>
        <v>-6.9479602626581709</v>
      </c>
    </row>
    <row r="654" spans="1:18" x14ac:dyDescent="0.3">
      <c r="A654" s="2">
        <v>43193</v>
      </c>
      <c r="B654" s="1">
        <v>42.097499999999997</v>
      </c>
      <c r="C654" s="1">
        <v>1392.05</v>
      </c>
      <c r="D654" s="1">
        <v>156.11000000000001</v>
      </c>
      <c r="E654" s="1">
        <f t="shared" si="74"/>
        <v>1.0206911067964735E-2</v>
      </c>
      <c r="F654" s="1">
        <f t="shared" si="75"/>
        <v>1.4515240159972919E-2</v>
      </c>
      <c r="G654" s="1">
        <f t="shared" si="76"/>
        <v>4.6228011699327486E-3</v>
      </c>
      <c r="P654" s="39">
        <f t="shared" si="77"/>
        <v>564.89652554382769</v>
      </c>
      <c r="Q654" s="26">
        <f t="shared" si="78"/>
        <v>7.7346797096703312</v>
      </c>
      <c r="R654" s="26">
        <f t="shared" si="79"/>
        <v>-7.7346797096703312</v>
      </c>
    </row>
    <row r="655" spans="1:18" x14ac:dyDescent="0.3">
      <c r="A655" s="2">
        <v>43192</v>
      </c>
      <c r="B655" s="1">
        <v>41.67</v>
      </c>
      <c r="C655" s="1">
        <v>1371.99</v>
      </c>
      <c r="D655" s="1">
        <v>155.38999999999999</v>
      </c>
      <c r="E655" s="1">
        <f t="shared" si="74"/>
        <v>-6.577790863895836E-3</v>
      </c>
      <c r="F655" s="1">
        <f t="shared" si="75"/>
        <v>-5.3465148302259104E-2</v>
      </c>
      <c r="G655" s="1">
        <f t="shared" si="76"/>
        <v>-2.7922367352654437E-2</v>
      </c>
      <c r="P655" s="39">
        <f t="shared" si="77"/>
        <v>557.16184583415736</v>
      </c>
      <c r="Q655" s="26">
        <f t="shared" si="78"/>
        <v>-28.869313734853449</v>
      </c>
      <c r="R655" s="26">
        <f t="shared" si="79"/>
        <v>28.869313734853449</v>
      </c>
    </row>
    <row r="656" spans="1:18" x14ac:dyDescent="0.3">
      <c r="A656" s="2">
        <v>43189</v>
      </c>
      <c r="B656" s="1">
        <v>41.945</v>
      </c>
      <c r="C656" s="1">
        <v>1447.34</v>
      </c>
      <c r="D656" s="1">
        <v>159.79</v>
      </c>
      <c r="E656" s="1">
        <f t="shared" si="74"/>
        <v>0</v>
      </c>
      <c r="F656" s="1">
        <f t="shared" si="75"/>
        <v>0</v>
      </c>
      <c r="G656" s="1">
        <f t="shared" si="76"/>
        <v>0</v>
      </c>
      <c r="P656" s="39">
        <f t="shared" si="77"/>
        <v>586.03115956901081</v>
      </c>
      <c r="Q656" s="26">
        <f t="shared" si="78"/>
        <v>0</v>
      </c>
      <c r="R656" s="26">
        <f t="shared" si="79"/>
        <v>0</v>
      </c>
    </row>
    <row r="657" spans="1:18" x14ac:dyDescent="0.3">
      <c r="A657" s="2">
        <v>43188</v>
      </c>
      <c r="B657" s="1">
        <v>41.945</v>
      </c>
      <c r="C657" s="1">
        <v>1447.34</v>
      </c>
      <c r="D657" s="1">
        <v>159.79</v>
      </c>
      <c r="E657" s="1">
        <f t="shared" si="74"/>
        <v>7.7784153327697184E-3</v>
      </c>
      <c r="F657" s="1">
        <f t="shared" si="75"/>
        <v>1.1060430390127796E-2</v>
      </c>
      <c r="G657" s="1">
        <f t="shared" si="76"/>
        <v>4.3226472548352143E-2</v>
      </c>
      <c r="P657" s="39">
        <f t="shared" si="77"/>
        <v>586.03115956901081</v>
      </c>
      <c r="Q657" s="26">
        <f t="shared" si="78"/>
        <v>7.4736196103964403</v>
      </c>
      <c r="R657" s="26">
        <f t="shared" si="79"/>
        <v>-7.4736196103964403</v>
      </c>
    </row>
    <row r="658" spans="1:18" x14ac:dyDescent="0.3">
      <c r="A658" s="2">
        <v>43187</v>
      </c>
      <c r="B658" s="1">
        <v>41.62</v>
      </c>
      <c r="C658" s="1">
        <v>1431.42</v>
      </c>
      <c r="D658" s="1">
        <v>153.03</v>
      </c>
      <c r="E658" s="1">
        <f t="shared" si="74"/>
        <v>-1.111056169805113E-2</v>
      </c>
      <c r="F658" s="1">
        <f t="shared" si="75"/>
        <v>-4.4829546453794646E-2</v>
      </c>
      <c r="G658" s="1">
        <f t="shared" si="76"/>
        <v>5.3071377636993051E-3</v>
      </c>
      <c r="P658" s="39">
        <f t="shared" si="77"/>
        <v>578.55753995861437</v>
      </c>
      <c r="Q658" s="26">
        <f t="shared" si="78"/>
        <v>-24.232582048717859</v>
      </c>
      <c r="R658" s="26">
        <f t="shared" si="79"/>
        <v>24.232582048717859</v>
      </c>
    </row>
    <row r="659" spans="1:18" x14ac:dyDescent="0.3">
      <c r="A659" s="2">
        <v>43186</v>
      </c>
      <c r="B659" s="1">
        <v>42.085000000000001</v>
      </c>
      <c r="C659" s="1">
        <v>1497.05</v>
      </c>
      <c r="D659" s="1">
        <v>152.22</v>
      </c>
      <c r="E659" s="1">
        <f t="shared" si="74"/>
        <v>-2.5975486403260677E-2</v>
      </c>
      <c r="F659" s="1">
        <f t="shared" si="75"/>
        <v>-3.8531942401891409E-2</v>
      </c>
      <c r="G659" s="1">
        <f t="shared" si="76"/>
        <v>-5.0221902099654672E-2</v>
      </c>
      <c r="P659" s="39">
        <f t="shared" si="77"/>
        <v>602.79012200733223</v>
      </c>
      <c r="Q659" s="26">
        <f t="shared" si="78"/>
        <v>-23.856969788729316</v>
      </c>
      <c r="R659" s="26">
        <f t="shared" si="79"/>
        <v>23.856969788729316</v>
      </c>
    </row>
    <row r="660" spans="1:18" x14ac:dyDescent="0.3">
      <c r="A660" s="2">
        <v>43185</v>
      </c>
      <c r="B660" s="1">
        <v>43.192500000000003</v>
      </c>
      <c r="C660" s="1">
        <v>1555.86</v>
      </c>
      <c r="D660" s="1">
        <v>160.06</v>
      </c>
      <c r="E660" s="1">
        <f t="shared" si="74"/>
        <v>4.6379458781481517E-2</v>
      </c>
      <c r="F660" s="1">
        <f t="shared" si="75"/>
        <v>3.9527728771062469E-2</v>
      </c>
      <c r="G660" s="1">
        <f t="shared" si="76"/>
        <v>4.1947158079386655E-3</v>
      </c>
      <c r="P660" s="39">
        <f t="shared" si="77"/>
        <v>626.64709179606155</v>
      </c>
      <c r="Q660" s="26">
        <f t="shared" si="78"/>
        <v>23.205079524798975</v>
      </c>
      <c r="R660" s="26">
        <f t="shared" si="79"/>
        <v>-23.205079524798975</v>
      </c>
    </row>
    <row r="661" spans="1:18" x14ac:dyDescent="0.3">
      <c r="A661" s="2">
        <v>43182</v>
      </c>
      <c r="B661" s="1">
        <v>41.234999999999999</v>
      </c>
      <c r="C661" s="1">
        <v>1495.56</v>
      </c>
      <c r="D661" s="1">
        <v>159.38999999999999</v>
      </c>
      <c r="E661" s="1">
        <f t="shared" si="74"/>
        <v>-2.342897542636729E-2</v>
      </c>
      <c r="F661" s="1">
        <f t="shared" si="75"/>
        <v>-3.247141042965794E-2</v>
      </c>
      <c r="G661" s="1">
        <f t="shared" si="76"/>
        <v>-3.3924555781915319E-2</v>
      </c>
      <c r="P661" s="39">
        <f t="shared" si="77"/>
        <v>603.44201227126257</v>
      </c>
      <c r="Q661" s="26">
        <f t="shared" si="78"/>
        <v>-19.809241490178124</v>
      </c>
      <c r="R661" s="26">
        <f t="shared" si="79"/>
        <v>19.809241490178124</v>
      </c>
    </row>
    <row r="662" spans="1:18" x14ac:dyDescent="0.3">
      <c r="A662" s="2">
        <v>43181</v>
      </c>
      <c r="B662" s="1">
        <v>42.212499999999999</v>
      </c>
      <c r="C662" s="1">
        <v>1544.92</v>
      </c>
      <c r="D662" s="1">
        <v>164.89</v>
      </c>
      <c r="E662" s="1">
        <f t="shared" si="74"/>
        <v>-1.4230511812700894E-2</v>
      </c>
      <c r="F662" s="1">
        <f t="shared" si="75"/>
        <v>-2.3629240780469761E-2</v>
      </c>
      <c r="G662" s="1">
        <f t="shared" si="76"/>
        <v>-2.6925163685413624E-2</v>
      </c>
      <c r="P662" s="39">
        <f t="shared" si="77"/>
        <v>623.25125376144069</v>
      </c>
      <c r="Q662" s="26">
        <f t="shared" si="78"/>
        <v>-14.855596021206452</v>
      </c>
      <c r="R662" s="26">
        <f t="shared" si="79"/>
        <v>14.855596021206452</v>
      </c>
    </row>
    <row r="663" spans="1:18" x14ac:dyDescent="0.3">
      <c r="A663" s="2">
        <v>43180</v>
      </c>
      <c r="B663" s="1">
        <v>42.817500000000003</v>
      </c>
      <c r="C663" s="1">
        <v>1581.86</v>
      </c>
      <c r="D663" s="1">
        <v>169.39</v>
      </c>
      <c r="E663" s="1">
        <f t="shared" si="74"/>
        <v>-2.2915204301420231E-2</v>
      </c>
      <c r="F663" s="1">
        <f t="shared" si="75"/>
        <v>-2.9352653500792887E-3</v>
      </c>
      <c r="G663" s="1">
        <f t="shared" si="76"/>
        <v>7.3473104120118701E-3</v>
      </c>
      <c r="P663" s="39">
        <f t="shared" si="77"/>
        <v>638.10684978264715</v>
      </c>
      <c r="Q663" s="26">
        <f t="shared" si="78"/>
        <v>-1.85819586283219</v>
      </c>
      <c r="R663" s="26">
        <f t="shared" si="79"/>
        <v>1.85819586283219</v>
      </c>
    </row>
    <row r="664" spans="1:18" x14ac:dyDescent="0.3">
      <c r="A664" s="2">
        <v>43179</v>
      </c>
      <c r="B664" s="1">
        <v>43.81</v>
      </c>
      <c r="C664" s="1">
        <v>1586.51</v>
      </c>
      <c r="D664" s="1">
        <v>168.15</v>
      </c>
      <c r="E664" s="1">
        <f t="shared" si="74"/>
        <v>-3.4232898149116111E-4</v>
      </c>
      <c r="F664" s="1">
        <f t="shared" si="75"/>
        <v>2.6558033324425717E-2</v>
      </c>
      <c r="G664" s="1">
        <f t="shared" si="76"/>
        <v>-2.5888563894622307E-2</v>
      </c>
      <c r="P664" s="39">
        <f t="shared" si="77"/>
        <v>639.96504564547934</v>
      </c>
      <c r="Q664" s="26">
        <f t="shared" si="78"/>
        <v>14.379832057502995</v>
      </c>
      <c r="R664" s="26">
        <f t="shared" si="79"/>
        <v>-14.379832057502995</v>
      </c>
    </row>
    <row r="665" spans="1:18" x14ac:dyDescent="0.3">
      <c r="A665" s="2">
        <v>43178</v>
      </c>
      <c r="B665" s="1">
        <v>43.825000000000003</v>
      </c>
      <c r="C665" s="1">
        <v>1544.93</v>
      </c>
      <c r="D665" s="1">
        <v>172.56</v>
      </c>
      <c r="E665" s="1">
        <f t="shared" si="74"/>
        <v>-1.5397111603596634E-2</v>
      </c>
      <c r="F665" s="1">
        <f t="shared" si="75"/>
        <v>-1.7166509064492505E-2</v>
      </c>
      <c r="G665" s="1">
        <f t="shared" si="76"/>
        <v>-7.0097191187724395E-2</v>
      </c>
      <c r="P665" s="39">
        <f t="shared" si="77"/>
        <v>625.58521358797634</v>
      </c>
      <c r="Q665" s="26">
        <f t="shared" si="78"/>
        <v>-12.867069679371298</v>
      </c>
      <c r="R665" s="26">
        <f t="shared" si="79"/>
        <v>12.867069679371298</v>
      </c>
    </row>
    <row r="666" spans="1:18" x14ac:dyDescent="0.3">
      <c r="A666" s="2">
        <v>43175</v>
      </c>
      <c r="B666" s="1">
        <v>44.505000000000003</v>
      </c>
      <c r="C666" s="1">
        <v>1571.68</v>
      </c>
      <c r="D666" s="1">
        <v>185.09</v>
      </c>
      <c r="E666" s="1">
        <f t="shared" si="74"/>
        <v>-3.5326809386333857E-3</v>
      </c>
      <c r="F666" s="1">
        <f t="shared" si="75"/>
        <v>-6.7470135465943762E-3</v>
      </c>
      <c r="G666" s="1">
        <f t="shared" si="76"/>
        <v>6.6675948330165834E-3</v>
      </c>
      <c r="P666" s="39">
        <f t="shared" si="77"/>
        <v>638.45228326734764</v>
      </c>
      <c r="Q666" s="26">
        <f t="shared" si="78"/>
        <v>-3.7245335948232423</v>
      </c>
      <c r="R666" s="26">
        <f t="shared" si="79"/>
        <v>3.7245335948232423</v>
      </c>
    </row>
    <row r="667" spans="1:18" x14ac:dyDescent="0.3">
      <c r="A667" s="2">
        <v>43174</v>
      </c>
      <c r="B667" s="1">
        <v>44.662500000000001</v>
      </c>
      <c r="C667" s="1">
        <v>1582.32</v>
      </c>
      <c r="D667" s="1">
        <v>183.86</v>
      </c>
      <c r="E667" s="1">
        <f t="shared" si="74"/>
        <v>1.1761742093547428E-3</v>
      </c>
      <c r="F667" s="1">
        <f t="shared" si="75"/>
        <v>-5.4706248646330244E-3</v>
      </c>
      <c r="G667" s="1">
        <f t="shared" si="76"/>
        <v>-1.7932350954028599E-3</v>
      </c>
      <c r="P667" s="39">
        <f t="shared" si="77"/>
        <v>642.17681686217088</v>
      </c>
      <c r="Q667" s="26">
        <f t="shared" si="78"/>
        <v>-3.2524175074410095</v>
      </c>
      <c r="R667" s="26">
        <f t="shared" si="79"/>
        <v>3.2524175074410095</v>
      </c>
    </row>
    <row r="668" spans="1:18" x14ac:dyDescent="0.3">
      <c r="A668" s="2">
        <v>43173</v>
      </c>
      <c r="B668" s="1">
        <v>44.61</v>
      </c>
      <c r="C668" s="1">
        <v>1591</v>
      </c>
      <c r="D668" s="1">
        <v>184.19</v>
      </c>
      <c r="E668" s="1">
        <f t="shared" si="74"/>
        <v>-8.5377600730474051E-3</v>
      </c>
      <c r="F668" s="1">
        <f t="shared" si="75"/>
        <v>1.7740428284014171E-3</v>
      </c>
      <c r="G668" s="1">
        <f t="shared" si="76"/>
        <v>1.2620704574201631E-2</v>
      </c>
      <c r="P668" s="39">
        <f t="shared" si="77"/>
        <v>645.42923436961189</v>
      </c>
      <c r="Q668" s="26">
        <f t="shared" si="78"/>
        <v>1.3826216569724465</v>
      </c>
      <c r="R668" s="26">
        <f t="shared" si="79"/>
        <v>-1.3826216569724465</v>
      </c>
    </row>
    <row r="669" spans="1:18" x14ac:dyDescent="0.3">
      <c r="A669" s="2">
        <v>43172</v>
      </c>
      <c r="B669" s="1">
        <v>44.9925</v>
      </c>
      <c r="C669" s="1">
        <v>1588.18</v>
      </c>
      <c r="D669" s="1">
        <v>181.88</v>
      </c>
      <c r="E669" s="1">
        <f t="shared" si="74"/>
        <v>-9.6768705580911381E-3</v>
      </c>
      <c r="F669" s="1">
        <f t="shared" si="75"/>
        <v>-6.408166109076836E-3</v>
      </c>
      <c r="G669" s="1">
        <f t="shared" si="76"/>
        <v>-1.5710556605594811E-2</v>
      </c>
      <c r="P669" s="39">
        <f t="shared" si="77"/>
        <v>644.04661271263944</v>
      </c>
      <c r="Q669" s="26">
        <f t="shared" si="78"/>
        <v>-4.5725724973308388</v>
      </c>
      <c r="R669" s="26">
        <f t="shared" si="79"/>
        <v>4.5725724973308388</v>
      </c>
    </row>
    <row r="670" spans="1:18" x14ac:dyDescent="0.3">
      <c r="A670" s="2">
        <v>43171</v>
      </c>
      <c r="B670" s="1">
        <v>45.43</v>
      </c>
      <c r="C670" s="1">
        <v>1598.39</v>
      </c>
      <c r="D670" s="1">
        <v>184.76</v>
      </c>
      <c r="E670" s="1">
        <f t="shared" si="74"/>
        <v>9.6213072854000967E-3</v>
      </c>
      <c r="F670" s="1">
        <f t="shared" si="75"/>
        <v>1.2274804134015284E-2</v>
      </c>
      <c r="G670" s="1">
        <f t="shared" si="76"/>
        <v>-2.5406105722269958E-3</v>
      </c>
      <c r="P670" s="39">
        <f t="shared" si="77"/>
        <v>648.61918520997028</v>
      </c>
      <c r="Q670" s="26">
        <f t="shared" si="78"/>
        <v>7.2732769000032249</v>
      </c>
      <c r="R670" s="26">
        <f t="shared" si="79"/>
        <v>-7.2732769000032249</v>
      </c>
    </row>
    <row r="671" spans="1:18" x14ac:dyDescent="0.3">
      <c r="A671" s="2">
        <v>43168</v>
      </c>
      <c r="B671" s="1">
        <v>44.994999999999997</v>
      </c>
      <c r="C671" s="1">
        <v>1578.89</v>
      </c>
      <c r="D671" s="1">
        <v>185.23</v>
      </c>
      <c r="E671" s="1">
        <f t="shared" si="74"/>
        <v>1.7035041550562589E-2</v>
      </c>
      <c r="F671" s="1">
        <f t="shared" si="75"/>
        <v>1.7267856995672817E-2</v>
      </c>
      <c r="G671" s="1">
        <f t="shared" si="76"/>
        <v>1.5725219977874981E-2</v>
      </c>
      <c r="P671" s="39">
        <f t="shared" si="77"/>
        <v>641.34590830996706</v>
      </c>
      <c r="Q671" s="26">
        <f t="shared" si="78"/>
        <v>10.914422395322731</v>
      </c>
      <c r="R671" s="26">
        <f t="shared" si="79"/>
        <v>-10.914422395322731</v>
      </c>
    </row>
    <row r="672" spans="1:18" x14ac:dyDescent="0.3">
      <c r="A672" s="2">
        <v>43167</v>
      </c>
      <c r="B672" s="1">
        <v>44.234999999999999</v>
      </c>
      <c r="C672" s="1">
        <v>1551.86</v>
      </c>
      <c r="D672" s="1">
        <v>182.34</v>
      </c>
      <c r="E672" s="1">
        <f t="shared" si="74"/>
        <v>1.0853304252495751E-2</v>
      </c>
      <c r="F672" s="1">
        <f t="shared" si="75"/>
        <v>4.4303011569285589E-3</v>
      </c>
      <c r="G672" s="1">
        <f t="shared" si="76"/>
        <v>-7.4853511640890855E-3</v>
      </c>
      <c r="P672" s="39">
        <f t="shared" si="77"/>
        <v>630.43148591464433</v>
      </c>
      <c r="Q672" s="26">
        <f t="shared" si="78"/>
        <v>2.4320715752263595</v>
      </c>
      <c r="R672" s="26">
        <f t="shared" si="79"/>
        <v>-2.4320715752263595</v>
      </c>
    </row>
    <row r="673" spans="1:18" x14ac:dyDescent="0.3">
      <c r="A673" s="2">
        <v>43166</v>
      </c>
      <c r="B673" s="1">
        <v>43.7575</v>
      </c>
      <c r="C673" s="1">
        <v>1545</v>
      </c>
      <c r="D673" s="1">
        <v>183.71</v>
      </c>
      <c r="E673" s="1">
        <f t="shared" si="74"/>
        <v>-9.3261978218448192E-3</v>
      </c>
      <c r="F673" s="1">
        <f t="shared" si="75"/>
        <v>4.7751368860325097E-3</v>
      </c>
      <c r="G673" s="1">
        <f t="shared" si="76"/>
        <v>2.1624546175592445E-2</v>
      </c>
      <c r="P673" s="39">
        <f t="shared" si="77"/>
        <v>627.99941433941797</v>
      </c>
      <c r="Q673" s="26">
        <f t="shared" si="78"/>
        <v>3.397422427287097</v>
      </c>
      <c r="R673" s="26">
        <f t="shared" si="79"/>
        <v>-3.397422427287097</v>
      </c>
    </row>
    <row r="674" spans="1:18" x14ac:dyDescent="0.3">
      <c r="A674" s="2">
        <v>43165</v>
      </c>
      <c r="B674" s="1">
        <v>44.167499999999997</v>
      </c>
      <c r="C674" s="1">
        <v>1537.64</v>
      </c>
      <c r="D674" s="1">
        <v>179.78</v>
      </c>
      <c r="E674" s="1">
        <f t="shared" si="74"/>
        <v>-8.4868035306926283E-4</v>
      </c>
      <c r="F674" s="1">
        <f t="shared" si="75"/>
        <v>9.1662544604355738E-3</v>
      </c>
      <c r="G674" s="1">
        <f t="shared" si="76"/>
        <v>-3.4427264832700348E-3</v>
      </c>
      <c r="P674" s="39">
        <f t="shared" si="77"/>
        <v>624.60199191213087</v>
      </c>
      <c r="Q674" s="26">
        <f t="shared" si="78"/>
        <v>5.0267420400795118</v>
      </c>
      <c r="R674" s="26">
        <f t="shared" si="79"/>
        <v>-5.0267420400795118</v>
      </c>
    </row>
    <row r="675" spans="1:18" x14ac:dyDescent="0.3">
      <c r="A675" s="2">
        <v>43164</v>
      </c>
      <c r="B675" s="1">
        <v>44.204999999999998</v>
      </c>
      <c r="C675" s="1">
        <v>1523.61</v>
      </c>
      <c r="D675" s="1">
        <v>180.4</v>
      </c>
      <c r="E675" s="1">
        <f t="shared" si="74"/>
        <v>3.4558003970191075E-3</v>
      </c>
      <c r="F675" s="1">
        <f t="shared" si="75"/>
        <v>1.5450758115755579E-2</v>
      </c>
      <c r="G675" s="1">
        <f t="shared" si="76"/>
        <v>2.1176075587867039E-2</v>
      </c>
      <c r="P675" s="39">
        <f t="shared" si="77"/>
        <v>619.57524987205136</v>
      </c>
      <c r="Q675" s="26">
        <f t="shared" si="78"/>
        <v>9.5014799566625925</v>
      </c>
      <c r="R675" s="26">
        <f t="shared" si="79"/>
        <v>-9.5014799566625925</v>
      </c>
    </row>
    <row r="676" spans="1:18" x14ac:dyDescent="0.3">
      <c r="A676" s="2">
        <v>43161</v>
      </c>
      <c r="B676" s="1">
        <v>44.052500000000002</v>
      </c>
      <c r="C676" s="1">
        <v>1500.25</v>
      </c>
      <c r="D676" s="1">
        <v>176.62</v>
      </c>
      <c r="E676" s="1">
        <f t="shared" si="74"/>
        <v>6.8904916571251255E-3</v>
      </c>
      <c r="F676" s="1">
        <f t="shared" si="75"/>
        <v>4.5428811802998839E-3</v>
      </c>
      <c r="G676" s="1">
        <f t="shared" si="76"/>
        <v>3.8575042161276959E-3</v>
      </c>
      <c r="P676" s="39">
        <f t="shared" si="77"/>
        <v>610.07376991538877</v>
      </c>
      <c r="Q676" s="26">
        <f t="shared" si="78"/>
        <v>2.7816873736351226</v>
      </c>
      <c r="R676" s="26">
        <f t="shared" si="79"/>
        <v>-2.7816873736351226</v>
      </c>
    </row>
    <row r="677" spans="1:18" x14ac:dyDescent="0.3">
      <c r="A677" s="2">
        <v>43160</v>
      </c>
      <c r="B677" s="1">
        <v>43.75</v>
      </c>
      <c r="C677" s="1">
        <v>1493.45</v>
      </c>
      <c r="D677" s="1">
        <v>175.94</v>
      </c>
      <c r="E677" s="1">
        <f t="shared" si="74"/>
        <v>-1.7671506529987557E-2</v>
      </c>
      <c r="F677" s="1">
        <f t="shared" si="75"/>
        <v>-1.26419728180118E-2</v>
      </c>
      <c r="G677" s="1">
        <f t="shared" si="76"/>
        <v>-1.3436661253084915E-2</v>
      </c>
      <c r="P677" s="39">
        <f t="shared" si="77"/>
        <v>607.29208254175364</v>
      </c>
      <c r="Q677" s="26">
        <f t="shared" si="78"/>
        <v>-7.849361464648382</v>
      </c>
      <c r="R677" s="26">
        <f t="shared" si="79"/>
        <v>7.849361464648382</v>
      </c>
    </row>
    <row r="678" spans="1:18" x14ac:dyDescent="0.3">
      <c r="A678" s="2">
        <v>43159</v>
      </c>
      <c r="B678" s="1">
        <v>44.53</v>
      </c>
      <c r="C678" s="1">
        <v>1512.45</v>
      </c>
      <c r="D678" s="1">
        <v>178.32</v>
      </c>
      <c r="E678" s="1">
        <f t="shared" si="74"/>
        <v>-1.5146843096745051E-3</v>
      </c>
      <c r="F678" s="1">
        <f t="shared" si="75"/>
        <v>3.1080236856756421E-4</v>
      </c>
      <c r="G678" s="1">
        <f t="shared" si="76"/>
        <v>-1.7455554663869572E-2</v>
      </c>
      <c r="P678" s="39">
        <f t="shared" si="77"/>
        <v>615.14144400640203</v>
      </c>
      <c r="Q678" s="26">
        <f t="shared" si="78"/>
        <v>-0.53502674067738099</v>
      </c>
      <c r="R678" s="26">
        <f t="shared" si="79"/>
        <v>0.53502674067738099</v>
      </c>
    </row>
    <row r="679" spans="1:18" x14ac:dyDescent="0.3">
      <c r="A679" s="2">
        <v>43158</v>
      </c>
      <c r="B679" s="1">
        <v>44.597499999999997</v>
      </c>
      <c r="C679" s="1">
        <v>1511.98</v>
      </c>
      <c r="D679" s="1">
        <v>181.46</v>
      </c>
      <c r="E679" s="1">
        <f t="shared" si="74"/>
        <v>-3.2460292661408183E-3</v>
      </c>
      <c r="F679" s="1">
        <f t="shared" si="75"/>
        <v>-6.5723572320724394E-3</v>
      </c>
      <c r="G679" s="1">
        <f t="shared" si="76"/>
        <v>-1.8942131355302337E-2</v>
      </c>
      <c r="P679" s="39">
        <f t="shared" si="77"/>
        <v>615.67647074707941</v>
      </c>
      <c r="Q679" s="26">
        <f t="shared" si="78"/>
        <v>-4.4906917772892712</v>
      </c>
      <c r="R679" s="26">
        <f t="shared" si="79"/>
        <v>4.4906917772892712</v>
      </c>
    </row>
    <row r="680" spans="1:18" x14ac:dyDescent="0.3">
      <c r="A680" s="2">
        <v>43157</v>
      </c>
      <c r="B680" s="1">
        <v>44.7425</v>
      </c>
      <c r="C680" s="1">
        <v>1521.95</v>
      </c>
      <c r="D680" s="1">
        <v>184.93</v>
      </c>
      <c r="E680" s="1">
        <f t="shared" si="74"/>
        <v>1.9579151123396435E-2</v>
      </c>
      <c r="F680" s="1">
        <f t="shared" si="75"/>
        <v>1.4527299280537431E-2</v>
      </c>
      <c r="G680" s="1">
        <f t="shared" si="76"/>
        <v>8.9077771130287014E-3</v>
      </c>
      <c r="P680" s="39">
        <f t="shared" si="77"/>
        <v>620.16716252436868</v>
      </c>
      <c r="Q680" s="26">
        <f t="shared" si="78"/>
        <v>8.8137071023858198</v>
      </c>
      <c r="R680" s="26">
        <f t="shared" si="79"/>
        <v>-8.8137071023858198</v>
      </c>
    </row>
    <row r="681" spans="1:18" x14ac:dyDescent="0.3">
      <c r="A681" s="2">
        <v>43154</v>
      </c>
      <c r="B681" s="1">
        <v>43.875</v>
      </c>
      <c r="C681" s="1">
        <v>1500</v>
      </c>
      <c r="D681" s="1">
        <v>183.29</v>
      </c>
      <c r="E681" s="1">
        <f t="shared" si="74"/>
        <v>1.7241806434505954E-2</v>
      </c>
      <c r="F681" s="1">
        <f t="shared" si="75"/>
        <v>9.8214058310226431E-3</v>
      </c>
      <c r="G681" s="1">
        <f t="shared" si="76"/>
        <v>2.3739659625347933E-2</v>
      </c>
      <c r="P681" s="39">
        <f t="shared" si="77"/>
        <v>611.35345542198286</v>
      </c>
      <c r="Q681" s="26">
        <f t="shared" si="78"/>
        <v>6.6516919235307341</v>
      </c>
      <c r="R681" s="26">
        <f t="shared" si="79"/>
        <v>-6.6516919235307341</v>
      </c>
    </row>
    <row r="682" spans="1:18" x14ac:dyDescent="0.3">
      <c r="A682" s="2">
        <v>43153</v>
      </c>
      <c r="B682" s="1">
        <v>43.125</v>
      </c>
      <c r="C682" s="1">
        <v>1485.34</v>
      </c>
      <c r="D682" s="1">
        <v>178.99</v>
      </c>
      <c r="E682" s="1">
        <f t="shared" si="74"/>
        <v>8.3244070072138639E-3</v>
      </c>
      <c r="F682" s="1">
        <f t="shared" si="75"/>
        <v>1.6305852830904124E-3</v>
      </c>
      <c r="G682" s="1">
        <f t="shared" si="76"/>
        <v>6.0521339117246215E-3</v>
      </c>
      <c r="P682" s="39">
        <f t="shared" si="77"/>
        <v>604.70176349845212</v>
      </c>
      <c r="Q682" s="26">
        <f t="shared" si="78"/>
        <v>1.2750738134920994</v>
      </c>
      <c r="R682" s="26">
        <f t="shared" si="79"/>
        <v>-1.2750738134920994</v>
      </c>
    </row>
    <row r="683" spans="1:18" x14ac:dyDescent="0.3">
      <c r="A683" s="2">
        <v>43152</v>
      </c>
      <c r="B683" s="1">
        <v>42.767499999999998</v>
      </c>
      <c r="C683" s="1">
        <v>1482.92</v>
      </c>
      <c r="D683" s="1">
        <v>177.91</v>
      </c>
      <c r="E683" s="1">
        <f t="shared" si="74"/>
        <v>-4.5491738316423367E-3</v>
      </c>
      <c r="F683" s="1">
        <f t="shared" si="75"/>
        <v>9.8737956006394855E-3</v>
      </c>
      <c r="G683" s="1">
        <f t="shared" si="76"/>
        <v>1.0736992840806009E-2</v>
      </c>
      <c r="P683" s="39">
        <f t="shared" si="77"/>
        <v>603.42668968496002</v>
      </c>
      <c r="Q683" s="26">
        <f t="shared" si="78"/>
        <v>5.7068447089941401</v>
      </c>
      <c r="R683" s="26">
        <f t="shared" si="79"/>
        <v>-5.7068447089941401</v>
      </c>
    </row>
    <row r="684" spans="1:18" x14ac:dyDescent="0.3">
      <c r="A684" s="2">
        <v>43151</v>
      </c>
      <c r="B684" s="1">
        <v>42.962499999999999</v>
      </c>
      <c r="C684" s="1">
        <v>1468.35</v>
      </c>
      <c r="D684" s="1">
        <v>176.01</v>
      </c>
      <c r="E684" s="1">
        <f t="shared" si="74"/>
        <v>-3.3693537161973816E-3</v>
      </c>
      <c r="F684" s="1">
        <f t="shared" si="75"/>
        <v>1.3479621592155065E-2</v>
      </c>
      <c r="G684" s="1">
        <f t="shared" si="76"/>
        <v>-7.6407537021779383E-3</v>
      </c>
      <c r="P684" s="39">
        <f t="shared" si="77"/>
        <v>597.71984497596588</v>
      </c>
      <c r="Q684" s="26">
        <f t="shared" si="78"/>
        <v>6.9013006281853677</v>
      </c>
      <c r="R684" s="26">
        <f t="shared" si="79"/>
        <v>-6.9013006281853677</v>
      </c>
    </row>
    <row r="685" spans="1:18" x14ac:dyDescent="0.3">
      <c r="A685" s="2">
        <v>43150</v>
      </c>
      <c r="B685" s="1">
        <v>43.107500000000002</v>
      </c>
      <c r="C685" s="1">
        <v>1448.69</v>
      </c>
      <c r="D685" s="1">
        <v>177.36</v>
      </c>
      <c r="E685" s="1">
        <f t="shared" si="74"/>
        <v>0</v>
      </c>
      <c r="F685" s="1">
        <f t="shared" si="75"/>
        <v>0</v>
      </c>
      <c r="G685" s="1">
        <f t="shared" si="76"/>
        <v>0</v>
      </c>
      <c r="P685" s="39">
        <f t="shared" si="77"/>
        <v>590.81854434778052</v>
      </c>
      <c r="Q685" s="26">
        <f t="shared" si="78"/>
        <v>0</v>
      </c>
      <c r="R685" s="26">
        <f t="shared" si="79"/>
        <v>0</v>
      </c>
    </row>
    <row r="686" spans="1:18" x14ac:dyDescent="0.3">
      <c r="A686" s="2">
        <v>43147</v>
      </c>
      <c r="B686" s="1">
        <v>43.107500000000002</v>
      </c>
      <c r="C686" s="1">
        <v>1448.69</v>
      </c>
      <c r="D686" s="1">
        <v>177.36</v>
      </c>
      <c r="E686" s="1">
        <f t="shared" si="74"/>
        <v>-3.242432346845786E-3</v>
      </c>
      <c r="F686" s="1">
        <f t="shared" si="75"/>
        <v>-8.9814893640873042E-3</v>
      </c>
      <c r="G686" s="1">
        <f t="shared" si="76"/>
        <v>-1.4553038664915526E-2</v>
      </c>
      <c r="P686" s="39">
        <f t="shared" si="77"/>
        <v>590.81854434778052</v>
      </c>
      <c r="Q686" s="26">
        <f t="shared" si="78"/>
        <v>-5.4438857886693768</v>
      </c>
      <c r="R686" s="26">
        <f t="shared" si="79"/>
        <v>5.4438857886693768</v>
      </c>
    </row>
    <row r="687" spans="1:18" x14ac:dyDescent="0.3">
      <c r="A687" s="2">
        <v>43146</v>
      </c>
      <c r="B687" s="1">
        <v>43.247500000000002</v>
      </c>
      <c r="C687" s="1">
        <v>1461.76</v>
      </c>
      <c r="D687" s="1">
        <v>179.96</v>
      </c>
      <c r="E687" s="1">
        <f t="shared" si="74"/>
        <v>3.3026858833339452E-2</v>
      </c>
      <c r="F687" s="1">
        <f t="shared" si="75"/>
        <v>7.3537568631936012E-3</v>
      </c>
      <c r="G687" s="1">
        <f t="shared" si="76"/>
        <v>2.4479816386400372E-3</v>
      </c>
      <c r="P687" s="39">
        <f t="shared" si="77"/>
        <v>596.26243013644989</v>
      </c>
      <c r="Q687" s="26">
        <f t="shared" si="78"/>
        <v>4.6291329876476084</v>
      </c>
      <c r="R687" s="26">
        <f t="shared" si="79"/>
        <v>-4.6291329876476084</v>
      </c>
    </row>
    <row r="688" spans="1:18" x14ac:dyDescent="0.3">
      <c r="A688" s="2">
        <v>43145</v>
      </c>
      <c r="B688" s="1">
        <v>41.842500000000001</v>
      </c>
      <c r="C688" s="1">
        <v>1451.05</v>
      </c>
      <c r="D688" s="1">
        <v>179.52</v>
      </c>
      <c r="E688" s="1">
        <f t="shared" si="74"/>
        <v>1.8269478022504962E-2</v>
      </c>
      <c r="F688" s="1">
        <f t="shared" si="75"/>
        <v>2.550425093174186E-2</v>
      </c>
      <c r="G688" s="1">
        <f t="shared" si="76"/>
        <v>3.6128351485900587E-2</v>
      </c>
      <c r="P688" s="39">
        <f t="shared" si="77"/>
        <v>591.63329714880228</v>
      </c>
      <c r="Q688" s="26">
        <f t="shared" si="78"/>
        <v>15.176443388510052</v>
      </c>
      <c r="R688" s="26">
        <f t="shared" si="79"/>
        <v>-15.176443388510052</v>
      </c>
    </row>
    <row r="689" spans="1:18" x14ac:dyDescent="0.3">
      <c r="A689" s="2">
        <v>43144</v>
      </c>
      <c r="B689" s="1">
        <v>41.085000000000001</v>
      </c>
      <c r="C689" s="1">
        <v>1414.51</v>
      </c>
      <c r="D689" s="1">
        <v>173.15</v>
      </c>
      <c r="E689" s="1">
        <f t="shared" si="74"/>
        <v>9.9679773518140807E-3</v>
      </c>
      <c r="F689" s="1">
        <f t="shared" si="75"/>
        <v>2.0195349204128028E-2</v>
      </c>
      <c r="G689" s="1">
        <f t="shared" si="76"/>
        <v>-1.8652560459883543E-2</v>
      </c>
      <c r="P689" s="39">
        <f t="shared" si="77"/>
        <v>576.45685376029223</v>
      </c>
      <c r="Q689" s="26">
        <f t="shared" si="78"/>
        <v>9.8968077027199115</v>
      </c>
      <c r="R689" s="26">
        <f t="shared" si="79"/>
        <v>-9.8968077027199115</v>
      </c>
    </row>
    <row r="690" spans="1:18" x14ac:dyDescent="0.3">
      <c r="A690" s="2">
        <v>43143</v>
      </c>
      <c r="B690" s="1">
        <v>40.677500000000002</v>
      </c>
      <c r="C690" s="1">
        <v>1386.23</v>
      </c>
      <c r="D690" s="1">
        <v>176.41</v>
      </c>
      <c r="E690" s="1">
        <f t="shared" si="74"/>
        <v>3.9488710465077473E-2</v>
      </c>
      <c r="F690" s="1">
        <f t="shared" si="75"/>
        <v>3.4216770228368242E-2</v>
      </c>
      <c r="G690" s="1">
        <f t="shared" si="76"/>
        <v>1.7020315013204575E-3</v>
      </c>
      <c r="P690" s="39">
        <f t="shared" si="77"/>
        <v>566.56004605757232</v>
      </c>
      <c r="Q690" s="26">
        <f t="shared" si="78"/>
        <v>17.922607733798486</v>
      </c>
      <c r="R690" s="26">
        <f t="shared" si="79"/>
        <v>-17.922607733798486</v>
      </c>
    </row>
    <row r="691" spans="1:18" x14ac:dyDescent="0.3">
      <c r="A691" s="2">
        <v>43140</v>
      </c>
      <c r="B691" s="1">
        <v>39.102499999999999</v>
      </c>
      <c r="C691" s="1">
        <v>1339.6</v>
      </c>
      <c r="D691" s="1">
        <v>176.11</v>
      </c>
      <c r="E691" s="1">
        <f t="shared" si="74"/>
        <v>8.0883737917609132E-3</v>
      </c>
      <c r="F691" s="1">
        <f t="shared" si="75"/>
        <v>-8.103832312620754E-3</v>
      </c>
      <c r="G691" s="1">
        <f t="shared" si="76"/>
        <v>2.6059169662174766E-2</v>
      </c>
      <c r="P691" s="39">
        <f t="shared" si="77"/>
        <v>548.63743832377384</v>
      </c>
      <c r="Q691" s="26">
        <f t="shared" si="78"/>
        <v>-2.909550337181031</v>
      </c>
      <c r="R691" s="26">
        <f t="shared" si="79"/>
        <v>2.909550337181031</v>
      </c>
    </row>
    <row r="692" spans="1:18" x14ac:dyDescent="0.3">
      <c r="A692" s="2">
        <v>43139</v>
      </c>
      <c r="B692" s="1">
        <v>38.787500000000001</v>
      </c>
      <c r="C692" s="1">
        <v>1350.5</v>
      </c>
      <c r="D692" s="1">
        <v>171.58</v>
      </c>
      <c r="E692" s="1">
        <f t="shared" si="74"/>
        <v>-2.7902283588594201E-2</v>
      </c>
      <c r="F692" s="1">
        <f t="shared" si="75"/>
        <v>-4.7911796817853181E-2</v>
      </c>
      <c r="G692" s="1">
        <f t="shared" si="76"/>
        <v>-4.8906721078474748E-2</v>
      </c>
      <c r="P692" s="39">
        <f t="shared" si="77"/>
        <v>551.54698866095487</v>
      </c>
      <c r="Q692" s="26">
        <f t="shared" si="78"/>
        <v>-26.773729063308792</v>
      </c>
      <c r="R692" s="26">
        <f t="shared" si="79"/>
        <v>26.773729063308792</v>
      </c>
    </row>
    <row r="693" spans="1:18" x14ac:dyDescent="0.3">
      <c r="A693" s="2">
        <v>43138</v>
      </c>
      <c r="B693" s="1">
        <v>39.884999999999998</v>
      </c>
      <c r="C693" s="1">
        <v>1416.78</v>
      </c>
      <c r="D693" s="1">
        <v>180.18</v>
      </c>
      <c r="E693" s="1">
        <f t="shared" si="74"/>
        <v>-2.1639558468579508E-2</v>
      </c>
      <c r="F693" s="1">
        <f t="shared" si="75"/>
        <v>-1.8226702464813359E-2</v>
      </c>
      <c r="G693" s="1">
        <f t="shared" si="76"/>
        <v>-2.8073747152623479E-2</v>
      </c>
      <c r="P693" s="39">
        <f t="shared" si="77"/>
        <v>578.32071772426366</v>
      </c>
      <c r="Q693" s="26">
        <f t="shared" si="78"/>
        <v>-11.088567931006764</v>
      </c>
      <c r="R693" s="26">
        <f t="shared" si="79"/>
        <v>11.088567931006764</v>
      </c>
    </row>
    <row r="694" spans="1:18" x14ac:dyDescent="0.3">
      <c r="A694" s="2">
        <v>43137</v>
      </c>
      <c r="B694" s="1">
        <v>40.7575</v>
      </c>
      <c r="C694" s="1">
        <v>1442.84</v>
      </c>
      <c r="D694" s="1">
        <v>185.31</v>
      </c>
      <c r="E694" s="1">
        <f t="shared" si="74"/>
        <v>4.09421227764823E-2</v>
      </c>
      <c r="F694" s="1">
        <f t="shared" si="75"/>
        <v>3.7309646390599326E-2</v>
      </c>
      <c r="G694" s="1">
        <f t="shared" si="76"/>
        <v>2.2097633749281882E-2</v>
      </c>
      <c r="P694" s="39">
        <f t="shared" si="77"/>
        <v>589.40928565527042</v>
      </c>
      <c r="Q694" s="26">
        <f t="shared" si="78"/>
        <v>21.051436923957567</v>
      </c>
      <c r="R694" s="26">
        <f t="shared" si="79"/>
        <v>-21.051436923957567</v>
      </c>
    </row>
    <row r="695" spans="1:18" x14ac:dyDescent="0.3">
      <c r="A695" s="2">
        <v>43136</v>
      </c>
      <c r="B695" s="1">
        <v>39.122500000000002</v>
      </c>
      <c r="C695" s="1">
        <v>1390</v>
      </c>
      <c r="D695" s="1">
        <v>181.26</v>
      </c>
      <c r="E695" s="1">
        <f t="shared" si="74"/>
        <v>-2.5301832394989912E-2</v>
      </c>
      <c r="F695" s="1">
        <f t="shared" si="75"/>
        <v>-2.8335731482959443E-2</v>
      </c>
      <c r="G695" s="1">
        <f t="shared" si="76"/>
        <v>-4.856420693744519E-2</v>
      </c>
      <c r="P695" s="39">
        <f t="shared" si="77"/>
        <v>568.35784873131286</v>
      </c>
      <c r="Q695" s="26">
        <f t="shared" si="78"/>
        <v>-17.11042397817107</v>
      </c>
      <c r="R695" s="26">
        <f t="shared" si="79"/>
        <v>17.11042397817107</v>
      </c>
    </row>
    <row r="696" spans="1:18" x14ac:dyDescent="0.3">
      <c r="A696" s="2">
        <v>43133</v>
      </c>
      <c r="B696" s="1">
        <v>40.125</v>
      </c>
      <c r="C696" s="1">
        <v>1429.95</v>
      </c>
      <c r="D696" s="1">
        <v>190.28</v>
      </c>
      <c r="E696" s="1">
        <f t="shared" si="74"/>
        <v>-4.435965484807803E-2</v>
      </c>
      <c r="F696" s="1">
        <f t="shared" si="75"/>
        <v>2.833573148295946E-2</v>
      </c>
      <c r="G696" s="1">
        <f t="shared" si="76"/>
        <v>-1.4659729890366572E-2</v>
      </c>
      <c r="P696" s="39">
        <f t="shared" si="77"/>
        <v>585.46827270948393</v>
      </c>
      <c r="Q696" s="26">
        <f t="shared" si="78"/>
        <v>13.377306242193413</v>
      </c>
      <c r="R696" s="26">
        <f t="shared" si="79"/>
        <v>-13.377306242193413</v>
      </c>
    </row>
    <row r="697" spans="1:18" x14ac:dyDescent="0.3">
      <c r="A697" s="2">
        <v>43132</v>
      </c>
      <c r="B697" s="1">
        <v>41.945</v>
      </c>
      <c r="C697" s="1">
        <v>1390</v>
      </c>
      <c r="D697" s="1">
        <v>193.09</v>
      </c>
      <c r="E697" s="1">
        <f t="shared" si="74"/>
        <v>2.0882439496966842E-3</v>
      </c>
      <c r="F697" s="1">
        <f t="shared" si="75"/>
        <v>-4.287341409938919E-2</v>
      </c>
      <c r="G697" s="1">
        <f t="shared" si="76"/>
        <v>3.2636192972236293E-2</v>
      </c>
      <c r="P697" s="39">
        <f t="shared" si="77"/>
        <v>572.09096646729051</v>
      </c>
      <c r="Q697" s="26">
        <f t="shared" si="78"/>
        <v>-21.08667819342827</v>
      </c>
      <c r="R697" s="26">
        <f t="shared" si="79"/>
        <v>21.08667819342827</v>
      </c>
    </row>
    <row r="698" spans="1:18" x14ac:dyDescent="0.3">
      <c r="A698" s="2">
        <v>43131</v>
      </c>
      <c r="B698" s="1">
        <v>41.857500000000002</v>
      </c>
      <c r="C698" s="1">
        <v>1450.89</v>
      </c>
      <c r="D698" s="1">
        <v>186.89</v>
      </c>
      <c r="E698" s="1">
        <f t="shared" si="74"/>
        <v>2.7511979075863237E-3</v>
      </c>
      <c r="F698" s="1">
        <f t="shared" si="75"/>
        <v>9.0490836306082109E-3</v>
      </c>
      <c r="G698" s="1">
        <f t="shared" si="76"/>
        <v>-1.2299137937124367E-3</v>
      </c>
      <c r="P698" s="39">
        <f t="shared" si="77"/>
        <v>593.17764466071878</v>
      </c>
      <c r="Q698" s="26">
        <f t="shared" si="78"/>
        <v>4.8202327129583864</v>
      </c>
      <c r="R698" s="26">
        <f t="shared" si="79"/>
        <v>-4.8202327129583864</v>
      </c>
    </row>
    <row r="699" spans="1:18" x14ac:dyDescent="0.3">
      <c r="A699" s="2">
        <v>43130</v>
      </c>
      <c r="B699" s="1">
        <v>41.7425</v>
      </c>
      <c r="C699" s="1">
        <v>1437.82</v>
      </c>
      <c r="D699" s="1">
        <v>187.12</v>
      </c>
      <c r="E699" s="1">
        <f t="shared" si="74"/>
        <v>-5.9117002551268283E-3</v>
      </c>
      <c r="F699" s="1">
        <f t="shared" si="75"/>
        <v>1.4106344926428944E-2</v>
      </c>
      <c r="G699" s="1">
        <f t="shared" si="76"/>
        <v>6.1109812258723951E-3</v>
      </c>
      <c r="P699" s="39">
        <f t="shared" si="77"/>
        <v>588.3574119477604</v>
      </c>
      <c r="Q699" s="26">
        <f t="shared" si="78"/>
        <v>7.5755512933698128</v>
      </c>
      <c r="R699" s="26">
        <f t="shared" si="79"/>
        <v>-7.5755512933698128</v>
      </c>
    </row>
    <row r="700" spans="1:18" x14ac:dyDescent="0.3">
      <c r="A700" s="2">
        <v>43129</v>
      </c>
      <c r="B700" s="1">
        <v>41.99</v>
      </c>
      <c r="C700" s="1">
        <v>1417.68</v>
      </c>
      <c r="D700" s="1">
        <v>185.98</v>
      </c>
      <c r="E700" s="1">
        <f t="shared" si="74"/>
        <v>-2.0915718127997005E-2</v>
      </c>
      <c r="F700" s="1">
        <f t="shared" si="75"/>
        <v>1.1086281370387465E-2</v>
      </c>
      <c r="G700" s="1">
        <f t="shared" si="76"/>
        <v>-2.1384931110434966E-2</v>
      </c>
      <c r="P700" s="39">
        <f t="shared" si="77"/>
        <v>580.78186065439058</v>
      </c>
      <c r="Q700" s="26">
        <f t="shared" si="78"/>
        <v>4.5281012945564498</v>
      </c>
      <c r="R700" s="26">
        <f t="shared" si="79"/>
        <v>-4.5281012945564498</v>
      </c>
    </row>
    <row r="701" spans="1:18" x14ac:dyDescent="0.3">
      <c r="A701" s="2">
        <v>43126</v>
      </c>
      <c r="B701" s="1">
        <v>42.877499999999998</v>
      </c>
      <c r="C701" s="1">
        <v>1402.05</v>
      </c>
      <c r="D701" s="1">
        <v>190</v>
      </c>
      <c r="E701" s="1">
        <f t="shared" si="74"/>
        <v>2.3349494001105339E-3</v>
      </c>
      <c r="F701" s="1">
        <f t="shared" si="75"/>
        <v>1.7338563851642327E-2</v>
      </c>
      <c r="G701" s="1">
        <f t="shared" si="76"/>
        <v>1.335189910598073E-2</v>
      </c>
      <c r="P701" s="39">
        <f t="shared" si="77"/>
        <v>576.25375935983413</v>
      </c>
      <c r="Q701" s="26">
        <f t="shared" si="78"/>
        <v>9.479708388880681</v>
      </c>
      <c r="R701" s="26">
        <f t="shared" si="79"/>
        <v>-9.479708388880681</v>
      </c>
    </row>
    <row r="702" spans="1:18" x14ac:dyDescent="0.3">
      <c r="A702" s="2">
        <v>43125</v>
      </c>
      <c r="B702" s="1">
        <v>42.777500000000003</v>
      </c>
      <c r="C702" s="1">
        <v>1377.95</v>
      </c>
      <c r="D702" s="1">
        <v>187.48</v>
      </c>
      <c r="E702" s="1">
        <f t="shared" si="74"/>
        <v>-1.8012243846866834E-2</v>
      </c>
      <c r="F702" s="1">
        <f t="shared" si="75"/>
        <v>1.4944748181597184E-2</v>
      </c>
      <c r="G702" s="1">
        <f t="shared" si="76"/>
        <v>4.9728733873383602E-3</v>
      </c>
      <c r="P702" s="39">
        <f t="shared" si="77"/>
        <v>566.77405097095345</v>
      </c>
      <c r="Q702" s="26">
        <f t="shared" si="78"/>
        <v>7.4211437393485085</v>
      </c>
      <c r="R702" s="26">
        <f t="shared" si="79"/>
        <v>-7.4211437393485085</v>
      </c>
    </row>
    <row r="703" spans="1:18" x14ac:dyDescent="0.3">
      <c r="A703" s="2">
        <v>43124</v>
      </c>
      <c r="B703" s="1">
        <v>43.555</v>
      </c>
      <c r="C703" s="1">
        <v>1357.51</v>
      </c>
      <c r="D703" s="1">
        <v>186.55</v>
      </c>
      <c r="E703" s="1">
        <f t="shared" si="74"/>
        <v>-1.6056827352048247E-2</v>
      </c>
      <c r="F703" s="1">
        <f t="shared" si="75"/>
        <v>-3.6984656411698461E-3</v>
      </c>
      <c r="G703" s="1">
        <f t="shared" si="76"/>
        <v>-1.4897854680636946E-2</v>
      </c>
      <c r="P703" s="39">
        <f t="shared" si="77"/>
        <v>559.35290723160495</v>
      </c>
      <c r="Q703" s="26">
        <f t="shared" si="78"/>
        <v>-2.7548043386431118</v>
      </c>
      <c r="R703" s="26">
        <f t="shared" si="79"/>
        <v>2.7548043386431118</v>
      </c>
    </row>
    <row r="704" spans="1:18" x14ac:dyDescent="0.3">
      <c r="A704" s="2">
        <v>43123</v>
      </c>
      <c r="B704" s="1">
        <v>44.26</v>
      </c>
      <c r="C704" s="1">
        <v>1362.54</v>
      </c>
      <c r="D704" s="1">
        <v>189.35</v>
      </c>
      <c r="E704" s="1">
        <f t="shared" si="74"/>
        <v>2.2596316896499895E-4</v>
      </c>
      <c r="F704" s="1">
        <f t="shared" si="75"/>
        <v>2.6196267209091777E-2</v>
      </c>
      <c r="G704" s="1">
        <f t="shared" si="76"/>
        <v>2.124332660680581E-2</v>
      </c>
      <c r="P704" s="39">
        <f t="shared" si="77"/>
        <v>562.10771157024806</v>
      </c>
      <c r="Q704" s="26">
        <f t="shared" si="78"/>
        <v>13.865448561916992</v>
      </c>
      <c r="R704" s="26">
        <f t="shared" si="79"/>
        <v>-13.865448561916992</v>
      </c>
    </row>
    <row r="705" spans="1:18" x14ac:dyDescent="0.3">
      <c r="A705" s="2">
        <v>43122</v>
      </c>
      <c r="B705" s="1">
        <v>44.25</v>
      </c>
      <c r="C705" s="1">
        <v>1327.31</v>
      </c>
      <c r="D705" s="1">
        <v>185.37</v>
      </c>
      <c r="E705" s="1">
        <f t="shared" si="74"/>
        <v>-8.2147538981762434E-3</v>
      </c>
      <c r="F705" s="1">
        <f t="shared" si="75"/>
        <v>2.4968019490734943E-2</v>
      </c>
      <c r="G705" s="1">
        <f t="shared" si="76"/>
        <v>2.2255868699421179E-2</v>
      </c>
      <c r="P705" s="39">
        <f t="shared" si="77"/>
        <v>548.24226300833107</v>
      </c>
      <c r="Q705" s="26">
        <f t="shared" si="78"/>
        <v>12.809326846088084</v>
      </c>
      <c r="R705" s="26">
        <f t="shared" si="79"/>
        <v>-12.809326846088084</v>
      </c>
    </row>
    <row r="706" spans="1:18" x14ac:dyDescent="0.3">
      <c r="A706" s="2">
        <v>43119</v>
      </c>
      <c r="B706" s="1">
        <v>44.615000000000002</v>
      </c>
      <c r="C706" s="1">
        <v>1294.58</v>
      </c>
      <c r="D706" s="1">
        <v>181.29</v>
      </c>
      <c r="E706" s="1">
        <f t="shared" si="74"/>
        <v>-4.4727794572101834E-3</v>
      </c>
      <c r="F706" s="1">
        <f t="shared" si="75"/>
        <v>9.7376258708788501E-4</v>
      </c>
      <c r="G706" s="1">
        <f t="shared" si="76"/>
        <v>8.252837004056884E-3</v>
      </c>
      <c r="P706" s="39">
        <f t="shared" si="77"/>
        <v>535.43293616224298</v>
      </c>
      <c r="Q706" s="26">
        <f t="shared" si="78"/>
        <v>0.70493867139828126</v>
      </c>
      <c r="R706" s="26">
        <f t="shared" si="79"/>
        <v>-0.70493867139828126</v>
      </c>
    </row>
    <row r="707" spans="1:18" x14ac:dyDescent="0.3">
      <c r="A707" s="2">
        <v>43118</v>
      </c>
      <c r="B707" s="1">
        <v>44.814999999999998</v>
      </c>
      <c r="C707" s="1">
        <v>1293.32</v>
      </c>
      <c r="D707" s="1">
        <v>179.8</v>
      </c>
      <c r="E707" s="1">
        <f t="shared" si="74"/>
        <v>8.9295686254956019E-4</v>
      </c>
      <c r="F707" s="1">
        <f t="shared" si="75"/>
        <v>-1.2981395159202124E-3</v>
      </c>
      <c r="G707" s="1">
        <f t="shared" si="76"/>
        <v>1.2311291479450249E-2</v>
      </c>
      <c r="P707" s="39">
        <f t="shared" si="77"/>
        <v>534.7279974908447</v>
      </c>
      <c r="Q707" s="26">
        <f t="shared" si="78"/>
        <v>-0.12652930495914916</v>
      </c>
      <c r="R707" s="26">
        <f t="shared" si="79"/>
        <v>0.12652930495914916</v>
      </c>
    </row>
    <row r="708" spans="1:18" x14ac:dyDescent="0.3">
      <c r="A708" s="2">
        <v>43117</v>
      </c>
      <c r="B708" s="1">
        <v>44.774999999999999</v>
      </c>
      <c r="C708" s="1">
        <v>1295</v>
      </c>
      <c r="D708" s="1">
        <v>177.6</v>
      </c>
      <c r="E708" s="1">
        <f t="shared" si="74"/>
        <v>1.6381350864128324E-2</v>
      </c>
      <c r="F708" s="1">
        <f t="shared" si="75"/>
        <v>-7.5850601747910525E-3</v>
      </c>
      <c r="G708" s="1">
        <f t="shared" si="76"/>
        <v>-4.4383342051064296E-3</v>
      </c>
      <c r="P708" s="39">
        <f t="shared" si="77"/>
        <v>534.85452679580385</v>
      </c>
      <c r="Q708" s="26">
        <f t="shared" si="78"/>
        <v>-3.50782389583037</v>
      </c>
      <c r="R708" s="26">
        <f t="shared" si="79"/>
        <v>3.50782389583037</v>
      </c>
    </row>
    <row r="709" spans="1:18" x14ac:dyDescent="0.3">
      <c r="A709" s="2">
        <v>43116</v>
      </c>
      <c r="B709" s="1">
        <v>44.047499999999999</v>
      </c>
      <c r="C709" s="1">
        <v>1304.8599999999999</v>
      </c>
      <c r="D709" s="1">
        <v>178.39</v>
      </c>
      <c r="E709" s="1">
        <f t="shared" si="74"/>
        <v>-5.0951197181699319E-3</v>
      </c>
      <c r="F709" s="1">
        <f t="shared" si="75"/>
        <v>-2.6053041073632736E-4</v>
      </c>
      <c r="G709" s="1">
        <f t="shared" si="76"/>
        <v>-5.4785467977466439E-3</v>
      </c>
      <c r="P709" s="39">
        <f t="shared" si="77"/>
        <v>538.36235069163422</v>
      </c>
      <c r="Q709" s="26">
        <f t="shared" si="78"/>
        <v>-0.4310490796343629</v>
      </c>
      <c r="R709" s="26">
        <f t="shared" si="79"/>
        <v>0.4310490796343629</v>
      </c>
    </row>
    <row r="710" spans="1:18" x14ac:dyDescent="0.3">
      <c r="A710" s="2">
        <v>43115</v>
      </c>
      <c r="B710" s="1">
        <v>44.272500000000001</v>
      </c>
      <c r="C710" s="1">
        <v>1305.2</v>
      </c>
      <c r="D710" s="1">
        <v>179.37</v>
      </c>
      <c r="E710" s="1">
        <f t="shared" ref="E710:E773" si="80">LN(B710/B711)</f>
        <v>0</v>
      </c>
      <c r="F710" s="1">
        <f t="shared" ref="F710:F773" si="81">LN(C710/C711)</f>
        <v>0</v>
      </c>
      <c r="G710" s="1">
        <f t="shared" ref="G710:G773" si="82">LN(D710/D711)</f>
        <v>0</v>
      </c>
      <c r="P710" s="39">
        <f t="shared" ref="P710:P773" si="83">B710*$J$13+C710*$J$14+D710*$J$15</f>
        <v>538.79339977126858</v>
      </c>
      <c r="Q710" s="26">
        <f t="shared" ref="Q710:Q773" si="84">P710-P711</f>
        <v>0</v>
      </c>
      <c r="R710" s="26">
        <f t="shared" ref="R710:R773" si="85">-Q710</f>
        <v>0</v>
      </c>
    </row>
    <row r="711" spans="1:18" x14ac:dyDescent="0.3">
      <c r="A711" s="2">
        <v>43112</v>
      </c>
      <c r="B711" s="1">
        <v>44.272500000000001</v>
      </c>
      <c r="C711" s="1">
        <v>1305.2</v>
      </c>
      <c r="D711" s="1">
        <v>179.37</v>
      </c>
      <c r="E711" s="1">
        <f t="shared" si="80"/>
        <v>1.0273382633496518E-2</v>
      </c>
      <c r="F711" s="1">
        <f t="shared" si="81"/>
        <v>2.2093327402890661E-2</v>
      </c>
      <c r="G711" s="1">
        <f t="shared" si="82"/>
        <v>-4.5767098043797111E-2</v>
      </c>
      <c r="P711" s="39">
        <f t="shared" si="83"/>
        <v>538.79339977126858</v>
      </c>
      <c r="Q711" s="26">
        <f t="shared" si="84"/>
        <v>8.8901047347720805</v>
      </c>
      <c r="R711" s="26">
        <f t="shared" si="85"/>
        <v>-8.8901047347720805</v>
      </c>
    </row>
    <row r="712" spans="1:18" x14ac:dyDescent="0.3">
      <c r="A712" s="2">
        <v>43111</v>
      </c>
      <c r="B712" s="1">
        <v>43.82</v>
      </c>
      <c r="C712" s="1">
        <v>1276.68</v>
      </c>
      <c r="D712" s="1">
        <v>187.77</v>
      </c>
      <c r="E712" s="1">
        <f t="shared" si="80"/>
        <v>5.6641167536208006E-3</v>
      </c>
      <c r="F712" s="1">
        <f t="shared" si="81"/>
        <v>1.7661392848637474E-2</v>
      </c>
      <c r="G712" s="1">
        <f t="shared" si="82"/>
        <v>-3.7272703501177332E-4</v>
      </c>
      <c r="P712" s="39">
        <f t="shared" si="83"/>
        <v>529.9032950364965</v>
      </c>
      <c r="Q712" s="26">
        <f t="shared" si="84"/>
        <v>8.3338397357908889</v>
      </c>
      <c r="R712" s="26">
        <f t="shared" si="85"/>
        <v>-8.3338397357908889</v>
      </c>
    </row>
    <row r="713" spans="1:18" x14ac:dyDescent="0.3">
      <c r="A713" s="2">
        <v>43110</v>
      </c>
      <c r="B713" s="1">
        <v>43.572499999999998</v>
      </c>
      <c r="C713" s="1">
        <v>1254.33</v>
      </c>
      <c r="D713" s="1">
        <v>187.84</v>
      </c>
      <c r="E713" s="1">
        <f t="shared" si="80"/>
        <v>-2.2947622153374797E-4</v>
      </c>
      <c r="F713" s="1">
        <f t="shared" si="81"/>
        <v>1.3003436174912053E-3</v>
      </c>
      <c r="G713" s="1">
        <f t="shared" si="82"/>
        <v>-1.5969763947597235E-4</v>
      </c>
      <c r="P713" s="39">
        <f t="shared" si="83"/>
        <v>521.56945530070561</v>
      </c>
      <c r="Q713" s="26">
        <f t="shared" si="84"/>
        <v>0.59077554890677675</v>
      </c>
      <c r="R713" s="26">
        <f t="shared" si="85"/>
        <v>-0.59077554890677675</v>
      </c>
    </row>
    <row r="714" spans="1:18" x14ac:dyDescent="0.3">
      <c r="A714" s="2">
        <v>43109</v>
      </c>
      <c r="B714" s="1">
        <v>43.582500000000003</v>
      </c>
      <c r="C714" s="1">
        <v>1252.7</v>
      </c>
      <c r="D714" s="1">
        <v>187.87</v>
      </c>
      <c r="E714" s="1">
        <f t="shared" si="80"/>
        <v>-1.1471836653621983E-4</v>
      </c>
      <c r="F714" s="1">
        <f t="shared" si="81"/>
        <v>4.6648108050209424E-3</v>
      </c>
      <c r="G714" s="1">
        <f t="shared" si="82"/>
        <v>-2.1799822537338807E-3</v>
      </c>
      <c r="P714" s="39">
        <f t="shared" si="83"/>
        <v>520.97867975179884</v>
      </c>
      <c r="Q714" s="26">
        <f t="shared" si="84"/>
        <v>2.060167974714318</v>
      </c>
      <c r="R714" s="26">
        <f t="shared" si="85"/>
        <v>-2.060167974714318</v>
      </c>
    </row>
    <row r="715" spans="1:18" x14ac:dyDescent="0.3">
      <c r="A715" s="2">
        <v>43108</v>
      </c>
      <c r="B715" s="1">
        <v>43.587499999999999</v>
      </c>
      <c r="C715" s="1">
        <v>1246.8699999999999</v>
      </c>
      <c r="D715" s="1">
        <v>188.28</v>
      </c>
      <c r="E715" s="1">
        <f t="shared" si="80"/>
        <v>-3.7212008018539565E-3</v>
      </c>
      <c r="F715" s="1">
        <f t="shared" si="81"/>
        <v>1.4321673215751963E-2</v>
      </c>
      <c r="G715" s="1">
        <f t="shared" si="82"/>
        <v>7.6240606014486099E-3</v>
      </c>
      <c r="P715" s="39">
        <f t="shared" si="83"/>
        <v>518.91851177708452</v>
      </c>
      <c r="Q715" s="26">
        <f t="shared" si="84"/>
        <v>6.7843986509427623</v>
      </c>
      <c r="R715" s="26">
        <f t="shared" si="85"/>
        <v>-6.7843986509427623</v>
      </c>
    </row>
    <row r="716" spans="1:18" x14ac:dyDescent="0.3">
      <c r="A716" s="2">
        <v>43105</v>
      </c>
      <c r="B716" s="1">
        <v>43.75</v>
      </c>
      <c r="C716" s="1">
        <v>1229.1400000000001</v>
      </c>
      <c r="D716" s="1">
        <v>186.85</v>
      </c>
      <c r="E716" s="1">
        <f t="shared" si="80"/>
        <v>1.1320984054957106E-2</v>
      </c>
      <c r="F716" s="1">
        <f t="shared" si="81"/>
        <v>1.6033278634045491E-2</v>
      </c>
      <c r="G716" s="1">
        <f t="shared" si="82"/>
        <v>1.3578526423410566E-2</v>
      </c>
      <c r="P716" s="39">
        <f t="shared" si="83"/>
        <v>512.13411312614176</v>
      </c>
      <c r="Q716" s="26">
        <f t="shared" si="84"/>
        <v>7.9635177267689414</v>
      </c>
      <c r="R716" s="26">
        <f t="shared" si="85"/>
        <v>-7.9635177267689414</v>
      </c>
    </row>
    <row r="717" spans="1:18" x14ac:dyDescent="0.3">
      <c r="A717" s="2">
        <v>43104</v>
      </c>
      <c r="B717" s="1">
        <v>43.2575</v>
      </c>
      <c r="C717" s="1">
        <v>1209.5899999999999</v>
      </c>
      <c r="D717" s="1">
        <v>184.33</v>
      </c>
      <c r="E717" s="1">
        <f t="shared" si="80"/>
        <v>4.6341970209020132E-3</v>
      </c>
      <c r="F717" s="1">
        <f t="shared" si="81"/>
        <v>4.466013164980371E-3</v>
      </c>
      <c r="G717" s="1">
        <f t="shared" si="82"/>
        <v>-1.8428189496988729E-3</v>
      </c>
      <c r="P717" s="39">
        <f t="shared" si="83"/>
        <v>504.17059539937281</v>
      </c>
      <c r="Q717" s="26">
        <f t="shared" si="84"/>
        <v>1.9979265947139879</v>
      </c>
      <c r="R717" s="26">
        <f t="shared" si="85"/>
        <v>-1.9979265947139879</v>
      </c>
    </row>
    <row r="718" spans="1:18" x14ac:dyDescent="0.3">
      <c r="A718" s="2">
        <v>43103</v>
      </c>
      <c r="B718" s="1">
        <v>43.057499999999997</v>
      </c>
      <c r="C718" s="1">
        <v>1204.2</v>
      </c>
      <c r="D718" s="1">
        <v>184.67</v>
      </c>
      <c r="E718" s="1">
        <f t="shared" si="80"/>
        <v>-1.7417051337248623E-4</v>
      </c>
      <c r="F718" s="1">
        <f t="shared" si="81"/>
        <v>1.2694417946001181E-2</v>
      </c>
      <c r="G718" s="1">
        <f t="shared" si="82"/>
        <v>1.7755663270983213E-2</v>
      </c>
      <c r="P718" s="39">
        <f t="shared" si="83"/>
        <v>502.17266880465883</v>
      </c>
      <c r="Q718" s="26">
        <f t="shared" si="84"/>
        <v>6.3058517299277241</v>
      </c>
      <c r="R718" s="26">
        <f t="shared" si="85"/>
        <v>-6.3058517299277241</v>
      </c>
    </row>
    <row r="719" spans="1:18" x14ac:dyDescent="0.3">
      <c r="A719" s="2">
        <v>43102</v>
      </c>
      <c r="B719" s="1">
        <v>43.064999999999998</v>
      </c>
      <c r="C719" s="1">
        <v>1189.01</v>
      </c>
      <c r="D719" s="1">
        <v>181.42</v>
      </c>
      <c r="E719" s="1">
        <f t="shared" si="80"/>
        <v>1.7746226941033161E-2</v>
      </c>
      <c r="F719" s="1">
        <f t="shared" si="81"/>
        <v>1.6570373377159386E-2</v>
      </c>
      <c r="G719" s="1">
        <f t="shared" si="82"/>
        <v>2.7720563392839223E-2</v>
      </c>
      <c r="P719" s="39">
        <f t="shared" si="83"/>
        <v>495.8668170747311</v>
      </c>
      <c r="Q719" s="26">
        <f t="shared" si="84"/>
        <v>8.598399862686108</v>
      </c>
      <c r="R719" s="26">
        <f t="shared" si="85"/>
        <v>-8.598399862686108</v>
      </c>
    </row>
    <row r="720" spans="1:18" x14ac:dyDescent="0.3">
      <c r="A720" s="2">
        <v>43101</v>
      </c>
      <c r="B720" s="1">
        <v>42.307499999999997</v>
      </c>
      <c r="C720" s="1">
        <v>1169.47</v>
      </c>
      <c r="D720" s="1">
        <v>176.46</v>
      </c>
      <c r="E720" s="1">
        <f t="shared" si="80"/>
        <v>0</v>
      </c>
      <c r="F720" s="1">
        <f t="shared" si="81"/>
        <v>0</v>
      </c>
      <c r="G720" s="1">
        <f t="shared" si="82"/>
        <v>0</v>
      </c>
      <c r="P720" s="39">
        <f t="shared" si="83"/>
        <v>487.26841721204499</v>
      </c>
      <c r="Q720" s="26">
        <f t="shared" si="84"/>
        <v>0</v>
      </c>
      <c r="R720" s="26">
        <f t="shared" si="85"/>
        <v>0</v>
      </c>
    </row>
    <row r="721" spans="1:18" x14ac:dyDescent="0.3">
      <c r="A721" s="2">
        <v>43098</v>
      </c>
      <c r="B721" s="1">
        <v>42.307499999999997</v>
      </c>
      <c r="C721" s="1">
        <v>1169.47</v>
      </c>
      <c r="D721" s="1">
        <v>176.46</v>
      </c>
      <c r="E721" s="1">
        <f t="shared" si="80"/>
        <v>-1.0872546938713586E-2</v>
      </c>
      <c r="F721" s="1">
        <f t="shared" si="81"/>
        <v>-1.4119959328043252E-2</v>
      </c>
      <c r="G721" s="1">
        <f t="shared" si="82"/>
        <v>-8.2397892682588014E-3</v>
      </c>
      <c r="P721" s="39">
        <f t="shared" si="83"/>
        <v>487.26841721204499</v>
      </c>
      <c r="Q721" s="26">
        <f t="shared" si="84"/>
        <v>-6.6439827914281864</v>
      </c>
      <c r="R721" s="26">
        <f t="shared" si="85"/>
        <v>6.6439827914281864</v>
      </c>
    </row>
    <row r="722" spans="1:18" x14ac:dyDescent="0.3">
      <c r="A722" s="2">
        <v>43097</v>
      </c>
      <c r="B722" s="1">
        <v>42.77</v>
      </c>
      <c r="C722" s="1">
        <v>1186.0999999999999</v>
      </c>
      <c r="D722" s="1">
        <v>177.92</v>
      </c>
      <c r="E722" s="1">
        <f t="shared" si="80"/>
        <v>2.8096483011293425E-3</v>
      </c>
      <c r="F722" s="1">
        <f t="shared" si="81"/>
        <v>3.2427530991424479E-3</v>
      </c>
      <c r="G722" s="1">
        <f t="shared" si="82"/>
        <v>1.6875742318593742E-3</v>
      </c>
      <c r="P722" s="39">
        <f t="shared" si="83"/>
        <v>493.91240000347318</v>
      </c>
      <c r="Q722" s="26">
        <f t="shared" si="84"/>
        <v>1.5315742786215765</v>
      </c>
      <c r="R722" s="26">
        <f t="shared" si="85"/>
        <v>-1.5315742786215765</v>
      </c>
    </row>
    <row r="723" spans="1:18" x14ac:dyDescent="0.3">
      <c r="A723" s="2">
        <v>43096</v>
      </c>
      <c r="B723" s="1">
        <v>42.65</v>
      </c>
      <c r="C723" s="1">
        <v>1182.26</v>
      </c>
      <c r="D723" s="1">
        <v>177.62</v>
      </c>
      <c r="E723" s="1">
        <f t="shared" si="80"/>
        <v>1.7586540479718152E-4</v>
      </c>
      <c r="F723" s="1">
        <f t="shared" si="81"/>
        <v>4.6629617092141494E-3</v>
      </c>
      <c r="G723" s="1">
        <f t="shared" si="82"/>
        <v>9.2192615882385493E-3</v>
      </c>
      <c r="P723" s="39">
        <f t="shared" si="83"/>
        <v>492.3808257248516</v>
      </c>
      <c r="Q723" s="26">
        <f t="shared" si="84"/>
        <v>2.3856796492982539</v>
      </c>
      <c r="R723" s="26">
        <f t="shared" si="85"/>
        <v>-2.3856796492982539</v>
      </c>
    </row>
    <row r="724" spans="1:18" x14ac:dyDescent="0.3">
      <c r="A724" s="2">
        <v>43095</v>
      </c>
      <c r="B724" s="1">
        <v>42.642499999999998</v>
      </c>
      <c r="C724" s="1">
        <v>1176.76</v>
      </c>
      <c r="D724" s="1">
        <v>175.99</v>
      </c>
      <c r="E724" s="1">
        <f t="shared" si="80"/>
        <v>-2.5697345495284404E-2</v>
      </c>
      <c r="F724" s="1">
        <f t="shared" si="81"/>
        <v>7.1638431503917854E-3</v>
      </c>
      <c r="G724" s="1">
        <f t="shared" si="82"/>
        <v>-6.8518629288608912E-3</v>
      </c>
      <c r="P724" s="39">
        <f t="shared" si="83"/>
        <v>489.99514607555335</v>
      </c>
      <c r="Q724" s="26">
        <f t="shared" si="84"/>
        <v>2.3772276377483195</v>
      </c>
      <c r="R724" s="26">
        <f t="shared" si="85"/>
        <v>-2.3772276377483195</v>
      </c>
    </row>
    <row r="725" spans="1:18" x14ac:dyDescent="0.3">
      <c r="A725" s="2">
        <v>43094</v>
      </c>
      <c r="B725" s="1">
        <v>43.752499999999998</v>
      </c>
      <c r="C725" s="1">
        <v>1168.3599999999999</v>
      </c>
      <c r="D725" s="1">
        <v>177.2</v>
      </c>
      <c r="E725" s="1">
        <f t="shared" si="80"/>
        <v>0</v>
      </c>
      <c r="F725" s="1">
        <f t="shared" si="81"/>
        <v>0</v>
      </c>
      <c r="G725" s="1">
        <f t="shared" si="82"/>
        <v>0</v>
      </c>
      <c r="P725" s="39">
        <f t="shared" si="83"/>
        <v>487.61791843780503</v>
      </c>
      <c r="Q725" s="26">
        <f t="shared" si="84"/>
        <v>0</v>
      </c>
      <c r="R725" s="26">
        <f t="shared" si="85"/>
        <v>0</v>
      </c>
    </row>
    <row r="726" spans="1:18" x14ac:dyDescent="0.3">
      <c r="A726" s="2">
        <v>43091</v>
      </c>
      <c r="B726" s="1">
        <v>43.752499999999998</v>
      </c>
      <c r="C726" s="1">
        <v>1168.3599999999999</v>
      </c>
      <c r="D726" s="1">
        <v>177.2</v>
      </c>
      <c r="E726" s="1">
        <f t="shared" si="80"/>
        <v>0</v>
      </c>
      <c r="F726" s="1">
        <f t="shared" si="81"/>
        <v>-5.4628153196701577E-3</v>
      </c>
      <c r="G726" s="1">
        <f t="shared" si="82"/>
        <v>-1.4098409215249571E-3</v>
      </c>
      <c r="P726" s="39">
        <f t="shared" si="83"/>
        <v>487.61791843780503</v>
      </c>
      <c r="Q726" s="26">
        <f t="shared" si="84"/>
        <v>-2.4155820718497694</v>
      </c>
      <c r="R726" s="26">
        <f t="shared" si="85"/>
        <v>2.4155820718497694</v>
      </c>
    </row>
    <row r="727" spans="1:18" x14ac:dyDescent="0.3">
      <c r="A727" s="2">
        <v>43090</v>
      </c>
      <c r="B727" s="1">
        <v>43.752499999999998</v>
      </c>
      <c r="C727" s="1">
        <v>1174.76</v>
      </c>
      <c r="D727" s="1">
        <v>177.45</v>
      </c>
      <c r="E727" s="1">
        <f t="shared" si="80"/>
        <v>3.7783420264058997E-3</v>
      </c>
      <c r="F727" s="1">
        <f t="shared" si="81"/>
        <v>-2.4315811298908589E-3</v>
      </c>
      <c r="G727" s="1">
        <f t="shared" si="82"/>
        <v>-2.4765026446729437E-3</v>
      </c>
      <c r="P727" s="39">
        <f t="shared" si="83"/>
        <v>490.0335005096548</v>
      </c>
      <c r="Q727" s="26">
        <f t="shared" si="84"/>
        <v>-1.0822431794237559</v>
      </c>
      <c r="R727" s="26">
        <f t="shared" si="85"/>
        <v>1.0822431794237559</v>
      </c>
    </row>
    <row r="728" spans="1:18" x14ac:dyDescent="0.3">
      <c r="A728" s="2">
        <v>43089</v>
      </c>
      <c r="B728" s="1">
        <v>43.587499999999999</v>
      </c>
      <c r="C728" s="1">
        <v>1177.6199999999999</v>
      </c>
      <c r="D728" s="1">
        <v>177.89</v>
      </c>
      <c r="E728" s="1">
        <f t="shared" si="80"/>
        <v>-1.0891686135050998E-3</v>
      </c>
      <c r="F728" s="1">
        <f t="shared" si="81"/>
        <v>-8.2537466450136581E-3</v>
      </c>
      <c r="G728" s="1">
        <f t="shared" si="82"/>
        <v>-9.0655349458003322E-3</v>
      </c>
      <c r="P728" s="39">
        <f t="shared" si="83"/>
        <v>491.11574368907856</v>
      </c>
      <c r="Q728" s="26">
        <f t="shared" si="84"/>
        <v>-3.9718948476612468</v>
      </c>
      <c r="R728" s="26">
        <f t="shared" si="85"/>
        <v>3.9718948476612468</v>
      </c>
    </row>
    <row r="729" spans="1:18" x14ac:dyDescent="0.3">
      <c r="A729" s="2">
        <v>43088</v>
      </c>
      <c r="B729" s="1">
        <v>43.634999999999998</v>
      </c>
      <c r="C729" s="1">
        <v>1187.3800000000001</v>
      </c>
      <c r="D729" s="1">
        <v>179.51</v>
      </c>
      <c r="E729" s="1">
        <f t="shared" si="80"/>
        <v>-1.0713574095455545E-2</v>
      </c>
      <c r="F729" s="1">
        <f t="shared" si="81"/>
        <v>-2.6913841541594589E-3</v>
      </c>
      <c r="G729" s="1">
        <f t="shared" si="82"/>
        <v>-7.2711446262416508E-3</v>
      </c>
      <c r="P729" s="39">
        <f t="shared" si="83"/>
        <v>495.0876385367398</v>
      </c>
      <c r="Q729" s="26">
        <f t="shared" si="84"/>
        <v>-1.6593245436975508</v>
      </c>
      <c r="R729" s="26">
        <f t="shared" si="85"/>
        <v>1.6593245436975508</v>
      </c>
    </row>
    <row r="730" spans="1:18" x14ac:dyDescent="0.3">
      <c r="A730" s="2">
        <v>43087</v>
      </c>
      <c r="B730" s="1">
        <v>44.104999999999997</v>
      </c>
      <c r="C730" s="1">
        <v>1190.58</v>
      </c>
      <c r="D730" s="1">
        <v>180.82</v>
      </c>
      <c r="E730" s="1">
        <f t="shared" si="80"/>
        <v>1.3984645274161846E-2</v>
      </c>
      <c r="F730" s="1">
        <f t="shared" si="81"/>
        <v>9.6552241385410506E-3</v>
      </c>
      <c r="G730" s="1">
        <f t="shared" si="82"/>
        <v>3.5457100859264926E-3</v>
      </c>
      <c r="P730" s="39">
        <f t="shared" si="83"/>
        <v>496.74696308043735</v>
      </c>
      <c r="Q730" s="26">
        <f t="shared" si="84"/>
        <v>4.6134755881761862</v>
      </c>
      <c r="R730" s="26">
        <f t="shared" si="85"/>
        <v>-4.6134755881761862</v>
      </c>
    </row>
    <row r="731" spans="1:18" x14ac:dyDescent="0.3">
      <c r="A731" s="2">
        <v>43084</v>
      </c>
      <c r="B731" s="1">
        <v>43.4925</v>
      </c>
      <c r="C731" s="1">
        <v>1179.1400000000001</v>
      </c>
      <c r="D731" s="1">
        <v>180.18</v>
      </c>
      <c r="E731" s="1">
        <f t="shared" si="80"/>
        <v>1.0110141288439746E-2</v>
      </c>
      <c r="F731" s="1">
        <f t="shared" si="81"/>
        <v>4.1471972417419407E-3</v>
      </c>
      <c r="G731" s="1">
        <f t="shared" si="82"/>
        <v>9.9841864601178301E-3</v>
      </c>
      <c r="P731" s="39">
        <f t="shared" si="83"/>
        <v>492.13348749226117</v>
      </c>
      <c r="Q731" s="26">
        <f t="shared" si="84"/>
        <v>2.3697495414897389</v>
      </c>
      <c r="R731" s="26">
        <f t="shared" si="85"/>
        <v>-2.3697495414897389</v>
      </c>
    </row>
    <row r="732" spans="1:18" x14ac:dyDescent="0.3">
      <c r="A732" s="2">
        <v>43083</v>
      </c>
      <c r="B732" s="1">
        <v>43.055</v>
      </c>
      <c r="C732" s="1">
        <v>1174.26</v>
      </c>
      <c r="D732" s="1">
        <v>178.39</v>
      </c>
      <c r="E732" s="1">
        <f t="shared" si="80"/>
        <v>-2.9028419025872184E-4</v>
      </c>
      <c r="F732" s="1">
        <f t="shared" si="81"/>
        <v>8.6641350409289736E-3</v>
      </c>
      <c r="G732" s="1">
        <f t="shared" si="82"/>
        <v>5.0463989408140665E-4</v>
      </c>
      <c r="P732" s="39">
        <f t="shared" si="83"/>
        <v>489.76373795077143</v>
      </c>
      <c r="Q732" s="26">
        <f t="shared" si="84"/>
        <v>3.7519849640640928</v>
      </c>
      <c r="R732" s="26">
        <f t="shared" si="85"/>
        <v>-3.7519849640640928</v>
      </c>
    </row>
    <row r="733" spans="1:18" x14ac:dyDescent="0.3">
      <c r="A733" s="2">
        <v>43082</v>
      </c>
      <c r="B733" s="1">
        <v>43.067500000000003</v>
      </c>
      <c r="C733" s="1">
        <v>1164.1300000000001</v>
      </c>
      <c r="D733" s="1">
        <v>178.3</v>
      </c>
      <c r="E733" s="1">
        <f t="shared" si="80"/>
        <v>3.3142455548481132E-3</v>
      </c>
      <c r="F733" s="1">
        <f t="shared" si="81"/>
        <v>-8.1572726604997006E-4</v>
      </c>
      <c r="G733" s="1">
        <f t="shared" si="82"/>
        <v>7.5438065351247389E-3</v>
      </c>
      <c r="P733" s="39">
        <f t="shared" si="83"/>
        <v>486.01175298670734</v>
      </c>
      <c r="Q733" s="26">
        <f t="shared" si="84"/>
        <v>-1.0863679938779569E-3</v>
      </c>
      <c r="R733" s="26">
        <f t="shared" si="85"/>
        <v>1.0863679938779569E-3</v>
      </c>
    </row>
    <row r="734" spans="1:18" x14ac:dyDescent="0.3">
      <c r="A734" s="2">
        <v>43081</v>
      </c>
      <c r="B734" s="1">
        <v>42.924999999999997</v>
      </c>
      <c r="C734" s="1">
        <v>1165.08</v>
      </c>
      <c r="D734" s="1">
        <v>176.96</v>
      </c>
      <c r="E734" s="1">
        <f t="shared" si="80"/>
        <v>-5.6334905209090005E-3</v>
      </c>
      <c r="F734" s="1">
        <f t="shared" si="81"/>
        <v>-3.2904914008108827E-3</v>
      </c>
      <c r="G734" s="1">
        <f t="shared" si="82"/>
        <v>-1.1685526229645056E-2</v>
      </c>
      <c r="P734" s="39">
        <f t="shared" si="83"/>
        <v>486.01283935470121</v>
      </c>
      <c r="Q734" s="26">
        <f t="shared" si="84"/>
        <v>-1.9680757578872203</v>
      </c>
      <c r="R734" s="26">
        <f t="shared" si="85"/>
        <v>1.9680757578872203</v>
      </c>
    </row>
    <row r="735" spans="1:18" x14ac:dyDescent="0.3">
      <c r="A735" s="2">
        <v>43080</v>
      </c>
      <c r="B735" s="1">
        <v>43.167499999999997</v>
      </c>
      <c r="C735" s="1">
        <v>1168.92</v>
      </c>
      <c r="D735" s="1">
        <v>179.04</v>
      </c>
      <c r="E735" s="1">
        <f t="shared" si="80"/>
        <v>1.9296587521308941E-2</v>
      </c>
      <c r="F735" s="1">
        <f t="shared" si="81"/>
        <v>5.9375871590081463E-3</v>
      </c>
      <c r="G735" s="1">
        <f t="shared" si="82"/>
        <v>2.2343872286002825E-4</v>
      </c>
      <c r="P735" s="39">
        <f t="shared" si="83"/>
        <v>487.98091511258843</v>
      </c>
      <c r="Q735" s="26">
        <f t="shared" si="84"/>
        <v>2.9037494342255172</v>
      </c>
      <c r="R735" s="26">
        <f t="shared" si="85"/>
        <v>-2.9037494342255172</v>
      </c>
    </row>
    <row r="736" spans="1:18" x14ac:dyDescent="0.3">
      <c r="A736" s="2">
        <v>43077</v>
      </c>
      <c r="B736" s="1">
        <v>42.342500000000001</v>
      </c>
      <c r="C736" s="1">
        <v>1162</v>
      </c>
      <c r="D736" s="1">
        <v>179</v>
      </c>
      <c r="E736" s="1">
        <f t="shared" si="80"/>
        <v>2.9525525030693627E-4</v>
      </c>
      <c r="F736" s="1">
        <f t="shared" si="81"/>
        <v>1.9037041829248862E-3</v>
      </c>
      <c r="G736" s="1">
        <f t="shared" si="82"/>
        <v>-6.3485205148416986E-3</v>
      </c>
      <c r="P736" s="39">
        <f t="shared" si="83"/>
        <v>485.07716567836292</v>
      </c>
      <c r="Q736" s="26">
        <f t="shared" si="84"/>
        <v>0.57354957987269017</v>
      </c>
      <c r="R736" s="26">
        <f t="shared" si="85"/>
        <v>-0.57354957987269017</v>
      </c>
    </row>
    <row r="737" spans="1:18" x14ac:dyDescent="0.3">
      <c r="A737" s="2">
        <v>43076</v>
      </c>
      <c r="B737" s="1">
        <v>42.33</v>
      </c>
      <c r="C737" s="1">
        <v>1159.79</v>
      </c>
      <c r="D737" s="1">
        <v>180.14</v>
      </c>
      <c r="E737" s="1">
        <f t="shared" si="80"/>
        <v>1.8325308825863187E-3</v>
      </c>
      <c r="F737" s="1">
        <f t="shared" si="81"/>
        <v>6.4356186724323031E-3</v>
      </c>
      <c r="G737" s="1">
        <f t="shared" si="82"/>
        <v>2.2909480322836635E-2</v>
      </c>
      <c r="P737" s="39">
        <f t="shared" si="83"/>
        <v>484.50361609849023</v>
      </c>
      <c r="Q737" s="26">
        <f t="shared" si="84"/>
        <v>3.6614270851669062</v>
      </c>
      <c r="R737" s="26">
        <f t="shared" si="85"/>
        <v>-3.6614270851669062</v>
      </c>
    </row>
    <row r="738" spans="1:18" x14ac:dyDescent="0.3">
      <c r="A738" s="2">
        <v>43075</v>
      </c>
      <c r="B738" s="1">
        <v>42.252499999999998</v>
      </c>
      <c r="C738" s="1">
        <v>1152.3499999999999</v>
      </c>
      <c r="D738" s="1">
        <v>176.06</v>
      </c>
      <c r="E738" s="1">
        <f t="shared" si="80"/>
        <v>-3.7206598362532375E-3</v>
      </c>
      <c r="F738" s="1">
        <f t="shared" si="81"/>
        <v>9.3988276459670145E-3</v>
      </c>
      <c r="G738" s="1">
        <f t="shared" si="82"/>
        <v>1.8516393620358628E-2</v>
      </c>
      <c r="P738" s="39">
        <f t="shared" si="83"/>
        <v>480.84218901332332</v>
      </c>
      <c r="Q738" s="26">
        <f t="shared" si="84"/>
        <v>4.6122147204865769</v>
      </c>
      <c r="R738" s="26">
        <f t="shared" si="85"/>
        <v>-4.6122147204865769</v>
      </c>
    </row>
    <row r="739" spans="1:18" x14ac:dyDescent="0.3">
      <c r="A739" s="2">
        <v>43074</v>
      </c>
      <c r="B739" s="1">
        <v>42.41</v>
      </c>
      <c r="C739" s="1">
        <v>1141.57</v>
      </c>
      <c r="D739" s="1">
        <v>172.83</v>
      </c>
      <c r="E739" s="1">
        <f t="shared" si="80"/>
        <v>-9.42729270857073E-4</v>
      </c>
      <c r="F739" s="1">
        <f t="shared" si="81"/>
        <v>6.697395305661661E-3</v>
      </c>
      <c r="G739" s="1">
        <f t="shared" si="82"/>
        <v>7.9001282216416557E-3</v>
      </c>
      <c r="P739" s="39">
        <f t="shared" si="83"/>
        <v>476.22997429283674</v>
      </c>
      <c r="Q739" s="26">
        <f t="shared" si="84"/>
        <v>3.0897023574837021</v>
      </c>
      <c r="R739" s="26">
        <f t="shared" si="85"/>
        <v>-3.0897023574837021</v>
      </c>
    </row>
    <row r="740" spans="1:18" x14ac:dyDescent="0.3">
      <c r="A740" s="2">
        <v>43073</v>
      </c>
      <c r="B740" s="1">
        <v>42.45</v>
      </c>
      <c r="C740" s="1">
        <v>1133.95</v>
      </c>
      <c r="D740" s="1">
        <v>171.47</v>
      </c>
      <c r="E740" s="1">
        <f t="shared" si="80"/>
        <v>-7.3346375463667207E-3</v>
      </c>
      <c r="F740" s="1">
        <f t="shared" si="81"/>
        <v>-2.4736705273197868E-2</v>
      </c>
      <c r="G740" s="1">
        <f t="shared" si="82"/>
        <v>-2.0948915101046191E-2</v>
      </c>
      <c r="P740" s="39">
        <f t="shared" si="83"/>
        <v>473.14027193535304</v>
      </c>
      <c r="Q740" s="26">
        <f t="shared" si="84"/>
        <v>-11.394869814620506</v>
      </c>
      <c r="R740" s="26">
        <f t="shared" si="85"/>
        <v>11.394869814620506</v>
      </c>
    </row>
    <row r="741" spans="1:18" x14ac:dyDescent="0.3">
      <c r="A741" s="2">
        <v>43070</v>
      </c>
      <c r="B741" s="1">
        <v>42.762500000000003</v>
      </c>
      <c r="C741" s="1">
        <v>1162.3499999999999</v>
      </c>
      <c r="D741" s="1">
        <v>175.1</v>
      </c>
      <c r="E741" s="1">
        <f t="shared" si="80"/>
        <v>-4.666091872229057E-3</v>
      </c>
      <c r="F741" s="1">
        <f t="shared" si="81"/>
        <v>-1.2312583403182831E-2</v>
      </c>
      <c r="G741" s="1">
        <f t="shared" si="82"/>
        <v>-1.1808925692080214E-2</v>
      </c>
      <c r="P741" s="39">
        <f t="shared" si="83"/>
        <v>484.53514174997355</v>
      </c>
      <c r="Q741" s="26">
        <f t="shared" si="84"/>
        <v>-5.8467839154373564</v>
      </c>
      <c r="R741" s="26">
        <f t="shared" si="85"/>
        <v>5.8467839154373564</v>
      </c>
    </row>
    <row r="742" spans="1:18" x14ac:dyDescent="0.3">
      <c r="A742" s="2">
        <v>43069</v>
      </c>
      <c r="B742" s="1">
        <v>42.962499999999999</v>
      </c>
      <c r="C742" s="1">
        <v>1176.75</v>
      </c>
      <c r="D742" s="1">
        <v>177.18</v>
      </c>
      <c r="E742" s="1">
        <f t="shared" si="80"/>
        <v>1.3887077537484522E-2</v>
      </c>
      <c r="F742" s="1">
        <f t="shared" si="81"/>
        <v>1.3242167481277597E-2</v>
      </c>
      <c r="G742" s="1">
        <f t="shared" si="82"/>
        <v>1.163760969931329E-2</v>
      </c>
      <c r="P742" s="39">
        <f t="shared" si="83"/>
        <v>490.3819256654109</v>
      </c>
      <c r="Q742" s="26">
        <f t="shared" si="84"/>
        <v>6.4013895243880938</v>
      </c>
      <c r="R742" s="26">
        <f t="shared" si="85"/>
        <v>-6.4013895243880938</v>
      </c>
    </row>
    <row r="743" spans="1:18" x14ac:dyDescent="0.3">
      <c r="A743" s="2">
        <v>43068</v>
      </c>
      <c r="B743" s="1">
        <v>42.37</v>
      </c>
      <c r="C743" s="1">
        <v>1161.27</v>
      </c>
      <c r="D743" s="1">
        <v>175.13</v>
      </c>
      <c r="E743" s="1">
        <f t="shared" si="80"/>
        <v>-2.0961211178549322E-2</v>
      </c>
      <c r="F743" s="1">
        <f t="shared" si="81"/>
        <v>-2.7459716649522316E-2</v>
      </c>
      <c r="G743" s="1">
        <f t="shared" si="82"/>
        <v>-4.0783165467439216E-2</v>
      </c>
      <c r="P743" s="39">
        <f t="shared" si="83"/>
        <v>483.98053614102281</v>
      </c>
      <c r="Q743" s="26">
        <f t="shared" si="84"/>
        <v>-13.880461969329247</v>
      </c>
      <c r="R743" s="26">
        <f t="shared" si="85"/>
        <v>13.880461969329247</v>
      </c>
    </row>
    <row r="744" spans="1:18" x14ac:dyDescent="0.3">
      <c r="A744" s="2">
        <v>43067</v>
      </c>
      <c r="B744" s="1">
        <v>43.267499999999998</v>
      </c>
      <c r="C744" s="1">
        <v>1193.5999999999999</v>
      </c>
      <c r="D744" s="1">
        <v>182.42</v>
      </c>
      <c r="E744" s="1">
        <f t="shared" si="80"/>
        <v>-5.8762699337189415E-3</v>
      </c>
      <c r="F744" s="1">
        <f t="shared" si="81"/>
        <v>-1.8665544899395586E-3</v>
      </c>
      <c r="G744" s="1">
        <f t="shared" si="82"/>
        <v>-3.3383530798585166E-3</v>
      </c>
      <c r="P744" s="39">
        <f t="shared" si="83"/>
        <v>497.86099811035206</v>
      </c>
      <c r="Q744" s="26">
        <f t="shared" si="84"/>
        <v>-1.0606473126869105</v>
      </c>
      <c r="R744" s="26">
        <f t="shared" si="85"/>
        <v>1.0606473126869105</v>
      </c>
    </row>
    <row r="745" spans="1:18" x14ac:dyDescent="0.3">
      <c r="A745" s="2">
        <v>43066</v>
      </c>
      <c r="B745" s="1">
        <v>43.522500000000001</v>
      </c>
      <c r="C745" s="1">
        <v>1195.83</v>
      </c>
      <c r="D745" s="1">
        <v>183.03</v>
      </c>
      <c r="E745" s="1">
        <f t="shared" si="80"/>
        <v>-5.0421237859018418E-3</v>
      </c>
      <c r="F745" s="1">
        <f t="shared" si="81"/>
        <v>8.2542043817650738E-3</v>
      </c>
      <c r="G745" s="1">
        <f t="shared" si="82"/>
        <v>1.3668299878152664E-3</v>
      </c>
      <c r="P745" s="39">
        <f t="shared" si="83"/>
        <v>498.92164542303897</v>
      </c>
      <c r="Q745" s="26">
        <f t="shared" si="84"/>
        <v>3.5899969757253984</v>
      </c>
      <c r="R745" s="26">
        <f t="shared" si="85"/>
        <v>-3.5899969757253984</v>
      </c>
    </row>
    <row r="746" spans="1:18" x14ac:dyDescent="0.3">
      <c r="A746" s="2">
        <v>43063</v>
      </c>
      <c r="B746" s="1">
        <v>43.7425</v>
      </c>
      <c r="C746" s="1">
        <v>1186</v>
      </c>
      <c r="D746" s="1">
        <v>182.78</v>
      </c>
      <c r="E746" s="1">
        <f t="shared" si="80"/>
        <v>5.7154288015921329E-5</v>
      </c>
      <c r="F746" s="1">
        <f t="shared" si="81"/>
        <v>2.5482131598395377E-2</v>
      </c>
      <c r="G746" s="1">
        <f t="shared" si="82"/>
        <v>1.0504702674631777E-2</v>
      </c>
      <c r="P746" s="39">
        <f t="shared" si="83"/>
        <v>495.33164844731357</v>
      </c>
      <c r="Q746" s="26">
        <f t="shared" si="84"/>
        <v>11.425002241294635</v>
      </c>
      <c r="R746" s="26">
        <f t="shared" si="85"/>
        <v>-11.425002241294635</v>
      </c>
    </row>
    <row r="747" spans="1:18" x14ac:dyDescent="0.3">
      <c r="A747" s="2">
        <v>43062</v>
      </c>
      <c r="B747" s="1">
        <v>43.74</v>
      </c>
      <c r="C747" s="1">
        <v>1156.1600000000001</v>
      </c>
      <c r="D747" s="1">
        <v>180.87</v>
      </c>
      <c r="E747" s="1">
        <f t="shared" si="80"/>
        <v>0</v>
      </c>
      <c r="F747" s="1">
        <f t="shared" si="81"/>
        <v>0</v>
      </c>
      <c r="G747" s="1">
        <f t="shared" si="82"/>
        <v>0</v>
      </c>
      <c r="P747" s="39">
        <f t="shared" si="83"/>
        <v>483.90664620601893</v>
      </c>
      <c r="Q747" s="26">
        <f t="shared" si="84"/>
        <v>0</v>
      </c>
      <c r="R747" s="26">
        <f t="shared" si="85"/>
        <v>0</v>
      </c>
    </row>
    <row r="748" spans="1:18" x14ac:dyDescent="0.3">
      <c r="A748" s="2">
        <v>43061</v>
      </c>
      <c r="B748" s="1">
        <v>43.74</v>
      </c>
      <c r="C748" s="1">
        <v>1156.1600000000001</v>
      </c>
      <c r="D748" s="1">
        <v>180.87</v>
      </c>
      <c r="E748" s="1">
        <f t="shared" si="80"/>
        <v>1.0456860580884804E-2</v>
      </c>
      <c r="F748" s="1">
        <f t="shared" si="81"/>
        <v>1.4523375090894301E-2</v>
      </c>
      <c r="G748" s="1">
        <f t="shared" si="82"/>
        <v>-5.4586191283429383E-3</v>
      </c>
      <c r="P748" s="39">
        <f t="shared" si="83"/>
        <v>483.90664620601893</v>
      </c>
      <c r="Q748" s="26">
        <f t="shared" si="84"/>
        <v>6.1246896462858444</v>
      </c>
      <c r="R748" s="26">
        <f t="shared" si="85"/>
        <v>-6.1246896462858444</v>
      </c>
    </row>
    <row r="749" spans="1:18" x14ac:dyDescent="0.3">
      <c r="A749" s="2">
        <v>43060</v>
      </c>
      <c r="B749" s="1">
        <v>43.284999999999997</v>
      </c>
      <c r="C749" s="1">
        <v>1139.49</v>
      </c>
      <c r="D749" s="1">
        <v>181.86</v>
      </c>
      <c r="E749" s="1">
        <f t="shared" si="80"/>
        <v>1.8419732717147565E-2</v>
      </c>
      <c r="F749" s="1">
        <f t="shared" si="81"/>
        <v>1.1633991225005472E-2</v>
      </c>
      <c r="G749" s="1">
        <f t="shared" si="82"/>
        <v>1.7304924344520918E-2</v>
      </c>
      <c r="P749" s="39">
        <f t="shared" si="83"/>
        <v>477.78195655973309</v>
      </c>
      <c r="Q749" s="26">
        <f t="shared" si="84"/>
        <v>5.866469754270895</v>
      </c>
      <c r="R749" s="26">
        <f t="shared" si="85"/>
        <v>-5.866469754270895</v>
      </c>
    </row>
    <row r="750" spans="1:18" x14ac:dyDescent="0.3">
      <c r="A750" s="2">
        <v>43059</v>
      </c>
      <c r="B750" s="1">
        <v>42.494999999999997</v>
      </c>
      <c r="C750" s="1">
        <v>1126.31</v>
      </c>
      <c r="D750" s="1">
        <v>178.74</v>
      </c>
      <c r="E750" s="1">
        <f t="shared" si="80"/>
        <v>-9.9961787643464812E-4</v>
      </c>
      <c r="F750" s="1">
        <f t="shared" si="81"/>
        <v>-3.1646297336899161E-3</v>
      </c>
      <c r="G750" s="1">
        <f t="shared" si="82"/>
        <v>-1.4535698875090171E-3</v>
      </c>
      <c r="P750" s="39">
        <f t="shared" si="83"/>
        <v>471.91548680546219</v>
      </c>
      <c r="Q750" s="26">
        <f t="shared" si="84"/>
        <v>-1.3911743741854252</v>
      </c>
      <c r="R750" s="26">
        <f t="shared" si="85"/>
        <v>1.3911743741854252</v>
      </c>
    </row>
    <row r="751" spans="1:18" x14ac:dyDescent="0.3">
      <c r="A751" s="2">
        <v>43056</v>
      </c>
      <c r="B751" s="1">
        <v>42.537500000000001</v>
      </c>
      <c r="C751" s="1">
        <v>1129.8800000000001</v>
      </c>
      <c r="D751" s="1">
        <v>179</v>
      </c>
      <c r="E751" s="1">
        <f t="shared" si="80"/>
        <v>-5.5677799512330178E-3</v>
      </c>
      <c r="F751" s="1">
        <f t="shared" si="81"/>
        <v>-6.5368070199066904E-3</v>
      </c>
      <c r="G751" s="1">
        <f t="shared" si="82"/>
        <v>-3.2906691898900776E-3</v>
      </c>
      <c r="P751" s="39">
        <f t="shared" si="83"/>
        <v>473.30666117964762</v>
      </c>
      <c r="Q751" s="26">
        <f t="shared" si="84"/>
        <v>-2.9603239065853586</v>
      </c>
      <c r="R751" s="26">
        <f t="shared" si="85"/>
        <v>2.9603239065853586</v>
      </c>
    </row>
    <row r="752" spans="1:18" x14ac:dyDescent="0.3">
      <c r="A752" s="2">
        <v>43055</v>
      </c>
      <c r="B752" s="1">
        <v>42.774999999999999</v>
      </c>
      <c r="C752" s="1">
        <v>1137.29</v>
      </c>
      <c r="D752" s="1">
        <v>179.59</v>
      </c>
      <c r="E752" s="1">
        <f t="shared" si="80"/>
        <v>1.1876205199558535E-2</v>
      </c>
      <c r="F752" s="1">
        <f t="shared" si="81"/>
        <v>9.364108743296096E-3</v>
      </c>
      <c r="G752" s="1">
        <f t="shared" si="82"/>
        <v>9.1738630744434523E-3</v>
      </c>
      <c r="P752" s="39">
        <f t="shared" si="83"/>
        <v>476.26698508623298</v>
      </c>
      <c r="Q752" s="26">
        <f t="shared" si="84"/>
        <v>4.4757141136473706</v>
      </c>
      <c r="R752" s="26">
        <f t="shared" si="85"/>
        <v>-4.4757141136473706</v>
      </c>
    </row>
    <row r="753" spans="1:18" x14ac:dyDescent="0.3">
      <c r="A753" s="2">
        <v>43054</v>
      </c>
      <c r="B753" s="1">
        <v>42.27</v>
      </c>
      <c r="C753" s="1">
        <v>1126.69</v>
      </c>
      <c r="D753" s="1">
        <v>177.95</v>
      </c>
      <c r="E753" s="1">
        <f t="shared" si="80"/>
        <v>-1.3277910837308645E-2</v>
      </c>
      <c r="F753" s="1">
        <f t="shared" si="81"/>
        <v>-8.96835299857319E-3</v>
      </c>
      <c r="G753" s="1">
        <f t="shared" si="82"/>
        <v>-6.7411945702135624E-4</v>
      </c>
      <c r="P753" s="39">
        <f t="shared" si="83"/>
        <v>471.79127097258561</v>
      </c>
      <c r="Q753" s="26">
        <f t="shared" si="84"/>
        <v>-4.0051346830704233</v>
      </c>
      <c r="R753" s="26">
        <f t="shared" si="85"/>
        <v>4.0051346830704233</v>
      </c>
    </row>
    <row r="754" spans="1:18" x14ac:dyDescent="0.3">
      <c r="A754" s="2">
        <v>43053</v>
      </c>
      <c r="B754" s="1">
        <v>42.835000000000001</v>
      </c>
      <c r="C754" s="1">
        <v>1136.8399999999999</v>
      </c>
      <c r="D754" s="1">
        <v>178.07</v>
      </c>
      <c r="E754" s="1">
        <f t="shared" si="80"/>
        <v>-1.5232984020560969E-2</v>
      </c>
      <c r="F754" s="1">
        <f t="shared" si="81"/>
        <v>6.7696341072394969E-3</v>
      </c>
      <c r="G754" s="1">
        <f t="shared" si="82"/>
        <v>-3.9233320137742993E-3</v>
      </c>
      <c r="P754" s="39">
        <f t="shared" si="83"/>
        <v>475.79640565565603</v>
      </c>
      <c r="Q754" s="26">
        <f t="shared" si="84"/>
        <v>2.4058822840920016</v>
      </c>
      <c r="R754" s="26">
        <f t="shared" si="85"/>
        <v>-2.4058822840920016</v>
      </c>
    </row>
    <row r="755" spans="1:18" x14ac:dyDescent="0.3">
      <c r="A755" s="2">
        <v>43052</v>
      </c>
      <c r="B755" s="1">
        <v>43.4925</v>
      </c>
      <c r="C755" s="1">
        <v>1129.17</v>
      </c>
      <c r="D755" s="1">
        <v>178.77</v>
      </c>
      <c r="E755" s="1">
        <f t="shared" si="80"/>
        <v>-4.0156088838425369E-3</v>
      </c>
      <c r="F755" s="1">
        <f t="shared" si="81"/>
        <v>3.3887511804048384E-3</v>
      </c>
      <c r="G755" s="1">
        <f t="shared" si="82"/>
        <v>1.7355769549918037E-3</v>
      </c>
      <c r="P755" s="39">
        <f t="shared" si="83"/>
        <v>473.39052337156403</v>
      </c>
      <c r="Q755" s="26">
        <f t="shared" si="84"/>
        <v>1.4041380356025002</v>
      </c>
      <c r="R755" s="26">
        <f t="shared" si="85"/>
        <v>-1.4041380356025002</v>
      </c>
    </row>
    <row r="756" spans="1:18" x14ac:dyDescent="0.3">
      <c r="A756" s="2">
        <v>43049</v>
      </c>
      <c r="B756" s="1">
        <v>43.667499999999997</v>
      </c>
      <c r="C756" s="1">
        <v>1125.3499999999999</v>
      </c>
      <c r="D756" s="1">
        <v>178.46</v>
      </c>
      <c r="E756" s="1">
        <f t="shared" si="80"/>
        <v>-6.9034648723079357E-3</v>
      </c>
      <c r="F756" s="1">
        <f t="shared" si="81"/>
        <v>-3.3533263032811604E-3</v>
      </c>
      <c r="G756" s="1">
        <f t="shared" si="82"/>
        <v>-4.6958941390817946E-3</v>
      </c>
      <c r="P756" s="39">
        <f t="shared" si="83"/>
        <v>471.98638533596153</v>
      </c>
      <c r="Q756" s="26">
        <f t="shared" si="84"/>
        <v>-1.7020737621269291</v>
      </c>
      <c r="R756" s="26">
        <f t="shared" si="85"/>
        <v>1.7020737621269291</v>
      </c>
    </row>
    <row r="757" spans="1:18" x14ac:dyDescent="0.3">
      <c r="A757" s="2">
        <v>43048</v>
      </c>
      <c r="B757" s="1">
        <v>43.97</v>
      </c>
      <c r="C757" s="1">
        <v>1129.1300000000001</v>
      </c>
      <c r="D757" s="1">
        <v>179.3</v>
      </c>
      <c r="E757" s="1">
        <f t="shared" si="80"/>
        <v>-2.0447581814783686E-3</v>
      </c>
      <c r="F757" s="1">
        <f t="shared" si="81"/>
        <v>-3.3156382469173018E-3</v>
      </c>
      <c r="G757" s="1">
        <f t="shared" si="82"/>
        <v>-1.4490333026441686E-3</v>
      </c>
      <c r="P757" s="39">
        <f t="shared" si="83"/>
        <v>473.68845909808846</v>
      </c>
      <c r="Q757" s="26">
        <f t="shared" si="84"/>
        <v>-1.4772689950376048</v>
      </c>
      <c r="R757" s="26">
        <f t="shared" si="85"/>
        <v>1.4772689950376048</v>
      </c>
    </row>
    <row r="758" spans="1:18" x14ac:dyDescent="0.3">
      <c r="A758" s="2">
        <v>43047</v>
      </c>
      <c r="B758" s="1">
        <v>44.06</v>
      </c>
      <c r="C758" s="1">
        <v>1132.8800000000001</v>
      </c>
      <c r="D758" s="1">
        <v>179.56</v>
      </c>
      <c r="E758" s="1">
        <f t="shared" si="80"/>
        <v>8.1470326709951035E-3</v>
      </c>
      <c r="F758" s="1">
        <f t="shared" si="81"/>
        <v>8.6080184016684887E-3</v>
      </c>
      <c r="G758" s="1">
        <f t="shared" si="82"/>
        <v>-3.8353622513270539E-3</v>
      </c>
      <c r="P758" s="39">
        <f t="shared" si="83"/>
        <v>475.16572809312606</v>
      </c>
      <c r="Q758" s="26">
        <f t="shared" si="84"/>
        <v>3.5812802889727209</v>
      </c>
      <c r="R758" s="26">
        <f t="shared" si="85"/>
        <v>-3.5812802889727209</v>
      </c>
    </row>
    <row r="759" spans="1:18" x14ac:dyDescent="0.3">
      <c r="A759" s="2">
        <v>43046</v>
      </c>
      <c r="B759" s="1">
        <v>43.702500000000001</v>
      </c>
      <c r="C759" s="1">
        <v>1123.17</v>
      </c>
      <c r="D759" s="1">
        <v>180.25</v>
      </c>
      <c r="E759" s="1">
        <f t="shared" si="80"/>
        <v>3.208620182459215E-3</v>
      </c>
      <c r="F759" s="1">
        <f t="shared" si="81"/>
        <v>2.2372470703543048E-3</v>
      </c>
      <c r="G759" s="1">
        <f t="shared" si="82"/>
        <v>4.4392653744981916E-4</v>
      </c>
      <c r="P759" s="39">
        <f t="shared" si="83"/>
        <v>471.58444780415334</v>
      </c>
      <c r="Q759" s="26">
        <f t="shared" si="84"/>
        <v>1.0014547171804793</v>
      </c>
      <c r="R759" s="26">
        <f t="shared" si="85"/>
        <v>-1.0014547171804793</v>
      </c>
    </row>
    <row r="760" spans="1:18" x14ac:dyDescent="0.3">
      <c r="A760" s="2">
        <v>43045</v>
      </c>
      <c r="B760" s="1">
        <v>43.5625</v>
      </c>
      <c r="C760" s="1">
        <v>1120.6600000000001</v>
      </c>
      <c r="D760" s="1">
        <v>180.17</v>
      </c>
      <c r="E760" s="1">
        <f t="shared" si="80"/>
        <v>1.0093813169218906E-2</v>
      </c>
      <c r="F760" s="1">
        <f t="shared" si="81"/>
        <v>8.1173785744320884E-3</v>
      </c>
      <c r="G760" s="1">
        <f t="shared" si="82"/>
        <v>6.9620710629613768E-3</v>
      </c>
      <c r="P760" s="39">
        <f t="shared" si="83"/>
        <v>470.58299308697286</v>
      </c>
      <c r="Q760" s="26">
        <f t="shared" si="84"/>
        <v>3.7950170582291776</v>
      </c>
      <c r="R760" s="26">
        <f t="shared" si="85"/>
        <v>-3.7950170582291776</v>
      </c>
    </row>
    <row r="761" spans="1:18" x14ac:dyDescent="0.3">
      <c r="A761" s="2">
        <v>43042</v>
      </c>
      <c r="B761" s="1">
        <v>43.125</v>
      </c>
      <c r="C761" s="1">
        <v>1111.5999999999999</v>
      </c>
      <c r="D761" s="1">
        <v>178.92</v>
      </c>
      <c r="E761" s="1">
        <f t="shared" si="80"/>
        <v>2.5778709426447093E-2</v>
      </c>
      <c r="F761" s="1">
        <f t="shared" si="81"/>
        <v>1.5758638211552732E-2</v>
      </c>
      <c r="G761" s="1">
        <f t="shared" si="82"/>
        <v>0</v>
      </c>
      <c r="P761" s="39">
        <f t="shared" si="83"/>
        <v>466.78797602874369</v>
      </c>
      <c r="Q761" s="26">
        <f t="shared" si="84"/>
        <v>6.8674025183366325</v>
      </c>
      <c r="R761" s="26">
        <f t="shared" si="85"/>
        <v>-6.8674025183366325</v>
      </c>
    </row>
    <row r="762" spans="1:18" x14ac:dyDescent="0.3">
      <c r="A762" s="2">
        <v>43041</v>
      </c>
      <c r="B762" s="1">
        <v>42.027500000000003</v>
      </c>
      <c r="C762" s="1">
        <v>1094.22</v>
      </c>
      <c r="D762" s="1">
        <v>178.92</v>
      </c>
      <c r="E762" s="1">
        <f t="shared" si="80"/>
        <v>7.2836142896558582E-3</v>
      </c>
      <c r="F762" s="1">
        <f t="shared" si="81"/>
        <v>-8.6082700916803503E-3</v>
      </c>
      <c r="G762" s="1">
        <f t="shared" si="82"/>
        <v>-2.0687722698885559E-2</v>
      </c>
      <c r="P762" s="39">
        <f t="shared" si="83"/>
        <v>459.92057351040705</v>
      </c>
      <c r="Q762" s="26">
        <f t="shared" si="84"/>
        <v>-4.1745862928244719</v>
      </c>
      <c r="R762" s="26">
        <f t="shared" si="85"/>
        <v>4.1745862928244719</v>
      </c>
    </row>
    <row r="763" spans="1:18" x14ac:dyDescent="0.3">
      <c r="A763" s="2">
        <v>43040</v>
      </c>
      <c r="B763" s="1">
        <v>41.722499999999997</v>
      </c>
      <c r="C763" s="1">
        <v>1103.68</v>
      </c>
      <c r="D763" s="1">
        <v>182.66</v>
      </c>
      <c r="E763" s="1">
        <f t="shared" si="80"/>
        <v>-1.2800460552489778E-2</v>
      </c>
      <c r="F763" s="1">
        <f t="shared" si="81"/>
        <v>-1.4486457697829532E-3</v>
      </c>
      <c r="G763" s="1">
        <f t="shared" si="82"/>
        <v>1.4336372583202165E-2</v>
      </c>
      <c r="P763" s="39">
        <f t="shared" si="83"/>
        <v>464.09515980323152</v>
      </c>
      <c r="Q763" s="26">
        <f t="shared" si="84"/>
        <v>-0.24959590250927022</v>
      </c>
      <c r="R763" s="26">
        <f t="shared" si="85"/>
        <v>0.24959590250927022</v>
      </c>
    </row>
    <row r="764" spans="1:18" x14ac:dyDescent="0.3">
      <c r="A764" s="2">
        <v>43039</v>
      </c>
      <c r="B764" s="1">
        <v>42.26</v>
      </c>
      <c r="C764" s="1">
        <v>1105.28</v>
      </c>
      <c r="D764" s="1">
        <v>180.06</v>
      </c>
      <c r="E764" s="1">
        <f t="shared" si="80"/>
        <v>1.3819614742799051E-2</v>
      </c>
      <c r="F764" s="1">
        <f t="shared" si="81"/>
        <v>-5.0267915048775253E-3</v>
      </c>
      <c r="G764" s="1">
        <f t="shared" si="82"/>
        <v>1.0557609404512891E-3</v>
      </c>
      <c r="P764" s="39">
        <f t="shared" si="83"/>
        <v>464.34475570574079</v>
      </c>
      <c r="Q764" s="26">
        <f t="shared" si="84"/>
        <v>-1.7736794133186322</v>
      </c>
      <c r="R764" s="26">
        <f t="shared" si="85"/>
        <v>1.7736794133186322</v>
      </c>
    </row>
    <row r="765" spans="1:18" x14ac:dyDescent="0.3">
      <c r="A765" s="2">
        <v>43038</v>
      </c>
      <c r="B765" s="1">
        <v>41.68</v>
      </c>
      <c r="C765" s="1">
        <v>1110.8499999999999</v>
      </c>
      <c r="D765" s="1">
        <v>179.87</v>
      </c>
      <c r="E765" s="1">
        <f t="shared" si="80"/>
        <v>2.2258856329673924E-2</v>
      </c>
      <c r="F765" s="1">
        <f t="shared" si="81"/>
        <v>8.9520445923419439E-3</v>
      </c>
      <c r="G765" s="1">
        <f t="shared" si="82"/>
        <v>1.1125202097383654E-2</v>
      </c>
      <c r="P765" s="39">
        <f t="shared" si="83"/>
        <v>466.11843511905943</v>
      </c>
      <c r="Q765" s="26">
        <f t="shared" si="84"/>
        <v>4.4641911704498511</v>
      </c>
      <c r="R765" s="26">
        <f t="shared" si="85"/>
        <v>-4.4641911704498511</v>
      </c>
    </row>
    <row r="766" spans="1:18" x14ac:dyDescent="0.3">
      <c r="A766" s="2">
        <v>43035</v>
      </c>
      <c r="B766" s="1">
        <v>40.762500000000003</v>
      </c>
      <c r="C766" s="1">
        <v>1100.95</v>
      </c>
      <c r="D766" s="1">
        <v>177.88</v>
      </c>
      <c r="E766" s="1">
        <f t="shared" si="80"/>
        <v>3.5203035868598229E-2</v>
      </c>
      <c r="F766" s="1">
        <f t="shared" si="81"/>
        <v>0.12413073179845519</v>
      </c>
      <c r="G766" s="1">
        <f t="shared" si="82"/>
        <v>4.1611696103322174E-2</v>
      </c>
      <c r="P766" s="39">
        <f t="shared" si="83"/>
        <v>461.65424394860958</v>
      </c>
      <c r="Q766" s="26">
        <f t="shared" si="84"/>
        <v>49.57533370706841</v>
      </c>
      <c r="R766" s="26">
        <f t="shared" si="85"/>
        <v>-49.57533370706841</v>
      </c>
    </row>
    <row r="767" spans="1:18" x14ac:dyDescent="0.3">
      <c r="A767" s="2">
        <v>43034</v>
      </c>
      <c r="B767" s="1">
        <v>39.352499999999999</v>
      </c>
      <c r="C767" s="1">
        <v>972.42989999999998</v>
      </c>
      <c r="D767" s="1">
        <v>170.63</v>
      </c>
      <c r="E767" s="1">
        <f t="shared" si="80"/>
        <v>6.3731016805799413E-3</v>
      </c>
      <c r="F767" s="1">
        <f t="shared" si="81"/>
        <v>-4.9348706045207079E-4</v>
      </c>
      <c r="G767" s="1">
        <f t="shared" si="82"/>
        <v>1.7583448159474348E-4</v>
      </c>
      <c r="P767" s="39">
        <f t="shared" si="83"/>
        <v>412.07891024154117</v>
      </c>
      <c r="Q767" s="26">
        <f t="shared" si="84"/>
        <v>-6.702430220656197E-2</v>
      </c>
      <c r="R767" s="26">
        <f t="shared" si="85"/>
        <v>6.702430220656197E-2</v>
      </c>
    </row>
    <row r="768" spans="1:18" x14ac:dyDescent="0.3">
      <c r="A768" s="2">
        <v>43033</v>
      </c>
      <c r="B768" s="1">
        <v>39.102499999999999</v>
      </c>
      <c r="C768" s="1">
        <v>972.90989999999999</v>
      </c>
      <c r="D768" s="1">
        <v>170.6</v>
      </c>
      <c r="E768" s="1">
        <f t="shared" si="80"/>
        <v>-4.4017805754252856E-3</v>
      </c>
      <c r="F768" s="1">
        <f t="shared" si="81"/>
        <v>-3.0685419851033723E-3</v>
      </c>
      <c r="G768" s="1">
        <f t="shared" si="82"/>
        <v>-7.0093744925763882E-3</v>
      </c>
      <c r="P768" s="39">
        <f t="shared" si="83"/>
        <v>412.14593454374773</v>
      </c>
      <c r="Q768" s="26">
        <f t="shared" si="84"/>
        <v>-1.434742874857136</v>
      </c>
      <c r="R768" s="26">
        <f t="shared" si="85"/>
        <v>1.434742874857136</v>
      </c>
    </row>
    <row r="769" spans="1:18" x14ac:dyDescent="0.3">
      <c r="A769" s="2">
        <v>43032</v>
      </c>
      <c r="B769" s="1">
        <v>39.274999999999999</v>
      </c>
      <c r="C769" s="1">
        <v>975.8999</v>
      </c>
      <c r="D769" s="1">
        <v>171.8</v>
      </c>
      <c r="E769" s="1">
        <f t="shared" si="80"/>
        <v>5.9373877618210304E-3</v>
      </c>
      <c r="F769" s="1">
        <f t="shared" si="81"/>
        <v>9.8856746726321432E-3</v>
      </c>
      <c r="G769" s="1">
        <f t="shared" si="82"/>
        <v>3.0897509058774521E-3</v>
      </c>
      <c r="P769" s="39">
        <f t="shared" si="83"/>
        <v>413.58067741860486</v>
      </c>
      <c r="Q769" s="26">
        <f t="shared" si="84"/>
        <v>3.7532556448721834</v>
      </c>
      <c r="R769" s="26">
        <f t="shared" si="85"/>
        <v>-3.7532556448721834</v>
      </c>
    </row>
    <row r="770" spans="1:18" x14ac:dyDescent="0.3">
      <c r="A770" s="2">
        <v>43031</v>
      </c>
      <c r="B770" s="1">
        <v>39.042499999999997</v>
      </c>
      <c r="C770" s="1">
        <v>966.3</v>
      </c>
      <c r="D770" s="1">
        <v>171.27</v>
      </c>
      <c r="E770" s="1">
        <f t="shared" si="80"/>
        <v>-5.1213111675649757E-4</v>
      </c>
      <c r="F770" s="1">
        <f t="shared" si="81"/>
        <v>-1.7043112751818593E-2</v>
      </c>
      <c r="G770" s="1">
        <f t="shared" si="82"/>
        <v>-2.1430423033840899E-2</v>
      </c>
      <c r="P770" s="39">
        <f t="shared" si="83"/>
        <v>409.82742177373268</v>
      </c>
      <c r="Q770" s="26">
        <f t="shared" si="84"/>
        <v>-6.9408326635716548</v>
      </c>
      <c r="R770" s="26">
        <f t="shared" si="85"/>
        <v>6.9408326635716548</v>
      </c>
    </row>
    <row r="771" spans="1:18" x14ac:dyDescent="0.3">
      <c r="A771" s="2">
        <v>43028</v>
      </c>
      <c r="B771" s="1">
        <v>39.0625</v>
      </c>
      <c r="C771" s="1">
        <v>982.90989999999999</v>
      </c>
      <c r="D771" s="1">
        <v>174.98</v>
      </c>
      <c r="E771" s="1">
        <f t="shared" si="80"/>
        <v>1.7294947141589226E-3</v>
      </c>
      <c r="F771" s="1">
        <f t="shared" si="81"/>
        <v>-3.7574681683446472E-3</v>
      </c>
      <c r="G771" s="1">
        <f t="shared" si="82"/>
        <v>2.4031595933577568E-3</v>
      </c>
      <c r="P771" s="39">
        <f t="shared" si="83"/>
        <v>416.76825443730434</v>
      </c>
      <c r="Q771" s="26">
        <f t="shared" si="84"/>
        <v>-1.2462749497091181</v>
      </c>
      <c r="R771" s="26">
        <f t="shared" si="85"/>
        <v>1.2462749497091181</v>
      </c>
    </row>
    <row r="772" spans="1:18" x14ac:dyDescent="0.3">
      <c r="A772" s="2">
        <v>43027</v>
      </c>
      <c r="B772" s="1">
        <v>38.994999999999997</v>
      </c>
      <c r="C772" s="1">
        <v>986.61009999999999</v>
      </c>
      <c r="D772" s="1">
        <v>174.56</v>
      </c>
      <c r="E772" s="1">
        <f t="shared" si="80"/>
        <v>-2.3944895205207848E-2</v>
      </c>
      <c r="F772" s="1">
        <f t="shared" si="81"/>
        <v>-1.0475844036412272E-2</v>
      </c>
      <c r="G772" s="1">
        <f t="shared" si="82"/>
        <v>-8.3859129731202083E-3</v>
      </c>
      <c r="P772" s="39">
        <f t="shared" si="83"/>
        <v>418.01452938701345</v>
      </c>
      <c r="Q772" s="26">
        <f t="shared" si="84"/>
        <v>-4.5436527643337286</v>
      </c>
      <c r="R772" s="26">
        <f t="shared" si="85"/>
        <v>4.5436527643337286</v>
      </c>
    </row>
    <row r="773" spans="1:18" x14ac:dyDescent="0.3">
      <c r="A773" s="2">
        <v>43026</v>
      </c>
      <c r="B773" s="1">
        <v>39.94</v>
      </c>
      <c r="C773" s="1">
        <v>997</v>
      </c>
      <c r="D773" s="1">
        <v>176.03</v>
      </c>
      <c r="E773" s="1">
        <f t="shared" si="80"/>
        <v>-4.4343201037087146E-3</v>
      </c>
      <c r="F773" s="1">
        <f t="shared" si="81"/>
        <v>-1.2093082528629832E-2</v>
      </c>
      <c r="G773" s="1">
        <f t="shared" si="82"/>
        <v>-4.5436474911296417E-4</v>
      </c>
      <c r="P773" s="39">
        <f t="shared" si="83"/>
        <v>422.55818215134718</v>
      </c>
      <c r="Q773" s="26">
        <f t="shared" si="84"/>
        <v>-4.5664771386277039</v>
      </c>
      <c r="R773" s="26">
        <f t="shared" si="85"/>
        <v>4.5664771386277039</v>
      </c>
    </row>
    <row r="774" spans="1:18" x14ac:dyDescent="0.3">
      <c r="A774" s="2">
        <v>43025</v>
      </c>
      <c r="B774" s="1">
        <v>40.1175</v>
      </c>
      <c r="C774" s="1">
        <v>1009.13</v>
      </c>
      <c r="D774" s="1">
        <v>176.11</v>
      </c>
      <c r="E774" s="1">
        <f t="shared" ref="E774:E837" si="86">LN(B774/B775)</f>
        <v>3.6834753681455868E-3</v>
      </c>
      <c r="F774" s="1">
        <f t="shared" ref="F774:F837" si="87">LN(C774/C775)</f>
        <v>2.768586763513345E-3</v>
      </c>
      <c r="G774" s="1">
        <f t="shared" ref="G774:G837" si="88">LN(D774/D775)</f>
        <v>9.0694515515850078E-3</v>
      </c>
      <c r="P774" s="39">
        <f t="shared" ref="P774:P837" si="89">B774*$J$13+C774*$J$14+D774*$J$15</f>
        <v>427.12465928997489</v>
      </c>
      <c r="Q774" s="26">
        <f t="shared" ref="Q774:Q837" si="90">P774-P775</f>
        <v>1.435108734872756</v>
      </c>
      <c r="R774" s="26">
        <f t="shared" ref="R774:R837" si="91">-Q774</f>
        <v>-1.435108734872756</v>
      </c>
    </row>
    <row r="775" spans="1:18" x14ac:dyDescent="0.3">
      <c r="A775" s="2">
        <v>43024</v>
      </c>
      <c r="B775" s="1">
        <v>39.97</v>
      </c>
      <c r="C775" s="1">
        <v>1006.34</v>
      </c>
      <c r="D775" s="1">
        <v>174.52</v>
      </c>
      <c r="E775" s="1">
        <f t="shared" si="86"/>
        <v>1.8241424790896469E-2</v>
      </c>
      <c r="F775" s="1">
        <f t="shared" si="87"/>
        <v>3.3843000927237308E-3</v>
      </c>
      <c r="G775" s="1">
        <f t="shared" si="88"/>
        <v>4.4794194236344809E-3</v>
      </c>
      <c r="P775" s="39">
        <f t="shared" si="89"/>
        <v>425.68955055510213</v>
      </c>
      <c r="Q775" s="26">
        <f t="shared" si="90"/>
        <v>1.7228764690980256</v>
      </c>
      <c r="R775" s="26">
        <f t="shared" si="91"/>
        <v>-1.7228764690980256</v>
      </c>
    </row>
    <row r="776" spans="1:18" x14ac:dyDescent="0.3">
      <c r="A776" s="2">
        <v>43021</v>
      </c>
      <c r="B776" s="1">
        <v>39.247500000000002</v>
      </c>
      <c r="C776" s="1">
        <v>1002.94</v>
      </c>
      <c r="D776" s="1">
        <v>173.74</v>
      </c>
      <c r="E776" s="1">
        <f t="shared" si="86"/>
        <v>6.3261018026892456E-3</v>
      </c>
      <c r="F776" s="1">
        <f t="shared" si="87"/>
        <v>2.0061188341619508E-3</v>
      </c>
      <c r="G776" s="1">
        <f t="shared" si="88"/>
        <v>6.8728792877620504E-3</v>
      </c>
      <c r="P776" s="39">
        <f t="shared" si="89"/>
        <v>423.9666740860041</v>
      </c>
      <c r="Q776" s="26">
        <f t="shared" si="90"/>
        <v>1.1020596500416104</v>
      </c>
      <c r="R776" s="26">
        <f t="shared" si="91"/>
        <v>-1.1020596500416104</v>
      </c>
    </row>
    <row r="777" spans="1:18" x14ac:dyDescent="0.3">
      <c r="A777" s="2">
        <v>43020</v>
      </c>
      <c r="B777" s="1">
        <v>39</v>
      </c>
      <c r="C777" s="1">
        <v>1000.93</v>
      </c>
      <c r="D777" s="1">
        <v>172.55</v>
      </c>
      <c r="E777" s="1">
        <f t="shared" si="86"/>
        <v>-3.5194405228776925E-3</v>
      </c>
      <c r="F777" s="1">
        <f t="shared" si="87"/>
        <v>5.9421096414764302E-3</v>
      </c>
      <c r="G777" s="1">
        <f t="shared" si="88"/>
        <v>-1.1005243081270786E-3</v>
      </c>
      <c r="P777" s="39">
        <f t="shared" si="89"/>
        <v>422.86461443596249</v>
      </c>
      <c r="Q777" s="26">
        <f t="shared" si="90"/>
        <v>2.0898443554149821</v>
      </c>
      <c r="R777" s="26">
        <f t="shared" si="91"/>
        <v>-2.0898443554149821</v>
      </c>
    </row>
    <row r="778" spans="1:18" x14ac:dyDescent="0.3">
      <c r="A778" s="2">
        <v>43019</v>
      </c>
      <c r="B778" s="1">
        <v>39.137500000000003</v>
      </c>
      <c r="C778" s="1">
        <v>995</v>
      </c>
      <c r="D778" s="1">
        <v>172.74</v>
      </c>
      <c r="E778" s="1">
        <f t="shared" si="86"/>
        <v>4.1606717086839096E-3</v>
      </c>
      <c r="F778" s="1">
        <f t="shared" si="87"/>
        <v>7.8700840074693527E-3</v>
      </c>
      <c r="G778" s="1">
        <f t="shared" si="88"/>
        <v>6.6796635546099437E-3</v>
      </c>
      <c r="P778" s="39">
        <f t="shared" si="89"/>
        <v>420.77477008054751</v>
      </c>
      <c r="Q778" s="26">
        <f t="shared" si="90"/>
        <v>3.1945068242357024</v>
      </c>
      <c r="R778" s="26">
        <f t="shared" si="91"/>
        <v>-3.1945068242357024</v>
      </c>
    </row>
    <row r="779" spans="1:18" x14ac:dyDescent="0.3">
      <c r="A779" s="2">
        <v>43018</v>
      </c>
      <c r="B779" s="1">
        <v>38.975000000000001</v>
      </c>
      <c r="C779" s="1">
        <v>987.2</v>
      </c>
      <c r="D779" s="1">
        <v>171.59</v>
      </c>
      <c r="E779" s="1">
        <f t="shared" si="86"/>
        <v>3.8493616950590253E-4</v>
      </c>
      <c r="F779" s="1">
        <f t="shared" si="87"/>
        <v>-3.8317903105957139E-3</v>
      </c>
      <c r="G779" s="1">
        <f t="shared" si="88"/>
        <v>-5.2893261738847126E-3</v>
      </c>
      <c r="P779" s="39">
        <f t="shared" si="89"/>
        <v>417.58026325631181</v>
      </c>
      <c r="Q779" s="26">
        <f t="shared" si="90"/>
        <v>-1.5893871561958122</v>
      </c>
      <c r="R779" s="26">
        <f t="shared" si="91"/>
        <v>1.5893871561958122</v>
      </c>
    </row>
    <row r="780" spans="1:18" x14ac:dyDescent="0.3">
      <c r="A780" s="2">
        <v>43017</v>
      </c>
      <c r="B780" s="1">
        <v>38.96</v>
      </c>
      <c r="C780" s="1">
        <v>990.99</v>
      </c>
      <c r="D780" s="1">
        <v>172.5</v>
      </c>
      <c r="E780" s="1">
        <f t="shared" si="86"/>
        <v>3.4711097395836001E-3</v>
      </c>
      <c r="F780" s="1">
        <f t="shared" si="87"/>
        <v>1.4237317206364077E-3</v>
      </c>
      <c r="G780" s="1">
        <f t="shared" si="88"/>
        <v>1.5664436237594254E-3</v>
      </c>
      <c r="P780" s="39">
        <f t="shared" si="89"/>
        <v>419.16965041250762</v>
      </c>
      <c r="Q780" s="26">
        <f t="shared" si="90"/>
        <v>0.63465519506587498</v>
      </c>
      <c r="R780" s="26">
        <f t="shared" si="91"/>
        <v>-0.63465519506587498</v>
      </c>
    </row>
    <row r="781" spans="1:18" x14ac:dyDescent="0.3">
      <c r="A781" s="2">
        <v>43014</v>
      </c>
      <c r="B781" s="1">
        <v>38.825000000000003</v>
      </c>
      <c r="C781" s="1">
        <v>989.58010000000002</v>
      </c>
      <c r="D781" s="1">
        <v>172.23</v>
      </c>
      <c r="E781" s="1">
        <f t="shared" si="86"/>
        <v>-5.7935564400123834E-4</v>
      </c>
      <c r="F781" s="1">
        <f t="shared" si="87"/>
        <v>8.8610671133051312E-3</v>
      </c>
      <c r="G781" s="1">
        <f t="shared" si="88"/>
        <v>5.7647115709095675E-3</v>
      </c>
      <c r="P781" s="39">
        <f t="shared" si="89"/>
        <v>418.53499521744175</v>
      </c>
      <c r="Q781" s="26">
        <f t="shared" si="90"/>
        <v>3.4263254888840038</v>
      </c>
      <c r="R781" s="26">
        <f t="shared" si="91"/>
        <v>-3.4263254888840038</v>
      </c>
    </row>
    <row r="782" spans="1:18" x14ac:dyDescent="0.3">
      <c r="A782" s="2">
        <v>43013</v>
      </c>
      <c r="B782" s="1">
        <v>38.847499999999997</v>
      </c>
      <c r="C782" s="1">
        <v>980.8501</v>
      </c>
      <c r="D782" s="1">
        <v>171.24</v>
      </c>
      <c r="E782" s="1">
        <f t="shared" si="86"/>
        <v>1.2367820419891035E-2</v>
      </c>
      <c r="F782" s="1">
        <f t="shared" si="87"/>
        <v>1.5825330739229891E-2</v>
      </c>
      <c r="G782" s="1">
        <f t="shared" si="88"/>
        <v>1.6605221674899348E-2</v>
      </c>
      <c r="P782" s="39">
        <f t="shared" si="89"/>
        <v>415.10866972855774</v>
      </c>
      <c r="Q782" s="26">
        <f t="shared" si="90"/>
        <v>6.4911305171964955</v>
      </c>
      <c r="R782" s="26">
        <f t="shared" si="91"/>
        <v>-6.4911305171964955</v>
      </c>
    </row>
    <row r="783" spans="1:18" x14ac:dyDescent="0.3">
      <c r="A783" s="2">
        <v>43012</v>
      </c>
      <c r="B783" s="1">
        <v>38.369999999999997</v>
      </c>
      <c r="C783" s="1">
        <v>965.45</v>
      </c>
      <c r="D783" s="1">
        <v>168.42</v>
      </c>
      <c r="E783" s="1">
        <f t="shared" si="86"/>
        <v>-6.4943727415074171E-3</v>
      </c>
      <c r="F783" s="1">
        <f t="shared" si="87"/>
        <v>8.6863302044020915E-3</v>
      </c>
      <c r="G783" s="1">
        <f t="shared" si="88"/>
        <v>-9.1022556447647625E-3</v>
      </c>
      <c r="P783" s="39">
        <f t="shared" si="89"/>
        <v>408.61753921136125</v>
      </c>
      <c r="Q783" s="26">
        <f t="shared" si="90"/>
        <v>2.6435412574790007</v>
      </c>
      <c r="R783" s="26">
        <f t="shared" si="91"/>
        <v>-2.6435412574790007</v>
      </c>
    </row>
    <row r="784" spans="1:18" x14ac:dyDescent="0.3">
      <c r="A784" s="2">
        <v>43011</v>
      </c>
      <c r="B784" s="1">
        <v>38.619999999999997</v>
      </c>
      <c r="C784" s="1">
        <v>957.1001</v>
      </c>
      <c r="D784" s="1">
        <v>169.96</v>
      </c>
      <c r="E784" s="1">
        <f t="shared" si="86"/>
        <v>4.3465636565400059E-3</v>
      </c>
      <c r="F784" s="1">
        <f t="shared" si="87"/>
        <v>-2.1810903657154823E-3</v>
      </c>
      <c r="G784" s="1">
        <f t="shared" si="88"/>
        <v>2.8871952413303398E-3</v>
      </c>
      <c r="P784" s="39">
        <f t="shared" si="89"/>
        <v>405.97399795388225</v>
      </c>
      <c r="Q784" s="26">
        <f t="shared" si="90"/>
        <v>-0.59548495352186137</v>
      </c>
      <c r="R784" s="26">
        <f t="shared" si="91"/>
        <v>0.59548495352186137</v>
      </c>
    </row>
    <row r="785" spans="1:18" x14ac:dyDescent="0.3">
      <c r="A785" s="2">
        <v>43010</v>
      </c>
      <c r="B785" s="1">
        <v>38.452500000000001</v>
      </c>
      <c r="C785" s="1">
        <v>959.18989999999997</v>
      </c>
      <c r="D785" s="1">
        <v>169.47</v>
      </c>
      <c r="E785" s="1">
        <f t="shared" si="86"/>
        <v>-2.0134452942379699E-3</v>
      </c>
      <c r="F785" s="1">
        <f t="shared" si="87"/>
        <v>-2.2495765888670225E-3</v>
      </c>
      <c r="G785" s="1">
        <f t="shared" si="88"/>
        <v>-8.2271134549016557E-3</v>
      </c>
      <c r="P785" s="39">
        <f t="shared" si="89"/>
        <v>406.56948290740411</v>
      </c>
      <c r="Q785" s="26">
        <f t="shared" si="90"/>
        <v>-1.1325542272044231</v>
      </c>
      <c r="R785" s="26">
        <f t="shared" si="91"/>
        <v>1.1325542272044231</v>
      </c>
    </row>
    <row r="786" spans="1:18" x14ac:dyDescent="0.3">
      <c r="A786" s="2">
        <v>43007</v>
      </c>
      <c r="B786" s="1">
        <v>38.53</v>
      </c>
      <c r="C786" s="1">
        <v>961.3501</v>
      </c>
      <c r="D786" s="1">
        <v>170.87</v>
      </c>
      <c r="E786" s="1">
        <f t="shared" si="86"/>
        <v>5.4652055354064899E-3</v>
      </c>
      <c r="F786" s="1">
        <f t="shared" si="87"/>
        <v>5.1625196133259169E-3</v>
      </c>
      <c r="G786" s="1">
        <f t="shared" si="88"/>
        <v>1.2603229249936019E-2</v>
      </c>
      <c r="P786" s="39">
        <f t="shared" si="89"/>
        <v>407.70203713460853</v>
      </c>
      <c r="Q786" s="26">
        <f t="shared" si="90"/>
        <v>2.3772429380932749</v>
      </c>
      <c r="R786" s="26">
        <f t="shared" si="91"/>
        <v>-2.3772429380932749</v>
      </c>
    </row>
    <row r="787" spans="1:18" x14ac:dyDescent="0.3">
      <c r="A787" s="2">
        <v>43006</v>
      </c>
      <c r="B787" s="1">
        <v>38.32</v>
      </c>
      <c r="C787" s="1">
        <v>956.3999</v>
      </c>
      <c r="D787" s="1">
        <v>168.73</v>
      </c>
      <c r="E787" s="1">
        <f t="shared" si="86"/>
        <v>-6.178680512972482E-3</v>
      </c>
      <c r="F787" s="1">
        <f t="shared" si="87"/>
        <v>5.7986708696305079E-3</v>
      </c>
      <c r="G787" s="1">
        <f t="shared" si="88"/>
        <v>6.2424030775686387E-3</v>
      </c>
      <c r="P787" s="39">
        <f t="shared" si="89"/>
        <v>405.32479419651526</v>
      </c>
      <c r="Q787" s="26">
        <f t="shared" si="90"/>
        <v>2.1694738981060482</v>
      </c>
      <c r="R787" s="26">
        <f t="shared" si="91"/>
        <v>-2.1694738981060482</v>
      </c>
    </row>
    <row r="788" spans="1:18" x14ac:dyDescent="0.3">
      <c r="A788" s="2">
        <v>43005</v>
      </c>
      <c r="B788" s="1">
        <v>38.557499999999997</v>
      </c>
      <c r="C788" s="1">
        <v>950.87009999999998</v>
      </c>
      <c r="D788" s="1">
        <v>167.68</v>
      </c>
      <c r="E788" s="1">
        <f t="shared" si="86"/>
        <v>7.0924590505456082E-3</v>
      </c>
      <c r="F788" s="1">
        <f t="shared" si="87"/>
        <v>1.2987950253802311E-2</v>
      </c>
      <c r="G788" s="1">
        <f t="shared" si="88"/>
        <v>2.091130462893126E-2</v>
      </c>
      <c r="P788" s="39">
        <f t="shared" si="89"/>
        <v>403.15532029840921</v>
      </c>
      <c r="Q788" s="26">
        <f t="shared" si="90"/>
        <v>5.3921469774862203</v>
      </c>
      <c r="R788" s="26">
        <f t="shared" si="91"/>
        <v>-5.3921469774862203</v>
      </c>
    </row>
    <row r="789" spans="1:18" x14ac:dyDescent="0.3">
      <c r="A789" s="2">
        <v>43004</v>
      </c>
      <c r="B789" s="1">
        <v>38.284999999999997</v>
      </c>
      <c r="C789" s="1">
        <v>938.6001</v>
      </c>
      <c r="D789" s="1">
        <v>164.21</v>
      </c>
      <c r="E789" s="1">
        <f t="shared" si="86"/>
        <v>1.7057280757234353E-2</v>
      </c>
      <c r="F789" s="1">
        <f t="shared" si="87"/>
        <v>-1.2669361483130237E-3</v>
      </c>
      <c r="G789" s="1">
        <f t="shared" si="88"/>
        <v>8.1937599182765296E-3</v>
      </c>
      <c r="P789" s="39">
        <f t="shared" si="89"/>
        <v>397.76317332092299</v>
      </c>
      <c r="Q789" s="26">
        <f t="shared" si="90"/>
        <v>0.11962875070321388</v>
      </c>
      <c r="R789" s="26">
        <f t="shared" si="91"/>
        <v>-0.11962875070321388</v>
      </c>
    </row>
    <row r="790" spans="1:18" x14ac:dyDescent="0.3">
      <c r="A790" s="2">
        <v>43003</v>
      </c>
      <c r="B790" s="1">
        <v>37.637500000000003</v>
      </c>
      <c r="C790" s="1">
        <v>939.79</v>
      </c>
      <c r="D790" s="1">
        <v>162.87</v>
      </c>
      <c r="E790" s="1">
        <f t="shared" si="86"/>
        <v>-8.8613197221845217E-3</v>
      </c>
      <c r="F790" s="1">
        <f t="shared" si="87"/>
        <v>-1.6159705691482361E-2</v>
      </c>
      <c r="G790" s="1">
        <f t="shared" si="88"/>
        <v>-4.601753672843404E-2</v>
      </c>
      <c r="P790" s="39">
        <f t="shared" si="89"/>
        <v>397.64354457021977</v>
      </c>
      <c r="Q790" s="26">
        <f t="shared" si="90"/>
        <v>-7.449936337401482</v>
      </c>
      <c r="R790" s="26">
        <f t="shared" si="91"/>
        <v>7.449936337401482</v>
      </c>
    </row>
    <row r="791" spans="1:18" x14ac:dyDescent="0.3">
      <c r="A791" s="2">
        <v>43000</v>
      </c>
      <c r="B791" s="1">
        <v>37.972499999999997</v>
      </c>
      <c r="C791" s="1">
        <v>955.1001</v>
      </c>
      <c r="D791" s="1">
        <v>170.54</v>
      </c>
      <c r="E791" s="1">
        <f t="shared" si="86"/>
        <v>-9.8271231100900656E-3</v>
      </c>
      <c r="F791" s="1">
        <f t="shared" si="87"/>
        <v>-9.949085842670076E-3</v>
      </c>
      <c r="G791" s="1">
        <f t="shared" si="88"/>
        <v>-3.3367512299756056E-3</v>
      </c>
      <c r="P791" s="39">
        <f t="shared" si="89"/>
        <v>405.09348090762126</v>
      </c>
      <c r="Q791" s="26">
        <f t="shared" si="90"/>
        <v>-3.8024791559953428</v>
      </c>
      <c r="R791" s="26">
        <f t="shared" si="91"/>
        <v>3.8024791559953428</v>
      </c>
    </row>
    <row r="792" spans="1:18" x14ac:dyDescent="0.3">
      <c r="A792" s="2">
        <v>42999</v>
      </c>
      <c r="B792" s="1">
        <v>38.347499999999997</v>
      </c>
      <c r="C792" s="1">
        <v>964.6499</v>
      </c>
      <c r="D792" s="1">
        <v>171.11</v>
      </c>
      <c r="E792" s="1">
        <f t="shared" si="86"/>
        <v>-1.7320926794444726E-2</v>
      </c>
      <c r="F792" s="1">
        <f t="shared" si="87"/>
        <v>-8.8346486523304089E-3</v>
      </c>
      <c r="G792" s="1">
        <f t="shared" si="88"/>
        <v>-6.1757362445016726E-3</v>
      </c>
      <c r="P792" s="39">
        <f t="shared" si="89"/>
        <v>408.8959600636166</v>
      </c>
      <c r="Q792" s="26">
        <f t="shared" si="90"/>
        <v>-3.6657230386489914</v>
      </c>
      <c r="R792" s="26">
        <f t="shared" si="91"/>
        <v>3.6657230386489914</v>
      </c>
    </row>
    <row r="793" spans="1:18" x14ac:dyDescent="0.3">
      <c r="A793" s="2">
        <v>42998</v>
      </c>
      <c r="B793" s="1">
        <v>39.017499999999998</v>
      </c>
      <c r="C793" s="1">
        <v>973.21</v>
      </c>
      <c r="D793" s="1">
        <v>172.17</v>
      </c>
      <c r="E793" s="1">
        <f t="shared" si="86"/>
        <v>-1.6900021029687743E-2</v>
      </c>
      <c r="F793" s="1">
        <f t="shared" si="87"/>
        <v>3.448051945146208E-3</v>
      </c>
      <c r="G793" s="1">
        <f t="shared" si="88"/>
        <v>-2.0308109912616609E-3</v>
      </c>
      <c r="P793" s="39">
        <f t="shared" si="89"/>
        <v>412.56168310226559</v>
      </c>
      <c r="Q793" s="26">
        <f t="shared" si="90"/>
        <v>0.88463947723670344</v>
      </c>
      <c r="R793" s="26">
        <f t="shared" si="91"/>
        <v>-0.88463947723670344</v>
      </c>
    </row>
    <row r="794" spans="1:18" x14ac:dyDescent="0.3">
      <c r="A794" s="2">
        <v>42997</v>
      </c>
      <c r="B794" s="1">
        <v>39.682499999999997</v>
      </c>
      <c r="C794" s="1">
        <v>969.86009999999999</v>
      </c>
      <c r="D794" s="1">
        <v>172.52</v>
      </c>
      <c r="E794" s="1">
        <f t="shared" si="86"/>
        <v>3.7807183815172522E-4</v>
      </c>
      <c r="F794" s="1">
        <f t="shared" si="87"/>
        <v>-4.454419546070368E-3</v>
      </c>
      <c r="G794" s="1">
        <f t="shared" si="88"/>
        <v>1.4655912930005021E-2</v>
      </c>
      <c r="P794" s="39">
        <f t="shared" si="89"/>
        <v>411.67704362502889</v>
      </c>
      <c r="Q794" s="26">
        <f t="shared" si="90"/>
        <v>-1.0474016064800367</v>
      </c>
      <c r="R794" s="26">
        <f t="shared" si="91"/>
        <v>1.0474016064800367</v>
      </c>
    </row>
    <row r="795" spans="1:18" x14ac:dyDescent="0.3">
      <c r="A795" s="2">
        <v>42996</v>
      </c>
      <c r="B795" s="1">
        <v>39.667499999999997</v>
      </c>
      <c r="C795" s="1">
        <v>974.18989999999997</v>
      </c>
      <c r="D795" s="1">
        <v>170.01</v>
      </c>
      <c r="E795" s="1">
        <f t="shared" si="86"/>
        <v>-7.5969600971246042E-3</v>
      </c>
      <c r="F795" s="1">
        <f t="shared" si="87"/>
        <v>-1.2850997000457817E-2</v>
      </c>
      <c r="G795" s="1">
        <f t="shared" si="88"/>
        <v>-9.5420012736863891E-3</v>
      </c>
      <c r="P795" s="39">
        <f t="shared" si="89"/>
        <v>412.72444523150892</v>
      </c>
      <c r="Q795" s="26">
        <f t="shared" si="90"/>
        <v>-5.127623149454962</v>
      </c>
      <c r="R795" s="26">
        <f t="shared" si="91"/>
        <v>5.127623149454962</v>
      </c>
    </row>
    <row r="796" spans="1:18" x14ac:dyDescent="0.3">
      <c r="A796" s="2">
        <v>42993</v>
      </c>
      <c r="B796" s="1">
        <v>39.97</v>
      </c>
      <c r="C796" s="1">
        <v>986.79</v>
      </c>
      <c r="D796" s="1">
        <v>171.64</v>
      </c>
      <c r="E796" s="1">
        <f t="shared" si="86"/>
        <v>1.00579173258993E-2</v>
      </c>
      <c r="F796" s="1">
        <f t="shared" si="87"/>
        <v>-5.477527591195238E-3</v>
      </c>
      <c r="G796" s="1">
        <f t="shared" si="88"/>
        <v>3.9696491124316521E-3</v>
      </c>
      <c r="P796" s="39">
        <f t="shared" si="89"/>
        <v>417.85206838096389</v>
      </c>
      <c r="Q796" s="26">
        <f t="shared" si="90"/>
        <v>-1.6867224406508967</v>
      </c>
      <c r="R796" s="26">
        <f t="shared" si="91"/>
        <v>1.6867224406508967</v>
      </c>
    </row>
    <row r="797" spans="1:18" x14ac:dyDescent="0.3">
      <c r="A797" s="2">
        <v>42992</v>
      </c>
      <c r="B797" s="1">
        <v>39.57</v>
      </c>
      <c r="C797" s="1">
        <v>992.21</v>
      </c>
      <c r="D797" s="1">
        <v>170.96</v>
      </c>
      <c r="E797" s="1">
        <f t="shared" si="86"/>
        <v>-8.6183026435675235E-3</v>
      </c>
      <c r="F797" s="1">
        <f t="shared" si="87"/>
        <v>-7.4205205714657748E-3</v>
      </c>
      <c r="G797" s="1">
        <f t="shared" si="88"/>
        <v>-1.2150959070461048E-2</v>
      </c>
      <c r="P797" s="39">
        <f t="shared" si="89"/>
        <v>419.53879082161478</v>
      </c>
      <c r="Q797" s="26">
        <f t="shared" si="90"/>
        <v>-3.32155294526234</v>
      </c>
      <c r="R797" s="26">
        <f t="shared" si="91"/>
        <v>3.32155294526234</v>
      </c>
    </row>
    <row r="798" spans="1:18" x14ac:dyDescent="0.3">
      <c r="A798" s="2">
        <v>42991</v>
      </c>
      <c r="B798" s="1">
        <v>39.912500000000001</v>
      </c>
      <c r="C798" s="1">
        <v>999.6001</v>
      </c>
      <c r="D798" s="1">
        <v>173.05</v>
      </c>
      <c r="E798" s="1">
        <f t="shared" si="86"/>
        <v>-7.5505023151319238E-3</v>
      </c>
      <c r="F798" s="1">
        <f t="shared" si="87"/>
        <v>1.7173431862956917E-2</v>
      </c>
      <c r="G798" s="1">
        <f t="shared" si="88"/>
        <v>5.2021619045517203E-4</v>
      </c>
      <c r="P798" s="39">
        <f t="shared" si="89"/>
        <v>422.86034376687712</v>
      </c>
      <c r="Q798" s="26">
        <f t="shared" si="90"/>
        <v>6.1740316376813098</v>
      </c>
      <c r="R798" s="26">
        <f t="shared" si="91"/>
        <v>-6.1740316376813098</v>
      </c>
    </row>
    <row r="799" spans="1:18" x14ac:dyDescent="0.3">
      <c r="A799" s="2">
        <v>42990</v>
      </c>
      <c r="B799" s="1">
        <v>40.215000000000003</v>
      </c>
      <c r="C799" s="1">
        <v>982.58010000000002</v>
      </c>
      <c r="D799" s="1">
        <v>172.96</v>
      </c>
      <c r="E799" s="1">
        <f t="shared" si="86"/>
        <v>-3.9707211867881752E-3</v>
      </c>
      <c r="F799" s="1">
        <f t="shared" si="87"/>
        <v>4.7130977349545064E-3</v>
      </c>
      <c r="G799" s="1">
        <f t="shared" si="88"/>
        <v>-3.1748807226821014E-3</v>
      </c>
      <c r="P799" s="39">
        <f t="shared" si="89"/>
        <v>416.68631212919581</v>
      </c>
      <c r="Q799" s="26">
        <f t="shared" si="90"/>
        <v>1.5191928521959426</v>
      </c>
      <c r="R799" s="26">
        <f t="shared" si="91"/>
        <v>-1.5191928521959426</v>
      </c>
    </row>
    <row r="800" spans="1:18" x14ac:dyDescent="0.3">
      <c r="A800" s="2">
        <v>42989</v>
      </c>
      <c r="B800" s="1">
        <v>40.375</v>
      </c>
      <c r="C800" s="1">
        <v>977.96</v>
      </c>
      <c r="D800" s="1">
        <v>173.51</v>
      </c>
      <c r="E800" s="1">
        <f t="shared" si="86"/>
        <v>1.7930696242347288E-2</v>
      </c>
      <c r="F800" s="1">
        <f t="shared" si="87"/>
        <v>1.2408563748038275E-2</v>
      </c>
      <c r="G800" s="1">
        <f t="shared" si="88"/>
        <v>1.4864118528270152E-2</v>
      </c>
      <c r="P800" s="39">
        <f t="shared" si="89"/>
        <v>415.16711927699987</v>
      </c>
      <c r="Q800" s="26">
        <f t="shared" si="90"/>
        <v>5.3018640952055875</v>
      </c>
      <c r="R800" s="26">
        <f t="shared" si="91"/>
        <v>-5.3018640952055875</v>
      </c>
    </row>
    <row r="801" spans="1:18" x14ac:dyDescent="0.3">
      <c r="A801" s="2">
        <v>42986</v>
      </c>
      <c r="B801" s="1">
        <v>39.657499999999999</v>
      </c>
      <c r="C801" s="1">
        <v>965.8999</v>
      </c>
      <c r="D801" s="1">
        <v>170.95</v>
      </c>
      <c r="E801" s="1">
        <f t="shared" si="86"/>
        <v>-1.6443522836512098E-2</v>
      </c>
      <c r="F801" s="1">
        <f t="shared" si="87"/>
        <v>-1.3951403389331032E-2</v>
      </c>
      <c r="G801" s="1">
        <f t="shared" si="88"/>
        <v>-1.3133615096878545E-2</v>
      </c>
      <c r="P801" s="39">
        <f t="shared" si="89"/>
        <v>409.86525518179428</v>
      </c>
      <c r="Q801" s="26">
        <f t="shared" si="90"/>
        <v>-5.7691351354336575</v>
      </c>
      <c r="R801" s="26">
        <f t="shared" si="91"/>
        <v>5.7691351354336575</v>
      </c>
    </row>
    <row r="802" spans="1:18" x14ac:dyDescent="0.3">
      <c r="A802" s="2">
        <v>42985</v>
      </c>
      <c r="B802" s="1">
        <v>40.314999999999998</v>
      </c>
      <c r="C802" s="1">
        <v>979.47</v>
      </c>
      <c r="D802" s="1">
        <v>173.21</v>
      </c>
      <c r="E802" s="1">
        <f t="shared" si="86"/>
        <v>-4.022656041785126E-3</v>
      </c>
      <c r="F802" s="1">
        <f t="shared" si="87"/>
        <v>1.1986154684971547E-2</v>
      </c>
      <c r="G802" s="1">
        <f t="shared" si="88"/>
        <v>6.4871354053691981E-3</v>
      </c>
      <c r="P802" s="39">
        <f t="shared" si="89"/>
        <v>415.63439031722794</v>
      </c>
      <c r="Q802" s="26">
        <f t="shared" si="90"/>
        <v>4.4812634464832399</v>
      </c>
      <c r="R802" s="26">
        <f t="shared" si="91"/>
        <v>-4.4812634464832399</v>
      </c>
    </row>
    <row r="803" spans="1:18" x14ac:dyDescent="0.3">
      <c r="A803" s="2">
        <v>42984</v>
      </c>
      <c r="B803" s="1">
        <v>40.477499999999999</v>
      </c>
      <c r="C803" s="1">
        <v>967.8</v>
      </c>
      <c r="D803" s="1">
        <v>172.09</v>
      </c>
      <c r="E803" s="1">
        <f t="shared" si="86"/>
        <v>-1.0494152017122579E-3</v>
      </c>
      <c r="F803" s="1">
        <f t="shared" si="87"/>
        <v>2.6175994088090968E-3</v>
      </c>
      <c r="G803" s="1">
        <f t="shared" si="88"/>
        <v>7.9928082233764446E-3</v>
      </c>
      <c r="P803" s="39">
        <f t="shared" si="89"/>
        <v>411.1531268707447</v>
      </c>
      <c r="Q803" s="26">
        <f t="shared" si="90"/>
        <v>1.21277951637569</v>
      </c>
      <c r="R803" s="26">
        <f t="shared" si="91"/>
        <v>-1.21277951637569</v>
      </c>
    </row>
    <row r="804" spans="1:18" x14ac:dyDescent="0.3">
      <c r="A804" s="2">
        <v>42983</v>
      </c>
      <c r="B804" s="1">
        <v>40.520000000000003</v>
      </c>
      <c r="C804" s="1">
        <v>965.27</v>
      </c>
      <c r="D804" s="1">
        <v>170.72</v>
      </c>
      <c r="E804" s="1">
        <f t="shared" si="86"/>
        <v>-1.208121890673741E-2</v>
      </c>
      <c r="F804" s="1">
        <f t="shared" si="87"/>
        <v>-1.3357406140112747E-2</v>
      </c>
      <c r="G804" s="1">
        <f t="shared" si="88"/>
        <v>-7.5859615698902604E-3</v>
      </c>
      <c r="P804" s="39">
        <f t="shared" si="89"/>
        <v>409.94034735436901</v>
      </c>
      <c r="Q804" s="26">
        <f t="shared" si="90"/>
        <v>-5.275000167636108</v>
      </c>
      <c r="R804" s="26">
        <f t="shared" si="91"/>
        <v>5.275000167636108</v>
      </c>
    </row>
    <row r="805" spans="1:18" x14ac:dyDescent="0.3">
      <c r="A805" s="2">
        <v>42982</v>
      </c>
      <c r="B805" s="1">
        <v>41.012500000000003</v>
      </c>
      <c r="C805" s="1">
        <v>978.25</v>
      </c>
      <c r="D805" s="1">
        <v>172.02</v>
      </c>
      <c r="E805" s="1">
        <f t="shared" si="86"/>
        <v>0</v>
      </c>
      <c r="F805" s="1">
        <f t="shared" si="87"/>
        <v>0</v>
      </c>
      <c r="G805" s="1">
        <f t="shared" si="88"/>
        <v>0</v>
      </c>
      <c r="P805" s="39">
        <f t="shared" si="89"/>
        <v>415.21534752200512</v>
      </c>
      <c r="Q805" s="26">
        <f t="shared" si="90"/>
        <v>0</v>
      </c>
      <c r="R805" s="26">
        <f t="shared" si="91"/>
        <v>0</v>
      </c>
    </row>
    <row r="806" spans="1:18" x14ac:dyDescent="0.3">
      <c r="A806" s="2">
        <v>42979</v>
      </c>
      <c r="B806" s="1">
        <v>41.012500000000003</v>
      </c>
      <c r="C806" s="1">
        <v>978.25</v>
      </c>
      <c r="D806" s="1">
        <v>172.02</v>
      </c>
      <c r="E806" s="1">
        <f t="shared" si="86"/>
        <v>3.0483158291238273E-4</v>
      </c>
      <c r="F806" s="1">
        <f t="shared" si="87"/>
        <v>-2.399470104986381E-3</v>
      </c>
      <c r="G806" s="1">
        <f t="shared" si="88"/>
        <v>2.9070612722547403E-4</v>
      </c>
      <c r="P806" s="39">
        <f t="shared" si="89"/>
        <v>415.21534752200512</v>
      </c>
      <c r="Q806" s="26">
        <f t="shared" si="90"/>
        <v>-0.85110036494364749</v>
      </c>
      <c r="R806" s="26">
        <f t="shared" si="91"/>
        <v>0.85110036494364749</v>
      </c>
    </row>
    <row r="807" spans="1:18" x14ac:dyDescent="0.3">
      <c r="A807" s="2">
        <v>42978</v>
      </c>
      <c r="B807" s="1">
        <v>41</v>
      </c>
      <c r="C807" s="1">
        <v>980.6001</v>
      </c>
      <c r="D807" s="1">
        <v>171.97</v>
      </c>
      <c r="E807" s="1">
        <f t="shared" si="86"/>
        <v>3.9712897771193058E-3</v>
      </c>
      <c r="F807" s="1">
        <f t="shared" si="87"/>
        <v>1.3356184012598403E-2</v>
      </c>
      <c r="G807" s="1">
        <f t="shared" si="88"/>
        <v>1.1992304942534107E-2</v>
      </c>
      <c r="P807" s="39">
        <f t="shared" si="89"/>
        <v>416.06644788694877</v>
      </c>
      <c r="Q807" s="26">
        <f t="shared" si="90"/>
        <v>5.3118781637991219</v>
      </c>
      <c r="R807" s="26">
        <f t="shared" si="91"/>
        <v>-5.3118781637991219</v>
      </c>
    </row>
    <row r="808" spans="1:18" x14ac:dyDescent="0.3">
      <c r="A808" s="2">
        <v>42977</v>
      </c>
      <c r="B808" s="1">
        <v>40.837499999999999</v>
      </c>
      <c r="C808" s="1">
        <v>967.59010000000001</v>
      </c>
      <c r="D808" s="1">
        <v>169.92</v>
      </c>
      <c r="E808" s="1">
        <f t="shared" si="86"/>
        <v>2.6972369690011593E-3</v>
      </c>
      <c r="F808" s="1">
        <f t="shared" si="87"/>
        <v>1.4081879815344053E-2</v>
      </c>
      <c r="G808" s="1">
        <f t="shared" si="88"/>
        <v>1.1066183882459307E-2</v>
      </c>
      <c r="P808" s="39">
        <f t="shared" si="89"/>
        <v>410.75456972314964</v>
      </c>
      <c r="Q808" s="26">
        <f t="shared" si="90"/>
        <v>5.4429823493829304</v>
      </c>
      <c r="R808" s="26">
        <f t="shared" si="91"/>
        <v>-5.4429823493829304</v>
      </c>
    </row>
    <row r="809" spans="1:18" x14ac:dyDescent="0.3">
      <c r="A809" s="2">
        <v>42976</v>
      </c>
      <c r="B809" s="1">
        <v>40.727499999999999</v>
      </c>
      <c r="C809" s="1">
        <v>954.06010000000003</v>
      </c>
      <c r="D809" s="1">
        <v>168.05</v>
      </c>
      <c r="E809" s="1">
        <f t="shared" si="86"/>
        <v>8.878534184548318E-3</v>
      </c>
      <c r="F809" s="1">
        <f t="shared" si="87"/>
        <v>8.4629568901206428E-3</v>
      </c>
      <c r="G809" s="1">
        <f t="shared" si="88"/>
        <v>4.8316476827503846E-3</v>
      </c>
      <c r="P809" s="39">
        <f t="shared" si="89"/>
        <v>405.31158737376671</v>
      </c>
      <c r="Q809" s="26">
        <f t="shared" si="90"/>
        <v>3.291242191196261</v>
      </c>
      <c r="R809" s="26">
        <f t="shared" si="91"/>
        <v>-3.291242191196261</v>
      </c>
    </row>
    <row r="810" spans="1:18" x14ac:dyDescent="0.3">
      <c r="A810" s="2">
        <v>42975</v>
      </c>
      <c r="B810" s="1">
        <v>40.3675</v>
      </c>
      <c r="C810" s="1">
        <v>946.02</v>
      </c>
      <c r="D810" s="1">
        <v>167.24</v>
      </c>
      <c r="E810" s="1">
        <f t="shared" si="86"/>
        <v>1.0020934695656616E-2</v>
      </c>
      <c r="F810" s="1">
        <f t="shared" si="87"/>
        <v>8.036885505138346E-4</v>
      </c>
      <c r="G810" s="1">
        <f t="shared" si="88"/>
        <v>5.5162629386069683E-3</v>
      </c>
      <c r="P810" s="39">
        <f t="shared" si="89"/>
        <v>402.02034518257045</v>
      </c>
      <c r="Q810" s="26">
        <f t="shared" si="90"/>
        <v>0.64655504255944152</v>
      </c>
      <c r="R810" s="26">
        <f t="shared" si="91"/>
        <v>-0.64655504255944152</v>
      </c>
    </row>
    <row r="811" spans="1:18" x14ac:dyDescent="0.3">
      <c r="A811" s="2">
        <v>42972</v>
      </c>
      <c r="B811" s="1">
        <v>39.965000000000003</v>
      </c>
      <c r="C811" s="1">
        <v>945.26</v>
      </c>
      <c r="D811" s="1">
        <v>166.32</v>
      </c>
      <c r="E811" s="1">
        <f t="shared" si="86"/>
        <v>3.6975569341831244E-3</v>
      </c>
      <c r="F811" s="1">
        <f t="shared" si="87"/>
        <v>-7.5775902577756562E-3</v>
      </c>
      <c r="G811" s="1">
        <f t="shared" si="88"/>
        <v>-8.5015180065080524E-3</v>
      </c>
      <c r="P811" s="39">
        <f t="shared" si="89"/>
        <v>401.37379014001101</v>
      </c>
      <c r="Q811" s="26">
        <f t="shared" si="90"/>
        <v>-2.8995090000768187</v>
      </c>
      <c r="R811" s="26">
        <f t="shared" si="91"/>
        <v>2.8995090000768187</v>
      </c>
    </row>
    <row r="812" spans="1:18" x14ac:dyDescent="0.3">
      <c r="A812" s="2">
        <v>42971</v>
      </c>
      <c r="B812" s="1">
        <v>39.817500000000003</v>
      </c>
      <c r="C812" s="1">
        <v>952.45</v>
      </c>
      <c r="D812" s="1">
        <v>167.74</v>
      </c>
      <c r="E812" s="1">
        <f t="shared" si="86"/>
        <v>-4.4479321569858496E-3</v>
      </c>
      <c r="F812" s="1">
        <f t="shared" si="87"/>
        <v>-5.8101657861534296E-3</v>
      </c>
      <c r="G812" s="1">
        <f t="shared" si="88"/>
        <v>-5.7661030616179901E-3</v>
      </c>
      <c r="P812" s="39">
        <f t="shared" si="89"/>
        <v>404.27329914008783</v>
      </c>
      <c r="Q812" s="26">
        <f t="shared" si="90"/>
        <v>-2.3315323187242711</v>
      </c>
      <c r="R812" s="26">
        <f t="shared" si="91"/>
        <v>2.3315323187242711</v>
      </c>
    </row>
    <row r="813" spans="1:18" x14ac:dyDescent="0.3">
      <c r="A813" s="2">
        <v>42970</v>
      </c>
      <c r="B813" s="1">
        <v>39.994999999999997</v>
      </c>
      <c r="C813" s="1">
        <v>958</v>
      </c>
      <c r="D813" s="1">
        <v>168.71</v>
      </c>
      <c r="E813" s="1">
        <f t="shared" si="86"/>
        <v>1.2509383667799843E-3</v>
      </c>
      <c r="F813" s="1">
        <f t="shared" si="87"/>
        <v>-9.2471960953243743E-3</v>
      </c>
      <c r="G813" s="1">
        <f t="shared" si="88"/>
        <v>-5.4972799885063765E-3</v>
      </c>
      <c r="P813" s="39">
        <f t="shared" si="89"/>
        <v>406.6048314588121</v>
      </c>
      <c r="Q813" s="26">
        <f t="shared" si="90"/>
        <v>-3.4646169035703451</v>
      </c>
      <c r="R813" s="26">
        <f t="shared" si="91"/>
        <v>3.4646169035703451</v>
      </c>
    </row>
    <row r="814" spans="1:18" x14ac:dyDescent="0.3">
      <c r="A814" s="2">
        <v>42969</v>
      </c>
      <c r="B814" s="1">
        <v>39.945</v>
      </c>
      <c r="C814" s="1">
        <v>966.8999</v>
      </c>
      <c r="D814" s="1">
        <v>169.64</v>
      </c>
      <c r="E814" s="1">
        <f t="shared" si="86"/>
        <v>1.621537785047325E-2</v>
      </c>
      <c r="F814" s="1">
        <f t="shared" si="87"/>
        <v>1.4175814498940086E-2</v>
      </c>
      <c r="G814" s="1">
        <f t="shared" si="88"/>
        <v>1.1024947188241277E-2</v>
      </c>
      <c r="P814" s="39">
        <f t="shared" si="89"/>
        <v>410.06944836238245</v>
      </c>
      <c r="Q814" s="26">
        <f t="shared" si="90"/>
        <v>5.6909205170527457</v>
      </c>
      <c r="R814" s="26">
        <f t="shared" si="91"/>
        <v>-5.6909205170527457</v>
      </c>
    </row>
    <row r="815" spans="1:18" x14ac:dyDescent="0.3">
      <c r="A815" s="2">
        <v>42968</v>
      </c>
      <c r="B815" s="1">
        <v>39.302500000000002</v>
      </c>
      <c r="C815" s="1">
        <v>953.29</v>
      </c>
      <c r="D815" s="1">
        <v>167.78</v>
      </c>
      <c r="E815" s="1">
        <f t="shared" si="86"/>
        <v>-1.8429670622651449E-3</v>
      </c>
      <c r="F815" s="1">
        <f t="shared" si="87"/>
        <v>-5.4191035240950475E-3</v>
      </c>
      <c r="G815" s="1">
        <f t="shared" si="88"/>
        <v>2.2077039904552427E-3</v>
      </c>
      <c r="P815" s="39">
        <f t="shared" si="89"/>
        <v>404.3785278453297</v>
      </c>
      <c r="Q815" s="26">
        <f t="shared" si="90"/>
        <v>-1.8611160457477922</v>
      </c>
      <c r="R815" s="26">
        <f t="shared" si="91"/>
        <v>1.8611160457477922</v>
      </c>
    </row>
    <row r="816" spans="1:18" x14ac:dyDescent="0.3">
      <c r="A816" s="2">
        <v>42965</v>
      </c>
      <c r="B816" s="1">
        <v>39.375</v>
      </c>
      <c r="C816" s="1">
        <v>958.47</v>
      </c>
      <c r="D816" s="1">
        <v>167.41</v>
      </c>
      <c r="E816" s="1">
        <f t="shared" si="86"/>
        <v>-2.2831060145687434E-3</v>
      </c>
      <c r="F816" s="1">
        <f t="shared" si="87"/>
        <v>-2.1886992756020205E-3</v>
      </c>
      <c r="G816" s="1">
        <f t="shared" si="88"/>
        <v>2.9911484373672235E-3</v>
      </c>
      <c r="P816" s="39">
        <f t="shared" si="89"/>
        <v>406.23964389107749</v>
      </c>
      <c r="Q816" s="26">
        <f t="shared" si="90"/>
        <v>-0.70380524742938633</v>
      </c>
      <c r="R816" s="26">
        <f t="shared" si="91"/>
        <v>0.70380524742938633</v>
      </c>
    </row>
    <row r="817" spans="1:18" x14ac:dyDescent="0.3">
      <c r="A817" s="2">
        <v>42964</v>
      </c>
      <c r="B817" s="1">
        <v>39.465000000000003</v>
      </c>
      <c r="C817" s="1">
        <v>960.57010000000002</v>
      </c>
      <c r="D817" s="1">
        <v>166.91</v>
      </c>
      <c r="E817" s="1">
        <f t="shared" si="86"/>
        <v>-1.9385193464560663E-2</v>
      </c>
      <c r="F817" s="1">
        <f t="shared" si="87"/>
        <v>-1.8166637581997366E-2</v>
      </c>
      <c r="G817" s="1">
        <f t="shared" si="88"/>
        <v>-1.8343692059935707E-2</v>
      </c>
      <c r="P817" s="39">
        <f t="shared" si="89"/>
        <v>406.94344913850688</v>
      </c>
      <c r="Q817" s="26">
        <f t="shared" si="90"/>
        <v>-7.4871783956567128</v>
      </c>
      <c r="R817" s="26">
        <f t="shared" si="91"/>
        <v>7.4871783956567128</v>
      </c>
    </row>
    <row r="818" spans="1:18" x14ac:dyDescent="0.3">
      <c r="A818" s="2">
        <v>42963</v>
      </c>
      <c r="B818" s="1">
        <v>40.237499999999997</v>
      </c>
      <c r="C818" s="1">
        <v>978.17989999999998</v>
      </c>
      <c r="D818" s="1">
        <v>170</v>
      </c>
      <c r="E818" s="1">
        <f t="shared" si="86"/>
        <v>-4.0303883421779225E-3</v>
      </c>
      <c r="F818" s="1">
        <f t="shared" si="87"/>
        <v>-4.6509887734038228E-3</v>
      </c>
      <c r="G818" s="1">
        <f t="shared" si="88"/>
        <v>-5.8651194523981339E-3</v>
      </c>
      <c r="P818" s="39">
        <f t="shared" si="89"/>
        <v>414.43062753416359</v>
      </c>
      <c r="Q818" s="26">
        <f t="shared" si="90"/>
        <v>-1.9665761085442455</v>
      </c>
      <c r="R818" s="26">
        <f t="shared" si="91"/>
        <v>1.9665761085442455</v>
      </c>
    </row>
    <row r="819" spans="1:18" x14ac:dyDescent="0.3">
      <c r="A819" s="2">
        <v>42962</v>
      </c>
      <c r="B819" s="1">
        <v>40.4</v>
      </c>
      <c r="C819" s="1">
        <v>982.74</v>
      </c>
      <c r="D819" s="1">
        <v>171</v>
      </c>
      <c r="E819" s="1">
        <f t="shared" si="86"/>
        <v>1.0888270581144492E-2</v>
      </c>
      <c r="F819" s="1">
        <f t="shared" si="87"/>
        <v>-5.6967306376728944E-4</v>
      </c>
      <c r="G819" s="1">
        <f t="shared" si="88"/>
        <v>1.4630580517603152E-3</v>
      </c>
      <c r="P819" s="39">
        <f t="shared" si="89"/>
        <v>416.39720364270784</v>
      </c>
      <c r="Q819" s="26">
        <f t="shared" si="90"/>
        <v>2.8819529279417111E-2</v>
      </c>
      <c r="R819" s="26">
        <f t="shared" si="91"/>
        <v>-2.8819529279417111E-2</v>
      </c>
    </row>
    <row r="820" spans="1:18" x14ac:dyDescent="0.3">
      <c r="A820" s="2">
        <v>42961</v>
      </c>
      <c r="B820" s="1">
        <v>39.962499999999999</v>
      </c>
      <c r="C820" s="1">
        <v>983.3</v>
      </c>
      <c r="D820" s="1">
        <v>170.75</v>
      </c>
      <c r="E820" s="1">
        <f t="shared" si="86"/>
        <v>1.4937409430313778E-2</v>
      </c>
      <c r="F820" s="1">
        <f t="shared" si="87"/>
        <v>1.5692505141406559E-2</v>
      </c>
      <c r="G820" s="1">
        <f t="shared" si="88"/>
        <v>1.5760441914154315E-2</v>
      </c>
      <c r="P820" s="39">
        <f t="shared" si="89"/>
        <v>416.36838411342842</v>
      </c>
      <c r="Q820" s="26">
        <f t="shared" si="90"/>
        <v>6.4730262023098817</v>
      </c>
      <c r="R820" s="26">
        <f t="shared" si="91"/>
        <v>-6.4730262023098817</v>
      </c>
    </row>
    <row r="821" spans="1:18" x14ac:dyDescent="0.3">
      <c r="A821" s="2">
        <v>42958</v>
      </c>
      <c r="B821" s="1">
        <v>39.369999999999997</v>
      </c>
      <c r="C821" s="1">
        <v>967.99</v>
      </c>
      <c r="D821" s="1">
        <v>168.08</v>
      </c>
      <c r="E821" s="1">
        <f t="shared" si="86"/>
        <v>1.381096121207025E-2</v>
      </c>
      <c r="F821" s="1">
        <f t="shared" si="87"/>
        <v>1.1502067754272531E-2</v>
      </c>
      <c r="G821" s="1">
        <f t="shared" si="88"/>
        <v>4.0538984813700621E-3</v>
      </c>
      <c r="P821" s="39">
        <f t="shared" si="89"/>
        <v>409.89535791111854</v>
      </c>
      <c r="Q821" s="26">
        <f t="shared" si="90"/>
        <v>4.45562419936374</v>
      </c>
      <c r="R821" s="26">
        <f t="shared" si="91"/>
        <v>-4.45562419936374</v>
      </c>
    </row>
    <row r="822" spans="1:18" x14ac:dyDescent="0.3">
      <c r="A822" s="2">
        <v>42957</v>
      </c>
      <c r="B822" s="1">
        <v>38.83</v>
      </c>
      <c r="C822" s="1">
        <v>956.91989999999998</v>
      </c>
      <c r="D822" s="1">
        <v>167.4</v>
      </c>
      <c r="E822" s="1">
        <f t="shared" si="86"/>
        <v>-3.628946150393237E-2</v>
      </c>
      <c r="F822" s="1">
        <f t="shared" si="87"/>
        <v>-2.5881802711574118E-2</v>
      </c>
      <c r="G822" s="1">
        <f t="shared" si="88"/>
        <v>-2.2329476398088657E-2</v>
      </c>
      <c r="P822" s="39">
        <f t="shared" si="89"/>
        <v>405.4397337117548</v>
      </c>
      <c r="Q822" s="26">
        <f t="shared" si="90"/>
        <v>-10.671197444274014</v>
      </c>
      <c r="R822" s="26">
        <f t="shared" si="91"/>
        <v>10.671197444274014</v>
      </c>
    </row>
    <row r="823" spans="1:18" x14ac:dyDescent="0.3">
      <c r="A823" s="2">
        <v>42956</v>
      </c>
      <c r="B823" s="1">
        <v>40.265000000000001</v>
      </c>
      <c r="C823" s="1">
        <v>982.01</v>
      </c>
      <c r="D823" s="1">
        <v>171.18</v>
      </c>
      <c r="E823" s="1">
        <f t="shared" si="86"/>
        <v>6.1032760919208593E-3</v>
      </c>
      <c r="F823" s="1">
        <f t="shared" si="87"/>
        <v>-7.941923330138323E-3</v>
      </c>
      <c r="G823" s="1">
        <f t="shared" si="88"/>
        <v>-2.9204754741600069E-4</v>
      </c>
      <c r="P823" s="39">
        <f t="shared" si="89"/>
        <v>416.11093115602881</v>
      </c>
      <c r="Q823" s="26">
        <f t="shared" si="90"/>
        <v>-2.7983947296227711</v>
      </c>
      <c r="R823" s="26">
        <f t="shared" si="91"/>
        <v>2.7983947296227711</v>
      </c>
    </row>
    <row r="824" spans="1:18" x14ac:dyDescent="0.3">
      <c r="A824" s="2">
        <v>42955</v>
      </c>
      <c r="B824" s="1">
        <v>40.020000000000003</v>
      </c>
      <c r="C824" s="1">
        <v>989.84010000000001</v>
      </c>
      <c r="D824" s="1">
        <v>171.23</v>
      </c>
      <c r="E824" s="1">
        <f t="shared" si="86"/>
        <v>7.9651711529227162E-3</v>
      </c>
      <c r="F824" s="1">
        <f t="shared" si="87"/>
        <v>-2.4518327385297778E-3</v>
      </c>
      <c r="G824" s="1">
        <f t="shared" si="88"/>
        <v>-4.3705089818706607E-3</v>
      </c>
      <c r="P824" s="39">
        <f t="shared" si="89"/>
        <v>418.90932588565158</v>
      </c>
      <c r="Q824" s="26">
        <f t="shared" si="90"/>
        <v>-0.92754660317285698</v>
      </c>
      <c r="R824" s="26">
        <f t="shared" si="91"/>
        <v>0.92754660317285698</v>
      </c>
    </row>
    <row r="825" spans="1:18" x14ac:dyDescent="0.3">
      <c r="A825" s="2">
        <v>42954</v>
      </c>
      <c r="B825" s="1">
        <v>39.702500000000001</v>
      </c>
      <c r="C825" s="1">
        <v>992.27</v>
      </c>
      <c r="D825" s="1">
        <v>171.98</v>
      </c>
      <c r="E825" s="1">
        <f t="shared" si="86"/>
        <v>1.535563167443117E-2</v>
      </c>
      <c r="F825" s="1">
        <f t="shared" si="87"/>
        <v>4.7376402609024034E-3</v>
      </c>
      <c r="G825" s="1">
        <f t="shared" si="88"/>
        <v>1.3817550049196376E-2</v>
      </c>
      <c r="P825" s="39">
        <f t="shared" si="89"/>
        <v>419.83687248882444</v>
      </c>
      <c r="Q825" s="26">
        <f t="shared" si="90"/>
        <v>2.4925326912928085</v>
      </c>
      <c r="R825" s="26">
        <f t="shared" si="91"/>
        <v>-2.4925326912928085</v>
      </c>
    </row>
    <row r="826" spans="1:18" x14ac:dyDescent="0.3">
      <c r="A826" s="2">
        <v>42951</v>
      </c>
      <c r="B826" s="1">
        <v>39.097499999999997</v>
      </c>
      <c r="C826" s="1">
        <v>987.58010000000002</v>
      </c>
      <c r="D826" s="1">
        <v>169.62</v>
      </c>
      <c r="E826" s="1">
        <f t="shared" si="86"/>
        <v>5.2570963490941669E-3</v>
      </c>
      <c r="F826" s="1">
        <f t="shared" si="87"/>
        <v>6.6872628473350871E-4</v>
      </c>
      <c r="G826" s="1">
        <f t="shared" si="88"/>
        <v>6.0909091058441982E-3</v>
      </c>
      <c r="P826" s="39">
        <f t="shared" si="89"/>
        <v>417.34433979753163</v>
      </c>
      <c r="Q826" s="26">
        <f t="shared" si="90"/>
        <v>0.55174230786752787</v>
      </c>
      <c r="R826" s="26">
        <f t="shared" si="91"/>
        <v>-0.55174230786752787</v>
      </c>
    </row>
    <row r="827" spans="1:18" x14ac:dyDescent="0.3">
      <c r="A827" s="2">
        <v>42950</v>
      </c>
      <c r="B827" s="1">
        <v>38.892499999999998</v>
      </c>
      <c r="C827" s="1">
        <v>986.91989999999998</v>
      </c>
      <c r="D827" s="1">
        <v>168.59</v>
      </c>
      <c r="E827" s="1">
        <f t="shared" si="86"/>
        <v>-1.0041336648645385E-2</v>
      </c>
      <c r="F827" s="1">
        <f t="shared" si="87"/>
        <v>-9.0478281806501363E-3</v>
      </c>
      <c r="G827" s="1">
        <f t="shared" si="88"/>
        <v>-4.2025573113798967E-3</v>
      </c>
      <c r="P827" s="39">
        <f t="shared" si="89"/>
        <v>416.7925974896641</v>
      </c>
      <c r="Q827" s="26">
        <f t="shared" si="90"/>
        <v>-3.6261409694170652</v>
      </c>
      <c r="R827" s="26">
        <f t="shared" si="91"/>
        <v>3.6261409694170652</v>
      </c>
    </row>
    <row r="828" spans="1:18" x14ac:dyDescent="0.3">
      <c r="A828" s="2">
        <v>42949</v>
      </c>
      <c r="B828" s="1">
        <v>39.284999999999997</v>
      </c>
      <c r="C828" s="1">
        <v>995.88990000000001</v>
      </c>
      <c r="D828" s="1">
        <v>169.3</v>
      </c>
      <c r="E828" s="1">
        <f t="shared" si="86"/>
        <v>4.6168555861299192E-2</v>
      </c>
      <c r="F828" s="1">
        <f t="shared" si="87"/>
        <v>-3.0119275569977195E-4</v>
      </c>
      <c r="G828" s="1">
        <f t="shared" si="88"/>
        <v>-3.3022792127736168E-3</v>
      </c>
      <c r="P828" s="39">
        <f t="shared" si="89"/>
        <v>420.41873845908117</v>
      </c>
      <c r="Q828" s="26">
        <f t="shared" si="90"/>
        <v>0.50233008638991805</v>
      </c>
      <c r="R828" s="26">
        <f t="shared" si="91"/>
        <v>-0.50233008638991805</v>
      </c>
    </row>
    <row r="829" spans="1:18" x14ac:dyDescent="0.3">
      <c r="A829" s="2">
        <v>42948</v>
      </c>
      <c r="B829" s="1">
        <v>37.512500000000003</v>
      </c>
      <c r="C829" s="1">
        <v>996.18989999999997</v>
      </c>
      <c r="D829" s="1">
        <v>169.86</v>
      </c>
      <c r="E829" s="1">
        <f t="shared" si="86"/>
        <v>8.8359902818695938E-3</v>
      </c>
      <c r="F829" s="1">
        <f t="shared" si="87"/>
        <v>8.477901173402063E-3</v>
      </c>
      <c r="G829" s="1">
        <f t="shared" si="88"/>
        <v>3.5976565594789071E-3</v>
      </c>
      <c r="P829" s="39">
        <f t="shared" si="89"/>
        <v>419.91640837269125</v>
      </c>
      <c r="Q829" s="26">
        <f t="shared" si="90"/>
        <v>3.3719151018627826</v>
      </c>
      <c r="R829" s="26">
        <f t="shared" si="91"/>
        <v>-3.3719151018627826</v>
      </c>
    </row>
    <row r="830" spans="1:18" x14ac:dyDescent="0.3">
      <c r="A830" s="2">
        <v>42947</v>
      </c>
      <c r="B830" s="1">
        <v>37.182499999999997</v>
      </c>
      <c r="C830" s="1">
        <v>987.78</v>
      </c>
      <c r="D830" s="1">
        <v>169.25</v>
      </c>
      <c r="E830" s="1">
        <f t="shared" si="86"/>
        <v>-5.1638112262346004E-3</v>
      </c>
      <c r="F830" s="1">
        <f t="shared" si="87"/>
        <v>-3.2137120307690885E-2</v>
      </c>
      <c r="G830" s="1">
        <f t="shared" si="88"/>
        <v>-1.8730427590465514E-2</v>
      </c>
      <c r="P830" s="39">
        <f t="shared" si="89"/>
        <v>416.54449327082847</v>
      </c>
      <c r="Q830" s="26">
        <f t="shared" si="90"/>
        <v>-12.676187226858531</v>
      </c>
      <c r="R830" s="26">
        <f t="shared" si="91"/>
        <v>12.676187226858531</v>
      </c>
    </row>
    <row r="831" spans="1:18" x14ac:dyDescent="0.3">
      <c r="A831" s="2">
        <v>42944</v>
      </c>
      <c r="B831" s="1">
        <v>37.375</v>
      </c>
      <c r="C831" s="1">
        <v>1020.04</v>
      </c>
      <c r="D831" s="1">
        <v>172.45</v>
      </c>
      <c r="E831" s="1">
        <f t="shared" si="86"/>
        <v>-7.0652830063284164E-3</v>
      </c>
      <c r="F831" s="1">
        <f t="shared" si="87"/>
        <v>-2.5131523429191845E-2</v>
      </c>
      <c r="G831" s="1">
        <f t="shared" si="88"/>
        <v>1.1724010751138481E-2</v>
      </c>
      <c r="P831" s="39">
        <f t="shared" si="89"/>
        <v>429.220680497687</v>
      </c>
      <c r="Q831" s="26">
        <f t="shared" si="90"/>
        <v>-9.2526484033909355</v>
      </c>
      <c r="R831" s="26">
        <f t="shared" si="91"/>
        <v>9.2526484033909355</v>
      </c>
    </row>
    <row r="832" spans="1:18" x14ac:dyDescent="0.3">
      <c r="A832" s="2">
        <v>42943</v>
      </c>
      <c r="B832" s="1">
        <v>37.64</v>
      </c>
      <c r="C832" s="1">
        <v>1046</v>
      </c>
      <c r="D832" s="1">
        <v>170.44</v>
      </c>
      <c r="E832" s="1">
        <f t="shared" si="86"/>
        <v>-1.9078270912449683E-2</v>
      </c>
      <c r="F832" s="1">
        <f t="shared" si="87"/>
        <v>-6.4799159461845007E-3</v>
      </c>
      <c r="G832" s="1">
        <f t="shared" si="88"/>
        <v>2.8747702030311517E-2</v>
      </c>
      <c r="P832" s="39">
        <f t="shared" si="89"/>
        <v>438.47332890107793</v>
      </c>
      <c r="Q832" s="26">
        <f t="shared" si="90"/>
        <v>-1.7626535509282348</v>
      </c>
      <c r="R832" s="26">
        <f t="shared" si="91"/>
        <v>1.7626535509282348</v>
      </c>
    </row>
    <row r="833" spans="1:18" x14ac:dyDescent="0.3">
      <c r="A833" s="2">
        <v>42942</v>
      </c>
      <c r="B833" s="1">
        <v>38.365000000000002</v>
      </c>
      <c r="C833" s="1">
        <v>1052.8</v>
      </c>
      <c r="D833" s="1">
        <v>165.61</v>
      </c>
      <c r="E833" s="1">
        <f t="shared" si="86"/>
        <v>4.7028172892811118E-3</v>
      </c>
      <c r="F833" s="1">
        <f t="shared" si="87"/>
        <v>1.2357576248785522E-2</v>
      </c>
      <c r="G833" s="1">
        <f t="shared" si="88"/>
        <v>1.9946212300712392E-3</v>
      </c>
      <c r="P833" s="39">
        <f t="shared" si="89"/>
        <v>440.23598245200617</v>
      </c>
      <c r="Q833" s="26">
        <f t="shared" si="90"/>
        <v>4.9168664557370221</v>
      </c>
      <c r="R833" s="26">
        <f t="shared" si="91"/>
        <v>-4.9168664557370221</v>
      </c>
    </row>
    <row r="834" spans="1:18" x14ac:dyDescent="0.3">
      <c r="A834" s="2">
        <v>42941</v>
      </c>
      <c r="B834" s="1">
        <v>38.185000000000002</v>
      </c>
      <c r="C834" s="1">
        <v>1039.8699999999999</v>
      </c>
      <c r="D834" s="1">
        <v>165.28</v>
      </c>
      <c r="E834" s="1">
        <f t="shared" si="86"/>
        <v>4.2646785759607713E-3</v>
      </c>
      <c r="F834" s="1">
        <f t="shared" si="87"/>
        <v>8.8511757637805427E-4</v>
      </c>
      <c r="G834" s="1">
        <f t="shared" si="88"/>
        <v>-4.3467829852147947E-3</v>
      </c>
      <c r="P834" s="39">
        <f t="shared" si="89"/>
        <v>435.31911599626915</v>
      </c>
      <c r="Q834" s="26">
        <f t="shared" si="90"/>
        <v>0.25074592118949113</v>
      </c>
      <c r="R834" s="26">
        <f t="shared" si="91"/>
        <v>-0.25074592118949113</v>
      </c>
    </row>
    <row r="835" spans="1:18" x14ac:dyDescent="0.3">
      <c r="A835" s="2">
        <v>42940</v>
      </c>
      <c r="B835" s="1">
        <v>38.022500000000001</v>
      </c>
      <c r="C835" s="1">
        <v>1038.95</v>
      </c>
      <c r="D835" s="1">
        <v>166</v>
      </c>
      <c r="E835" s="1">
        <f t="shared" si="86"/>
        <v>1.2038774846642139E-2</v>
      </c>
      <c r="F835" s="1">
        <f t="shared" si="87"/>
        <v>1.2864530178485982E-2</v>
      </c>
      <c r="G835" s="1">
        <f t="shared" si="88"/>
        <v>9.5028406304085693E-3</v>
      </c>
      <c r="P835" s="39">
        <f t="shared" si="89"/>
        <v>435.06837007507966</v>
      </c>
      <c r="Q835" s="26">
        <f t="shared" si="90"/>
        <v>5.4286662912593897</v>
      </c>
      <c r="R835" s="26">
        <f t="shared" si="91"/>
        <v>-5.4286662912593897</v>
      </c>
    </row>
    <row r="836" spans="1:18" x14ac:dyDescent="0.3">
      <c r="A836" s="2">
        <v>42937</v>
      </c>
      <c r="B836" s="1">
        <v>37.567500000000003</v>
      </c>
      <c r="C836" s="1">
        <v>1025.67</v>
      </c>
      <c r="D836" s="1">
        <v>164.43</v>
      </c>
      <c r="E836" s="1">
        <f t="shared" si="86"/>
        <v>-4.6571971168764259E-4</v>
      </c>
      <c r="F836" s="1">
        <f t="shared" si="87"/>
        <v>-2.9498115695811662E-3</v>
      </c>
      <c r="G836" s="1">
        <f t="shared" si="88"/>
        <v>-6.079766724239996E-4</v>
      </c>
      <c r="P836" s="39">
        <f t="shared" si="89"/>
        <v>429.63970378382027</v>
      </c>
      <c r="Q836" s="26">
        <f t="shared" si="90"/>
        <v>-1.1468990141223117</v>
      </c>
      <c r="R836" s="26">
        <f t="shared" si="91"/>
        <v>1.1468990141223117</v>
      </c>
    </row>
    <row r="837" spans="1:18" x14ac:dyDescent="0.3">
      <c r="A837" s="2">
        <v>42936</v>
      </c>
      <c r="B837" s="1">
        <v>37.585000000000001</v>
      </c>
      <c r="C837" s="1">
        <v>1028.7</v>
      </c>
      <c r="D837" s="1">
        <v>164.53</v>
      </c>
      <c r="E837" s="1">
        <f t="shared" si="86"/>
        <v>-4.5128826259567597E-3</v>
      </c>
      <c r="F837" s="1">
        <f t="shared" si="87"/>
        <v>1.7805284991199619E-3</v>
      </c>
      <c r="G837" s="1">
        <f t="shared" si="88"/>
        <v>2.3732021969931683E-3</v>
      </c>
      <c r="P837" s="39">
        <f t="shared" si="89"/>
        <v>430.78660279794258</v>
      </c>
      <c r="Q837" s="26">
        <f t="shared" si="90"/>
        <v>0.68929751827579366</v>
      </c>
      <c r="R837" s="26">
        <f t="shared" si="91"/>
        <v>-0.68929751827579366</v>
      </c>
    </row>
    <row r="838" spans="1:18" x14ac:dyDescent="0.3">
      <c r="A838" s="2">
        <v>42935</v>
      </c>
      <c r="B838" s="1">
        <v>37.755000000000003</v>
      </c>
      <c r="C838" s="1">
        <v>1026.8699999999999</v>
      </c>
      <c r="D838" s="1">
        <v>164.14</v>
      </c>
      <c r="E838" s="1">
        <f t="shared" ref="E838:E901" si="92">LN(B838/B839)</f>
        <v>6.2437931173649416E-3</v>
      </c>
      <c r="F838" s="1">
        <f t="shared" ref="F838:F901" si="93">LN(C838/C839)</f>
        <v>2.3594574446560465E-3</v>
      </c>
      <c r="G838" s="1">
        <f t="shared" ref="G838:G901" si="94">LN(D838/D839)</f>
        <v>7.8287861625802226E-3</v>
      </c>
      <c r="P838" s="39">
        <f t="shared" ref="P838:P901" si="95">B838*$J$13+C838*$J$14+D838*$J$15</f>
        <v>430.09730527966678</v>
      </c>
      <c r="Q838" s="26">
        <f t="shared" ref="Q838:Q901" si="96">P838-P839</f>
        <v>1.2676622003304487</v>
      </c>
      <c r="R838" s="26">
        <f t="shared" ref="R838:R901" si="97">-Q838</f>
        <v>-1.2676622003304487</v>
      </c>
    </row>
    <row r="839" spans="1:18" x14ac:dyDescent="0.3">
      <c r="A839" s="2">
        <v>42934</v>
      </c>
      <c r="B839" s="1">
        <v>37.520000000000003</v>
      </c>
      <c r="C839" s="1">
        <v>1024.45</v>
      </c>
      <c r="D839" s="1">
        <v>162.86000000000001</v>
      </c>
      <c r="E839" s="1">
        <f t="shared" si="92"/>
        <v>3.4708351490016173E-3</v>
      </c>
      <c r="F839" s="1">
        <f t="shared" si="93"/>
        <v>1.4165949181723174E-2</v>
      </c>
      <c r="G839" s="1">
        <f t="shared" si="94"/>
        <v>1.9406046237120108E-2</v>
      </c>
      <c r="P839" s="39">
        <f t="shared" si="95"/>
        <v>428.82964307933634</v>
      </c>
      <c r="Q839" s="26">
        <f t="shared" si="96"/>
        <v>6.0490189661866225</v>
      </c>
      <c r="R839" s="26">
        <f t="shared" si="97"/>
        <v>-6.0490189661866225</v>
      </c>
    </row>
    <row r="840" spans="1:18" x14ac:dyDescent="0.3">
      <c r="A840" s="2">
        <v>42933</v>
      </c>
      <c r="B840" s="1">
        <v>37.39</v>
      </c>
      <c r="C840" s="1">
        <v>1010.04</v>
      </c>
      <c r="D840" s="1">
        <v>159.72999999999999</v>
      </c>
      <c r="E840" s="1">
        <f t="shared" si="92"/>
        <v>3.4829238155799683E-3</v>
      </c>
      <c r="F840" s="1">
        <f t="shared" si="93"/>
        <v>8.181570105446942E-3</v>
      </c>
      <c r="G840" s="1">
        <f t="shared" si="94"/>
        <v>-1.5014078516390949E-3</v>
      </c>
      <c r="P840" s="39">
        <f t="shared" si="95"/>
        <v>422.78062411314971</v>
      </c>
      <c r="Q840" s="26">
        <f t="shared" si="96"/>
        <v>3.0384685516517607</v>
      </c>
      <c r="R840" s="26">
        <f t="shared" si="97"/>
        <v>-3.0384685516517607</v>
      </c>
    </row>
    <row r="841" spans="1:18" x14ac:dyDescent="0.3">
      <c r="A841" s="2">
        <v>42930</v>
      </c>
      <c r="B841" s="1">
        <v>37.26</v>
      </c>
      <c r="C841" s="1">
        <v>1001.81</v>
      </c>
      <c r="D841" s="1">
        <v>159.97</v>
      </c>
      <c r="E841" s="1">
        <f t="shared" si="92"/>
        <v>8.557715377790362E-3</v>
      </c>
      <c r="F841" s="1">
        <f t="shared" si="93"/>
        <v>1.1785622905913498E-3</v>
      </c>
      <c r="G841" s="1">
        <f t="shared" si="94"/>
        <v>4.4482108242055755E-3</v>
      </c>
      <c r="P841" s="39">
        <f t="shared" si="95"/>
        <v>419.74215556149795</v>
      </c>
      <c r="Q841" s="26">
        <f t="shared" si="96"/>
        <v>0.72079557484818224</v>
      </c>
      <c r="R841" s="26">
        <f t="shared" si="97"/>
        <v>-0.72079557484818224</v>
      </c>
    </row>
    <row r="842" spans="1:18" x14ac:dyDescent="0.3">
      <c r="A842" s="2">
        <v>42929</v>
      </c>
      <c r="B842" s="1">
        <v>36.942500000000003</v>
      </c>
      <c r="C842" s="1">
        <v>1000.63</v>
      </c>
      <c r="D842" s="1">
        <v>159.26</v>
      </c>
      <c r="E842" s="1">
        <f t="shared" si="92"/>
        <v>1.3832798673406475E-2</v>
      </c>
      <c r="F842" s="1">
        <f t="shared" si="93"/>
        <v>-5.8590998348149702E-3</v>
      </c>
      <c r="G842" s="1">
        <f t="shared" si="94"/>
        <v>2.2630132866283919E-3</v>
      </c>
      <c r="P842" s="39">
        <f t="shared" si="95"/>
        <v>419.02135998664977</v>
      </c>
      <c r="Q842" s="26">
        <f t="shared" si="96"/>
        <v>-1.8812569690553005</v>
      </c>
      <c r="R842" s="26">
        <f t="shared" si="97"/>
        <v>1.8812569690553005</v>
      </c>
    </row>
    <row r="843" spans="1:18" x14ac:dyDescent="0.3">
      <c r="A843" s="2">
        <v>42928</v>
      </c>
      <c r="B843" s="1">
        <v>36.435000000000002</v>
      </c>
      <c r="C843" s="1">
        <v>1006.51</v>
      </c>
      <c r="D843" s="1">
        <v>158.9</v>
      </c>
      <c r="E843" s="1">
        <f t="shared" si="92"/>
        <v>1.4419613169014058E-3</v>
      </c>
      <c r="F843" s="1">
        <f t="shared" si="93"/>
        <v>1.2376298227483628E-2</v>
      </c>
      <c r="G843" s="1">
        <f t="shared" si="94"/>
        <v>2.31095365495919E-2</v>
      </c>
      <c r="P843" s="39">
        <f t="shared" si="95"/>
        <v>420.90261695570507</v>
      </c>
      <c r="Q843" s="26">
        <f t="shared" si="96"/>
        <v>5.3762943515519055</v>
      </c>
      <c r="R843" s="26">
        <f t="shared" si="97"/>
        <v>-5.3762943515519055</v>
      </c>
    </row>
    <row r="844" spans="1:18" x14ac:dyDescent="0.3">
      <c r="A844" s="2">
        <v>42927</v>
      </c>
      <c r="B844" s="1">
        <v>36.3825</v>
      </c>
      <c r="C844" s="1">
        <v>994.12990000000002</v>
      </c>
      <c r="D844" s="1">
        <v>155.27000000000001</v>
      </c>
      <c r="E844" s="1">
        <f t="shared" si="92"/>
        <v>3.2348009899685797E-3</v>
      </c>
      <c r="F844" s="1">
        <f t="shared" si="93"/>
        <v>-2.3511516081048661E-3</v>
      </c>
      <c r="G844" s="1">
        <f t="shared" si="94"/>
        <v>1.1464969965826651E-2</v>
      </c>
      <c r="P844" s="39">
        <f t="shared" si="95"/>
        <v>415.52632260415317</v>
      </c>
      <c r="Q844" s="26">
        <f t="shared" si="96"/>
        <v>-0.43116248989167616</v>
      </c>
      <c r="R844" s="26">
        <f t="shared" si="97"/>
        <v>0.43116248989167616</v>
      </c>
    </row>
    <row r="845" spans="1:18" x14ac:dyDescent="0.3">
      <c r="A845" s="2">
        <v>42926</v>
      </c>
      <c r="B845" s="1">
        <v>36.265000000000001</v>
      </c>
      <c r="C845" s="1">
        <v>996.47</v>
      </c>
      <c r="D845" s="1">
        <v>153.5</v>
      </c>
      <c r="E845" s="1">
        <f t="shared" si="92"/>
        <v>6.0849309588338184E-3</v>
      </c>
      <c r="F845" s="1">
        <f t="shared" si="93"/>
        <v>1.7932569464399147E-2</v>
      </c>
      <c r="G845" s="1">
        <f t="shared" si="94"/>
        <v>1.3511060126184346E-2</v>
      </c>
      <c r="P845" s="39">
        <f t="shared" si="95"/>
        <v>415.95748509404484</v>
      </c>
      <c r="Q845" s="26">
        <f t="shared" si="96"/>
        <v>7.0720247070922255</v>
      </c>
      <c r="R845" s="26">
        <f t="shared" si="97"/>
        <v>-7.0720247070922255</v>
      </c>
    </row>
    <row r="846" spans="1:18" x14ac:dyDescent="0.3">
      <c r="A846" s="2">
        <v>42923</v>
      </c>
      <c r="B846" s="1">
        <v>36.045000000000002</v>
      </c>
      <c r="C846" s="1">
        <v>978.76</v>
      </c>
      <c r="D846" s="1">
        <v>151.44</v>
      </c>
      <c r="E846" s="1">
        <f t="shared" si="92"/>
        <v>1.010778533475562E-2</v>
      </c>
      <c r="F846" s="1">
        <f t="shared" si="93"/>
        <v>1.4013399441961996E-2</v>
      </c>
      <c r="G846" s="1">
        <f t="shared" si="94"/>
        <v>1.7451984931952276E-2</v>
      </c>
      <c r="P846" s="39">
        <f t="shared" si="95"/>
        <v>408.88546038695262</v>
      </c>
      <c r="Q846" s="26">
        <f t="shared" si="96"/>
        <v>5.743375968059695</v>
      </c>
      <c r="R846" s="26">
        <f t="shared" si="97"/>
        <v>-5.743375968059695</v>
      </c>
    </row>
    <row r="847" spans="1:18" x14ac:dyDescent="0.3">
      <c r="A847" s="2">
        <v>42922</v>
      </c>
      <c r="B847" s="1">
        <v>35.682499999999997</v>
      </c>
      <c r="C847" s="1">
        <v>965.13990000000001</v>
      </c>
      <c r="D847" s="1">
        <v>148.82</v>
      </c>
      <c r="E847" s="1">
        <f t="shared" si="92"/>
        <v>-9.4833707031657041E-3</v>
      </c>
      <c r="F847" s="1">
        <f t="shared" si="93"/>
        <v>-6.4651620429130299E-3</v>
      </c>
      <c r="G847" s="1">
        <f t="shared" si="94"/>
        <v>-1.0161873780207708E-2</v>
      </c>
      <c r="P847" s="39">
        <f t="shared" si="95"/>
        <v>403.14208441889292</v>
      </c>
      <c r="Q847" s="26">
        <f t="shared" si="96"/>
        <v>-2.780018977302575</v>
      </c>
      <c r="R847" s="26">
        <f t="shared" si="97"/>
        <v>2.780018977302575</v>
      </c>
    </row>
    <row r="848" spans="1:18" x14ac:dyDescent="0.3">
      <c r="A848" s="2">
        <v>42921</v>
      </c>
      <c r="B848" s="1">
        <v>36.022500000000001</v>
      </c>
      <c r="C848" s="1">
        <v>971.3999</v>
      </c>
      <c r="D848" s="1">
        <v>150.34</v>
      </c>
      <c r="E848" s="1">
        <f t="shared" si="92"/>
        <v>4.1030691451670312E-3</v>
      </c>
      <c r="F848" s="1">
        <f t="shared" si="93"/>
        <v>1.8431118031788457E-2</v>
      </c>
      <c r="G848" s="1">
        <f t="shared" si="94"/>
        <v>1.2785929112649235E-2</v>
      </c>
      <c r="P848" s="39">
        <f t="shared" si="95"/>
        <v>405.9221033961955</v>
      </c>
      <c r="Q848" s="26">
        <f t="shared" si="96"/>
        <v>7.0205488848128539</v>
      </c>
      <c r="R848" s="26">
        <f t="shared" si="97"/>
        <v>-7.0205488848128539</v>
      </c>
    </row>
    <row r="849" spans="1:18" x14ac:dyDescent="0.3">
      <c r="A849" s="2">
        <v>42920</v>
      </c>
      <c r="B849" s="1">
        <v>35.875</v>
      </c>
      <c r="C849" s="1">
        <v>953.65989999999999</v>
      </c>
      <c r="D849" s="1">
        <v>148.43</v>
      </c>
      <c r="E849" s="1">
        <f t="shared" si="92"/>
        <v>0</v>
      </c>
      <c r="F849" s="1">
        <f t="shared" si="93"/>
        <v>0</v>
      </c>
      <c r="G849" s="1">
        <f t="shared" si="94"/>
        <v>0</v>
      </c>
      <c r="P849" s="39">
        <f t="shared" si="95"/>
        <v>398.90155451138264</v>
      </c>
      <c r="Q849" s="26">
        <f t="shared" si="96"/>
        <v>0</v>
      </c>
      <c r="R849" s="26">
        <f t="shared" si="97"/>
        <v>0</v>
      </c>
    </row>
    <row r="850" spans="1:18" x14ac:dyDescent="0.3">
      <c r="A850" s="2">
        <v>42919</v>
      </c>
      <c r="B850" s="1">
        <v>35.875</v>
      </c>
      <c r="C850" s="1">
        <v>953.65989999999999</v>
      </c>
      <c r="D850" s="1">
        <v>148.43</v>
      </c>
      <c r="E850" s="1">
        <f t="shared" si="92"/>
        <v>-3.6171436210450537E-3</v>
      </c>
      <c r="F850" s="1">
        <f t="shared" si="93"/>
        <v>-1.4924978340930426E-2</v>
      </c>
      <c r="G850" s="1">
        <f t="shared" si="94"/>
        <v>-1.7033911074805119E-2</v>
      </c>
      <c r="P850" s="39">
        <f t="shared" si="95"/>
        <v>398.90155451138264</v>
      </c>
      <c r="Q850" s="26">
        <f t="shared" si="96"/>
        <v>-5.8975350151546877</v>
      </c>
      <c r="R850" s="26">
        <f t="shared" si="97"/>
        <v>5.8975350151546877</v>
      </c>
    </row>
    <row r="851" spans="1:18" x14ac:dyDescent="0.3">
      <c r="A851" s="2">
        <v>42916</v>
      </c>
      <c r="B851" s="1">
        <v>36.005000000000003</v>
      </c>
      <c r="C851" s="1">
        <v>968</v>
      </c>
      <c r="D851" s="1">
        <v>150.97999999999999</v>
      </c>
      <c r="E851" s="1">
        <f t="shared" si="92"/>
        <v>2.3635742668312349E-3</v>
      </c>
      <c r="F851" s="1">
        <f t="shared" si="93"/>
        <v>-8.1586727865731404E-3</v>
      </c>
      <c r="G851" s="1">
        <f t="shared" si="94"/>
        <v>-3.9732468571173518E-4</v>
      </c>
      <c r="P851" s="39">
        <f t="shared" si="95"/>
        <v>404.79908952653733</v>
      </c>
      <c r="Q851" s="26">
        <f t="shared" si="96"/>
        <v>-2.9036759646597261</v>
      </c>
      <c r="R851" s="26">
        <f t="shared" si="97"/>
        <v>2.9036759646597261</v>
      </c>
    </row>
    <row r="852" spans="1:18" x14ac:dyDescent="0.3">
      <c r="A852" s="2">
        <v>42915</v>
      </c>
      <c r="B852" s="1">
        <v>35.92</v>
      </c>
      <c r="C852" s="1">
        <v>975.92989999999998</v>
      </c>
      <c r="D852" s="1">
        <v>151.04</v>
      </c>
      <c r="E852" s="1">
        <f t="shared" si="92"/>
        <v>-1.4852955171584368E-2</v>
      </c>
      <c r="F852" s="1">
        <f t="shared" si="93"/>
        <v>-1.4647561832042933E-2</v>
      </c>
      <c r="G852" s="1">
        <f t="shared" si="94"/>
        <v>-1.4460617435257795E-2</v>
      </c>
      <c r="P852" s="39">
        <f t="shared" si="95"/>
        <v>407.70276549119706</v>
      </c>
      <c r="Q852" s="26">
        <f t="shared" si="96"/>
        <v>-6.0126956705139492</v>
      </c>
      <c r="R852" s="26">
        <f t="shared" si="97"/>
        <v>6.0126956705139492</v>
      </c>
    </row>
    <row r="853" spans="1:18" x14ac:dyDescent="0.3">
      <c r="A853" s="2">
        <v>42914</v>
      </c>
      <c r="B853" s="1">
        <v>36.457500000000003</v>
      </c>
      <c r="C853" s="1">
        <v>990.33010000000002</v>
      </c>
      <c r="D853" s="1">
        <v>153.24</v>
      </c>
      <c r="E853" s="1">
        <f t="shared" si="92"/>
        <v>1.4505020162333486E-2</v>
      </c>
      <c r="F853" s="1">
        <f t="shared" si="93"/>
        <v>1.3776874328789357E-2</v>
      </c>
      <c r="G853" s="1">
        <f t="shared" si="94"/>
        <v>1.7510815410472017E-2</v>
      </c>
      <c r="P853" s="39">
        <f t="shared" si="95"/>
        <v>413.715461161711</v>
      </c>
      <c r="Q853" s="26">
        <f t="shared" si="96"/>
        <v>5.7935433596842927</v>
      </c>
      <c r="R853" s="26">
        <f t="shared" si="97"/>
        <v>-5.7935433596842927</v>
      </c>
    </row>
    <row r="854" spans="1:18" x14ac:dyDescent="0.3">
      <c r="A854" s="2">
        <v>42913</v>
      </c>
      <c r="B854" s="1">
        <v>35.932499999999997</v>
      </c>
      <c r="C854" s="1">
        <v>976.78</v>
      </c>
      <c r="D854" s="1">
        <v>150.58000000000001</v>
      </c>
      <c r="E854" s="1">
        <f t="shared" si="92"/>
        <v>-1.4436444815143772E-2</v>
      </c>
      <c r="F854" s="1">
        <f t="shared" si="93"/>
        <v>-1.745563816339972E-2</v>
      </c>
      <c r="G854" s="1">
        <f t="shared" si="94"/>
        <v>-1.9792210005560588E-2</v>
      </c>
      <c r="P854" s="39">
        <f t="shared" si="95"/>
        <v>407.92191780202671</v>
      </c>
      <c r="Q854" s="26">
        <f t="shared" si="96"/>
        <v>-7.2150581371822682</v>
      </c>
      <c r="R854" s="26">
        <f t="shared" si="97"/>
        <v>7.2150581371822682</v>
      </c>
    </row>
    <row r="855" spans="1:18" x14ac:dyDescent="0.3">
      <c r="A855" s="2">
        <v>42912</v>
      </c>
      <c r="B855" s="1">
        <v>36.454999999999998</v>
      </c>
      <c r="C855" s="1">
        <v>993.98</v>
      </c>
      <c r="D855" s="1">
        <v>153.59</v>
      </c>
      <c r="E855" s="1">
        <f t="shared" si="92"/>
        <v>-3.14960890289622E-3</v>
      </c>
      <c r="F855" s="1">
        <f t="shared" si="93"/>
        <v>-9.7712168414409058E-3</v>
      </c>
      <c r="G855" s="1">
        <f t="shared" si="94"/>
        <v>-9.589913448520648E-3</v>
      </c>
      <c r="P855" s="39">
        <f t="shared" si="95"/>
        <v>415.13697593920898</v>
      </c>
      <c r="Q855" s="26">
        <f t="shared" si="96"/>
        <v>-3.9695216631127437</v>
      </c>
      <c r="R855" s="26">
        <f t="shared" si="97"/>
        <v>3.9695216631127437</v>
      </c>
    </row>
    <row r="856" spans="1:18" x14ac:dyDescent="0.3">
      <c r="A856" s="2">
        <v>42909</v>
      </c>
      <c r="B856" s="1">
        <v>36.57</v>
      </c>
      <c r="C856" s="1">
        <v>1003.74</v>
      </c>
      <c r="D856" s="1">
        <v>155.07</v>
      </c>
      <c r="E856" s="1">
        <f t="shared" si="92"/>
        <v>4.4534347866914481E-3</v>
      </c>
      <c r="F856" s="1">
        <f t="shared" si="93"/>
        <v>2.4338678574874041E-3</v>
      </c>
      <c r="G856" s="1">
        <f t="shared" si="94"/>
        <v>1.0827738942901854E-2</v>
      </c>
      <c r="P856" s="39">
        <f t="shared" si="95"/>
        <v>419.10649760232172</v>
      </c>
      <c r="Q856" s="26">
        <f t="shared" si="96"/>
        <v>1.3295211931474</v>
      </c>
      <c r="R856" s="26">
        <f t="shared" si="97"/>
        <v>-1.3295211931474</v>
      </c>
    </row>
    <row r="857" spans="1:18" x14ac:dyDescent="0.3">
      <c r="A857" s="2">
        <v>42908</v>
      </c>
      <c r="B857" s="1">
        <v>36.407499999999999</v>
      </c>
      <c r="C857" s="1">
        <v>1001.3</v>
      </c>
      <c r="D857" s="1">
        <v>153.4</v>
      </c>
      <c r="E857" s="1">
        <f t="shared" si="92"/>
        <v>-1.6466556036329122E-3</v>
      </c>
      <c r="F857" s="1">
        <f t="shared" si="93"/>
        <v>-9.2836150873090576E-4</v>
      </c>
      <c r="G857" s="1">
        <f t="shared" si="94"/>
        <v>-3.3191270587067979E-3</v>
      </c>
      <c r="P857" s="39">
        <f t="shared" si="95"/>
        <v>417.77697640917432</v>
      </c>
      <c r="Q857" s="26">
        <f t="shared" si="96"/>
        <v>-0.47852378831049691</v>
      </c>
      <c r="R857" s="26">
        <f t="shared" si="97"/>
        <v>0.47852378831049691</v>
      </c>
    </row>
    <row r="858" spans="1:18" x14ac:dyDescent="0.3">
      <c r="A858" s="2">
        <v>42907</v>
      </c>
      <c r="B858" s="1">
        <v>36.467500000000001</v>
      </c>
      <c r="C858" s="1">
        <v>1002.23</v>
      </c>
      <c r="D858" s="1">
        <v>153.91</v>
      </c>
      <c r="E858" s="1">
        <f t="shared" si="92"/>
        <v>5.9131085383181889E-3</v>
      </c>
      <c r="F858" s="1">
        <f t="shared" si="93"/>
        <v>9.6650069250518583E-3</v>
      </c>
      <c r="G858" s="1">
        <f t="shared" si="94"/>
        <v>1.0844109401856279E-2</v>
      </c>
      <c r="P858" s="39">
        <f t="shared" si="95"/>
        <v>418.25550019748482</v>
      </c>
      <c r="Q858" s="26">
        <f t="shared" si="96"/>
        <v>4.0056484659519356</v>
      </c>
      <c r="R858" s="26">
        <f t="shared" si="97"/>
        <v>-4.0056484659519356</v>
      </c>
    </row>
    <row r="859" spans="1:18" x14ac:dyDescent="0.3">
      <c r="A859" s="2">
        <v>42906</v>
      </c>
      <c r="B859" s="1">
        <v>36.252499999999998</v>
      </c>
      <c r="C859" s="1">
        <v>992.59010000000001</v>
      </c>
      <c r="D859" s="1">
        <v>152.25</v>
      </c>
      <c r="E859" s="1">
        <f t="shared" si="92"/>
        <v>-9.129975896080186E-3</v>
      </c>
      <c r="F859" s="1">
        <f t="shared" si="93"/>
        <v>-2.5956870532354865E-3</v>
      </c>
      <c r="G859" s="1">
        <f t="shared" si="94"/>
        <v>-4.0639804229364099E-3</v>
      </c>
      <c r="P859" s="39">
        <f t="shared" si="95"/>
        <v>414.24985173153289</v>
      </c>
      <c r="Q859" s="26">
        <f t="shared" si="96"/>
        <v>-1.2239896123691665</v>
      </c>
      <c r="R859" s="26">
        <f t="shared" si="97"/>
        <v>1.2239896123691665</v>
      </c>
    </row>
    <row r="860" spans="1:18" x14ac:dyDescent="0.3">
      <c r="A860" s="2">
        <v>42905</v>
      </c>
      <c r="B860" s="1">
        <v>36.585000000000001</v>
      </c>
      <c r="C860" s="1">
        <v>995.16989999999998</v>
      </c>
      <c r="D860" s="1">
        <v>152.87</v>
      </c>
      <c r="E860" s="1">
        <f t="shared" si="92"/>
        <v>2.8206020792808203E-2</v>
      </c>
      <c r="F860" s="1">
        <f t="shared" si="93"/>
        <v>7.5243439561021846E-3</v>
      </c>
      <c r="G860" s="1">
        <f t="shared" si="94"/>
        <v>1.4695002664045994E-2</v>
      </c>
      <c r="P860" s="39">
        <f t="shared" si="95"/>
        <v>415.47384134390205</v>
      </c>
      <c r="Q860" s="26">
        <f t="shared" si="96"/>
        <v>3.6573117253154237</v>
      </c>
      <c r="R860" s="26">
        <f t="shared" si="97"/>
        <v>-3.6573117253154237</v>
      </c>
    </row>
    <row r="861" spans="1:18" x14ac:dyDescent="0.3">
      <c r="A861" s="2">
        <v>42902</v>
      </c>
      <c r="B861" s="1">
        <v>35.567500000000003</v>
      </c>
      <c r="C861" s="1">
        <v>987.71</v>
      </c>
      <c r="D861" s="1">
        <v>150.63999999999999</v>
      </c>
      <c r="E861" s="1">
        <f t="shared" si="92"/>
        <v>-1.4098502646088614E-2</v>
      </c>
      <c r="F861" s="1">
        <f t="shared" si="93"/>
        <v>2.4121608500038132E-2</v>
      </c>
      <c r="G861" s="1">
        <f t="shared" si="94"/>
        <v>5.5918132657777134E-3</v>
      </c>
      <c r="P861" s="39">
        <f t="shared" si="95"/>
        <v>411.81652961858663</v>
      </c>
      <c r="Q861" s="26">
        <f t="shared" si="96"/>
        <v>8.6583834504980928</v>
      </c>
      <c r="R861" s="26">
        <f t="shared" si="97"/>
        <v>-8.6583834504980928</v>
      </c>
    </row>
    <row r="862" spans="1:18" x14ac:dyDescent="0.3">
      <c r="A862" s="2">
        <v>42901</v>
      </c>
      <c r="B862" s="1">
        <v>36.072499999999998</v>
      </c>
      <c r="C862" s="1">
        <v>964.16989999999998</v>
      </c>
      <c r="D862" s="1">
        <v>149.80000000000001</v>
      </c>
      <c r="E862" s="1">
        <f t="shared" si="92"/>
        <v>-6.0114190357052092E-3</v>
      </c>
      <c r="F862" s="1">
        <f t="shared" si="93"/>
        <v>-1.2676503984067429E-2</v>
      </c>
      <c r="G862" s="1">
        <f t="shared" si="94"/>
        <v>-2.9995023321978316E-3</v>
      </c>
      <c r="P862" s="39">
        <f t="shared" si="95"/>
        <v>403.15814616808854</v>
      </c>
      <c r="Q862" s="26">
        <f t="shared" si="96"/>
        <v>-4.7259950331875302</v>
      </c>
      <c r="R862" s="26">
        <f t="shared" si="97"/>
        <v>4.7259950331875302</v>
      </c>
    </row>
    <row r="863" spans="1:18" x14ac:dyDescent="0.3">
      <c r="A863" s="2">
        <v>42900</v>
      </c>
      <c r="B863" s="1">
        <v>36.29</v>
      </c>
      <c r="C863" s="1">
        <v>976.47</v>
      </c>
      <c r="D863" s="1">
        <v>150.25</v>
      </c>
      <c r="E863" s="1">
        <f t="shared" si="92"/>
        <v>-9.8029919570702291E-3</v>
      </c>
      <c r="F863" s="1">
        <f t="shared" si="93"/>
        <v>-4.4143414928068808E-3</v>
      </c>
      <c r="G863" s="1">
        <f t="shared" si="94"/>
        <v>-2.8578094085233595E-3</v>
      </c>
      <c r="P863" s="39">
        <f t="shared" si="95"/>
        <v>407.88414120127607</v>
      </c>
      <c r="Q863" s="26">
        <f t="shared" si="96"/>
        <v>-1.8352528085131325</v>
      </c>
      <c r="R863" s="26">
        <f t="shared" si="97"/>
        <v>1.8352528085131325</v>
      </c>
    </row>
    <row r="864" spans="1:18" x14ac:dyDescent="0.3">
      <c r="A864" s="2">
        <v>42899</v>
      </c>
      <c r="B864" s="1">
        <v>36.647500000000001</v>
      </c>
      <c r="C864" s="1">
        <v>980.79</v>
      </c>
      <c r="D864" s="1">
        <v>150.68</v>
      </c>
      <c r="E864" s="1">
        <f t="shared" si="92"/>
        <v>8.0134670800289676E-3</v>
      </c>
      <c r="F864" s="1">
        <f t="shared" si="93"/>
        <v>1.632364026711864E-2</v>
      </c>
      <c r="G864" s="1">
        <f t="shared" si="94"/>
        <v>1.4977546631443529E-2</v>
      </c>
      <c r="P864" s="39">
        <f t="shared" si="95"/>
        <v>409.7193940097892</v>
      </c>
      <c r="Q864" s="26">
        <f t="shared" si="96"/>
        <v>6.465893896477894</v>
      </c>
      <c r="R864" s="26">
        <f t="shared" si="97"/>
        <v>-6.465893896477894</v>
      </c>
    </row>
    <row r="865" spans="1:18" x14ac:dyDescent="0.3">
      <c r="A865" s="2">
        <v>42898</v>
      </c>
      <c r="B865" s="1">
        <v>36.354999999999997</v>
      </c>
      <c r="C865" s="1">
        <v>964.90989999999999</v>
      </c>
      <c r="D865" s="1">
        <v>148.44</v>
      </c>
      <c r="E865" s="1">
        <f t="shared" si="92"/>
        <v>-2.4185961526219508E-2</v>
      </c>
      <c r="F865" s="1">
        <f t="shared" si="93"/>
        <v>-1.3791966337287132E-2</v>
      </c>
      <c r="G865" s="1">
        <f t="shared" si="94"/>
        <v>-7.7842293479799688E-3</v>
      </c>
      <c r="P865" s="39">
        <f t="shared" si="95"/>
        <v>403.2535001133113</v>
      </c>
      <c r="Q865" s="26">
        <f t="shared" si="96"/>
        <v>-5.5643930438524194</v>
      </c>
      <c r="R865" s="26">
        <f t="shared" si="97"/>
        <v>5.5643930438524194</v>
      </c>
    </row>
    <row r="866" spans="1:18" x14ac:dyDescent="0.3">
      <c r="A866" s="2">
        <v>42895</v>
      </c>
      <c r="B866" s="1">
        <v>37.244999999999997</v>
      </c>
      <c r="C866" s="1">
        <v>978.31010000000003</v>
      </c>
      <c r="D866" s="1">
        <v>149.6</v>
      </c>
      <c r="E866" s="1">
        <f t="shared" si="92"/>
        <v>-3.9548529960829276E-2</v>
      </c>
      <c r="F866" s="1">
        <f t="shared" si="93"/>
        <v>-3.2146205400980253E-2</v>
      </c>
      <c r="G866" s="1">
        <f t="shared" si="94"/>
        <v>-3.3587331190600471E-2</v>
      </c>
      <c r="P866" s="39">
        <f t="shared" si="95"/>
        <v>408.81789315716372</v>
      </c>
      <c r="Q866" s="26">
        <f t="shared" si="96"/>
        <v>-13.522136853618406</v>
      </c>
      <c r="R866" s="26">
        <f t="shared" si="97"/>
        <v>13.522136853618406</v>
      </c>
    </row>
    <row r="867" spans="1:18" x14ac:dyDescent="0.3">
      <c r="A867" s="2">
        <v>42894</v>
      </c>
      <c r="B867" s="1">
        <v>38.747500000000002</v>
      </c>
      <c r="C867" s="1">
        <v>1010.27</v>
      </c>
      <c r="D867" s="1">
        <v>154.71</v>
      </c>
      <c r="E867" s="1">
        <f t="shared" si="92"/>
        <v>-2.4487703949503327E-3</v>
      </c>
      <c r="F867" s="1">
        <f t="shared" si="93"/>
        <v>1.9798647817020556E-4</v>
      </c>
      <c r="G867" s="1">
        <f t="shared" si="94"/>
        <v>1.0330469026333158E-2</v>
      </c>
      <c r="P867" s="39">
        <f t="shared" si="95"/>
        <v>422.34003001078213</v>
      </c>
      <c r="Q867" s="26">
        <f t="shared" si="96"/>
        <v>0.37900577861501006</v>
      </c>
      <c r="R867" s="26">
        <f t="shared" si="97"/>
        <v>-0.37900577861501006</v>
      </c>
    </row>
    <row r="868" spans="1:18" x14ac:dyDescent="0.3">
      <c r="A868" s="2">
        <v>42893</v>
      </c>
      <c r="B868" s="1">
        <v>38.842500000000001</v>
      </c>
      <c r="C868" s="1">
        <v>1010.07</v>
      </c>
      <c r="D868" s="1">
        <v>153.12</v>
      </c>
      <c r="E868" s="1">
        <f t="shared" si="92"/>
        <v>5.9389497393191742E-3</v>
      </c>
      <c r="F868" s="1">
        <f t="shared" si="93"/>
        <v>7.0241264024484499E-3</v>
      </c>
      <c r="G868" s="1">
        <f t="shared" si="94"/>
        <v>2.0266080874782135E-3</v>
      </c>
      <c r="P868" s="39">
        <f t="shared" si="95"/>
        <v>421.96102423216712</v>
      </c>
      <c r="Q868" s="26">
        <f t="shared" si="96"/>
        <v>2.7710875517584554</v>
      </c>
      <c r="R868" s="26">
        <f t="shared" si="97"/>
        <v>-2.7710875517584554</v>
      </c>
    </row>
    <row r="869" spans="1:18" x14ac:dyDescent="0.3">
      <c r="A869" s="2">
        <v>42892</v>
      </c>
      <c r="B869" s="1">
        <v>38.612499999999997</v>
      </c>
      <c r="C869" s="1">
        <v>1003</v>
      </c>
      <c r="D869" s="1">
        <v>152.81</v>
      </c>
      <c r="E869" s="1">
        <f t="shared" si="92"/>
        <v>3.3724657426073769E-3</v>
      </c>
      <c r="F869" s="1">
        <f t="shared" si="93"/>
        <v>-8.2806752145169488E-3</v>
      </c>
      <c r="G869" s="1">
        <f t="shared" si="94"/>
        <v>-5.3517945254028063E-3</v>
      </c>
      <c r="P869" s="39">
        <f t="shared" si="95"/>
        <v>419.18993668040866</v>
      </c>
      <c r="Q869" s="26">
        <f t="shared" si="96"/>
        <v>-3.2010471345171254</v>
      </c>
      <c r="R869" s="26">
        <f t="shared" si="97"/>
        <v>3.2010471345171254</v>
      </c>
    </row>
    <row r="870" spans="1:18" x14ac:dyDescent="0.3">
      <c r="A870" s="2">
        <v>42891</v>
      </c>
      <c r="B870" s="1">
        <v>38.482500000000002</v>
      </c>
      <c r="C870" s="1">
        <v>1011.34</v>
      </c>
      <c r="D870" s="1">
        <v>153.63</v>
      </c>
      <c r="E870" s="1">
        <f t="shared" si="92"/>
        <v>-9.8261828827795952E-3</v>
      </c>
      <c r="F870" s="1">
        <f t="shared" si="93"/>
        <v>4.5687295473589972E-3</v>
      </c>
      <c r="G870" s="1">
        <f t="shared" si="94"/>
        <v>1.3019138151426933E-4</v>
      </c>
      <c r="P870" s="39">
        <f t="shared" si="95"/>
        <v>422.39098381492579</v>
      </c>
      <c r="Q870" s="26">
        <f t="shared" si="96"/>
        <v>1.5478420482600086</v>
      </c>
      <c r="R870" s="26">
        <f t="shared" si="97"/>
        <v>-1.5478420482600086</v>
      </c>
    </row>
    <row r="871" spans="1:18" x14ac:dyDescent="0.3">
      <c r="A871" s="2">
        <v>42888</v>
      </c>
      <c r="B871" s="1">
        <v>38.862499999999997</v>
      </c>
      <c r="C871" s="1">
        <v>1006.73</v>
      </c>
      <c r="D871" s="1">
        <v>153.61000000000001</v>
      </c>
      <c r="E871" s="1">
        <f t="shared" si="92"/>
        <v>1.471043602331527E-2</v>
      </c>
      <c r="F871" s="1">
        <f t="shared" si="93"/>
        <v>1.0765678107810529E-2</v>
      </c>
      <c r="G871" s="1">
        <f t="shared" si="94"/>
        <v>1.3633297612983456E-2</v>
      </c>
      <c r="P871" s="39">
        <f t="shared" si="95"/>
        <v>420.84314176666578</v>
      </c>
      <c r="Q871" s="26">
        <f t="shared" si="96"/>
        <v>4.6633768165125957</v>
      </c>
      <c r="R871" s="26">
        <f t="shared" si="97"/>
        <v>-4.6633768165125957</v>
      </c>
    </row>
    <row r="872" spans="1:18" x14ac:dyDescent="0.3">
      <c r="A872" s="2">
        <v>42887</v>
      </c>
      <c r="B872" s="1">
        <v>38.295000000000002</v>
      </c>
      <c r="C872" s="1">
        <v>995.95</v>
      </c>
      <c r="D872" s="1">
        <v>151.53</v>
      </c>
      <c r="E872" s="1">
        <f t="shared" si="92"/>
        <v>2.7456381241321975E-3</v>
      </c>
      <c r="F872" s="1">
        <f t="shared" si="93"/>
        <v>1.3362003155483718E-3</v>
      </c>
      <c r="G872" s="1">
        <f t="shared" si="94"/>
        <v>4.6206146239423081E-4</v>
      </c>
      <c r="P872" s="39">
        <f t="shared" si="95"/>
        <v>416.17976495015319</v>
      </c>
      <c r="Q872" s="26">
        <f t="shared" si="96"/>
        <v>0.54936567674923253</v>
      </c>
      <c r="R872" s="26">
        <f t="shared" si="97"/>
        <v>-0.54936567674923253</v>
      </c>
    </row>
    <row r="873" spans="1:18" x14ac:dyDescent="0.3">
      <c r="A873" s="2">
        <v>42886</v>
      </c>
      <c r="B873" s="1">
        <v>38.19</v>
      </c>
      <c r="C873" s="1">
        <v>994.62009999999998</v>
      </c>
      <c r="D873" s="1">
        <v>151.46</v>
      </c>
      <c r="E873" s="1">
        <f t="shared" si="92"/>
        <v>-5.9393837099254738E-3</v>
      </c>
      <c r="F873" s="1">
        <f t="shared" si="93"/>
        <v>-2.0889667676759764E-3</v>
      </c>
      <c r="G873" s="1">
        <f t="shared" si="94"/>
        <v>-6.0558373591869238E-3</v>
      </c>
      <c r="P873" s="39">
        <f t="shared" si="95"/>
        <v>415.63039927340395</v>
      </c>
      <c r="Q873" s="26">
        <f t="shared" si="96"/>
        <v>-1.0610519842781514</v>
      </c>
      <c r="R873" s="26">
        <f t="shared" si="97"/>
        <v>1.0610519842781514</v>
      </c>
    </row>
    <row r="874" spans="1:18" x14ac:dyDescent="0.3">
      <c r="A874" s="2">
        <v>42885</v>
      </c>
      <c r="B874" s="1">
        <v>38.417499999999997</v>
      </c>
      <c r="C874" s="1">
        <v>996.7</v>
      </c>
      <c r="D874" s="1">
        <v>152.38</v>
      </c>
      <c r="E874" s="1">
        <f t="shared" si="92"/>
        <v>3.9052330618671995E-4</v>
      </c>
      <c r="F874" s="1">
        <f t="shared" si="93"/>
        <v>9.2347232130956039E-4</v>
      </c>
      <c r="G874" s="1">
        <f t="shared" si="94"/>
        <v>1.6419825698262664E-3</v>
      </c>
      <c r="P874" s="39">
        <f t="shared" si="95"/>
        <v>416.6914512576821</v>
      </c>
      <c r="Q874" s="26">
        <f t="shared" si="96"/>
        <v>0.39984462523381126</v>
      </c>
      <c r="R874" s="26">
        <f t="shared" si="97"/>
        <v>-0.39984462523381126</v>
      </c>
    </row>
    <row r="875" spans="1:18" x14ac:dyDescent="0.3">
      <c r="A875" s="2">
        <v>42884</v>
      </c>
      <c r="B875" s="1">
        <v>38.402500000000003</v>
      </c>
      <c r="C875" s="1">
        <v>995.78</v>
      </c>
      <c r="D875" s="1">
        <v>152.13</v>
      </c>
      <c r="E875" s="1">
        <f t="shared" si="92"/>
        <v>0</v>
      </c>
      <c r="F875" s="1">
        <f t="shared" si="93"/>
        <v>0</v>
      </c>
      <c r="G875" s="1">
        <f t="shared" si="94"/>
        <v>0</v>
      </c>
      <c r="P875" s="39">
        <f t="shared" si="95"/>
        <v>416.29160663244829</v>
      </c>
      <c r="Q875" s="26">
        <f t="shared" si="96"/>
        <v>0</v>
      </c>
      <c r="R875" s="26">
        <f t="shared" si="97"/>
        <v>0</v>
      </c>
    </row>
    <row r="876" spans="1:18" x14ac:dyDescent="0.3">
      <c r="A876" s="2">
        <v>42881</v>
      </c>
      <c r="B876" s="1">
        <v>38.402500000000003</v>
      </c>
      <c r="C876" s="1">
        <v>995.78</v>
      </c>
      <c r="D876" s="1">
        <v>152.13</v>
      </c>
      <c r="E876" s="1">
        <f t="shared" si="92"/>
        <v>-1.6911673082325529E-3</v>
      </c>
      <c r="F876" s="1">
        <f t="shared" si="93"/>
        <v>2.4131807249247977E-3</v>
      </c>
      <c r="G876" s="1">
        <f t="shared" si="94"/>
        <v>1.1180901556124691E-3</v>
      </c>
      <c r="P876" s="39">
        <f t="shared" si="95"/>
        <v>416.29160663244829</v>
      </c>
      <c r="Q876" s="26">
        <f t="shared" si="96"/>
        <v>0.89547376141996438</v>
      </c>
      <c r="R876" s="26">
        <f t="shared" si="97"/>
        <v>-0.89547376141996438</v>
      </c>
    </row>
    <row r="877" spans="1:18" x14ac:dyDescent="0.3">
      <c r="A877" s="2">
        <v>42880</v>
      </c>
      <c r="B877" s="1">
        <v>38.467500000000001</v>
      </c>
      <c r="C877" s="1">
        <v>993.37990000000002</v>
      </c>
      <c r="D877" s="1">
        <v>151.96</v>
      </c>
      <c r="E877" s="1">
        <f t="shared" si="92"/>
        <v>3.4504119385383686E-3</v>
      </c>
      <c r="F877" s="1">
        <f t="shared" si="93"/>
        <v>1.3203416161364457E-2</v>
      </c>
      <c r="G877" s="1">
        <f t="shared" si="94"/>
        <v>1.2715403105738265E-2</v>
      </c>
      <c r="P877" s="39">
        <f t="shared" si="95"/>
        <v>415.39613287102833</v>
      </c>
      <c r="Q877" s="26">
        <f t="shared" si="96"/>
        <v>5.2785816337702727</v>
      </c>
      <c r="R877" s="26">
        <f t="shared" si="97"/>
        <v>-5.2785816337702727</v>
      </c>
    </row>
    <row r="878" spans="1:18" x14ac:dyDescent="0.3">
      <c r="A878" s="2">
        <v>42879</v>
      </c>
      <c r="B878" s="1">
        <v>38.335000000000001</v>
      </c>
      <c r="C878" s="1">
        <v>980.3501</v>
      </c>
      <c r="D878" s="1">
        <v>150.04</v>
      </c>
      <c r="E878" s="1">
        <f t="shared" si="92"/>
        <v>-2.9953789407952572E-3</v>
      </c>
      <c r="F878" s="1">
        <f t="shared" si="93"/>
        <v>9.0273113527908622E-3</v>
      </c>
      <c r="G878" s="1">
        <f t="shared" si="94"/>
        <v>1.3216790293059099E-2</v>
      </c>
      <c r="P878" s="39">
        <f t="shared" si="95"/>
        <v>410.11755123725806</v>
      </c>
      <c r="Q878" s="26">
        <f t="shared" si="96"/>
        <v>3.6299332820584027</v>
      </c>
      <c r="R878" s="26">
        <f t="shared" si="97"/>
        <v>-3.6299332820584027</v>
      </c>
    </row>
    <row r="879" spans="1:18" x14ac:dyDescent="0.3">
      <c r="A879" s="2">
        <v>42878</v>
      </c>
      <c r="B879" s="1">
        <v>38.450000000000003</v>
      </c>
      <c r="C879" s="1">
        <v>971.54</v>
      </c>
      <c r="D879" s="1">
        <v>148.07</v>
      </c>
      <c r="E879" s="1">
        <f t="shared" si="92"/>
        <v>-1.2346081687778711E-3</v>
      </c>
      <c r="F879" s="1">
        <f t="shared" si="93"/>
        <v>8.9598972614592196E-4</v>
      </c>
      <c r="G879" s="1">
        <f t="shared" si="94"/>
        <v>-1.1474470564769093E-3</v>
      </c>
      <c r="P879" s="39">
        <f t="shared" si="95"/>
        <v>406.48761795519965</v>
      </c>
      <c r="Q879" s="26">
        <f t="shared" si="96"/>
        <v>0.26451908031617677</v>
      </c>
      <c r="R879" s="26">
        <f t="shared" si="97"/>
        <v>-0.26451908031617677</v>
      </c>
    </row>
    <row r="880" spans="1:18" x14ac:dyDescent="0.3">
      <c r="A880" s="2">
        <v>42877</v>
      </c>
      <c r="B880" s="1">
        <v>38.497500000000002</v>
      </c>
      <c r="C880" s="1">
        <v>970.66989999999998</v>
      </c>
      <c r="D880" s="1">
        <v>148.24</v>
      </c>
      <c r="E880" s="1">
        <f t="shared" si="92"/>
        <v>6.0576638585464375E-3</v>
      </c>
      <c r="F880" s="1">
        <f t="shared" si="93"/>
        <v>1.1219743598066888E-2</v>
      </c>
      <c r="G880" s="1">
        <f t="shared" si="94"/>
        <v>1.2149849621520264E-3</v>
      </c>
      <c r="P880" s="39">
        <f t="shared" si="95"/>
        <v>406.22309887488348</v>
      </c>
      <c r="Q880" s="26">
        <f t="shared" si="96"/>
        <v>4.1312018716618013</v>
      </c>
      <c r="R880" s="26">
        <f t="shared" si="97"/>
        <v>-4.1312018716618013</v>
      </c>
    </row>
    <row r="881" spans="1:18" x14ac:dyDescent="0.3">
      <c r="A881" s="2">
        <v>42874</v>
      </c>
      <c r="B881" s="1">
        <v>38.265000000000001</v>
      </c>
      <c r="C881" s="1">
        <v>959.84010000000001</v>
      </c>
      <c r="D881" s="1">
        <v>148.06</v>
      </c>
      <c r="E881" s="1">
        <f t="shared" si="92"/>
        <v>3.4031446456825984E-3</v>
      </c>
      <c r="F881" s="1">
        <f t="shared" si="93"/>
        <v>1.4075786257122917E-3</v>
      </c>
      <c r="G881" s="1">
        <f t="shared" si="94"/>
        <v>2.7052633839328029E-3</v>
      </c>
      <c r="P881" s="39">
        <f t="shared" si="95"/>
        <v>402.09189700322167</v>
      </c>
      <c r="Q881" s="26">
        <f t="shared" si="96"/>
        <v>0.63869180004974169</v>
      </c>
      <c r="R881" s="26">
        <f t="shared" si="97"/>
        <v>-0.63869180004974169</v>
      </c>
    </row>
    <row r="882" spans="1:18" x14ac:dyDescent="0.3">
      <c r="A882" s="2">
        <v>42873</v>
      </c>
      <c r="B882" s="1">
        <v>38.134999999999998</v>
      </c>
      <c r="C882" s="1">
        <v>958.49</v>
      </c>
      <c r="D882" s="1">
        <v>147.66</v>
      </c>
      <c r="E882" s="1">
        <f t="shared" si="92"/>
        <v>1.5126283320775607E-2</v>
      </c>
      <c r="F882" s="1">
        <f t="shared" si="93"/>
        <v>1.4428202478719744E-2</v>
      </c>
      <c r="G882" s="1">
        <f t="shared" si="94"/>
        <v>1.9213609415660162E-2</v>
      </c>
      <c r="P882" s="39">
        <f t="shared" si="95"/>
        <v>401.45320520317193</v>
      </c>
      <c r="Q882" s="26">
        <f t="shared" si="96"/>
        <v>5.9121078916361967</v>
      </c>
      <c r="R882" s="26">
        <f t="shared" si="97"/>
        <v>-5.9121078916361967</v>
      </c>
    </row>
    <row r="883" spans="1:18" x14ac:dyDescent="0.3">
      <c r="A883" s="2">
        <v>42872</v>
      </c>
      <c r="B883" s="1">
        <v>37.5625</v>
      </c>
      <c r="C883" s="1">
        <v>944.76</v>
      </c>
      <c r="D883" s="1">
        <v>144.85</v>
      </c>
      <c r="E883" s="1">
        <f t="shared" si="92"/>
        <v>-3.4152213546332452E-2</v>
      </c>
      <c r="F883" s="1">
        <f t="shared" si="93"/>
        <v>-2.2305471883048295E-2</v>
      </c>
      <c r="G883" s="1">
        <f t="shared" si="94"/>
        <v>-3.3468826605861722E-2</v>
      </c>
      <c r="P883" s="39">
        <f t="shared" si="95"/>
        <v>395.54109731153574</v>
      </c>
      <c r="Q883" s="26">
        <f t="shared" si="96"/>
        <v>-9.4718506207802875</v>
      </c>
      <c r="R883" s="26">
        <f t="shared" si="97"/>
        <v>9.4718506207802875</v>
      </c>
    </row>
    <row r="884" spans="1:18" x14ac:dyDescent="0.3">
      <c r="A884" s="2">
        <v>42871</v>
      </c>
      <c r="B884" s="1">
        <v>38.8675</v>
      </c>
      <c r="C884" s="1">
        <v>966.07010000000002</v>
      </c>
      <c r="D884" s="1">
        <v>149.78</v>
      </c>
      <c r="E884" s="1">
        <f t="shared" si="92"/>
        <v>-1.4782918783032496E-3</v>
      </c>
      <c r="F884" s="1">
        <f t="shared" si="93"/>
        <v>8.419936626979688E-3</v>
      </c>
      <c r="G884" s="1">
        <f t="shared" si="94"/>
        <v>-2.7336083962683213E-3</v>
      </c>
      <c r="P884" s="39">
        <f t="shared" si="95"/>
        <v>405.01294793231602</v>
      </c>
      <c r="Q884" s="26">
        <f t="shared" si="96"/>
        <v>2.8760136491155777</v>
      </c>
      <c r="R884" s="26">
        <f t="shared" si="97"/>
        <v>-2.8760136491155777</v>
      </c>
    </row>
    <row r="885" spans="1:18" x14ac:dyDescent="0.3">
      <c r="A885" s="2">
        <v>42870</v>
      </c>
      <c r="B885" s="1">
        <v>38.924999999999997</v>
      </c>
      <c r="C885" s="1">
        <v>957.97</v>
      </c>
      <c r="D885" s="1">
        <v>150.19</v>
      </c>
      <c r="E885" s="1">
        <f t="shared" si="92"/>
        <v>-2.5657486814337572E-3</v>
      </c>
      <c r="F885" s="1">
        <f t="shared" si="93"/>
        <v>-3.5221883982834486E-3</v>
      </c>
      <c r="G885" s="1">
        <f t="shared" si="94"/>
        <v>-9.3171842225365674E-4</v>
      </c>
      <c r="P885" s="39">
        <f t="shared" si="95"/>
        <v>402.13693428320045</v>
      </c>
      <c r="Q885" s="26">
        <f t="shared" si="96"/>
        <v>-1.3189249590389522</v>
      </c>
      <c r="R885" s="26">
        <f t="shared" si="97"/>
        <v>1.3189249590389522</v>
      </c>
    </row>
    <row r="886" spans="1:18" x14ac:dyDescent="0.3">
      <c r="A886" s="2">
        <v>42867</v>
      </c>
      <c r="B886" s="1">
        <v>39.024999999999999</v>
      </c>
      <c r="C886" s="1">
        <v>961.3501</v>
      </c>
      <c r="D886" s="1">
        <v>150.33000000000001</v>
      </c>
      <c r="E886" s="1">
        <f t="shared" si="92"/>
        <v>1.3868953150877047E-2</v>
      </c>
      <c r="F886" s="1">
        <f t="shared" si="93"/>
        <v>1.4384967097420263E-2</v>
      </c>
      <c r="G886" s="1">
        <f t="shared" si="94"/>
        <v>1.930952426056486E-3</v>
      </c>
      <c r="P886" s="39">
        <f t="shared" si="95"/>
        <v>403.4558592422394</v>
      </c>
      <c r="Q886" s="26">
        <f t="shared" si="96"/>
        <v>5.3514923669147834</v>
      </c>
      <c r="R886" s="26">
        <f t="shared" si="97"/>
        <v>-5.3514923669147834</v>
      </c>
    </row>
    <row r="887" spans="1:18" x14ac:dyDescent="0.3">
      <c r="A887" s="2">
        <v>42866</v>
      </c>
      <c r="B887" s="1">
        <v>38.487499999999997</v>
      </c>
      <c r="C887" s="1">
        <v>947.62009999999998</v>
      </c>
      <c r="D887" s="1">
        <v>150.04</v>
      </c>
      <c r="E887" s="1">
        <f t="shared" si="92"/>
        <v>4.4920488282511736E-3</v>
      </c>
      <c r="F887" s="1">
        <f t="shared" si="93"/>
        <v>-1.4024266416207789E-3</v>
      </c>
      <c r="G887" s="1">
        <f t="shared" si="94"/>
        <v>-1.664835732316329E-3</v>
      </c>
      <c r="P887" s="39">
        <f t="shared" si="95"/>
        <v>398.10436687532462</v>
      </c>
      <c r="Q887" s="26">
        <f t="shared" si="96"/>
        <v>-0.47340044536275627</v>
      </c>
      <c r="R887" s="26">
        <f t="shared" si="97"/>
        <v>0.47340044536275627</v>
      </c>
    </row>
    <row r="888" spans="1:18" x14ac:dyDescent="0.3">
      <c r="A888" s="2">
        <v>42865</v>
      </c>
      <c r="B888" s="1">
        <v>38.314999999999998</v>
      </c>
      <c r="C888" s="1">
        <v>948.95</v>
      </c>
      <c r="D888" s="1">
        <v>150.29</v>
      </c>
      <c r="E888" s="1">
        <f t="shared" si="92"/>
        <v>-4.7518396980633926E-3</v>
      </c>
      <c r="F888" s="1">
        <f t="shared" si="93"/>
        <v>-4.070003353534221E-3</v>
      </c>
      <c r="G888" s="1">
        <f t="shared" si="94"/>
        <v>-1.2634240467720174E-3</v>
      </c>
      <c r="P888" s="39">
        <f t="shared" si="95"/>
        <v>398.57776732068737</v>
      </c>
      <c r="Q888" s="26">
        <f t="shared" si="96"/>
        <v>-1.5447368413316553</v>
      </c>
      <c r="R888" s="26">
        <f t="shared" si="97"/>
        <v>1.5447368413316553</v>
      </c>
    </row>
    <row r="889" spans="1:18" x14ac:dyDescent="0.3">
      <c r="A889" s="2">
        <v>42864</v>
      </c>
      <c r="B889" s="1">
        <v>38.497500000000002</v>
      </c>
      <c r="C889" s="1">
        <v>952.82010000000002</v>
      </c>
      <c r="D889" s="1">
        <v>150.47999999999999</v>
      </c>
      <c r="E889" s="1">
        <f t="shared" si="92"/>
        <v>6.384386506599499E-3</v>
      </c>
      <c r="F889" s="1">
        <f t="shared" si="93"/>
        <v>3.9751661836151036E-3</v>
      </c>
      <c r="G889" s="1">
        <f t="shared" si="94"/>
        <v>-3.8469238925270891E-3</v>
      </c>
      <c r="P889" s="39">
        <f t="shared" si="95"/>
        <v>400.12250416201903</v>
      </c>
      <c r="Q889" s="26">
        <f t="shared" si="96"/>
        <v>1.3705562256394046</v>
      </c>
      <c r="R889" s="26">
        <f t="shared" si="97"/>
        <v>-1.3705562256394046</v>
      </c>
    </row>
    <row r="890" spans="1:18" x14ac:dyDescent="0.3">
      <c r="A890" s="2">
        <v>42863</v>
      </c>
      <c r="B890" s="1">
        <v>38.252499999999998</v>
      </c>
      <c r="C890" s="1">
        <v>949.04</v>
      </c>
      <c r="D890" s="1">
        <v>151.06</v>
      </c>
      <c r="E890" s="1">
        <f t="shared" si="92"/>
        <v>2.6825465204965E-2</v>
      </c>
      <c r="F890" s="1">
        <f t="shared" si="93"/>
        <v>1.5814029496196157E-2</v>
      </c>
      <c r="G890" s="1">
        <f t="shared" si="94"/>
        <v>5.443093425349029E-3</v>
      </c>
      <c r="P890" s="39">
        <f t="shared" si="95"/>
        <v>398.75194793637962</v>
      </c>
      <c r="Q890" s="26">
        <f t="shared" si="96"/>
        <v>6.0911924549317291</v>
      </c>
      <c r="R890" s="26">
        <f t="shared" si="97"/>
        <v>-6.0911924549317291</v>
      </c>
    </row>
    <row r="891" spans="1:18" x14ac:dyDescent="0.3">
      <c r="A891" s="2">
        <v>42860</v>
      </c>
      <c r="B891" s="1">
        <v>37.24</v>
      </c>
      <c r="C891" s="1">
        <v>934.1499</v>
      </c>
      <c r="D891" s="1">
        <v>150.24</v>
      </c>
      <c r="E891" s="1">
        <f t="shared" si="92"/>
        <v>1.644762787882318E-2</v>
      </c>
      <c r="F891" s="1">
        <f t="shared" si="93"/>
        <v>-3.6118394759251612E-3</v>
      </c>
      <c r="G891" s="1">
        <f t="shared" si="94"/>
        <v>-4.0519501451172649E-3</v>
      </c>
      <c r="P891" s="39">
        <f t="shared" si="95"/>
        <v>392.66075548144789</v>
      </c>
      <c r="Q891" s="26">
        <f t="shared" si="96"/>
        <v>-1.1276492414131098</v>
      </c>
      <c r="R891" s="26">
        <f t="shared" si="97"/>
        <v>1.1276492414131098</v>
      </c>
    </row>
    <row r="892" spans="1:18" x14ac:dyDescent="0.3">
      <c r="A892" s="2">
        <v>42859</v>
      </c>
      <c r="B892" s="1">
        <v>36.6325</v>
      </c>
      <c r="C892" s="1">
        <v>937.53</v>
      </c>
      <c r="D892" s="1">
        <v>150.85</v>
      </c>
      <c r="E892" s="1">
        <f t="shared" si="92"/>
        <v>-3.6104811181424407E-3</v>
      </c>
      <c r="F892" s="1">
        <f t="shared" si="93"/>
        <v>-3.7262627222985891E-3</v>
      </c>
      <c r="G892" s="1">
        <f t="shared" si="94"/>
        <v>-6.2778993564596023E-3</v>
      </c>
      <c r="P892" s="39">
        <f t="shared" si="95"/>
        <v>393.788404722861</v>
      </c>
      <c r="Q892" s="26">
        <f t="shared" si="96"/>
        <v>-1.5521665048768227</v>
      </c>
      <c r="R892" s="26">
        <f t="shared" si="97"/>
        <v>1.5521665048768227</v>
      </c>
    </row>
    <row r="893" spans="1:18" x14ac:dyDescent="0.3">
      <c r="A893" s="2">
        <v>42858</v>
      </c>
      <c r="B893" s="1">
        <v>36.765000000000001</v>
      </c>
      <c r="C893" s="1">
        <v>941.03</v>
      </c>
      <c r="D893" s="1">
        <v>151.80000000000001</v>
      </c>
      <c r="E893" s="1">
        <f t="shared" si="92"/>
        <v>-3.055303323881437E-3</v>
      </c>
      <c r="F893" s="1">
        <f t="shared" si="93"/>
        <v>-6.2606075481396097E-3</v>
      </c>
      <c r="G893" s="1">
        <f t="shared" si="94"/>
        <v>-6.4351131516840448E-3</v>
      </c>
      <c r="P893" s="39">
        <f t="shared" si="95"/>
        <v>395.34057122773783</v>
      </c>
      <c r="Q893" s="26">
        <f t="shared" si="96"/>
        <v>-2.4395608140616218</v>
      </c>
      <c r="R893" s="26">
        <f t="shared" si="97"/>
        <v>2.4395608140616218</v>
      </c>
    </row>
    <row r="894" spans="1:18" x14ac:dyDescent="0.3">
      <c r="A894" s="2">
        <v>42857</v>
      </c>
      <c r="B894" s="1">
        <v>36.877499999999998</v>
      </c>
      <c r="C894" s="1">
        <v>946.93989999999997</v>
      </c>
      <c r="D894" s="1">
        <v>152.78</v>
      </c>
      <c r="E894" s="1">
        <f t="shared" si="92"/>
        <v>6.3246155942534759E-3</v>
      </c>
      <c r="F894" s="1">
        <f t="shared" si="93"/>
        <v>-1.361461259251775E-3</v>
      </c>
      <c r="G894" s="1">
        <f t="shared" si="94"/>
        <v>2.0967115530858395E-3</v>
      </c>
      <c r="P894" s="39">
        <f t="shared" si="95"/>
        <v>397.78013204179945</v>
      </c>
      <c r="Q894" s="26">
        <f t="shared" si="96"/>
        <v>-0.31033047959238047</v>
      </c>
      <c r="R894" s="26">
        <f t="shared" si="97"/>
        <v>0.31033047959238047</v>
      </c>
    </row>
    <row r="895" spans="1:18" x14ac:dyDescent="0.3">
      <c r="A895" s="2">
        <v>42856</v>
      </c>
      <c r="B895" s="1">
        <v>36.645000000000003</v>
      </c>
      <c r="C895" s="1">
        <v>948.23</v>
      </c>
      <c r="D895" s="1">
        <v>152.46</v>
      </c>
      <c r="E895" s="1">
        <f t="shared" si="92"/>
        <v>2.0191569072405522E-2</v>
      </c>
      <c r="F895" s="1">
        <f t="shared" si="93"/>
        <v>2.4814162219089522E-2</v>
      </c>
      <c r="G895" s="1">
        <f t="shared" si="94"/>
        <v>1.4601693144810902E-2</v>
      </c>
      <c r="P895" s="39">
        <f t="shared" si="95"/>
        <v>398.09046252139183</v>
      </c>
      <c r="Q895" s="26">
        <f t="shared" si="96"/>
        <v>9.3572704725552285</v>
      </c>
      <c r="R895" s="26">
        <f t="shared" si="97"/>
        <v>-9.3572704725552285</v>
      </c>
    </row>
    <row r="896" spans="1:18" x14ac:dyDescent="0.3">
      <c r="A896" s="2">
        <v>42853</v>
      </c>
      <c r="B896" s="1">
        <v>35.912500000000001</v>
      </c>
      <c r="C896" s="1">
        <v>924.99</v>
      </c>
      <c r="D896" s="1">
        <v>150.25</v>
      </c>
      <c r="E896" s="1">
        <f t="shared" si="92"/>
        <v>-9.7411641435093705E-4</v>
      </c>
      <c r="F896" s="1">
        <f t="shared" si="93"/>
        <v>7.1717872058764155E-3</v>
      </c>
      <c r="G896" s="1">
        <f t="shared" si="94"/>
        <v>1.7117383877982981E-2</v>
      </c>
      <c r="P896" s="39">
        <f t="shared" si="95"/>
        <v>388.7331920488366</v>
      </c>
      <c r="Q896" s="26">
        <f t="shared" si="96"/>
        <v>2.9770391130286953</v>
      </c>
      <c r="R896" s="26">
        <f t="shared" si="97"/>
        <v>-2.9770391130286953</v>
      </c>
    </row>
    <row r="897" spans="1:18" x14ac:dyDescent="0.3">
      <c r="A897" s="2">
        <v>42852</v>
      </c>
      <c r="B897" s="1">
        <v>35.947499999999998</v>
      </c>
      <c r="C897" s="1">
        <v>918.37990000000002</v>
      </c>
      <c r="D897" s="1">
        <v>147.69999999999999</v>
      </c>
      <c r="E897" s="1">
        <f t="shared" si="92"/>
        <v>7.6529728576000828E-4</v>
      </c>
      <c r="F897" s="1">
        <f t="shared" si="93"/>
        <v>9.9470642364880273E-3</v>
      </c>
      <c r="G897" s="1">
        <f t="shared" si="94"/>
        <v>7.7482886115138568E-3</v>
      </c>
      <c r="P897" s="39">
        <f t="shared" si="95"/>
        <v>385.7561529358079</v>
      </c>
      <c r="Q897" s="26">
        <f t="shared" si="96"/>
        <v>3.612340306385704</v>
      </c>
      <c r="R897" s="26">
        <f t="shared" si="97"/>
        <v>-3.612340306385704</v>
      </c>
    </row>
    <row r="898" spans="1:18" x14ac:dyDescent="0.3">
      <c r="A898" s="2">
        <v>42851</v>
      </c>
      <c r="B898" s="1">
        <v>35.92</v>
      </c>
      <c r="C898" s="1">
        <v>909.29</v>
      </c>
      <c r="D898" s="1">
        <v>146.56</v>
      </c>
      <c r="E898" s="1">
        <f t="shared" si="92"/>
        <v>-5.8984939068610935E-3</v>
      </c>
      <c r="F898" s="1">
        <f t="shared" si="93"/>
        <v>1.8381762203874541E-3</v>
      </c>
      <c r="G898" s="1">
        <f t="shared" si="94"/>
        <v>4.7773418414141333E-4</v>
      </c>
      <c r="P898" s="39">
        <f t="shared" si="95"/>
        <v>382.1438126294222</v>
      </c>
      <c r="Q898" s="26">
        <f t="shared" si="96"/>
        <v>0.54326912383100989</v>
      </c>
      <c r="R898" s="26">
        <f t="shared" si="97"/>
        <v>-0.54326912383100989</v>
      </c>
    </row>
    <row r="899" spans="1:18" x14ac:dyDescent="0.3">
      <c r="A899" s="2">
        <v>42850</v>
      </c>
      <c r="B899" s="1">
        <v>36.1325</v>
      </c>
      <c r="C899" s="1">
        <v>907.62009999999998</v>
      </c>
      <c r="D899" s="1">
        <v>146.49</v>
      </c>
      <c r="E899" s="1">
        <f t="shared" si="92"/>
        <v>6.1769291028687112E-3</v>
      </c>
      <c r="F899" s="1">
        <f t="shared" si="93"/>
        <v>2.3162151693335511E-4</v>
      </c>
      <c r="G899" s="1">
        <f t="shared" si="94"/>
        <v>6.9872869563079682E-3</v>
      </c>
      <c r="P899" s="39">
        <f t="shared" si="95"/>
        <v>381.60054350559119</v>
      </c>
      <c r="Q899" s="26">
        <f t="shared" si="96"/>
        <v>0.39078953931158367</v>
      </c>
      <c r="R899" s="26">
        <f t="shared" si="97"/>
        <v>-0.39078953931158367</v>
      </c>
    </row>
    <row r="900" spans="1:18" x14ac:dyDescent="0.3">
      <c r="A900" s="2">
        <v>42849</v>
      </c>
      <c r="B900" s="1">
        <v>35.909999999999997</v>
      </c>
      <c r="C900" s="1">
        <v>907.40989999999999</v>
      </c>
      <c r="D900" s="1">
        <v>145.47</v>
      </c>
      <c r="E900" s="1">
        <f t="shared" si="92"/>
        <v>9.5835086948062049E-3</v>
      </c>
      <c r="F900" s="1">
        <f t="shared" si="93"/>
        <v>9.8341828156418409E-3</v>
      </c>
      <c r="G900" s="1">
        <f t="shared" si="94"/>
        <v>1.2381275231481019E-2</v>
      </c>
      <c r="P900" s="39">
        <f t="shared" si="95"/>
        <v>381.20975396627961</v>
      </c>
      <c r="Q900" s="26">
        <f t="shared" si="96"/>
        <v>3.8062299176677357</v>
      </c>
      <c r="R900" s="26">
        <f t="shared" si="97"/>
        <v>-3.8062299176677357</v>
      </c>
    </row>
    <row r="901" spans="1:18" x14ac:dyDescent="0.3">
      <c r="A901" s="2">
        <v>42846</v>
      </c>
      <c r="B901" s="1">
        <v>35.567500000000003</v>
      </c>
      <c r="C901" s="1">
        <v>898.53</v>
      </c>
      <c r="D901" s="1">
        <v>143.68</v>
      </c>
      <c r="E901" s="1">
        <f t="shared" si="92"/>
        <v>-1.1941977465013051E-3</v>
      </c>
      <c r="F901" s="1">
        <f t="shared" si="93"/>
        <v>-3.9210529068646081E-3</v>
      </c>
      <c r="G901" s="1">
        <f t="shared" si="94"/>
        <v>-8.3484073305688071E-4</v>
      </c>
      <c r="P901" s="39">
        <f t="shared" si="95"/>
        <v>377.40352404861187</v>
      </c>
      <c r="Q901" s="26">
        <f t="shared" si="96"/>
        <v>-1.34611280825618</v>
      </c>
      <c r="R901" s="26">
        <f t="shared" si="97"/>
        <v>1.34611280825618</v>
      </c>
    </row>
    <row r="902" spans="1:18" x14ac:dyDescent="0.3">
      <c r="A902" s="2">
        <v>42845</v>
      </c>
      <c r="B902" s="1">
        <v>35.61</v>
      </c>
      <c r="C902" s="1">
        <v>902.06010000000003</v>
      </c>
      <c r="D902" s="1">
        <v>143.80000000000001</v>
      </c>
      <c r="E902" s="1">
        <f t="shared" ref="E902:E965" si="98">LN(B902/B903)</f>
        <v>1.2433050803795163E-2</v>
      </c>
      <c r="F902" s="1">
        <f t="shared" ref="F902:F965" si="99">LN(C902/C903)</f>
        <v>3.1756684152880886E-3</v>
      </c>
      <c r="G902" s="1">
        <f t="shared" ref="G902:G965" si="100">LN(D902/D903)</f>
        <v>1.0696784623870781E-2</v>
      </c>
      <c r="P902" s="39">
        <f t="shared" ref="P902:P965" si="101">B902*$J$13+C902*$J$14+D902*$J$15</f>
        <v>378.74963685686805</v>
      </c>
      <c r="Q902" s="26">
        <f t="shared" ref="Q902:Q965" si="102">P902-P903</f>
        <v>1.5691589449517664</v>
      </c>
      <c r="R902" s="26">
        <f t="shared" ref="R902:R965" si="103">-Q902</f>
        <v>-1.5691589449517664</v>
      </c>
    </row>
    <row r="903" spans="1:18" x14ac:dyDescent="0.3">
      <c r="A903" s="2">
        <v>42844</v>
      </c>
      <c r="B903" s="1">
        <v>35.17</v>
      </c>
      <c r="C903" s="1">
        <v>899.2</v>
      </c>
      <c r="D903" s="1">
        <v>142.27000000000001</v>
      </c>
      <c r="E903" s="1">
        <f t="shared" si="98"/>
        <v>-3.6895174533598273E-3</v>
      </c>
      <c r="F903" s="1">
        <f t="shared" si="99"/>
        <v>-5.0804888033521159E-3</v>
      </c>
      <c r="G903" s="1">
        <f t="shared" si="100"/>
        <v>9.2504984752063372E-3</v>
      </c>
      <c r="P903" s="39">
        <f t="shared" si="101"/>
        <v>377.18047791191628</v>
      </c>
      <c r="Q903" s="26">
        <f t="shared" si="102"/>
        <v>-1.4598484022262141</v>
      </c>
      <c r="R903" s="26">
        <f t="shared" si="103"/>
        <v>1.4598484022262141</v>
      </c>
    </row>
    <row r="904" spans="1:18" x14ac:dyDescent="0.3">
      <c r="A904" s="2">
        <v>42843</v>
      </c>
      <c r="B904" s="1">
        <v>35.299999999999997</v>
      </c>
      <c r="C904" s="1">
        <v>903.78</v>
      </c>
      <c r="D904" s="1">
        <v>140.96</v>
      </c>
      <c r="E904" s="1">
        <f t="shared" si="98"/>
        <v>-4.4518322473746808E-3</v>
      </c>
      <c r="F904" s="1">
        <f t="shared" si="99"/>
        <v>1.9825344161115508E-3</v>
      </c>
      <c r="G904" s="1">
        <f t="shared" si="100"/>
        <v>-3.2580239882251715E-3</v>
      </c>
      <c r="P904" s="39">
        <f t="shared" si="101"/>
        <v>378.6403263141425</v>
      </c>
      <c r="Q904" s="26">
        <f t="shared" si="102"/>
        <v>0.49551247938910592</v>
      </c>
      <c r="R904" s="26">
        <f t="shared" si="103"/>
        <v>-0.49551247938910592</v>
      </c>
    </row>
    <row r="905" spans="1:18" x14ac:dyDescent="0.3">
      <c r="A905" s="2">
        <v>42842</v>
      </c>
      <c r="B905" s="1">
        <v>35.457500000000003</v>
      </c>
      <c r="C905" s="1">
        <v>901.99</v>
      </c>
      <c r="D905" s="1">
        <v>141.41999999999999</v>
      </c>
      <c r="E905" s="1">
        <f t="shared" si="98"/>
        <v>5.5147198585110014E-3</v>
      </c>
      <c r="F905" s="1">
        <f t="shared" si="99"/>
        <v>1.9388852448715289E-2</v>
      </c>
      <c r="G905" s="1">
        <f t="shared" si="100"/>
        <v>1.445842643429983E-2</v>
      </c>
      <c r="P905" s="39">
        <f t="shared" si="101"/>
        <v>378.14481383475339</v>
      </c>
      <c r="Q905" s="26">
        <f t="shared" si="102"/>
        <v>6.9113042185541076</v>
      </c>
      <c r="R905" s="26">
        <f t="shared" si="103"/>
        <v>-6.9113042185541076</v>
      </c>
    </row>
    <row r="906" spans="1:18" x14ac:dyDescent="0.3">
      <c r="A906" s="2">
        <v>42839</v>
      </c>
      <c r="B906" s="1">
        <v>35.262500000000003</v>
      </c>
      <c r="C906" s="1">
        <v>884.66989999999998</v>
      </c>
      <c r="D906" s="1">
        <v>139.38999999999999</v>
      </c>
      <c r="E906" s="1">
        <f t="shared" si="98"/>
        <v>0</v>
      </c>
      <c r="F906" s="1">
        <f t="shared" si="99"/>
        <v>0</v>
      </c>
      <c r="G906" s="1">
        <f t="shared" si="100"/>
        <v>0</v>
      </c>
      <c r="P906" s="39">
        <f t="shared" si="101"/>
        <v>371.23350961619929</v>
      </c>
      <c r="Q906" s="26">
        <f t="shared" si="102"/>
        <v>0</v>
      </c>
      <c r="R906" s="26">
        <f t="shared" si="103"/>
        <v>0</v>
      </c>
    </row>
    <row r="907" spans="1:18" x14ac:dyDescent="0.3">
      <c r="A907" s="2">
        <v>42838</v>
      </c>
      <c r="B907" s="1">
        <v>35.262500000000003</v>
      </c>
      <c r="C907" s="1">
        <v>884.66989999999998</v>
      </c>
      <c r="D907" s="1">
        <v>139.38999999999999</v>
      </c>
      <c r="E907" s="1">
        <f t="shared" si="98"/>
        <v>-5.3031766500218781E-3</v>
      </c>
      <c r="F907" s="1">
        <f t="shared" si="99"/>
        <v>-1.2982495384658836E-2</v>
      </c>
      <c r="G907" s="1">
        <f t="shared" si="100"/>
        <v>-1.362153847210745E-3</v>
      </c>
      <c r="P907" s="39">
        <f t="shared" si="101"/>
        <v>371.23350961619929</v>
      </c>
      <c r="Q907" s="26">
        <f t="shared" si="102"/>
        <v>-4.3841829981276987</v>
      </c>
      <c r="R907" s="26">
        <f t="shared" si="103"/>
        <v>4.3841829981276987</v>
      </c>
    </row>
    <row r="908" spans="1:18" x14ac:dyDescent="0.3">
      <c r="A908" s="2">
        <v>42837</v>
      </c>
      <c r="B908" s="1">
        <v>35.450000000000003</v>
      </c>
      <c r="C908" s="1">
        <v>896.23</v>
      </c>
      <c r="D908" s="1">
        <v>139.58000000000001</v>
      </c>
      <c r="E908" s="1">
        <f t="shared" si="98"/>
        <v>1.1995908717221987E-3</v>
      </c>
      <c r="F908" s="1">
        <f t="shared" si="99"/>
        <v>-6.8165878781209915E-3</v>
      </c>
      <c r="G908" s="1">
        <f t="shared" si="100"/>
        <v>-2.4329171213408451E-3</v>
      </c>
      <c r="P908" s="39">
        <f t="shared" si="101"/>
        <v>375.61769261432698</v>
      </c>
      <c r="Q908" s="26">
        <f t="shared" si="102"/>
        <v>-2.3178927809981928</v>
      </c>
      <c r="R908" s="26">
        <f t="shared" si="103"/>
        <v>2.3178927809981928</v>
      </c>
    </row>
    <row r="909" spans="1:18" x14ac:dyDescent="0.3">
      <c r="A909" s="2">
        <v>42836</v>
      </c>
      <c r="B909" s="1">
        <v>35.407499999999999</v>
      </c>
      <c r="C909" s="1">
        <v>902.36009999999999</v>
      </c>
      <c r="D909" s="1">
        <v>139.91999999999999</v>
      </c>
      <c r="E909" s="1">
        <f t="shared" si="98"/>
        <v>-1.0814712145931032E-2</v>
      </c>
      <c r="F909" s="1">
        <f t="shared" si="99"/>
        <v>-5.1728862352617248E-3</v>
      </c>
      <c r="G909" s="1">
        <f t="shared" si="100"/>
        <v>-7.9727073792682426E-3</v>
      </c>
      <c r="P909" s="39">
        <f t="shared" si="101"/>
        <v>377.93558539532518</v>
      </c>
      <c r="Q909" s="26">
        <f t="shared" si="102"/>
        <v>-2.1289699673010887</v>
      </c>
      <c r="R909" s="26">
        <f t="shared" si="103"/>
        <v>2.1289699673010887</v>
      </c>
    </row>
    <row r="910" spans="1:18" x14ac:dyDescent="0.3">
      <c r="A910" s="2">
        <v>42835</v>
      </c>
      <c r="B910" s="1">
        <v>35.792499999999997</v>
      </c>
      <c r="C910" s="1">
        <v>907.04</v>
      </c>
      <c r="D910" s="1">
        <v>141.04</v>
      </c>
      <c r="E910" s="1">
        <f t="shared" si="98"/>
        <v>-1.1866951935371264E-3</v>
      </c>
      <c r="F910" s="1">
        <f t="shared" si="99"/>
        <v>1.3497031249548309E-2</v>
      </c>
      <c r="G910" s="1">
        <f t="shared" si="100"/>
        <v>1.8451499096292074E-3</v>
      </c>
      <c r="P910" s="39">
        <f t="shared" si="101"/>
        <v>380.06455536262627</v>
      </c>
      <c r="Q910" s="26">
        <f t="shared" si="102"/>
        <v>4.5254412030346884</v>
      </c>
      <c r="R910" s="26">
        <f t="shared" si="103"/>
        <v>-4.5254412030346884</v>
      </c>
    </row>
    <row r="911" spans="1:18" x14ac:dyDescent="0.3">
      <c r="A911" s="2">
        <v>42832</v>
      </c>
      <c r="B911" s="1">
        <v>35.835000000000001</v>
      </c>
      <c r="C911" s="1">
        <v>894.87990000000002</v>
      </c>
      <c r="D911" s="1">
        <v>140.78</v>
      </c>
      <c r="E911" s="1">
        <f t="shared" si="98"/>
        <v>-2.2299660808823615E-3</v>
      </c>
      <c r="F911" s="1">
        <f t="shared" si="99"/>
        <v>-3.7923043838954057E-3</v>
      </c>
      <c r="G911" s="1">
        <f t="shared" si="100"/>
        <v>-2.7664497161225651E-3</v>
      </c>
      <c r="P911" s="39">
        <f t="shared" si="101"/>
        <v>375.53911415959158</v>
      </c>
      <c r="Q911" s="26">
        <f t="shared" si="102"/>
        <v>-1.3721959888730453</v>
      </c>
      <c r="R911" s="26">
        <f t="shared" si="103"/>
        <v>1.3721959888730453</v>
      </c>
    </row>
    <row r="912" spans="1:18" x14ac:dyDescent="0.3">
      <c r="A912" s="2">
        <v>42831</v>
      </c>
      <c r="B912" s="1">
        <v>35.914999999999999</v>
      </c>
      <c r="C912" s="1">
        <v>898.28</v>
      </c>
      <c r="D912" s="1">
        <v>141.16999999999999</v>
      </c>
      <c r="E912" s="1">
        <f t="shared" si="98"/>
        <v>-2.5027821740653254E-3</v>
      </c>
      <c r="F912" s="1">
        <f t="shared" si="99"/>
        <v>-1.2171253838470657E-2</v>
      </c>
      <c r="G912" s="1">
        <f t="shared" si="100"/>
        <v>-4.8053233587521376E-3</v>
      </c>
      <c r="P912" s="39">
        <f t="shared" si="101"/>
        <v>376.91131014846462</v>
      </c>
      <c r="Q912" s="26">
        <f t="shared" si="102"/>
        <v>-4.243316092510554</v>
      </c>
      <c r="R912" s="26">
        <f t="shared" si="103"/>
        <v>4.243316092510554</v>
      </c>
    </row>
    <row r="913" spans="1:18" x14ac:dyDescent="0.3">
      <c r="A913" s="2">
        <v>42830</v>
      </c>
      <c r="B913" s="1">
        <v>36.005000000000003</v>
      </c>
      <c r="C913" s="1">
        <v>909.28</v>
      </c>
      <c r="D913" s="1">
        <v>141.85</v>
      </c>
      <c r="E913" s="1">
        <f t="shared" si="98"/>
        <v>-5.1940973452314866E-3</v>
      </c>
      <c r="F913" s="1">
        <f t="shared" si="99"/>
        <v>2.6979658183413995E-3</v>
      </c>
      <c r="G913" s="1">
        <f t="shared" si="100"/>
        <v>8.4632207604640652E-4</v>
      </c>
      <c r="P913" s="39">
        <f t="shared" si="101"/>
        <v>381.15462624097518</v>
      </c>
      <c r="Q913" s="26">
        <f t="shared" si="102"/>
        <v>0.85225881019124472</v>
      </c>
      <c r="R913" s="26">
        <f t="shared" si="103"/>
        <v>-0.85225881019124472</v>
      </c>
    </row>
    <row r="914" spans="1:18" x14ac:dyDescent="0.3">
      <c r="A914" s="2">
        <v>42829</v>
      </c>
      <c r="B914" s="1">
        <v>36.192500000000003</v>
      </c>
      <c r="C914" s="1">
        <v>906.83010000000002</v>
      </c>
      <c r="D914" s="1">
        <v>141.72999999999999</v>
      </c>
      <c r="E914" s="1">
        <f t="shared" si="98"/>
        <v>7.4184830809730347E-3</v>
      </c>
      <c r="F914" s="1">
        <f t="shared" si="99"/>
        <v>1.7038457440269588E-2</v>
      </c>
      <c r="G914" s="1">
        <f t="shared" si="100"/>
        <v>-3.8731079014404837E-3</v>
      </c>
      <c r="P914" s="39">
        <f t="shared" si="101"/>
        <v>380.30236743078393</v>
      </c>
      <c r="Q914" s="26">
        <f t="shared" si="102"/>
        <v>5.6442864477958778</v>
      </c>
      <c r="R914" s="26">
        <f t="shared" si="103"/>
        <v>-5.6442864477958778</v>
      </c>
    </row>
    <row r="915" spans="1:18" x14ac:dyDescent="0.3">
      <c r="A915" s="2">
        <v>42828</v>
      </c>
      <c r="B915" s="1">
        <v>35.924999999999997</v>
      </c>
      <c r="C915" s="1">
        <v>891.51</v>
      </c>
      <c r="D915" s="1">
        <v>142.28</v>
      </c>
      <c r="E915" s="1">
        <f t="shared" si="98"/>
        <v>2.7839643832359615E-4</v>
      </c>
      <c r="F915" s="1">
        <f t="shared" si="99"/>
        <v>5.5904085304760145E-3</v>
      </c>
      <c r="G915" s="1">
        <f t="shared" si="100"/>
        <v>1.6178387800573353E-3</v>
      </c>
      <c r="P915" s="39">
        <f t="shared" si="101"/>
        <v>374.65808098298805</v>
      </c>
      <c r="Q915" s="26">
        <f t="shared" si="102"/>
        <v>1.8877647970902558</v>
      </c>
      <c r="R915" s="26">
        <f t="shared" si="103"/>
        <v>-1.8877647970902558</v>
      </c>
    </row>
    <row r="916" spans="1:18" x14ac:dyDescent="0.3">
      <c r="A916" s="2">
        <v>42825</v>
      </c>
      <c r="B916" s="1">
        <v>35.914999999999999</v>
      </c>
      <c r="C916" s="1">
        <v>886.54</v>
      </c>
      <c r="D916" s="1">
        <v>142.05000000000001</v>
      </c>
      <c r="E916" s="1">
        <f t="shared" si="98"/>
        <v>-1.877673627923934E-3</v>
      </c>
      <c r="F916" s="1">
        <f t="shared" si="99"/>
        <v>1.1571988160628164E-2</v>
      </c>
      <c r="G916" s="1">
        <f t="shared" si="100"/>
        <v>-2.5311129311393621E-3</v>
      </c>
      <c r="P916" s="39">
        <f t="shared" si="101"/>
        <v>372.7703161858978</v>
      </c>
      <c r="Q916" s="26">
        <f t="shared" si="102"/>
        <v>3.6574679789750917</v>
      </c>
      <c r="R916" s="26">
        <f t="shared" si="103"/>
        <v>-3.6574679789750917</v>
      </c>
    </row>
    <row r="917" spans="1:18" x14ac:dyDescent="0.3">
      <c r="A917" s="2">
        <v>42824</v>
      </c>
      <c r="B917" s="1">
        <v>35.982500000000002</v>
      </c>
      <c r="C917" s="1">
        <v>876.34010000000001</v>
      </c>
      <c r="D917" s="1">
        <v>142.41</v>
      </c>
      <c r="E917" s="1">
        <f t="shared" si="98"/>
        <v>-1.3192156053131116E-3</v>
      </c>
      <c r="F917" s="1">
        <f t="shared" si="99"/>
        <v>2.3077018560850272E-3</v>
      </c>
      <c r="G917" s="1">
        <f t="shared" si="100"/>
        <v>-1.6838564281726764E-3</v>
      </c>
      <c r="P917" s="39">
        <f t="shared" si="101"/>
        <v>369.11284820692271</v>
      </c>
      <c r="Q917" s="26">
        <f t="shared" si="102"/>
        <v>0.673627131379817</v>
      </c>
      <c r="R917" s="26">
        <f t="shared" si="103"/>
        <v>-0.673627131379817</v>
      </c>
    </row>
    <row r="918" spans="1:18" x14ac:dyDescent="0.3">
      <c r="A918" s="2">
        <v>42823</v>
      </c>
      <c r="B918" s="1">
        <v>36.03</v>
      </c>
      <c r="C918" s="1">
        <v>874.32010000000002</v>
      </c>
      <c r="D918" s="1">
        <v>142.65</v>
      </c>
      <c r="E918" s="1">
        <f t="shared" si="98"/>
        <v>2.2228405929461993E-3</v>
      </c>
      <c r="F918" s="1">
        <f t="shared" si="99"/>
        <v>2.1176179601269066E-2</v>
      </c>
      <c r="G918" s="1">
        <f t="shared" si="100"/>
        <v>6.2585908027382106E-3</v>
      </c>
      <c r="P918" s="39">
        <f t="shared" si="101"/>
        <v>368.43922107554289</v>
      </c>
      <c r="Q918" s="26">
        <f t="shared" si="102"/>
        <v>6.9855752269349978</v>
      </c>
      <c r="R918" s="26">
        <f t="shared" si="103"/>
        <v>-6.9855752269349978</v>
      </c>
    </row>
    <row r="919" spans="1:18" x14ac:dyDescent="0.3">
      <c r="A919" s="2">
        <v>42822</v>
      </c>
      <c r="B919" s="1">
        <v>35.950000000000003</v>
      </c>
      <c r="C919" s="1">
        <v>856</v>
      </c>
      <c r="D919" s="1">
        <v>141.76</v>
      </c>
      <c r="E919" s="1">
        <f t="shared" si="98"/>
        <v>2.0514981098995685E-2</v>
      </c>
      <c r="F919" s="1">
        <f t="shared" si="99"/>
        <v>1.0782100743274936E-2</v>
      </c>
      <c r="G919" s="1">
        <f t="shared" si="100"/>
        <v>1.0209958232897946E-2</v>
      </c>
      <c r="P919" s="39">
        <f t="shared" si="101"/>
        <v>361.45364584860789</v>
      </c>
      <c r="Q919" s="26">
        <f t="shared" si="102"/>
        <v>4.0016199570349613</v>
      </c>
      <c r="R919" s="26">
        <f t="shared" si="103"/>
        <v>-4.0016199570349613</v>
      </c>
    </row>
    <row r="920" spans="1:18" x14ac:dyDescent="0.3">
      <c r="A920" s="2">
        <v>42821</v>
      </c>
      <c r="B920" s="1">
        <v>35.22</v>
      </c>
      <c r="C920" s="1">
        <v>846.82010000000002</v>
      </c>
      <c r="D920" s="1">
        <v>140.32</v>
      </c>
      <c r="E920" s="1">
        <f t="shared" si="98"/>
        <v>1.7050302510839691E-3</v>
      </c>
      <c r="F920" s="1">
        <f t="shared" si="99"/>
        <v>1.4298967321243565E-3</v>
      </c>
      <c r="G920" s="1">
        <f t="shared" si="100"/>
        <v>-1.4252120026984454E-4</v>
      </c>
      <c r="P920" s="39">
        <f t="shared" si="101"/>
        <v>357.45202589157293</v>
      </c>
      <c r="Q920" s="26">
        <f t="shared" si="102"/>
        <v>0.46697782746610983</v>
      </c>
      <c r="R920" s="26">
        <f t="shared" si="103"/>
        <v>-0.46697782746610983</v>
      </c>
    </row>
    <row r="921" spans="1:18" x14ac:dyDescent="0.3">
      <c r="A921" s="2">
        <v>42818</v>
      </c>
      <c r="B921" s="1">
        <v>35.159999999999997</v>
      </c>
      <c r="C921" s="1">
        <v>845.61009999999999</v>
      </c>
      <c r="D921" s="1">
        <v>140.34</v>
      </c>
      <c r="E921" s="1">
        <f t="shared" si="98"/>
        <v>-1.9889195361700784E-3</v>
      </c>
      <c r="F921" s="1">
        <f t="shared" si="99"/>
        <v>-2.0907396318678327E-3</v>
      </c>
      <c r="G921" s="1">
        <f t="shared" si="100"/>
        <v>5.7884179200273648E-3</v>
      </c>
      <c r="P921" s="39">
        <f t="shared" si="101"/>
        <v>356.98504806410682</v>
      </c>
      <c r="Q921" s="26">
        <f t="shared" si="102"/>
        <v>-0.50646755199221616</v>
      </c>
      <c r="R921" s="26">
        <f t="shared" si="103"/>
        <v>0.50646755199221616</v>
      </c>
    </row>
    <row r="922" spans="1:18" x14ac:dyDescent="0.3">
      <c r="A922" s="2">
        <v>42817</v>
      </c>
      <c r="B922" s="1">
        <v>35.229999999999997</v>
      </c>
      <c r="C922" s="1">
        <v>847.37990000000002</v>
      </c>
      <c r="D922" s="1">
        <v>139.53</v>
      </c>
      <c r="E922" s="1">
        <f t="shared" si="98"/>
        <v>-3.5418327030578875E-3</v>
      </c>
      <c r="F922" s="1">
        <f t="shared" si="99"/>
        <v>-8.0238762385478717E-4</v>
      </c>
      <c r="G922" s="1">
        <f t="shared" si="100"/>
        <v>-4.2992262055157097E-4</v>
      </c>
      <c r="P922" s="39">
        <f t="shared" si="101"/>
        <v>357.49151561609904</v>
      </c>
      <c r="Q922" s="26">
        <f t="shared" si="102"/>
        <v>-0.31576551858756829</v>
      </c>
      <c r="R922" s="26">
        <f t="shared" si="103"/>
        <v>0.31576551858756829</v>
      </c>
    </row>
    <row r="923" spans="1:18" x14ac:dyDescent="0.3">
      <c r="A923" s="2">
        <v>42816</v>
      </c>
      <c r="B923" s="1">
        <v>35.354999999999997</v>
      </c>
      <c r="C923" s="1">
        <v>848.06010000000003</v>
      </c>
      <c r="D923" s="1">
        <v>139.59</v>
      </c>
      <c r="E923" s="1">
        <f t="shared" si="98"/>
        <v>1.123527426886921E-2</v>
      </c>
      <c r="F923" s="1">
        <f t="shared" si="99"/>
        <v>5.7473281349676676E-3</v>
      </c>
      <c r="G923" s="1">
        <f t="shared" si="100"/>
        <v>7.7670293376595964E-3</v>
      </c>
      <c r="P923" s="39">
        <f t="shared" si="101"/>
        <v>357.8072811346866</v>
      </c>
      <c r="Q923" s="26">
        <f t="shared" si="102"/>
        <v>2.1909329538011093</v>
      </c>
      <c r="R923" s="26">
        <f t="shared" si="103"/>
        <v>-2.1909329538011093</v>
      </c>
    </row>
    <row r="924" spans="1:18" x14ac:dyDescent="0.3">
      <c r="A924" s="2">
        <v>42815</v>
      </c>
      <c r="B924" s="1">
        <v>34.96</v>
      </c>
      <c r="C924" s="1">
        <v>843.2</v>
      </c>
      <c r="D924" s="1">
        <v>138.51</v>
      </c>
      <c r="E924" s="1">
        <f t="shared" si="98"/>
        <v>-1.1518079700618624E-2</v>
      </c>
      <c r="F924" s="1">
        <f t="shared" si="99"/>
        <v>-1.6198734363657687E-2</v>
      </c>
      <c r="G924" s="1">
        <f t="shared" si="100"/>
        <v>-1.027123413074345E-2</v>
      </c>
      <c r="P924" s="39">
        <f t="shared" si="101"/>
        <v>355.6163481808855</v>
      </c>
      <c r="Q924" s="26">
        <f t="shared" si="102"/>
        <v>-5.5584056738684922</v>
      </c>
      <c r="R924" s="26">
        <f t="shared" si="103"/>
        <v>5.5584056738684922</v>
      </c>
    </row>
    <row r="925" spans="1:18" x14ac:dyDescent="0.3">
      <c r="A925" s="2">
        <v>42814</v>
      </c>
      <c r="B925" s="1">
        <v>35.365000000000002</v>
      </c>
      <c r="C925" s="1">
        <v>856.97</v>
      </c>
      <c r="D925" s="1">
        <v>139.94</v>
      </c>
      <c r="E925" s="1">
        <f t="shared" si="98"/>
        <v>1.0446000121109985E-2</v>
      </c>
      <c r="F925" s="1">
        <f t="shared" si="99"/>
        <v>5.4524844052602182E-3</v>
      </c>
      <c r="G925" s="1">
        <f t="shared" si="100"/>
        <v>7.1484741052520824E-4</v>
      </c>
      <c r="P925" s="39">
        <f t="shared" si="101"/>
        <v>361.17475385475399</v>
      </c>
      <c r="Q925" s="26">
        <f t="shared" si="102"/>
        <v>1.8932937101188259</v>
      </c>
      <c r="R925" s="26">
        <f t="shared" si="103"/>
        <v>-1.8932937101188259</v>
      </c>
    </row>
    <row r="926" spans="1:18" x14ac:dyDescent="0.3">
      <c r="A926" s="2">
        <v>42811</v>
      </c>
      <c r="B926" s="1">
        <v>34.997500000000002</v>
      </c>
      <c r="C926" s="1">
        <v>852.31010000000003</v>
      </c>
      <c r="D926" s="1">
        <v>139.84</v>
      </c>
      <c r="E926" s="1">
        <f t="shared" si="98"/>
        <v>-4.9878969023879095E-3</v>
      </c>
      <c r="F926" s="1">
        <f t="shared" si="99"/>
        <v>-1.3012612272753771E-3</v>
      </c>
      <c r="G926" s="1">
        <f t="shared" si="100"/>
        <v>-1.0720795795085794E-3</v>
      </c>
      <c r="P926" s="39">
        <f t="shared" si="101"/>
        <v>359.28146014463516</v>
      </c>
      <c r="Q926" s="26">
        <f t="shared" si="102"/>
        <v>-0.5144947789480625</v>
      </c>
      <c r="R926" s="26">
        <f t="shared" si="103"/>
        <v>0.5144947789480625</v>
      </c>
    </row>
    <row r="927" spans="1:18" x14ac:dyDescent="0.3">
      <c r="A927" s="2">
        <v>42810</v>
      </c>
      <c r="B927" s="1">
        <v>35.172499999999999</v>
      </c>
      <c r="C927" s="1">
        <v>853.41989999999998</v>
      </c>
      <c r="D927" s="1">
        <v>139.99</v>
      </c>
      <c r="E927" s="1">
        <f t="shared" si="98"/>
        <v>1.6361376582474541E-3</v>
      </c>
      <c r="F927" s="1">
        <f t="shared" si="99"/>
        <v>5.2731208784681266E-4</v>
      </c>
      <c r="G927" s="1">
        <f t="shared" si="100"/>
        <v>1.9305715481027386E-3</v>
      </c>
      <c r="P927" s="39">
        <f t="shared" si="101"/>
        <v>359.79595492358322</v>
      </c>
      <c r="Q927" s="26">
        <f t="shared" si="102"/>
        <v>0.24833489772123585</v>
      </c>
      <c r="R927" s="26">
        <f t="shared" si="103"/>
        <v>-0.24833489772123585</v>
      </c>
    </row>
    <row r="928" spans="1:18" x14ac:dyDescent="0.3">
      <c r="A928" s="2">
        <v>42809</v>
      </c>
      <c r="B928" s="1">
        <v>35.115000000000002</v>
      </c>
      <c r="C928" s="1">
        <v>852.97</v>
      </c>
      <c r="D928" s="1">
        <v>139.72</v>
      </c>
      <c r="E928" s="1">
        <f t="shared" si="98"/>
        <v>1.0520762634207644E-2</v>
      </c>
      <c r="F928" s="1">
        <f t="shared" si="99"/>
        <v>5.1597773059145998E-4</v>
      </c>
      <c r="G928" s="1">
        <f t="shared" si="100"/>
        <v>2.8669744408309178E-3</v>
      </c>
      <c r="P928" s="39">
        <f t="shared" si="101"/>
        <v>359.54762002586199</v>
      </c>
      <c r="Q928" s="26">
        <f t="shared" si="102"/>
        <v>0.40129342209138485</v>
      </c>
      <c r="R928" s="26">
        <f t="shared" si="103"/>
        <v>-0.40129342209138485</v>
      </c>
    </row>
    <row r="929" spans="1:18" x14ac:dyDescent="0.3">
      <c r="A929" s="2">
        <v>42808</v>
      </c>
      <c r="B929" s="1">
        <v>34.747500000000002</v>
      </c>
      <c r="C929" s="1">
        <v>852.53</v>
      </c>
      <c r="D929" s="1">
        <v>139.32</v>
      </c>
      <c r="E929" s="1">
        <f t="shared" si="98"/>
        <v>-1.5097598036524751E-3</v>
      </c>
      <c r="F929" s="1">
        <f t="shared" si="99"/>
        <v>-2.413539621537572E-3</v>
      </c>
      <c r="G929" s="1">
        <f t="shared" si="100"/>
        <v>-2.0077448304716321E-3</v>
      </c>
      <c r="P929" s="39">
        <f t="shared" si="101"/>
        <v>359.1463266037706</v>
      </c>
      <c r="Q929" s="26">
        <f t="shared" si="102"/>
        <v>-0.84254492777722589</v>
      </c>
      <c r="R929" s="26">
        <f t="shared" si="103"/>
        <v>0.84254492777722589</v>
      </c>
    </row>
    <row r="930" spans="1:18" x14ac:dyDescent="0.3">
      <c r="A930" s="2">
        <v>42807</v>
      </c>
      <c r="B930" s="1">
        <v>34.799999999999997</v>
      </c>
      <c r="C930" s="1">
        <v>854.59010000000001</v>
      </c>
      <c r="D930" s="1">
        <v>139.6</v>
      </c>
      <c r="E930" s="1">
        <f t="shared" si="98"/>
        <v>4.3112740482406615E-4</v>
      </c>
      <c r="F930" s="1">
        <f t="shared" si="99"/>
        <v>2.4956515401285324E-3</v>
      </c>
      <c r="G930" s="1">
        <f t="shared" si="100"/>
        <v>5.8191909605235775E-3</v>
      </c>
      <c r="P930" s="39">
        <f t="shared" si="101"/>
        <v>359.98887153154783</v>
      </c>
      <c r="Q930" s="26">
        <f t="shared" si="102"/>
        <v>0.96769322698264659</v>
      </c>
      <c r="R930" s="26">
        <f t="shared" si="103"/>
        <v>-0.96769322698264659</v>
      </c>
    </row>
    <row r="931" spans="1:18" x14ac:dyDescent="0.3">
      <c r="A931" s="2">
        <v>42804</v>
      </c>
      <c r="B931" s="1">
        <v>34.784999999999997</v>
      </c>
      <c r="C931" s="1">
        <v>852.46</v>
      </c>
      <c r="D931" s="1">
        <v>138.79</v>
      </c>
      <c r="E931" s="1">
        <f t="shared" si="98"/>
        <v>3.3114996786725269E-3</v>
      </c>
      <c r="F931" s="1">
        <f t="shared" si="99"/>
        <v>-6.3326025593770697E-4</v>
      </c>
      <c r="G931" s="1">
        <f t="shared" si="100"/>
        <v>3.9706943120027764E-3</v>
      </c>
      <c r="P931" s="39">
        <f t="shared" si="101"/>
        <v>359.02117830456518</v>
      </c>
      <c r="Q931" s="26">
        <f t="shared" si="102"/>
        <v>-3.2405203296491436E-2</v>
      </c>
      <c r="R931" s="26">
        <f t="shared" si="103"/>
        <v>3.2405203296491436E-2</v>
      </c>
    </row>
    <row r="932" spans="1:18" x14ac:dyDescent="0.3">
      <c r="A932" s="2">
        <v>42803</v>
      </c>
      <c r="B932" s="1">
        <v>34.67</v>
      </c>
      <c r="C932" s="1">
        <v>853</v>
      </c>
      <c r="D932" s="1">
        <v>138.24</v>
      </c>
      <c r="E932" s="1">
        <f t="shared" si="98"/>
        <v>-2.3048123138689836E-3</v>
      </c>
      <c r="F932" s="1">
        <f t="shared" si="99"/>
        <v>2.9351356557625729E-3</v>
      </c>
      <c r="G932" s="1">
        <f t="shared" si="100"/>
        <v>3.7686665854225784E-3</v>
      </c>
      <c r="P932" s="39">
        <f t="shared" si="101"/>
        <v>359.05358350786167</v>
      </c>
      <c r="Q932" s="26">
        <f t="shared" si="102"/>
        <v>1.0019682432165951</v>
      </c>
      <c r="R932" s="26">
        <f t="shared" si="103"/>
        <v>-1.0019682432165951</v>
      </c>
    </row>
    <row r="933" spans="1:18" x14ac:dyDescent="0.3">
      <c r="A933" s="2">
        <v>42802</v>
      </c>
      <c r="B933" s="1">
        <v>34.75</v>
      </c>
      <c r="C933" s="1">
        <v>850.5</v>
      </c>
      <c r="D933" s="1">
        <v>137.72</v>
      </c>
      <c r="E933" s="1">
        <f t="shared" si="98"/>
        <v>-3.7340270299777954E-3</v>
      </c>
      <c r="F933" s="1">
        <f t="shared" si="99"/>
        <v>5.2814118471907843E-3</v>
      </c>
      <c r="G933" s="1">
        <f t="shared" si="100"/>
        <v>3.0543256963975322E-3</v>
      </c>
      <c r="P933" s="39">
        <f t="shared" si="101"/>
        <v>358.05161526464508</v>
      </c>
      <c r="Q933" s="26">
        <f t="shared" si="102"/>
        <v>1.6901404903275647</v>
      </c>
      <c r="R933" s="26">
        <f t="shared" si="103"/>
        <v>-1.6901404903275647</v>
      </c>
    </row>
    <row r="934" spans="1:18" x14ac:dyDescent="0.3">
      <c r="A934" s="2">
        <v>42801</v>
      </c>
      <c r="B934" s="1">
        <v>34.880000000000003</v>
      </c>
      <c r="C934" s="1">
        <v>846.02</v>
      </c>
      <c r="D934" s="1">
        <v>137.30000000000001</v>
      </c>
      <c r="E934" s="1">
        <f t="shared" si="98"/>
        <v>1.2909705586968097E-3</v>
      </c>
      <c r="F934" s="1">
        <f t="shared" si="99"/>
        <v>-6.9725810016896825E-4</v>
      </c>
      <c r="G934" s="1">
        <f t="shared" si="100"/>
        <v>-8.7361682900431118E-4</v>
      </c>
      <c r="P934" s="39">
        <f t="shared" si="101"/>
        <v>356.36147477431751</v>
      </c>
      <c r="Q934" s="26">
        <f t="shared" si="102"/>
        <v>-0.22508994470496191</v>
      </c>
      <c r="R934" s="26">
        <f t="shared" si="103"/>
        <v>0.22508994470496191</v>
      </c>
    </row>
    <row r="935" spans="1:18" x14ac:dyDescent="0.3">
      <c r="A935" s="2">
        <v>42800</v>
      </c>
      <c r="B935" s="1">
        <v>34.835000000000001</v>
      </c>
      <c r="C935" s="1">
        <v>846.61009999999999</v>
      </c>
      <c r="D935" s="1">
        <v>137.41999999999999</v>
      </c>
      <c r="E935" s="1">
        <f t="shared" si="98"/>
        <v>-3.1527684470101171E-3</v>
      </c>
      <c r="F935" s="1">
        <f t="shared" si="99"/>
        <v>-3.8547872948662418E-3</v>
      </c>
      <c r="G935" s="1">
        <f t="shared" si="100"/>
        <v>1.8208971126143676E-3</v>
      </c>
      <c r="P935" s="39">
        <f t="shared" si="101"/>
        <v>356.58656471902248</v>
      </c>
      <c r="Q935" s="26">
        <f t="shared" si="102"/>
        <v>-1.1978531206925709</v>
      </c>
      <c r="R935" s="26">
        <f t="shared" si="103"/>
        <v>1.1978531206925709</v>
      </c>
    </row>
    <row r="936" spans="1:18" x14ac:dyDescent="0.3">
      <c r="A936" s="2">
        <v>42797</v>
      </c>
      <c r="B936" s="1">
        <v>34.945</v>
      </c>
      <c r="C936" s="1">
        <v>849.87990000000002</v>
      </c>
      <c r="D936" s="1">
        <v>137.16999999999999</v>
      </c>
      <c r="E936" s="1">
        <f t="shared" si="98"/>
        <v>5.8836361161334651E-3</v>
      </c>
      <c r="F936" s="1">
        <f t="shared" si="99"/>
        <v>1.1419895568221909E-3</v>
      </c>
      <c r="G936" s="1">
        <f t="shared" si="100"/>
        <v>2.9934677192150058E-3</v>
      </c>
      <c r="P936" s="39">
        <f t="shared" si="101"/>
        <v>357.78441783971505</v>
      </c>
      <c r="Q936" s="26">
        <f t="shared" si="102"/>
        <v>0.53168754984744737</v>
      </c>
      <c r="R936" s="26">
        <f t="shared" si="103"/>
        <v>-0.53168754984744737</v>
      </c>
    </row>
    <row r="937" spans="1:18" x14ac:dyDescent="0.3">
      <c r="A937" s="2">
        <v>42796</v>
      </c>
      <c r="B937" s="1">
        <v>34.74</v>
      </c>
      <c r="C937" s="1">
        <v>848.90989999999999</v>
      </c>
      <c r="D937" s="1">
        <v>136.76</v>
      </c>
      <c r="E937" s="1">
        <f t="shared" si="98"/>
        <v>-5.9551745501874942E-3</v>
      </c>
      <c r="F937" s="1">
        <f t="shared" si="99"/>
        <v>-4.900391124746893E-3</v>
      </c>
      <c r="G937" s="1">
        <f t="shared" si="100"/>
        <v>-4.814364831829389E-3</v>
      </c>
      <c r="P937" s="39">
        <f t="shared" si="101"/>
        <v>357.2527302898676</v>
      </c>
      <c r="Q937" s="26">
        <f t="shared" si="102"/>
        <v>-1.7676771827533457</v>
      </c>
      <c r="R937" s="26">
        <f t="shared" si="103"/>
        <v>1.7676771827533457</v>
      </c>
    </row>
    <row r="938" spans="1:18" x14ac:dyDescent="0.3">
      <c r="A938" s="2">
        <v>42795</v>
      </c>
      <c r="B938" s="1">
        <v>34.947499999999998</v>
      </c>
      <c r="C938" s="1">
        <v>853.08010000000002</v>
      </c>
      <c r="D938" s="1">
        <v>137.41999999999999</v>
      </c>
      <c r="E938" s="1">
        <f t="shared" si="98"/>
        <v>2.0233366019738803E-2</v>
      </c>
      <c r="F938" s="1">
        <f t="shared" si="99"/>
        <v>9.4694834367788604E-3</v>
      </c>
      <c r="G938" s="1">
        <f t="shared" si="100"/>
        <v>1.377512989496287E-2</v>
      </c>
      <c r="P938" s="39">
        <f t="shared" si="101"/>
        <v>359.02040747262095</v>
      </c>
      <c r="Q938" s="26">
        <f t="shared" si="102"/>
        <v>3.6639923997102528</v>
      </c>
      <c r="R938" s="26">
        <f t="shared" si="103"/>
        <v>-3.6639923997102528</v>
      </c>
    </row>
    <row r="939" spans="1:18" x14ac:dyDescent="0.3">
      <c r="A939" s="2">
        <v>42794</v>
      </c>
      <c r="B939" s="1">
        <v>34.247500000000002</v>
      </c>
      <c r="C939" s="1">
        <v>845.04</v>
      </c>
      <c r="D939" s="1">
        <v>135.54</v>
      </c>
      <c r="E939" s="1">
        <f t="shared" si="98"/>
        <v>4.3808411915595798E-4</v>
      </c>
      <c r="F939" s="1">
        <f t="shared" si="99"/>
        <v>-4.2509867668788712E-3</v>
      </c>
      <c r="G939" s="1">
        <f t="shared" si="100"/>
        <v>-6.3982567970619899E-3</v>
      </c>
      <c r="P939" s="39">
        <f t="shared" si="101"/>
        <v>355.35641507291069</v>
      </c>
      <c r="Q939" s="26">
        <f t="shared" si="102"/>
        <v>-1.5105775941286765</v>
      </c>
      <c r="R939" s="26">
        <f t="shared" si="103"/>
        <v>1.5105775941286765</v>
      </c>
    </row>
    <row r="940" spans="1:18" x14ac:dyDescent="0.3">
      <c r="A940" s="2">
        <v>42793</v>
      </c>
      <c r="B940" s="1">
        <v>34.232500000000002</v>
      </c>
      <c r="C940" s="1">
        <v>848.63990000000001</v>
      </c>
      <c r="D940" s="1">
        <v>136.41</v>
      </c>
      <c r="E940" s="1">
        <f t="shared" si="98"/>
        <v>1.9737569915101072E-3</v>
      </c>
      <c r="F940" s="1">
        <f t="shared" si="99"/>
        <v>4.0143395830591231E-3</v>
      </c>
      <c r="G940" s="1">
        <f t="shared" si="100"/>
        <v>7.1363186801489684E-3</v>
      </c>
      <c r="P940" s="39">
        <f t="shared" si="101"/>
        <v>356.86699266703937</v>
      </c>
      <c r="Q940" s="26">
        <f t="shared" si="102"/>
        <v>1.4926362040487788</v>
      </c>
      <c r="R940" s="26">
        <f t="shared" si="103"/>
        <v>-1.4926362040487788</v>
      </c>
    </row>
    <row r="941" spans="1:18" x14ac:dyDescent="0.3">
      <c r="A941" s="2">
        <v>42790</v>
      </c>
      <c r="B941" s="1">
        <v>34.164999999999999</v>
      </c>
      <c r="C941" s="1">
        <v>845.24</v>
      </c>
      <c r="D941" s="1">
        <v>135.44</v>
      </c>
      <c r="E941" s="1">
        <f t="shared" si="98"/>
        <v>9.5171865597192136E-4</v>
      </c>
      <c r="F941" s="1">
        <f t="shared" si="99"/>
        <v>-8.1887786188435917E-3</v>
      </c>
      <c r="G941" s="1">
        <f t="shared" si="100"/>
        <v>5.9084196696664471E-4</v>
      </c>
      <c r="P941" s="39">
        <f t="shared" si="101"/>
        <v>355.37435646299059</v>
      </c>
      <c r="Q941" s="26">
        <f t="shared" si="102"/>
        <v>-2.5334980052265337</v>
      </c>
      <c r="R941" s="26">
        <f t="shared" si="103"/>
        <v>2.5334980052265337</v>
      </c>
    </row>
    <row r="942" spans="1:18" x14ac:dyDescent="0.3">
      <c r="A942" s="2">
        <v>42789</v>
      </c>
      <c r="B942" s="1">
        <v>34.1325</v>
      </c>
      <c r="C942" s="1">
        <v>852.18989999999997</v>
      </c>
      <c r="D942" s="1">
        <v>135.36000000000001</v>
      </c>
      <c r="E942" s="1">
        <f t="shared" si="98"/>
        <v>-4.2391526719033979E-3</v>
      </c>
      <c r="F942" s="1">
        <f t="shared" si="99"/>
        <v>-4.005392402587106E-3</v>
      </c>
      <c r="G942" s="1">
        <f t="shared" si="100"/>
        <v>-5.5989537747917657E-3</v>
      </c>
      <c r="P942" s="39">
        <f t="shared" si="101"/>
        <v>357.90785446821712</v>
      </c>
      <c r="Q942" s="26">
        <f t="shared" si="102"/>
        <v>-1.4867264398697557</v>
      </c>
      <c r="R942" s="26">
        <f t="shared" si="103"/>
        <v>1.4867264398697557</v>
      </c>
    </row>
    <row r="943" spans="1:18" x14ac:dyDescent="0.3">
      <c r="A943" s="2">
        <v>42788</v>
      </c>
      <c r="B943" s="1">
        <v>34.277500000000003</v>
      </c>
      <c r="C943" s="1">
        <v>855.61009999999999</v>
      </c>
      <c r="D943" s="1">
        <v>136.12</v>
      </c>
      <c r="E943" s="1">
        <f t="shared" si="98"/>
        <v>2.9947796386600037E-3</v>
      </c>
      <c r="F943" s="1">
        <f t="shared" si="99"/>
        <v>-9.6936428840039375E-4</v>
      </c>
      <c r="G943" s="1">
        <f t="shared" si="100"/>
        <v>1.7788788080807222E-2</v>
      </c>
      <c r="P943" s="39">
        <f t="shared" si="101"/>
        <v>359.39458090808688</v>
      </c>
      <c r="Q943" s="26">
        <f t="shared" si="102"/>
        <v>0.2564057862909408</v>
      </c>
      <c r="R943" s="26">
        <f t="shared" si="103"/>
        <v>-0.2564057862909408</v>
      </c>
    </row>
    <row r="944" spans="1:18" x14ac:dyDescent="0.3">
      <c r="A944" s="2">
        <v>42787</v>
      </c>
      <c r="B944" s="1">
        <v>34.174999999999997</v>
      </c>
      <c r="C944" s="1">
        <v>856.43989999999997</v>
      </c>
      <c r="D944" s="1">
        <v>133.72</v>
      </c>
      <c r="E944" s="1">
        <f t="shared" si="98"/>
        <v>7.1948038138743703E-3</v>
      </c>
      <c r="F944" s="1">
        <f t="shared" si="99"/>
        <v>1.3364563512374862E-2</v>
      </c>
      <c r="G944" s="1">
        <f t="shared" si="100"/>
        <v>1.4218898560251817E-3</v>
      </c>
      <c r="P944" s="39">
        <f t="shared" si="101"/>
        <v>359.13817512179594</v>
      </c>
      <c r="Q944" s="26">
        <f t="shared" si="102"/>
        <v>4.337791441658112</v>
      </c>
      <c r="R944" s="26">
        <f t="shared" si="103"/>
        <v>-4.337791441658112</v>
      </c>
    </row>
    <row r="945" spans="1:18" x14ac:dyDescent="0.3">
      <c r="A945" s="2">
        <v>42786</v>
      </c>
      <c r="B945" s="1">
        <v>33.93</v>
      </c>
      <c r="C945" s="1">
        <v>845.07010000000002</v>
      </c>
      <c r="D945" s="1">
        <v>133.53</v>
      </c>
      <c r="E945" s="1">
        <f t="shared" si="98"/>
        <v>0</v>
      </c>
      <c r="F945" s="1">
        <f t="shared" si="99"/>
        <v>0</v>
      </c>
      <c r="G945" s="1">
        <f t="shared" si="100"/>
        <v>0</v>
      </c>
      <c r="P945" s="39">
        <f t="shared" si="101"/>
        <v>354.80038368013783</v>
      </c>
      <c r="Q945" s="26">
        <f t="shared" si="102"/>
        <v>0</v>
      </c>
      <c r="R945" s="26">
        <f t="shared" si="103"/>
        <v>0</v>
      </c>
    </row>
    <row r="946" spans="1:18" x14ac:dyDescent="0.3">
      <c r="A946" s="2">
        <v>42783</v>
      </c>
      <c r="B946" s="1">
        <v>33.93</v>
      </c>
      <c r="C946" s="1">
        <v>845.07010000000002</v>
      </c>
      <c r="D946" s="1">
        <v>133.53</v>
      </c>
      <c r="E946" s="1">
        <f t="shared" si="98"/>
        <v>2.7683435076714829E-3</v>
      </c>
      <c r="F946" s="1">
        <f t="shared" si="99"/>
        <v>1.1013433427748474E-3</v>
      </c>
      <c r="G946" s="1">
        <f t="shared" si="100"/>
        <v>-2.3188849826959097E-3</v>
      </c>
      <c r="P946" s="39">
        <f t="shared" si="101"/>
        <v>354.80038368013783</v>
      </c>
      <c r="Q946" s="26">
        <f t="shared" si="102"/>
        <v>0.31489766565027821</v>
      </c>
      <c r="R946" s="26">
        <f t="shared" si="103"/>
        <v>-0.31489766565027821</v>
      </c>
    </row>
    <row r="947" spans="1:18" x14ac:dyDescent="0.3">
      <c r="A947" s="2">
        <v>42782</v>
      </c>
      <c r="B947" s="1">
        <v>33.836199999999998</v>
      </c>
      <c r="C947" s="1">
        <v>844.13990000000001</v>
      </c>
      <c r="D947" s="1">
        <v>133.84</v>
      </c>
      <c r="E947" s="1">
        <f t="shared" si="98"/>
        <v>-1.2198419262644939E-3</v>
      </c>
      <c r="F947" s="1">
        <f t="shared" si="99"/>
        <v>1.7072163751001104E-3</v>
      </c>
      <c r="G947" s="1">
        <f t="shared" si="100"/>
        <v>2.9931180681318859E-3</v>
      </c>
      <c r="P947" s="39">
        <f t="shared" si="101"/>
        <v>354.48548601448755</v>
      </c>
      <c r="Q947" s="26">
        <f t="shared" si="102"/>
        <v>0.60085248102654987</v>
      </c>
      <c r="R947" s="26">
        <f t="shared" si="103"/>
        <v>-0.60085248102654987</v>
      </c>
    </row>
    <row r="948" spans="1:18" x14ac:dyDescent="0.3">
      <c r="A948" s="2">
        <v>42781</v>
      </c>
      <c r="B948" s="1">
        <v>33.877499999999998</v>
      </c>
      <c r="C948" s="1">
        <v>842.7</v>
      </c>
      <c r="D948" s="1">
        <v>133.44</v>
      </c>
      <c r="E948" s="1">
        <f t="shared" si="98"/>
        <v>3.6225227208978531E-3</v>
      </c>
      <c r="F948" s="1">
        <f t="shared" si="99"/>
        <v>7.5161308586714987E-3</v>
      </c>
      <c r="G948" s="1">
        <f t="shared" si="100"/>
        <v>-3.0678313559249076E-3</v>
      </c>
      <c r="P948" s="39">
        <f t="shared" si="101"/>
        <v>353.884633533461</v>
      </c>
      <c r="Q948" s="26">
        <f t="shared" si="102"/>
        <v>2.2901357927271988</v>
      </c>
      <c r="R948" s="26">
        <f t="shared" si="103"/>
        <v>-2.2901357927271988</v>
      </c>
    </row>
    <row r="949" spans="1:18" x14ac:dyDescent="0.3">
      <c r="A949" s="2">
        <v>42780</v>
      </c>
      <c r="B949" s="1">
        <v>33.755000000000003</v>
      </c>
      <c r="C949" s="1">
        <v>836.38990000000001</v>
      </c>
      <c r="D949" s="1">
        <v>133.85</v>
      </c>
      <c r="E949" s="1">
        <f t="shared" si="98"/>
        <v>1.2895709997797765E-2</v>
      </c>
      <c r="F949" s="1">
        <f t="shared" si="99"/>
        <v>-1.6749158202674711E-4</v>
      </c>
      <c r="G949" s="1">
        <f t="shared" si="100"/>
        <v>-1.4930947156069057E-3</v>
      </c>
      <c r="P949" s="39">
        <f t="shared" si="101"/>
        <v>351.5944977407338</v>
      </c>
      <c r="Q949" s="26">
        <f t="shared" si="102"/>
        <v>8.4157756750983026E-2</v>
      </c>
      <c r="R949" s="26">
        <f t="shared" si="103"/>
        <v>-8.4157756750983026E-2</v>
      </c>
    </row>
    <row r="950" spans="1:18" x14ac:dyDescent="0.3">
      <c r="A950" s="2">
        <v>42779</v>
      </c>
      <c r="B950" s="1">
        <v>33.322499999999998</v>
      </c>
      <c r="C950" s="1">
        <v>836.53</v>
      </c>
      <c r="D950" s="1">
        <v>134.05000000000001</v>
      </c>
      <c r="E950" s="1">
        <f t="shared" si="98"/>
        <v>8.8166050933378287E-3</v>
      </c>
      <c r="F950" s="1">
        <f t="shared" si="99"/>
        <v>1.0901615787361667E-2</v>
      </c>
      <c r="G950" s="1">
        <f t="shared" si="100"/>
        <v>-1.0438414308979978E-3</v>
      </c>
      <c r="P950" s="39">
        <f t="shared" si="101"/>
        <v>351.51033998398282</v>
      </c>
      <c r="Q950" s="26">
        <f t="shared" si="102"/>
        <v>3.4374008060526648</v>
      </c>
      <c r="R950" s="26">
        <f t="shared" si="103"/>
        <v>-3.4374008060526648</v>
      </c>
    </row>
    <row r="951" spans="1:18" x14ac:dyDescent="0.3">
      <c r="A951" s="2">
        <v>42776</v>
      </c>
      <c r="B951" s="1">
        <v>33.03</v>
      </c>
      <c r="C951" s="1">
        <v>827.46</v>
      </c>
      <c r="D951" s="1">
        <v>134.19</v>
      </c>
      <c r="E951" s="1">
        <f t="shared" si="98"/>
        <v>-2.2680889741110437E-3</v>
      </c>
      <c r="F951" s="1">
        <f t="shared" si="99"/>
        <v>7.3991429743055417E-3</v>
      </c>
      <c r="G951" s="1">
        <f t="shared" si="100"/>
        <v>3.7267544127530833E-4</v>
      </c>
      <c r="P951" s="39">
        <f t="shared" si="101"/>
        <v>348.07293917793015</v>
      </c>
      <c r="Q951" s="26">
        <f t="shared" si="102"/>
        <v>2.2304380567828161</v>
      </c>
      <c r="R951" s="26">
        <f t="shared" si="103"/>
        <v>-2.2304380567828161</v>
      </c>
    </row>
    <row r="952" spans="1:18" x14ac:dyDescent="0.3">
      <c r="A952" s="2">
        <v>42775</v>
      </c>
      <c r="B952" s="1">
        <v>33.104999999999997</v>
      </c>
      <c r="C952" s="1">
        <v>821.36009999999999</v>
      </c>
      <c r="D952" s="1">
        <v>134.13999999999999</v>
      </c>
      <c r="E952" s="1">
        <f t="shared" si="98"/>
        <v>2.8737825117077787E-3</v>
      </c>
      <c r="F952" s="1">
        <f t="shared" si="99"/>
        <v>2.0110055702109533E-3</v>
      </c>
      <c r="G952" s="1">
        <f t="shared" si="100"/>
        <v>-4.4719386599027415E-4</v>
      </c>
      <c r="P952" s="39">
        <f t="shared" si="101"/>
        <v>345.84250112114734</v>
      </c>
      <c r="Q952" s="26">
        <f t="shared" si="102"/>
        <v>0.63519392095946614</v>
      </c>
      <c r="R952" s="26">
        <f t="shared" si="103"/>
        <v>-0.63519392095946614</v>
      </c>
    </row>
    <row r="953" spans="1:18" x14ac:dyDescent="0.3">
      <c r="A953" s="2">
        <v>42774</v>
      </c>
      <c r="B953" s="1">
        <v>33.01</v>
      </c>
      <c r="C953" s="1">
        <v>819.71</v>
      </c>
      <c r="D953" s="1">
        <v>134.19999999999999</v>
      </c>
      <c r="E953" s="1">
        <f t="shared" si="98"/>
        <v>3.8699445043049257E-3</v>
      </c>
      <c r="F953" s="1">
        <f t="shared" si="99"/>
        <v>8.8347049658922591E-3</v>
      </c>
      <c r="G953" s="1">
        <f t="shared" si="100"/>
        <v>1.7742158376419803E-2</v>
      </c>
      <c r="P953" s="39">
        <f t="shared" si="101"/>
        <v>345.20730720018787</v>
      </c>
      <c r="Q953" s="26">
        <f t="shared" si="102"/>
        <v>3.224535322758868</v>
      </c>
      <c r="R953" s="26">
        <f t="shared" si="103"/>
        <v>-3.224535322758868</v>
      </c>
    </row>
    <row r="954" spans="1:18" x14ac:dyDescent="0.3">
      <c r="A954" s="2">
        <v>42773</v>
      </c>
      <c r="B954" s="1">
        <v>32.8825</v>
      </c>
      <c r="C954" s="1">
        <v>812.5</v>
      </c>
      <c r="D954" s="1">
        <v>131.84</v>
      </c>
      <c r="E954" s="1">
        <f t="shared" si="98"/>
        <v>9.4722272658471583E-3</v>
      </c>
      <c r="F954" s="1">
        <f t="shared" si="99"/>
        <v>5.9996233392693304E-3</v>
      </c>
      <c r="G954" s="1">
        <f t="shared" si="100"/>
        <v>-1.6672986052637267E-3</v>
      </c>
      <c r="P954" s="39">
        <f t="shared" si="101"/>
        <v>341.982771877429</v>
      </c>
      <c r="Q954" s="26">
        <f t="shared" si="102"/>
        <v>1.8739902063429668</v>
      </c>
      <c r="R954" s="26">
        <f t="shared" si="103"/>
        <v>-1.8739902063429668</v>
      </c>
    </row>
    <row r="955" spans="1:18" x14ac:dyDescent="0.3">
      <c r="A955" s="2">
        <v>42772</v>
      </c>
      <c r="B955" s="1">
        <v>32.572499999999998</v>
      </c>
      <c r="C955" s="1">
        <v>807.63990000000001</v>
      </c>
      <c r="D955" s="1">
        <v>132.06</v>
      </c>
      <c r="E955" s="1">
        <f t="shared" si="98"/>
        <v>9.3303680310790529E-3</v>
      </c>
      <c r="F955" s="1">
        <f t="shared" si="99"/>
        <v>-3.1648399039669044E-3</v>
      </c>
      <c r="G955" s="1">
        <f t="shared" si="100"/>
        <v>8.2117249765179048E-3</v>
      </c>
      <c r="P955" s="39">
        <f t="shared" si="101"/>
        <v>340.10878167108604</v>
      </c>
      <c r="Q955" s="26">
        <f t="shared" si="102"/>
        <v>-0.58521813735518435</v>
      </c>
      <c r="R955" s="26">
        <f t="shared" si="103"/>
        <v>0.58521813735518435</v>
      </c>
    </row>
    <row r="956" spans="1:18" x14ac:dyDescent="0.3">
      <c r="A956" s="2">
        <v>42769</v>
      </c>
      <c r="B956" s="1">
        <v>32.270000000000003</v>
      </c>
      <c r="C956" s="1">
        <v>810.2</v>
      </c>
      <c r="D956" s="1">
        <v>130.97999999999999</v>
      </c>
      <c r="E956" s="1">
        <f t="shared" si="98"/>
        <v>4.2700270617207076E-3</v>
      </c>
      <c r="F956" s="1">
        <f t="shared" si="99"/>
        <v>-3.606123548763307E-2</v>
      </c>
      <c r="G956" s="1">
        <f t="shared" si="100"/>
        <v>1.0694371197241964E-3</v>
      </c>
      <c r="P956" s="39">
        <f t="shared" si="101"/>
        <v>340.69399980844122</v>
      </c>
      <c r="Q956" s="26">
        <f t="shared" si="102"/>
        <v>-10.889530688148227</v>
      </c>
      <c r="R956" s="26">
        <f t="shared" si="103"/>
        <v>10.889530688148227</v>
      </c>
    </row>
    <row r="957" spans="1:18" x14ac:dyDescent="0.3">
      <c r="A957" s="2">
        <v>42768</v>
      </c>
      <c r="B957" s="1">
        <v>32.1325</v>
      </c>
      <c r="C957" s="1">
        <v>839.95</v>
      </c>
      <c r="D957" s="1">
        <v>130.84</v>
      </c>
      <c r="E957" s="1">
        <f t="shared" si="98"/>
        <v>-1.7101994218050403E-3</v>
      </c>
      <c r="F957" s="1">
        <f t="shared" si="99"/>
        <v>9.0892206744433574E-3</v>
      </c>
      <c r="G957" s="1">
        <f t="shared" si="100"/>
        <v>-1.8101755301937361E-2</v>
      </c>
      <c r="P957" s="39">
        <f t="shared" si="101"/>
        <v>351.58353049658945</v>
      </c>
      <c r="Q957" s="26">
        <f t="shared" si="102"/>
        <v>2.2634010934736466</v>
      </c>
      <c r="R957" s="26">
        <f t="shared" si="103"/>
        <v>-2.2634010934736466</v>
      </c>
    </row>
    <row r="958" spans="1:18" x14ac:dyDescent="0.3">
      <c r="A958" s="2">
        <v>42767</v>
      </c>
      <c r="B958" s="1">
        <v>32.1875</v>
      </c>
      <c r="C958" s="1">
        <v>832.3501</v>
      </c>
      <c r="D958" s="1">
        <v>133.22999999999999</v>
      </c>
      <c r="E958" s="1">
        <f t="shared" si="98"/>
        <v>5.9193607371235211E-2</v>
      </c>
      <c r="F958" s="1">
        <f t="shared" si="99"/>
        <v>1.0713882840672397E-2</v>
      </c>
      <c r="G958" s="1">
        <f t="shared" si="100"/>
        <v>2.2083993678330971E-2</v>
      </c>
      <c r="P958" s="39">
        <f t="shared" si="101"/>
        <v>349.3201294031158</v>
      </c>
      <c r="Q958" s="26">
        <f t="shared" si="102"/>
        <v>4.6699167503570607</v>
      </c>
      <c r="R958" s="26">
        <f t="shared" si="103"/>
        <v>-4.6699167503570607</v>
      </c>
    </row>
    <row r="959" spans="1:18" x14ac:dyDescent="0.3">
      <c r="A959" s="2">
        <v>42766</v>
      </c>
      <c r="B959" s="1">
        <v>30.337499999999999</v>
      </c>
      <c r="C959" s="1">
        <v>823.48</v>
      </c>
      <c r="D959" s="1">
        <v>130.32</v>
      </c>
      <c r="E959" s="1">
        <f t="shared" si="98"/>
        <v>-2.3047174577346796E-3</v>
      </c>
      <c r="F959" s="1">
        <f t="shared" si="99"/>
        <v>-8.3440441752538619E-3</v>
      </c>
      <c r="G959" s="1">
        <f t="shared" si="100"/>
        <v>-5.0516754961178337E-3</v>
      </c>
      <c r="P959" s="39">
        <f t="shared" si="101"/>
        <v>344.65021265275874</v>
      </c>
      <c r="Q959" s="26">
        <f t="shared" si="102"/>
        <v>-2.7178841083085672</v>
      </c>
      <c r="R959" s="26">
        <f t="shared" si="103"/>
        <v>2.7178841083085672</v>
      </c>
    </row>
    <row r="960" spans="1:18" x14ac:dyDescent="0.3">
      <c r="A960" s="2">
        <v>42765</v>
      </c>
      <c r="B960" s="1">
        <v>30.407499999999999</v>
      </c>
      <c r="C960" s="1">
        <v>830.37990000000002</v>
      </c>
      <c r="D960" s="1">
        <v>130.97999999999999</v>
      </c>
      <c r="E960" s="1">
        <f t="shared" si="98"/>
        <v>-2.6274750315843321E-3</v>
      </c>
      <c r="F960" s="1">
        <f t="shared" si="99"/>
        <v>-6.4701486987706345E-3</v>
      </c>
      <c r="G960" s="1">
        <f t="shared" si="100"/>
        <v>-9.1199902523993372E-3</v>
      </c>
      <c r="P960" s="39">
        <f t="shared" si="101"/>
        <v>347.36809676106731</v>
      </c>
      <c r="Q960" s="26">
        <f t="shared" si="102"/>
        <v>-2.2819818267044525</v>
      </c>
      <c r="R960" s="26">
        <f t="shared" si="103"/>
        <v>2.2819818267044525</v>
      </c>
    </row>
    <row r="961" spans="1:18" x14ac:dyDescent="0.3">
      <c r="A961" s="2">
        <v>42762</v>
      </c>
      <c r="B961" s="1">
        <v>30.487500000000001</v>
      </c>
      <c r="C961" s="1">
        <v>835.77</v>
      </c>
      <c r="D961" s="1">
        <v>132.18</v>
      </c>
      <c r="E961" s="1">
        <f t="shared" si="98"/>
        <v>8.2004182259253584E-5</v>
      </c>
      <c r="F961" s="1">
        <f t="shared" si="99"/>
        <v>-4.0358999708431306E-3</v>
      </c>
      <c r="G961" s="1">
        <f t="shared" si="100"/>
        <v>-4.5289932487064481E-3</v>
      </c>
      <c r="P961" s="39">
        <f t="shared" si="101"/>
        <v>349.65007858777176</v>
      </c>
      <c r="Q961" s="26">
        <f t="shared" si="102"/>
        <v>-1.3760710571790469</v>
      </c>
      <c r="R961" s="26">
        <f t="shared" si="103"/>
        <v>1.3760710571790469</v>
      </c>
    </row>
    <row r="962" spans="1:18" x14ac:dyDescent="0.3">
      <c r="A962" s="2">
        <v>42761</v>
      </c>
      <c r="B962" s="1">
        <v>30.484999999999999</v>
      </c>
      <c r="C962" s="1">
        <v>839.1499</v>
      </c>
      <c r="D962" s="1">
        <v>132.78</v>
      </c>
      <c r="E962" s="1">
        <f t="shared" si="98"/>
        <v>4.9216636216183518E-4</v>
      </c>
      <c r="F962" s="1">
        <f t="shared" si="99"/>
        <v>3.1389262996676598E-3</v>
      </c>
      <c r="G962" s="1">
        <f t="shared" si="100"/>
        <v>9.8388744949946469E-3</v>
      </c>
      <c r="P962" s="39">
        <f t="shared" si="101"/>
        <v>351.02614964495081</v>
      </c>
      <c r="Q962" s="26">
        <f t="shared" si="102"/>
        <v>1.2582930314305827</v>
      </c>
      <c r="R962" s="26">
        <f t="shared" si="103"/>
        <v>-1.2582930314305827</v>
      </c>
    </row>
    <row r="963" spans="1:18" x14ac:dyDescent="0.3">
      <c r="A963" s="2">
        <v>42760</v>
      </c>
      <c r="B963" s="1">
        <v>30.47</v>
      </c>
      <c r="C963" s="1">
        <v>836.52</v>
      </c>
      <c r="D963" s="1">
        <v>131.47999999999999</v>
      </c>
      <c r="E963" s="1">
        <f t="shared" si="98"/>
        <v>1.5795242590671537E-2</v>
      </c>
      <c r="F963" s="1">
        <f t="shared" si="99"/>
        <v>1.6975019225331119E-2</v>
      </c>
      <c r="G963" s="1">
        <f t="shared" si="100"/>
        <v>1.6178232866207926E-2</v>
      </c>
      <c r="P963" s="39">
        <f t="shared" si="101"/>
        <v>349.76785661352022</v>
      </c>
      <c r="Q963" s="26">
        <f t="shared" si="102"/>
        <v>5.8502253720931776</v>
      </c>
      <c r="R963" s="26">
        <f t="shared" si="103"/>
        <v>-5.8502253720931776</v>
      </c>
    </row>
    <row r="964" spans="1:18" x14ac:dyDescent="0.3">
      <c r="A964" s="2">
        <v>42759</v>
      </c>
      <c r="B964" s="1">
        <v>29.9925</v>
      </c>
      <c r="C964" s="1">
        <v>822.43989999999997</v>
      </c>
      <c r="D964" s="1">
        <v>129.37</v>
      </c>
      <c r="E964" s="1">
        <f t="shared" si="98"/>
        <v>-9.1647579836979999E-4</v>
      </c>
      <c r="F964" s="1">
        <f t="shared" si="99"/>
        <v>5.5599057534557956E-3</v>
      </c>
      <c r="G964" s="1">
        <f t="shared" si="100"/>
        <v>3.406894507064398E-3</v>
      </c>
      <c r="P964" s="39">
        <f t="shared" si="101"/>
        <v>343.91763124142705</v>
      </c>
      <c r="Q964" s="26">
        <f t="shared" si="102"/>
        <v>1.7664599347636454</v>
      </c>
      <c r="R964" s="26">
        <f t="shared" si="103"/>
        <v>-1.7664599347636454</v>
      </c>
    </row>
    <row r="965" spans="1:18" x14ac:dyDescent="0.3">
      <c r="A965" s="2">
        <v>42758</v>
      </c>
      <c r="B965" s="1">
        <v>30.02</v>
      </c>
      <c r="C965" s="1">
        <v>817.87990000000002</v>
      </c>
      <c r="D965" s="1">
        <v>128.93</v>
      </c>
      <c r="E965" s="1">
        <f t="shared" si="98"/>
        <v>6.6644454316044683E-4</v>
      </c>
      <c r="F965" s="1">
        <f t="shared" si="99"/>
        <v>1.1744989612046973E-2</v>
      </c>
      <c r="G965" s="1">
        <f t="shared" si="100"/>
        <v>1.4767623923920673E-2</v>
      </c>
      <c r="P965" s="39">
        <f t="shared" si="101"/>
        <v>342.1511713066634</v>
      </c>
      <c r="Q965" s="26">
        <f t="shared" si="102"/>
        <v>3.9414559771224731</v>
      </c>
      <c r="R965" s="26">
        <f t="shared" si="103"/>
        <v>-3.9414559771224731</v>
      </c>
    </row>
    <row r="966" spans="1:18" x14ac:dyDescent="0.3">
      <c r="A966" s="2">
        <v>42755</v>
      </c>
      <c r="B966" s="1">
        <v>30</v>
      </c>
      <c r="C966" s="1">
        <v>808.33010000000002</v>
      </c>
      <c r="D966" s="1">
        <v>127.04</v>
      </c>
      <c r="E966" s="1">
        <f t="shared" ref="E966:E1029" si="104">LN(B966/B967)</f>
        <v>1.8350159457296321E-3</v>
      </c>
      <c r="F966" s="1">
        <f t="shared" ref="F966:F1029" si="105">LN(C966/C967)</f>
        <v>-8.7784489844105378E-4</v>
      </c>
      <c r="G966" s="1">
        <f t="shared" ref="G966:G1029" si="106">LN(D966/D967)</f>
        <v>-4.0064470889947731E-3</v>
      </c>
      <c r="P966" s="39">
        <f t="shared" ref="P966:P1029" si="107">B966*$J$13+C966*$J$14+D966*$J$15</f>
        <v>338.20971532954093</v>
      </c>
      <c r="Q966" s="26">
        <f t="shared" ref="Q966:Q1029" si="108">P966-P967</f>
        <v>-0.3496669922007527</v>
      </c>
      <c r="R966" s="26">
        <f t="shared" ref="R966:R1029" si="109">-Q966</f>
        <v>0.3496669922007527</v>
      </c>
    </row>
    <row r="967" spans="1:18" x14ac:dyDescent="0.3">
      <c r="A967" s="2">
        <v>42754</v>
      </c>
      <c r="B967" s="1">
        <v>29.945</v>
      </c>
      <c r="C967" s="1">
        <v>809.04</v>
      </c>
      <c r="D967" s="1">
        <v>127.55</v>
      </c>
      <c r="E967" s="1">
        <f t="shared" si="104"/>
        <v>-1.7516791399811071E-3</v>
      </c>
      <c r="F967" s="1">
        <f t="shared" si="105"/>
        <v>1.9300726056880146E-3</v>
      </c>
      <c r="G967" s="1">
        <f t="shared" si="106"/>
        <v>-2.896623937878407E-3</v>
      </c>
      <c r="P967" s="39">
        <f t="shared" si="107"/>
        <v>338.55938232174168</v>
      </c>
      <c r="Q967" s="26">
        <f t="shared" si="108"/>
        <v>0.47365705490068422</v>
      </c>
      <c r="R967" s="26">
        <f t="shared" si="109"/>
        <v>-0.47365705490068422</v>
      </c>
    </row>
    <row r="968" spans="1:18" x14ac:dyDescent="0.3">
      <c r="A968" s="2">
        <v>42753</v>
      </c>
      <c r="B968" s="1">
        <v>29.997499999999999</v>
      </c>
      <c r="C968" s="1">
        <v>807.48</v>
      </c>
      <c r="D968" s="1">
        <v>127.92</v>
      </c>
      <c r="E968" s="1">
        <f t="shared" si="104"/>
        <v>-8.3336805748459669E-5</v>
      </c>
      <c r="F968" s="1">
        <f t="shared" si="105"/>
        <v>-2.7702219051496352E-3</v>
      </c>
      <c r="G968" s="1">
        <f t="shared" si="106"/>
        <v>3.9094570262183519E-4</v>
      </c>
      <c r="P968" s="39">
        <f t="shared" si="107"/>
        <v>338.085725266841</v>
      </c>
      <c r="Q968" s="26">
        <f t="shared" si="108"/>
        <v>-0.81669161418477643</v>
      </c>
      <c r="R968" s="26">
        <f t="shared" si="109"/>
        <v>0.81669161418477643</v>
      </c>
    </row>
    <row r="969" spans="1:18" x14ac:dyDescent="0.3">
      <c r="A969" s="2">
        <v>42752</v>
      </c>
      <c r="B969" s="1">
        <v>30</v>
      </c>
      <c r="C969" s="1">
        <v>809.72</v>
      </c>
      <c r="D969" s="1">
        <v>127.87</v>
      </c>
      <c r="E969" s="1">
        <f t="shared" si="104"/>
        <v>8.0321716972642527E-3</v>
      </c>
      <c r="F969" s="1">
        <f t="shared" si="105"/>
        <v>-9.1218075374866793E-3</v>
      </c>
      <c r="G969" s="1">
        <f t="shared" si="106"/>
        <v>-3.6688694992923626E-3</v>
      </c>
      <c r="P969" s="39">
        <f t="shared" si="107"/>
        <v>338.90241688102577</v>
      </c>
      <c r="Q969" s="26">
        <f t="shared" si="108"/>
        <v>-2.7401341435696622</v>
      </c>
      <c r="R969" s="26">
        <f t="shared" si="109"/>
        <v>2.7401341435696622</v>
      </c>
    </row>
    <row r="970" spans="1:18" x14ac:dyDescent="0.3">
      <c r="A970" s="2">
        <v>42751</v>
      </c>
      <c r="B970" s="1">
        <v>29.76</v>
      </c>
      <c r="C970" s="1">
        <v>817.13990000000001</v>
      </c>
      <c r="D970" s="1">
        <v>128.34</v>
      </c>
      <c r="E970" s="1">
        <f t="shared" si="104"/>
        <v>0</v>
      </c>
      <c r="F970" s="1">
        <f t="shared" si="105"/>
        <v>0</v>
      </c>
      <c r="G970" s="1">
        <f t="shared" si="106"/>
        <v>0</v>
      </c>
      <c r="P970" s="39">
        <f t="shared" si="107"/>
        <v>341.64255102459543</v>
      </c>
      <c r="Q970" s="26">
        <f t="shared" si="108"/>
        <v>0</v>
      </c>
      <c r="R970" s="26">
        <f t="shared" si="109"/>
        <v>0</v>
      </c>
    </row>
    <row r="971" spans="1:18" x14ac:dyDescent="0.3">
      <c r="A971" s="2">
        <v>42748</v>
      </c>
      <c r="B971" s="1">
        <v>29.76</v>
      </c>
      <c r="C971" s="1">
        <v>817.13990000000001</v>
      </c>
      <c r="D971" s="1">
        <v>128.34</v>
      </c>
      <c r="E971" s="1">
        <f t="shared" si="104"/>
        <v>-1.7625586836687735E-3</v>
      </c>
      <c r="F971" s="1">
        <f t="shared" si="105"/>
        <v>4.2924316010630867E-3</v>
      </c>
      <c r="G971" s="1">
        <f t="shared" si="106"/>
        <v>1.3492517206388848E-2</v>
      </c>
      <c r="P971" s="39">
        <f t="shared" si="107"/>
        <v>341.64255102459543</v>
      </c>
      <c r="Q971" s="26">
        <f t="shared" si="108"/>
        <v>1.642385852118025</v>
      </c>
      <c r="R971" s="26">
        <f t="shared" si="109"/>
        <v>-1.642385852118025</v>
      </c>
    </row>
    <row r="972" spans="1:18" x14ac:dyDescent="0.3">
      <c r="A972" s="2">
        <v>42747</v>
      </c>
      <c r="B972" s="1">
        <v>29.8125</v>
      </c>
      <c r="C972" s="1">
        <v>813.63990000000001</v>
      </c>
      <c r="D972" s="1">
        <v>126.62</v>
      </c>
      <c r="E972" s="1">
        <f t="shared" si="104"/>
        <v>-4.1841065225739849E-3</v>
      </c>
      <c r="F972" s="1">
        <f t="shared" si="105"/>
        <v>1.8131908087691578E-2</v>
      </c>
      <c r="G972" s="1">
        <f t="shared" si="106"/>
        <v>4.1945374308454408E-3</v>
      </c>
      <c r="P972" s="39">
        <f t="shared" si="107"/>
        <v>340.00016517247741</v>
      </c>
      <c r="Q972" s="26">
        <f t="shared" si="108"/>
        <v>5.4573630672064155</v>
      </c>
      <c r="R972" s="26">
        <f t="shared" si="109"/>
        <v>-5.4573630672064155</v>
      </c>
    </row>
    <row r="973" spans="1:18" x14ac:dyDescent="0.3">
      <c r="A973" s="2">
        <v>42746</v>
      </c>
      <c r="B973" s="1">
        <v>29.9375</v>
      </c>
      <c r="C973" s="1">
        <v>799.02</v>
      </c>
      <c r="D973" s="1">
        <v>126.09</v>
      </c>
      <c r="E973" s="1">
        <f t="shared" si="104"/>
        <v>5.3588003982151678E-3</v>
      </c>
      <c r="F973" s="1">
        <f t="shared" si="105"/>
        <v>3.9125525742379806E-3</v>
      </c>
      <c r="G973" s="1">
        <f t="shared" si="106"/>
        <v>1.3895767435721379E-2</v>
      </c>
      <c r="P973" s="39">
        <f t="shared" si="107"/>
        <v>334.54280210527099</v>
      </c>
      <c r="Q973" s="26">
        <f t="shared" si="108"/>
        <v>1.5945913186417329</v>
      </c>
      <c r="R973" s="26">
        <f t="shared" si="109"/>
        <v>-1.5945913186417329</v>
      </c>
    </row>
    <row r="974" spans="1:18" x14ac:dyDescent="0.3">
      <c r="A974" s="2">
        <v>42745</v>
      </c>
      <c r="B974" s="1">
        <v>29.7775</v>
      </c>
      <c r="C974" s="1">
        <v>795.8999</v>
      </c>
      <c r="D974" s="1">
        <v>124.35</v>
      </c>
      <c r="E974" s="1">
        <f t="shared" si="104"/>
        <v>1.0079799257474574E-3</v>
      </c>
      <c r="F974" s="1">
        <f t="shared" si="105"/>
        <v>-1.2807476896341285E-3</v>
      </c>
      <c r="G974" s="1">
        <f t="shared" si="106"/>
        <v>-4.4132468821184503E-3</v>
      </c>
      <c r="P974" s="39">
        <f t="shared" si="107"/>
        <v>332.94821078662926</v>
      </c>
      <c r="Q974" s="26">
        <f t="shared" si="108"/>
        <v>-0.48311084442093488</v>
      </c>
      <c r="R974" s="26">
        <f t="shared" si="109"/>
        <v>0.48311084442093488</v>
      </c>
    </row>
    <row r="975" spans="1:18" x14ac:dyDescent="0.3">
      <c r="A975" s="2">
        <v>42744</v>
      </c>
      <c r="B975" s="1">
        <v>29.747499999999999</v>
      </c>
      <c r="C975" s="1">
        <v>796.91989999999998</v>
      </c>
      <c r="D975" s="1">
        <v>124.9</v>
      </c>
      <c r="E975" s="1">
        <f t="shared" si="104"/>
        <v>9.1178343784800442E-3</v>
      </c>
      <c r="F975" s="1">
        <f t="shared" si="105"/>
        <v>1.167548906104953E-3</v>
      </c>
      <c r="G975" s="1">
        <f t="shared" si="106"/>
        <v>1.2001271666439902E-2</v>
      </c>
      <c r="P975" s="39">
        <f t="shared" si="107"/>
        <v>333.4313216310502</v>
      </c>
      <c r="Q975" s="26">
        <f t="shared" si="108"/>
        <v>0.777871601966865</v>
      </c>
      <c r="R975" s="26">
        <f t="shared" si="109"/>
        <v>-0.777871601966865</v>
      </c>
    </row>
    <row r="976" spans="1:18" x14ac:dyDescent="0.3">
      <c r="A976" s="2">
        <v>42741</v>
      </c>
      <c r="B976" s="1">
        <v>29.477499999999999</v>
      </c>
      <c r="C976" s="1">
        <v>795.99</v>
      </c>
      <c r="D976" s="1">
        <v>123.41</v>
      </c>
      <c r="E976" s="1">
        <f t="shared" si="104"/>
        <v>1.108658805634055E-2</v>
      </c>
      <c r="F976" s="1">
        <f t="shared" si="105"/>
        <v>1.9715946546977541E-2</v>
      </c>
      <c r="G976" s="1">
        <f t="shared" si="106"/>
        <v>2.2452598379582772E-2</v>
      </c>
      <c r="P976" s="39">
        <f t="shared" si="107"/>
        <v>332.65345002908333</v>
      </c>
      <c r="Q976" s="26">
        <f t="shared" si="108"/>
        <v>6.4622287890022676</v>
      </c>
      <c r="R976" s="26">
        <f t="shared" si="109"/>
        <v>-6.4622287890022676</v>
      </c>
    </row>
    <row r="977" spans="1:18" x14ac:dyDescent="0.3">
      <c r="A977" s="2">
        <v>42740</v>
      </c>
      <c r="B977" s="1">
        <v>29.1525</v>
      </c>
      <c r="C977" s="1">
        <v>780.45</v>
      </c>
      <c r="D977" s="1">
        <v>120.67</v>
      </c>
      <c r="E977" s="1">
        <f t="shared" si="104"/>
        <v>5.0724434943232788E-3</v>
      </c>
      <c r="F977" s="1">
        <f t="shared" si="105"/>
        <v>3.0269802587986113E-2</v>
      </c>
      <c r="G977" s="1">
        <f t="shared" si="106"/>
        <v>1.6544495017095671E-2</v>
      </c>
      <c r="P977" s="39">
        <f t="shared" si="107"/>
        <v>326.19122124008106</v>
      </c>
      <c r="Q977" s="26">
        <f t="shared" si="108"/>
        <v>9.0761563197592636</v>
      </c>
      <c r="R977" s="26">
        <f t="shared" si="109"/>
        <v>-9.0761563197592636</v>
      </c>
    </row>
    <row r="978" spans="1:18" x14ac:dyDescent="0.3">
      <c r="A978" s="2">
        <v>42739</v>
      </c>
      <c r="B978" s="1">
        <v>29.004999999999999</v>
      </c>
      <c r="C978" s="1">
        <v>757.17989999999998</v>
      </c>
      <c r="D978" s="1">
        <v>118.69</v>
      </c>
      <c r="E978" s="1">
        <f t="shared" si="104"/>
        <v>-1.1198691784999829E-3</v>
      </c>
      <c r="F978" s="1">
        <f t="shared" si="105"/>
        <v>4.6464000786709944E-3</v>
      </c>
      <c r="G978" s="1">
        <f t="shared" si="106"/>
        <v>1.5538414942122956E-2</v>
      </c>
      <c r="P978" s="39">
        <f t="shared" si="107"/>
        <v>317.1150649203218</v>
      </c>
      <c r="Q978" s="26">
        <f t="shared" si="108"/>
        <v>1.6782002430995817</v>
      </c>
      <c r="R978" s="26">
        <f t="shared" si="109"/>
        <v>-1.6782002430995817</v>
      </c>
    </row>
    <row r="979" spans="1:18" x14ac:dyDescent="0.3">
      <c r="A979" s="2">
        <v>42738</v>
      </c>
      <c r="B979" s="1">
        <v>29.037500000000001</v>
      </c>
      <c r="C979" s="1">
        <v>753.66989999999998</v>
      </c>
      <c r="D979" s="1">
        <v>116.86</v>
      </c>
      <c r="E979" s="1">
        <f t="shared" si="104"/>
        <v>2.8451974187745023E-3</v>
      </c>
      <c r="F979" s="1">
        <f t="shared" si="105"/>
        <v>5.0544822082609813E-3</v>
      </c>
      <c r="G979" s="1">
        <f t="shared" si="106"/>
        <v>1.5609820644916084E-2</v>
      </c>
      <c r="P979" s="39">
        <f t="shared" si="107"/>
        <v>315.43686467722222</v>
      </c>
      <c r="Q979" s="26">
        <f t="shared" si="108"/>
        <v>1.8284399642117251</v>
      </c>
      <c r="R979" s="26">
        <f t="shared" si="109"/>
        <v>-1.8284399642117251</v>
      </c>
    </row>
    <row r="980" spans="1:18" x14ac:dyDescent="0.3">
      <c r="A980" s="2">
        <v>42737</v>
      </c>
      <c r="B980" s="1">
        <v>28.954999999999998</v>
      </c>
      <c r="C980" s="1">
        <v>749.87009999999998</v>
      </c>
      <c r="D980" s="1">
        <v>115.05</v>
      </c>
      <c r="E980" s="1">
        <f t="shared" si="104"/>
        <v>0</v>
      </c>
      <c r="F980" s="1">
        <f t="shared" si="105"/>
        <v>0</v>
      </c>
      <c r="G980" s="1">
        <f t="shared" si="106"/>
        <v>0</v>
      </c>
      <c r="P980" s="39">
        <f t="shared" si="107"/>
        <v>313.60842471301049</v>
      </c>
      <c r="Q980" s="26">
        <f t="shared" si="108"/>
        <v>0</v>
      </c>
      <c r="R980" s="26">
        <f t="shared" si="109"/>
        <v>0</v>
      </c>
    </row>
    <row r="981" spans="1:18" x14ac:dyDescent="0.3">
      <c r="A981" s="2">
        <v>42734</v>
      </c>
      <c r="B981" s="1">
        <v>28.954999999999998</v>
      </c>
      <c r="C981" s="1">
        <v>749.87009999999998</v>
      </c>
      <c r="D981" s="1">
        <v>115.05</v>
      </c>
      <c r="E981" s="1">
        <f t="shared" si="104"/>
        <v>-7.8263138669282771E-3</v>
      </c>
      <c r="F981" s="1">
        <f t="shared" si="105"/>
        <v>-2.0171770814204619E-2</v>
      </c>
      <c r="G981" s="1">
        <f t="shared" si="106"/>
        <v>-1.1236073266925842E-2</v>
      </c>
      <c r="P981" s="39">
        <f t="shared" si="107"/>
        <v>313.60842471301049</v>
      </c>
      <c r="Q981" s="26">
        <f t="shared" si="108"/>
        <v>-6.0137615382618606</v>
      </c>
      <c r="R981" s="26">
        <f t="shared" si="109"/>
        <v>6.0137615382618606</v>
      </c>
    </row>
    <row r="982" spans="1:18" x14ac:dyDescent="0.3">
      <c r="A982" s="2">
        <v>42733</v>
      </c>
      <c r="B982" s="1">
        <v>29.182500000000001</v>
      </c>
      <c r="C982" s="1">
        <v>765.1499</v>
      </c>
      <c r="D982" s="1">
        <v>116.35</v>
      </c>
      <c r="E982" s="1">
        <f t="shared" si="104"/>
        <v>-2.5697032134212199E-4</v>
      </c>
      <c r="F982" s="1">
        <f t="shared" si="105"/>
        <v>-9.0810377749314143E-3</v>
      </c>
      <c r="G982" s="1">
        <f t="shared" si="106"/>
        <v>-4.887050494744501E-3</v>
      </c>
      <c r="P982" s="39">
        <f t="shared" si="107"/>
        <v>319.62218625127235</v>
      </c>
      <c r="Q982" s="26">
        <f t="shared" si="108"/>
        <v>-2.7020395610123273</v>
      </c>
      <c r="R982" s="26">
        <f t="shared" si="109"/>
        <v>2.7020395610123273</v>
      </c>
    </row>
    <row r="983" spans="1:18" x14ac:dyDescent="0.3">
      <c r="A983" s="2">
        <v>42732</v>
      </c>
      <c r="B983" s="1">
        <v>29.19</v>
      </c>
      <c r="C983" s="1">
        <v>772.12990000000002</v>
      </c>
      <c r="D983" s="1">
        <v>116.92</v>
      </c>
      <c r="E983" s="1">
        <f t="shared" si="104"/>
        <v>-4.2731455501550204E-3</v>
      </c>
      <c r="F983" s="1">
        <f t="shared" si="105"/>
        <v>9.4588397895179778E-4</v>
      </c>
      <c r="G983" s="1">
        <f t="shared" si="106"/>
        <v>-9.2794263946121558E-3</v>
      </c>
      <c r="P983" s="39">
        <f t="shared" si="107"/>
        <v>322.32422581228468</v>
      </c>
      <c r="Q983" s="26">
        <f t="shared" si="108"/>
        <v>-1.8658308278475033E-2</v>
      </c>
      <c r="R983" s="26">
        <f t="shared" si="109"/>
        <v>1.8658308278475033E-2</v>
      </c>
    </row>
    <row r="984" spans="1:18" x14ac:dyDescent="0.3">
      <c r="A984" s="2">
        <v>42731</v>
      </c>
      <c r="B984" s="1">
        <v>29.315000000000001</v>
      </c>
      <c r="C984" s="1">
        <v>771.3999</v>
      </c>
      <c r="D984" s="1">
        <v>118.01</v>
      </c>
      <c r="E984" s="1">
        <f t="shared" si="104"/>
        <v>6.3307594448351514E-3</v>
      </c>
      <c r="F984" s="1">
        <f t="shared" si="105"/>
        <v>1.4112336770206586E-2</v>
      </c>
      <c r="G984" s="1">
        <f t="shared" si="106"/>
        <v>6.2903981646843452E-3</v>
      </c>
      <c r="P984" s="39">
        <f t="shared" si="107"/>
        <v>322.34288412056316</v>
      </c>
      <c r="Q984" s="26">
        <f t="shared" si="108"/>
        <v>4.2255011022801909</v>
      </c>
      <c r="R984" s="26">
        <f t="shared" si="109"/>
        <v>-4.2255011022801909</v>
      </c>
    </row>
    <row r="985" spans="1:18" x14ac:dyDescent="0.3">
      <c r="A985" s="2">
        <v>42730</v>
      </c>
      <c r="B985" s="1">
        <v>29.13</v>
      </c>
      <c r="C985" s="1">
        <v>760.59010000000001</v>
      </c>
      <c r="D985" s="1">
        <v>117.27</v>
      </c>
      <c r="E985" s="1">
        <f t="shared" si="104"/>
        <v>0</v>
      </c>
      <c r="F985" s="1">
        <f t="shared" si="105"/>
        <v>0</v>
      </c>
      <c r="G985" s="1">
        <f t="shared" si="106"/>
        <v>0</v>
      </c>
      <c r="P985" s="39">
        <f t="shared" si="107"/>
        <v>318.11738301828296</v>
      </c>
      <c r="Q985" s="26">
        <f t="shared" si="108"/>
        <v>0</v>
      </c>
      <c r="R985" s="26">
        <f t="shared" si="109"/>
        <v>0</v>
      </c>
    </row>
    <row r="986" spans="1:18" x14ac:dyDescent="0.3">
      <c r="A986" s="2">
        <v>42727</v>
      </c>
      <c r="B986" s="1">
        <v>29.13</v>
      </c>
      <c r="C986" s="1">
        <v>760.59010000000001</v>
      </c>
      <c r="D986" s="1">
        <v>117.27</v>
      </c>
      <c r="E986" s="1">
        <f t="shared" si="104"/>
        <v>1.9758607862818589E-3</v>
      </c>
      <c r="F986" s="1">
        <f t="shared" si="105"/>
        <v>-7.5314866126616796E-3</v>
      </c>
      <c r="G986" s="1">
        <f t="shared" si="106"/>
        <v>-1.1079389210230477E-3</v>
      </c>
      <c r="P986" s="39">
        <f t="shared" si="107"/>
        <v>318.11738301828296</v>
      </c>
      <c r="Q986" s="26">
        <f t="shared" si="108"/>
        <v>-2.1259232084015025</v>
      </c>
      <c r="R986" s="26">
        <f t="shared" si="109"/>
        <v>2.1259232084015025</v>
      </c>
    </row>
    <row r="987" spans="1:18" x14ac:dyDescent="0.3">
      <c r="A987" s="2">
        <v>42726</v>
      </c>
      <c r="B987" s="1">
        <v>29.072500000000002</v>
      </c>
      <c r="C987" s="1">
        <v>766.34010000000001</v>
      </c>
      <c r="D987" s="1">
        <v>117.4</v>
      </c>
      <c r="E987" s="1">
        <f t="shared" si="104"/>
        <v>-6.5995525581229991E-3</v>
      </c>
      <c r="F987" s="1">
        <f t="shared" si="105"/>
        <v>-5.5434959789168034E-3</v>
      </c>
      <c r="G987" s="1">
        <f t="shared" si="106"/>
        <v>-1.3872663690785677E-2</v>
      </c>
      <c r="P987" s="39">
        <f t="shared" si="107"/>
        <v>320.24330622668447</v>
      </c>
      <c r="Q987" s="26">
        <f t="shared" si="108"/>
        <v>-2.0069736675305876</v>
      </c>
      <c r="R987" s="26">
        <f t="shared" si="109"/>
        <v>2.0069736675305876</v>
      </c>
    </row>
    <row r="988" spans="1:18" x14ac:dyDescent="0.3">
      <c r="A988" s="2">
        <v>42725</v>
      </c>
      <c r="B988" s="1">
        <v>29.265000000000001</v>
      </c>
      <c r="C988" s="1">
        <v>770.6001</v>
      </c>
      <c r="D988" s="1">
        <v>119.04</v>
      </c>
      <c r="E988" s="1">
        <f t="shared" si="104"/>
        <v>9.4013083288691185E-4</v>
      </c>
      <c r="F988" s="1">
        <f t="shared" si="105"/>
        <v>-8.0411460896419274E-4</v>
      </c>
      <c r="G988" s="1">
        <f t="shared" si="106"/>
        <v>-4.1993869512267472E-4</v>
      </c>
      <c r="P988" s="39">
        <f t="shared" si="107"/>
        <v>322.25027989421505</v>
      </c>
      <c r="Q988" s="26">
        <f t="shared" si="108"/>
        <v>-0.22816596344091522</v>
      </c>
      <c r="R988" s="26">
        <f t="shared" si="109"/>
        <v>0.22816596344091522</v>
      </c>
    </row>
    <row r="989" spans="1:18" x14ac:dyDescent="0.3">
      <c r="A989" s="2">
        <v>42724</v>
      </c>
      <c r="B989" s="1">
        <v>29.237500000000001</v>
      </c>
      <c r="C989" s="1">
        <v>771.22</v>
      </c>
      <c r="D989" s="1">
        <v>119.09</v>
      </c>
      <c r="E989" s="1">
        <f t="shared" si="104"/>
        <v>2.6542247698399584E-3</v>
      </c>
      <c r="F989" s="1">
        <f t="shared" si="105"/>
        <v>6.791506829432763E-3</v>
      </c>
      <c r="G989" s="1">
        <f t="shared" si="106"/>
        <v>-1.2587590299661673E-3</v>
      </c>
      <c r="P989" s="39">
        <f t="shared" si="107"/>
        <v>322.47844585765597</v>
      </c>
      <c r="Q989" s="26">
        <f t="shared" si="108"/>
        <v>1.9256230657139213</v>
      </c>
      <c r="R989" s="26">
        <f t="shared" si="109"/>
        <v>-1.9256230657139213</v>
      </c>
    </row>
    <row r="990" spans="1:18" x14ac:dyDescent="0.3">
      <c r="A990" s="2">
        <v>42723</v>
      </c>
      <c r="B990" s="1">
        <v>29.16</v>
      </c>
      <c r="C990" s="1">
        <v>766</v>
      </c>
      <c r="D990" s="1">
        <v>119.24</v>
      </c>
      <c r="E990" s="1">
        <f t="shared" si="104"/>
        <v>5.7607312917360935E-3</v>
      </c>
      <c r="F990" s="1">
        <f t="shared" si="105"/>
        <v>1.0802260221596208E-2</v>
      </c>
      <c r="G990" s="1">
        <f t="shared" si="106"/>
        <v>-5.2695534091378778E-3</v>
      </c>
      <c r="P990" s="39">
        <f t="shared" si="107"/>
        <v>320.55282279194205</v>
      </c>
      <c r="Q990" s="26">
        <f t="shared" si="108"/>
        <v>2.9694877968378819</v>
      </c>
      <c r="R990" s="26">
        <f t="shared" si="109"/>
        <v>-2.9694877968378819</v>
      </c>
    </row>
    <row r="991" spans="1:18" x14ac:dyDescent="0.3">
      <c r="A991" s="2">
        <v>42720</v>
      </c>
      <c r="B991" s="1">
        <v>28.9925</v>
      </c>
      <c r="C991" s="1">
        <v>757.77</v>
      </c>
      <c r="D991" s="1">
        <v>119.87</v>
      </c>
      <c r="E991" s="1">
        <f t="shared" si="104"/>
        <v>1.2942751709681189E-3</v>
      </c>
      <c r="F991" s="1">
        <f t="shared" si="105"/>
        <v>-4.2534483426906588E-3</v>
      </c>
      <c r="G991" s="1">
        <f t="shared" si="106"/>
        <v>-5.8226749102108328E-3</v>
      </c>
      <c r="P991" s="39">
        <f t="shared" si="107"/>
        <v>317.58333499510417</v>
      </c>
      <c r="Q991" s="26">
        <f t="shared" si="108"/>
        <v>-1.3279326021765314</v>
      </c>
      <c r="R991" s="26">
        <f t="shared" si="109"/>
        <v>1.3279326021765314</v>
      </c>
    </row>
    <row r="992" spans="1:18" x14ac:dyDescent="0.3">
      <c r="A992" s="2">
        <v>42719</v>
      </c>
      <c r="B992" s="1">
        <v>28.954999999999998</v>
      </c>
      <c r="C992" s="1">
        <v>761</v>
      </c>
      <c r="D992" s="1">
        <v>120.57</v>
      </c>
      <c r="E992" s="1">
        <f t="shared" si="104"/>
        <v>5.4543228592287716E-3</v>
      </c>
      <c r="F992" s="1">
        <f t="shared" si="105"/>
        <v>-1.0223644093630692E-2</v>
      </c>
      <c r="G992" s="1">
        <f t="shared" si="106"/>
        <v>2.9902838130564592E-3</v>
      </c>
      <c r="P992" s="39">
        <f t="shared" si="107"/>
        <v>318.9112675972807</v>
      </c>
      <c r="Q992" s="26">
        <f t="shared" si="108"/>
        <v>-2.7421059680098097</v>
      </c>
      <c r="R992" s="26">
        <f t="shared" si="109"/>
        <v>2.7421059680098097</v>
      </c>
    </row>
    <row r="993" spans="1:18" x14ac:dyDescent="0.3">
      <c r="A993" s="2">
        <v>42718</v>
      </c>
      <c r="B993" s="1">
        <v>28.797499999999999</v>
      </c>
      <c r="C993" s="1">
        <v>768.82010000000002</v>
      </c>
      <c r="D993" s="1">
        <v>120.21</v>
      </c>
      <c r="E993" s="1">
        <f t="shared" si="104"/>
        <v>0</v>
      </c>
      <c r="F993" s="1">
        <f t="shared" si="105"/>
        <v>-7.1541808087576576E-3</v>
      </c>
      <c r="G993" s="1">
        <f t="shared" si="106"/>
        <v>-8.3153172927027919E-4</v>
      </c>
      <c r="P993" s="39">
        <f t="shared" si="107"/>
        <v>321.65337356529051</v>
      </c>
      <c r="Q993" s="26">
        <f t="shared" si="108"/>
        <v>-2.0583822057742509</v>
      </c>
      <c r="R993" s="26">
        <f t="shared" si="109"/>
        <v>2.0583822057742509</v>
      </c>
    </row>
    <row r="994" spans="1:18" x14ac:dyDescent="0.3">
      <c r="A994" s="2">
        <v>42717</v>
      </c>
      <c r="B994" s="1">
        <v>28.797499999999999</v>
      </c>
      <c r="C994" s="1">
        <v>774.34010000000001</v>
      </c>
      <c r="D994" s="1">
        <v>120.31</v>
      </c>
      <c r="E994" s="1">
        <f t="shared" si="104"/>
        <v>1.6543770904454361E-2</v>
      </c>
      <c r="F994" s="1">
        <f t="shared" si="105"/>
        <v>1.8534735652750881E-2</v>
      </c>
      <c r="G994" s="1">
        <f t="shared" si="106"/>
        <v>2.1338175191976054E-2</v>
      </c>
      <c r="P994" s="39">
        <f t="shared" si="107"/>
        <v>323.71175577106476</v>
      </c>
      <c r="Q994" s="26">
        <f t="shared" si="108"/>
        <v>5.9929587791648942</v>
      </c>
      <c r="R994" s="26">
        <f t="shared" si="109"/>
        <v>-5.9929587791648942</v>
      </c>
    </row>
    <row r="995" spans="1:18" x14ac:dyDescent="0.3">
      <c r="A995" s="2">
        <v>42716</v>
      </c>
      <c r="B995" s="1">
        <v>28.324999999999999</v>
      </c>
      <c r="C995" s="1">
        <v>760.12009999999998</v>
      </c>
      <c r="D995" s="1">
        <v>117.77</v>
      </c>
      <c r="E995" s="1">
        <f t="shared" si="104"/>
        <v>-5.7205876577327156E-3</v>
      </c>
      <c r="F995" s="1">
        <f t="shared" si="105"/>
        <v>-1.1172161888534047E-2</v>
      </c>
      <c r="G995" s="1">
        <f t="shared" si="106"/>
        <v>-1.6087944372710147E-2</v>
      </c>
      <c r="P995" s="39">
        <f t="shared" si="107"/>
        <v>317.71879699189986</v>
      </c>
      <c r="Q995" s="26">
        <f t="shared" si="108"/>
        <v>-3.632171535344412</v>
      </c>
      <c r="R995" s="26">
        <f t="shared" si="109"/>
        <v>3.632171535344412</v>
      </c>
    </row>
    <row r="996" spans="1:18" x14ac:dyDescent="0.3">
      <c r="A996" s="2">
        <v>42713</v>
      </c>
      <c r="B996" s="1">
        <v>28.487500000000001</v>
      </c>
      <c r="C996" s="1">
        <v>768.65989999999999</v>
      </c>
      <c r="D996" s="1">
        <v>119.68</v>
      </c>
      <c r="E996" s="1">
        <f t="shared" si="104"/>
        <v>1.6190029395105703E-2</v>
      </c>
      <c r="F996" s="1">
        <f t="shared" si="105"/>
        <v>1.7315221222104279E-3</v>
      </c>
      <c r="G996" s="1">
        <f t="shared" si="106"/>
        <v>6.4546097766796928E-3</v>
      </c>
      <c r="P996" s="39">
        <f t="shared" si="107"/>
        <v>321.35096852724428</v>
      </c>
      <c r="Q996" s="26">
        <f t="shared" si="108"/>
        <v>0.8470745105256583</v>
      </c>
      <c r="R996" s="26">
        <f t="shared" si="109"/>
        <v>-0.8470745105256583</v>
      </c>
    </row>
    <row r="997" spans="1:18" x14ac:dyDescent="0.3">
      <c r="A997" s="2">
        <v>42712</v>
      </c>
      <c r="B997" s="1">
        <v>28.03</v>
      </c>
      <c r="C997" s="1">
        <v>767.33010000000002</v>
      </c>
      <c r="D997" s="1">
        <v>118.91</v>
      </c>
      <c r="E997" s="1">
        <f t="shared" si="104"/>
        <v>9.7692912304132417E-3</v>
      </c>
      <c r="F997" s="1">
        <f t="shared" si="105"/>
        <v>-4.0186040099406137E-3</v>
      </c>
      <c r="G997" s="1">
        <f t="shared" si="106"/>
        <v>8.1060985958034317E-3</v>
      </c>
      <c r="P997" s="39">
        <f t="shared" si="107"/>
        <v>320.50389401671862</v>
      </c>
      <c r="Q997" s="26">
        <f t="shared" si="108"/>
        <v>-0.81909622342942612</v>
      </c>
      <c r="R997" s="26">
        <f t="shared" si="109"/>
        <v>0.81909622342942612</v>
      </c>
    </row>
    <row r="998" spans="1:18" x14ac:dyDescent="0.3">
      <c r="A998" s="2">
        <v>42711</v>
      </c>
      <c r="B998" s="1">
        <v>27.7575</v>
      </c>
      <c r="C998" s="1">
        <v>770.41989999999998</v>
      </c>
      <c r="D998" s="1">
        <v>117.95</v>
      </c>
      <c r="E998" s="1">
        <f t="shared" si="104"/>
        <v>9.7747180654041942E-3</v>
      </c>
      <c r="F998" s="1">
        <f t="shared" si="105"/>
        <v>7.4259371320800844E-3</v>
      </c>
      <c r="G998" s="1">
        <f t="shared" si="106"/>
        <v>5.4408023360551809E-3</v>
      </c>
      <c r="P998" s="39">
        <f t="shared" si="107"/>
        <v>321.32299024014804</v>
      </c>
      <c r="Q998" s="26">
        <f t="shared" si="108"/>
        <v>2.3536503187326048</v>
      </c>
      <c r="R998" s="26">
        <f t="shared" si="109"/>
        <v>-2.3536503187326048</v>
      </c>
    </row>
    <row r="999" spans="1:18" x14ac:dyDescent="0.3">
      <c r="A999" s="2">
        <v>42710</v>
      </c>
      <c r="B999" s="1">
        <v>27.487500000000001</v>
      </c>
      <c r="C999" s="1">
        <v>764.72</v>
      </c>
      <c r="D999" s="1">
        <v>117.31</v>
      </c>
      <c r="E999" s="1">
        <f t="shared" si="104"/>
        <v>7.6691693337627865E-3</v>
      </c>
      <c r="F999" s="1">
        <f t="shared" si="105"/>
        <v>7.0336488182730743E-3</v>
      </c>
      <c r="G999" s="1">
        <f t="shared" si="106"/>
        <v>-1.0224078593608682E-3</v>
      </c>
      <c r="P999" s="39">
        <f t="shared" si="107"/>
        <v>318.96933992141544</v>
      </c>
      <c r="Q999" s="26">
        <f t="shared" si="108"/>
        <v>2.0386404536637315</v>
      </c>
      <c r="R999" s="26">
        <f t="shared" si="109"/>
        <v>-2.0386404536637315</v>
      </c>
    </row>
    <row r="1000" spans="1:18" x14ac:dyDescent="0.3">
      <c r="A1000" s="2">
        <v>42709</v>
      </c>
      <c r="B1000" s="1">
        <v>27.2775</v>
      </c>
      <c r="C1000" s="1">
        <v>759.36009999999999</v>
      </c>
      <c r="D1000" s="1">
        <v>117.43</v>
      </c>
      <c r="E1000" s="1">
        <f t="shared" si="104"/>
        <v>-7.2143137425683991E-3</v>
      </c>
      <c r="F1000" s="1">
        <f t="shared" si="105"/>
        <v>2.5366429725671307E-2</v>
      </c>
      <c r="G1000" s="1">
        <f t="shared" si="106"/>
        <v>1.7438057302990639E-2</v>
      </c>
      <c r="P1000" s="39">
        <f t="shared" si="107"/>
        <v>316.93069946775171</v>
      </c>
      <c r="Q1000" s="26">
        <f t="shared" si="108"/>
        <v>7.3758952389478054</v>
      </c>
      <c r="R1000" s="26">
        <f t="shared" si="109"/>
        <v>-7.3758952389478054</v>
      </c>
    </row>
    <row r="1001" spans="1:18" x14ac:dyDescent="0.3">
      <c r="A1001" s="2">
        <v>42706</v>
      </c>
      <c r="B1001" s="1">
        <v>27.475000000000001</v>
      </c>
      <c r="C1001" s="1">
        <v>740.34010000000001</v>
      </c>
      <c r="D1001" s="1">
        <v>115.4</v>
      </c>
      <c r="E1001" s="1">
        <f t="shared" si="104"/>
        <v>3.7376405242421679E-3</v>
      </c>
      <c r="F1001" s="1">
        <f t="shared" si="105"/>
        <v>-4.4606843551733113E-3</v>
      </c>
      <c r="G1001" s="1">
        <f t="shared" si="106"/>
        <v>2.6030383461624297E-3</v>
      </c>
      <c r="P1001" s="39">
        <f t="shared" si="107"/>
        <v>309.5548042288039</v>
      </c>
      <c r="Q1001" s="26">
        <f t="shared" si="108"/>
        <v>-1.1137335988942141</v>
      </c>
      <c r="R1001" s="26">
        <f t="shared" si="109"/>
        <v>1.1137335988942141</v>
      </c>
    </row>
    <row r="1002" spans="1:18" x14ac:dyDescent="0.3">
      <c r="A1002" s="2">
        <v>42705</v>
      </c>
      <c r="B1002" s="1">
        <v>27.372499999999999</v>
      </c>
      <c r="C1002" s="1">
        <v>743.6499</v>
      </c>
      <c r="D1002" s="1">
        <v>115.1</v>
      </c>
      <c r="E1002" s="1">
        <f t="shared" si="104"/>
        <v>-9.3632791698822597E-3</v>
      </c>
      <c r="F1002" s="1">
        <f t="shared" si="105"/>
        <v>-9.2626915419300616E-3</v>
      </c>
      <c r="G1002" s="1">
        <f t="shared" si="106"/>
        <v>-2.8436311375793159E-2</v>
      </c>
      <c r="P1002" s="39">
        <f t="shared" si="107"/>
        <v>310.66853782769812</v>
      </c>
      <c r="Q1002" s="26">
        <f t="shared" si="108"/>
        <v>-3.3795129797777577</v>
      </c>
      <c r="R1002" s="26">
        <f t="shared" si="109"/>
        <v>3.3795129797777577</v>
      </c>
    </row>
    <row r="1003" spans="1:18" x14ac:dyDescent="0.3">
      <c r="A1003" s="2">
        <v>42704</v>
      </c>
      <c r="B1003" s="1">
        <v>27.63</v>
      </c>
      <c r="C1003" s="1">
        <v>750.57010000000002</v>
      </c>
      <c r="D1003" s="1">
        <v>118.42</v>
      </c>
      <c r="E1003" s="1">
        <f t="shared" si="104"/>
        <v>-8.4692820861744476E-3</v>
      </c>
      <c r="F1003" s="1">
        <f t="shared" si="105"/>
        <v>-1.5795686537109624E-2</v>
      </c>
      <c r="G1003" s="1">
        <f t="shared" si="106"/>
        <v>-2.04779607677355E-2</v>
      </c>
      <c r="P1003" s="39">
        <f t="shared" si="107"/>
        <v>314.04805080747587</v>
      </c>
      <c r="Q1003" s="26">
        <f t="shared" si="108"/>
        <v>-5.0374566368798241</v>
      </c>
      <c r="R1003" s="26">
        <f t="shared" si="109"/>
        <v>5.0374566368798241</v>
      </c>
    </row>
    <row r="1004" spans="1:18" x14ac:dyDescent="0.3">
      <c r="A1004" s="2">
        <v>42703</v>
      </c>
      <c r="B1004" s="1">
        <v>27.864999999999998</v>
      </c>
      <c r="C1004" s="1">
        <v>762.52</v>
      </c>
      <c r="D1004" s="1">
        <v>120.87</v>
      </c>
      <c r="E1004" s="1">
        <f t="shared" si="104"/>
        <v>-9.8641446369802759E-4</v>
      </c>
      <c r="F1004" s="1">
        <f t="shared" si="105"/>
        <v>-5.5581491296913775E-3</v>
      </c>
      <c r="G1004" s="1">
        <f t="shared" si="106"/>
        <v>3.8130019672379593E-3</v>
      </c>
      <c r="P1004" s="39">
        <f t="shared" si="107"/>
        <v>319.0855074443557</v>
      </c>
      <c r="Q1004" s="26">
        <f t="shared" si="108"/>
        <v>-1.4798260983785099</v>
      </c>
      <c r="R1004" s="26">
        <f t="shared" si="109"/>
        <v>1.4798260983785099</v>
      </c>
    </row>
    <row r="1005" spans="1:18" x14ac:dyDescent="0.3">
      <c r="A1005" s="2">
        <v>42702</v>
      </c>
      <c r="B1005" s="1">
        <v>27.892499999999998</v>
      </c>
      <c r="C1005" s="1">
        <v>766.77</v>
      </c>
      <c r="D1005" s="1">
        <v>120.41</v>
      </c>
      <c r="E1005" s="1">
        <f t="shared" si="104"/>
        <v>-1.9699146771461227E-3</v>
      </c>
      <c r="F1005" s="1">
        <f t="shared" si="105"/>
        <v>-1.7581407554211299E-2</v>
      </c>
      <c r="G1005" s="1">
        <f t="shared" si="106"/>
        <v>2.4917978450289524E-4</v>
      </c>
      <c r="P1005" s="39">
        <f t="shared" si="107"/>
        <v>320.56533354273421</v>
      </c>
      <c r="Q1005" s="26">
        <f t="shared" si="108"/>
        <v>-5.0343066804682053</v>
      </c>
      <c r="R1005" s="26">
        <f t="shared" si="109"/>
        <v>5.0343066804682053</v>
      </c>
    </row>
    <row r="1006" spans="1:18" x14ac:dyDescent="0.3">
      <c r="A1006" s="2">
        <v>42699</v>
      </c>
      <c r="B1006" s="1">
        <v>27.947500000000002</v>
      </c>
      <c r="C1006" s="1">
        <v>780.37009999999998</v>
      </c>
      <c r="D1006" s="1">
        <v>120.38</v>
      </c>
      <c r="E1006" s="1">
        <f t="shared" si="104"/>
        <v>5.0219816782963982E-3</v>
      </c>
      <c r="F1006" s="1">
        <f t="shared" si="105"/>
        <v>3.2041213990177182E-4</v>
      </c>
      <c r="G1006" s="1">
        <f t="shared" si="106"/>
        <v>-3.813950398846566E-3</v>
      </c>
      <c r="P1006" s="39">
        <f t="shared" si="107"/>
        <v>325.59964022320241</v>
      </c>
      <c r="Q1006" s="26">
        <f t="shared" si="108"/>
        <v>5.0559400101917618E-2</v>
      </c>
      <c r="R1006" s="26">
        <f t="shared" si="109"/>
        <v>-5.0559400101917618E-2</v>
      </c>
    </row>
    <row r="1007" spans="1:18" x14ac:dyDescent="0.3">
      <c r="A1007" s="2">
        <v>42698</v>
      </c>
      <c r="B1007" s="1">
        <v>27.807500000000001</v>
      </c>
      <c r="C1007" s="1">
        <v>780.12009999999998</v>
      </c>
      <c r="D1007" s="1">
        <v>120.84</v>
      </c>
      <c r="E1007" s="1">
        <f t="shared" si="104"/>
        <v>0</v>
      </c>
      <c r="F1007" s="1">
        <f t="shared" si="105"/>
        <v>0</v>
      </c>
      <c r="G1007" s="1">
        <f t="shared" si="106"/>
        <v>0</v>
      </c>
      <c r="P1007" s="39">
        <f t="shared" si="107"/>
        <v>325.5490808231005</v>
      </c>
      <c r="Q1007" s="26">
        <f t="shared" si="108"/>
        <v>0</v>
      </c>
      <c r="R1007" s="26">
        <f t="shared" si="109"/>
        <v>0</v>
      </c>
    </row>
    <row r="1008" spans="1:18" x14ac:dyDescent="0.3">
      <c r="A1008" s="2">
        <v>42697</v>
      </c>
      <c r="B1008" s="1">
        <v>27.807500000000001</v>
      </c>
      <c r="C1008" s="1">
        <v>780.12009999999998</v>
      </c>
      <c r="D1008" s="1">
        <v>120.84</v>
      </c>
      <c r="E1008" s="1">
        <f t="shared" si="104"/>
        <v>-5.1114311170608285E-3</v>
      </c>
      <c r="F1008" s="1">
        <f t="shared" si="105"/>
        <v>-6.6562567574073887E-3</v>
      </c>
      <c r="G1008" s="1">
        <f t="shared" si="106"/>
        <v>-5.1999621937081474E-3</v>
      </c>
      <c r="P1008" s="39">
        <f t="shared" si="107"/>
        <v>325.5490808231005</v>
      </c>
      <c r="Q1008" s="26">
        <f t="shared" si="108"/>
        <v>-2.1178994802193642</v>
      </c>
      <c r="R1008" s="26">
        <f t="shared" si="109"/>
        <v>2.1178994802193642</v>
      </c>
    </row>
    <row r="1009" spans="1:18" x14ac:dyDescent="0.3">
      <c r="A1009" s="2">
        <v>42696</v>
      </c>
      <c r="B1009" s="1">
        <v>27.95</v>
      </c>
      <c r="C1009" s="1">
        <v>785.33010000000002</v>
      </c>
      <c r="D1009" s="1">
        <v>121.47</v>
      </c>
      <c r="E1009" s="1">
        <f t="shared" si="104"/>
        <v>6.2631416175222608E-4</v>
      </c>
      <c r="F1009" s="1">
        <f t="shared" si="105"/>
        <v>6.8102192635467566E-3</v>
      </c>
      <c r="G1009" s="1">
        <f t="shared" si="106"/>
        <v>-2.4667008067365509E-3</v>
      </c>
      <c r="P1009" s="39">
        <f t="shared" si="107"/>
        <v>327.66698030331986</v>
      </c>
      <c r="Q1009" s="26">
        <f t="shared" si="108"/>
        <v>1.9088806731321029</v>
      </c>
      <c r="R1009" s="26">
        <f t="shared" si="109"/>
        <v>-1.9088806731321029</v>
      </c>
    </row>
    <row r="1010" spans="1:18" x14ac:dyDescent="0.3">
      <c r="A1010" s="2">
        <v>42695</v>
      </c>
      <c r="B1010" s="1">
        <v>27.932500000000001</v>
      </c>
      <c r="C1010" s="1">
        <v>780</v>
      </c>
      <c r="D1010" s="1">
        <v>121.77</v>
      </c>
      <c r="E1010" s="1">
        <f t="shared" si="104"/>
        <v>1.5059574927633901E-2</v>
      </c>
      <c r="F1010" s="1">
        <f t="shared" si="105"/>
        <v>2.5765113796287344E-2</v>
      </c>
      <c r="G1010" s="1">
        <f t="shared" si="106"/>
        <v>3.9789159158825964E-2</v>
      </c>
      <c r="P1010" s="39">
        <f t="shared" si="107"/>
        <v>325.75809963018776</v>
      </c>
      <c r="Q1010" s="26">
        <f t="shared" si="108"/>
        <v>8.5227497324361252</v>
      </c>
      <c r="R1010" s="26">
        <f t="shared" si="109"/>
        <v>-8.5227497324361252</v>
      </c>
    </row>
    <row r="1011" spans="1:18" x14ac:dyDescent="0.3">
      <c r="A1011" s="2">
        <v>42692</v>
      </c>
      <c r="B1011" s="1">
        <v>27.515000000000001</v>
      </c>
      <c r="C1011" s="1">
        <v>760.15989999999999</v>
      </c>
      <c r="D1011" s="1">
        <v>117.02</v>
      </c>
      <c r="E1011" s="1">
        <f t="shared" si="104"/>
        <v>9.9995463084251814E-4</v>
      </c>
      <c r="F1011" s="1">
        <f t="shared" si="105"/>
        <v>4.9586013082388337E-3</v>
      </c>
      <c r="G1011" s="1">
        <f t="shared" si="106"/>
        <v>-6.5585176106031616E-3</v>
      </c>
      <c r="P1011" s="39">
        <f t="shared" si="107"/>
        <v>317.23534989775163</v>
      </c>
      <c r="Q1011" s="26">
        <f t="shared" si="108"/>
        <v>1.231850363540957</v>
      </c>
      <c r="R1011" s="26">
        <f t="shared" si="109"/>
        <v>-1.231850363540957</v>
      </c>
    </row>
    <row r="1012" spans="1:18" x14ac:dyDescent="0.3">
      <c r="A1012" s="2">
        <v>42691</v>
      </c>
      <c r="B1012" s="1">
        <v>27.487500000000001</v>
      </c>
      <c r="C1012" s="1">
        <v>756.3999</v>
      </c>
      <c r="D1012" s="1">
        <v>117.79</v>
      </c>
      <c r="E1012" s="1">
        <f t="shared" si="104"/>
        <v>-3.6373556825501359E-4</v>
      </c>
      <c r="F1012" s="1">
        <f t="shared" si="105"/>
        <v>1.3187983536878667E-2</v>
      </c>
      <c r="G1012" s="1">
        <f t="shared" si="106"/>
        <v>1.2386439488077633E-2</v>
      </c>
      <c r="P1012" s="39">
        <f t="shared" si="107"/>
        <v>316.00349953421068</v>
      </c>
      <c r="Q1012" s="26">
        <f t="shared" si="108"/>
        <v>3.9665389919017002</v>
      </c>
      <c r="R1012" s="26">
        <f t="shared" si="109"/>
        <v>-3.9665389919017002</v>
      </c>
    </row>
    <row r="1013" spans="1:18" x14ac:dyDescent="0.3">
      <c r="A1013" s="2">
        <v>42690</v>
      </c>
      <c r="B1013" s="1">
        <v>27.497499999999999</v>
      </c>
      <c r="C1013" s="1">
        <v>746.49</v>
      </c>
      <c r="D1013" s="1">
        <v>116.34</v>
      </c>
      <c r="E1013" s="1">
        <f t="shared" si="104"/>
        <v>2.6533108792486944E-2</v>
      </c>
      <c r="F1013" s="1">
        <f t="shared" si="105"/>
        <v>4.3632136776787676E-3</v>
      </c>
      <c r="G1013" s="1">
        <f t="shared" si="106"/>
        <v>-7.3649386602967675E-3</v>
      </c>
      <c r="P1013" s="39">
        <f t="shared" si="107"/>
        <v>312.03696054230898</v>
      </c>
      <c r="Q1013" s="26">
        <f t="shared" si="108"/>
        <v>1.3110874971881685</v>
      </c>
      <c r="R1013" s="26">
        <f t="shared" si="109"/>
        <v>-1.3110874971881685</v>
      </c>
    </row>
    <row r="1014" spans="1:18" x14ac:dyDescent="0.3">
      <c r="A1014" s="2">
        <v>42689</v>
      </c>
      <c r="B1014" s="1">
        <v>26.7775</v>
      </c>
      <c r="C1014" s="1">
        <v>743.24</v>
      </c>
      <c r="D1014" s="1">
        <v>117.2</v>
      </c>
      <c r="E1014" s="1">
        <f t="shared" si="104"/>
        <v>1.3156847995966614E-2</v>
      </c>
      <c r="F1014" s="1">
        <f t="shared" si="105"/>
        <v>3.3060157873035706E-2</v>
      </c>
      <c r="G1014" s="1">
        <f t="shared" si="106"/>
        <v>1.8254338459565166E-2</v>
      </c>
      <c r="P1014" s="39">
        <f t="shared" si="107"/>
        <v>310.72587304512081</v>
      </c>
      <c r="Q1014" s="26">
        <f t="shared" si="108"/>
        <v>9.5223941679660697</v>
      </c>
      <c r="R1014" s="26">
        <f t="shared" si="109"/>
        <v>-9.5223941679660697</v>
      </c>
    </row>
    <row r="1015" spans="1:18" x14ac:dyDescent="0.3">
      <c r="A1015" s="2">
        <v>42688</v>
      </c>
      <c r="B1015" s="1">
        <v>26.427499999999998</v>
      </c>
      <c r="C1015" s="1">
        <v>719.07010000000002</v>
      </c>
      <c r="D1015" s="1">
        <v>115.08</v>
      </c>
      <c r="E1015" s="1">
        <f t="shared" si="104"/>
        <v>-2.5405307703519071E-2</v>
      </c>
      <c r="F1015" s="1">
        <f t="shared" si="105"/>
        <v>-2.7352603164859008E-2</v>
      </c>
      <c r="G1015" s="1">
        <f t="shared" si="106"/>
        <v>-3.3664007533358881E-2</v>
      </c>
      <c r="P1015" s="39">
        <f t="shared" si="107"/>
        <v>301.20347887715474</v>
      </c>
      <c r="Q1015" s="26">
        <f t="shared" si="108"/>
        <v>-8.4927947361645693</v>
      </c>
      <c r="R1015" s="26">
        <f t="shared" si="109"/>
        <v>8.4927947361645693</v>
      </c>
    </row>
    <row r="1016" spans="1:18" x14ac:dyDescent="0.3">
      <c r="A1016" s="2">
        <v>42685</v>
      </c>
      <c r="B1016" s="1">
        <v>27.107500000000002</v>
      </c>
      <c r="C1016" s="1">
        <v>739.01</v>
      </c>
      <c r="D1016" s="1">
        <v>119.02</v>
      </c>
      <c r="E1016" s="1">
        <f t="shared" si="104"/>
        <v>5.919913690553503E-3</v>
      </c>
      <c r="F1016" s="1">
        <f t="shared" si="105"/>
        <v>-4.5496540956484937E-3</v>
      </c>
      <c r="G1016" s="1">
        <f t="shared" si="106"/>
        <v>-1.4844739284008524E-2</v>
      </c>
      <c r="P1016" s="39">
        <f t="shared" si="107"/>
        <v>309.69627361331931</v>
      </c>
      <c r="Q1016" s="26">
        <f t="shared" si="108"/>
        <v>-1.5628464130126076</v>
      </c>
      <c r="R1016" s="26">
        <f t="shared" si="109"/>
        <v>1.5628464130126076</v>
      </c>
    </row>
    <row r="1017" spans="1:18" x14ac:dyDescent="0.3">
      <c r="A1017" s="2">
        <v>42684</v>
      </c>
      <c r="B1017" s="1">
        <v>26.947500000000002</v>
      </c>
      <c r="C1017" s="1">
        <v>742.37990000000002</v>
      </c>
      <c r="D1017" s="1">
        <v>120.8</v>
      </c>
      <c r="E1017" s="1">
        <f t="shared" si="104"/>
        <v>-2.8263645648055998E-2</v>
      </c>
      <c r="F1017" s="1">
        <f t="shared" si="105"/>
        <v>-3.8967861222304473E-2</v>
      </c>
      <c r="G1017" s="1">
        <f t="shared" si="106"/>
        <v>-1.9510414758182763E-2</v>
      </c>
      <c r="P1017" s="39">
        <f t="shared" si="107"/>
        <v>311.25912002633191</v>
      </c>
      <c r="Q1017" s="26">
        <f t="shared" si="108"/>
        <v>-11.720432608830379</v>
      </c>
      <c r="R1017" s="26">
        <f t="shared" si="109"/>
        <v>11.720432608830379</v>
      </c>
    </row>
    <row r="1018" spans="1:18" x14ac:dyDescent="0.3">
      <c r="A1018" s="2">
        <v>42683</v>
      </c>
      <c r="B1018" s="1">
        <v>27.72</v>
      </c>
      <c r="C1018" s="1">
        <v>771.87990000000002</v>
      </c>
      <c r="D1018" s="1">
        <v>123.18</v>
      </c>
      <c r="E1018" s="1">
        <f t="shared" si="104"/>
        <v>-1.6220603718680551E-3</v>
      </c>
      <c r="F1018" s="1">
        <f t="shared" si="105"/>
        <v>-2.0351812663053886E-2</v>
      </c>
      <c r="G1018" s="1">
        <f t="shared" si="106"/>
        <v>-8.407486872259666E-3</v>
      </c>
      <c r="P1018" s="39">
        <f t="shared" si="107"/>
        <v>322.97955263516229</v>
      </c>
      <c r="Q1018" s="26">
        <f t="shared" si="108"/>
        <v>-6.0996058941669844</v>
      </c>
      <c r="R1018" s="26">
        <f t="shared" si="109"/>
        <v>6.0996058941669844</v>
      </c>
    </row>
    <row r="1019" spans="1:18" x14ac:dyDescent="0.3">
      <c r="A1019" s="2">
        <v>42682</v>
      </c>
      <c r="B1019" s="1">
        <v>27.765000000000001</v>
      </c>
      <c r="C1019" s="1">
        <v>787.75</v>
      </c>
      <c r="D1019" s="1">
        <v>124.22</v>
      </c>
      <c r="E1019" s="1">
        <f t="shared" si="104"/>
        <v>5.8698863624154869E-3</v>
      </c>
      <c r="F1019" s="1">
        <f t="shared" si="105"/>
        <v>3.5863662054584607E-3</v>
      </c>
      <c r="G1019" s="1">
        <f t="shared" si="106"/>
        <v>1.6804389427407279E-2</v>
      </c>
      <c r="P1019" s="39">
        <f t="shared" si="107"/>
        <v>329.07915852932928</v>
      </c>
      <c r="Q1019" s="26">
        <f t="shared" si="108"/>
        <v>1.5564512774916466</v>
      </c>
      <c r="R1019" s="26">
        <f t="shared" si="109"/>
        <v>-1.5564512774916466</v>
      </c>
    </row>
    <row r="1020" spans="1:18" x14ac:dyDescent="0.3">
      <c r="A1020" s="2">
        <v>42681</v>
      </c>
      <c r="B1020" s="1">
        <v>27.602499999999999</v>
      </c>
      <c r="C1020" s="1">
        <v>784.92989999999998</v>
      </c>
      <c r="D1020" s="1">
        <v>122.15</v>
      </c>
      <c r="E1020" s="1">
        <f t="shared" si="104"/>
        <v>1.4321795536000046E-2</v>
      </c>
      <c r="F1020" s="1">
        <f t="shared" si="105"/>
        <v>3.8810442210127569E-2</v>
      </c>
      <c r="G1020" s="1">
        <f t="shared" si="106"/>
        <v>1.1527505171067414E-2</v>
      </c>
      <c r="P1020" s="39">
        <f t="shared" si="107"/>
        <v>327.52270725183763</v>
      </c>
      <c r="Q1020" s="26">
        <f t="shared" si="108"/>
        <v>11.490785211680361</v>
      </c>
      <c r="R1020" s="26">
        <f t="shared" si="109"/>
        <v>-11.490785211680361</v>
      </c>
    </row>
    <row r="1021" spans="1:18" x14ac:dyDescent="0.3">
      <c r="A1021" s="2">
        <v>42678</v>
      </c>
      <c r="B1021" s="1">
        <v>27.21</v>
      </c>
      <c r="C1021" s="1">
        <v>755.05</v>
      </c>
      <c r="D1021" s="1">
        <v>120.75</v>
      </c>
      <c r="E1021" s="1">
        <f t="shared" si="104"/>
        <v>-9.0548018852088866E-3</v>
      </c>
      <c r="F1021" s="1">
        <f t="shared" si="105"/>
        <v>-1.5741941809491792E-2</v>
      </c>
      <c r="G1021" s="1">
        <f t="shared" si="106"/>
        <v>6.2305497506361628E-3</v>
      </c>
      <c r="P1021" s="39">
        <f t="shared" si="107"/>
        <v>316.03192204015727</v>
      </c>
      <c r="Q1021" s="26">
        <f t="shared" si="108"/>
        <v>-4.3602630258892532</v>
      </c>
      <c r="R1021" s="26">
        <f t="shared" si="109"/>
        <v>4.3602630258892532</v>
      </c>
    </row>
    <row r="1022" spans="1:18" x14ac:dyDescent="0.3">
      <c r="A1022" s="2">
        <v>42677</v>
      </c>
      <c r="B1022" s="1">
        <v>27.4575</v>
      </c>
      <c r="C1022" s="1">
        <v>767.03</v>
      </c>
      <c r="D1022" s="1">
        <v>120</v>
      </c>
      <c r="E1022" s="1">
        <f t="shared" si="104"/>
        <v>-1.5897724397355366E-2</v>
      </c>
      <c r="F1022" s="1">
        <f t="shared" si="105"/>
        <v>1.9181912380912853E-3</v>
      </c>
      <c r="G1022" s="1">
        <f t="shared" si="106"/>
        <v>-5.8033031250609497E-2</v>
      </c>
      <c r="P1022" s="39">
        <f t="shared" si="107"/>
        <v>320.39218506604652</v>
      </c>
      <c r="Q1022" s="26">
        <f t="shared" si="108"/>
        <v>-1.1937774938910479</v>
      </c>
      <c r="R1022" s="26">
        <f t="shared" si="109"/>
        <v>1.1937774938910479</v>
      </c>
    </row>
    <row r="1023" spans="1:18" x14ac:dyDescent="0.3">
      <c r="A1023" s="2">
        <v>42676</v>
      </c>
      <c r="B1023" s="1">
        <v>27.897500000000001</v>
      </c>
      <c r="C1023" s="1">
        <v>765.56010000000003</v>
      </c>
      <c r="D1023" s="1">
        <v>127.17</v>
      </c>
      <c r="E1023" s="1">
        <f t="shared" si="104"/>
        <v>8.9653941812972823E-4</v>
      </c>
      <c r="F1023" s="1">
        <f t="shared" si="105"/>
        <v>-2.559802431328467E-2</v>
      </c>
      <c r="G1023" s="1">
        <f t="shared" si="106"/>
        <v>-1.8156107106936974E-2</v>
      </c>
      <c r="P1023" s="39">
        <f t="shared" si="107"/>
        <v>321.58596255993757</v>
      </c>
      <c r="Q1023" s="26">
        <f t="shared" si="108"/>
        <v>-7.8185496019709717</v>
      </c>
      <c r="R1023" s="26">
        <f t="shared" si="109"/>
        <v>7.8185496019709717</v>
      </c>
    </row>
    <row r="1024" spans="1:18" x14ac:dyDescent="0.3">
      <c r="A1024" s="2">
        <v>42675</v>
      </c>
      <c r="B1024" s="1">
        <v>27.872499999999999</v>
      </c>
      <c r="C1024" s="1">
        <v>785.40989999999999</v>
      </c>
      <c r="D1024" s="1">
        <v>129.5</v>
      </c>
      <c r="E1024" s="1">
        <f t="shared" si="104"/>
        <v>-1.8220296963100194E-2</v>
      </c>
      <c r="F1024" s="1">
        <f t="shared" si="105"/>
        <v>-5.5994509031145898E-3</v>
      </c>
      <c r="G1024" s="1">
        <f t="shared" si="106"/>
        <v>-1.1440103269965208E-2</v>
      </c>
      <c r="P1024" s="39">
        <f t="shared" si="107"/>
        <v>329.40451216190854</v>
      </c>
      <c r="Q1024" s="26">
        <f t="shared" si="108"/>
        <v>-2.162468000918409</v>
      </c>
      <c r="R1024" s="26">
        <f t="shared" si="109"/>
        <v>2.162468000918409</v>
      </c>
    </row>
    <row r="1025" spans="1:18" x14ac:dyDescent="0.3">
      <c r="A1025" s="2">
        <v>42674</v>
      </c>
      <c r="B1025" s="1">
        <v>28.385000000000002</v>
      </c>
      <c r="C1025" s="1">
        <v>789.82010000000002</v>
      </c>
      <c r="D1025" s="1">
        <v>130.99</v>
      </c>
      <c r="E1025" s="1">
        <f t="shared" si="104"/>
        <v>-1.5840890402188459E-3</v>
      </c>
      <c r="F1025" s="1">
        <f t="shared" si="105"/>
        <v>1.724026288111466E-2</v>
      </c>
      <c r="G1025" s="1">
        <f t="shared" si="106"/>
        <v>-2.2876325364613649E-3</v>
      </c>
      <c r="P1025" s="39">
        <f t="shared" si="107"/>
        <v>331.56698016282695</v>
      </c>
      <c r="Q1025" s="26">
        <f t="shared" si="108"/>
        <v>4.8974287344198046</v>
      </c>
      <c r="R1025" s="26">
        <f t="shared" si="109"/>
        <v>-4.8974287344198046</v>
      </c>
    </row>
    <row r="1026" spans="1:18" x14ac:dyDescent="0.3">
      <c r="A1026" s="2">
        <v>42671</v>
      </c>
      <c r="B1026" s="1">
        <v>28.43</v>
      </c>
      <c r="C1026" s="1">
        <v>776.32010000000002</v>
      </c>
      <c r="D1026" s="1">
        <v>131.29</v>
      </c>
      <c r="E1026" s="1">
        <f t="shared" si="104"/>
        <v>-6.6608484653964579E-3</v>
      </c>
      <c r="F1026" s="1">
        <f t="shared" si="105"/>
        <v>-5.2737524654745925E-2</v>
      </c>
      <c r="G1026" s="1">
        <f t="shared" si="106"/>
        <v>1.2261629598368816E-2</v>
      </c>
      <c r="P1026" s="39">
        <f t="shared" si="107"/>
        <v>326.66955142840715</v>
      </c>
      <c r="Q1026" s="26">
        <f t="shared" si="108"/>
        <v>-15.243454150053594</v>
      </c>
      <c r="R1026" s="26">
        <f t="shared" si="109"/>
        <v>15.243454150053594</v>
      </c>
    </row>
    <row r="1027" spans="1:18" x14ac:dyDescent="0.3">
      <c r="A1027" s="2">
        <v>42670</v>
      </c>
      <c r="B1027" s="1">
        <v>28.62</v>
      </c>
      <c r="C1027" s="1">
        <v>818.36009999999999</v>
      </c>
      <c r="D1027" s="1">
        <v>129.69</v>
      </c>
      <c r="E1027" s="1">
        <f t="shared" si="104"/>
        <v>-9.649312057980421E-3</v>
      </c>
      <c r="F1027" s="1">
        <f t="shared" si="105"/>
        <v>-5.1555609297324837E-3</v>
      </c>
      <c r="G1027" s="1">
        <f t="shared" si="106"/>
        <v>-1.0355632757109153E-2</v>
      </c>
      <c r="P1027" s="39">
        <f t="shared" si="107"/>
        <v>341.91300557846074</v>
      </c>
      <c r="Q1027" s="26">
        <f t="shared" si="108"/>
        <v>-1.9682751682597655</v>
      </c>
      <c r="R1027" s="26">
        <f t="shared" si="109"/>
        <v>1.9682751682597655</v>
      </c>
    </row>
    <row r="1028" spans="1:18" x14ac:dyDescent="0.3">
      <c r="A1028" s="2">
        <v>42669</v>
      </c>
      <c r="B1028" s="1">
        <v>28.897500000000001</v>
      </c>
      <c r="C1028" s="1">
        <v>822.59010000000001</v>
      </c>
      <c r="D1028" s="1">
        <v>131.04</v>
      </c>
      <c r="E1028" s="1">
        <f t="shared" si="104"/>
        <v>-2.2751580065866368E-2</v>
      </c>
      <c r="F1028" s="1">
        <f t="shared" si="105"/>
        <v>-1.5189130033865716E-2</v>
      </c>
      <c r="G1028" s="1">
        <f t="shared" si="106"/>
        <v>-9.4938623695294422E-3</v>
      </c>
      <c r="P1028" s="39">
        <f t="shared" si="107"/>
        <v>343.88128074672051</v>
      </c>
      <c r="Q1028" s="26">
        <f t="shared" si="108"/>
        <v>-5.1916626632610132</v>
      </c>
      <c r="R1028" s="26">
        <f t="shared" si="109"/>
        <v>5.1916626632610132</v>
      </c>
    </row>
    <row r="1029" spans="1:18" x14ac:dyDescent="0.3">
      <c r="A1029" s="2">
        <v>42668</v>
      </c>
      <c r="B1029" s="1">
        <v>29.5625</v>
      </c>
      <c r="C1029" s="1">
        <v>835.17989999999998</v>
      </c>
      <c r="D1029" s="1">
        <v>132.29</v>
      </c>
      <c r="E1029" s="1">
        <f t="shared" si="104"/>
        <v>5.08691219867088E-3</v>
      </c>
      <c r="F1029" s="1">
        <f t="shared" si="105"/>
        <v>-3.4784618553821405E-3</v>
      </c>
      <c r="G1029" s="1">
        <f t="shared" si="106"/>
        <v>-7.4556959442439348E-3</v>
      </c>
      <c r="P1029" s="39">
        <f t="shared" si="107"/>
        <v>349.07294340998152</v>
      </c>
      <c r="Q1029" s="26">
        <f t="shared" si="108"/>
        <v>-1.2261718504148575</v>
      </c>
      <c r="R1029" s="26">
        <f t="shared" si="109"/>
        <v>1.2261718504148575</v>
      </c>
    </row>
    <row r="1030" spans="1:18" x14ac:dyDescent="0.3">
      <c r="A1030" s="2">
        <v>42667</v>
      </c>
      <c r="B1030" s="1">
        <v>29.412500000000001</v>
      </c>
      <c r="C1030" s="1">
        <v>838.09010000000001</v>
      </c>
      <c r="D1030" s="1">
        <v>133.28</v>
      </c>
      <c r="E1030" s="1">
        <f t="shared" ref="E1030:E1093" si="110">LN(B1030/B1031)</f>
        <v>8.9648412569796696E-3</v>
      </c>
      <c r="F1030" s="1">
        <f t="shared" ref="F1030:F1093" si="111">LN(C1030/C1031)</f>
        <v>2.3053738835892689E-2</v>
      </c>
      <c r="G1030" s="1">
        <f t="shared" ref="G1030:G1093" si="112">LN(D1030/D1031)</f>
        <v>9.1200933628196434E-3</v>
      </c>
      <c r="P1030" s="39">
        <f t="shared" ref="P1030:P1093" si="113">B1030*$J$13+C1030*$J$14+D1030*$J$15</f>
        <v>350.29911526039638</v>
      </c>
      <c r="Q1030" s="26">
        <f t="shared" ref="Q1030:Q1093" si="114">P1030-P1031</f>
        <v>7.4183323413229232</v>
      </c>
      <c r="R1030" s="26">
        <f t="shared" ref="R1030:R1093" si="115">-Q1030</f>
        <v>-7.4183323413229232</v>
      </c>
    </row>
    <row r="1031" spans="1:18" x14ac:dyDescent="0.3">
      <c r="A1031" s="2">
        <v>42664</v>
      </c>
      <c r="B1031" s="1">
        <v>29.15</v>
      </c>
      <c r="C1031" s="1">
        <v>818.99</v>
      </c>
      <c r="D1031" s="1">
        <v>132.07</v>
      </c>
      <c r="E1031" s="1">
        <f t="shared" si="110"/>
        <v>-3.9373499466828664E-3</v>
      </c>
      <c r="F1031" s="1">
        <f t="shared" si="111"/>
        <v>1.064251897974608E-2</v>
      </c>
      <c r="G1031" s="1">
        <f t="shared" si="112"/>
        <v>1.5797634600130568E-2</v>
      </c>
      <c r="P1031" s="39">
        <f t="shared" si="113"/>
        <v>342.88078291907345</v>
      </c>
      <c r="Q1031" s="26">
        <f t="shared" si="114"/>
        <v>3.5998749797618643</v>
      </c>
      <c r="R1031" s="26">
        <f t="shared" si="115"/>
        <v>-3.5998749797618643</v>
      </c>
    </row>
    <row r="1032" spans="1:18" x14ac:dyDescent="0.3">
      <c r="A1032" s="2">
        <v>42663</v>
      </c>
      <c r="B1032" s="1">
        <v>29.265000000000001</v>
      </c>
      <c r="C1032" s="1">
        <v>810.32010000000002</v>
      </c>
      <c r="D1032" s="1">
        <v>130</v>
      </c>
      <c r="E1032" s="1">
        <f t="shared" si="110"/>
        <v>-5.1242634992663396E-4</v>
      </c>
      <c r="F1032" s="1">
        <f t="shared" si="111"/>
        <v>-9.0538145868438637E-3</v>
      </c>
      <c r="G1032" s="1">
        <f t="shared" si="112"/>
        <v>-8.4579605980223348E-4</v>
      </c>
      <c r="P1032" s="39">
        <f t="shared" si="113"/>
        <v>339.28090793931159</v>
      </c>
      <c r="Q1032" s="26">
        <f t="shared" si="114"/>
        <v>-2.7492836715140356</v>
      </c>
      <c r="R1032" s="26">
        <f t="shared" si="115"/>
        <v>2.7492836715140356</v>
      </c>
    </row>
    <row r="1033" spans="1:18" x14ac:dyDescent="0.3">
      <c r="A1033" s="2">
        <v>42662</v>
      </c>
      <c r="B1033" s="1">
        <v>29.28</v>
      </c>
      <c r="C1033" s="1">
        <v>817.68989999999997</v>
      </c>
      <c r="D1033" s="1">
        <v>130.11000000000001</v>
      </c>
      <c r="E1033" s="1">
        <f t="shared" si="110"/>
        <v>-2.9839316227930884E-3</v>
      </c>
      <c r="F1033" s="1">
        <f t="shared" si="111"/>
        <v>4.8919496740651004E-5</v>
      </c>
      <c r="G1033" s="1">
        <f t="shared" si="112"/>
        <v>1.1906743419227135E-2</v>
      </c>
      <c r="P1033" s="39">
        <f t="shared" si="113"/>
        <v>342.03019161082563</v>
      </c>
      <c r="Q1033" s="26">
        <f t="shared" si="114"/>
        <v>0.31224246369140474</v>
      </c>
      <c r="R1033" s="26">
        <f t="shared" si="115"/>
        <v>-0.31224246369140474</v>
      </c>
    </row>
    <row r="1034" spans="1:18" x14ac:dyDescent="0.3">
      <c r="A1034" s="2">
        <v>42661</v>
      </c>
      <c r="B1034" s="1">
        <v>29.3675</v>
      </c>
      <c r="C1034" s="1">
        <v>817.6499</v>
      </c>
      <c r="D1034" s="1">
        <v>128.57</v>
      </c>
      <c r="E1034" s="1">
        <f t="shared" si="110"/>
        <v>-6.8079315028392567E-4</v>
      </c>
      <c r="F1034" s="1">
        <f t="shared" si="111"/>
        <v>5.7646428351097161E-3</v>
      </c>
      <c r="G1034" s="1">
        <f t="shared" si="112"/>
        <v>8.043462209031781E-3</v>
      </c>
      <c r="P1034" s="39">
        <f t="shared" si="113"/>
        <v>341.71794914713422</v>
      </c>
      <c r="Q1034" s="26">
        <f t="shared" si="114"/>
        <v>1.9490462524378813</v>
      </c>
      <c r="R1034" s="26">
        <f t="shared" si="115"/>
        <v>-1.9490462524378813</v>
      </c>
    </row>
    <row r="1035" spans="1:18" x14ac:dyDescent="0.3">
      <c r="A1035" s="2">
        <v>42660</v>
      </c>
      <c r="B1035" s="1">
        <v>29.387499999999999</v>
      </c>
      <c r="C1035" s="1">
        <v>812.95</v>
      </c>
      <c r="D1035" s="1">
        <v>127.54</v>
      </c>
      <c r="E1035" s="1">
        <f t="shared" si="110"/>
        <v>-6.8032998627144583E-4</v>
      </c>
      <c r="F1035" s="1">
        <f t="shared" si="111"/>
        <v>-1.2237989781210471E-2</v>
      </c>
      <c r="G1035" s="1">
        <f t="shared" si="112"/>
        <v>-2.6622833045150565E-3</v>
      </c>
      <c r="P1035" s="39">
        <f t="shared" si="113"/>
        <v>339.76890289469634</v>
      </c>
      <c r="Q1035" s="26">
        <f t="shared" si="114"/>
        <v>-3.7753520046392168</v>
      </c>
      <c r="R1035" s="26">
        <f t="shared" si="115"/>
        <v>3.7753520046392168</v>
      </c>
    </row>
    <row r="1036" spans="1:18" x14ac:dyDescent="0.3">
      <c r="A1036" s="2">
        <v>42657</v>
      </c>
      <c r="B1036" s="1">
        <v>29.407499999999999</v>
      </c>
      <c r="C1036" s="1">
        <v>822.96</v>
      </c>
      <c r="D1036" s="1">
        <v>127.88</v>
      </c>
      <c r="E1036" s="1">
        <f t="shared" si="110"/>
        <v>5.5411249574702287E-3</v>
      </c>
      <c r="F1036" s="1">
        <f t="shared" si="111"/>
        <v>-7.6502576186217005E-3</v>
      </c>
      <c r="G1036" s="1">
        <f t="shared" si="112"/>
        <v>4.6929996950496753E-4</v>
      </c>
      <c r="P1036" s="39">
        <f t="shared" si="113"/>
        <v>343.54425489933556</v>
      </c>
      <c r="Q1036" s="26">
        <f t="shared" si="114"/>
        <v>-2.2515570181364524</v>
      </c>
      <c r="R1036" s="26">
        <f t="shared" si="115"/>
        <v>2.2515570181364524</v>
      </c>
    </row>
    <row r="1037" spans="1:18" x14ac:dyDescent="0.3">
      <c r="A1037" s="2">
        <v>42656</v>
      </c>
      <c r="B1037" s="1">
        <v>29.245000000000001</v>
      </c>
      <c r="C1037" s="1">
        <v>829.28</v>
      </c>
      <c r="D1037" s="1">
        <v>127.82</v>
      </c>
      <c r="E1037" s="1">
        <f t="shared" si="110"/>
        <v>-3.0727234828341367E-3</v>
      </c>
      <c r="F1037" s="1">
        <f t="shared" si="111"/>
        <v>-5.7835756552856174E-3</v>
      </c>
      <c r="G1037" s="1">
        <f t="shared" si="112"/>
        <v>-9.5769019424872606E-3</v>
      </c>
      <c r="P1037" s="39">
        <f t="shared" si="113"/>
        <v>345.79581191747201</v>
      </c>
      <c r="Q1037" s="26">
        <f t="shared" si="114"/>
        <v>-2.0786241311377012</v>
      </c>
      <c r="R1037" s="26">
        <f t="shared" si="115"/>
        <v>2.0786241311377012</v>
      </c>
    </row>
    <row r="1038" spans="1:18" x14ac:dyDescent="0.3">
      <c r="A1038" s="2">
        <v>42655</v>
      </c>
      <c r="B1038" s="1">
        <v>29.335000000000001</v>
      </c>
      <c r="C1038" s="1">
        <v>834.09010000000001</v>
      </c>
      <c r="D1038" s="1">
        <v>129.05000000000001</v>
      </c>
      <c r="E1038" s="1">
        <f t="shared" si="110"/>
        <v>8.9026439730950733E-3</v>
      </c>
      <c r="F1038" s="1">
        <f t="shared" si="111"/>
        <v>3.7116352412338957E-3</v>
      </c>
      <c r="G1038" s="1">
        <f t="shared" si="112"/>
        <v>1.3181872959039938E-3</v>
      </c>
      <c r="P1038" s="39">
        <f t="shared" si="113"/>
        <v>347.87443604860971</v>
      </c>
      <c r="Q1038" s="26">
        <f t="shared" si="114"/>
        <v>1.2847161692125724</v>
      </c>
      <c r="R1038" s="26">
        <f t="shared" si="115"/>
        <v>-1.2847161692125724</v>
      </c>
    </row>
    <row r="1039" spans="1:18" x14ac:dyDescent="0.3">
      <c r="A1039" s="2">
        <v>42654</v>
      </c>
      <c r="B1039" s="1">
        <v>29.074999999999999</v>
      </c>
      <c r="C1039" s="1">
        <v>831</v>
      </c>
      <c r="D1039" s="1">
        <v>128.88</v>
      </c>
      <c r="E1039" s="1">
        <f t="shared" si="110"/>
        <v>2.1519268041726661E-3</v>
      </c>
      <c r="F1039" s="1">
        <f t="shared" si="111"/>
        <v>-1.280574200910242E-2</v>
      </c>
      <c r="G1039" s="1">
        <f t="shared" si="112"/>
        <v>-1.0497163385511385E-2</v>
      </c>
      <c r="P1039" s="39">
        <f t="shared" si="113"/>
        <v>346.58971987939714</v>
      </c>
      <c r="Q1039" s="26">
        <f t="shared" si="114"/>
        <v>-4.2204955868041907</v>
      </c>
      <c r="R1039" s="26">
        <f t="shared" si="115"/>
        <v>4.2204955868041907</v>
      </c>
    </row>
    <row r="1040" spans="1:18" x14ac:dyDescent="0.3">
      <c r="A1040" s="2">
        <v>42653</v>
      </c>
      <c r="B1040" s="1">
        <v>29.012499999999999</v>
      </c>
      <c r="C1040" s="1">
        <v>841.71</v>
      </c>
      <c r="D1040" s="1">
        <v>130.24</v>
      </c>
      <c r="E1040" s="1">
        <f t="shared" si="110"/>
        <v>1.7296506992053193E-2</v>
      </c>
      <c r="F1040" s="1">
        <f t="shared" si="111"/>
        <v>2.7125659180223661E-3</v>
      </c>
      <c r="G1040" s="1">
        <f t="shared" si="112"/>
        <v>9.6440202771853611E-3</v>
      </c>
      <c r="P1040" s="39">
        <f t="shared" si="113"/>
        <v>350.81021546620133</v>
      </c>
      <c r="Q1040" s="26">
        <f t="shared" si="114"/>
        <v>1.318300644480928</v>
      </c>
      <c r="R1040" s="26">
        <f t="shared" si="115"/>
        <v>-1.318300644480928</v>
      </c>
    </row>
    <row r="1041" spans="1:18" x14ac:dyDescent="0.3">
      <c r="A1041" s="2">
        <v>42650</v>
      </c>
      <c r="B1041" s="1">
        <v>28.515000000000001</v>
      </c>
      <c r="C1041" s="1">
        <v>839.42989999999998</v>
      </c>
      <c r="D1041" s="1">
        <v>128.99</v>
      </c>
      <c r="E1041" s="1">
        <f t="shared" si="110"/>
        <v>1.4915554421331136E-3</v>
      </c>
      <c r="F1041" s="1">
        <f t="shared" si="111"/>
        <v>-2.6530424585441566E-3</v>
      </c>
      <c r="G1041" s="1">
        <f t="shared" si="112"/>
        <v>1.9400153525750163E-3</v>
      </c>
      <c r="P1041" s="39">
        <f t="shared" si="113"/>
        <v>349.4919148217204</v>
      </c>
      <c r="Q1041" s="26">
        <f t="shared" si="114"/>
        <v>-0.75101517432329956</v>
      </c>
      <c r="R1041" s="26">
        <f t="shared" si="115"/>
        <v>0.75101517432329956</v>
      </c>
    </row>
    <row r="1042" spans="1:18" x14ac:dyDescent="0.3">
      <c r="A1042" s="2">
        <v>42649</v>
      </c>
      <c r="B1042" s="1">
        <v>28.4725</v>
      </c>
      <c r="C1042" s="1">
        <v>841.65989999999999</v>
      </c>
      <c r="D1042" s="1">
        <v>128.74</v>
      </c>
      <c r="E1042" s="1">
        <f t="shared" si="110"/>
        <v>7.4028715622808808E-3</v>
      </c>
      <c r="F1042" s="1">
        <f t="shared" si="111"/>
        <v>-3.2030489656862337E-3</v>
      </c>
      <c r="G1042" s="1">
        <f t="shared" si="112"/>
        <v>2.0994525809515507E-3</v>
      </c>
      <c r="P1042" s="39">
        <f t="shared" si="113"/>
        <v>350.2429299960437</v>
      </c>
      <c r="Q1042" s="26">
        <f t="shared" si="114"/>
        <v>-0.85077197848931974</v>
      </c>
      <c r="R1042" s="26">
        <f t="shared" si="115"/>
        <v>0.85077197848931974</v>
      </c>
    </row>
    <row r="1043" spans="1:18" x14ac:dyDescent="0.3">
      <c r="A1043" s="2">
        <v>42648</v>
      </c>
      <c r="B1043" s="1">
        <v>28.262499999999999</v>
      </c>
      <c r="C1043" s="1">
        <v>844.36009999999999</v>
      </c>
      <c r="D1043" s="1">
        <v>128.47</v>
      </c>
      <c r="E1043" s="1">
        <f t="shared" si="110"/>
        <v>4.4238001163816198E-4</v>
      </c>
      <c r="F1043" s="1">
        <f t="shared" si="111"/>
        <v>1.2309689435939127E-2</v>
      </c>
      <c r="G1043" s="1">
        <f t="shared" si="112"/>
        <v>2.1818757194750167E-3</v>
      </c>
      <c r="P1043" s="39">
        <f t="shared" si="113"/>
        <v>351.09370197453302</v>
      </c>
      <c r="Q1043" s="26">
        <f t="shared" si="114"/>
        <v>3.8773489920679367</v>
      </c>
      <c r="R1043" s="26">
        <f t="shared" si="115"/>
        <v>-3.8773489920679367</v>
      </c>
    </row>
    <row r="1044" spans="1:18" x14ac:dyDescent="0.3">
      <c r="A1044" s="2">
        <v>42647</v>
      </c>
      <c r="B1044" s="1">
        <v>28.25</v>
      </c>
      <c r="C1044" s="1">
        <v>834.03</v>
      </c>
      <c r="D1044" s="1">
        <v>128.19</v>
      </c>
      <c r="E1044" s="1">
        <f t="shared" si="110"/>
        <v>4.2568350906844613E-3</v>
      </c>
      <c r="F1044" s="1">
        <f t="shared" si="111"/>
        <v>-3.2440160843065311E-3</v>
      </c>
      <c r="G1044" s="1">
        <f t="shared" si="112"/>
        <v>-4.5143289616492365E-3</v>
      </c>
      <c r="P1044" s="39">
        <f t="shared" si="113"/>
        <v>347.21635298246508</v>
      </c>
      <c r="Q1044" s="26">
        <f t="shared" si="114"/>
        <v>-1.0758817946086765</v>
      </c>
      <c r="R1044" s="26">
        <f t="shared" si="115"/>
        <v>1.0758817946086765</v>
      </c>
    </row>
    <row r="1045" spans="1:18" x14ac:dyDescent="0.3">
      <c r="A1045" s="2">
        <v>42646</v>
      </c>
      <c r="B1045" s="1">
        <v>28.13</v>
      </c>
      <c r="C1045" s="1">
        <v>836.74</v>
      </c>
      <c r="D1045" s="1">
        <v>128.77000000000001</v>
      </c>
      <c r="E1045" s="1">
        <f t="shared" si="110"/>
        <v>-4.6992151023227237E-3</v>
      </c>
      <c r="F1045" s="1">
        <f t="shared" si="111"/>
        <v>-6.8110270061708632E-4</v>
      </c>
      <c r="G1045" s="1">
        <f t="shared" si="112"/>
        <v>3.8904499739330798E-3</v>
      </c>
      <c r="P1045" s="39">
        <f t="shared" si="113"/>
        <v>348.29223477707376</v>
      </c>
      <c r="Q1045" s="26">
        <f t="shared" si="114"/>
        <v>-0.15689062860235481</v>
      </c>
      <c r="R1045" s="26">
        <f t="shared" si="115"/>
        <v>0.15689062860235481</v>
      </c>
    </row>
    <row r="1046" spans="1:18" x14ac:dyDescent="0.3">
      <c r="A1046" s="2">
        <v>42643</v>
      </c>
      <c r="B1046" s="1">
        <v>28.262499999999999</v>
      </c>
      <c r="C1046" s="1">
        <v>837.31010000000003</v>
      </c>
      <c r="D1046" s="1">
        <v>128.27000000000001</v>
      </c>
      <c r="E1046" s="1">
        <f t="shared" si="110"/>
        <v>7.7254746437879426E-3</v>
      </c>
      <c r="F1046" s="1">
        <f t="shared" si="111"/>
        <v>9.9140247723615207E-3</v>
      </c>
      <c r="G1046" s="1">
        <f t="shared" si="112"/>
        <v>1.404275468714761E-3</v>
      </c>
      <c r="P1046" s="39">
        <f t="shared" si="113"/>
        <v>348.44912540567611</v>
      </c>
      <c r="Q1046" s="26">
        <f t="shared" si="114"/>
        <v>3.176846466820507</v>
      </c>
      <c r="R1046" s="26">
        <f t="shared" si="115"/>
        <v>-3.176846466820507</v>
      </c>
    </row>
    <row r="1047" spans="1:18" x14ac:dyDescent="0.3">
      <c r="A1047" s="2">
        <v>42642</v>
      </c>
      <c r="B1047" s="1">
        <v>28.045000000000002</v>
      </c>
      <c r="C1047" s="1">
        <v>829.05</v>
      </c>
      <c r="D1047" s="1">
        <v>128.09</v>
      </c>
      <c r="E1047" s="1">
        <f t="shared" si="110"/>
        <v>-1.5655031611502342E-2</v>
      </c>
      <c r="F1047" s="1">
        <f t="shared" si="111"/>
        <v>3.9812519753491869E-4</v>
      </c>
      <c r="G1047" s="1">
        <f t="shared" si="112"/>
        <v>-8.8606206940551498E-3</v>
      </c>
      <c r="P1047" s="39">
        <f t="shared" si="113"/>
        <v>345.27227893885561</v>
      </c>
      <c r="Q1047" s="26">
        <f t="shared" si="114"/>
        <v>-0.30862780813470181</v>
      </c>
      <c r="R1047" s="26">
        <f t="shared" si="115"/>
        <v>0.30862780813470181</v>
      </c>
    </row>
    <row r="1048" spans="1:18" x14ac:dyDescent="0.3">
      <c r="A1048" s="2">
        <v>42641</v>
      </c>
      <c r="B1048" s="1">
        <v>28.487500000000001</v>
      </c>
      <c r="C1048" s="1">
        <v>828.72</v>
      </c>
      <c r="D1048" s="1">
        <v>129.22999999999999</v>
      </c>
      <c r="E1048" s="1">
        <f t="shared" si="110"/>
        <v>7.5757938084577226E-3</v>
      </c>
      <c r="F1048" s="1">
        <f t="shared" si="111"/>
        <v>1.533306941690895E-2</v>
      </c>
      <c r="G1048" s="1">
        <f t="shared" si="112"/>
        <v>4.1873510315263863E-3</v>
      </c>
      <c r="P1048" s="39">
        <f t="shared" si="113"/>
        <v>345.58090674699031</v>
      </c>
      <c r="Q1048" s="26">
        <f t="shared" si="114"/>
        <v>4.858770036809176</v>
      </c>
      <c r="R1048" s="26">
        <f t="shared" si="115"/>
        <v>-4.858770036809176</v>
      </c>
    </row>
    <row r="1049" spans="1:18" x14ac:dyDescent="0.3">
      <c r="A1049" s="2">
        <v>42640</v>
      </c>
      <c r="B1049" s="1">
        <v>28.272500000000001</v>
      </c>
      <c r="C1049" s="1">
        <v>816.11009999999999</v>
      </c>
      <c r="D1049" s="1">
        <v>128.69</v>
      </c>
      <c r="E1049" s="1">
        <f t="shared" si="110"/>
        <v>1.8586543386770787E-3</v>
      </c>
      <c r="F1049" s="1">
        <f t="shared" si="111"/>
        <v>2.0988221432585254E-2</v>
      </c>
      <c r="G1049" s="1">
        <f t="shared" si="112"/>
        <v>1.0781354432019536E-2</v>
      </c>
      <c r="P1049" s="39">
        <f t="shared" si="113"/>
        <v>340.72213671018113</v>
      </c>
      <c r="Q1049" s="26">
        <f t="shared" si="114"/>
        <v>6.5749192134063037</v>
      </c>
      <c r="R1049" s="26">
        <f t="shared" si="115"/>
        <v>-6.5749192134063037</v>
      </c>
    </row>
    <row r="1050" spans="1:18" x14ac:dyDescent="0.3">
      <c r="A1050" s="2">
        <v>42639</v>
      </c>
      <c r="B1050" s="1">
        <v>28.22</v>
      </c>
      <c r="C1050" s="1">
        <v>799.15989999999999</v>
      </c>
      <c r="D1050" s="1">
        <v>127.31</v>
      </c>
      <c r="E1050" s="1">
        <f t="shared" si="110"/>
        <v>1.5071592905713386E-3</v>
      </c>
      <c r="F1050" s="1">
        <f t="shared" si="111"/>
        <v>-8.2124697951949099E-3</v>
      </c>
      <c r="G1050" s="1">
        <f t="shared" si="112"/>
        <v>-5.0926580077631373E-3</v>
      </c>
      <c r="P1050" s="39">
        <f t="shared" si="113"/>
        <v>334.14721749677483</v>
      </c>
      <c r="Q1050" s="26">
        <f t="shared" si="114"/>
        <v>-2.5547994343118035</v>
      </c>
      <c r="R1050" s="26">
        <f t="shared" si="115"/>
        <v>2.5547994343118035</v>
      </c>
    </row>
    <row r="1051" spans="1:18" x14ac:dyDescent="0.3">
      <c r="A1051" s="2">
        <v>42636</v>
      </c>
      <c r="B1051" s="1">
        <v>28.177499999999998</v>
      </c>
      <c r="C1051" s="1">
        <v>805.75</v>
      </c>
      <c r="D1051" s="1">
        <v>127.96</v>
      </c>
      <c r="E1051" s="1">
        <f t="shared" si="110"/>
        <v>-1.6804160869604234E-2</v>
      </c>
      <c r="F1051" s="1">
        <f t="shared" si="111"/>
        <v>1.303983543460026E-3</v>
      </c>
      <c r="G1051" s="1">
        <f t="shared" si="112"/>
        <v>-1.6431930718183378E-2</v>
      </c>
      <c r="P1051" s="39">
        <f t="shared" si="113"/>
        <v>336.70201693108663</v>
      </c>
      <c r="Q1051" s="26">
        <f t="shared" si="114"/>
        <v>-0.26984881375472014</v>
      </c>
      <c r="R1051" s="26">
        <f t="shared" si="115"/>
        <v>0.26984881375472014</v>
      </c>
    </row>
    <row r="1052" spans="1:18" x14ac:dyDescent="0.3">
      <c r="A1052" s="2">
        <v>42635</v>
      </c>
      <c r="B1052" s="1">
        <v>28.655000000000001</v>
      </c>
      <c r="C1052" s="1">
        <v>804.7</v>
      </c>
      <c r="D1052" s="1">
        <v>130.08000000000001</v>
      </c>
      <c r="E1052" s="1">
        <f t="shared" si="110"/>
        <v>9.3790405720239837E-3</v>
      </c>
      <c r="F1052" s="1">
        <f t="shared" si="111"/>
        <v>1.8765759784943808E-2</v>
      </c>
      <c r="G1052" s="1">
        <f t="shared" si="112"/>
        <v>1.0768403471156612E-3</v>
      </c>
      <c r="P1052" s="39">
        <f t="shared" si="113"/>
        <v>336.97186574484135</v>
      </c>
      <c r="Q1052" s="26">
        <f t="shared" si="114"/>
        <v>5.6609518895451743</v>
      </c>
      <c r="R1052" s="26">
        <f t="shared" si="115"/>
        <v>-5.6609518895451743</v>
      </c>
    </row>
    <row r="1053" spans="1:18" x14ac:dyDescent="0.3">
      <c r="A1053" s="2">
        <v>42634</v>
      </c>
      <c r="B1053" s="1">
        <v>28.387499999999999</v>
      </c>
      <c r="C1053" s="1">
        <v>789.74</v>
      </c>
      <c r="D1053" s="1">
        <v>129.94</v>
      </c>
      <c r="E1053" s="1">
        <f t="shared" si="110"/>
        <v>-1.7611835198741793E-4</v>
      </c>
      <c r="F1053" s="1">
        <f t="shared" si="111"/>
        <v>1.2127846170439731E-2</v>
      </c>
      <c r="G1053" s="1">
        <f t="shared" si="112"/>
        <v>1.0055000021728737E-2</v>
      </c>
      <c r="P1053" s="39">
        <f t="shared" si="113"/>
        <v>331.31091385529618</v>
      </c>
      <c r="Q1053" s="26">
        <f t="shared" si="114"/>
        <v>3.7922426138014202</v>
      </c>
      <c r="R1053" s="26">
        <f t="shared" si="115"/>
        <v>-3.7922426138014202</v>
      </c>
    </row>
    <row r="1054" spans="1:18" x14ac:dyDescent="0.3">
      <c r="A1054" s="2">
        <v>42633</v>
      </c>
      <c r="B1054" s="1">
        <v>28.392499999999998</v>
      </c>
      <c r="C1054" s="1">
        <v>780.22</v>
      </c>
      <c r="D1054" s="1">
        <v>128.63999999999999</v>
      </c>
      <c r="E1054" s="1">
        <f t="shared" si="110"/>
        <v>-8.8047545731592599E-5</v>
      </c>
      <c r="F1054" s="1">
        <f t="shared" si="111"/>
        <v>6.5837488936353735E-3</v>
      </c>
      <c r="G1054" s="1">
        <f t="shared" si="112"/>
        <v>-7.7733297097057035E-5</v>
      </c>
      <c r="P1054" s="39">
        <f t="shared" si="113"/>
        <v>327.51867124149476</v>
      </c>
      <c r="Q1054" s="26">
        <f t="shared" si="114"/>
        <v>1.8858834328821672</v>
      </c>
      <c r="R1054" s="26">
        <f t="shared" si="115"/>
        <v>-1.8858834328821672</v>
      </c>
    </row>
    <row r="1055" spans="1:18" x14ac:dyDescent="0.3">
      <c r="A1055" s="2">
        <v>42632</v>
      </c>
      <c r="B1055" s="1">
        <v>28.395</v>
      </c>
      <c r="C1055" s="1">
        <v>775.1001</v>
      </c>
      <c r="D1055" s="1">
        <v>128.65</v>
      </c>
      <c r="E1055" s="1">
        <f t="shared" si="110"/>
        <v>-1.1728799661802349E-2</v>
      </c>
      <c r="F1055" s="1">
        <f t="shared" si="111"/>
        <v>-4.4024990713059835E-3</v>
      </c>
      <c r="G1055" s="1">
        <f t="shared" si="112"/>
        <v>-3.2593541193430171E-3</v>
      </c>
      <c r="P1055" s="39">
        <f t="shared" si="113"/>
        <v>325.63278780861259</v>
      </c>
      <c r="Q1055" s="26">
        <f t="shared" si="114"/>
        <v>-1.4916541776675558</v>
      </c>
      <c r="R1055" s="26">
        <f t="shared" si="115"/>
        <v>1.4916541776675558</v>
      </c>
    </row>
    <row r="1056" spans="1:18" x14ac:dyDescent="0.3">
      <c r="A1056" s="2">
        <v>42629</v>
      </c>
      <c r="B1056" s="1">
        <v>28.73</v>
      </c>
      <c r="C1056" s="1">
        <v>778.52</v>
      </c>
      <c r="D1056" s="1">
        <v>129.07</v>
      </c>
      <c r="E1056" s="1">
        <f t="shared" si="110"/>
        <v>-5.6401728762610851E-3</v>
      </c>
      <c r="F1056" s="1">
        <f t="shared" si="111"/>
        <v>1.1406974915779491E-2</v>
      </c>
      <c r="G1056" s="1">
        <f t="shared" si="112"/>
        <v>5.5939855299470126E-3</v>
      </c>
      <c r="P1056" s="39">
        <f t="shared" si="113"/>
        <v>327.12444198628015</v>
      </c>
      <c r="Q1056" s="26">
        <f t="shared" si="114"/>
        <v>3.3467424710480032</v>
      </c>
      <c r="R1056" s="26">
        <f t="shared" si="115"/>
        <v>-3.3467424710480032</v>
      </c>
    </row>
    <row r="1057" spans="1:18" x14ac:dyDescent="0.3">
      <c r="A1057" s="2">
        <v>42628</v>
      </c>
      <c r="B1057" s="1">
        <v>28.892499999999998</v>
      </c>
      <c r="C1057" s="1">
        <v>769.68989999999997</v>
      </c>
      <c r="D1057" s="1">
        <v>128.35</v>
      </c>
      <c r="E1057" s="1">
        <f t="shared" si="110"/>
        <v>3.3433218589829811E-2</v>
      </c>
      <c r="F1057" s="1">
        <f t="shared" si="111"/>
        <v>1.1235958759007521E-2</v>
      </c>
      <c r="G1057" s="1">
        <f t="shared" si="112"/>
        <v>4.5291347139176565E-3</v>
      </c>
      <c r="P1057" s="39">
        <f t="shared" si="113"/>
        <v>323.77769951523214</v>
      </c>
      <c r="Q1057" s="26">
        <f t="shared" si="114"/>
        <v>3.6923585349148311</v>
      </c>
      <c r="R1057" s="26">
        <f t="shared" si="115"/>
        <v>-3.6923585349148311</v>
      </c>
    </row>
    <row r="1058" spans="1:18" x14ac:dyDescent="0.3">
      <c r="A1058" s="2">
        <v>42627</v>
      </c>
      <c r="B1058" s="1">
        <v>27.942499999999999</v>
      </c>
      <c r="C1058" s="1">
        <v>761.09010000000001</v>
      </c>
      <c r="D1058" s="1">
        <v>127.77</v>
      </c>
      <c r="E1058" s="1">
        <f t="shared" si="110"/>
        <v>3.4775031436703706E-2</v>
      </c>
      <c r="F1058" s="1">
        <f t="shared" si="111"/>
        <v>1.0524931977065412E-4</v>
      </c>
      <c r="G1058" s="1">
        <f t="shared" si="112"/>
        <v>4.3925084351121961E-3</v>
      </c>
      <c r="P1058" s="39">
        <f t="shared" si="113"/>
        <v>320.08534098031731</v>
      </c>
      <c r="Q1058" s="26">
        <f t="shared" si="114"/>
        <v>0.54658742465466048</v>
      </c>
      <c r="R1058" s="26">
        <f t="shared" si="115"/>
        <v>-0.54658742465466048</v>
      </c>
    </row>
    <row r="1059" spans="1:18" x14ac:dyDescent="0.3">
      <c r="A1059" s="2">
        <v>42626</v>
      </c>
      <c r="B1059" s="1">
        <v>26.987500000000001</v>
      </c>
      <c r="C1059" s="1">
        <v>761.01</v>
      </c>
      <c r="D1059" s="1">
        <v>127.21</v>
      </c>
      <c r="E1059" s="1">
        <f t="shared" si="110"/>
        <v>2.3526086206619421E-2</v>
      </c>
      <c r="F1059" s="1">
        <f t="shared" si="111"/>
        <v>-1.3677211576594791E-2</v>
      </c>
      <c r="G1059" s="1">
        <f t="shared" si="112"/>
        <v>-1.1567147337454007E-2</v>
      </c>
      <c r="P1059" s="39">
        <f t="shared" si="113"/>
        <v>319.53875355566265</v>
      </c>
      <c r="Q1059" s="26">
        <f t="shared" si="114"/>
        <v>-3.9275480871967261</v>
      </c>
      <c r="R1059" s="26">
        <f t="shared" si="115"/>
        <v>3.9275480871967261</v>
      </c>
    </row>
    <row r="1060" spans="1:18" x14ac:dyDescent="0.3">
      <c r="A1060" s="2">
        <v>42625</v>
      </c>
      <c r="B1060" s="1">
        <v>26.36</v>
      </c>
      <c r="C1060" s="1">
        <v>771.49</v>
      </c>
      <c r="D1060" s="1">
        <v>128.69</v>
      </c>
      <c r="E1060" s="1">
        <f t="shared" si="110"/>
        <v>2.215174242621944E-2</v>
      </c>
      <c r="F1060" s="1">
        <f t="shared" si="111"/>
        <v>1.4821214669116867E-2</v>
      </c>
      <c r="G1060" s="1">
        <f t="shared" si="112"/>
        <v>1.243223331016507E-2</v>
      </c>
      <c r="P1060" s="39">
        <f t="shared" si="113"/>
        <v>323.46630164285938</v>
      </c>
      <c r="Q1060" s="26">
        <f t="shared" si="114"/>
        <v>4.7716805417716728</v>
      </c>
      <c r="R1060" s="26">
        <f t="shared" si="115"/>
        <v>-4.7716805417716728</v>
      </c>
    </row>
    <row r="1061" spans="1:18" x14ac:dyDescent="0.3">
      <c r="A1061" s="2">
        <v>42622</v>
      </c>
      <c r="B1061" s="1">
        <v>25.782499999999999</v>
      </c>
      <c r="C1061" s="1">
        <v>760.13990000000001</v>
      </c>
      <c r="D1061" s="1">
        <v>127.1</v>
      </c>
      <c r="E1061" s="1">
        <f t="shared" si="110"/>
        <v>-2.291018008108156E-2</v>
      </c>
      <c r="F1061" s="1">
        <f t="shared" si="111"/>
        <v>-3.098318028829174E-2</v>
      </c>
      <c r="G1061" s="1">
        <f t="shared" si="112"/>
        <v>-2.4635041514064444E-2</v>
      </c>
      <c r="P1061" s="39">
        <f t="shared" si="113"/>
        <v>318.69462110108771</v>
      </c>
      <c r="Q1061" s="26">
        <f t="shared" si="114"/>
        <v>-9.7603540131794944</v>
      </c>
      <c r="R1061" s="26">
        <f t="shared" si="115"/>
        <v>9.7603540131794944</v>
      </c>
    </row>
    <row r="1062" spans="1:18" x14ac:dyDescent="0.3">
      <c r="A1062" s="2">
        <v>42621</v>
      </c>
      <c r="B1062" s="1">
        <v>26.38</v>
      </c>
      <c r="C1062" s="1">
        <v>784.06010000000003</v>
      </c>
      <c r="D1062" s="1">
        <v>130.27000000000001</v>
      </c>
      <c r="E1062" s="1">
        <f t="shared" si="110"/>
        <v>-2.6558508807835241E-2</v>
      </c>
      <c r="F1062" s="1">
        <f t="shared" si="111"/>
        <v>-5.3540232733679681E-4</v>
      </c>
      <c r="G1062" s="1">
        <f t="shared" si="112"/>
        <v>-5.9697100599427093E-3</v>
      </c>
      <c r="P1062" s="39">
        <f t="shared" si="113"/>
        <v>328.4549751142672</v>
      </c>
      <c r="Q1062" s="26">
        <f t="shared" si="114"/>
        <v>-0.61813182541408196</v>
      </c>
      <c r="R1062" s="26">
        <f t="shared" si="115"/>
        <v>0.61813182541408196</v>
      </c>
    </row>
    <row r="1063" spans="1:18" x14ac:dyDescent="0.3">
      <c r="A1063" s="2">
        <v>42620</v>
      </c>
      <c r="B1063" s="1">
        <v>27.09</v>
      </c>
      <c r="C1063" s="1">
        <v>784.48</v>
      </c>
      <c r="D1063" s="1">
        <v>131.05000000000001</v>
      </c>
      <c r="E1063" s="1">
        <f t="shared" si="110"/>
        <v>6.1094330545515222E-3</v>
      </c>
      <c r="F1063" s="1">
        <f t="shared" si="111"/>
        <v>-5.5805906052289172E-3</v>
      </c>
      <c r="G1063" s="1">
        <f t="shared" si="112"/>
        <v>1.01235621864945E-2</v>
      </c>
      <c r="P1063" s="39">
        <f t="shared" si="113"/>
        <v>329.07310693968128</v>
      </c>
      <c r="Q1063" s="26">
        <f t="shared" si="114"/>
        <v>-1.265390019771246</v>
      </c>
      <c r="R1063" s="26">
        <f t="shared" si="115"/>
        <v>1.265390019771246</v>
      </c>
    </row>
    <row r="1064" spans="1:18" x14ac:dyDescent="0.3">
      <c r="A1064" s="2">
        <v>42619</v>
      </c>
      <c r="B1064" s="1">
        <v>26.925000000000001</v>
      </c>
      <c r="C1064" s="1">
        <v>788.87009999999998</v>
      </c>
      <c r="D1064" s="1">
        <v>129.72999999999999</v>
      </c>
      <c r="E1064" s="1">
        <f t="shared" si="110"/>
        <v>-2.7851274375833776E-4</v>
      </c>
      <c r="F1064" s="1">
        <f t="shared" si="111"/>
        <v>2.1047462115528909E-2</v>
      </c>
      <c r="G1064" s="1">
        <f t="shared" si="112"/>
        <v>2.5134011156342815E-2</v>
      </c>
      <c r="P1064" s="39">
        <f t="shared" si="113"/>
        <v>330.33849695945253</v>
      </c>
      <c r="Q1064" s="26">
        <f t="shared" si="114"/>
        <v>6.7569461985222006</v>
      </c>
      <c r="R1064" s="26">
        <f t="shared" si="115"/>
        <v>-6.7569461985222006</v>
      </c>
    </row>
    <row r="1065" spans="1:18" x14ac:dyDescent="0.3">
      <c r="A1065" s="2">
        <v>42618</v>
      </c>
      <c r="B1065" s="1">
        <v>26.932500000000001</v>
      </c>
      <c r="C1065" s="1">
        <v>772.43989999999997</v>
      </c>
      <c r="D1065" s="1">
        <v>126.51</v>
      </c>
      <c r="E1065" s="1">
        <f t="shared" si="110"/>
        <v>0</v>
      </c>
      <c r="F1065" s="1">
        <f t="shared" si="111"/>
        <v>0</v>
      </c>
      <c r="G1065" s="1">
        <f t="shared" si="112"/>
        <v>0</v>
      </c>
      <c r="P1065" s="39">
        <f t="shared" si="113"/>
        <v>323.58155076093033</v>
      </c>
      <c r="Q1065" s="26">
        <f t="shared" si="114"/>
        <v>0</v>
      </c>
      <c r="R1065" s="26">
        <f t="shared" si="115"/>
        <v>0</v>
      </c>
    </row>
    <row r="1066" spans="1:18" x14ac:dyDescent="0.3">
      <c r="A1066" s="2">
        <v>42615</v>
      </c>
      <c r="B1066" s="1">
        <v>26.932500000000001</v>
      </c>
      <c r="C1066" s="1">
        <v>772.43989999999997</v>
      </c>
      <c r="D1066" s="1">
        <v>126.51</v>
      </c>
      <c r="E1066" s="1">
        <f t="shared" si="110"/>
        <v>9.3258159802275167E-3</v>
      </c>
      <c r="F1066" s="1">
        <f t="shared" si="111"/>
        <v>2.358690969493074E-3</v>
      </c>
      <c r="G1066" s="1">
        <f t="shared" si="112"/>
        <v>2.691152486928243E-3</v>
      </c>
      <c r="P1066" s="39">
        <f t="shared" si="113"/>
        <v>323.58155076093033</v>
      </c>
      <c r="Q1066" s="26">
        <f t="shared" si="114"/>
        <v>0.84871222403535285</v>
      </c>
      <c r="R1066" s="26">
        <f t="shared" si="115"/>
        <v>-0.84871222403535285</v>
      </c>
    </row>
    <row r="1067" spans="1:18" x14ac:dyDescent="0.3">
      <c r="A1067" s="2">
        <v>42614</v>
      </c>
      <c r="B1067" s="1">
        <v>26.682500000000001</v>
      </c>
      <c r="C1067" s="1">
        <v>770.62009999999998</v>
      </c>
      <c r="D1067" s="1">
        <v>126.17</v>
      </c>
      <c r="E1067" s="1">
        <f t="shared" si="110"/>
        <v>5.9202353059362436E-3</v>
      </c>
      <c r="F1067" s="1">
        <f t="shared" si="111"/>
        <v>1.896635152713007E-3</v>
      </c>
      <c r="G1067" s="1">
        <f t="shared" si="112"/>
        <v>3.963692627897331E-4</v>
      </c>
      <c r="P1067" s="39">
        <f t="shared" si="113"/>
        <v>322.73283853689497</v>
      </c>
      <c r="Q1067" s="26">
        <f t="shared" si="114"/>
        <v>0.61485987094960137</v>
      </c>
      <c r="R1067" s="26">
        <f t="shared" si="115"/>
        <v>-0.61485987094960137</v>
      </c>
    </row>
    <row r="1068" spans="1:18" x14ac:dyDescent="0.3">
      <c r="A1068" s="2">
        <v>42613</v>
      </c>
      <c r="B1068" s="1">
        <v>26.524999999999999</v>
      </c>
      <c r="C1068" s="1">
        <v>769.15989999999999</v>
      </c>
      <c r="D1068" s="1">
        <v>126.12</v>
      </c>
      <c r="E1068" s="1">
        <f t="shared" si="110"/>
        <v>9.4295150787036277E-4</v>
      </c>
      <c r="F1068" s="1">
        <f t="shared" si="111"/>
        <v>2.0560414338467313E-3</v>
      </c>
      <c r="G1068" s="1">
        <f t="shared" si="112"/>
        <v>2.2225759268376336E-3</v>
      </c>
      <c r="P1068" s="39">
        <f t="shared" si="113"/>
        <v>322.11797866594537</v>
      </c>
      <c r="Q1068" s="26">
        <f t="shared" si="114"/>
        <v>0.65393517211526841</v>
      </c>
      <c r="R1068" s="26">
        <f t="shared" si="115"/>
        <v>-0.65393517211526841</v>
      </c>
    </row>
    <row r="1069" spans="1:18" x14ac:dyDescent="0.3">
      <c r="A1069" s="2">
        <v>42612</v>
      </c>
      <c r="B1069" s="1">
        <v>26.5</v>
      </c>
      <c r="C1069" s="1">
        <v>767.58010000000002</v>
      </c>
      <c r="D1069" s="1">
        <v>125.84</v>
      </c>
      <c r="E1069" s="1">
        <f t="shared" si="110"/>
        <v>-7.7060807995570574E-3</v>
      </c>
      <c r="F1069" s="1">
        <f t="shared" si="111"/>
        <v>-4.8215988955184041E-3</v>
      </c>
      <c r="G1069" s="1">
        <f t="shared" si="112"/>
        <v>-5.5472049687158367E-3</v>
      </c>
      <c r="P1069" s="39">
        <f t="shared" si="113"/>
        <v>321.4640434938301</v>
      </c>
      <c r="Q1069" s="26">
        <f t="shared" si="114"/>
        <v>-1.6054732609746338</v>
      </c>
      <c r="R1069" s="26">
        <f t="shared" si="115"/>
        <v>1.6054732609746338</v>
      </c>
    </row>
    <row r="1070" spans="1:18" x14ac:dyDescent="0.3">
      <c r="A1070" s="2">
        <v>42611</v>
      </c>
      <c r="B1070" s="1">
        <v>26.704999999999998</v>
      </c>
      <c r="C1070" s="1">
        <v>771.29</v>
      </c>
      <c r="D1070" s="1">
        <v>126.54</v>
      </c>
      <c r="E1070" s="1">
        <f t="shared" si="110"/>
        <v>-1.1227546089612784E-3</v>
      </c>
      <c r="F1070" s="1">
        <f t="shared" si="111"/>
        <v>2.9734682264446984E-3</v>
      </c>
      <c r="G1070" s="1">
        <f t="shared" si="112"/>
        <v>1.2564777627362411E-2</v>
      </c>
      <c r="P1070" s="39">
        <f t="shared" si="113"/>
        <v>323.06951675480474</v>
      </c>
      <c r="Q1070" s="26">
        <f t="shared" si="114"/>
        <v>1.1749153774658225</v>
      </c>
      <c r="R1070" s="26">
        <f t="shared" si="115"/>
        <v>-1.1749153774658225</v>
      </c>
    </row>
    <row r="1071" spans="1:18" x14ac:dyDescent="0.3">
      <c r="A1071" s="2">
        <v>42608</v>
      </c>
      <c r="B1071" s="1">
        <v>26.734999999999999</v>
      </c>
      <c r="C1071" s="1">
        <v>769</v>
      </c>
      <c r="D1071" s="1">
        <v>124.96</v>
      </c>
      <c r="E1071" s="1">
        <f t="shared" si="110"/>
        <v>-5.8738689233285308E-3</v>
      </c>
      <c r="F1071" s="1">
        <f t="shared" si="111"/>
        <v>1.2799379037416101E-2</v>
      </c>
      <c r="G1071" s="1">
        <f t="shared" si="112"/>
        <v>8.5996109637282315E-3</v>
      </c>
      <c r="P1071" s="39">
        <f t="shared" si="113"/>
        <v>321.89460137733892</v>
      </c>
      <c r="Q1071" s="26">
        <f t="shared" si="114"/>
        <v>3.7751473006032938</v>
      </c>
      <c r="R1071" s="26">
        <f t="shared" si="115"/>
        <v>-3.7751473006032938</v>
      </c>
    </row>
    <row r="1072" spans="1:18" x14ac:dyDescent="0.3">
      <c r="A1072" s="2">
        <v>42607</v>
      </c>
      <c r="B1072" s="1">
        <v>26.892499999999998</v>
      </c>
      <c r="C1072" s="1">
        <v>759.22</v>
      </c>
      <c r="D1072" s="1">
        <v>123.89</v>
      </c>
      <c r="E1072" s="1">
        <f t="shared" si="110"/>
        <v>-4.2671678849795294E-3</v>
      </c>
      <c r="F1072" s="1">
        <f t="shared" si="111"/>
        <v>2.5981405608812456E-3</v>
      </c>
      <c r="G1072" s="1">
        <f t="shared" si="112"/>
        <v>3.3148754936889692E-3</v>
      </c>
      <c r="P1072" s="39">
        <f t="shared" si="113"/>
        <v>318.11945407673562</v>
      </c>
      <c r="Q1072" s="26">
        <f t="shared" si="114"/>
        <v>0.76807499405146018</v>
      </c>
      <c r="R1072" s="26">
        <f t="shared" si="115"/>
        <v>-0.76807499405146018</v>
      </c>
    </row>
    <row r="1073" spans="1:18" x14ac:dyDescent="0.3">
      <c r="A1073" s="2">
        <v>42606</v>
      </c>
      <c r="B1073" s="1">
        <v>27.0075</v>
      </c>
      <c r="C1073" s="1">
        <v>757.25</v>
      </c>
      <c r="D1073" s="1">
        <v>123.48</v>
      </c>
      <c r="E1073" s="1">
        <f t="shared" si="110"/>
        <v>-7.5618213516628141E-3</v>
      </c>
      <c r="F1073" s="1">
        <f t="shared" si="111"/>
        <v>-6.8434826536745664E-3</v>
      </c>
      <c r="G1073" s="1">
        <f t="shared" si="112"/>
        <v>-7.1817940316910691E-3</v>
      </c>
      <c r="P1073" s="39">
        <f t="shared" si="113"/>
        <v>317.35137908268416</v>
      </c>
      <c r="Q1073" s="26">
        <f t="shared" si="114"/>
        <v>-2.1964498304532754</v>
      </c>
      <c r="R1073" s="26">
        <f t="shared" si="115"/>
        <v>2.1964498304532754</v>
      </c>
    </row>
    <row r="1074" spans="1:18" x14ac:dyDescent="0.3">
      <c r="A1074" s="2">
        <v>42605</v>
      </c>
      <c r="B1074" s="1">
        <v>27.212499999999999</v>
      </c>
      <c r="C1074" s="1">
        <v>762.45</v>
      </c>
      <c r="D1074" s="1">
        <v>124.37</v>
      </c>
      <c r="E1074" s="1">
        <f t="shared" si="110"/>
        <v>3.1284530484400911E-3</v>
      </c>
      <c r="F1074" s="1">
        <f t="shared" si="111"/>
        <v>3.9029439858069797E-3</v>
      </c>
      <c r="G1074" s="1">
        <f t="shared" si="112"/>
        <v>1.7704817114740717E-3</v>
      </c>
      <c r="P1074" s="39">
        <f t="shared" si="113"/>
        <v>319.54782891313744</v>
      </c>
      <c r="Q1074" s="26">
        <f t="shared" si="114"/>
        <v>1.1787328004588176</v>
      </c>
      <c r="R1074" s="26">
        <f t="shared" si="115"/>
        <v>-1.1787328004588176</v>
      </c>
    </row>
    <row r="1075" spans="1:18" x14ac:dyDescent="0.3">
      <c r="A1075" s="2">
        <v>42604</v>
      </c>
      <c r="B1075" s="1">
        <v>27.127500000000001</v>
      </c>
      <c r="C1075" s="1">
        <v>759.48</v>
      </c>
      <c r="D1075" s="1">
        <v>124.15</v>
      </c>
      <c r="E1075" s="1">
        <f t="shared" si="110"/>
        <v>-7.8028577835777997E-3</v>
      </c>
      <c r="F1075" s="1">
        <f t="shared" si="111"/>
        <v>2.8611756897572805E-3</v>
      </c>
      <c r="G1075" s="1">
        <f t="shared" si="112"/>
        <v>4.7636439037946586E-3</v>
      </c>
      <c r="P1075" s="39">
        <f t="shared" si="113"/>
        <v>318.36909611267862</v>
      </c>
      <c r="Q1075" s="26">
        <f t="shared" si="114"/>
        <v>0.84044408376331603</v>
      </c>
      <c r="R1075" s="26">
        <f t="shared" si="115"/>
        <v>-0.84044408376331603</v>
      </c>
    </row>
    <row r="1076" spans="1:18" x14ac:dyDescent="0.3">
      <c r="A1076" s="2">
        <v>42601</v>
      </c>
      <c r="B1076" s="1">
        <v>27.34</v>
      </c>
      <c r="C1076" s="1">
        <v>757.31010000000003</v>
      </c>
      <c r="D1076" s="1">
        <v>123.56</v>
      </c>
      <c r="E1076" s="1">
        <f t="shared" si="110"/>
        <v>2.5636344383064371E-3</v>
      </c>
      <c r="F1076" s="1">
        <f t="shared" si="111"/>
        <v>-9.3968893358874293E-3</v>
      </c>
      <c r="G1076" s="1">
        <f t="shared" si="112"/>
        <v>-2.8286275780205158E-3</v>
      </c>
      <c r="P1076" s="39">
        <f t="shared" si="113"/>
        <v>317.5286520289153</v>
      </c>
      <c r="Q1076" s="26">
        <f t="shared" si="114"/>
        <v>-2.6849411190104888</v>
      </c>
      <c r="R1076" s="26">
        <f t="shared" si="115"/>
        <v>2.6849411190104888</v>
      </c>
    </row>
    <row r="1077" spans="1:18" x14ac:dyDescent="0.3">
      <c r="A1077" s="2">
        <v>42600</v>
      </c>
      <c r="B1077" s="1">
        <v>27.27</v>
      </c>
      <c r="C1077" s="1">
        <v>764.46</v>
      </c>
      <c r="D1077" s="1">
        <v>123.91</v>
      </c>
      <c r="E1077" s="1">
        <f t="shared" si="110"/>
        <v>-1.2826387466199037E-3</v>
      </c>
      <c r="F1077" s="1">
        <f t="shared" si="111"/>
        <v>-2.2222369096702314E-4</v>
      </c>
      <c r="G1077" s="1">
        <f t="shared" si="112"/>
        <v>-3.7054980372482186E-3</v>
      </c>
      <c r="P1077" s="39">
        <f t="shared" si="113"/>
        <v>320.21359314792579</v>
      </c>
      <c r="Q1077" s="26">
        <f t="shared" si="114"/>
        <v>-0.1768765926945548</v>
      </c>
      <c r="R1077" s="26">
        <f t="shared" si="115"/>
        <v>0.1768765926945548</v>
      </c>
    </row>
    <row r="1078" spans="1:18" x14ac:dyDescent="0.3">
      <c r="A1078" s="2">
        <v>42599</v>
      </c>
      <c r="B1078" s="1">
        <v>27.305</v>
      </c>
      <c r="C1078" s="1">
        <v>764.62990000000002</v>
      </c>
      <c r="D1078" s="1">
        <v>124.37</v>
      </c>
      <c r="E1078" s="1">
        <f t="shared" si="110"/>
        <v>-1.4638611946190139E-3</v>
      </c>
      <c r="F1078" s="1">
        <f t="shared" si="111"/>
        <v>7.7178209537723046E-4</v>
      </c>
      <c r="G1078" s="1">
        <f t="shared" si="112"/>
        <v>8.6405834953511163E-3</v>
      </c>
      <c r="P1078" s="39">
        <f t="shared" si="113"/>
        <v>320.39046974062035</v>
      </c>
      <c r="Q1078" s="26">
        <f t="shared" si="114"/>
        <v>0.43296419454827628</v>
      </c>
      <c r="R1078" s="26">
        <f t="shared" si="115"/>
        <v>-0.43296419454827628</v>
      </c>
    </row>
    <row r="1079" spans="1:18" x14ac:dyDescent="0.3">
      <c r="A1079" s="2">
        <v>42598</v>
      </c>
      <c r="B1079" s="1">
        <v>27.344999999999999</v>
      </c>
      <c r="C1079" s="1">
        <v>764.04</v>
      </c>
      <c r="D1079" s="1">
        <v>123.3</v>
      </c>
      <c r="E1079" s="1">
        <f t="shared" si="110"/>
        <v>-9.1382625385175945E-4</v>
      </c>
      <c r="F1079" s="1">
        <f t="shared" si="111"/>
        <v>-5.8074067153111517E-3</v>
      </c>
      <c r="G1079" s="1">
        <f t="shared" si="112"/>
        <v>-4.8543784647981994E-3</v>
      </c>
      <c r="P1079" s="39">
        <f t="shared" si="113"/>
        <v>319.95750554607207</v>
      </c>
      <c r="Q1079" s="26">
        <f t="shared" si="114"/>
        <v>-1.7822989556027551</v>
      </c>
      <c r="R1079" s="26">
        <f t="shared" si="115"/>
        <v>1.7822989556027551</v>
      </c>
    </row>
    <row r="1080" spans="1:18" x14ac:dyDescent="0.3">
      <c r="A1080" s="2">
        <v>42597</v>
      </c>
      <c r="B1080" s="1">
        <v>27.37</v>
      </c>
      <c r="C1080" s="1">
        <v>768.49</v>
      </c>
      <c r="D1080" s="1">
        <v>123.9</v>
      </c>
      <c r="E1080" s="1">
        <f t="shared" si="110"/>
        <v>1.1945377729197485E-2</v>
      </c>
      <c r="F1080" s="1">
        <f t="shared" si="111"/>
        <v>-5.2822545661932643E-3</v>
      </c>
      <c r="G1080" s="1">
        <f t="shared" si="112"/>
        <v>-7.8784875720798279E-3</v>
      </c>
      <c r="P1080" s="39">
        <f t="shared" si="113"/>
        <v>321.73980450167483</v>
      </c>
      <c r="Q1080" s="26">
        <f t="shared" si="114"/>
        <v>-1.579466570136276</v>
      </c>
      <c r="R1080" s="26">
        <f t="shared" si="115"/>
        <v>1.579466570136276</v>
      </c>
    </row>
    <row r="1081" spans="1:18" x14ac:dyDescent="0.3">
      <c r="A1081" s="2">
        <v>42594</v>
      </c>
      <c r="B1081" s="1">
        <v>27.045000000000002</v>
      </c>
      <c r="C1081" s="1">
        <v>772.56010000000003</v>
      </c>
      <c r="D1081" s="1">
        <v>124.88</v>
      </c>
      <c r="E1081" s="1">
        <f t="shared" si="110"/>
        <v>2.313637606025929E-3</v>
      </c>
      <c r="F1081" s="1">
        <f t="shared" si="111"/>
        <v>1.7101959272434555E-3</v>
      </c>
      <c r="G1081" s="1">
        <f t="shared" si="112"/>
        <v>-1.6014092435549755E-4</v>
      </c>
      <c r="P1081" s="39">
        <f t="shared" si="113"/>
        <v>323.3192710718111</v>
      </c>
      <c r="Q1081" s="26">
        <f t="shared" si="114"/>
        <v>0.50863715306496715</v>
      </c>
      <c r="R1081" s="26">
        <f t="shared" si="115"/>
        <v>-0.50863715306496715</v>
      </c>
    </row>
    <row r="1082" spans="1:18" x14ac:dyDescent="0.3">
      <c r="A1082" s="2">
        <v>42593</v>
      </c>
      <c r="B1082" s="1">
        <v>26.982500000000002</v>
      </c>
      <c r="C1082" s="1">
        <v>771.24</v>
      </c>
      <c r="D1082" s="1">
        <v>124.9</v>
      </c>
      <c r="E1082" s="1">
        <f t="shared" si="110"/>
        <v>-6.4835828696466755E-4</v>
      </c>
      <c r="F1082" s="1">
        <f t="shared" si="111"/>
        <v>3.4808449562616574E-3</v>
      </c>
      <c r="G1082" s="1">
        <f t="shared" si="112"/>
        <v>1.6014092435537598E-4</v>
      </c>
      <c r="P1082" s="39">
        <f t="shared" si="113"/>
        <v>322.81063391874613</v>
      </c>
      <c r="Q1082" s="26">
        <f t="shared" si="114"/>
        <v>0.98588471877053507</v>
      </c>
      <c r="R1082" s="26">
        <f t="shared" si="115"/>
        <v>-0.98588471877053507</v>
      </c>
    </row>
    <row r="1083" spans="1:18" x14ac:dyDescent="0.3">
      <c r="A1083" s="2">
        <v>42592</v>
      </c>
      <c r="B1083" s="1">
        <v>27</v>
      </c>
      <c r="C1083" s="1">
        <v>768.56010000000003</v>
      </c>
      <c r="D1083" s="1">
        <v>124.88</v>
      </c>
      <c r="E1083" s="1">
        <f t="shared" si="110"/>
        <v>-7.472014838701066E-3</v>
      </c>
      <c r="F1083" s="1">
        <f t="shared" si="111"/>
        <v>3.2533652120410192E-4</v>
      </c>
      <c r="G1083" s="1">
        <f t="shared" si="112"/>
        <v>-1.4403459319752383E-3</v>
      </c>
      <c r="P1083" s="39">
        <f t="shared" si="113"/>
        <v>321.8247491999756</v>
      </c>
      <c r="Q1083" s="26">
        <f t="shared" si="114"/>
        <v>-3.066533247397274E-2</v>
      </c>
      <c r="R1083" s="26">
        <f t="shared" si="115"/>
        <v>3.066533247397274E-2</v>
      </c>
    </row>
    <row r="1084" spans="1:18" x14ac:dyDescent="0.3">
      <c r="A1084" s="2">
        <v>42591</v>
      </c>
      <c r="B1084" s="1">
        <v>27.202500000000001</v>
      </c>
      <c r="C1084" s="1">
        <v>768.31010000000003</v>
      </c>
      <c r="D1084" s="1">
        <v>125.06</v>
      </c>
      <c r="E1084" s="1">
        <f t="shared" si="110"/>
        <v>4.0519440280167721E-3</v>
      </c>
      <c r="F1084" s="1">
        <f t="shared" si="111"/>
        <v>2.2803241059934955E-3</v>
      </c>
      <c r="G1084" s="1">
        <f t="shared" si="112"/>
        <v>-1.5979549581149404E-3</v>
      </c>
      <c r="P1084" s="39">
        <f t="shared" si="113"/>
        <v>321.85541453244957</v>
      </c>
      <c r="Q1084" s="26">
        <f t="shared" si="114"/>
        <v>0.64792905336622653</v>
      </c>
      <c r="R1084" s="26">
        <f t="shared" si="115"/>
        <v>-0.64792905336622653</v>
      </c>
    </row>
    <row r="1085" spans="1:18" x14ac:dyDescent="0.3">
      <c r="A1085" s="2">
        <v>42590</v>
      </c>
      <c r="B1085" s="1">
        <v>27.092500000000001</v>
      </c>
      <c r="C1085" s="1">
        <v>766.56010000000003</v>
      </c>
      <c r="D1085" s="1">
        <v>125.26</v>
      </c>
      <c r="E1085" s="1">
        <f t="shared" si="110"/>
        <v>8.2465141876132825E-3</v>
      </c>
      <c r="F1085" s="1">
        <f t="shared" si="111"/>
        <v>7.5704384858232973E-4</v>
      </c>
      <c r="G1085" s="1">
        <f t="shared" si="112"/>
        <v>8.7855921948361152E-4</v>
      </c>
      <c r="P1085" s="39">
        <f t="shared" si="113"/>
        <v>321.20748547908335</v>
      </c>
      <c r="Q1085" s="26">
        <f t="shared" si="114"/>
        <v>0.33006334573741469</v>
      </c>
      <c r="R1085" s="26">
        <f t="shared" si="115"/>
        <v>-0.33006334573741469</v>
      </c>
    </row>
    <row r="1086" spans="1:18" x14ac:dyDescent="0.3">
      <c r="A1086" s="2">
        <v>42587</v>
      </c>
      <c r="B1086" s="1">
        <v>26.87</v>
      </c>
      <c r="C1086" s="1">
        <v>765.98</v>
      </c>
      <c r="D1086" s="1">
        <v>125.15</v>
      </c>
      <c r="E1086" s="1">
        <f t="shared" si="110"/>
        <v>1.5092857392002005E-2</v>
      </c>
      <c r="F1086" s="1">
        <f t="shared" si="111"/>
        <v>6.8249814620980993E-3</v>
      </c>
      <c r="G1086" s="1">
        <f t="shared" si="112"/>
        <v>6.3324326872301953E-3</v>
      </c>
      <c r="P1086" s="39">
        <f t="shared" si="113"/>
        <v>320.87742213334593</v>
      </c>
      <c r="Q1086" s="26">
        <f t="shared" si="114"/>
        <v>2.2602962349858444</v>
      </c>
      <c r="R1086" s="26">
        <f t="shared" si="115"/>
        <v>-2.2602962349858444</v>
      </c>
    </row>
    <row r="1087" spans="1:18" x14ac:dyDescent="0.3">
      <c r="A1087" s="2">
        <v>42586</v>
      </c>
      <c r="B1087" s="1">
        <v>26.467500000000001</v>
      </c>
      <c r="C1087" s="1">
        <v>760.77</v>
      </c>
      <c r="D1087" s="1">
        <v>124.36</v>
      </c>
      <c r="E1087" s="1">
        <f t="shared" si="110"/>
        <v>7.5592935660507004E-4</v>
      </c>
      <c r="F1087" s="1">
        <f t="shared" si="111"/>
        <v>8.0903964489830657E-3</v>
      </c>
      <c r="G1087" s="1">
        <f t="shared" si="112"/>
        <v>1.4987925884473768E-2</v>
      </c>
      <c r="P1087" s="39">
        <f t="shared" si="113"/>
        <v>318.61712589836009</v>
      </c>
      <c r="Q1087" s="26">
        <f t="shared" si="114"/>
        <v>2.6710228920586019</v>
      </c>
      <c r="R1087" s="26">
        <f t="shared" si="115"/>
        <v>-2.6710228920586019</v>
      </c>
    </row>
    <row r="1088" spans="1:18" x14ac:dyDescent="0.3">
      <c r="A1088" s="2">
        <v>42585</v>
      </c>
      <c r="B1088" s="1">
        <v>26.447500000000002</v>
      </c>
      <c r="C1088" s="1">
        <v>754.63990000000001</v>
      </c>
      <c r="D1088" s="1">
        <v>122.51</v>
      </c>
      <c r="E1088" s="1">
        <f t="shared" si="110"/>
        <v>1.2460331470562304E-2</v>
      </c>
      <c r="F1088" s="1">
        <f t="shared" si="111"/>
        <v>-7.8407497687268297E-3</v>
      </c>
      <c r="G1088" s="1">
        <f t="shared" si="112"/>
        <v>-4.7231358161252089E-3</v>
      </c>
      <c r="P1088" s="39">
        <f t="shared" si="113"/>
        <v>315.94610300630148</v>
      </c>
      <c r="Q1088" s="26">
        <f t="shared" si="114"/>
        <v>-2.1817555975630398</v>
      </c>
      <c r="R1088" s="26">
        <f t="shared" si="115"/>
        <v>2.1817555975630398</v>
      </c>
    </row>
    <row r="1089" spans="1:18" x14ac:dyDescent="0.3">
      <c r="A1089" s="2">
        <v>42584</v>
      </c>
      <c r="B1089" s="1">
        <v>26.12</v>
      </c>
      <c r="C1089" s="1">
        <v>760.58010000000002</v>
      </c>
      <c r="D1089" s="1">
        <v>123.09</v>
      </c>
      <c r="E1089" s="1">
        <f t="shared" si="110"/>
        <v>-1.4915015482570418E-2</v>
      </c>
      <c r="F1089" s="1">
        <f t="shared" si="111"/>
        <v>-9.3697025660393288E-3</v>
      </c>
      <c r="G1089" s="1">
        <f t="shared" si="112"/>
        <v>-9.8626506814196921E-3</v>
      </c>
      <c r="P1089" s="39">
        <f t="shared" si="113"/>
        <v>318.12785860386452</v>
      </c>
      <c r="Q1089" s="26">
        <f t="shared" si="114"/>
        <v>-3.0687926345273127</v>
      </c>
      <c r="R1089" s="26">
        <f t="shared" si="115"/>
        <v>3.0687926345273127</v>
      </c>
    </row>
    <row r="1090" spans="1:18" x14ac:dyDescent="0.3">
      <c r="A1090" s="2">
        <v>42583</v>
      </c>
      <c r="B1090" s="1">
        <v>26.512499999999999</v>
      </c>
      <c r="C1090" s="1">
        <v>767.74</v>
      </c>
      <c r="D1090" s="1">
        <v>124.31</v>
      </c>
      <c r="E1090" s="1">
        <f t="shared" si="110"/>
        <v>1.7502587006355461E-2</v>
      </c>
      <c r="F1090" s="1">
        <f t="shared" si="111"/>
        <v>1.169958570031563E-2</v>
      </c>
      <c r="G1090" s="1">
        <f t="shared" si="112"/>
        <v>2.9808682696626436E-3</v>
      </c>
      <c r="P1090" s="39">
        <f t="shared" si="113"/>
        <v>321.19665123839184</v>
      </c>
      <c r="Q1090" s="26">
        <f t="shared" si="114"/>
        <v>3.5656297018471719</v>
      </c>
      <c r="R1090" s="26">
        <f t="shared" si="115"/>
        <v>-3.5656297018471719</v>
      </c>
    </row>
    <row r="1091" spans="1:18" x14ac:dyDescent="0.3">
      <c r="A1091" s="2">
        <v>42580</v>
      </c>
      <c r="B1091" s="1">
        <v>26.052499999999998</v>
      </c>
      <c r="C1091" s="1">
        <v>758.81010000000003</v>
      </c>
      <c r="D1091" s="1">
        <v>123.94</v>
      </c>
      <c r="E1091" s="1">
        <f t="shared" si="110"/>
        <v>-1.2467035899106247E-3</v>
      </c>
      <c r="F1091" s="1">
        <f t="shared" si="111"/>
        <v>8.2042502497330048E-3</v>
      </c>
      <c r="G1091" s="1">
        <f t="shared" si="112"/>
        <v>-8.5161597683397414E-3</v>
      </c>
      <c r="P1091" s="39">
        <f t="shared" si="113"/>
        <v>317.63102153654467</v>
      </c>
      <c r="Q1091" s="26">
        <f t="shared" si="114"/>
        <v>2.0444300515488294</v>
      </c>
      <c r="R1091" s="26">
        <f t="shared" si="115"/>
        <v>-2.0444300515488294</v>
      </c>
    </row>
    <row r="1092" spans="1:18" x14ac:dyDescent="0.3">
      <c r="A1092" s="2">
        <v>42579</v>
      </c>
      <c r="B1092" s="1">
        <v>26.085000000000001</v>
      </c>
      <c r="C1092" s="1">
        <v>752.61009999999999</v>
      </c>
      <c r="D1092" s="1">
        <v>125</v>
      </c>
      <c r="E1092" s="1">
        <f t="shared" si="110"/>
        <v>1.3411364120448282E-2</v>
      </c>
      <c r="F1092" s="1">
        <f t="shared" si="111"/>
        <v>2.1407403238462075E-2</v>
      </c>
      <c r="G1092" s="1">
        <f t="shared" si="112"/>
        <v>1.3368967738954254E-2</v>
      </c>
      <c r="P1092" s="39">
        <f t="shared" si="113"/>
        <v>315.58659148499584</v>
      </c>
      <c r="Q1092" s="26">
        <f t="shared" si="114"/>
        <v>6.3851634863085565</v>
      </c>
      <c r="R1092" s="26">
        <f t="shared" si="115"/>
        <v>-6.3851634863085565</v>
      </c>
    </row>
    <row r="1093" spans="1:18" x14ac:dyDescent="0.3">
      <c r="A1093" s="2">
        <v>42578</v>
      </c>
      <c r="B1093" s="1">
        <v>25.737500000000001</v>
      </c>
      <c r="C1093" s="1">
        <v>736.66989999999998</v>
      </c>
      <c r="D1093" s="1">
        <v>123.34</v>
      </c>
      <c r="E1093" s="1">
        <f t="shared" si="110"/>
        <v>6.2940316997284321E-2</v>
      </c>
      <c r="F1093" s="1">
        <f t="shared" si="111"/>
        <v>1.4668607360320571E-3</v>
      </c>
      <c r="G1093" s="1">
        <f t="shared" si="112"/>
        <v>1.7337693040207873E-2</v>
      </c>
      <c r="P1093" s="39">
        <f t="shared" si="113"/>
        <v>309.20142799868728</v>
      </c>
      <c r="Q1093" s="26">
        <f t="shared" si="114"/>
        <v>1.5083228373712814</v>
      </c>
      <c r="R1093" s="26">
        <f t="shared" si="115"/>
        <v>-1.5083228373712814</v>
      </c>
    </row>
    <row r="1094" spans="1:18" x14ac:dyDescent="0.3">
      <c r="A1094" s="2">
        <v>42577</v>
      </c>
      <c r="B1094" s="1">
        <v>24.1675</v>
      </c>
      <c r="C1094" s="1">
        <v>735.59010000000001</v>
      </c>
      <c r="D1094" s="1">
        <v>121.22</v>
      </c>
      <c r="E1094" s="1">
        <f t="shared" ref="E1094:E1157" si="116">LN(B1094/B1095)</f>
        <v>-6.9068879287942165E-3</v>
      </c>
      <c r="F1094" s="1">
        <f t="shared" ref="F1094:F1157" si="117">LN(C1094/C1095)</f>
        <v>-5.4501212117177627E-3</v>
      </c>
      <c r="G1094" s="1">
        <f t="shared" ref="G1094:G1157" si="118">LN(D1094/D1095)</f>
        <v>-3.3765731072060269E-3</v>
      </c>
      <c r="P1094" s="39">
        <f t="shared" ref="P1094:P1157" si="119">B1094*$J$13+C1094*$J$14+D1094*$J$15</f>
        <v>307.693105161316</v>
      </c>
      <c r="Q1094" s="26">
        <f t="shared" ref="Q1094:Q1157" si="120">P1094-P1095</f>
        <v>-1.6415072253684002</v>
      </c>
      <c r="R1094" s="26">
        <f t="shared" ref="R1094:R1157" si="121">-Q1094</f>
        <v>1.6415072253684002</v>
      </c>
    </row>
    <row r="1095" spans="1:18" x14ac:dyDescent="0.3">
      <c r="A1095" s="2">
        <v>42576</v>
      </c>
      <c r="B1095" s="1">
        <v>24.335000000000001</v>
      </c>
      <c r="C1095" s="1">
        <v>739.61009999999999</v>
      </c>
      <c r="D1095" s="1">
        <v>121.63</v>
      </c>
      <c r="E1095" s="1">
        <f t="shared" si="116"/>
        <v>-1.3469591400283898E-2</v>
      </c>
      <c r="F1095" s="1">
        <f t="shared" si="117"/>
        <v>-7.0732600607916161E-3</v>
      </c>
      <c r="G1095" s="1">
        <f t="shared" si="118"/>
        <v>5.1931040336038329E-3</v>
      </c>
      <c r="P1095" s="39">
        <f t="shared" si="119"/>
        <v>309.3346123866844</v>
      </c>
      <c r="Q1095" s="26">
        <f t="shared" si="120"/>
        <v>-1.937285798491132</v>
      </c>
      <c r="R1095" s="26">
        <f t="shared" si="121"/>
        <v>1.937285798491132</v>
      </c>
    </row>
    <row r="1096" spans="1:18" x14ac:dyDescent="0.3">
      <c r="A1096" s="2">
        <v>42573</v>
      </c>
      <c r="B1096" s="1">
        <v>24.664999999999999</v>
      </c>
      <c r="C1096" s="1">
        <v>744.86009999999999</v>
      </c>
      <c r="D1096" s="1">
        <v>121</v>
      </c>
      <c r="E1096" s="1">
        <f t="shared" si="116"/>
        <v>-7.7742831863901784E-3</v>
      </c>
      <c r="F1096" s="1">
        <f t="shared" si="117"/>
        <v>5.777249722559956E-4</v>
      </c>
      <c r="G1096" s="1">
        <f t="shared" si="118"/>
        <v>3.2283460015896043E-3</v>
      </c>
      <c r="P1096" s="39">
        <f t="shared" si="119"/>
        <v>311.27189818517553</v>
      </c>
      <c r="Q1096" s="26">
        <f t="shared" si="120"/>
        <v>0.16349200671481867</v>
      </c>
      <c r="R1096" s="26">
        <f t="shared" si="121"/>
        <v>-0.16349200671481867</v>
      </c>
    </row>
    <row r="1097" spans="1:18" x14ac:dyDescent="0.3">
      <c r="A1097" s="2">
        <v>42572</v>
      </c>
      <c r="B1097" s="1">
        <v>24.857500000000002</v>
      </c>
      <c r="C1097" s="1">
        <v>744.42989999999998</v>
      </c>
      <c r="D1097" s="1">
        <v>120.61</v>
      </c>
      <c r="E1097" s="1">
        <f t="shared" si="116"/>
        <v>-5.316226974769335E-3</v>
      </c>
      <c r="F1097" s="1">
        <f t="shared" si="117"/>
        <v>-1.7315040887114302E-3</v>
      </c>
      <c r="G1097" s="1">
        <f t="shared" si="118"/>
        <v>-1.0802892343184585E-2</v>
      </c>
      <c r="P1097" s="39">
        <f t="shared" si="119"/>
        <v>311.10840617846071</v>
      </c>
      <c r="Q1097" s="26">
        <f t="shared" si="120"/>
        <v>-0.81479740217247354</v>
      </c>
      <c r="R1097" s="26">
        <f t="shared" si="121"/>
        <v>0.81479740217247354</v>
      </c>
    </row>
    <row r="1098" spans="1:18" x14ac:dyDescent="0.3">
      <c r="A1098" s="2">
        <v>42571</v>
      </c>
      <c r="B1098" s="1">
        <v>24.99</v>
      </c>
      <c r="C1098" s="1">
        <v>745.72</v>
      </c>
      <c r="D1098" s="1">
        <v>121.92</v>
      </c>
      <c r="E1098" s="1">
        <f t="shared" si="116"/>
        <v>9.007657117083525E-4</v>
      </c>
      <c r="F1098" s="1">
        <f t="shared" si="117"/>
        <v>7.7675782794038853E-3</v>
      </c>
      <c r="G1098" s="1">
        <f t="shared" si="118"/>
        <v>1.0802892343184524E-2</v>
      </c>
      <c r="P1098" s="39">
        <f t="shared" si="119"/>
        <v>311.92320358063319</v>
      </c>
      <c r="Q1098" s="26">
        <f t="shared" si="120"/>
        <v>2.4221683043002713</v>
      </c>
      <c r="R1098" s="26">
        <f t="shared" si="121"/>
        <v>-2.4221683043002713</v>
      </c>
    </row>
    <row r="1099" spans="1:18" x14ac:dyDescent="0.3">
      <c r="A1099" s="2">
        <v>42570</v>
      </c>
      <c r="B1099" s="1">
        <v>24.967500000000001</v>
      </c>
      <c r="C1099" s="1">
        <v>739.95</v>
      </c>
      <c r="D1099" s="1">
        <v>120.61</v>
      </c>
      <c r="E1099" s="1">
        <f t="shared" si="116"/>
        <v>4.0060090670953914E-4</v>
      </c>
      <c r="F1099" s="1">
        <f t="shared" si="117"/>
        <v>5.2572575892390521E-3</v>
      </c>
      <c r="G1099" s="1">
        <f t="shared" si="118"/>
        <v>1.0334286488204586E-2</v>
      </c>
      <c r="P1099" s="39">
        <f t="shared" si="119"/>
        <v>309.50103527633291</v>
      </c>
      <c r="Q1099" s="26">
        <f t="shared" si="120"/>
        <v>1.7044304455704378</v>
      </c>
      <c r="R1099" s="26">
        <f t="shared" si="121"/>
        <v>-1.7044304455704378</v>
      </c>
    </row>
    <row r="1100" spans="1:18" x14ac:dyDescent="0.3">
      <c r="A1100" s="2">
        <v>42569</v>
      </c>
      <c r="B1100" s="1">
        <v>24.9575</v>
      </c>
      <c r="C1100" s="1">
        <v>736.07010000000002</v>
      </c>
      <c r="D1100" s="1">
        <v>119.37</v>
      </c>
      <c r="E1100" s="1">
        <f t="shared" si="116"/>
        <v>1.0573584235855006E-2</v>
      </c>
      <c r="F1100" s="1">
        <f t="shared" si="117"/>
        <v>8.565351761510979E-4</v>
      </c>
      <c r="G1100" s="1">
        <f t="shared" si="118"/>
        <v>2.1251275980655935E-2</v>
      </c>
      <c r="P1100" s="39">
        <f t="shared" si="119"/>
        <v>307.79660483076248</v>
      </c>
      <c r="Q1100" s="26">
        <f t="shared" si="120"/>
        <v>0.8852303829848438</v>
      </c>
      <c r="R1100" s="26">
        <f t="shared" si="121"/>
        <v>-0.8852303829848438</v>
      </c>
    </row>
    <row r="1101" spans="1:18" x14ac:dyDescent="0.3">
      <c r="A1101" s="2">
        <v>42566</v>
      </c>
      <c r="B1101" s="1">
        <v>24.695</v>
      </c>
      <c r="C1101" s="1">
        <v>735.43989999999997</v>
      </c>
      <c r="D1101" s="1">
        <v>116.86</v>
      </c>
      <c r="E1101" s="1">
        <f t="shared" si="116"/>
        <v>-1.0122994390392363E-4</v>
      </c>
      <c r="F1101" s="1">
        <f t="shared" si="117"/>
        <v>-7.8016708287378684E-3</v>
      </c>
      <c r="G1101" s="1">
        <f t="shared" si="118"/>
        <v>-3.6728634071227918E-3</v>
      </c>
      <c r="P1101" s="39">
        <f t="shared" si="119"/>
        <v>306.91137444777763</v>
      </c>
      <c r="Q1101" s="26">
        <f t="shared" si="120"/>
        <v>-2.219522528994446</v>
      </c>
      <c r="R1101" s="26">
        <f t="shared" si="121"/>
        <v>2.219522528994446</v>
      </c>
    </row>
    <row r="1102" spans="1:18" x14ac:dyDescent="0.3">
      <c r="A1102" s="2">
        <v>42565</v>
      </c>
      <c r="B1102" s="1">
        <v>24.697500000000002</v>
      </c>
      <c r="C1102" s="1">
        <v>741.2</v>
      </c>
      <c r="D1102" s="1">
        <v>117.29</v>
      </c>
      <c r="E1102" s="1">
        <f t="shared" si="116"/>
        <v>1.9626511618089013E-2</v>
      </c>
      <c r="F1102" s="1">
        <f t="shared" si="117"/>
        <v>-1.9273104587212559E-3</v>
      </c>
      <c r="G1102" s="1">
        <f t="shared" si="118"/>
        <v>4.357677678022134E-3</v>
      </c>
      <c r="P1102" s="39">
        <f t="shared" si="119"/>
        <v>309.13089697677208</v>
      </c>
      <c r="Q1102" s="26">
        <f t="shared" si="120"/>
        <v>-0.21819326514844306</v>
      </c>
      <c r="R1102" s="26">
        <f t="shared" si="121"/>
        <v>0.21819326514844306</v>
      </c>
    </row>
    <row r="1103" spans="1:18" x14ac:dyDescent="0.3">
      <c r="A1103" s="2">
        <v>42564</v>
      </c>
      <c r="B1103" s="1">
        <v>24.217500000000001</v>
      </c>
      <c r="C1103" s="1">
        <v>742.62990000000002</v>
      </c>
      <c r="D1103" s="1">
        <v>116.78</v>
      </c>
      <c r="E1103" s="1">
        <f t="shared" si="116"/>
        <v>-5.6616549401030556E-3</v>
      </c>
      <c r="F1103" s="1">
        <f t="shared" si="117"/>
        <v>-7.4858823651216648E-3</v>
      </c>
      <c r="G1103" s="1">
        <f t="shared" si="118"/>
        <v>-9.7994052464871421E-3</v>
      </c>
      <c r="P1103" s="39">
        <f t="shared" si="119"/>
        <v>309.34909024192052</v>
      </c>
      <c r="Q1103" s="26">
        <f t="shared" si="120"/>
        <v>-2.3650737243414142</v>
      </c>
      <c r="R1103" s="26">
        <f t="shared" si="121"/>
        <v>2.3650737243414142</v>
      </c>
    </row>
    <row r="1104" spans="1:18" x14ac:dyDescent="0.3">
      <c r="A1104" s="2">
        <v>42563</v>
      </c>
      <c r="B1104" s="1">
        <v>24.355</v>
      </c>
      <c r="C1104" s="1">
        <v>748.21</v>
      </c>
      <c r="D1104" s="1">
        <v>117.93</v>
      </c>
      <c r="E1104" s="1">
        <f t="shared" si="116"/>
        <v>4.5267567011902836E-3</v>
      </c>
      <c r="F1104" s="1">
        <f t="shared" si="117"/>
        <v>-7.4168610093338768E-3</v>
      </c>
      <c r="G1104" s="1">
        <f t="shared" si="118"/>
        <v>5.0890586340066805E-4</v>
      </c>
      <c r="P1104" s="39">
        <f t="shared" si="119"/>
        <v>311.71416396626194</v>
      </c>
      <c r="Q1104" s="26">
        <f t="shared" si="120"/>
        <v>-1.9965817045561494</v>
      </c>
      <c r="R1104" s="26">
        <f t="shared" si="121"/>
        <v>1.9965817045561494</v>
      </c>
    </row>
    <row r="1105" spans="1:18" x14ac:dyDescent="0.3">
      <c r="A1105" s="2">
        <v>42562</v>
      </c>
      <c r="B1105" s="1">
        <v>24.245000000000001</v>
      </c>
      <c r="C1105" s="1">
        <v>753.78</v>
      </c>
      <c r="D1105" s="1">
        <v>117.87</v>
      </c>
      <c r="E1105" s="1">
        <f t="shared" si="116"/>
        <v>3.0982158419239209E-3</v>
      </c>
      <c r="F1105" s="1">
        <f t="shared" si="117"/>
        <v>1.0629538086666817E-2</v>
      </c>
      <c r="G1105" s="1">
        <f t="shared" si="118"/>
        <v>5.3592063957865026E-3</v>
      </c>
      <c r="P1105" s="39">
        <f t="shared" si="119"/>
        <v>313.71074567081808</v>
      </c>
      <c r="Q1105" s="26">
        <f t="shared" si="120"/>
        <v>3.1082515805348407</v>
      </c>
      <c r="R1105" s="26">
        <f t="shared" si="121"/>
        <v>-3.1082515805348407</v>
      </c>
    </row>
    <row r="1106" spans="1:18" x14ac:dyDescent="0.3">
      <c r="A1106" s="2">
        <v>42559</v>
      </c>
      <c r="B1106" s="1">
        <v>24.17</v>
      </c>
      <c r="C1106" s="1">
        <v>745.81010000000003</v>
      </c>
      <c r="D1106" s="1">
        <v>117.24</v>
      </c>
      <c r="E1106" s="1">
        <f t="shared" si="116"/>
        <v>7.6835597613645161E-3</v>
      </c>
      <c r="F1106" s="1">
        <f t="shared" si="117"/>
        <v>1.2466598879393368E-2</v>
      </c>
      <c r="G1106" s="1">
        <f t="shared" si="118"/>
        <v>1.1926864964306425E-2</v>
      </c>
      <c r="P1106" s="39">
        <f t="shared" si="119"/>
        <v>310.60249409028324</v>
      </c>
      <c r="Q1106" s="26">
        <f t="shared" si="120"/>
        <v>3.7871557979000272</v>
      </c>
      <c r="R1106" s="26">
        <f t="shared" si="121"/>
        <v>-3.7871557979000272</v>
      </c>
    </row>
    <row r="1107" spans="1:18" x14ac:dyDescent="0.3">
      <c r="A1107" s="2">
        <v>42558</v>
      </c>
      <c r="B1107" s="1">
        <v>23.984999999999999</v>
      </c>
      <c r="C1107" s="1">
        <v>736.57010000000002</v>
      </c>
      <c r="D1107" s="1">
        <v>115.85</v>
      </c>
      <c r="E1107" s="1">
        <f t="shared" si="116"/>
        <v>4.2826617920007281E-3</v>
      </c>
      <c r="F1107" s="1">
        <f t="shared" si="117"/>
        <v>-1.410953928882158E-3</v>
      </c>
      <c r="G1107" s="1">
        <f t="shared" si="118"/>
        <v>-7.310288414125142E-3</v>
      </c>
      <c r="P1107" s="39">
        <f t="shared" si="119"/>
        <v>306.81533829238322</v>
      </c>
      <c r="Q1107" s="26">
        <f t="shared" si="120"/>
        <v>-0.52546575241478877</v>
      </c>
      <c r="R1107" s="26">
        <f t="shared" si="121"/>
        <v>0.52546575241478877</v>
      </c>
    </row>
    <row r="1108" spans="1:18" x14ac:dyDescent="0.3">
      <c r="A1108" s="2">
        <v>42557</v>
      </c>
      <c r="B1108" s="1">
        <v>23.8825</v>
      </c>
      <c r="C1108" s="1">
        <v>737.61009999999999</v>
      </c>
      <c r="D1108" s="1">
        <v>116.7</v>
      </c>
      <c r="E1108" s="1">
        <f t="shared" si="116"/>
        <v>5.6687113798260681E-3</v>
      </c>
      <c r="F1108" s="1">
        <f t="shared" si="117"/>
        <v>1.2976826462775906E-2</v>
      </c>
      <c r="G1108" s="1">
        <f t="shared" si="118"/>
        <v>2.3408090898014804E-2</v>
      </c>
      <c r="P1108" s="39">
        <f t="shared" si="119"/>
        <v>307.34080404479801</v>
      </c>
      <c r="Q1108" s="26">
        <f t="shared" si="120"/>
        <v>4.1499543937022736</v>
      </c>
      <c r="R1108" s="26">
        <f t="shared" si="121"/>
        <v>-4.1499543937022736</v>
      </c>
    </row>
    <row r="1109" spans="1:18" x14ac:dyDescent="0.3">
      <c r="A1109" s="2">
        <v>42556</v>
      </c>
      <c r="B1109" s="1">
        <v>23.747499999999999</v>
      </c>
      <c r="C1109" s="1">
        <v>728.1001</v>
      </c>
      <c r="D1109" s="1">
        <v>114</v>
      </c>
      <c r="E1109" s="1">
        <f t="shared" si="116"/>
        <v>-9.4300782634987503E-3</v>
      </c>
      <c r="F1109" s="1">
        <f t="shared" si="117"/>
        <v>3.329530239534259E-3</v>
      </c>
      <c r="G1109" s="1">
        <f t="shared" si="118"/>
        <v>-1.6652793190612089E-3</v>
      </c>
      <c r="P1109" s="39">
        <f t="shared" si="119"/>
        <v>303.19084965109573</v>
      </c>
      <c r="Q1109" s="26">
        <f t="shared" si="120"/>
        <v>0.75858273678483101</v>
      </c>
      <c r="R1109" s="26">
        <f t="shared" si="121"/>
        <v>-0.75858273678483101</v>
      </c>
    </row>
    <row r="1110" spans="1:18" x14ac:dyDescent="0.3">
      <c r="A1110" s="2">
        <v>42555</v>
      </c>
      <c r="B1110" s="1">
        <v>23.9725</v>
      </c>
      <c r="C1110" s="1">
        <v>725.67989999999998</v>
      </c>
      <c r="D1110" s="1">
        <v>114.19</v>
      </c>
      <c r="E1110" s="1">
        <f t="shared" si="116"/>
        <v>0</v>
      </c>
      <c r="F1110" s="1">
        <f t="shared" si="117"/>
        <v>0</v>
      </c>
      <c r="G1110" s="1">
        <f t="shared" si="118"/>
        <v>0</v>
      </c>
      <c r="P1110" s="39">
        <f t="shared" si="119"/>
        <v>302.4322669143109</v>
      </c>
      <c r="Q1110" s="26">
        <f t="shared" si="120"/>
        <v>0</v>
      </c>
      <c r="R1110" s="26">
        <f t="shared" si="121"/>
        <v>0</v>
      </c>
    </row>
    <row r="1111" spans="1:18" x14ac:dyDescent="0.3">
      <c r="A1111" s="2">
        <v>42552</v>
      </c>
      <c r="B1111" s="1">
        <v>23.9725</v>
      </c>
      <c r="C1111" s="1">
        <v>725.67989999999998</v>
      </c>
      <c r="D1111" s="1">
        <v>114.19</v>
      </c>
      <c r="E1111" s="1">
        <f t="shared" si="116"/>
        <v>3.028881108234357E-3</v>
      </c>
      <c r="F1111" s="1">
        <f t="shared" si="117"/>
        <v>1.3959568947302738E-2</v>
      </c>
      <c r="G1111" s="1">
        <f t="shared" si="118"/>
        <v>-7.8784964901565206E-4</v>
      </c>
      <c r="P1111" s="39">
        <f t="shared" si="119"/>
        <v>302.4322669143109</v>
      </c>
      <c r="Q1111" s="26">
        <f t="shared" si="120"/>
        <v>3.7222922214458549</v>
      </c>
      <c r="R1111" s="26">
        <f t="shared" si="121"/>
        <v>-3.7222922214458549</v>
      </c>
    </row>
    <row r="1112" spans="1:18" x14ac:dyDescent="0.3">
      <c r="A1112" s="2">
        <v>42551</v>
      </c>
      <c r="B1112" s="1">
        <v>23.9</v>
      </c>
      <c r="C1112" s="1">
        <v>715.62009999999998</v>
      </c>
      <c r="D1112" s="1">
        <v>114.28</v>
      </c>
      <c r="E1112" s="1">
        <f t="shared" si="116"/>
        <v>1.2631746905900564E-2</v>
      </c>
      <c r="F1112" s="1">
        <f t="shared" si="117"/>
        <v>2.7948180163058935E-5</v>
      </c>
      <c r="G1112" s="1">
        <f t="shared" si="118"/>
        <v>1.0506041939913687E-3</v>
      </c>
      <c r="P1112" s="39">
        <f t="shared" si="119"/>
        <v>298.70997469286505</v>
      </c>
      <c r="Q1112" s="26">
        <f t="shared" si="120"/>
        <v>0.15768040279687057</v>
      </c>
      <c r="R1112" s="26">
        <f t="shared" si="121"/>
        <v>-0.15768040279687057</v>
      </c>
    </row>
    <row r="1113" spans="1:18" x14ac:dyDescent="0.3">
      <c r="A1113" s="2">
        <v>42550</v>
      </c>
      <c r="B1113" s="1">
        <v>23.6</v>
      </c>
      <c r="C1113" s="1">
        <v>715.6001</v>
      </c>
      <c r="D1113" s="1">
        <v>114.16</v>
      </c>
      <c r="E1113" s="1">
        <f t="shared" si="116"/>
        <v>8.6175329822899237E-3</v>
      </c>
      <c r="F1113" s="1">
        <f t="shared" si="117"/>
        <v>1.0748021646447618E-2</v>
      </c>
      <c r="G1113" s="1">
        <f t="shared" si="118"/>
        <v>1.2871552122850237E-2</v>
      </c>
      <c r="P1113" s="39">
        <f t="shared" si="119"/>
        <v>298.55229429006818</v>
      </c>
      <c r="Q1113" s="26">
        <f t="shared" si="120"/>
        <v>3.222951792657625</v>
      </c>
      <c r="R1113" s="26">
        <f t="shared" si="121"/>
        <v>-3.222951792657625</v>
      </c>
    </row>
    <row r="1114" spans="1:18" x14ac:dyDescent="0.3">
      <c r="A1114" s="2">
        <v>42549</v>
      </c>
      <c r="B1114" s="1">
        <v>23.397500000000001</v>
      </c>
      <c r="C1114" s="1">
        <v>707.95</v>
      </c>
      <c r="D1114" s="1">
        <v>112.7</v>
      </c>
      <c r="E1114" s="1">
        <f t="shared" si="116"/>
        <v>1.6700275001999953E-2</v>
      </c>
      <c r="F1114" s="1">
        <f t="shared" si="117"/>
        <v>2.3712652904923408E-2</v>
      </c>
      <c r="G1114" s="1">
        <f t="shared" si="118"/>
        <v>3.3656806056935898E-2</v>
      </c>
      <c r="P1114" s="39">
        <f t="shared" si="119"/>
        <v>295.32934249741055</v>
      </c>
      <c r="Q1114" s="26">
        <f t="shared" si="120"/>
        <v>7.0900495885982195</v>
      </c>
      <c r="R1114" s="26">
        <f t="shared" si="121"/>
        <v>-7.0900495885982195</v>
      </c>
    </row>
    <row r="1115" spans="1:18" x14ac:dyDescent="0.3">
      <c r="A1115" s="2">
        <v>42548</v>
      </c>
      <c r="B1115" s="1">
        <v>23.01</v>
      </c>
      <c r="C1115" s="1">
        <v>691.36009999999999</v>
      </c>
      <c r="D1115" s="1">
        <v>108.97</v>
      </c>
      <c r="E1115" s="1">
        <f t="shared" si="116"/>
        <v>-1.4668080067631806E-2</v>
      </c>
      <c r="F1115" s="1">
        <f t="shared" si="117"/>
        <v>-1.0932699163782773E-2</v>
      </c>
      <c r="G1115" s="1">
        <f t="shared" si="118"/>
        <v>-2.8140287039956777E-2</v>
      </c>
      <c r="P1115" s="39">
        <f t="shared" si="119"/>
        <v>288.23929290881233</v>
      </c>
      <c r="Q1115" s="26">
        <f t="shared" si="120"/>
        <v>-3.6189732203076233</v>
      </c>
      <c r="R1115" s="26">
        <f t="shared" si="121"/>
        <v>3.6189732203076233</v>
      </c>
    </row>
    <row r="1116" spans="1:18" x14ac:dyDescent="0.3">
      <c r="A1116" s="2">
        <v>42545</v>
      </c>
      <c r="B1116" s="1">
        <v>23.35</v>
      </c>
      <c r="C1116" s="1">
        <v>698.96</v>
      </c>
      <c r="D1116" s="1">
        <v>112.08</v>
      </c>
      <c r="E1116" s="1">
        <f t="shared" si="116"/>
        <v>-2.8497970741449767E-2</v>
      </c>
      <c r="F1116" s="1">
        <f t="shared" si="117"/>
        <v>-3.2542558577652356E-2</v>
      </c>
      <c r="G1116" s="1">
        <f t="shared" si="118"/>
        <v>-2.6414636654595567E-2</v>
      </c>
      <c r="P1116" s="39">
        <f t="shared" si="119"/>
        <v>291.85826612911995</v>
      </c>
      <c r="Q1116" s="26">
        <f t="shared" si="120"/>
        <v>-9.4604102484010468</v>
      </c>
      <c r="R1116" s="26">
        <f t="shared" si="121"/>
        <v>9.4604102484010468</v>
      </c>
    </row>
    <row r="1117" spans="1:18" x14ac:dyDescent="0.3">
      <c r="A1117" s="2">
        <v>42544</v>
      </c>
      <c r="B1117" s="1">
        <v>24.024999999999999</v>
      </c>
      <c r="C1117" s="1">
        <v>722.08010000000002</v>
      </c>
      <c r="D1117" s="1">
        <v>115.08</v>
      </c>
      <c r="E1117" s="1">
        <f t="shared" si="116"/>
        <v>5.7396452899648375E-3</v>
      </c>
      <c r="F1117" s="1">
        <f t="shared" si="117"/>
        <v>1.6026250254427919E-2</v>
      </c>
      <c r="G1117" s="1">
        <f t="shared" si="118"/>
        <v>1.0218875771526598E-2</v>
      </c>
      <c r="P1117" s="39">
        <f t="shared" si="119"/>
        <v>301.318676377521</v>
      </c>
      <c r="Q1117" s="26">
        <f t="shared" si="120"/>
        <v>4.5462904348608504</v>
      </c>
      <c r="R1117" s="26">
        <f t="shared" si="121"/>
        <v>-4.5462904348608504</v>
      </c>
    </row>
    <row r="1118" spans="1:18" x14ac:dyDescent="0.3">
      <c r="A1118" s="2">
        <v>42543</v>
      </c>
      <c r="B1118" s="1">
        <v>23.887499999999999</v>
      </c>
      <c r="C1118" s="1">
        <v>710.6001</v>
      </c>
      <c r="D1118" s="1">
        <v>113.91</v>
      </c>
      <c r="E1118" s="1">
        <f t="shared" si="116"/>
        <v>-3.7605810535777133E-3</v>
      </c>
      <c r="F1118" s="1">
        <f t="shared" si="117"/>
        <v>-7.3190540940175726E-3</v>
      </c>
      <c r="G1118" s="1">
        <f t="shared" si="118"/>
        <v>-4.117575575349447E-3</v>
      </c>
      <c r="P1118" s="39">
        <f t="shared" si="119"/>
        <v>296.77238594266015</v>
      </c>
      <c r="Q1118" s="26">
        <f t="shared" si="120"/>
        <v>-2.0651635209669621</v>
      </c>
      <c r="R1118" s="26">
        <f t="shared" si="121"/>
        <v>2.0651635209669621</v>
      </c>
    </row>
    <row r="1119" spans="1:18" x14ac:dyDescent="0.3">
      <c r="A1119" s="2">
        <v>42542</v>
      </c>
      <c r="B1119" s="1">
        <v>23.977499999999999</v>
      </c>
      <c r="C1119" s="1">
        <v>715.82010000000002</v>
      </c>
      <c r="D1119" s="1">
        <v>114.38</v>
      </c>
      <c r="E1119" s="1">
        <f t="shared" si="116"/>
        <v>8.4812821885151407E-3</v>
      </c>
      <c r="F1119" s="1">
        <f t="shared" si="117"/>
        <v>2.5319105633335101E-3</v>
      </c>
      <c r="G1119" s="1">
        <f t="shared" si="118"/>
        <v>8.8694324576627757E-3</v>
      </c>
      <c r="P1119" s="39">
        <f t="shared" si="119"/>
        <v>298.83754946362711</v>
      </c>
      <c r="Q1119" s="26">
        <f t="shared" si="120"/>
        <v>0.97065016520491554</v>
      </c>
      <c r="R1119" s="26">
        <f t="shared" si="121"/>
        <v>-0.97065016520491554</v>
      </c>
    </row>
    <row r="1120" spans="1:18" x14ac:dyDescent="0.3">
      <c r="A1120" s="2">
        <v>42541</v>
      </c>
      <c r="B1120" s="1">
        <v>23.774999999999999</v>
      </c>
      <c r="C1120" s="1">
        <v>714.01</v>
      </c>
      <c r="D1120" s="1">
        <v>113.37</v>
      </c>
      <c r="E1120" s="1">
        <f t="shared" si="116"/>
        <v>-2.4155869541422023E-3</v>
      </c>
      <c r="F1120" s="1">
        <f t="shared" si="117"/>
        <v>1.0729616504457333E-2</v>
      </c>
      <c r="G1120" s="1">
        <f t="shared" si="118"/>
        <v>3.092011827810162E-3</v>
      </c>
      <c r="P1120" s="39">
        <f t="shared" si="119"/>
        <v>297.8668992984222</v>
      </c>
      <c r="Q1120" s="26">
        <f t="shared" si="120"/>
        <v>2.8636095054584416</v>
      </c>
      <c r="R1120" s="26">
        <f t="shared" si="121"/>
        <v>-2.8636095054584416</v>
      </c>
    </row>
    <row r="1121" spans="1:18" x14ac:dyDescent="0.3">
      <c r="A1121" s="2">
        <v>42538</v>
      </c>
      <c r="B1121" s="1">
        <v>23.8325</v>
      </c>
      <c r="C1121" s="1">
        <v>706.38990000000001</v>
      </c>
      <c r="D1121" s="1">
        <v>113.02</v>
      </c>
      <c r="E1121" s="1">
        <f t="shared" si="116"/>
        <v>-2.3020510563633398E-2</v>
      </c>
      <c r="F1121" s="1">
        <f t="shared" si="117"/>
        <v>-1.5619533479592718E-2</v>
      </c>
      <c r="G1121" s="1">
        <f t="shared" si="118"/>
        <v>-1.2048868335884859E-2</v>
      </c>
      <c r="P1121" s="39">
        <f t="shared" si="119"/>
        <v>295.00328979296376</v>
      </c>
      <c r="Q1121" s="26">
        <f t="shared" si="120"/>
        <v>-4.6298187639803245</v>
      </c>
      <c r="R1121" s="26">
        <f t="shared" si="121"/>
        <v>4.6298187639803245</v>
      </c>
    </row>
    <row r="1122" spans="1:18" x14ac:dyDescent="0.3">
      <c r="A1122" s="2">
        <v>42537</v>
      </c>
      <c r="B1122" s="1">
        <v>24.387499999999999</v>
      </c>
      <c r="C1122" s="1">
        <v>717.51</v>
      </c>
      <c r="D1122" s="1">
        <v>114.39</v>
      </c>
      <c r="E1122" s="1">
        <f t="shared" si="116"/>
        <v>4.2118301515214254E-3</v>
      </c>
      <c r="F1122" s="1">
        <f t="shared" si="117"/>
        <v>4.5398431059746648E-3</v>
      </c>
      <c r="G1122" s="1">
        <f t="shared" si="118"/>
        <v>-1.8341417430570964E-3</v>
      </c>
      <c r="P1122" s="39">
        <f t="shared" si="119"/>
        <v>299.63310855694408</v>
      </c>
      <c r="Q1122" s="26">
        <f t="shared" si="120"/>
        <v>1.196108619813117</v>
      </c>
      <c r="R1122" s="26">
        <f t="shared" si="121"/>
        <v>-1.196108619813117</v>
      </c>
    </row>
    <row r="1123" spans="1:18" x14ac:dyDescent="0.3">
      <c r="A1123" s="2">
        <v>42536</v>
      </c>
      <c r="B1123" s="1">
        <v>24.285</v>
      </c>
      <c r="C1123" s="1">
        <v>714.26</v>
      </c>
      <c r="D1123" s="1">
        <v>114.6</v>
      </c>
      <c r="E1123" s="1">
        <f t="shared" si="116"/>
        <v>-3.2888004977613215E-3</v>
      </c>
      <c r="F1123" s="1">
        <f t="shared" si="117"/>
        <v>-7.0314751604019319E-3</v>
      </c>
      <c r="G1123" s="1">
        <f t="shared" si="118"/>
        <v>-2.962448798956257E-3</v>
      </c>
      <c r="P1123" s="39">
        <f t="shared" si="119"/>
        <v>298.43699993713096</v>
      </c>
      <c r="Q1123" s="26">
        <f t="shared" si="120"/>
        <v>-1.9664332792336836</v>
      </c>
      <c r="R1123" s="26">
        <f t="shared" si="121"/>
        <v>1.9664332792336836</v>
      </c>
    </row>
    <row r="1124" spans="1:18" x14ac:dyDescent="0.3">
      <c r="A1124" s="2">
        <v>42535</v>
      </c>
      <c r="B1124" s="1">
        <v>24.364999999999998</v>
      </c>
      <c r="C1124" s="1">
        <v>719.3</v>
      </c>
      <c r="D1124" s="1">
        <v>114.94</v>
      </c>
      <c r="E1124" s="1">
        <f t="shared" si="116"/>
        <v>1.2320330100518142E-3</v>
      </c>
      <c r="F1124" s="1">
        <f t="shared" si="117"/>
        <v>5.6603661663082597E-3</v>
      </c>
      <c r="G1124" s="1">
        <f t="shared" si="118"/>
        <v>8.6504973879021306E-3</v>
      </c>
      <c r="P1124" s="39">
        <f t="shared" si="119"/>
        <v>300.40343321636465</v>
      </c>
      <c r="Q1124" s="26">
        <f t="shared" si="120"/>
        <v>1.7249901895013977</v>
      </c>
      <c r="R1124" s="26">
        <f t="shared" si="121"/>
        <v>-1.7249901895013977</v>
      </c>
    </row>
    <row r="1125" spans="1:18" x14ac:dyDescent="0.3">
      <c r="A1125" s="2">
        <v>42534</v>
      </c>
      <c r="B1125" s="1">
        <v>24.335000000000001</v>
      </c>
      <c r="C1125" s="1">
        <v>715.24</v>
      </c>
      <c r="D1125" s="1">
        <v>113.95</v>
      </c>
      <c r="E1125" s="1">
        <f t="shared" si="116"/>
        <v>-1.5191197982784177E-2</v>
      </c>
      <c r="F1125" s="1">
        <f t="shared" si="117"/>
        <v>-3.7259230018301857E-3</v>
      </c>
      <c r="G1125" s="1">
        <f t="shared" si="118"/>
        <v>-2.316103010231672E-2</v>
      </c>
      <c r="P1125" s="39">
        <f t="shared" si="119"/>
        <v>298.67844302686325</v>
      </c>
      <c r="Q1125" s="26">
        <f t="shared" si="120"/>
        <v>-1.7180662062260694</v>
      </c>
      <c r="R1125" s="26">
        <f t="shared" si="121"/>
        <v>1.7180662062260694</v>
      </c>
    </row>
    <row r="1126" spans="1:18" x14ac:dyDescent="0.3">
      <c r="A1126" s="2">
        <v>42531</v>
      </c>
      <c r="B1126" s="1">
        <v>24.7075</v>
      </c>
      <c r="C1126" s="1">
        <v>717.90989999999999</v>
      </c>
      <c r="D1126" s="1">
        <v>116.62</v>
      </c>
      <c r="E1126" s="1">
        <f t="shared" si="116"/>
        <v>-8.2628442707112226E-3</v>
      </c>
      <c r="F1126" s="1">
        <f t="shared" si="117"/>
        <v>-1.3475952221784507E-2</v>
      </c>
      <c r="G1126" s="1">
        <f t="shared" si="118"/>
        <v>-1.649837575376685E-2</v>
      </c>
      <c r="P1126" s="39">
        <f t="shared" si="119"/>
        <v>300.39650923308932</v>
      </c>
      <c r="Q1126" s="26">
        <f t="shared" si="120"/>
        <v>-4.0991184906855551</v>
      </c>
      <c r="R1126" s="26">
        <f t="shared" si="121"/>
        <v>4.0991184906855551</v>
      </c>
    </row>
    <row r="1127" spans="1:18" x14ac:dyDescent="0.3">
      <c r="A1127" s="2">
        <v>42530</v>
      </c>
      <c r="B1127" s="1">
        <v>24.912500000000001</v>
      </c>
      <c r="C1127" s="1">
        <v>727.6499</v>
      </c>
      <c r="D1127" s="1">
        <v>118.56</v>
      </c>
      <c r="E1127" s="1">
        <f t="shared" si="116"/>
        <v>7.1504408592411653E-3</v>
      </c>
      <c r="F1127" s="1">
        <f t="shared" si="117"/>
        <v>1.3889943563974135E-3</v>
      </c>
      <c r="G1127" s="1">
        <f t="shared" si="118"/>
        <v>1.4349021242318772E-3</v>
      </c>
      <c r="P1127" s="39">
        <f t="shared" si="119"/>
        <v>304.49562772377487</v>
      </c>
      <c r="Q1127" s="26">
        <f t="shared" si="120"/>
        <v>0.48304167188899783</v>
      </c>
      <c r="R1127" s="26">
        <f t="shared" si="121"/>
        <v>-0.48304167188899783</v>
      </c>
    </row>
    <row r="1128" spans="1:18" x14ac:dyDescent="0.3">
      <c r="A1128" s="2">
        <v>42529</v>
      </c>
      <c r="B1128" s="1">
        <v>24.734999999999999</v>
      </c>
      <c r="C1128" s="1">
        <v>726.63990000000001</v>
      </c>
      <c r="D1128" s="1">
        <v>118.39</v>
      </c>
      <c r="E1128" s="1">
        <f t="shared" si="116"/>
        <v>-9.0922873364883351E-4</v>
      </c>
      <c r="F1128" s="1">
        <f t="shared" si="117"/>
        <v>3.998819708203186E-3</v>
      </c>
      <c r="G1128" s="1">
        <f t="shared" si="118"/>
        <v>5.3356044429787829E-3</v>
      </c>
      <c r="P1128" s="39">
        <f t="shared" si="119"/>
        <v>304.01258605188588</v>
      </c>
      <c r="Q1128" s="26">
        <f t="shared" si="120"/>
        <v>1.1971807431571619</v>
      </c>
      <c r="R1128" s="26">
        <f t="shared" si="121"/>
        <v>-1.1971807431571619</v>
      </c>
    </row>
    <row r="1129" spans="1:18" x14ac:dyDescent="0.3">
      <c r="A1129" s="2">
        <v>42528</v>
      </c>
      <c r="B1129" s="1">
        <v>24.7575</v>
      </c>
      <c r="C1129" s="1">
        <v>723.74</v>
      </c>
      <c r="D1129" s="1">
        <v>117.76</v>
      </c>
      <c r="E1129" s="1">
        <f t="shared" si="116"/>
        <v>4.047359567309298E-3</v>
      </c>
      <c r="F1129" s="1">
        <f t="shared" si="117"/>
        <v>-4.1228074144510672E-3</v>
      </c>
      <c r="G1129" s="1">
        <f t="shared" si="118"/>
        <v>-8.708573320882193E-3</v>
      </c>
      <c r="P1129" s="39">
        <f t="shared" si="119"/>
        <v>302.81540530872871</v>
      </c>
      <c r="Q1129" s="26">
        <f t="shared" si="120"/>
        <v>-1.2850000175261584</v>
      </c>
      <c r="R1129" s="26">
        <f t="shared" si="121"/>
        <v>1.2850000175261584</v>
      </c>
    </row>
    <row r="1130" spans="1:18" x14ac:dyDescent="0.3">
      <c r="A1130" s="2">
        <v>42527</v>
      </c>
      <c r="B1130" s="1">
        <v>24.657499999999999</v>
      </c>
      <c r="C1130" s="1">
        <v>726.73</v>
      </c>
      <c r="D1130" s="1">
        <v>118.79</v>
      </c>
      <c r="E1130" s="1">
        <f t="shared" si="116"/>
        <v>7.2246562018861218E-3</v>
      </c>
      <c r="F1130" s="1">
        <f t="shared" si="117"/>
        <v>1.638814085993853E-3</v>
      </c>
      <c r="G1130" s="1">
        <f t="shared" si="118"/>
        <v>2.6974643347805788E-3</v>
      </c>
      <c r="P1130" s="39">
        <f t="shared" si="119"/>
        <v>304.10040532625487</v>
      </c>
      <c r="Q1130" s="26">
        <f t="shared" si="120"/>
        <v>0.58196296907118494</v>
      </c>
      <c r="R1130" s="26">
        <f t="shared" si="121"/>
        <v>-0.58196296907118494</v>
      </c>
    </row>
    <row r="1131" spans="1:18" x14ac:dyDescent="0.3">
      <c r="A1131" s="2">
        <v>42524</v>
      </c>
      <c r="B1131" s="1">
        <v>24.48</v>
      </c>
      <c r="C1131" s="1">
        <v>725.54</v>
      </c>
      <c r="D1131" s="1">
        <v>118.47</v>
      </c>
      <c r="E1131" s="1">
        <f t="shared" si="116"/>
        <v>2.0445723744762284E-3</v>
      </c>
      <c r="F1131" s="1">
        <f t="shared" si="117"/>
        <v>-3.7144590025596316E-3</v>
      </c>
      <c r="G1131" s="1">
        <f t="shared" si="118"/>
        <v>-3.8753207724862692E-3</v>
      </c>
      <c r="P1131" s="39">
        <f t="shared" si="119"/>
        <v>303.51844235718369</v>
      </c>
      <c r="Q1131" s="26">
        <f t="shared" si="120"/>
        <v>-1.0751889536962835</v>
      </c>
      <c r="R1131" s="26">
        <f t="shared" si="121"/>
        <v>1.0751889536962835</v>
      </c>
    </row>
    <row r="1132" spans="1:18" x14ac:dyDescent="0.3">
      <c r="A1132" s="2">
        <v>42523</v>
      </c>
      <c r="B1132" s="1">
        <v>24.43</v>
      </c>
      <c r="C1132" s="1">
        <v>728.24</v>
      </c>
      <c r="D1132" s="1">
        <v>118.93</v>
      </c>
      <c r="E1132" s="1">
        <f t="shared" si="116"/>
        <v>-7.544127940514813E-3</v>
      </c>
      <c r="F1132" s="1">
        <f t="shared" si="117"/>
        <v>1.2157671587780696E-2</v>
      </c>
      <c r="G1132" s="1">
        <f t="shared" si="118"/>
        <v>1.2620421514398389E-3</v>
      </c>
      <c r="P1132" s="39">
        <f t="shared" si="119"/>
        <v>304.59363131087997</v>
      </c>
      <c r="Q1132" s="26">
        <f t="shared" si="120"/>
        <v>3.2028253513275899</v>
      </c>
      <c r="R1132" s="26">
        <f t="shared" si="121"/>
        <v>-3.2028253513275899</v>
      </c>
    </row>
    <row r="1133" spans="1:18" x14ac:dyDescent="0.3">
      <c r="A1133" s="2">
        <v>42522</v>
      </c>
      <c r="B1133" s="1">
        <v>24.614999999999998</v>
      </c>
      <c r="C1133" s="1">
        <v>719.43989999999997</v>
      </c>
      <c r="D1133" s="1">
        <v>118.78</v>
      </c>
      <c r="E1133" s="1">
        <f t="shared" si="116"/>
        <v>-1.4118830742408803E-2</v>
      </c>
      <c r="F1133" s="1">
        <f t="shared" si="117"/>
        <v>-4.6457309273375078E-3</v>
      </c>
      <c r="G1133" s="1">
        <f t="shared" si="118"/>
        <v>-2.5253588248185627E-4</v>
      </c>
      <c r="P1133" s="39">
        <f t="shared" si="119"/>
        <v>301.39080595955238</v>
      </c>
      <c r="Q1133" s="26">
        <f t="shared" si="120"/>
        <v>-1.3875971921900714</v>
      </c>
      <c r="R1133" s="26">
        <f t="shared" si="121"/>
        <v>1.3875971921900714</v>
      </c>
    </row>
    <row r="1134" spans="1:18" x14ac:dyDescent="0.3">
      <c r="A1134" s="2">
        <v>42521</v>
      </c>
      <c r="B1134" s="1">
        <v>24.965</v>
      </c>
      <c r="C1134" s="1">
        <v>722.79</v>
      </c>
      <c r="D1134" s="1">
        <v>118.81</v>
      </c>
      <c r="E1134" s="1">
        <f t="shared" si="116"/>
        <v>-4.8948701698838908E-3</v>
      </c>
      <c r="F1134" s="1">
        <f t="shared" si="117"/>
        <v>1.4703790271174312E-2</v>
      </c>
      <c r="G1134" s="1">
        <f t="shared" si="118"/>
        <v>-4.7861042703077434E-3</v>
      </c>
      <c r="P1134" s="39">
        <f t="shared" si="119"/>
        <v>302.77840315174245</v>
      </c>
      <c r="Q1134" s="26">
        <f t="shared" si="120"/>
        <v>3.7183471081814901</v>
      </c>
      <c r="R1134" s="26">
        <f t="shared" si="121"/>
        <v>-3.7183471081814901</v>
      </c>
    </row>
    <row r="1135" spans="1:18" x14ac:dyDescent="0.3">
      <c r="A1135" s="2">
        <v>42520</v>
      </c>
      <c r="B1135" s="1">
        <v>25.087499999999999</v>
      </c>
      <c r="C1135" s="1">
        <v>712.24</v>
      </c>
      <c r="D1135" s="1">
        <v>119.38</v>
      </c>
      <c r="E1135" s="1">
        <f t="shared" si="116"/>
        <v>0</v>
      </c>
      <c r="F1135" s="1">
        <f t="shared" si="117"/>
        <v>0</v>
      </c>
      <c r="G1135" s="1">
        <f t="shared" si="118"/>
        <v>0</v>
      </c>
      <c r="P1135" s="39">
        <f t="shared" si="119"/>
        <v>299.06005604356096</v>
      </c>
      <c r="Q1135" s="26">
        <f t="shared" si="120"/>
        <v>0</v>
      </c>
      <c r="R1135" s="26">
        <f t="shared" si="121"/>
        <v>0</v>
      </c>
    </row>
    <row r="1136" spans="1:18" x14ac:dyDescent="0.3">
      <c r="A1136" s="2">
        <v>42517</v>
      </c>
      <c r="B1136" s="1">
        <v>25.087499999999999</v>
      </c>
      <c r="C1136" s="1">
        <v>712.24</v>
      </c>
      <c r="D1136" s="1">
        <v>119.38</v>
      </c>
      <c r="E1136" s="1">
        <f t="shared" si="116"/>
        <v>-5.977286489978514E-4</v>
      </c>
      <c r="F1136" s="1">
        <f t="shared" si="117"/>
        <v>-3.7415875021484541E-3</v>
      </c>
      <c r="G1136" s="1">
        <f t="shared" si="118"/>
        <v>-7.5361108862865873E-4</v>
      </c>
      <c r="P1136" s="39">
        <f t="shared" si="119"/>
        <v>299.06005604356096</v>
      </c>
      <c r="Q1136" s="26">
        <f t="shared" si="120"/>
        <v>-1.0108302219544498</v>
      </c>
      <c r="R1136" s="26">
        <f t="shared" si="121"/>
        <v>1.0108302219544498</v>
      </c>
    </row>
    <row r="1137" spans="1:18" x14ac:dyDescent="0.3">
      <c r="A1137" s="2">
        <v>42516</v>
      </c>
      <c r="B1137" s="1">
        <v>25.102499999999999</v>
      </c>
      <c r="C1137" s="1">
        <v>714.90989999999999</v>
      </c>
      <c r="D1137" s="1">
        <v>119.47</v>
      </c>
      <c r="E1137" s="1">
        <f t="shared" si="116"/>
        <v>7.8988562462074825E-3</v>
      </c>
      <c r="F1137" s="1">
        <f t="shared" si="117"/>
        <v>9.2180577690655022E-3</v>
      </c>
      <c r="G1137" s="1">
        <f t="shared" si="118"/>
        <v>1.3313307525096315E-2</v>
      </c>
      <c r="P1137" s="39">
        <f t="shared" si="119"/>
        <v>300.07088626551541</v>
      </c>
      <c r="Q1137" s="26">
        <f t="shared" si="120"/>
        <v>2.8445983267562269</v>
      </c>
      <c r="R1137" s="26">
        <f t="shared" si="121"/>
        <v>-2.8445983267562269</v>
      </c>
    </row>
    <row r="1138" spans="1:18" x14ac:dyDescent="0.3">
      <c r="A1138" s="2">
        <v>42515</v>
      </c>
      <c r="B1138" s="1">
        <v>24.905000000000001</v>
      </c>
      <c r="C1138" s="1">
        <v>708.3501</v>
      </c>
      <c r="D1138" s="1">
        <v>117.89</v>
      </c>
      <c r="E1138" s="1">
        <f t="shared" si="116"/>
        <v>1.7416398108672661E-2</v>
      </c>
      <c r="F1138" s="1">
        <f t="shared" si="117"/>
        <v>5.8760562775466941E-3</v>
      </c>
      <c r="G1138" s="1">
        <f t="shared" si="118"/>
        <v>1.6129720378051293E-3</v>
      </c>
      <c r="P1138" s="39">
        <f t="shared" si="119"/>
        <v>297.22628793875919</v>
      </c>
      <c r="Q1138" s="26">
        <f t="shared" si="120"/>
        <v>1.75059211305296</v>
      </c>
      <c r="R1138" s="26">
        <f t="shared" si="121"/>
        <v>-1.75059211305296</v>
      </c>
    </row>
    <row r="1139" spans="1:18" x14ac:dyDescent="0.3">
      <c r="A1139" s="2">
        <v>42514</v>
      </c>
      <c r="B1139" s="1">
        <v>24.475000000000001</v>
      </c>
      <c r="C1139" s="1">
        <v>704.2</v>
      </c>
      <c r="D1139" s="1">
        <v>117.7</v>
      </c>
      <c r="E1139" s="1">
        <f t="shared" si="116"/>
        <v>1.5129193014171627E-2</v>
      </c>
      <c r="F1139" s="1">
        <f t="shared" si="117"/>
        <v>1.0635740358894665E-2</v>
      </c>
      <c r="G1139" s="1">
        <f t="shared" si="118"/>
        <v>1.4807477297619259E-2</v>
      </c>
      <c r="P1139" s="39">
        <f t="shared" si="119"/>
        <v>295.47569582570623</v>
      </c>
      <c r="Q1139" s="26">
        <f t="shared" si="120"/>
        <v>3.2759958361373265</v>
      </c>
      <c r="R1139" s="26">
        <f t="shared" si="121"/>
        <v>-3.2759958361373265</v>
      </c>
    </row>
    <row r="1140" spans="1:18" x14ac:dyDescent="0.3">
      <c r="A1140" s="2">
        <v>42513</v>
      </c>
      <c r="B1140" s="1">
        <v>24.107500000000002</v>
      </c>
      <c r="C1140" s="1">
        <v>696.75</v>
      </c>
      <c r="D1140" s="1">
        <v>115.97</v>
      </c>
      <c r="E1140" s="1">
        <f t="shared" si="116"/>
        <v>1.2627352755920473E-2</v>
      </c>
      <c r="F1140" s="1">
        <f t="shared" si="117"/>
        <v>-8.6456899508845133E-3</v>
      </c>
      <c r="G1140" s="1">
        <f t="shared" si="118"/>
        <v>-1.1829385328420575E-2</v>
      </c>
      <c r="P1140" s="39">
        <f t="shared" si="119"/>
        <v>292.1996999895689</v>
      </c>
      <c r="Q1140" s="26">
        <f t="shared" si="120"/>
        <v>-2.4059960428681961</v>
      </c>
      <c r="R1140" s="26">
        <f t="shared" si="121"/>
        <v>2.4059960428681961</v>
      </c>
    </row>
    <row r="1141" spans="1:18" x14ac:dyDescent="0.3">
      <c r="A1141" s="2">
        <v>42510</v>
      </c>
      <c r="B1141" s="1">
        <v>23.805</v>
      </c>
      <c r="C1141" s="1">
        <v>702.8</v>
      </c>
      <c r="D1141" s="1">
        <v>117.35</v>
      </c>
      <c r="E1141" s="1">
        <f t="shared" si="116"/>
        <v>1.0769822184055219E-2</v>
      </c>
      <c r="F1141" s="1">
        <f t="shared" si="117"/>
        <v>6.1085452412977101E-3</v>
      </c>
      <c r="G1141" s="1">
        <f t="shared" si="118"/>
        <v>4.6122391294276003E-3</v>
      </c>
      <c r="P1141" s="39">
        <f t="shared" si="119"/>
        <v>294.60569603243709</v>
      </c>
      <c r="Q1141" s="26">
        <f t="shared" si="120"/>
        <v>1.8018647064088782</v>
      </c>
      <c r="R1141" s="26">
        <f t="shared" si="121"/>
        <v>-1.8018647064088782</v>
      </c>
    </row>
    <row r="1142" spans="1:18" x14ac:dyDescent="0.3">
      <c r="A1142" s="2">
        <v>42509</v>
      </c>
      <c r="B1142" s="1">
        <v>23.55</v>
      </c>
      <c r="C1142" s="1">
        <v>698.52</v>
      </c>
      <c r="D1142" s="1">
        <v>116.81</v>
      </c>
      <c r="E1142" s="1">
        <f t="shared" si="116"/>
        <v>-3.8143720754706774E-3</v>
      </c>
      <c r="F1142" s="1">
        <f t="shared" si="117"/>
        <v>1.53298453340018E-3</v>
      </c>
      <c r="G1142" s="1">
        <f t="shared" si="118"/>
        <v>-7.1654320057667944E-3</v>
      </c>
      <c r="P1142" s="39">
        <f t="shared" si="119"/>
        <v>292.80383132602822</v>
      </c>
      <c r="Q1142" s="26">
        <f t="shared" si="120"/>
        <v>0.17547044540350498</v>
      </c>
      <c r="R1142" s="26">
        <f t="shared" si="121"/>
        <v>-0.17547044540350498</v>
      </c>
    </row>
    <row r="1143" spans="1:18" x14ac:dyDescent="0.3">
      <c r="A1143" s="2">
        <v>42508</v>
      </c>
      <c r="B1143" s="1">
        <v>23.64</v>
      </c>
      <c r="C1143" s="1">
        <v>697.45</v>
      </c>
      <c r="D1143" s="1">
        <v>117.65</v>
      </c>
      <c r="E1143" s="1">
        <f t="shared" si="116"/>
        <v>1.1380074954563803E-2</v>
      </c>
      <c r="F1143" s="1">
        <f t="shared" si="117"/>
        <v>3.1305672072132998E-3</v>
      </c>
      <c r="G1143" s="1">
        <f t="shared" si="118"/>
        <v>2.5531928763391758E-3</v>
      </c>
      <c r="P1143" s="39">
        <f t="shared" si="119"/>
        <v>292.62836088062471</v>
      </c>
      <c r="Q1143" s="26">
        <f t="shared" si="120"/>
        <v>0.98019708889648882</v>
      </c>
      <c r="R1143" s="26">
        <f t="shared" si="121"/>
        <v>-0.98019708889648882</v>
      </c>
    </row>
    <row r="1144" spans="1:18" x14ac:dyDescent="0.3">
      <c r="A1144" s="2">
        <v>42507</v>
      </c>
      <c r="B1144" s="1">
        <v>23.372499999999999</v>
      </c>
      <c r="C1144" s="1">
        <v>695.27</v>
      </c>
      <c r="D1144" s="1">
        <v>117.35</v>
      </c>
      <c r="E1144" s="1">
        <f t="shared" si="116"/>
        <v>-4.1628922795984343E-3</v>
      </c>
      <c r="F1144" s="1">
        <f t="shared" si="117"/>
        <v>-2.1893715665278996E-2</v>
      </c>
      <c r="G1144" s="1">
        <f t="shared" si="118"/>
        <v>-1.11856093800153E-2</v>
      </c>
      <c r="P1144" s="39">
        <f t="shared" si="119"/>
        <v>291.64816379172822</v>
      </c>
      <c r="Q1144" s="26">
        <f t="shared" si="120"/>
        <v>-6.0048578954304617</v>
      </c>
      <c r="R1144" s="26">
        <f t="shared" si="121"/>
        <v>6.0048578954304617</v>
      </c>
    </row>
    <row r="1145" spans="1:18" x14ac:dyDescent="0.3">
      <c r="A1145" s="2">
        <v>42506</v>
      </c>
      <c r="B1145" s="1">
        <v>23.47</v>
      </c>
      <c r="C1145" s="1">
        <v>710.65989999999999</v>
      </c>
      <c r="D1145" s="1">
        <v>118.67</v>
      </c>
      <c r="E1145" s="1">
        <f t="shared" si="116"/>
        <v>3.644655021748619E-2</v>
      </c>
      <c r="F1145" s="1">
        <f t="shared" si="117"/>
        <v>1.0418282266625647E-3</v>
      </c>
      <c r="G1145" s="1">
        <f t="shared" si="118"/>
        <v>-9.5606229747599268E-3</v>
      </c>
      <c r="P1145" s="39">
        <f t="shared" si="119"/>
        <v>297.65302168715868</v>
      </c>
      <c r="Q1145" s="26">
        <f t="shared" si="120"/>
        <v>0.37401319548246192</v>
      </c>
      <c r="R1145" s="26">
        <f t="shared" si="121"/>
        <v>-0.37401319548246192</v>
      </c>
    </row>
    <row r="1146" spans="1:18" x14ac:dyDescent="0.3">
      <c r="A1146" s="2">
        <v>42503</v>
      </c>
      <c r="B1146" s="1">
        <v>22.63</v>
      </c>
      <c r="C1146" s="1">
        <v>709.91989999999998</v>
      </c>
      <c r="D1146" s="1">
        <v>119.81</v>
      </c>
      <c r="E1146" s="1">
        <f t="shared" si="116"/>
        <v>1.9904905388783605E-3</v>
      </c>
      <c r="F1146" s="1">
        <f t="shared" si="117"/>
        <v>-1.121978520025471E-2</v>
      </c>
      <c r="G1146" s="1">
        <f t="shared" si="118"/>
        <v>-3.9152034685205946E-3</v>
      </c>
      <c r="P1146" s="39">
        <f t="shared" si="119"/>
        <v>297.27900849167622</v>
      </c>
      <c r="Q1146" s="26">
        <f t="shared" si="120"/>
        <v>-3.0386550967910466</v>
      </c>
      <c r="R1146" s="26">
        <f t="shared" si="121"/>
        <v>3.0386550967910466</v>
      </c>
    </row>
    <row r="1147" spans="1:18" x14ac:dyDescent="0.3">
      <c r="A1147" s="2">
        <v>42502</v>
      </c>
      <c r="B1147" s="1">
        <v>22.585000000000001</v>
      </c>
      <c r="C1147" s="1">
        <v>717.92989999999998</v>
      </c>
      <c r="D1147" s="1">
        <v>120.28</v>
      </c>
      <c r="E1147" s="1">
        <f t="shared" si="116"/>
        <v>-2.3736416556769113E-2</v>
      </c>
      <c r="F1147" s="1">
        <f t="shared" si="117"/>
        <v>6.5679829283948393E-3</v>
      </c>
      <c r="G1147" s="1">
        <f t="shared" si="118"/>
        <v>6.3386367358212216E-3</v>
      </c>
      <c r="P1147" s="39">
        <f t="shared" si="119"/>
        <v>300.31766358846727</v>
      </c>
      <c r="Q1147" s="26">
        <f t="shared" si="120"/>
        <v>1.674052549178441</v>
      </c>
      <c r="R1147" s="26">
        <f t="shared" si="121"/>
        <v>-1.674052549178441</v>
      </c>
    </row>
    <row r="1148" spans="1:18" x14ac:dyDescent="0.3">
      <c r="A1148" s="2">
        <v>42501</v>
      </c>
      <c r="B1148" s="1">
        <v>23.127500000000001</v>
      </c>
      <c r="C1148" s="1">
        <v>713.23</v>
      </c>
      <c r="D1148" s="1">
        <v>119.52</v>
      </c>
      <c r="E1148" s="1">
        <f t="shared" si="116"/>
        <v>-9.7887082907347212E-3</v>
      </c>
      <c r="F1148" s="1">
        <f t="shared" si="117"/>
        <v>1.4347346697124166E-2</v>
      </c>
      <c r="G1148" s="1">
        <f t="shared" si="118"/>
        <v>-8.1660315462025266E-3</v>
      </c>
      <c r="P1148" s="39">
        <f t="shared" si="119"/>
        <v>298.64361103928883</v>
      </c>
      <c r="Q1148" s="26">
        <f t="shared" si="120"/>
        <v>3.4420567604206553</v>
      </c>
      <c r="R1148" s="26">
        <f t="shared" si="121"/>
        <v>-3.4420567604206553</v>
      </c>
    </row>
    <row r="1149" spans="1:18" x14ac:dyDescent="0.3">
      <c r="A1149" s="2">
        <v>42500</v>
      </c>
      <c r="B1149" s="1">
        <v>23.355</v>
      </c>
      <c r="C1149" s="1">
        <v>703.07010000000002</v>
      </c>
      <c r="D1149" s="1">
        <v>120.5</v>
      </c>
      <c r="E1149" s="1">
        <f t="shared" si="116"/>
        <v>6.7665797088739005E-3</v>
      </c>
      <c r="F1149" s="1">
        <f t="shared" si="117"/>
        <v>3.3731518831802997E-2</v>
      </c>
      <c r="G1149" s="1">
        <f t="shared" si="118"/>
        <v>1.0511484120839139E-2</v>
      </c>
      <c r="P1149" s="39">
        <f t="shared" si="119"/>
        <v>295.20155427886817</v>
      </c>
      <c r="Q1149" s="26">
        <f t="shared" si="120"/>
        <v>8.9427152960053604</v>
      </c>
      <c r="R1149" s="26">
        <f t="shared" si="121"/>
        <v>-8.9427152960053604</v>
      </c>
    </row>
    <row r="1150" spans="1:18" x14ac:dyDescent="0.3">
      <c r="A1150" s="2">
        <v>42499</v>
      </c>
      <c r="B1150" s="1">
        <v>23.197500000000002</v>
      </c>
      <c r="C1150" s="1">
        <v>679.75</v>
      </c>
      <c r="D1150" s="1">
        <v>119.24</v>
      </c>
      <c r="E1150" s="1">
        <f t="shared" si="116"/>
        <v>7.5467633359174344E-4</v>
      </c>
      <c r="F1150" s="1">
        <f t="shared" si="117"/>
        <v>8.5691593283012697E-3</v>
      </c>
      <c r="G1150" s="1">
        <f t="shared" si="118"/>
        <v>-2.0944170517918554E-3</v>
      </c>
      <c r="P1150" s="39">
        <f t="shared" si="119"/>
        <v>286.25883898286281</v>
      </c>
      <c r="Q1150" s="26">
        <f t="shared" si="120"/>
        <v>2.093094989415647</v>
      </c>
      <c r="R1150" s="26">
        <f t="shared" si="121"/>
        <v>-2.093094989415647</v>
      </c>
    </row>
    <row r="1151" spans="1:18" x14ac:dyDescent="0.3">
      <c r="A1151" s="2">
        <v>42496</v>
      </c>
      <c r="B1151" s="1">
        <v>23.18</v>
      </c>
      <c r="C1151" s="1">
        <v>673.95</v>
      </c>
      <c r="D1151" s="1">
        <v>119.49</v>
      </c>
      <c r="E1151" s="1">
        <f t="shared" si="116"/>
        <v>-5.592615136060115E-3</v>
      </c>
      <c r="F1151" s="1">
        <f t="shared" si="117"/>
        <v>2.2295676720889179E-2</v>
      </c>
      <c r="G1151" s="1">
        <f t="shared" si="118"/>
        <v>1.4159528603634515E-2</v>
      </c>
      <c r="P1151" s="39">
        <f t="shared" si="119"/>
        <v>284.16574399344717</v>
      </c>
      <c r="Q1151" s="26">
        <f t="shared" si="120"/>
        <v>5.793062988213137</v>
      </c>
      <c r="R1151" s="26">
        <f t="shared" si="121"/>
        <v>-5.793062988213137</v>
      </c>
    </row>
    <row r="1152" spans="1:18" x14ac:dyDescent="0.3">
      <c r="A1152" s="2">
        <v>42495</v>
      </c>
      <c r="B1152" s="1">
        <v>23.31</v>
      </c>
      <c r="C1152" s="1">
        <v>659.09010000000001</v>
      </c>
      <c r="D1152" s="1">
        <v>117.81</v>
      </c>
      <c r="E1152" s="1">
        <f t="shared" si="116"/>
        <v>-1.0137204667169365E-2</v>
      </c>
      <c r="F1152" s="1">
        <f t="shared" si="117"/>
        <v>-1.7759698051931453E-2</v>
      </c>
      <c r="G1152" s="1">
        <f t="shared" si="118"/>
        <v>-2.1198125545153186E-3</v>
      </c>
      <c r="P1152" s="39">
        <f t="shared" si="119"/>
        <v>278.37268100523403</v>
      </c>
      <c r="Q1152" s="26">
        <f t="shared" si="120"/>
        <v>-4.5100333046749483</v>
      </c>
      <c r="R1152" s="26">
        <f t="shared" si="121"/>
        <v>4.5100333046749483</v>
      </c>
    </row>
    <row r="1153" spans="1:18" x14ac:dyDescent="0.3">
      <c r="A1153" s="2">
        <v>42494</v>
      </c>
      <c r="B1153" s="1">
        <v>23.547499999999999</v>
      </c>
      <c r="C1153" s="1">
        <v>670.8999</v>
      </c>
      <c r="D1153" s="1">
        <v>118.06</v>
      </c>
      <c r="E1153" s="1">
        <f t="shared" si="116"/>
        <v>-1.045581685823873E-2</v>
      </c>
      <c r="F1153" s="1">
        <f t="shared" si="117"/>
        <v>-6.2612688490373825E-4</v>
      </c>
      <c r="G1153" s="1">
        <f t="shared" si="118"/>
        <v>5.3505584355534258E-3</v>
      </c>
      <c r="P1153" s="39">
        <f t="shared" si="119"/>
        <v>282.88271430990898</v>
      </c>
      <c r="Q1153" s="26">
        <f t="shared" si="120"/>
        <v>-0.12105618561639631</v>
      </c>
      <c r="R1153" s="26">
        <f t="shared" si="121"/>
        <v>0.12105618561639631</v>
      </c>
    </row>
    <row r="1154" spans="1:18" x14ac:dyDescent="0.3">
      <c r="A1154" s="2">
        <v>42493</v>
      </c>
      <c r="B1154" s="1">
        <v>23.795000000000002</v>
      </c>
      <c r="C1154" s="1">
        <v>671.32010000000002</v>
      </c>
      <c r="D1154" s="1">
        <v>117.43</v>
      </c>
      <c r="E1154" s="1">
        <f t="shared" si="116"/>
        <v>1.6312193070254537E-2</v>
      </c>
      <c r="F1154" s="1">
        <f t="shared" si="117"/>
        <v>-1.8492669158223143E-2</v>
      </c>
      <c r="G1154" s="1">
        <f t="shared" si="118"/>
        <v>-9.6610920929892964E-3</v>
      </c>
      <c r="P1154" s="39">
        <f t="shared" si="119"/>
        <v>283.00377049552537</v>
      </c>
      <c r="Q1154" s="26">
        <f t="shared" si="120"/>
        <v>-4.7107254778024412</v>
      </c>
      <c r="R1154" s="26">
        <f t="shared" si="121"/>
        <v>4.7107254778024412</v>
      </c>
    </row>
    <row r="1155" spans="1:18" x14ac:dyDescent="0.3">
      <c r="A1155" s="2">
        <v>42492</v>
      </c>
      <c r="B1155" s="1">
        <v>23.41</v>
      </c>
      <c r="C1155" s="1">
        <v>683.8501</v>
      </c>
      <c r="D1155" s="1">
        <v>118.57</v>
      </c>
      <c r="E1155" s="1">
        <f t="shared" si="116"/>
        <v>-1.0673498718499414E-3</v>
      </c>
      <c r="F1155" s="1">
        <f t="shared" si="117"/>
        <v>3.6120160082063812E-2</v>
      </c>
      <c r="G1155" s="1">
        <f t="shared" si="118"/>
        <v>8.3845504958702712E-3</v>
      </c>
      <c r="P1155" s="39">
        <f t="shared" si="119"/>
        <v>287.71449597332781</v>
      </c>
      <c r="Q1155" s="26">
        <f t="shared" si="120"/>
        <v>9.1553842280675326</v>
      </c>
      <c r="R1155" s="26">
        <f t="shared" si="121"/>
        <v>-9.1553842280675326</v>
      </c>
    </row>
    <row r="1156" spans="1:18" x14ac:dyDescent="0.3">
      <c r="A1156" s="2">
        <v>42489</v>
      </c>
      <c r="B1156" s="1">
        <v>23.434999999999999</v>
      </c>
      <c r="C1156" s="1">
        <v>659.59010000000001</v>
      </c>
      <c r="D1156" s="1">
        <v>117.58</v>
      </c>
      <c r="E1156" s="1">
        <f t="shared" si="116"/>
        <v>-1.1560822401075971E-2</v>
      </c>
      <c r="F1156" s="1">
        <f t="shared" si="117"/>
        <v>9.1361136167563195E-2</v>
      </c>
      <c r="G1156" s="1">
        <f t="shared" si="118"/>
        <v>7.2553773095369607E-3</v>
      </c>
      <c r="P1156" s="39">
        <f t="shared" si="119"/>
        <v>278.55911174526028</v>
      </c>
      <c r="Q1156" s="26">
        <f t="shared" si="120"/>
        <v>21.320287166500577</v>
      </c>
      <c r="R1156" s="26">
        <f t="shared" si="121"/>
        <v>-21.320287166500577</v>
      </c>
    </row>
    <row r="1157" spans="1:18" x14ac:dyDescent="0.3">
      <c r="A1157" s="2">
        <v>42488</v>
      </c>
      <c r="B1157" s="1">
        <v>23.7075</v>
      </c>
      <c r="C1157" s="1">
        <v>602</v>
      </c>
      <c r="D1157" s="1">
        <v>116.73</v>
      </c>
      <c r="E1157" s="1">
        <f t="shared" si="116"/>
        <v>-3.1043240215575026E-2</v>
      </c>
      <c r="F1157" s="1">
        <f t="shared" si="117"/>
        <v>-7.5628575999185481E-3</v>
      </c>
      <c r="G1157" s="1">
        <f t="shared" si="118"/>
        <v>6.9525377306602285E-2</v>
      </c>
      <c r="P1157" s="39">
        <f t="shared" si="119"/>
        <v>257.2388245787597</v>
      </c>
      <c r="Q1157" s="26">
        <f t="shared" si="120"/>
        <v>-0.29690760760098556</v>
      </c>
      <c r="R1157" s="26">
        <f t="shared" si="121"/>
        <v>0.29690760760098556</v>
      </c>
    </row>
    <row r="1158" spans="1:18" x14ac:dyDescent="0.3">
      <c r="A1158" s="2">
        <v>42487</v>
      </c>
      <c r="B1158" s="1">
        <v>24.454999999999998</v>
      </c>
      <c r="C1158" s="1">
        <v>606.57010000000002</v>
      </c>
      <c r="D1158" s="1">
        <v>108.89</v>
      </c>
      <c r="E1158" s="1">
        <f t="shared" ref="E1158:E1221" si="122">LN(B1158/B1159)</f>
        <v>-6.4621578411998601E-2</v>
      </c>
      <c r="F1158" s="1">
        <f t="shared" ref="F1158:F1221" si="123">LN(C1158/C1159)</f>
        <v>-1.6854050509870318E-2</v>
      </c>
      <c r="G1158" s="1">
        <f t="shared" ref="G1158:G1221" si="124">LN(D1158/D1159)</f>
        <v>1.1945785936996374E-3</v>
      </c>
      <c r="P1158" s="39">
        <f t="shared" ref="P1158:P1221" si="125">B1158*$J$13+C1158*$J$14+D1158*$J$15</f>
        <v>257.53573218636069</v>
      </c>
      <c r="Q1158" s="26">
        <f t="shared" ref="Q1158:Q1221" si="126">P1158-P1159</f>
        <v>-4.4522030424905665</v>
      </c>
      <c r="R1158" s="26">
        <f t="shared" ref="R1158:R1221" si="127">-Q1158</f>
        <v>4.4522030424905665</v>
      </c>
    </row>
    <row r="1159" spans="1:18" x14ac:dyDescent="0.3">
      <c r="A1159" s="2">
        <v>42486</v>
      </c>
      <c r="B1159" s="1">
        <v>26.087499999999999</v>
      </c>
      <c r="C1159" s="1">
        <v>616.87990000000002</v>
      </c>
      <c r="D1159" s="1">
        <v>108.76</v>
      </c>
      <c r="E1159" s="1">
        <f t="shared" si="122"/>
        <v>-6.9713312941294065E-3</v>
      </c>
      <c r="F1159" s="1">
        <f t="shared" si="123"/>
        <v>-1.4995455473695563E-2</v>
      </c>
      <c r="G1159" s="1">
        <f t="shared" si="124"/>
        <v>-1.2245423964364273E-2</v>
      </c>
      <c r="P1159" s="39">
        <f t="shared" si="125"/>
        <v>261.98793522885126</v>
      </c>
      <c r="Q1159" s="26">
        <f t="shared" si="126"/>
        <v>-3.8048388464839604</v>
      </c>
      <c r="R1159" s="26">
        <f t="shared" si="127"/>
        <v>3.8048388464839604</v>
      </c>
    </row>
    <row r="1160" spans="1:18" x14ac:dyDescent="0.3">
      <c r="A1160" s="2">
        <v>42485</v>
      </c>
      <c r="B1160" s="1">
        <v>26.27</v>
      </c>
      <c r="C1160" s="1">
        <v>626.20000000000005</v>
      </c>
      <c r="D1160" s="1">
        <v>110.1</v>
      </c>
      <c r="E1160" s="1">
        <f t="shared" si="122"/>
        <v>-5.6936953967308144E-3</v>
      </c>
      <c r="F1160" s="1">
        <f t="shared" si="123"/>
        <v>9.1442042476435458E-3</v>
      </c>
      <c r="G1160" s="1">
        <f t="shared" si="124"/>
        <v>-4.1693162907255592E-3</v>
      </c>
      <c r="P1160" s="39">
        <f t="shared" si="125"/>
        <v>265.79277407533522</v>
      </c>
      <c r="Q1160" s="26">
        <f t="shared" si="126"/>
        <v>1.9412901605671777</v>
      </c>
      <c r="R1160" s="26">
        <f t="shared" si="127"/>
        <v>-1.9412901605671777</v>
      </c>
    </row>
    <row r="1161" spans="1:18" x14ac:dyDescent="0.3">
      <c r="A1161" s="2">
        <v>42482</v>
      </c>
      <c r="B1161" s="1">
        <v>26.42</v>
      </c>
      <c r="C1161" s="1">
        <v>620.5</v>
      </c>
      <c r="D1161" s="1">
        <v>110.56</v>
      </c>
      <c r="E1161" s="1">
        <f t="shared" si="122"/>
        <v>-2.7403749726747071E-3</v>
      </c>
      <c r="F1161" s="1">
        <f t="shared" si="123"/>
        <v>-1.6780257896551229E-2</v>
      </c>
      <c r="G1161" s="1">
        <f t="shared" si="124"/>
        <v>-2.5715702764457563E-2</v>
      </c>
      <c r="P1161" s="39">
        <f t="shared" si="125"/>
        <v>263.85148391476804</v>
      </c>
      <c r="Q1161" s="26">
        <f t="shared" si="126"/>
        <v>-4.5283473434976145</v>
      </c>
      <c r="R1161" s="26">
        <f t="shared" si="127"/>
        <v>4.5283473434976145</v>
      </c>
    </row>
    <row r="1162" spans="1:18" x14ac:dyDescent="0.3">
      <c r="A1162" s="2">
        <v>42481</v>
      </c>
      <c r="B1162" s="1">
        <v>26.4925</v>
      </c>
      <c r="C1162" s="1">
        <v>631</v>
      </c>
      <c r="D1162" s="1">
        <v>113.44</v>
      </c>
      <c r="E1162" s="1">
        <f t="shared" si="122"/>
        <v>-1.0887015087722151E-2</v>
      </c>
      <c r="F1162" s="1">
        <f t="shared" si="123"/>
        <v>-3.1487616898670384E-3</v>
      </c>
      <c r="G1162" s="1">
        <f t="shared" si="124"/>
        <v>9.0322052098884536E-3</v>
      </c>
      <c r="P1162" s="39">
        <f t="shared" si="125"/>
        <v>268.37983125826565</v>
      </c>
      <c r="Q1162" s="26">
        <f t="shared" si="126"/>
        <v>-0.63335516282626259</v>
      </c>
      <c r="R1162" s="26">
        <f t="shared" si="127"/>
        <v>0.63335516282626259</v>
      </c>
    </row>
    <row r="1163" spans="1:18" x14ac:dyDescent="0.3">
      <c r="A1163" s="2">
        <v>42480</v>
      </c>
      <c r="B1163" s="1">
        <v>26.782499999999999</v>
      </c>
      <c r="C1163" s="1">
        <v>632.99</v>
      </c>
      <c r="D1163" s="1">
        <v>112.42</v>
      </c>
      <c r="E1163" s="1">
        <f t="shared" si="122"/>
        <v>2.0556912490581592E-3</v>
      </c>
      <c r="F1163" s="1">
        <f t="shared" si="123"/>
        <v>8.0738653720579482E-3</v>
      </c>
      <c r="G1163" s="1">
        <f t="shared" si="124"/>
        <v>1.1570469894816894E-3</v>
      </c>
      <c r="P1163" s="39">
        <f t="shared" si="125"/>
        <v>269.01318642109192</v>
      </c>
      <c r="Q1163" s="26">
        <f t="shared" si="126"/>
        <v>1.9290511500683465</v>
      </c>
      <c r="R1163" s="26">
        <f t="shared" si="127"/>
        <v>-1.9290511500683465</v>
      </c>
    </row>
    <row r="1164" spans="1:18" x14ac:dyDescent="0.3">
      <c r="A1164" s="2">
        <v>42479</v>
      </c>
      <c r="B1164" s="1">
        <v>26.727499999999999</v>
      </c>
      <c r="C1164" s="1">
        <v>627.8999</v>
      </c>
      <c r="D1164" s="1">
        <v>112.29</v>
      </c>
      <c r="E1164" s="1">
        <f t="shared" si="122"/>
        <v>-5.3174247218820058E-3</v>
      </c>
      <c r="F1164" s="1">
        <f t="shared" si="123"/>
        <v>-1.1795426685071348E-2</v>
      </c>
      <c r="G1164" s="1">
        <f t="shared" si="124"/>
        <v>1.6521880718321124E-2</v>
      </c>
      <c r="P1164" s="39">
        <f t="shared" si="125"/>
        <v>267.08413527102357</v>
      </c>
      <c r="Q1164" s="26">
        <f t="shared" si="126"/>
        <v>-2.4091859221923073</v>
      </c>
      <c r="R1164" s="26">
        <f t="shared" si="127"/>
        <v>2.4091859221923073</v>
      </c>
    </row>
    <row r="1165" spans="1:18" x14ac:dyDescent="0.3">
      <c r="A1165" s="2">
        <v>42478</v>
      </c>
      <c r="B1165" s="1">
        <v>26.87</v>
      </c>
      <c r="C1165" s="1">
        <v>635.3501</v>
      </c>
      <c r="D1165" s="1">
        <v>110.45</v>
      </c>
      <c r="E1165" s="1">
        <f t="shared" si="122"/>
        <v>-2.1811015083328677E-2</v>
      </c>
      <c r="F1165" s="1">
        <f t="shared" si="123"/>
        <v>1.5001708506697837E-2</v>
      </c>
      <c r="G1165" s="1">
        <f t="shared" si="124"/>
        <v>7.3606584315412367E-3</v>
      </c>
      <c r="P1165" s="39">
        <f t="shared" si="125"/>
        <v>269.49332119321588</v>
      </c>
      <c r="Q1165" s="26">
        <f t="shared" si="126"/>
        <v>3.4205771830334015</v>
      </c>
      <c r="R1165" s="26">
        <f t="shared" si="127"/>
        <v>-3.4205771830334015</v>
      </c>
    </row>
    <row r="1166" spans="1:18" x14ac:dyDescent="0.3">
      <c r="A1166" s="2">
        <v>42475</v>
      </c>
      <c r="B1166" s="1">
        <v>27.462499999999999</v>
      </c>
      <c r="C1166" s="1">
        <v>625.88990000000001</v>
      </c>
      <c r="D1166" s="1">
        <v>109.64</v>
      </c>
      <c r="E1166" s="1">
        <f t="shared" si="122"/>
        <v>-2.0275531247495048E-2</v>
      </c>
      <c r="F1166" s="1">
        <f t="shared" si="123"/>
        <v>8.2460526491197252E-3</v>
      </c>
      <c r="G1166" s="1">
        <f t="shared" si="124"/>
        <v>-1.0885448560192619E-2</v>
      </c>
      <c r="P1166" s="39">
        <f t="shared" si="125"/>
        <v>266.07274401018248</v>
      </c>
      <c r="Q1166" s="26">
        <f t="shared" si="126"/>
        <v>1.4033570819190686</v>
      </c>
      <c r="R1166" s="26">
        <f t="shared" si="127"/>
        <v>-1.4033570819190686</v>
      </c>
    </row>
    <row r="1167" spans="1:18" x14ac:dyDescent="0.3">
      <c r="A1167" s="2">
        <v>42474</v>
      </c>
      <c r="B1167" s="1">
        <v>28.024999999999999</v>
      </c>
      <c r="C1167" s="1">
        <v>620.75</v>
      </c>
      <c r="D1167" s="1">
        <v>110.84</v>
      </c>
      <c r="E1167" s="1">
        <f t="shared" si="122"/>
        <v>5.3537968620642859E-4</v>
      </c>
      <c r="F1167" s="1">
        <f t="shared" si="123"/>
        <v>9.5987196993769872E-3</v>
      </c>
      <c r="G1167" s="1">
        <f t="shared" si="124"/>
        <v>2.981705394086708E-3</v>
      </c>
      <c r="P1167" s="39">
        <f t="shared" si="125"/>
        <v>264.66938692826341</v>
      </c>
      <c r="Q1167" s="26">
        <f t="shared" si="126"/>
        <v>2.265681307089892</v>
      </c>
      <c r="R1167" s="26">
        <f t="shared" si="127"/>
        <v>-2.265681307089892</v>
      </c>
    </row>
    <row r="1168" spans="1:18" x14ac:dyDescent="0.3">
      <c r="A1168" s="2">
        <v>42473</v>
      </c>
      <c r="B1168" s="1">
        <v>28.01</v>
      </c>
      <c r="C1168" s="1">
        <v>614.82010000000002</v>
      </c>
      <c r="D1168" s="1">
        <v>110.51</v>
      </c>
      <c r="E1168" s="1">
        <f t="shared" si="122"/>
        <v>1.4383563329954082E-2</v>
      </c>
      <c r="F1168" s="1">
        <f t="shared" si="123"/>
        <v>1.9130789770729604E-2</v>
      </c>
      <c r="G1168" s="1">
        <f t="shared" si="124"/>
        <v>-9.044863134719084E-4</v>
      </c>
      <c r="P1168" s="39">
        <f t="shared" si="125"/>
        <v>262.40370562117351</v>
      </c>
      <c r="Q1168" s="26">
        <f t="shared" si="126"/>
        <v>4.4426233385817682</v>
      </c>
      <c r="R1168" s="26">
        <f t="shared" si="127"/>
        <v>-4.4426233385817682</v>
      </c>
    </row>
    <row r="1169" spans="1:18" x14ac:dyDescent="0.3">
      <c r="A1169" s="2">
        <v>42472</v>
      </c>
      <c r="B1169" s="1">
        <v>27.61</v>
      </c>
      <c r="C1169" s="1">
        <v>603.16989999999998</v>
      </c>
      <c r="D1169" s="1">
        <v>110.61</v>
      </c>
      <c r="E1169" s="1">
        <f t="shared" si="122"/>
        <v>1.2941035425818974E-2</v>
      </c>
      <c r="F1169" s="1">
        <f t="shared" si="123"/>
        <v>1.207587221995887E-2</v>
      </c>
      <c r="G1169" s="1">
        <f t="shared" si="124"/>
        <v>1.4754366012942546E-2</v>
      </c>
      <c r="P1169" s="39">
        <f t="shared" si="125"/>
        <v>257.96108228259175</v>
      </c>
      <c r="Q1169" s="26">
        <f t="shared" si="126"/>
        <v>3.1694949575461919</v>
      </c>
      <c r="R1169" s="26">
        <f t="shared" si="127"/>
        <v>-3.1694949575461919</v>
      </c>
    </row>
    <row r="1170" spans="1:18" x14ac:dyDescent="0.3">
      <c r="A1170" s="2">
        <v>42471</v>
      </c>
      <c r="B1170" s="1">
        <v>27.254999999999999</v>
      </c>
      <c r="C1170" s="1">
        <v>595.92989999999998</v>
      </c>
      <c r="D1170" s="1">
        <v>108.99</v>
      </c>
      <c r="E1170" s="1">
        <f t="shared" si="122"/>
        <v>3.307610512757814E-3</v>
      </c>
      <c r="F1170" s="1">
        <f t="shared" si="123"/>
        <v>2.2339639539381197E-3</v>
      </c>
      <c r="G1170" s="1">
        <f t="shared" si="124"/>
        <v>-1.4935165145599257E-2</v>
      </c>
      <c r="P1170" s="39">
        <f t="shared" si="125"/>
        <v>254.79158732504555</v>
      </c>
      <c r="Q1170" s="26">
        <f t="shared" si="126"/>
        <v>0.17253638974119667</v>
      </c>
      <c r="R1170" s="26">
        <f t="shared" si="127"/>
        <v>-0.17253638974119667</v>
      </c>
    </row>
    <row r="1171" spans="1:18" x14ac:dyDescent="0.3">
      <c r="A1171" s="2">
        <v>42468</v>
      </c>
      <c r="B1171" s="1">
        <v>27.164999999999999</v>
      </c>
      <c r="C1171" s="1">
        <v>594.6001</v>
      </c>
      <c r="D1171" s="1">
        <v>110.63</v>
      </c>
      <c r="E1171" s="1">
        <f t="shared" si="122"/>
        <v>1.1049724881182432E-3</v>
      </c>
      <c r="F1171" s="1">
        <f t="shared" si="123"/>
        <v>5.3459146059372537E-3</v>
      </c>
      <c r="G1171" s="1">
        <f t="shared" si="124"/>
        <v>-2.6844256939167713E-2</v>
      </c>
      <c r="P1171" s="39">
        <f t="shared" si="125"/>
        <v>254.61905093530436</v>
      </c>
      <c r="Q1171" s="26">
        <f t="shared" si="126"/>
        <v>0.52983301714775166</v>
      </c>
      <c r="R1171" s="26">
        <f t="shared" si="127"/>
        <v>-0.52983301714775166</v>
      </c>
    </row>
    <row r="1172" spans="1:18" x14ac:dyDescent="0.3">
      <c r="A1172" s="2">
        <v>42467</v>
      </c>
      <c r="B1172" s="1">
        <v>27.135000000000002</v>
      </c>
      <c r="C1172" s="1">
        <v>591.42989999999998</v>
      </c>
      <c r="D1172" s="1">
        <v>113.64</v>
      </c>
      <c r="E1172" s="1">
        <f t="shared" si="122"/>
        <v>-2.2051007371317311E-2</v>
      </c>
      <c r="F1172" s="1">
        <f t="shared" si="123"/>
        <v>-1.7847328797663046E-2</v>
      </c>
      <c r="G1172" s="1">
        <f t="shared" si="124"/>
        <v>-6.1579065064422498E-4</v>
      </c>
      <c r="P1172" s="39">
        <f t="shared" si="125"/>
        <v>254.08921791815661</v>
      </c>
      <c r="Q1172" s="26">
        <f t="shared" si="126"/>
        <v>-4.1954303088256495</v>
      </c>
      <c r="R1172" s="26">
        <f t="shared" si="127"/>
        <v>4.1954303088256495</v>
      </c>
    </row>
    <row r="1173" spans="1:18" x14ac:dyDescent="0.3">
      <c r="A1173" s="2">
        <v>42466</v>
      </c>
      <c r="B1173" s="1">
        <v>27.74</v>
      </c>
      <c r="C1173" s="1">
        <v>602.08010000000002</v>
      </c>
      <c r="D1173" s="1">
        <v>113.71</v>
      </c>
      <c r="E1173" s="1">
        <f t="shared" si="122"/>
        <v>1.0418176396954113E-2</v>
      </c>
      <c r="F1173" s="1">
        <f t="shared" si="123"/>
        <v>2.6831994650811271E-2</v>
      </c>
      <c r="G1173" s="1">
        <f t="shared" si="124"/>
        <v>1.3190117313805479E-2</v>
      </c>
      <c r="P1173" s="39">
        <f t="shared" si="125"/>
        <v>258.28464822698226</v>
      </c>
      <c r="Q1173" s="26">
        <f t="shared" si="126"/>
        <v>6.3234633234618798</v>
      </c>
      <c r="R1173" s="26">
        <f t="shared" si="127"/>
        <v>-6.3234633234618798</v>
      </c>
    </row>
    <row r="1174" spans="1:18" x14ac:dyDescent="0.3">
      <c r="A1174" s="2">
        <v>42465</v>
      </c>
      <c r="B1174" s="1">
        <v>27.452500000000001</v>
      </c>
      <c r="C1174" s="1">
        <v>586.13990000000001</v>
      </c>
      <c r="D1174" s="1">
        <v>112.22</v>
      </c>
      <c r="E1174" s="1">
        <f t="shared" si="122"/>
        <v>-1.1859098836466433E-2</v>
      </c>
      <c r="F1174" s="1">
        <f t="shared" si="123"/>
        <v>-1.195608553559644E-2</v>
      </c>
      <c r="G1174" s="1">
        <f t="shared" si="124"/>
        <v>-2.9363370299152901E-3</v>
      </c>
      <c r="P1174" s="39">
        <f t="shared" si="125"/>
        <v>251.96118490352038</v>
      </c>
      <c r="Q1174" s="26">
        <f t="shared" si="126"/>
        <v>-2.8084384649696403</v>
      </c>
      <c r="R1174" s="26">
        <f t="shared" si="127"/>
        <v>2.8084384649696403</v>
      </c>
    </row>
    <row r="1175" spans="1:18" x14ac:dyDescent="0.3">
      <c r="A1175" s="2">
        <v>42464</v>
      </c>
      <c r="B1175" s="1">
        <v>27.78</v>
      </c>
      <c r="C1175" s="1">
        <v>593.18989999999997</v>
      </c>
      <c r="D1175" s="1">
        <v>112.55</v>
      </c>
      <c r="E1175" s="1">
        <f t="shared" si="122"/>
        <v>1.022124587706315E-2</v>
      </c>
      <c r="F1175" s="1">
        <f t="shared" si="123"/>
        <v>-8.9119411772444167E-3</v>
      </c>
      <c r="G1175" s="1">
        <f t="shared" si="124"/>
        <v>-3.0709731409721042E-2</v>
      </c>
      <c r="P1175" s="39">
        <f t="shared" si="125"/>
        <v>254.76962336849002</v>
      </c>
      <c r="Q1175" s="26">
        <f t="shared" si="126"/>
        <v>-2.6028786409359839</v>
      </c>
      <c r="R1175" s="26">
        <f t="shared" si="127"/>
        <v>2.6028786409359839</v>
      </c>
    </row>
    <row r="1176" spans="1:18" x14ac:dyDescent="0.3">
      <c r="A1176" s="2">
        <v>42461</v>
      </c>
      <c r="B1176" s="1">
        <v>27.497499999999999</v>
      </c>
      <c r="C1176" s="1">
        <v>598.5</v>
      </c>
      <c r="D1176" s="1">
        <v>116.06</v>
      </c>
      <c r="E1176" s="1">
        <f t="shared" si="122"/>
        <v>9.1333176678050718E-3</v>
      </c>
      <c r="F1176" s="1">
        <f t="shared" si="123"/>
        <v>8.153618422685022E-3</v>
      </c>
      <c r="G1176" s="1">
        <f t="shared" si="124"/>
        <v>1.7032041894432387E-2</v>
      </c>
      <c r="P1176" s="39">
        <f t="shared" si="125"/>
        <v>257.372502009426</v>
      </c>
      <c r="Q1176" s="26">
        <f t="shared" si="126"/>
        <v>2.3215633694280768</v>
      </c>
      <c r="R1176" s="26">
        <f t="shared" si="127"/>
        <v>-2.3215633694280768</v>
      </c>
    </row>
    <row r="1177" spans="1:18" x14ac:dyDescent="0.3">
      <c r="A1177" s="2">
        <v>42460</v>
      </c>
      <c r="B1177" s="1">
        <v>27.247499999999999</v>
      </c>
      <c r="C1177" s="1">
        <v>593.63990000000001</v>
      </c>
      <c r="D1177" s="1">
        <v>114.1</v>
      </c>
      <c r="E1177" s="1">
        <f t="shared" si="122"/>
        <v>-5.2162094936572482E-3</v>
      </c>
      <c r="F1177" s="1">
        <f t="shared" si="123"/>
        <v>-8.4708613289151916E-3</v>
      </c>
      <c r="G1177" s="1">
        <f t="shared" si="124"/>
        <v>-5.2447672672950767E-3</v>
      </c>
      <c r="P1177" s="39">
        <f t="shared" si="125"/>
        <v>255.05093863999792</v>
      </c>
      <c r="Q1177" s="26">
        <f t="shared" si="126"/>
        <v>-2.0523630171503555</v>
      </c>
      <c r="R1177" s="26">
        <f t="shared" si="127"/>
        <v>2.0523630171503555</v>
      </c>
    </row>
    <row r="1178" spans="1:18" x14ac:dyDescent="0.3">
      <c r="A1178" s="2">
        <v>42459</v>
      </c>
      <c r="B1178" s="1">
        <v>27.39</v>
      </c>
      <c r="C1178" s="1">
        <v>598.68989999999997</v>
      </c>
      <c r="D1178" s="1">
        <v>114.7</v>
      </c>
      <c r="E1178" s="1">
        <f t="shared" si="122"/>
        <v>1.7308478498459675E-2</v>
      </c>
      <c r="F1178" s="1">
        <f t="shared" si="123"/>
        <v>8.0999981667697098E-3</v>
      </c>
      <c r="G1178" s="1">
        <f t="shared" si="124"/>
        <v>-1.2476335808578837E-2</v>
      </c>
      <c r="P1178" s="39">
        <f t="shared" si="125"/>
        <v>257.10330165714828</v>
      </c>
      <c r="Q1178" s="26">
        <f t="shared" si="126"/>
        <v>1.6647126985910745</v>
      </c>
      <c r="R1178" s="26">
        <f t="shared" si="127"/>
        <v>-1.6647126985910745</v>
      </c>
    </row>
    <row r="1179" spans="1:18" x14ac:dyDescent="0.3">
      <c r="A1179" s="2">
        <v>42458</v>
      </c>
      <c r="B1179" s="1">
        <v>26.92</v>
      </c>
      <c r="C1179" s="1">
        <v>593.86009999999999</v>
      </c>
      <c r="D1179" s="1">
        <v>116.14</v>
      </c>
      <c r="E1179" s="1">
        <f t="shared" si="122"/>
        <v>2.339562714523493E-2</v>
      </c>
      <c r="F1179" s="1">
        <f t="shared" si="123"/>
        <v>2.383965679828625E-2</v>
      </c>
      <c r="G1179" s="1">
        <f t="shared" si="124"/>
        <v>2.1320913802888603E-2</v>
      </c>
      <c r="P1179" s="39">
        <f t="shared" si="125"/>
        <v>255.4385889585572</v>
      </c>
      <c r="Q1179" s="26">
        <f t="shared" si="126"/>
        <v>5.9507395203330873</v>
      </c>
      <c r="R1179" s="26">
        <f t="shared" si="127"/>
        <v>-5.9507395203330873</v>
      </c>
    </row>
    <row r="1180" spans="1:18" x14ac:dyDescent="0.3">
      <c r="A1180" s="2">
        <v>42457</v>
      </c>
      <c r="B1180" s="1">
        <v>26.297499999999999</v>
      </c>
      <c r="C1180" s="1">
        <v>579.87009999999998</v>
      </c>
      <c r="D1180" s="1">
        <v>113.69</v>
      </c>
      <c r="E1180" s="1">
        <f t="shared" si="122"/>
        <v>-4.5527917017567539E-3</v>
      </c>
      <c r="F1180" s="1">
        <f t="shared" si="123"/>
        <v>-5.2973064400987204E-3</v>
      </c>
      <c r="G1180" s="1">
        <f t="shared" si="124"/>
        <v>5.645247417036303E-3</v>
      </c>
      <c r="P1180" s="39">
        <f t="shared" si="125"/>
        <v>249.48784943822412</v>
      </c>
      <c r="Q1180" s="26">
        <f t="shared" si="126"/>
        <v>-1.0474113193691039</v>
      </c>
      <c r="R1180" s="26">
        <f t="shared" si="127"/>
        <v>1.0474113193691039</v>
      </c>
    </row>
    <row r="1181" spans="1:18" x14ac:dyDescent="0.3">
      <c r="A1181" s="2">
        <v>42454</v>
      </c>
      <c r="B1181" s="1">
        <v>26.4175</v>
      </c>
      <c r="C1181" s="1">
        <v>582.95000000000005</v>
      </c>
      <c r="D1181" s="1">
        <v>113.05</v>
      </c>
      <c r="E1181" s="1">
        <f t="shared" si="122"/>
        <v>0</v>
      </c>
      <c r="F1181" s="1">
        <f t="shared" si="123"/>
        <v>0</v>
      </c>
      <c r="G1181" s="1">
        <f t="shared" si="124"/>
        <v>0</v>
      </c>
      <c r="P1181" s="39">
        <f t="shared" si="125"/>
        <v>250.53526075759322</v>
      </c>
      <c r="Q1181" s="26">
        <f t="shared" si="126"/>
        <v>0</v>
      </c>
      <c r="R1181" s="26">
        <f t="shared" si="127"/>
        <v>0</v>
      </c>
    </row>
    <row r="1182" spans="1:18" x14ac:dyDescent="0.3">
      <c r="A1182" s="2">
        <v>42453</v>
      </c>
      <c r="B1182" s="1">
        <v>26.4175</v>
      </c>
      <c r="C1182" s="1">
        <v>582.95000000000005</v>
      </c>
      <c r="D1182" s="1">
        <v>113.05</v>
      </c>
      <c r="E1182" s="1">
        <f t="shared" si="122"/>
        <v>-4.343727320791608E-3</v>
      </c>
      <c r="F1182" s="1">
        <f t="shared" si="123"/>
        <v>2.311456768171443E-2</v>
      </c>
      <c r="G1182" s="1">
        <f t="shared" si="124"/>
        <v>4.5214847188458371E-3</v>
      </c>
      <c r="P1182" s="39">
        <f t="shared" si="125"/>
        <v>250.53526075759322</v>
      </c>
      <c r="Q1182" s="26">
        <f t="shared" si="126"/>
        <v>4.9775856062609591</v>
      </c>
      <c r="R1182" s="26">
        <f t="shared" si="127"/>
        <v>-4.9775856062609591</v>
      </c>
    </row>
    <row r="1183" spans="1:18" x14ac:dyDescent="0.3">
      <c r="A1183" s="2">
        <v>42452</v>
      </c>
      <c r="B1183" s="1">
        <v>26.532499999999999</v>
      </c>
      <c r="C1183" s="1">
        <v>569.62990000000002</v>
      </c>
      <c r="D1183" s="1">
        <v>112.54</v>
      </c>
      <c r="E1183" s="1">
        <f t="shared" si="122"/>
        <v>-5.5438243935825304E-3</v>
      </c>
      <c r="F1183" s="1">
        <f t="shared" si="123"/>
        <v>1.6193292248409395E-2</v>
      </c>
      <c r="G1183" s="1">
        <f t="shared" si="124"/>
        <v>2.5801873827693261E-3</v>
      </c>
      <c r="P1183" s="39">
        <f t="shared" si="125"/>
        <v>245.55767515133226</v>
      </c>
      <c r="Q1183" s="26">
        <f t="shared" si="126"/>
        <v>3.3777674754851432</v>
      </c>
      <c r="R1183" s="26">
        <f t="shared" si="127"/>
        <v>-3.3777674754851432</v>
      </c>
    </row>
    <row r="1184" spans="1:18" x14ac:dyDescent="0.3">
      <c r="A1184" s="2">
        <v>42451</v>
      </c>
      <c r="B1184" s="1">
        <v>26.68</v>
      </c>
      <c r="C1184" s="1">
        <v>560.48</v>
      </c>
      <c r="D1184" s="1">
        <v>112.25</v>
      </c>
      <c r="E1184" s="1">
        <f t="shared" si="122"/>
        <v>7.6189053117358633E-3</v>
      </c>
      <c r="F1184" s="1">
        <f t="shared" si="123"/>
        <v>1.1664974436585202E-2</v>
      </c>
      <c r="G1184" s="1">
        <f t="shared" si="124"/>
        <v>3.5698386862250387E-3</v>
      </c>
      <c r="P1184" s="39">
        <f t="shared" si="125"/>
        <v>242.17990767584712</v>
      </c>
      <c r="Q1184" s="26">
        <f t="shared" si="126"/>
        <v>2.5688853271627181</v>
      </c>
      <c r="R1184" s="26">
        <f t="shared" si="127"/>
        <v>-2.5688853271627181</v>
      </c>
    </row>
    <row r="1185" spans="1:18" x14ac:dyDescent="0.3">
      <c r="A1185" s="2">
        <v>42450</v>
      </c>
      <c r="B1185" s="1">
        <v>26.477499999999999</v>
      </c>
      <c r="C1185" s="1">
        <v>553.98</v>
      </c>
      <c r="D1185" s="1">
        <v>111.85</v>
      </c>
      <c r="E1185" s="1">
        <f t="shared" si="122"/>
        <v>-9.4415333120226888E-5</v>
      </c>
      <c r="F1185" s="1">
        <f t="shared" si="123"/>
        <v>3.4354405670925315E-3</v>
      </c>
      <c r="G1185" s="1">
        <f t="shared" si="124"/>
        <v>3.5826281042605902E-3</v>
      </c>
      <c r="P1185" s="39">
        <f t="shared" si="125"/>
        <v>239.6110223486844</v>
      </c>
      <c r="Q1185" s="26">
        <f t="shared" si="126"/>
        <v>0.78665395794422466</v>
      </c>
      <c r="R1185" s="26">
        <f t="shared" si="127"/>
        <v>-0.78665395794422466</v>
      </c>
    </row>
    <row r="1186" spans="1:18" x14ac:dyDescent="0.3">
      <c r="A1186" s="2">
        <v>42447</v>
      </c>
      <c r="B1186" s="1">
        <v>26.48</v>
      </c>
      <c r="C1186" s="1">
        <v>552.08010000000002</v>
      </c>
      <c r="D1186" s="1">
        <v>111.45</v>
      </c>
      <c r="E1186" s="1">
        <f t="shared" si="122"/>
        <v>1.1335727644991723E-3</v>
      </c>
      <c r="F1186" s="1">
        <f t="shared" si="123"/>
        <v>-1.324296019991753E-2</v>
      </c>
      <c r="G1186" s="1">
        <f t="shared" si="124"/>
        <v>3.8656945698626612E-3</v>
      </c>
      <c r="P1186" s="39">
        <f t="shared" si="125"/>
        <v>238.82436839074018</v>
      </c>
      <c r="Q1186" s="26">
        <f t="shared" si="126"/>
        <v>-2.6099251334326254</v>
      </c>
      <c r="R1186" s="26">
        <f t="shared" si="127"/>
        <v>2.6099251334326254</v>
      </c>
    </row>
    <row r="1187" spans="1:18" x14ac:dyDescent="0.3">
      <c r="A1187" s="2">
        <v>42446</v>
      </c>
      <c r="B1187" s="1">
        <v>26.45</v>
      </c>
      <c r="C1187" s="1">
        <v>559.43989999999997</v>
      </c>
      <c r="D1187" s="1">
        <v>111.02</v>
      </c>
      <c r="E1187" s="1">
        <f t="shared" si="122"/>
        <v>-1.605515762545627E-3</v>
      </c>
      <c r="F1187" s="1">
        <f t="shared" si="123"/>
        <v>-2.6163564353878413E-2</v>
      </c>
      <c r="G1187" s="1">
        <f t="shared" si="124"/>
        <v>-1.0394358818175667E-2</v>
      </c>
      <c r="P1187" s="39">
        <f t="shared" si="125"/>
        <v>241.4342935241728</v>
      </c>
      <c r="Q1187" s="26">
        <f t="shared" si="126"/>
        <v>-5.7408473846932679</v>
      </c>
      <c r="R1187" s="26">
        <f t="shared" si="127"/>
        <v>5.7408473846932679</v>
      </c>
    </row>
    <row r="1188" spans="1:18" x14ac:dyDescent="0.3">
      <c r="A1188" s="2">
        <v>42445</v>
      </c>
      <c r="B1188" s="1">
        <v>26.4925</v>
      </c>
      <c r="C1188" s="1">
        <v>574.27</v>
      </c>
      <c r="D1188" s="1">
        <v>112.18</v>
      </c>
      <c r="E1188" s="1">
        <f t="shared" si="122"/>
        <v>1.3203706426760121E-2</v>
      </c>
      <c r="F1188" s="1">
        <f t="shared" si="123"/>
        <v>-4.777258953150316E-3</v>
      </c>
      <c r="G1188" s="1">
        <f t="shared" si="124"/>
        <v>1.3551923803497052E-2</v>
      </c>
      <c r="P1188" s="39">
        <f t="shared" si="125"/>
        <v>247.17514090886607</v>
      </c>
      <c r="Q1188" s="26">
        <f t="shared" si="126"/>
        <v>-0.54345490505664884</v>
      </c>
      <c r="R1188" s="26">
        <f t="shared" si="127"/>
        <v>0.54345490505664884</v>
      </c>
    </row>
    <row r="1189" spans="1:18" x14ac:dyDescent="0.3">
      <c r="A1189" s="2">
        <v>42444</v>
      </c>
      <c r="B1189" s="1">
        <v>26.145</v>
      </c>
      <c r="C1189" s="1">
        <v>577.02</v>
      </c>
      <c r="D1189" s="1">
        <v>110.67</v>
      </c>
      <c r="E1189" s="1">
        <f t="shared" si="122"/>
        <v>1.9894427264114126E-2</v>
      </c>
      <c r="F1189" s="1">
        <f t="shared" si="123"/>
        <v>6.3455209621859979E-3</v>
      </c>
      <c r="G1189" s="1">
        <f t="shared" si="124"/>
        <v>7.0729348178612816E-3</v>
      </c>
      <c r="P1189" s="39">
        <f t="shared" si="125"/>
        <v>247.71859581392272</v>
      </c>
      <c r="Q1189" s="26">
        <f t="shared" si="126"/>
        <v>1.7291108165200626</v>
      </c>
      <c r="R1189" s="26">
        <f t="shared" si="127"/>
        <v>-1.7291108165200626</v>
      </c>
    </row>
    <row r="1190" spans="1:18" x14ac:dyDescent="0.3">
      <c r="A1190" s="2">
        <v>42443</v>
      </c>
      <c r="B1190" s="1">
        <v>25.63</v>
      </c>
      <c r="C1190" s="1">
        <v>573.37009999999998</v>
      </c>
      <c r="D1190" s="1">
        <v>109.89</v>
      </c>
      <c r="E1190" s="1">
        <f t="shared" si="122"/>
        <v>2.5393118440170601E-3</v>
      </c>
      <c r="F1190" s="1">
        <f t="shared" si="123"/>
        <v>6.5793153081259211E-3</v>
      </c>
      <c r="G1190" s="1">
        <f t="shared" si="124"/>
        <v>4.3775719701341746E-3</v>
      </c>
      <c r="P1190" s="39">
        <f t="shared" si="125"/>
        <v>245.98948499740266</v>
      </c>
      <c r="Q1190" s="26">
        <f t="shared" si="126"/>
        <v>1.5182773766113371</v>
      </c>
      <c r="R1190" s="26">
        <f t="shared" si="127"/>
        <v>-1.5182773766113371</v>
      </c>
    </row>
    <row r="1191" spans="1:18" x14ac:dyDescent="0.3">
      <c r="A1191" s="2">
        <v>42440</v>
      </c>
      <c r="B1191" s="1">
        <v>25.565000000000001</v>
      </c>
      <c r="C1191" s="1">
        <v>569.61009999999999</v>
      </c>
      <c r="D1191" s="1">
        <v>109.41</v>
      </c>
      <c r="E1191" s="1">
        <f t="shared" si="122"/>
        <v>1.0716319434054199E-2</v>
      </c>
      <c r="F1191" s="1">
        <f t="shared" si="123"/>
        <v>1.8928028895058228E-2</v>
      </c>
      <c r="G1191" s="1">
        <f t="shared" si="124"/>
        <v>1.9287267931275085E-2</v>
      </c>
      <c r="P1191" s="39">
        <f t="shared" si="125"/>
        <v>244.47120762079132</v>
      </c>
      <c r="Q1191" s="26">
        <f t="shared" si="126"/>
        <v>4.506496816639725</v>
      </c>
      <c r="R1191" s="26">
        <f t="shared" si="127"/>
        <v>-4.506496816639725</v>
      </c>
    </row>
    <row r="1192" spans="1:18" x14ac:dyDescent="0.3">
      <c r="A1192" s="2">
        <v>42439</v>
      </c>
      <c r="B1192" s="1">
        <v>25.2925</v>
      </c>
      <c r="C1192" s="1">
        <v>558.92989999999998</v>
      </c>
      <c r="D1192" s="1">
        <v>107.32</v>
      </c>
      <c r="E1192" s="1">
        <f t="shared" si="122"/>
        <v>4.9433981925171714E-4</v>
      </c>
      <c r="F1192" s="1">
        <f t="shared" si="123"/>
        <v>-9.6584422438928948E-4</v>
      </c>
      <c r="G1192" s="1">
        <f t="shared" si="124"/>
        <v>-1.7688409397134492E-3</v>
      </c>
      <c r="P1192" s="39">
        <f t="shared" si="125"/>
        <v>239.96471080415159</v>
      </c>
      <c r="Q1192" s="26">
        <f t="shared" si="126"/>
        <v>-0.23527667252366768</v>
      </c>
      <c r="R1192" s="26">
        <f t="shared" si="127"/>
        <v>0.23527667252366768</v>
      </c>
    </row>
    <row r="1193" spans="1:18" x14ac:dyDescent="0.3">
      <c r="A1193" s="2">
        <v>42438</v>
      </c>
      <c r="B1193" s="1">
        <v>25.28</v>
      </c>
      <c r="C1193" s="1">
        <v>559.47</v>
      </c>
      <c r="D1193" s="1">
        <v>107.51</v>
      </c>
      <c r="E1193" s="1">
        <f t="shared" si="122"/>
        <v>8.9042795890644552E-4</v>
      </c>
      <c r="F1193" s="1">
        <f t="shared" si="123"/>
        <v>-1.4110546847527173E-3</v>
      </c>
      <c r="G1193" s="1">
        <f t="shared" si="124"/>
        <v>1.4805367888731965E-2</v>
      </c>
      <c r="P1193" s="39">
        <f t="shared" si="125"/>
        <v>240.19998747667526</v>
      </c>
      <c r="Q1193" s="26">
        <f t="shared" si="126"/>
        <v>6.0241398855055195E-2</v>
      </c>
      <c r="R1193" s="26">
        <f t="shared" si="127"/>
        <v>-6.0241398855055195E-2</v>
      </c>
    </row>
    <row r="1194" spans="1:18" x14ac:dyDescent="0.3">
      <c r="A1194" s="2">
        <v>42437</v>
      </c>
      <c r="B1194" s="1">
        <v>25.2575</v>
      </c>
      <c r="C1194" s="1">
        <v>560.26</v>
      </c>
      <c r="D1194" s="1">
        <v>105.93</v>
      </c>
      <c r="E1194" s="1">
        <f t="shared" si="122"/>
        <v>-8.2799881623341638E-3</v>
      </c>
      <c r="F1194" s="1">
        <f t="shared" si="123"/>
        <v>-4.5233635440164845E-3</v>
      </c>
      <c r="G1194" s="1">
        <f t="shared" si="124"/>
        <v>1.8898238639695343E-3</v>
      </c>
      <c r="P1194" s="39">
        <f t="shared" si="125"/>
        <v>240.13974607782021</v>
      </c>
      <c r="Q1194" s="26">
        <f t="shared" si="126"/>
        <v>-0.98084672305935783</v>
      </c>
      <c r="R1194" s="26">
        <f t="shared" si="127"/>
        <v>0.98084672305935783</v>
      </c>
    </row>
    <row r="1195" spans="1:18" x14ac:dyDescent="0.3">
      <c r="A1195" s="2">
        <v>42436</v>
      </c>
      <c r="B1195" s="1">
        <v>25.467500000000001</v>
      </c>
      <c r="C1195" s="1">
        <v>562.79999999999995</v>
      </c>
      <c r="D1195" s="1">
        <v>105.73</v>
      </c>
      <c r="E1195" s="1">
        <f t="shared" si="122"/>
        <v>-1.1128580293627087E-2</v>
      </c>
      <c r="F1195" s="1">
        <f t="shared" si="123"/>
        <v>-2.1688990311239855E-2</v>
      </c>
      <c r="G1195" s="1">
        <f t="shared" si="124"/>
        <v>-2.4847159083223408E-2</v>
      </c>
      <c r="P1195" s="39">
        <f t="shared" si="125"/>
        <v>241.12059280087956</v>
      </c>
      <c r="Q1195" s="26">
        <f t="shared" si="126"/>
        <v>-5.2475801560592856</v>
      </c>
      <c r="R1195" s="26">
        <f t="shared" si="127"/>
        <v>5.2475801560592856</v>
      </c>
    </row>
    <row r="1196" spans="1:18" x14ac:dyDescent="0.3">
      <c r="A1196" s="2">
        <v>42433</v>
      </c>
      <c r="B1196" s="1">
        <v>25.752500000000001</v>
      </c>
      <c r="C1196" s="1">
        <v>575.13990000000001</v>
      </c>
      <c r="D1196" s="1">
        <v>108.39</v>
      </c>
      <c r="E1196" s="1">
        <f t="shared" si="122"/>
        <v>1.4767272413760036E-2</v>
      </c>
      <c r="F1196" s="1">
        <f t="shared" si="123"/>
        <v>-4.0778106772348856E-3</v>
      </c>
      <c r="G1196" s="1">
        <f t="shared" si="124"/>
        <v>-1.0919042282611129E-2</v>
      </c>
      <c r="P1196" s="39">
        <f t="shared" si="125"/>
        <v>246.36817295693885</v>
      </c>
      <c r="Q1196" s="26">
        <f t="shared" si="126"/>
        <v>-0.96859703616098614</v>
      </c>
      <c r="R1196" s="26">
        <f t="shared" si="127"/>
        <v>0.96859703616098614</v>
      </c>
    </row>
    <row r="1197" spans="1:18" x14ac:dyDescent="0.3">
      <c r="A1197" s="2">
        <v>42432</v>
      </c>
      <c r="B1197" s="1">
        <v>25.375</v>
      </c>
      <c r="C1197" s="1">
        <v>577.49</v>
      </c>
      <c r="D1197" s="1">
        <v>109.58</v>
      </c>
      <c r="E1197" s="1">
        <f t="shared" si="122"/>
        <v>7.4165976550496192E-3</v>
      </c>
      <c r="F1197" s="1">
        <f t="shared" si="123"/>
        <v>-4.6989807461231157E-3</v>
      </c>
      <c r="G1197" s="1">
        <f t="shared" si="124"/>
        <v>-3.3708408905006059E-3</v>
      </c>
      <c r="P1197" s="39">
        <f t="shared" si="125"/>
        <v>247.33676999309984</v>
      </c>
      <c r="Q1197" s="26">
        <f t="shared" si="126"/>
        <v>-1.0060954542426828</v>
      </c>
      <c r="R1197" s="26">
        <f t="shared" si="127"/>
        <v>1.0060954542426828</v>
      </c>
    </row>
    <row r="1198" spans="1:18" x14ac:dyDescent="0.3">
      <c r="A1198" s="2">
        <v>42431</v>
      </c>
      <c r="B1198" s="1">
        <v>25.1875</v>
      </c>
      <c r="C1198" s="1">
        <v>580.21</v>
      </c>
      <c r="D1198" s="1">
        <v>109.95</v>
      </c>
      <c r="E1198" s="1">
        <f t="shared" si="122"/>
        <v>2.1860104094636292E-3</v>
      </c>
      <c r="F1198" s="1">
        <f t="shared" si="123"/>
        <v>2.0185471593994679E-3</v>
      </c>
      <c r="G1198" s="1">
        <f t="shared" si="124"/>
        <v>1.1830551500436289E-3</v>
      </c>
      <c r="P1198" s="39">
        <f t="shared" si="125"/>
        <v>248.34286544734252</v>
      </c>
      <c r="Q1198" s="26">
        <f t="shared" si="126"/>
        <v>0.48265426732768901</v>
      </c>
      <c r="R1198" s="26">
        <f t="shared" si="127"/>
        <v>-0.48265426732768901</v>
      </c>
    </row>
    <row r="1199" spans="1:18" x14ac:dyDescent="0.3">
      <c r="A1199" s="2">
        <v>42430</v>
      </c>
      <c r="B1199" s="1">
        <v>25.1325</v>
      </c>
      <c r="C1199" s="1">
        <v>579.04</v>
      </c>
      <c r="D1199" s="1">
        <v>109.82</v>
      </c>
      <c r="E1199" s="1">
        <f t="shared" si="122"/>
        <v>3.8946205921872597E-2</v>
      </c>
      <c r="F1199" s="1">
        <f t="shared" si="123"/>
        <v>4.6881927983673272E-2</v>
      </c>
      <c r="G1199" s="1">
        <f t="shared" si="124"/>
        <v>2.6761770580008244E-2</v>
      </c>
      <c r="P1199" s="39">
        <f t="shared" si="125"/>
        <v>247.86021118001483</v>
      </c>
      <c r="Q1199" s="26">
        <f t="shared" si="126"/>
        <v>10.811278842406267</v>
      </c>
      <c r="R1199" s="26">
        <f t="shared" si="127"/>
        <v>-10.811278842406267</v>
      </c>
    </row>
    <row r="1200" spans="1:18" x14ac:dyDescent="0.3">
      <c r="A1200" s="2">
        <v>42429</v>
      </c>
      <c r="B1200" s="1">
        <v>24.172499999999999</v>
      </c>
      <c r="C1200" s="1">
        <v>552.52</v>
      </c>
      <c r="D1200" s="1">
        <v>106.92</v>
      </c>
      <c r="E1200" s="1">
        <f t="shared" si="122"/>
        <v>-2.2727282510024553E-3</v>
      </c>
      <c r="F1200" s="1">
        <f t="shared" si="123"/>
        <v>-4.8928104831528945E-3</v>
      </c>
      <c r="G1200" s="1">
        <f t="shared" si="124"/>
        <v>-9.3093206287821473E-3</v>
      </c>
      <c r="P1200" s="39">
        <f t="shared" si="125"/>
        <v>237.04893233760856</v>
      </c>
      <c r="Q1200" s="26">
        <f t="shared" si="126"/>
        <v>-1.2394066055144037</v>
      </c>
      <c r="R1200" s="26">
        <f t="shared" si="127"/>
        <v>1.2394066055144037</v>
      </c>
    </row>
    <row r="1201" spans="1:18" x14ac:dyDescent="0.3">
      <c r="A1201" s="2">
        <v>42426</v>
      </c>
      <c r="B1201" s="1">
        <v>24.227499999999999</v>
      </c>
      <c r="C1201" s="1">
        <v>555.23</v>
      </c>
      <c r="D1201" s="1">
        <v>107.92</v>
      </c>
      <c r="E1201" s="1">
        <f t="shared" si="122"/>
        <v>1.5490270046320453E-3</v>
      </c>
      <c r="F1201" s="1">
        <f t="shared" si="123"/>
        <v>1.4427494614954563E-4</v>
      </c>
      <c r="G1201" s="1">
        <f t="shared" si="124"/>
        <v>-1.3889534155737784E-3</v>
      </c>
      <c r="P1201" s="39">
        <f t="shared" si="125"/>
        <v>238.28833894312297</v>
      </c>
      <c r="Q1201" s="26">
        <f t="shared" si="126"/>
        <v>1.2584585716354013E-2</v>
      </c>
      <c r="R1201" s="26">
        <f t="shared" si="127"/>
        <v>-1.2584585716354013E-2</v>
      </c>
    </row>
    <row r="1202" spans="1:18" x14ac:dyDescent="0.3">
      <c r="A1202" s="2">
        <v>42425</v>
      </c>
      <c r="B1202" s="1">
        <v>24.19</v>
      </c>
      <c r="C1202" s="1">
        <v>555.1499</v>
      </c>
      <c r="D1202" s="1">
        <v>108.07</v>
      </c>
      <c r="E1202" s="1">
        <f t="shared" si="122"/>
        <v>6.8443697655797536E-3</v>
      </c>
      <c r="F1202" s="1">
        <f t="shared" si="123"/>
        <v>2.0012810618646646E-3</v>
      </c>
      <c r="G1202" s="1">
        <f t="shared" si="124"/>
        <v>1.1072455526738708E-2</v>
      </c>
      <c r="P1202" s="39">
        <f t="shared" si="125"/>
        <v>238.27575435740661</v>
      </c>
      <c r="Q1202" s="26">
        <f t="shared" si="126"/>
        <v>0.73576902599518235</v>
      </c>
      <c r="R1202" s="26">
        <f t="shared" si="127"/>
        <v>-0.73576902599518235</v>
      </c>
    </row>
    <row r="1203" spans="1:18" x14ac:dyDescent="0.3">
      <c r="A1203" s="2">
        <v>42424</v>
      </c>
      <c r="B1203" s="1">
        <v>24.024999999999999</v>
      </c>
      <c r="C1203" s="1">
        <v>554.04</v>
      </c>
      <c r="D1203" s="1">
        <v>106.88</v>
      </c>
      <c r="E1203" s="1">
        <f t="shared" si="122"/>
        <v>1.4780917980837959E-2</v>
      </c>
      <c r="F1203" s="1">
        <f t="shared" si="123"/>
        <v>1.9875706183215842E-3</v>
      </c>
      <c r="G1203" s="1">
        <f t="shared" si="124"/>
        <v>1.3374975686011851E-2</v>
      </c>
      <c r="P1203" s="39">
        <f t="shared" si="125"/>
        <v>237.53998533141143</v>
      </c>
      <c r="Q1203" s="26">
        <f t="shared" si="126"/>
        <v>0.85968162878319276</v>
      </c>
      <c r="R1203" s="26">
        <f t="shared" si="127"/>
        <v>-0.85968162878319276</v>
      </c>
    </row>
    <row r="1204" spans="1:18" x14ac:dyDescent="0.3">
      <c r="A1204" s="2">
        <v>42423</v>
      </c>
      <c r="B1204" s="1">
        <v>23.672499999999999</v>
      </c>
      <c r="C1204" s="1">
        <v>552.93989999999997</v>
      </c>
      <c r="D1204" s="1">
        <v>105.46</v>
      </c>
      <c r="E1204" s="1">
        <f t="shared" si="122"/>
        <v>-2.2864701249428066E-2</v>
      </c>
      <c r="F1204" s="1">
        <f t="shared" si="123"/>
        <v>-1.1794212063403744E-2</v>
      </c>
      <c r="G1204" s="1">
        <f t="shared" si="124"/>
        <v>-1.5991310574084303E-2</v>
      </c>
      <c r="P1204" s="39">
        <f t="shared" si="125"/>
        <v>236.68030370262824</v>
      </c>
      <c r="Q1204" s="26">
        <f t="shared" si="126"/>
        <v>-3.0157259607996707</v>
      </c>
      <c r="R1204" s="26">
        <f t="shared" si="127"/>
        <v>3.0157259607996707</v>
      </c>
    </row>
    <row r="1205" spans="1:18" x14ac:dyDescent="0.3">
      <c r="A1205" s="2">
        <v>42422</v>
      </c>
      <c r="B1205" s="1">
        <v>24.22</v>
      </c>
      <c r="C1205" s="1">
        <v>559.5</v>
      </c>
      <c r="D1205" s="1">
        <v>107.16</v>
      </c>
      <c r="E1205" s="1">
        <f t="shared" si="122"/>
        <v>8.7083278917841934E-3</v>
      </c>
      <c r="F1205" s="1">
        <f t="shared" si="123"/>
        <v>4.4963901165625007E-2</v>
      </c>
      <c r="G1205" s="1">
        <f t="shared" si="124"/>
        <v>2.4466341065910592E-2</v>
      </c>
      <c r="P1205" s="39">
        <f t="shared" si="125"/>
        <v>239.69602966342791</v>
      </c>
      <c r="Q1205" s="26">
        <f t="shared" si="126"/>
        <v>9.7249748634875175</v>
      </c>
      <c r="R1205" s="26">
        <f t="shared" si="127"/>
        <v>-9.7249748634875175</v>
      </c>
    </row>
    <row r="1206" spans="1:18" x14ac:dyDescent="0.3">
      <c r="A1206" s="2">
        <v>42419</v>
      </c>
      <c r="B1206" s="1">
        <v>24.01</v>
      </c>
      <c r="C1206" s="1">
        <v>534.8999</v>
      </c>
      <c r="D1206" s="1">
        <v>104.57</v>
      </c>
      <c r="E1206" s="1">
        <f t="shared" si="122"/>
        <v>-2.2880925219108225E-3</v>
      </c>
      <c r="F1206" s="1">
        <f t="shared" si="123"/>
        <v>1.8681363994731193E-2</v>
      </c>
      <c r="G1206" s="1">
        <f t="shared" si="124"/>
        <v>1.0574987993638174E-2</v>
      </c>
      <c r="P1206" s="39">
        <f t="shared" si="125"/>
        <v>229.97105479994039</v>
      </c>
      <c r="Q1206" s="26">
        <f t="shared" si="126"/>
        <v>3.8683557440021161</v>
      </c>
      <c r="R1206" s="26">
        <f t="shared" si="127"/>
        <v>-3.8683557440021161</v>
      </c>
    </row>
    <row r="1207" spans="1:18" x14ac:dyDescent="0.3">
      <c r="A1207" s="2">
        <v>42418</v>
      </c>
      <c r="B1207" s="1">
        <v>24.065000000000001</v>
      </c>
      <c r="C1207" s="1">
        <v>525</v>
      </c>
      <c r="D1207" s="1">
        <v>103.47</v>
      </c>
      <c r="E1207" s="1">
        <f t="shared" si="122"/>
        <v>-1.9138355515325198E-2</v>
      </c>
      <c r="F1207" s="1">
        <f t="shared" si="123"/>
        <v>-1.7185011984938971E-2</v>
      </c>
      <c r="G1207" s="1">
        <f t="shared" si="124"/>
        <v>-1.6581584686750288E-2</v>
      </c>
      <c r="P1207" s="39">
        <f t="shared" si="125"/>
        <v>226.10269905593827</v>
      </c>
      <c r="Q1207" s="26">
        <f t="shared" si="126"/>
        <v>-3.9252282767177462</v>
      </c>
      <c r="R1207" s="26">
        <f t="shared" si="127"/>
        <v>3.9252282767177462</v>
      </c>
    </row>
    <row r="1208" spans="1:18" x14ac:dyDescent="0.3">
      <c r="A1208" s="2">
        <v>42417</v>
      </c>
      <c r="B1208" s="1">
        <v>24.53</v>
      </c>
      <c r="C1208" s="1">
        <v>534.1001</v>
      </c>
      <c r="D1208" s="1">
        <v>105.2</v>
      </c>
      <c r="E1208" s="1">
        <f t="shared" si="122"/>
        <v>1.5198485203783745E-2</v>
      </c>
      <c r="F1208" s="1">
        <f t="shared" si="123"/>
        <v>2.4641120759665895E-2</v>
      </c>
      <c r="G1208" s="1">
        <f t="shared" si="124"/>
        <v>3.472134480581951E-2</v>
      </c>
      <c r="P1208" s="39">
        <f t="shared" si="125"/>
        <v>230.02792733265602</v>
      </c>
      <c r="Q1208" s="26">
        <f t="shared" si="126"/>
        <v>5.7278961341561399</v>
      </c>
      <c r="R1208" s="26">
        <f t="shared" si="127"/>
        <v>-5.7278961341561399</v>
      </c>
    </row>
    <row r="1209" spans="1:18" x14ac:dyDescent="0.3">
      <c r="A1209" s="2">
        <v>42416</v>
      </c>
      <c r="B1209" s="1">
        <v>24.16</v>
      </c>
      <c r="C1209" s="1">
        <v>521.1001</v>
      </c>
      <c r="D1209" s="1">
        <v>101.61</v>
      </c>
      <c r="E1209" s="1">
        <f t="shared" si="122"/>
        <v>2.7804340554294881E-2</v>
      </c>
      <c r="F1209" s="1">
        <f t="shared" si="123"/>
        <v>2.7273174538849181E-2</v>
      </c>
      <c r="G1209" s="1">
        <f t="shared" si="124"/>
        <v>-3.928892196637588E-3</v>
      </c>
      <c r="P1209" s="39">
        <f t="shared" si="125"/>
        <v>224.30003119849988</v>
      </c>
      <c r="Q1209" s="26">
        <f t="shared" si="126"/>
        <v>5.3607519916225215</v>
      </c>
      <c r="R1209" s="26">
        <f t="shared" si="127"/>
        <v>-5.3607519916225215</v>
      </c>
    </row>
    <row r="1210" spans="1:18" x14ac:dyDescent="0.3">
      <c r="A1210" s="2">
        <v>42415</v>
      </c>
      <c r="B1210" s="1">
        <v>23.497499999999999</v>
      </c>
      <c r="C1210" s="1">
        <v>507.08010000000002</v>
      </c>
      <c r="D1210" s="1">
        <v>102.01</v>
      </c>
      <c r="E1210" s="1">
        <f t="shared" si="122"/>
        <v>0</v>
      </c>
      <c r="F1210" s="1">
        <f t="shared" si="123"/>
        <v>0</v>
      </c>
      <c r="G1210" s="1">
        <f t="shared" si="124"/>
        <v>0</v>
      </c>
      <c r="P1210" s="39">
        <f t="shared" si="125"/>
        <v>218.93927920687736</v>
      </c>
      <c r="Q1210" s="26">
        <f t="shared" si="126"/>
        <v>0</v>
      </c>
      <c r="R1210" s="26">
        <f t="shared" si="127"/>
        <v>0</v>
      </c>
    </row>
    <row r="1211" spans="1:18" x14ac:dyDescent="0.3">
      <c r="A1211" s="2">
        <v>42412</v>
      </c>
      <c r="B1211" s="1">
        <v>23.497499999999999</v>
      </c>
      <c r="C1211" s="1">
        <v>507.08010000000002</v>
      </c>
      <c r="D1211" s="1">
        <v>102.01</v>
      </c>
      <c r="E1211" s="1">
        <f t="shared" si="122"/>
        <v>3.0902043878334577E-3</v>
      </c>
      <c r="F1211" s="1">
        <f t="shared" si="123"/>
        <v>6.449719370955077E-3</v>
      </c>
      <c r="G1211" s="1">
        <f t="shared" si="124"/>
        <v>9.8077685382534792E-4</v>
      </c>
      <c r="P1211" s="39">
        <f t="shared" si="125"/>
        <v>218.93927920687736</v>
      </c>
      <c r="Q1211" s="26">
        <f t="shared" si="126"/>
        <v>1.2545494933983719</v>
      </c>
      <c r="R1211" s="26">
        <f t="shared" si="127"/>
        <v>-1.2545494933983719</v>
      </c>
    </row>
    <row r="1212" spans="1:18" x14ac:dyDescent="0.3">
      <c r="A1212" s="2">
        <v>42411</v>
      </c>
      <c r="B1212" s="1">
        <v>23.425000000000001</v>
      </c>
      <c r="C1212" s="1">
        <v>503.82010000000002</v>
      </c>
      <c r="D1212" s="1">
        <v>101.91</v>
      </c>
      <c r="E1212" s="1">
        <f t="shared" si="122"/>
        <v>-6.0648161636824398E-3</v>
      </c>
      <c r="F1212" s="1">
        <f t="shared" si="123"/>
        <v>2.6834756452660053E-2</v>
      </c>
      <c r="G1212" s="1">
        <f t="shared" si="124"/>
        <v>8.9695539993427977E-3</v>
      </c>
      <c r="P1212" s="39">
        <f t="shared" si="125"/>
        <v>217.68472971347899</v>
      </c>
      <c r="Q1212" s="26">
        <f t="shared" si="126"/>
        <v>5.0602560549161524</v>
      </c>
      <c r="R1212" s="26">
        <f t="shared" si="127"/>
        <v>-5.0602560549161524</v>
      </c>
    </row>
    <row r="1213" spans="1:18" x14ac:dyDescent="0.3">
      <c r="A1213" s="2">
        <v>42410</v>
      </c>
      <c r="B1213" s="1">
        <v>23.567499999999999</v>
      </c>
      <c r="C1213" s="1">
        <v>490.48</v>
      </c>
      <c r="D1213" s="1">
        <v>101</v>
      </c>
      <c r="E1213" s="1">
        <f t="shared" si="122"/>
        <v>-7.6086174940320859E-3</v>
      </c>
      <c r="F1213" s="1">
        <f t="shared" si="123"/>
        <v>1.7294964293928662E-2</v>
      </c>
      <c r="G1213" s="1">
        <f t="shared" si="124"/>
        <v>1.4560943410851318E-2</v>
      </c>
      <c r="P1213" s="39">
        <f t="shared" si="125"/>
        <v>212.62447365856283</v>
      </c>
      <c r="Q1213" s="26">
        <f t="shared" si="126"/>
        <v>3.3448178806504245</v>
      </c>
      <c r="R1213" s="26">
        <f t="shared" si="127"/>
        <v>-3.3448178806504245</v>
      </c>
    </row>
    <row r="1214" spans="1:18" x14ac:dyDescent="0.3">
      <c r="A1214" s="2">
        <v>42409</v>
      </c>
      <c r="B1214" s="1">
        <v>23.747499999999999</v>
      </c>
      <c r="C1214" s="1">
        <v>482.07010000000002</v>
      </c>
      <c r="D1214" s="1">
        <v>99.54</v>
      </c>
      <c r="E1214" s="1">
        <f t="shared" si="122"/>
        <v>-2.1052631656720084E-4</v>
      </c>
      <c r="F1214" s="1">
        <f t="shared" si="123"/>
        <v>-1.2430968608627082E-2</v>
      </c>
      <c r="G1214" s="1">
        <f t="shared" si="124"/>
        <v>-2.1074823395646983E-3</v>
      </c>
      <c r="P1214" s="39">
        <f t="shared" si="125"/>
        <v>209.27965577791241</v>
      </c>
      <c r="Q1214" s="26">
        <f t="shared" si="126"/>
        <v>-2.2724665103883126</v>
      </c>
      <c r="R1214" s="26">
        <f t="shared" si="127"/>
        <v>2.2724665103883126</v>
      </c>
    </row>
    <row r="1215" spans="1:18" x14ac:dyDescent="0.3">
      <c r="A1215" s="2">
        <v>42408</v>
      </c>
      <c r="B1215" s="1">
        <v>23.752500000000001</v>
      </c>
      <c r="C1215" s="1">
        <v>488.1001</v>
      </c>
      <c r="D1215" s="1">
        <v>99.75</v>
      </c>
      <c r="E1215" s="1">
        <f t="shared" si="122"/>
        <v>1.0474623622673842E-2</v>
      </c>
      <c r="F1215" s="1">
        <f t="shared" si="123"/>
        <v>-2.8338343388964727E-2</v>
      </c>
      <c r="G1215" s="1">
        <f t="shared" si="124"/>
        <v>-4.2396693879795132E-2</v>
      </c>
      <c r="P1215" s="39">
        <f t="shared" si="125"/>
        <v>211.55212228830072</v>
      </c>
      <c r="Q1215" s="26">
        <f t="shared" si="126"/>
        <v>-6.0102188928485987</v>
      </c>
      <c r="R1215" s="26">
        <f t="shared" si="127"/>
        <v>6.0102188928485987</v>
      </c>
    </row>
    <row r="1216" spans="1:18" x14ac:dyDescent="0.3">
      <c r="A1216" s="2">
        <v>42405</v>
      </c>
      <c r="B1216" s="1">
        <v>23.504999999999999</v>
      </c>
      <c r="C1216" s="1">
        <v>502.12990000000002</v>
      </c>
      <c r="D1216" s="1">
        <v>104.07</v>
      </c>
      <c r="E1216" s="1">
        <f t="shared" si="122"/>
        <v>-2.7071215622487824E-2</v>
      </c>
      <c r="F1216" s="1">
        <f t="shared" si="123"/>
        <v>-6.5760266928907032E-2</v>
      </c>
      <c r="G1216" s="1">
        <f t="shared" si="124"/>
        <v>-5.9861269475315622E-2</v>
      </c>
      <c r="P1216" s="39">
        <f t="shared" si="125"/>
        <v>217.56234118114932</v>
      </c>
      <c r="Q1216" s="26">
        <f t="shared" si="126"/>
        <v>-14.251488834110546</v>
      </c>
      <c r="R1216" s="26">
        <f t="shared" si="127"/>
        <v>14.251488834110546</v>
      </c>
    </row>
    <row r="1217" spans="1:18" x14ac:dyDescent="0.3">
      <c r="A1217" s="2">
        <v>42404</v>
      </c>
      <c r="B1217" s="1">
        <v>24.15</v>
      </c>
      <c r="C1217" s="1">
        <v>536.26</v>
      </c>
      <c r="D1217" s="1">
        <v>110.49</v>
      </c>
      <c r="E1217" s="1">
        <f t="shared" si="122"/>
        <v>2.5913463580968894E-3</v>
      </c>
      <c r="F1217" s="1">
        <f t="shared" si="123"/>
        <v>9.7250904923724176E-3</v>
      </c>
      <c r="G1217" s="1">
        <f t="shared" si="124"/>
        <v>-1.9715666839174379E-2</v>
      </c>
      <c r="P1217" s="39">
        <f t="shared" si="125"/>
        <v>231.81383001525987</v>
      </c>
      <c r="Q1217" s="26">
        <f t="shared" si="126"/>
        <v>1.464042598961953</v>
      </c>
      <c r="R1217" s="26">
        <f t="shared" si="127"/>
        <v>-1.464042598961953</v>
      </c>
    </row>
    <row r="1218" spans="1:18" x14ac:dyDescent="0.3">
      <c r="A1218" s="2">
        <v>42403</v>
      </c>
      <c r="B1218" s="1">
        <v>24.087499999999999</v>
      </c>
      <c r="C1218" s="1">
        <v>531.07010000000002</v>
      </c>
      <c r="D1218" s="1">
        <v>112.69</v>
      </c>
      <c r="E1218" s="1">
        <f t="shared" si="122"/>
        <v>1.9599222971268371E-2</v>
      </c>
      <c r="F1218" s="1">
        <f t="shared" si="123"/>
        <v>-3.8835342821959773E-2</v>
      </c>
      <c r="G1218" s="1">
        <f t="shared" si="124"/>
        <v>-1.689437454434985E-2</v>
      </c>
      <c r="P1218" s="39">
        <f t="shared" si="125"/>
        <v>230.34978741629791</v>
      </c>
      <c r="Q1218" s="26">
        <f t="shared" si="126"/>
        <v>-7.9818193633456076</v>
      </c>
      <c r="R1218" s="26">
        <f t="shared" si="127"/>
        <v>7.9818193633456076</v>
      </c>
    </row>
    <row r="1219" spans="1:18" x14ac:dyDescent="0.3">
      <c r="A1219" s="2">
        <v>42402</v>
      </c>
      <c r="B1219" s="1">
        <v>23.62</v>
      </c>
      <c r="C1219" s="1">
        <v>552.1001</v>
      </c>
      <c r="D1219" s="1">
        <v>114.61</v>
      </c>
      <c r="E1219" s="1">
        <f t="shared" si="122"/>
        <v>-2.0429184633186166E-2</v>
      </c>
      <c r="F1219" s="1">
        <f t="shared" si="123"/>
        <v>-4.0310354963063913E-2</v>
      </c>
      <c r="G1219" s="1">
        <f t="shared" si="124"/>
        <v>-4.1793704717919631E-3</v>
      </c>
      <c r="P1219" s="39">
        <f t="shared" si="125"/>
        <v>238.33160677964352</v>
      </c>
      <c r="Q1219" s="26">
        <f t="shared" si="126"/>
        <v>-8.6852967984990528</v>
      </c>
      <c r="R1219" s="26">
        <f t="shared" si="127"/>
        <v>8.6852967984990528</v>
      </c>
    </row>
    <row r="1220" spans="1:18" x14ac:dyDescent="0.3">
      <c r="A1220" s="2">
        <v>42401</v>
      </c>
      <c r="B1220" s="1">
        <v>24.107500000000002</v>
      </c>
      <c r="C1220" s="1">
        <v>574.81010000000003</v>
      </c>
      <c r="D1220" s="1">
        <v>115.09</v>
      </c>
      <c r="E1220" s="1">
        <f t="shared" si="122"/>
        <v>-9.3926478830152049E-3</v>
      </c>
      <c r="F1220" s="1">
        <f t="shared" si="123"/>
        <v>-2.0985094448442598E-2</v>
      </c>
      <c r="G1220" s="1">
        <f t="shared" si="124"/>
        <v>2.5342315303624876E-2</v>
      </c>
      <c r="P1220" s="39">
        <f t="shared" si="125"/>
        <v>247.01690357814257</v>
      </c>
      <c r="Q1220" s="26">
        <f t="shared" si="126"/>
        <v>-3.9678266542308052</v>
      </c>
      <c r="R1220" s="26">
        <f t="shared" si="127"/>
        <v>3.9678266542308052</v>
      </c>
    </row>
    <row r="1221" spans="1:18" x14ac:dyDescent="0.3">
      <c r="A1221" s="2">
        <v>42398</v>
      </c>
      <c r="B1221" s="1">
        <v>24.335000000000001</v>
      </c>
      <c r="C1221" s="1">
        <v>587</v>
      </c>
      <c r="D1221" s="1">
        <v>112.21</v>
      </c>
      <c r="E1221" s="1">
        <f t="shared" si="122"/>
        <v>3.3958233386633882E-2</v>
      </c>
      <c r="F1221" s="1">
        <f t="shared" si="123"/>
        <v>-7.9151365715997082E-2</v>
      </c>
      <c r="G1221" s="1">
        <f t="shared" si="124"/>
        <v>2.8015568009767452E-2</v>
      </c>
      <c r="P1221" s="39">
        <f t="shared" si="125"/>
        <v>250.98473023237338</v>
      </c>
      <c r="Q1221" s="26">
        <f t="shared" si="126"/>
        <v>-16.831265421806364</v>
      </c>
      <c r="R1221" s="26">
        <f t="shared" si="127"/>
        <v>16.831265421806364</v>
      </c>
    </row>
    <row r="1222" spans="1:18" x14ac:dyDescent="0.3">
      <c r="A1222" s="2">
        <v>42397</v>
      </c>
      <c r="B1222" s="1">
        <v>23.522500000000001</v>
      </c>
      <c r="C1222" s="1">
        <v>635.3501</v>
      </c>
      <c r="D1222" s="1">
        <v>109.11</v>
      </c>
      <c r="E1222" s="1">
        <f t="shared" ref="E1222:E1285" si="128">LN(B1222/B1223)</f>
        <v>7.1463159447123174E-3</v>
      </c>
      <c r="F1222" s="1">
        <f t="shared" ref="F1222:F1285" si="129">LN(C1222/C1223)</f>
        <v>8.538866485056873E-2</v>
      </c>
      <c r="G1222" s="1">
        <f t="shared" ref="G1222:G1285" si="130">LN(D1222/D1223)</f>
        <v>0.14428595371948885</v>
      </c>
      <c r="P1222" s="39">
        <f t="shared" ref="P1222:P1285" si="131">B1222*$J$13+C1222*$J$14+D1222*$J$15</f>
        <v>267.81599565417974</v>
      </c>
      <c r="Q1222" s="26">
        <f t="shared" ref="Q1222:Q1285" si="132">P1222-P1223</f>
        <v>22.43280503970999</v>
      </c>
      <c r="R1222" s="26">
        <f t="shared" ref="R1222:R1285" si="133">-Q1222</f>
        <v>-22.43280503970999</v>
      </c>
    </row>
    <row r="1223" spans="1:18" x14ac:dyDescent="0.3">
      <c r="A1223" s="2">
        <v>42396</v>
      </c>
      <c r="B1223" s="1">
        <v>23.355</v>
      </c>
      <c r="C1223" s="1">
        <v>583.3501</v>
      </c>
      <c r="D1223" s="1">
        <v>94.45</v>
      </c>
      <c r="E1223" s="1">
        <f t="shared" si="128"/>
        <v>-6.7964725913795987E-2</v>
      </c>
      <c r="F1223" s="1">
        <f t="shared" si="129"/>
        <v>-3.0223300726445981E-2</v>
      </c>
      <c r="G1223" s="1">
        <f t="shared" si="130"/>
        <v>-3.0139410457789739E-2</v>
      </c>
      <c r="P1223" s="39">
        <f t="shared" si="131"/>
        <v>245.38319061446975</v>
      </c>
      <c r="Q1223" s="26">
        <f t="shared" si="132"/>
        <v>-7.9113311524587289</v>
      </c>
      <c r="R1223" s="26">
        <f t="shared" si="133"/>
        <v>7.9113311524587289</v>
      </c>
    </row>
    <row r="1224" spans="1:18" x14ac:dyDescent="0.3">
      <c r="A1224" s="2">
        <v>42395</v>
      </c>
      <c r="B1224" s="1">
        <v>24.997499999999999</v>
      </c>
      <c r="C1224" s="1">
        <v>601.25</v>
      </c>
      <c r="D1224" s="1">
        <v>97.34</v>
      </c>
      <c r="E1224" s="1">
        <f t="shared" si="128"/>
        <v>5.5157337853022625E-3</v>
      </c>
      <c r="F1224" s="1">
        <f t="shared" si="129"/>
        <v>7.8812877686310536E-3</v>
      </c>
      <c r="G1224" s="1">
        <f t="shared" si="130"/>
        <v>3.3959384321161435E-3</v>
      </c>
      <c r="P1224" s="39">
        <f t="shared" si="131"/>
        <v>253.29452176692848</v>
      </c>
      <c r="Q1224" s="26">
        <f t="shared" si="132"/>
        <v>1.8700192731062373</v>
      </c>
      <c r="R1224" s="26">
        <f t="shared" si="133"/>
        <v>-1.8700192731062373</v>
      </c>
    </row>
    <row r="1225" spans="1:18" x14ac:dyDescent="0.3">
      <c r="A1225" s="2">
        <v>42394</v>
      </c>
      <c r="B1225" s="1">
        <v>24.86</v>
      </c>
      <c r="C1225" s="1">
        <v>596.53</v>
      </c>
      <c r="D1225" s="1">
        <v>97.01</v>
      </c>
      <c r="E1225" s="1">
        <f t="shared" si="128"/>
        <v>-1.9715863164417317E-2</v>
      </c>
      <c r="F1225" s="1">
        <f t="shared" si="129"/>
        <v>2.5165354196851917E-4</v>
      </c>
      <c r="G1225" s="1">
        <f t="shared" si="130"/>
        <v>-9.540980300979043E-3</v>
      </c>
      <c r="P1225" s="39">
        <f t="shared" si="131"/>
        <v>251.42450249382225</v>
      </c>
      <c r="Q1225" s="26">
        <f t="shared" si="132"/>
        <v>-0.35124759360641633</v>
      </c>
      <c r="R1225" s="26">
        <f t="shared" si="133"/>
        <v>0.35124759360641633</v>
      </c>
    </row>
    <row r="1226" spans="1:18" x14ac:dyDescent="0.3">
      <c r="A1226" s="2">
        <v>42391</v>
      </c>
      <c r="B1226" s="1">
        <v>25.355</v>
      </c>
      <c r="C1226" s="1">
        <v>596.37990000000002</v>
      </c>
      <c r="D1226" s="1">
        <v>97.94</v>
      </c>
      <c r="E1226" s="1">
        <f t="shared" si="128"/>
        <v>5.1801991562793151E-2</v>
      </c>
      <c r="F1226" s="1">
        <f t="shared" si="129"/>
        <v>3.6473057308226281E-2</v>
      </c>
      <c r="G1226" s="1">
        <f t="shared" si="130"/>
        <v>3.9359583322150081E-2</v>
      </c>
      <c r="P1226" s="39">
        <f t="shared" si="131"/>
        <v>251.77575008742866</v>
      </c>
      <c r="Q1226" s="26">
        <f t="shared" si="132"/>
        <v>9.2306484704270133</v>
      </c>
      <c r="R1226" s="26">
        <f t="shared" si="133"/>
        <v>-9.2306484704270133</v>
      </c>
    </row>
    <row r="1227" spans="1:18" x14ac:dyDescent="0.3">
      <c r="A1227" s="2">
        <v>42390</v>
      </c>
      <c r="B1227" s="1">
        <v>24.074999999999999</v>
      </c>
      <c r="C1227" s="1">
        <v>575.02</v>
      </c>
      <c r="D1227" s="1">
        <v>94.16</v>
      </c>
      <c r="E1227" s="1">
        <f t="shared" si="128"/>
        <v>-5.0753643569174979E-3</v>
      </c>
      <c r="F1227" s="1">
        <f t="shared" si="129"/>
        <v>5.6680101864840073E-3</v>
      </c>
      <c r="G1227" s="1">
        <f t="shared" si="130"/>
        <v>-2.0158088625379048E-3</v>
      </c>
      <c r="P1227" s="39">
        <f t="shared" si="131"/>
        <v>242.54510161700165</v>
      </c>
      <c r="Q1227" s="26">
        <f t="shared" si="132"/>
        <v>1.1072211843721504</v>
      </c>
      <c r="R1227" s="26">
        <f t="shared" si="133"/>
        <v>-1.1072211843721504</v>
      </c>
    </row>
    <row r="1228" spans="1:18" x14ac:dyDescent="0.3">
      <c r="A1228" s="2">
        <v>42389</v>
      </c>
      <c r="B1228" s="1">
        <v>24.197500000000002</v>
      </c>
      <c r="C1228" s="1">
        <v>571.77</v>
      </c>
      <c r="D1228" s="1">
        <v>94.35</v>
      </c>
      <c r="E1228" s="1">
        <f t="shared" si="128"/>
        <v>1.3440167440593278E-3</v>
      </c>
      <c r="F1228" s="1">
        <f t="shared" si="129"/>
        <v>-4.7284711874008845E-3</v>
      </c>
      <c r="G1228" s="1">
        <f t="shared" si="130"/>
        <v>-9.5987235581552737E-3</v>
      </c>
      <c r="P1228" s="39">
        <f t="shared" si="131"/>
        <v>241.4378804326295</v>
      </c>
      <c r="Q1228" s="26">
        <f t="shared" si="132"/>
        <v>-1.183649646492114</v>
      </c>
      <c r="R1228" s="26">
        <f t="shared" si="133"/>
        <v>1.183649646492114</v>
      </c>
    </row>
    <row r="1229" spans="1:18" x14ac:dyDescent="0.3">
      <c r="A1229" s="2">
        <v>42388</v>
      </c>
      <c r="B1229" s="1">
        <v>24.164999999999999</v>
      </c>
      <c r="C1229" s="1">
        <v>574.48</v>
      </c>
      <c r="D1229" s="1">
        <v>95.26</v>
      </c>
      <c r="E1229" s="1">
        <f t="shared" si="128"/>
        <v>-4.8506209973011123E-3</v>
      </c>
      <c r="F1229" s="1">
        <f t="shared" si="129"/>
        <v>7.5133587340110598E-3</v>
      </c>
      <c r="G1229" s="1">
        <f t="shared" si="130"/>
        <v>3.0489431178531883E-3</v>
      </c>
      <c r="P1229" s="39">
        <f t="shared" si="131"/>
        <v>242.62153007912161</v>
      </c>
      <c r="Q1229" s="26">
        <f t="shared" si="132"/>
        <v>1.6007693131841449</v>
      </c>
      <c r="R1229" s="26">
        <f t="shared" si="133"/>
        <v>-1.6007693131841449</v>
      </c>
    </row>
    <row r="1230" spans="1:18" x14ac:dyDescent="0.3">
      <c r="A1230" s="2">
        <v>42387</v>
      </c>
      <c r="B1230" s="1">
        <v>24.282499999999999</v>
      </c>
      <c r="C1230" s="1">
        <v>570.17989999999998</v>
      </c>
      <c r="D1230" s="1">
        <v>94.97</v>
      </c>
      <c r="E1230" s="1">
        <f t="shared" si="128"/>
        <v>0</v>
      </c>
      <c r="F1230" s="1">
        <f t="shared" si="129"/>
        <v>0</v>
      </c>
      <c r="G1230" s="1">
        <f t="shared" si="130"/>
        <v>0</v>
      </c>
      <c r="P1230" s="39">
        <f t="shared" si="131"/>
        <v>241.02076076593747</v>
      </c>
      <c r="Q1230" s="26">
        <f t="shared" si="132"/>
        <v>0</v>
      </c>
      <c r="R1230" s="26">
        <f t="shared" si="133"/>
        <v>0</v>
      </c>
    </row>
    <row r="1231" spans="1:18" x14ac:dyDescent="0.3">
      <c r="A1231" s="2">
        <v>42384</v>
      </c>
      <c r="B1231" s="1">
        <v>24.282499999999999</v>
      </c>
      <c r="C1231" s="1">
        <v>570.17989999999998</v>
      </c>
      <c r="D1231" s="1">
        <v>94.97</v>
      </c>
      <c r="E1231" s="1">
        <f t="shared" si="128"/>
        <v>-2.430834157663014E-2</v>
      </c>
      <c r="F1231" s="1">
        <f t="shared" si="129"/>
        <v>-3.9242473929674331E-2</v>
      </c>
      <c r="G1231" s="1">
        <f t="shared" si="130"/>
        <v>-3.5174827269805545E-2</v>
      </c>
      <c r="P1231" s="39">
        <f t="shared" si="131"/>
        <v>241.02076076593747</v>
      </c>
      <c r="Q1231" s="26">
        <f t="shared" si="132"/>
        <v>-9.4042945660196722</v>
      </c>
      <c r="R1231" s="26">
        <f t="shared" si="133"/>
        <v>9.4042945660196722</v>
      </c>
    </row>
    <row r="1232" spans="1:18" x14ac:dyDescent="0.3">
      <c r="A1232" s="2">
        <v>42383</v>
      </c>
      <c r="B1232" s="1">
        <v>24.88</v>
      </c>
      <c r="C1232" s="1">
        <v>593</v>
      </c>
      <c r="D1232" s="1">
        <v>98.37</v>
      </c>
      <c r="E1232" s="1">
        <f t="shared" si="128"/>
        <v>2.1635093017761481E-2</v>
      </c>
      <c r="F1232" s="1">
        <f t="shared" si="129"/>
        <v>1.9050293169808358E-2</v>
      </c>
      <c r="G1232" s="1">
        <f t="shared" si="130"/>
        <v>3.0238101735005924E-2</v>
      </c>
      <c r="P1232" s="39">
        <f t="shared" si="131"/>
        <v>250.42505533195714</v>
      </c>
      <c r="Q1232" s="26">
        <f t="shared" si="132"/>
        <v>4.984321462938766</v>
      </c>
      <c r="R1232" s="26">
        <f t="shared" si="133"/>
        <v>-4.984321462938766</v>
      </c>
    </row>
    <row r="1233" spans="1:18" x14ac:dyDescent="0.3">
      <c r="A1233" s="2">
        <v>42382</v>
      </c>
      <c r="B1233" s="1">
        <v>24.3475</v>
      </c>
      <c r="C1233" s="1">
        <v>581.81010000000003</v>
      </c>
      <c r="D1233" s="1">
        <v>95.44</v>
      </c>
      <c r="E1233" s="1">
        <f t="shared" si="128"/>
        <v>-2.6046569993643694E-2</v>
      </c>
      <c r="F1233" s="1">
        <f t="shared" si="129"/>
        <v>-6.0166180418420236E-2</v>
      </c>
      <c r="G1233" s="1">
        <f t="shared" si="130"/>
        <v>-4.0352479453611395E-2</v>
      </c>
      <c r="P1233" s="39">
        <f t="shared" si="131"/>
        <v>245.44073386901837</v>
      </c>
      <c r="Q1233" s="26">
        <f t="shared" si="132"/>
        <v>-14.43021963251536</v>
      </c>
      <c r="R1233" s="26">
        <f t="shared" si="133"/>
        <v>14.43021963251536</v>
      </c>
    </row>
    <row r="1234" spans="1:18" x14ac:dyDescent="0.3">
      <c r="A1234" s="2">
        <v>42381</v>
      </c>
      <c r="B1234" s="1">
        <v>24.99</v>
      </c>
      <c r="C1234" s="1">
        <v>617.88990000000001</v>
      </c>
      <c r="D1234" s="1">
        <v>99.37</v>
      </c>
      <c r="E1234" s="1">
        <f t="shared" si="128"/>
        <v>1.4409035632368394E-2</v>
      </c>
      <c r="F1234" s="1">
        <f t="shared" si="129"/>
        <v>2.4262928686884385E-4</v>
      </c>
      <c r="G1234" s="1">
        <f t="shared" si="130"/>
        <v>1.889532039624436E-2</v>
      </c>
      <c r="P1234" s="39">
        <f t="shared" si="131"/>
        <v>259.87095350153373</v>
      </c>
      <c r="Q1234" s="26">
        <f t="shared" si="132"/>
        <v>0.60651181636984575</v>
      </c>
      <c r="R1234" s="26">
        <f t="shared" si="133"/>
        <v>-0.60651181636984575</v>
      </c>
    </row>
    <row r="1235" spans="1:18" x14ac:dyDescent="0.3">
      <c r="A1235" s="2">
        <v>42380</v>
      </c>
      <c r="B1235" s="1">
        <v>24.6325</v>
      </c>
      <c r="C1235" s="1">
        <v>617.74</v>
      </c>
      <c r="D1235" s="1">
        <v>97.51</v>
      </c>
      <c r="E1235" s="1">
        <f t="shared" si="128"/>
        <v>1.6062548013378874E-2</v>
      </c>
      <c r="F1235" s="1">
        <f t="shared" si="129"/>
        <v>1.7456496969484439E-2</v>
      </c>
      <c r="G1235" s="1">
        <f t="shared" si="130"/>
        <v>1.8476704086253797E-3</v>
      </c>
      <c r="P1235" s="39">
        <f t="shared" si="131"/>
        <v>259.26444168516389</v>
      </c>
      <c r="Q1235" s="26">
        <f t="shared" si="132"/>
        <v>4.1459109217246635</v>
      </c>
      <c r="R1235" s="26">
        <f t="shared" si="133"/>
        <v>-4.1459109217246635</v>
      </c>
    </row>
    <row r="1236" spans="1:18" x14ac:dyDescent="0.3">
      <c r="A1236" s="2">
        <v>42377</v>
      </c>
      <c r="B1236" s="1">
        <v>24.24</v>
      </c>
      <c r="C1236" s="1">
        <v>607.04999999999995</v>
      </c>
      <c r="D1236" s="1">
        <v>97.33</v>
      </c>
      <c r="E1236" s="1">
        <f t="shared" si="128"/>
        <v>5.2737829692661537E-3</v>
      </c>
      <c r="F1236" s="1">
        <f t="shared" si="129"/>
        <v>-1.4648684061190744E-3</v>
      </c>
      <c r="G1236" s="1">
        <f t="shared" si="130"/>
        <v>-6.0435523256137449E-3</v>
      </c>
      <c r="P1236" s="39">
        <f t="shared" si="131"/>
        <v>255.11853076343922</v>
      </c>
      <c r="Q1236" s="26">
        <f t="shared" si="132"/>
        <v>-0.40338034986655202</v>
      </c>
      <c r="R1236" s="26">
        <f t="shared" si="133"/>
        <v>0.40338034986655202</v>
      </c>
    </row>
    <row r="1237" spans="1:18" x14ac:dyDescent="0.3">
      <c r="A1237" s="2">
        <v>42376</v>
      </c>
      <c r="B1237" s="1">
        <v>24.112500000000001</v>
      </c>
      <c r="C1237" s="1">
        <v>607.93989999999997</v>
      </c>
      <c r="D1237" s="1">
        <v>97.92</v>
      </c>
      <c r="E1237" s="1">
        <f t="shared" si="128"/>
        <v>-4.3121060372778568E-2</v>
      </c>
      <c r="F1237" s="1">
        <f t="shared" si="129"/>
        <v>-3.9841160173875928E-2</v>
      </c>
      <c r="G1237" s="1">
        <f t="shared" si="130"/>
        <v>-5.0286864904643486E-2</v>
      </c>
      <c r="P1237" s="39">
        <f t="shared" si="131"/>
        <v>255.52191111330578</v>
      </c>
      <c r="Q1237" s="26">
        <f t="shared" si="132"/>
        <v>-10.651842824972874</v>
      </c>
      <c r="R1237" s="26">
        <f t="shared" si="133"/>
        <v>10.651842824972874</v>
      </c>
    </row>
    <row r="1238" spans="1:18" x14ac:dyDescent="0.3">
      <c r="A1238" s="2">
        <v>42375</v>
      </c>
      <c r="B1238" s="1">
        <v>25.175000000000001</v>
      </c>
      <c r="C1238" s="1">
        <v>632.6499</v>
      </c>
      <c r="D1238" s="1">
        <v>102.97</v>
      </c>
      <c r="E1238" s="1">
        <f t="shared" si="128"/>
        <v>-1.9763683453196328E-2</v>
      </c>
      <c r="F1238" s="1">
        <f t="shared" si="129"/>
        <v>-1.8004807144680072E-3</v>
      </c>
      <c r="G1238" s="1">
        <f t="shared" si="130"/>
        <v>2.3334964404870639E-3</v>
      </c>
      <c r="P1238" s="39">
        <f t="shared" si="131"/>
        <v>266.17375393827865</v>
      </c>
      <c r="Q1238" s="26">
        <f t="shared" si="132"/>
        <v>-0.57684617953430006</v>
      </c>
      <c r="R1238" s="26">
        <f t="shared" si="133"/>
        <v>0.57684617953430006</v>
      </c>
    </row>
    <row r="1239" spans="1:18" x14ac:dyDescent="0.3">
      <c r="A1239" s="2">
        <v>42374</v>
      </c>
      <c r="B1239" s="1">
        <v>25.677499999999998</v>
      </c>
      <c r="C1239" s="1">
        <v>633.79</v>
      </c>
      <c r="D1239" s="1">
        <v>102.73</v>
      </c>
      <c r="E1239" s="1">
        <f t="shared" si="128"/>
        <v>-2.5378657072485072E-2</v>
      </c>
      <c r="F1239" s="1">
        <f t="shared" si="129"/>
        <v>-5.0362875773648629E-3</v>
      </c>
      <c r="G1239" s="1">
        <f t="shared" si="130"/>
        <v>4.9768338880388794E-3</v>
      </c>
      <c r="P1239" s="39">
        <f t="shared" si="131"/>
        <v>266.75060011781295</v>
      </c>
      <c r="Q1239" s="26">
        <f t="shared" si="132"/>
        <v>-1.3436291330004906</v>
      </c>
      <c r="R1239" s="26">
        <f t="shared" si="133"/>
        <v>1.3436291330004906</v>
      </c>
    </row>
    <row r="1240" spans="1:18" x14ac:dyDescent="0.3">
      <c r="A1240" s="2">
        <v>42373</v>
      </c>
      <c r="B1240" s="1">
        <v>26.337499999999999</v>
      </c>
      <c r="C1240" s="1">
        <v>636.99</v>
      </c>
      <c r="D1240" s="1">
        <v>102.22</v>
      </c>
      <c r="E1240" s="1">
        <f t="shared" si="128"/>
        <v>8.5466032456495264E-4</v>
      </c>
      <c r="F1240" s="1">
        <f t="shared" si="129"/>
        <v>-5.9276236093936993E-2</v>
      </c>
      <c r="G1240" s="1">
        <f t="shared" si="130"/>
        <v>-2.3589647603928184E-2</v>
      </c>
      <c r="P1240" s="39">
        <f t="shared" si="131"/>
        <v>268.09422925081344</v>
      </c>
      <c r="Q1240" s="26">
        <f t="shared" si="132"/>
        <v>-14.872327388948008</v>
      </c>
      <c r="R1240" s="26">
        <f t="shared" si="133"/>
        <v>14.872327388948008</v>
      </c>
    </row>
    <row r="1241" spans="1:18" x14ac:dyDescent="0.3">
      <c r="A1241" s="2">
        <v>42370</v>
      </c>
      <c r="B1241" s="1">
        <v>26.315000000000001</v>
      </c>
      <c r="C1241" s="1">
        <v>675.88990000000001</v>
      </c>
      <c r="D1241" s="1">
        <v>104.66</v>
      </c>
      <c r="E1241" s="1">
        <f t="shared" si="128"/>
        <v>0</v>
      </c>
      <c r="F1241" s="1">
        <f t="shared" si="129"/>
        <v>0</v>
      </c>
      <c r="G1241" s="1">
        <f t="shared" si="130"/>
        <v>0</v>
      </c>
      <c r="P1241" s="39">
        <f t="shared" si="131"/>
        <v>282.96655663976145</v>
      </c>
      <c r="Q1241" s="26">
        <f t="shared" si="132"/>
        <v>0</v>
      </c>
      <c r="R1241" s="26">
        <f t="shared" si="133"/>
        <v>0</v>
      </c>
    </row>
    <row r="1242" spans="1:18" x14ac:dyDescent="0.3">
      <c r="A1242" s="2">
        <v>42369</v>
      </c>
      <c r="B1242" s="1">
        <v>26.315000000000001</v>
      </c>
      <c r="C1242" s="1">
        <v>675.88990000000001</v>
      </c>
      <c r="D1242" s="1">
        <v>104.66</v>
      </c>
      <c r="E1242" s="1">
        <f t="shared" si="128"/>
        <v>-1.9381545631790353E-2</v>
      </c>
      <c r="F1242" s="1">
        <f t="shared" si="129"/>
        <v>-1.9312814537150232E-2</v>
      </c>
      <c r="G1242" s="1">
        <f t="shared" si="130"/>
        <v>-1.479541405019133E-2</v>
      </c>
      <c r="P1242" s="39">
        <f t="shared" si="131"/>
        <v>282.96655663976145</v>
      </c>
      <c r="Q1242" s="26">
        <f t="shared" si="132"/>
        <v>-5.4145351399237711</v>
      </c>
      <c r="R1242" s="26">
        <f t="shared" si="133"/>
        <v>5.4145351399237711</v>
      </c>
    </row>
    <row r="1243" spans="1:18" x14ac:dyDescent="0.3">
      <c r="A1243" s="2">
        <v>42368</v>
      </c>
      <c r="B1243" s="1">
        <v>26.83</v>
      </c>
      <c r="C1243" s="1">
        <v>689.07010000000002</v>
      </c>
      <c r="D1243" s="1">
        <v>106.22</v>
      </c>
      <c r="E1243" s="1">
        <f t="shared" si="128"/>
        <v>-1.3144686160351211E-2</v>
      </c>
      <c r="F1243" s="1">
        <f t="shared" si="129"/>
        <v>-7.0857244138566909E-3</v>
      </c>
      <c r="G1243" s="1">
        <f t="shared" si="130"/>
        <v>-9.7433785605260826E-3</v>
      </c>
      <c r="P1243" s="39">
        <f t="shared" si="131"/>
        <v>288.38109177968522</v>
      </c>
      <c r="Q1243" s="26">
        <f t="shared" si="132"/>
        <v>-2.1803767106549685</v>
      </c>
      <c r="R1243" s="26">
        <f t="shared" si="133"/>
        <v>2.1803767106549685</v>
      </c>
    </row>
    <row r="1244" spans="1:18" x14ac:dyDescent="0.3">
      <c r="A1244" s="2">
        <v>42367</v>
      </c>
      <c r="B1244" s="1">
        <v>27.184999999999999</v>
      </c>
      <c r="C1244" s="1">
        <v>693.97</v>
      </c>
      <c r="D1244" s="1">
        <v>107.26</v>
      </c>
      <c r="E1244" s="1">
        <f t="shared" si="128"/>
        <v>1.7814536806150302E-2</v>
      </c>
      <c r="F1244" s="1">
        <f t="shared" si="129"/>
        <v>2.7419788625008688E-2</v>
      </c>
      <c r="G1244" s="1">
        <f t="shared" si="130"/>
        <v>1.247729494637448E-2</v>
      </c>
      <c r="P1244" s="39">
        <f t="shared" si="131"/>
        <v>290.56146849034019</v>
      </c>
      <c r="Q1244" s="26">
        <f t="shared" si="132"/>
        <v>7.4126552813467583</v>
      </c>
      <c r="R1244" s="26">
        <f t="shared" si="133"/>
        <v>-7.4126552813467583</v>
      </c>
    </row>
    <row r="1245" spans="1:18" x14ac:dyDescent="0.3">
      <c r="A1245" s="2">
        <v>42366</v>
      </c>
      <c r="B1245" s="1">
        <v>26.704999999999998</v>
      </c>
      <c r="C1245" s="1">
        <v>675.2</v>
      </c>
      <c r="D1245" s="1">
        <v>105.93</v>
      </c>
      <c r="E1245" s="1">
        <f t="shared" si="128"/>
        <v>-1.1263791417269345E-2</v>
      </c>
      <c r="F1245" s="1">
        <f t="shared" si="129"/>
        <v>1.8550745350700993E-2</v>
      </c>
      <c r="G1245" s="1">
        <f t="shared" si="130"/>
        <v>8.6276903986915281E-3</v>
      </c>
      <c r="P1245" s="39">
        <f t="shared" si="131"/>
        <v>283.14881320899343</v>
      </c>
      <c r="Q1245" s="26">
        <f t="shared" si="132"/>
        <v>4.6507866607692563</v>
      </c>
      <c r="R1245" s="26">
        <f t="shared" si="133"/>
        <v>-4.6507866607692563</v>
      </c>
    </row>
    <row r="1246" spans="1:18" x14ac:dyDescent="0.3">
      <c r="A1246" s="2">
        <v>42363</v>
      </c>
      <c r="B1246" s="1">
        <v>27.0075</v>
      </c>
      <c r="C1246" s="1">
        <v>662.79</v>
      </c>
      <c r="D1246" s="1">
        <v>105.02</v>
      </c>
      <c r="E1246" s="1">
        <f t="shared" si="128"/>
        <v>0</v>
      </c>
      <c r="F1246" s="1">
        <f t="shared" si="129"/>
        <v>0</v>
      </c>
      <c r="G1246" s="1">
        <f t="shared" si="130"/>
        <v>0</v>
      </c>
      <c r="P1246" s="39">
        <f t="shared" si="131"/>
        <v>278.49802654822417</v>
      </c>
      <c r="Q1246" s="26">
        <f t="shared" si="132"/>
        <v>0</v>
      </c>
      <c r="R1246" s="26">
        <f t="shared" si="133"/>
        <v>0</v>
      </c>
    </row>
    <row r="1247" spans="1:18" x14ac:dyDescent="0.3">
      <c r="A1247" s="2">
        <v>42362</v>
      </c>
      <c r="B1247" s="1">
        <v>27.0075</v>
      </c>
      <c r="C1247" s="1">
        <v>662.79</v>
      </c>
      <c r="D1247" s="1">
        <v>105.02</v>
      </c>
      <c r="E1247" s="1">
        <f t="shared" si="128"/>
        <v>-5.3545179630511315E-3</v>
      </c>
      <c r="F1247" s="1">
        <f t="shared" si="129"/>
        <v>-1.3720422208329198E-3</v>
      </c>
      <c r="G1247" s="1">
        <f t="shared" si="130"/>
        <v>3.7204908167572724E-3</v>
      </c>
      <c r="P1247" s="39">
        <f t="shared" si="131"/>
        <v>278.49802654822417</v>
      </c>
      <c r="Q1247" s="26">
        <f t="shared" si="132"/>
        <v>-0.31132063019236966</v>
      </c>
      <c r="R1247" s="26">
        <f t="shared" si="133"/>
        <v>0.31132063019236966</v>
      </c>
    </row>
    <row r="1248" spans="1:18" x14ac:dyDescent="0.3">
      <c r="A1248" s="2">
        <v>42361</v>
      </c>
      <c r="B1248" s="1">
        <v>27.1525</v>
      </c>
      <c r="C1248" s="1">
        <v>663.7</v>
      </c>
      <c r="D1248" s="1">
        <v>104.63</v>
      </c>
      <c r="E1248" s="1">
        <f t="shared" si="128"/>
        <v>1.2787424059890272E-2</v>
      </c>
      <c r="F1248" s="1">
        <f t="shared" si="129"/>
        <v>8.2918200697483144E-4</v>
      </c>
      <c r="G1248" s="1">
        <f t="shared" si="130"/>
        <v>-8.3754177610448812E-3</v>
      </c>
      <c r="P1248" s="39">
        <f t="shared" si="131"/>
        <v>278.80934717841654</v>
      </c>
      <c r="Q1248" s="26">
        <f t="shared" si="132"/>
        <v>0.15520335504044169</v>
      </c>
      <c r="R1248" s="26">
        <f t="shared" si="133"/>
        <v>-0.15520335504044169</v>
      </c>
    </row>
    <row r="1249" spans="1:18" x14ac:dyDescent="0.3">
      <c r="A1249" s="2">
        <v>42360</v>
      </c>
      <c r="B1249" s="1">
        <v>26.807500000000001</v>
      </c>
      <c r="C1249" s="1">
        <v>663.1499</v>
      </c>
      <c r="D1249" s="1">
        <v>105.51</v>
      </c>
      <c r="E1249" s="1">
        <f t="shared" si="128"/>
        <v>-9.3214026137874116E-4</v>
      </c>
      <c r="F1249" s="1">
        <f t="shared" si="129"/>
        <v>-2.0488688041158066E-3</v>
      </c>
      <c r="G1249" s="1">
        <f t="shared" si="130"/>
        <v>7.0382637891273966E-3</v>
      </c>
      <c r="P1249" s="39">
        <f t="shared" si="131"/>
        <v>278.6541438233761</v>
      </c>
      <c r="Q1249" s="26">
        <f t="shared" si="132"/>
        <v>-0.35182630376147017</v>
      </c>
      <c r="R1249" s="26">
        <f t="shared" si="133"/>
        <v>0.35182630376147017</v>
      </c>
    </row>
    <row r="1250" spans="1:18" x14ac:dyDescent="0.3">
      <c r="A1250" s="2">
        <v>42359</v>
      </c>
      <c r="B1250" s="1">
        <v>26.8325</v>
      </c>
      <c r="C1250" s="1">
        <v>664.51</v>
      </c>
      <c r="D1250" s="1">
        <v>104.77</v>
      </c>
      <c r="E1250" s="1">
        <f t="shared" si="128"/>
        <v>1.2186127555726241E-2</v>
      </c>
      <c r="F1250" s="1">
        <f t="shared" si="129"/>
        <v>5.5710689410693088E-4</v>
      </c>
      <c r="G1250" s="1">
        <f t="shared" si="130"/>
        <v>6.9920307844225666E-3</v>
      </c>
      <c r="P1250" s="39">
        <f t="shared" si="131"/>
        <v>279.00597012713757</v>
      </c>
      <c r="Q1250" s="26">
        <f t="shared" si="132"/>
        <v>0.42940890092756945</v>
      </c>
      <c r="R1250" s="26">
        <f t="shared" si="133"/>
        <v>-0.42940890092756945</v>
      </c>
    </row>
    <row r="1251" spans="1:18" x14ac:dyDescent="0.3">
      <c r="A1251" s="2">
        <v>42356</v>
      </c>
      <c r="B1251" s="1">
        <v>26.5075</v>
      </c>
      <c r="C1251" s="1">
        <v>664.13990000000001</v>
      </c>
      <c r="D1251" s="1">
        <v>104.04</v>
      </c>
      <c r="E1251" s="1">
        <f t="shared" si="128"/>
        <v>-2.7442306217245496E-2</v>
      </c>
      <c r="F1251" s="1">
        <f t="shared" si="129"/>
        <v>-9.7544221841014776E-3</v>
      </c>
      <c r="G1251" s="1">
        <f t="shared" si="130"/>
        <v>-2.0736974413802269E-2</v>
      </c>
      <c r="P1251" s="39">
        <f t="shared" si="131"/>
        <v>278.57656122621</v>
      </c>
      <c r="Q1251" s="26">
        <f t="shared" si="132"/>
        <v>-3.1799829072097623</v>
      </c>
      <c r="R1251" s="26">
        <f t="shared" si="133"/>
        <v>3.1799829072097623</v>
      </c>
    </row>
    <row r="1252" spans="1:18" x14ac:dyDescent="0.3">
      <c r="A1252" s="2">
        <v>42355</v>
      </c>
      <c r="B1252" s="1">
        <v>27.245000000000001</v>
      </c>
      <c r="C1252" s="1">
        <v>670.6499</v>
      </c>
      <c r="D1252" s="1">
        <v>106.22</v>
      </c>
      <c r="E1252" s="1">
        <f t="shared" si="128"/>
        <v>-2.1424203600409426E-2</v>
      </c>
      <c r="F1252" s="1">
        <f t="shared" si="129"/>
        <v>-7.6055392239251932E-3</v>
      </c>
      <c r="G1252" s="1">
        <f t="shared" si="130"/>
        <v>-5.3518741892007761E-3</v>
      </c>
      <c r="P1252" s="39">
        <f t="shared" si="131"/>
        <v>281.75654413341977</v>
      </c>
      <c r="Q1252" s="26">
        <f t="shared" si="132"/>
        <v>-2.2571339659902492</v>
      </c>
      <c r="R1252" s="26">
        <f t="shared" si="133"/>
        <v>2.2571339659902492</v>
      </c>
    </row>
    <row r="1253" spans="1:18" x14ac:dyDescent="0.3">
      <c r="A1253" s="2">
        <v>42354</v>
      </c>
      <c r="B1253" s="1">
        <v>27.835000000000001</v>
      </c>
      <c r="C1253" s="1">
        <v>675.77</v>
      </c>
      <c r="D1253" s="1">
        <v>106.79</v>
      </c>
      <c r="E1253" s="1">
        <f t="shared" si="128"/>
        <v>7.6635636302782627E-3</v>
      </c>
      <c r="F1253" s="1">
        <f t="shared" si="129"/>
        <v>2.567583030079024E-2</v>
      </c>
      <c r="G1253" s="1">
        <f t="shared" si="130"/>
        <v>2.1198863308811301E-2</v>
      </c>
      <c r="P1253" s="39">
        <f t="shared" si="131"/>
        <v>284.01367809941001</v>
      </c>
      <c r="Q1253" s="26">
        <f t="shared" si="132"/>
        <v>6.8939601416621485</v>
      </c>
      <c r="R1253" s="26">
        <f t="shared" si="133"/>
        <v>-6.8939601416621485</v>
      </c>
    </row>
    <row r="1254" spans="1:18" x14ac:dyDescent="0.3">
      <c r="A1254" s="2">
        <v>42353</v>
      </c>
      <c r="B1254" s="1">
        <v>27.622499999999999</v>
      </c>
      <c r="C1254" s="1">
        <v>658.63990000000001</v>
      </c>
      <c r="D1254" s="1">
        <v>104.55</v>
      </c>
      <c r="E1254" s="1">
        <f t="shared" si="128"/>
        <v>-1.7850408937271273E-2</v>
      </c>
      <c r="F1254" s="1">
        <f t="shared" si="129"/>
        <v>1.1089593037988412E-3</v>
      </c>
      <c r="G1254" s="1">
        <f t="shared" si="130"/>
        <v>-1.0515750694191333E-3</v>
      </c>
      <c r="P1254" s="39">
        <f t="shared" si="131"/>
        <v>277.11971795774787</v>
      </c>
      <c r="Q1254" s="26">
        <f t="shared" si="132"/>
        <v>3.9385839788906196E-2</v>
      </c>
      <c r="R1254" s="26">
        <f t="shared" si="133"/>
        <v>-3.9385839788906196E-2</v>
      </c>
    </row>
    <row r="1255" spans="1:18" x14ac:dyDescent="0.3">
      <c r="A1255" s="2">
        <v>42352</v>
      </c>
      <c r="B1255" s="1">
        <v>28.12</v>
      </c>
      <c r="C1255" s="1">
        <v>657.90989999999999</v>
      </c>
      <c r="D1255" s="1">
        <v>104.66</v>
      </c>
      <c r="E1255" s="1">
        <f t="shared" si="128"/>
        <v>-6.204043652023046E-3</v>
      </c>
      <c r="F1255" s="1">
        <f t="shared" si="129"/>
        <v>2.7365624179562696E-2</v>
      </c>
      <c r="G1255" s="1">
        <f t="shared" si="130"/>
        <v>2.4568408570778581E-2</v>
      </c>
      <c r="P1255" s="39">
        <f t="shared" si="131"/>
        <v>277.08033211795896</v>
      </c>
      <c r="Q1255" s="26">
        <f t="shared" si="132"/>
        <v>7.0308391299209916</v>
      </c>
      <c r="R1255" s="26">
        <f t="shared" si="133"/>
        <v>-7.0308391299209916</v>
      </c>
    </row>
    <row r="1256" spans="1:18" x14ac:dyDescent="0.3">
      <c r="A1256" s="2">
        <v>42349</v>
      </c>
      <c r="B1256" s="1">
        <v>28.295000000000002</v>
      </c>
      <c r="C1256" s="1">
        <v>640.1499</v>
      </c>
      <c r="D1256" s="1">
        <v>102.12</v>
      </c>
      <c r="E1256" s="1">
        <f t="shared" si="128"/>
        <v>-2.607516381100564E-2</v>
      </c>
      <c r="F1256" s="1">
        <f t="shared" si="129"/>
        <v>-3.4046606136169159E-2</v>
      </c>
      <c r="G1256" s="1">
        <f t="shared" si="130"/>
        <v>-3.1803779053777667E-2</v>
      </c>
      <c r="P1256" s="39">
        <f t="shared" si="131"/>
        <v>270.04949298803797</v>
      </c>
      <c r="Q1256" s="26">
        <f t="shared" si="132"/>
        <v>-9.2049779422545157</v>
      </c>
      <c r="R1256" s="26">
        <f t="shared" si="133"/>
        <v>9.2049779422545157</v>
      </c>
    </row>
    <row r="1257" spans="1:18" x14ac:dyDescent="0.3">
      <c r="A1257" s="2">
        <v>42348</v>
      </c>
      <c r="B1257" s="1">
        <v>29.0425</v>
      </c>
      <c r="C1257" s="1">
        <v>662.32010000000002</v>
      </c>
      <c r="D1257" s="1">
        <v>105.42</v>
      </c>
      <c r="E1257" s="1">
        <f t="shared" si="128"/>
        <v>4.7456838710532908E-3</v>
      </c>
      <c r="F1257" s="1">
        <f t="shared" si="129"/>
        <v>-3.7222274952169385E-3</v>
      </c>
      <c r="G1257" s="1">
        <f t="shared" si="130"/>
        <v>7.8088197962384049E-3</v>
      </c>
      <c r="P1257" s="39">
        <f t="shared" si="131"/>
        <v>279.25447093029248</v>
      </c>
      <c r="Q1257" s="26">
        <f t="shared" si="132"/>
        <v>-0.6766447956151751</v>
      </c>
      <c r="R1257" s="26">
        <f t="shared" si="133"/>
        <v>0.6766447956151751</v>
      </c>
    </row>
    <row r="1258" spans="1:18" x14ac:dyDescent="0.3">
      <c r="A1258" s="2">
        <v>42347</v>
      </c>
      <c r="B1258" s="1">
        <v>28.905000000000001</v>
      </c>
      <c r="C1258" s="1">
        <v>664.79</v>
      </c>
      <c r="D1258" s="1">
        <v>104.6</v>
      </c>
      <c r="E1258" s="1">
        <f t="shared" si="128"/>
        <v>-2.2322928220692005E-2</v>
      </c>
      <c r="F1258" s="1">
        <f t="shared" si="129"/>
        <v>-1.8687545086647488E-2</v>
      </c>
      <c r="G1258" s="1">
        <f t="shared" si="130"/>
        <v>-1.7907532396469909E-2</v>
      </c>
      <c r="P1258" s="39">
        <f t="shared" si="131"/>
        <v>279.93111572590766</v>
      </c>
      <c r="Q1258" s="26">
        <f t="shared" si="132"/>
        <v>-5.3068416171374793</v>
      </c>
      <c r="R1258" s="26">
        <f t="shared" si="133"/>
        <v>5.3068416171374793</v>
      </c>
    </row>
    <row r="1259" spans="1:18" x14ac:dyDescent="0.3">
      <c r="A1259" s="2">
        <v>42346</v>
      </c>
      <c r="B1259" s="1">
        <v>29.557500000000001</v>
      </c>
      <c r="C1259" s="1">
        <v>677.33010000000002</v>
      </c>
      <c r="D1259" s="1">
        <v>106.49</v>
      </c>
      <c r="E1259" s="1">
        <f t="shared" si="128"/>
        <v>-4.2281510925448393E-4</v>
      </c>
      <c r="F1259" s="1">
        <f t="shared" si="129"/>
        <v>1.1134648258736951E-2</v>
      </c>
      <c r="G1259" s="1">
        <f t="shared" si="130"/>
        <v>8.2980202689092192E-3</v>
      </c>
      <c r="P1259" s="39">
        <f t="shared" si="131"/>
        <v>285.23795734304514</v>
      </c>
      <c r="Q1259" s="26">
        <f t="shared" si="132"/>
        <v>2.9527980061282619</v>
      </c>
      <c r="R1259" s="26">
        <f t="shared" si="133"/>
        <v>-2.9527980061282619</v>
      </c>
    </row>
    <row r="1260" spans="1:18" x14ac:dyDescent="0.3">
      <c r="A1260" s="2">
        <v>42345</v>
      </c>
      <c r="B1260" s="1">
        <v>29.57</v>
      </c>
      <c r="C1260" s="1">
        <v>669.83010000000002</v>
      </c>
      <c r="D1260" s="1">
        <v>105.61</v>
      </c>
      <c r="E1260" s="1">
        <f t="shared" si="128"/>
        <v>-6.3208671955119781E-3</v>
      </c>
      <c r="F1260" s="1">
        <f t="shared" si="129"/>
        <v>-4.186021442500347E-3</v>
      </c>
      <c r="G1260" s="1">
        <f t="shared" si="130"/>
        <v>-5.3827033971424517E-3</v>
      </c>
      <c r="P1260" s="39">
        <f t="shared" si="131"/>
        <v>282.28515933691688</v>
      </c>
      <c r="Q1260" s="26">
        <f t="shared" si="132"/>
        <v>-1.2379407765100154</v>
      </c>
      <c r="R1260" s="26">
        <f t="shared" si="133"/>
        <v>1.2379407765100154</v>
      </c>
    </row>
    <row r="1261" spans="1:18" x14ac:dyDescent="0.3">
      <c r="A1261" s="2">
        <v>42342</v>
      </c>
      <c r="B1261" s="1">
        <v>29.7575</v>
      </c>
      <c r="C1261" s="1">
        <v>672.63990000000001</v>
      </c>
      <c r="D1261" s="1">
        <v>106.18</v>
      </c>
      <c r="E1261" s="1">
        <f t="shared" si="128"/>
        <v>3.2705813917997574E-2</v>
      </c>
      <c r="F1261" s="1">
        <f t="shared" si="129"/>
        <v>9.5451441005309605E-3</v>
      </c>
      <c r="G1261" s="1">
        <f t="shared" si="130"/>
        <v>1.7097680940258413E-2</v>
      </c>
      <c r="P1261" s="39">
        <f t="shared" si="131"/>
        <v>283.52310011342689</v>
      </c>
      <c r="Q1261" s="26">
        <f t="shared" si="132"/>
        <v>3.144469187513323</v>
      </c>
      <c r="R1261" s="26">
        <f t="shared" si="133"/>
        <v>-3.144469187513323</v>
      </c>
    </row>
    <row r="1262" spans="1:18" x14ac:dyDescent="0.3">
      <c r="A1262" s="2">
        <v>42341</v>
      </c>
      <c r="B1262" s="1">
        <v>28.8</v>
      </c>
      <c r="C1262" s="1">
        <v>666.25</v>
      </c>
      <c r="D1262" s="1">
        <v>104.38</v>
      </c>
      <c r="E1262" s="1">
        <f t="shared" si="128"/>
        <v>-9.3313274288843052E-3</v>
      </c>
      <c r="F1262" s="1">
        <f t="shared" si="129"/>
        <v>-1.4542893352904247E-2</v>
      </c>
      <c r="G1262" s="1">
        <f t="shared" si="130"/>
        <v>-1.6061167302111625E-2</v>
      </c>
      <c r="P1262" s="39">
        <f t="shared" si="131"/>
        <v>280.37863092591357</v>
      </c>
      <c r="Q1262" s="26">
        <f t="shared" si="132"/>
        <v>-4.079250571519367</v>
      </c>
      <c r="R1262" s="26">
        <f t="shared" si="133"/>
        <v>4.079250571519367</v>
      </c>
    </row>
    <row r="1263" spans="1:18" x14ac:dyDescent="0.3">
      <c r="A1263" s="2">
        <v>42340</v>
      </c>
      <c r="B1263" s="1">
        <v>29.07</v>
      </c>
      <c r="C1263" s="1">
        <v>676.01</v>
      </c>
      <c r="D1263" s="1">
        <v>106.07</v>
      </c>
      <c r="E1263" s="1">
        <f t="shared" si="128"/>
        <v>-9.0746278070386668E-3</v>
      </c>
      <c r="F1263" s="1">
        <f t="shared" si="129"/>
        <v>-4.5017673271452487E-3</v>
      </c>
      <c r="G1263" s="1">
        <f t="shared" si="130"/>
        <v>-9.8504478655383476E-3</v>
      </c>
      <c r="P1263" s="39">
        <f t="shared" si="131"/>
        <v>284.45788149743294</v>
      </c>
      <c r="Q1263" s="26">
        <f t="shared" si="132"/>
        <v>-1.4627355938160918</v>
      </c>
      <c r="R1263" s="26">
        <f t="shared" si="133"/>
        <v>1.4627355938160918</v>
      </c>
    </row>
    <row r="1264" spans="1:18" x14ac:dyDescent="0.3">
      <c r="A1264" s="2">
        <v>42339</v>
      </c>
      <c r="B1264" s="1">
        <v>29.335000000000001</v>
      </c>
      <c r="C1264" s="1">
        <v>679.06010000000003</v>
      </c>
      <c r="D1264" s="1">
        <v>107.12</v>
      </c>
      <c r="E1264" s="1">
        <f t="shared" si="128"/>
        <v>-8.1480674866271745E-3</v>
      </c>
      <c r="F1264" s="1">
        <f t="shared" si="129"/>
        <v>2.1223392618865508E-2</v>
      </c>
      <c r="G1264" s="1">
        <f t="shared" si="130"/>
        <v>2.7253768566327431E-2</v>
      </c>
      <c r="P1264" s="39">
        <f t="shared" si="131"/>
        <v>285.92061709124903</v>
      </c>
      <c r="Q1264" s="26">
        <f t="shared" si="132"/>
        <v>5.7862345740649062</v>
      </c>
      <c r="R1264" s="26">
        <f t="shared" si="133"/>
        <v>-5.7862345740649062</v>
      </c>
    </row>
    <row r="1265" spans="1:18" x14ac:dyDescent="0.3">
      <c r="A1265" s="2">
        <v>42338</v>
      </c>
      <c r="B1265" s="1">
        <v>29.574999999999999</v>
      </c>
      <c r="C1265" s="1">
        <v>664.8</v>
      </c>
      <c r="D1265" s="1">
        <v>104.24</v>
      </c>
      <c r="E1265" s="1">
        <f t="shared" si="128"/>
        <v>4.1506137263132145E-3</v>
      </c>
      <c r="F1265" s="1">
        <f t="shared" si="129"/>
        <v>-1.2645341363591489E-2</v>
      </c>
      <c r="G1265" s="1">
        <f t="shared" si="130"/>
        <v>-1.1540974108194036E-2</v>
      </c>
      <c r="P1265" s="39">
        <f t="shared" si="131"/>
        <v>280.13438251718412</v>
      </c>
      <c r="Q1265" s="26">
        <f t="shared" si="132"/>
        <v>-3.3329485507294976</v>
      </c>
      <c r="R1265" s="26">
        <f t="shared" si="133"/>
        <v>3.3329485507294976</v>
      </c>
    </row>
    <row r="1266" spans="1:18" x14ac:dyDescent="0.3">
      <c r="A1266" s="2">
        <v>42335</v>
      </c>
      <c r="B1266" s="1">
        <v>29.452500000000001</v>
      </c>
      <c r="C1266" s="1">
        <v>673.26</v>
      </c>
      <c r="D1266" s="1">
        <v>105.45</v>
      </c>
      <c r="E1266" s="1">
        <f t="shared" si="128"/>
        <v>-1.8656721829497342E-3</v>
      </c>
      <c r="F1266" s="1">
        <f t="shared" si="129"/>
        <v>-3.0848309288285052E-3</v>
      </c>
      <c r="G1266" s="1">
        <f t="shared" si="130"/>
        <v>3.7939865768586944E-4</v>
      </c>
      <c r="P1266" s="39">
        <f t="shared" si="131"/>
        <v>283.46733106791362</v>
      </c>
      <c r="Q1266" s="26">
        <f t="shared" si="132"/>
        <v>-0.78161225471740181</v>
      </c>
      <c r="R1266" s="26">
        <f t="shared" si="133"/>
        <v>0.78161225471740181</v>
      </c>
    </row>
    <row r="1267" spans="1:18" x14ac:dyDescent="0.3">
      <c r="A1267" s="2">
        <v>42334</v>
      </c>
      <c r="B1267" s="1">
        <v>29.5075</v>
      </c>
      <c r="C1267" s="1">
        <v>675.34010000000001</v>
      </c>
      <c r="D1267" s="1">
        <v>105.41</v>
      </c>
      <c r="E1267" s="1">
        <f t="shared" si="128"/>
        <v>0</v>
      </c>
      <c r="F1267" s="1">
        <f t="shared" si="129"/>
        <v>0</v>
      </c>
      <c r="G1267" s="1">
        <f t="shared" si="130"/>
        <v>0</v>
      </c>
      <c r="P1267" s="39">
        <f t="shared" si="131"/>
        <v>284.24894332263102</v>
      </c>
      <c r="Q1267" s="26">
        <f t="shared" si="132"/>
        <v>0</v>
      </c>
      <c r="R1267" s="26">
        <f t="shared" si="133"/>
        <v>0</v>
      </c>
    </row>
    <row r="1268" spans="1:18" x14ac:dyDescent="0.3">
      <c r="A1268" s="2">
        <v>42333</v>
      </c>
      <c r="B1268" s="1">
        <v>29.5075</v>
      </c>
      <c r="C1268" s="1">
        <v>675.34010000000001</v>
      </c>
      <c r="D1268" s="1">
        <v>105.41</v>
      </c>
      <c r="E1268" s="1">
        <f t="shared" si="128"/>
        <v>-7.1757515284713606E-3</v>
      </c>
      <c r="F1268" s="1">
        <f t="shared" si="129"/>
        <v>6.2239058980127831E-3</v>
      </c>
      <c r="G1268" s="1">
        <f t="shared" si="130"/>
        <v>-3.1257425402063028E-3</v>
      </c>
      <c r="P1268" s="39">
        <f t="shared" si="131"/>
        <v>284.24894332263102</v>
      </c>
      <c r="Q1268" s="26">
        <f t="shared" si="132"/>
        <v>1.3864978412268556</v>
      </c>
      <c r="R1268" s="26">
        <f t="shared" si="133"/>
        <v>-1.3864978412268556</v>
      </c>
    </row>
    <row r="1269" spans="1:18" x14ac:dyDescent="0.3">
      <c r="A1269" s="2">
        <v>42332</v>
      </c>
      <c r="B1269" s="1">
        <v>29.72</v>
      </c>
      <c r="C1269" s="1">
        <v>671.1499</v>
      </c>
      <c r="D1269" s="1">
        <v>105.74</v>
      </c>
      <c r="E1269" s="1">
        <f t="shared" si="128"/>
        <v>9.5508480729218151E-3</v>
      </c>
      <c r="F1269" s="1">
        <f t="shared" si="129"/>
        <v>-1.1613889974098658E-2</v>
      </c>
      <c r="G1269" s="1">
        <f t="shared" si="130"/>
        <v>-1.1378184721110593E-2</v>
      </c>
      <c r="P1269" s="39">
        <f t="shared" si="131"/>
        <v>282.86244548140417</v>
      </c>
      <c r="Q1269" s="26">
        <f t="shared" si="132"/>
        <v>-3.0379334595407386</v>
      </c>
      <c r="R1269" s="26">
        <f t="shared" si="133"/>
        <v>3.0379334595407386</v>
      </c>
    </row>
    <row r="1270" spans="1:18" x14ac:dyDescent="0.3">
      <c r="A1270" s="2">
        <v>42331</v>
      </c>
      <c r="B1270" s="1">
        <v>29.4375</v>
      </c>
      <c r="C1270" s="1">
        <v>678.99</v>
      </c>
      <c r="D1270" s="1">
        <v>106.95</v>
      </c>
      <c r="E1270" s="1">
        <f t="shared" si="128"/>
        <v>-1.3077596207343322E-2</v>
      </c>
      <c r="F1270" s="1">
        <f t="shared" si="129"/>
        <v>1.5644800480612585E-2</v>
      </c>
      <c r="G1270" s="1">
        <f t="shared" si="130"/>
        <v>-3.4535900290086239E-3</v>
      </c>
      <c r="P1270" s="39">
        <f t="shared" si="131"/>
        <v>285.9003789409449</v>
      </c>
      <c r="Q1270" s="26">
        <f t="shared" si="132"/>
        <v>3.6482054060537621</v>
      </c>
      <c r="R1270" s="26">
        <f t="shared" si="133"/>
        <v>-3.6482054060537621</v>
      </c>
    </row>
    <row r="1271" spans="1:18" x14ac:dyDescent="0.3">
      <c r="A1271" s="2">
        <v>42328</v>
      </c>
      <c r="B1271" s="1">
        <v>29.824999999999999</v>
      </c>
      <c r="C1271" s="1">
        <v>668.45</v>
      </c>
      <c r="D1271" s="1">
        <v>107.32</v>
      </c>
      <c r="E1271" s="1">
        <f t="shared" si="128"/>
        <v>4.3682865161562296E-3</v>
      </c>
      <c r="F1271" s="1">
        <f t="shared" si="129"/>
        <v>1.0799370967324095E-2</v>
      </c>
      <c r="G1271" s="1">
        <f t="shared" si="130"/>
        <v>9.9261045346262129E-3</v>
      </c>
      <c r="P1271" s="39">
        <f t="shared" si="131"/>
        <v>282.25217353489114</v>
      </c>
      <c r="Q1271" s="26">
        <f t="shared" si="132"/>
        <v>2.9327763679762029</v>
      </c>
      <c r="R1271" s="26">
        <f t="shared" si="133"/>
        <v>-2.9327763679762029</v>
      </c>
    </row>
    <row r="1272" spans="1:18" x14ac:dyDescent="0.3">
      <c r="A1272" s="2">
        <v>42327</v>
      </c>
      <c r="B1272" s="1">
        <v>29.695</v>
      </c>
      <c r="C1272" s="1">
        <v>661.27</v>
      </c>
      <c r="D1272" s="1">
        <v>106.26</v>
      </c>
      <c r="E1272" s="1">
        <f t="shared" si="128"/>
        <v>1.2623542054300465E-2</v>
      </c>
      <c r="F1272" s="1">
        <f t="shared" si="129"/>
        <v>-3.4269098535159971E-3</v>
      </c>
      <c r="G1272" s="1">
        <f t="shared" si="130"/>
        <v>-1.4110405585943099E-2</v>
      </c>
      <c r="P1272" s="39">
        <f t="shared" si="131"/>
        <v>279.31939716691494</v>
      </c>
      <c r="Q1272" s="26">
        <f t="shared" si="132"/>
        <v>-1.0104620384514078</v>
      </c>
      <c r="R1272" s="26">
        <f t="shared" si="133"/>
        <v>1.0104620384514078</v>
      </c>
    </row>
    <row r="1273" spans="1:18" x14ac:dyDescent="0.3">
      <c r="A1273" s="2">
        <v>42326</v>
      </c>
      <c r="B1273" s="1">
        <v>29.322500000000002</v>
      </c>
      <c r="C1273" s="1">
        <v>663.54</v>
      </c>
      <c r="D1273" s="1">
        <v>107.77</v>
      </c>
      <c r="E1273" s="1">
        <f t="shared" si="128"/>
        <v>3.1174054392398474E-2</v>
      </c>
      <c r="F1273" s="1">
        <f t="shared" si="129"/>
        <v>3.0977959898369069E-2</v>
      </c>
      <c r="G1273" s="1">
        <f t="shared" si="130"/>
        <v>2.4801647021000878E-2</v>
      </c>
      <c r="P1273" s="39">
        <f t="shared" si="131"/>
        <v>280.32985920536635</v>
      </c>
      <c r="Q1273" s="26">
        <f t="shared" si="132"/>
        <v>8.4129468623798971</v>
      </c>
      <c r="R1273" s="26">
        <f t="shared" si="133"/>
        <v>-8.4129468623798971</v>
      </c>
    </row>
    <row r="1274" spans="1:18" x14ac:dyDescent="0.3">
      <c r="A1274" s="2">
        <v>42325</v>
      </c>
      <c r="B1274" s="1">
        <v>28.422499999999999</v>
      </c>
      <c r="C1274" s="1">
        <v>643.29999999999995</v>
      </c>
      <c r="D1274" s="1">
        <v>105.13</v>
      </c>
      <c r="E1274" s="1">
        <f t="shared" si="128"/>
        <v>-4.2551612315568539E-3</v>
      </c>
      <c r="F1274" s="1">
        <f t="shared" si="129"/>
        <v>-6.9864194305940715E-3</v>
      </c>
      <c r="G1274" s="1">
        <f t="shared" si="130"/>
        <v>1.0422239007288597E-2</v>
      </c>
      <c r="P1274" s="39">
        <f t="shared" si="131"/>
        <v>271.91691234298645</v>
      </c>
      <c r="Q1274" s="26">
        <f t="shared" si="132"/>
        <v>-1.4780880907166534</v>
      </c>
      <c r="R1274" s="26">
        <f t="shared" si="133"/>
        <v>1.4780880907166534</v>
      </c>
    </row>
    <row r="1275" spans="1:18" x14ac:dyDescent="0.3">
      <c r="A1275" s="2">
        <v>42324</v>
      </c>
      <c r="B1275" s="1">
        <v>28.543700000000001</v>
      </c>
      <c r="C1275" s="1">
        <v>647.81010000000003</v>
      </c>
      <c r="D1275" s="1">
        <v>104.04</v>
      </c>
      <c r="E1275" s="1">
        <f t="shared" si="128"/>
        <v>1.6200620268285306E-2</v>
      </c>
      <c r="F1275" s="1">
        <f t="shared" si="129"/>
        <v>8.4641156915736659E-3</v>
      </c>
      <c r="G1275" s="1">
        <f t="shared" si="130"/>
        <v>8.6542627642890145E-4</v>
      </c>
      <c r="P1275" s="39">
        <f t="shared" si="131"/>
        <v>273.3950004337031</v>
      </c>
      <c r="Q1275" s="26">
        <f t="shared" si="132"/>
        <v>2.2241248467076957</v>
      </c>
      <c r="R1275" s="26">
        <f t="shared" si="133"/>
        <v>-2.2241248467076957</v>
      </c>
    </row>
    <row r="1276" spans="1:18" x14ac:dyDescent="0.3">
      <c r="A1276" s="2">
        <v>42321</v>
      </c>
      <c r="B1276" s="1">
        <v>28.085000000000001</v>
      </c>
      <c r="C1276" s="1">
        <v>642.3501</v>
      </c>
      <c r="D1276" s="1">
        <v>103.95</v>
      </c>
      <c r="E1276" s="1">
        <f t="shared" si="128"/>
        <v>-2.9643493003647593E-2</v>
      </c>
      <c r="F1276" s="1">
        <f t="shared" si="129"/>
        <v>-3.5555557591397086E-2</v>
      </c>
      <c r="G1276" s="1">
        <f t="shared" si="130"/>
        <v>-3.8406380860723122E-2</v>
      </c>
      <c r="P1276" s="39">
        <f t="shared" si="131"/>
        <v>271.17087558699541</v>
      </c>
      <c r="Q1276" s="26">
        <f t="shared" si="132"/>
        <v>-9.8106554243264554</v>
      </c>
      <c r="R1276" s="26">
        <f t="shared" si="133"/>
        <v>9.8106554243264554</v>
      </c>
    </row>
    <row r="1277" spans="1:18" x14ac:dyDescent="0.3">
      <c r="A1277" s="2">
        <v>42320</v>
      </c>
      <c r="B1277" s="1">
        <v>28.93</v>
      </c>
      <c r="C1277" s="1">
        <v>665.6001</v>
      </c>
      <c r="D1277" s="1">
        <v>108.02</v>
      </c>
      <c r="E1277" s="1">
        <f t="shared" si="128"/>
        <v>-3.3645375309804674E-3</v>
      </c>
      <c r="F1277" s="1">
        <f t="shared" si="129"/>
        <v>-1.1427691944336096E-2</v>
      </c>
      <c r="G1277" s="1">
        <f t="shared" si="130"/>
        <v>-9.1232259755221756E-3</v>
      </c>
      <c r="P1277" s="39">
        <f t="shared" si="131"/>
        <v>280.98153101132186</v>
      </c>
      <c r="Q1277" s="26">
        <f t="shared" si="132"/>
        <v>-3.0775198845552154</v>
      </c>
      <c r="R1277" s="26">
        <f t="shared" si="133"/>
        <v>3.0775198845552154</v>
      </c>
    </row>
    <row r="1278" spans="1:18" x14ac:dyDescent="0.3">
      <c r="A1278" s="2">
        <v>42319</v>
      </c>
      <c r="B1278" s="1">
        <v>29.0275</v>
      </c>
      <c r="C1278" s="1">
        <v>673.25</v>
      </c>
      <c r="D1278" s="1">
        <v>109.01</v>
      </c>
      <c r="E1278" s="1">
        <f t="shared" si="128"/>
        <v>-5.6681704487087283E-3</v>
      </c>
      <c r="F1278" s="1">
        <f t="shared" si="129"/>
        <v>2.0362014321778928E-2</v>
      </c>
      <c r="G1278" s="1">
        <f t="shared" si="130"/>
        <v>1.0142074764624896E-2</v>
      </c>
      <c r="P1278" s="39">
        <f t="shared" si="131"/>
        <v>284.05905089587708</v>
      </c>
      <c r="Q1278" s="26">
        <f t="shared" si="132"/>
        <v>5.176972135797314</v>
      </c>
      <c r="R1278" s="26">
        <f t="shared" si="133"/>
        <v>-5.176972135797314</v>
      </c>
    </row>
    <row r="1279" spans="1:18" x14ac:dyDescent="0.3">
      <c r="A1279" s="2">
        <v>42318</v>
      </c>
      <c r="B1279" s="1">
        <v>29.192499999999999</v>
      </c>
      <c r="C1279" s="1">
        <v>659.67989999999998</v>
      </c>
      <c r="D1279" s="1">
        <v>107.91</v>
      </c>
      <c r="E1279" s="1">
        <f t="shared" si="128"/>
        <v>-3.2024309041595929E-2</v>
      </c>
      <c r="F1279" s="1">
        <f t="shared" si="129"/>
        <v>6.3716698126713182E-3</v>
      </c>
      <c r="G1279" s="1">
        <f t="shared" si="130"/>
        <v>1.3246462348349931E-2</v>
      </c>
      <c r="P1279" s="39">
        <f t="shared" si="131"/>
        <v>278.88207876007976</v>
      </c>
      <c r="Q1279" s="26">
        <f t="shared" si="132"/>
        <v>1.4600733045099901</v>
      </c>
      <c r="R1279" s="26">
        <f t="shared" si="133"/>
        <v>-1.4600733045099901</v>
      </c>
    </row>
    <row r="1280" spans="1:18" x14ac:dyDescent="0.3">
      <c r="A1280" s="2">
        <v>42317</v>
      </c>
      <c r="B1280" s="1">
        <v>30.142499999999998</v>
      </c>
      <c r="C1280" s="1">
        <v>655.49</v>
      </c>
      <c r="D1280" s="1">
        <v>106.49</v>
      </c>
      <c r="E1280" s="1">
        <f t="shared" si="128"/>
        <v>-4.0557933343218378E-3</v>
      </c>
      <c r="F1280" s="1">
        <f t="shared" si="129"/>
        <v>-5.9019377999402906E-3</v>
      </c>
      <c r="G1280" s="1">
        <f t="shared" si="130"/>
        <v>-5.6652069958132859E-3</v>
      </c>
      <c r="P1280" s="39">
        <f t="shared" si="131"/>
        <v>277.42200545556977</v>
      </c>
      <c r="Q1280" s="26">
        <f t="shared" si="132"/>
        <v>-1.6135029236752985</v>
      </c>
      <c r="R1280" s="26">
        <f t="shared" si="133"/>
        <v>1.6135029236752985</v>
      </c>
    </row>
    <row r="1281" spans="1:18" x14ac:dyDescent="0.3">
      <c r="A1281" s="2">
        <v>42314</v>
      </c>
      <c r="B1281" s="1">
        <v>30.265000000000001</v>
      </c>
      <c r="C1281" s="1">
        <v>659.37009999999998</v>
      </c>
      <c r="D1281" s="1">
        <v>107.095</v>
      </c>
      <c r="E1281" s="1">
        <f t="shared" si="128"/>
        <v>1.1571205522838241E-3</v>
      </c>
      <c r="F1281" s="1">
        <f t="shared" si="129"/>
        <v>5.6580279001762534E-3</v>
      </c>
      <c r="G1281" s="1">
        <f t="shared" si="130"/>
        <v>-1.54273287411644E-2</v>
      </c>
      <c r="P1281" s="39">
        <f t="shared" si="131"/>
        <v>279.03550837924507</v>
      </c>
      <c r="Q1281" s="26">
        <f t="shared" si="132"/>
        <v>1.0263154833082808</v>
      </c>
      <c r="R1281" s="26">
        <f t="shared" si="133"/>
        <v>-1.0263154833082808</v>
      </c>
    </row>
    <row r="1282" spans="1:18" x14ac:dyDescent="0.3">
      <c r="A1282" s="2">
        <v>42313</v>
      </c>
      <c r="B1282" s="1">
        <v>30.23</v>
      </c>
      <c r="C1282" s="1">
        <v>655.6499</v>
      </c>
      <c r="D1282" s="1">
        <v>108.76</v>
      </c>
      <c r="E1282" s="1">
        <f t="shared" si="128"/>
        <v>-8.8918748219992336E-3</v>
      </c>
      <c r="F1282" s="1">
        <f t="shared" si="129"/>
        <v>2.2675506698878359E-2</v>
      </c>
      <c r="G1282" s="1">
        <f t="shared" si="130"/>
        <v>4.5329810183974292E-2</v>
      </c>
      <c r="P1282" s="39">
        <f t="shared" si="131"/>
        <v>278.00919289593679</v>
      </c>
      <c r="Q1282" s="26">
        <f t="shared" si="132"/>
        <v>6.3564991362989645</v>
      </c>
      <c r="R1282" s="26">
        <f t="shared" si="133"/>
        <v>-6.3564991362989645</v>
      </c>
    </row>
    <row r="1283" spans="1:18" x14ac:dyDescent="0.3">
      <c r="A1283" s="2">
        <v>42312</v>
      </c>
      <c r="B1283" s="1">
        <v>30.5</v>
      </c>
      <c r="C1283" s="1">
        <v>640.95000000000005</v>
      </c>
      <c r="D1283" s="1">
        <v>103.94</v>
      </c>
      <c r="E1283" s="1">
        <f t="shared" si="128"/>
        <v>-4.6612506198171815E-3</v>
      </c>
      <c r="F1283" s="1">
        <f t="shared" si="129"/>
        <v>2.4703764068416078E-2</v>
      </c>
      <c r="G1283" s="1">
        <f t="shared" si="130"/>
        <v>1.3170827619173455E-2</v>
      </c>
      <c r="P1283" s="39">
        <f t="shared" si="131"/>
        <v>271.65269375963783</v>
      </c>
      <c r="Q1283" s="26">
        <f t="shared" si="132"/>
        <v>6.006332268660401</v>
      </c>
      <c r="R1283" s="26">
        <f t="shared" si="133"/>
        <v>-6.006332268660401</v>
      </c>
    </row>
    <row r="1284" spans="1:18" x14ac:dyDescent="0.3">
      <c r="A1284" s="2">
        <v>42311</v>
      </c>
      <c r="B1284" s="1">
        <v>30.642499999999998</v>
      </c>
      <c r="C1284" s="1">
        <v>625.31010000000003</v>
      </c>
      <c r="D1284" s="1">
        <v>102.58</v>
      </c>
      <c r="E1284" s="1">
        <f t="shared" si="128"/>
        <v>1.1405251836230734E-2</v>
      </c>
      <c r="F1284" s="1">
        <f t="shared" si="129"/>
        <v>-4.8498085183855452E-3</v>
      </c>
      <c r="G1284" s="1">
        <f t="shared" si="130"/>
        <v>-7.0911949002317167E-3</v>
      </c>
      <c r="P1284" s="39">
        <f t="shared" si="131"/>
        <v>265.64636149097743</v>
      </c>
      <c r="Q1284" s="26">
        <f t="shared" si="132"/>
        <v>-1.135891026492402</v>
      </c>
      <c r="R1284" s="26">
        <f t="shared" si="133"/>
        <v>1.135891026492402</v>
      </c>
    </row>
    <row r="1285" spans="1:18" x14ac:dyDescent="0.3">
      <c r="A1285" s="2">
        <v>42310</v>
      </c>
      <c r="B1285" s="1">
        <v>30.295000000000002</v>
      </c>
      <c r="C1285" s="1">
        <v>628.3501</v>
      </c>
      <c r="D1285" s="1">
        <v>103.31</v>
      </c>
      <c r="E1285" s="1">
        <f t="shared" si="128"/>
        <v>1.3960672145277594E-2</v>
      </c>
      <c r="F1285" s="1">
        <f t="shared" si="129"/>
        <v>3.907041047401417E-3</v>
      </c>
      <c r="G1285" s="1">
        <f t="shared" si="130"/>
        <v>1.3055524485219705E-2</v>
      </c>
      <c r="P1285" s="39">
        <f t="shared" si="131"/>
        <v>266.78225251746983</v>
      </c>
      <c r="Q1285" s="26">
        <f t="shared" si="132"/>
        <v>1.3684567329682977</v>
      </c>
      <c r="R1285" s="26">
        <f t="shared" si="133"/>
        <v>-1.3684567329682977</v>
      </c>
    </row>
    <row r="1286" spans="1:18" x14ac:dyDescent="0.3">
      <c r="A1286" s="2">
        <v>42307</v>
      </c>
      <c r="B1286" s="1">
        <v>29.875</v>
      </c>
      <c r="C1286" s="1">
        <v>625.8999</v>
      </c>
      <c r="D1286" s="1">
        <v>101.97</v>
      </c>
      <c r="E1286" s="1">
        <f t="shared" ref="E1286:E1303" si="134">LN(B1286/B1287)</f>
        <v>-8.5823132286868865E-3</v>
      </c>
      <c r="F1286" s="1">
        <f t="shared" ref="F1286:F1303" si="135">LN(C1286/C1287)</f>
        <v>-1.0381254505822789E-3</v>
      </c>
      <c r="G1286" s="1">
        <f t="shared" ref="G1286:G1303" si="136">LN(D1286/D1287)</f>
        <v>-2.8138187079309995E-2</v>
      </c>
      <c r="P1286" s="39">
        <f t="shared" ref="P1286:P1303" si="137">B1286*$J$13+C1286*$J$14+D1286*$J$15</f>
        <v>265.41379578450153</v>
      </c>
      <c r="Q1286" s="26">
        <f t="shared" ref="Q1286:Q1302" si="138">P1286-P1287</f>
        <v>-0.97718610235284586</v>
      </c>
      <c r="R1286" s="26">
        <f t="shared" ref="R1286:R1302" si="139">-Q1286</f>
        <v>0.97718610235284586</v>
      </c>
    </row>
    <row r="1287" spans="1:18" x14ac:dyDescent="0.3">
      <c r="A1287" s="2">
        <v>42306</v>
      </c>
      <c r="B1287" s="1">
        <v>30.1325</v>
      </c>
      <c r="C1287" s="1">
        <v>626.54999999999995</v>
      </c>
      <c r="D1287" s="1">
        <v>104.88</v>
      </c>
      <c r="E1287" s="1">
        <f t="shared" si="134"/>
        <v>1.0508854009674704E-2</v>
      </c>
      <c r="F1287" s="1">
        <f t="shared" si="135"/>
        <v>1.5197332235995452E-2</v>
      </c>
      <c r="G1287" s="1">
        <f t="shared" si="136"/>
        <v>6.50471013617773E-3</v>
      </c>
      <c r="P1287" s="39">
        <f t="shared" si="137"/>
        <v>266.39098188685438</v>
      </c>
      <c r="Q1287" s="26">
        <f t="shared" si="138"/>
        <v>3.7645983266783105</v>
      </c>
      <c r="R1287" s="26">
        <f t="shared" si="139"/>
        <v>-3.7645983266783105</v>
      </c>
    </row>
    <row r="1288" spans="1:18" x14ac:dyDescent="0.3">
      <c r="A1288" s="2">
        <v>42305</v>
      </c>
      <c r="B1288" s="1">
        <v>29.817499999999999</v>
      </c>
      <c r="C1288" s="1">
        <v>617.1001</v>
      </c>
      <c r="D1288" s="1">
        <v>104.2</v>
      </c>
      <c r="E1288" s="1">
        <f t="shared" si="134"/>
        <v>4.0378421691073148E-2</v>
      </c>
      <c r="F1288" s="1">
        <f t="shared" si="135"/>
        <v>9.9179217255232748E-3</v>
      </c>
      <c r="G1288" s="1">
        <f t="shared" si="136"/>
        <v>4.810014083784878E-3</v>
      </c>
      <c r="P1288" s="39">
        <f t="shared" si="137"/>
        <v>262.62638356017607</v>
      </c>
      <c r="Q1288" s="26">
        <f t="shared" si="138"/>
        <v>2.8443123765928249</v>
      </c>
      <c r="R1288" s="26">
        <f t="shared" si="139"/>
        <v>-2.8443123765928249</v>
      </c>
    </row>
    <row r="1289" spans="1:18" x14ac:dyDescent="0.3">
      <c r="A1289" s="2">
        <v>42304</v>
      </c>
      <c r="B1289" s="1">
        <v>28.637499999999999</v>
      </c>
      <c r="C1289" s="1">
        <v>611.01</v>
      </c>
      <c r="D1289" s="1">
        <v>103.7</v>
      </c>
      <c r="E1289" s="1">
        <f t="shared" si="134"/>
        <v>-6.3525427917621958E-3</v>
      </c>
      <c r="F1289" s="1">
        <f t="shared" si="135"/>
        <v>3.9354928596059911E-3</v>
      </c>
      <c r="G1289" s="1">
        <f t="shared" si="136"/>
        <v>-6.747963817053652E-4</v>
      </c>
      <c r="P1289" s="39">
        <f t="shared" si="137"/>
        <v>259.78207118358324</v>
      </c>
      <c r="Q1289" s="26">
        <f t="shared" si="138"/>
        <v>0.79470664361434729</v>
      </c>
      <c r="R1289" s="26">
        <f t="shared" si="139"/>
        <v>-0.79470664361434729</v>
      </c>
    </row>
    <row r="1290" spans="1:18" x14ac:dyDescent="0.3">
      <c r="A1290" s="2">
        <v>42303</v>
      </c>
      <c r="B1290" s="1">
        <v>28.82</v>
      </c>
      <c r="C1290" s="1">
        <v>608.61009999999999</v>
      </c>
      <c r="D1290" s="1">
        <v>103.77</v>
      </c>
      <c r="E1290" s="1">
        <f t="shared" si="134"/>
        <v>-3.2431584456309004E-2</v>
      </c>
      <c r="F1290" s="1">
        <f t="shared" si="135"/>
        <v>1.5866152456401023E-2</v>
      </c>
      <c r="G1290" s="1">
        <f t="shared" si="136"/>
        <v>1.5343085993069234E-2</v>
      </c>
      <c r="P1290" s="39">
        <f t="shared" si="137"/>
        <v>258.98736453996889</v>
      </c>
      <c r="Q1290" s="26">
        <f t="shared" si="138"/>
        <v>3.4835660074390091</v>
      </c>
      <c r="R1290" s="26">
        <f t="shared" si="139"/>
        <v>-3.4835660074390091</v>
      </c>
    </row>
    <row r="1291" spans="1:18" x14ac:dyDescent="0.3">
      <c r="A1291" s="2">
        <v>42300</v>
      </c>
      <c r="B1291" s="1">
        <v>29.77</v>
      </c>
      <c r="C1291" s="1">
        <v>599.03</v>
      </c>
      <c r="D1291" s="1">
        <v>102.19</v>
      </c>
      <c r="E1291" s="1">
        <f t="shared" si="134"/>
        <v>3.0525006185727319E-2</v>
      </c>
      <c r="F1291" s="1">
        <f t="shared" si="135"/>
        <v>6.0417193370432484E-2</v>
      </c>
      <c r="G1291" s="1">
        <f t="shared" si="136"/>
        <v>2.496909664475273E-2</v>
      </c>
      <c r="P1291" s="39">
        <f t="shared" si="137"/>
        <v>255.50379853252988</v>
      </c>
      <c r="Q1291" s="26">
        <f t="shared" si="138"/>
        <v>13.875171155979018</v>
      </c>
      <c r="R1291" s="26">
        <f t="shared" si="139"/>
        <v>-13.875171155979018</v>
      </c>
    </row>
    <row r="1292" spans="1:18" x14ac:dyDescent="0.3">
      <c r="A1292" s="2">
        <v>42299</v>
      </c>
      <c r="B1292" s="1">
        <v>28.875</v>
      </c>
      <c r="C1292" s="1">
        <v>563.90989999999999</v>
      </c>
      <c r="D1292" s="1">
        <v>99.67</v>
      </c>
      <c r="E1292" s="1">
        <f t="shared" si="134"/>
        <v>1.5179563906917493E-2</v>
      </c>
      <c r="F1292" s="1">
        <f t="shared" si="135"/>
        <v>1.4539947362152247E-2</v>
      </c>
      <c r="G1292" s="1">
        <f t="shared" si="136"/>
        <v>2.6020372373102219E-2</v>
      </c>
      <c r="P1292" s="39">
        <f t="shared" si="137"/>
        <v>241.62862737655087</v>
      </c>
      <c r="Q1292" s="26">
        <f t="shared" si="138"/>
        <v>3.7383853216826708</v>
      </c>
      <c r="R1292" s="26">
        <f t="shared" si="139"/>
        <v>-3.7383853216826708</v>
      </c>
    </row>
    <row r="1293" spans="1:18" x14ac:dyDescent="0.3">
      <c r="A1293" s="2">
        <v>42298</v>
      </c>
      <c r="B1293" s="1">
        <v>28.44</v>
      </c>
      <c r="C1293" s="1">
        <v>555.77</v>
      </c>
      <c r="D1293" s="1">
        <v>97.11</v>
      </c>
      <c r="E1293" s="1">
        <f t="shared" si="134"/>
        <v>-8.7900496694371974E-5</v>
      </c>
      <c r="F1293" s="1">
        <f t="shared" si="135"/>
        <v>-9.1522610062564937E-3</v>
      </c>
      <c r="G1293" s="1">
        <f t="shared" si="136"/>
        <v>1.1333781028797594E-3</v>
      </c>
      <c r="P1293" s="39">
        <f t="shared" si="137"/>
        <v>237.8902420548682</v>
      </c>
      <c r="Q1293" s="26">
        <f t="shared" si="138"/>
        <v>-1.8625941264934625</v>
      </c>
      <c r="R1293" s="26">
        <f t="shared" si="139"/>
        <v>1.8625941264934625</v>
      </c>
    </row>
    <row r="1294" spans="1:18" x14ac:dyDescent="0.3">
      <c r="A1294" s="2">
        <v>42297</v>
      </c>
      <c r="B1294" s="1">
        <v>28.442499999999999</v>
      </c>
      <c r="C1294" s="1">
        <v>560.87990000000002</v>
      </c>
      <c r="D1294" s="1">
        <v>97</v>
      </c>
      <c r="E1294" s="1">
        <f t="shared" si="134"/>
        <v>1.8093619992378587E-2</v>
      </c>
      <c r="F1294" s="1">
        <f t="shared" si="135"/>
        <v>-2.1640487479167782E-2</v>
      </c>
      <c r="G1294" s="1">
        <f t="shared" si="136"/>
        <v>-1.5040954756327836E-2</v>
      </c>
      <c r="P1294" s="39">
        <f t="shared" si="137"/>
        <v>239.75283618136166</v>
      </c>
      <c r="Q1294" s="26">
        <f t="shared" si="138"/>
        <v>-4.6345185953270516</v>
      </c>
      <c r="R1294" s="26">
        <f t="shared" si="139"/>
        <v>4.6345185953270516</v>
      </c>
    </row>
    <row r="1295" spans="1:18" x14ac:dyDescent="0.3">
      <c r="A1295" s="2">
        <v>42296</v>
      </c>
      <c r="B1295" s="1">
        <v>27.932500000000001</v>
      </c>
      <c r="C1295" s="1">
        <v>573.1499</v>
      </c>
      <c r="D1295" s="1">
        <v>98.47</v>
      </c>
      <c r="E1295" s="1">
        <f t="shared" si="134"/>
        <v>6.1947498007521714E-3</v>
      </c>
      <c r="F1295" s="1">
        <f t="shared" si="135"/>
        <v>4.1784820242330885E-3</v>
      </c>
      <c r="G1295" s="1">
        <f t="shared" si="136"/>
        <v>9.4893829778040315E-3</v>
      </c>
      <c r="P1295" s="39">
        <f t="shared" si="137"/>
        <v>244.38735477668871</v>
      </c>
      <c r="Q1295" s="26">
        <f t="shared" si="138"/>
        <v>1.1548120929699621</v>
      </c>
      <c r="R1295" s="26">
        <f t="shared" si="139"/>
        <v>-1.1548120929699621</v>
      </c>
    </row>
    <row r="1296" spans="1:18" x14ac:dyDescent="0.3">
      <c r="A1296" s="2">
        <v>42293</v>
      </c>
      <c r="B1296" s="1">
        <v>27.76</v>
      </c>
      <c r="C1296" s="1">
        <v>570.76</v>
      </c>
      <c r="D1296" s="1">
        <v>97.54</v>
      </c>
      <c r="E1296" s="1">
        <f t="shared" si="134"/>
        <v>-7.3575926349475351E-3</v>
      </c>
      <c r="F1296" s="1">
        <f t="shared" si="135"/>
        <v>1.4684522136517927E-2</v>
      </c>
      <c r="G1296" s="1">
        <f t="shared" si="136"/>
        <v>1.6331112310412843E-2</v>
      </c>
      <c r="P1296" s="39">
        <f t="shared" si="137"/>
        <v>243.23254268371875</v>
      </c>
      <c r="Q1296" s="26">
        <f t="shared" si="138"/>
        <v>3.3273319123288445</v>
      </c>
      <c r="R1296" s="26">
        <f t="shared" si="139"/>
        <v>-3.3273319123288445</v>
      </c>
    </row>
    <row r="1297" spans="1:18" x14ac:dyDescent="0.3">
      <c r="A1297" s="2">
        <v>42292</v>
      </c>
      <c r="B1297" s="1">
        <v>27.965</v>
      </c>
      <c r="C1297" s="1">
        <v>562.43989999999997</v>
      </c>
      <c r="D1297" s="1">
        <v>95.96</v>
      </c>
      <c r="E1297" s="1">
        <f t="shared" si="134"/>
        <v>1.4860452689991421E-2</v>
      </c>
      <c r="F1297" s="1">
        <f t="shared" si="135"/>
        <v>3.1810280983865714E-2</v>
      </c>
      <c r="G1297" s="1">
        <f t="shared" si="136"/>
        <v>1.9892251987633745E-2</v>
      </c>
      <c r="P1297" s="39">
        <f t="shared" si="137"/>
        <v>239.9052107713899</v>
      </c>
      <c r="Q1297" s="26">
        <f t="shared" si="138"/>
        <v>7.0779692489308275</v>
      </c>
      <c r="R1297" s="26">
        <f t="shared" si="139"/>
        <v>-7.0779692489308275</v>
      </c>
    </row>
    <row r="1298" spans="1:18" x14ac:dyDescent="0.3">
      <c r="A1298" s="2">
        <v>42291</v>
      </c>
      <c r="B1298" s="1">
        <v>27.552499999999998</v>
      </c>
      <c r="C1298" s="1">
        <v>544.83010000000002</v>
      </c>
      <c r="D1298" s="1">
        <v>94.07</v>
      </c>
      <c r="E1298" s="1">
        <f t="shared" si="134"/>
        <v>-1.4234474578783943E-2</v>
      </c>
      <c r="F1298" s="1">
        <f t="shared" si="135"/>
        <v>-7.4420904312893447E-3</v>
      </c>
      <c r="G1298" s="1">
        <f t="shared" si="136"/>
        <v>-5.3137787530181549E-4</v>
      </c>
      <c r="P1298" s="39">
        <f t="shared" si="137"/>
        <v>232.82724152245908</v>
      </c>
      <c r="Q1298" s="26">
        <f t="shared" si="138"/>
        <v>-1.676123034325002</v>
      </c>
      <c r="R1298" s="26">
        <f t="shared" si="139"/>
        <v>1.676123034325002</v>
      </c>
    </row>
    <row r="1299" spans="1:18" x14ac:dyDescent="0.3">
      <c r="A1299" s="2">
        <v>42290</v>
      </c>
      <c r="B1299" s="1">
        <v>27.947500000000002</v>
      </c>
      <c r="C1299" s="1">
        <v>548.8999</v>
      </c>
      <c r="D1299" s="1">
        <v>94.12</v>
      </c>
      <c r="E1299" s="1">
        <f t="shared" si="134"/>
        <v>1.7010613350238871E-3</v>
      </c>
      <c r="F1299" s="1">
        <f t="shared" si="135"/>
        <v>-2.3473979875979546E-3</v>
      </c>
      <c r="G1299" s="1">
        <f t="shared" si="136"/>
        <v>-1.486357636423013E-3</v>
      </c>
      <c r="P1299" s="39">
        <f t="shared" si="137"/>
        <v>234.50336455678408</v>
      </c>
      <c r="Q1299" s="26">
        <f t="shared" si="138"/>
        <v>-0.48663006132593978</v>
      </c>
      <c r="R1299" s="26">
        <f t="shared" si="139"/>
        <v>0.48663006132593978</v>
      </c>
    </row>
    <row r="1300" spans="1:18" x14ac:dyDescent="0.3">
      <c r="A1300" s="2">
        <v>42289</v>
      </c>
      <c r="B1300" s="1">
        <v>27.9</v>
      </c>
      <c r="C1300" s="1">
        <v>550.18989999999997</v>
      </c>
      <c r="D1300" s="1">
        <v>94.26</v>
      </c>
      <c r="E1300" s="1">
        <f t="shared" si="134"/>
        <v>-4.6486763493771115E-3</v>
      </c>
      <c r="F1300" s="1">
        <f t="shared" si="135"/>
        <v>1.9064790776973706E-2</v>
      </c>
      <c r="G1300" s="1">
        <f t="shared" si="136"/>
        <v>1.0880107328028422E-2</v>
      </c>
      <c r="P1300" s="39">
        <f t="shared" si="137"/>
        <v>234.98999461811002</v>
      </c>
      <c r="Q1300" s="26">
        <f t="shared" si="138"/>
        <v>4.0007398857694341</v>
      </c>
      <c r="R1300" s="26">
        <f t="shared" si="139"/>
        <v>-4.0007398857694341</v>
      </c>
    </row>
    <row r="1301" spans="1:18" x14ac:dyDescent="0.3">
      <c r="A1301" s="2">
        <v>42286</v>
      </c>
      <c r="B1301" s="1">
        <v>28.03</v>
      </c>
      <c r="C1301" s="1">
        <v>539.79999999999995</v>
      </c>
      <c r="D1301" s="1">
        <v>93.24</v>
      </c>
      <c r="E1301" s="1">
        <f t="shared" si="134"/>
        <v>2.3645177040032089E-2</v>
      </c>
      <c r="F1301" s="1">
        <f t="shared" si="135"/>
        <v>1.2377321409061622E-2</v>
      </c>
      <c r="G1301" s="1">
        <f t="shared" si="136"/>
        <v>8.2925465780091436E-3</v>
      </c>
      <c r="P1301" s="39">
        <f t="shared" si="137"/>
        <v>230.98925473234058</v>
      </c>
      <c r="Q1301" s="26">
        <f t="shared" si="138"/>
        <v>2.8882405471385084</v>
      </c>
      <c r="R1301" s="26">
        <f t="shared" si="139"/>
        <v>-2.8882405471385084</v>
      </c>
    </row>
    <row r="1302" spans="1:18" x14ac:dyDescent="0.3">
      <c r="A1302" s="2">
        <v>42285</v>
      </c>
      <c r="B1302" s="1">
        <v>27.375</v>
      </c>
      <c r="C1302" s="1">
        <v>533.15989999999999</v>
      </c>
      <c r="D1302" s="1">
        <v>92.47</v>
      </c>
      <c r="E1302" s="1">
        <f t="shared" si="134"/>
        <v>-1.1621703348402354E-2</v>
      </c>
      <c r="F1302" s="1">
        <f t="shared" si="135"/>
        <v>-1.6333730507683882E-2</v>
      </c>
      <c r="G1302" s="1">
        <f t="shared" si="136"/>
        <v>7.5728894190875765E-4</v>
      </c>
      <c r="P1302" s="39">
        <f t="shared" si="137"/>
        <v>228.10101418520208</v>
      </c>
      <c r="Q1302" s="26">
        <f t="shared" si="138"/>
        <v>-3.3569632888678882</v>
      </c>
      <c r="R1302" s="26">
        <f t="shared" si="139"/>
        <v>3.3569632888678882</v>
      </c>
    </row>
    <row r="1303" spans="1:18" x14ac:dyDescent="0.3">
      <c r="A1303" s="2">
        <v>42284</v>
      </c>
      <c r="B1303" s="1">
        <v>27.695</v>
      </c>
      <c r="C1303" s="1">
        <v>541.93989999999997</v>
      </c>
      <c r="D1303" s="1">
        <v>92.4</v>
      </c>
      <c r="E1303" s="1">
        <f t="shared" si="134"/>
        <v>-4.7728489001765736E-3</v>
      </c>
      <c r="F1303" s="1">
        <f t="shared" si="135"/>
        <v>8.2635596753173057E-3</v>
      </c>
      <c r="G1303" s="1">
        <f t="shared" si="136"/>
        <v>-4.3196611445162842E-3</v>
      </c>
      <c r="P1303" s="39">
        <f t="shared" si="137"/>
        <v>231.45797747406996</v>
      </c>
      <c r="Q1303" s="26"/>
      <c r="R1303" s="26"/>
    </row>
    <row r="1304" spans="1:18" x14ac:dyDescent="0.3">
      <c r="A1304" s="2"/>
      <c r="B1304" s="1">
        <v>27.827500000000001</v>
      </c>
      <c r="C1304" s="1">
        <v>537.48</v>
      </c>
      <c r="D1304" s="1">
        <v>92.8</v>
      </c>
      <c r="E1304" s="1"/>
    </row>
  </sheetData>
  <mergeCells count="1">
    <mergeCell ref="T8:U8"/>
  </mergeCells>
  <dataValidations count="1">
    <dataValidation allowBlank="1" showErrorMessage="1" promptTitle="TRAFO" prompt="$A$1:$D$1310" sqref="A1" xr:uid="{A4CC47E8-0779-49CC-8DB1-ACD111DC2DD7}"/>
  </dataValidations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2A8A-2683-4AE1-B0EE-3A49F6267319}">
  <dimension ref="C4:M16"/>
  <sheetViews>
    <sheetView workbookViewId="0">
      <selection activeCell="J4" sqref="J4:M5"/>
    </sheetView>
  </sheetViews>
  <sheetFormatPr defaultRowHeight="14.4" x14ac:dyDescent="0.3"/>
  <cols>
    <col min="3" max="3" width="8.5546875" customWidth="1"/>
    <col min="7" max="7" width="15.77734375" bestFit="1" customWidth="1"/>
    <col min="9" max="9" width="26.21875" bestFit="1" customWidth="1"/>
  </cols>
  <sheetData>
    <row r="4" spans="3:13" x14ac:dyDescent="0.3">
      <c r="C4" s="58" t="s">
        <v>29</v>
      </c>
      <c r="D4" s="58"/>
      <c r="E4" s="58"/>
      <c r="F4" s="13"/>
      <c r="G4" s="13" t="s">
        <v>30</v>
      </c>
      <c r="I4" t="s">
        <v>44</v>
      </c>
      <c r="J4" s="61" t="s">
        <v>45</v>
      </c>
      <c r="K4" s="61" t="s">
        <v>46</v>
      </c>
      <c r="L4" s="61" t="s">
        <v>47</v>
      </c>
      <c r="M4" s="61" t="s">
        <v>48</v>
      </c>
    </row>
    <row r="5" spans="3:13" x14ac:dyDescent="0.3">
      <c r="C5" t="s">
        <v>31</v>
      </c>
      <c r="D5" t="s">
        <v>32</v>
      </c>
      <c r="E5" t="s">
        <v>33</v>
      </c>
      <c r="F5" t="s">
        <v>39</v>
      </c>
      <c r="G5" t="s">
        <v>40</v>
      </c>
      <c r="J5" s="62">
        <f>'Punto 1'!M8</f>
        <v>8.5485972495066192E-4</v>
      </c>
      <c r="K5" s="62">
        <f>'Punto 2'!M8</f>
        <v>1.1487971328645581E-3</v>
      </c>
      <c r="L5" s="62">
        <f>'Punto 3'!M10</f>
        <v>-8.5432399665981602E-4</v>
      </c>
      <c r="M5" s="62">
        <f>'Punto 4'!M7</f>
        <v>1.4051768030416125E-4</v>
      </c>
    </row>
    <row r="6" spans="3:13" x14ac:dyDescent="0.3">
      <c r="C6" s="54">
        <f>'Punto 1'!M16</f>
        <v>0.47168260368663578</v>
      </c>
      <c r="D6" s="54">
        <f>1-C6</f>
        <v>0.52831739631336427</v>
      </c>
      <c r="E6" s="54">
        <v>0</v>
      </c>
      <c r="F6" s="54">
        <v>0.05</v>
      </c>
      <c r="G6" s="54">
        <f>1/F6*SUM('Punto 1'!M34:M106)</f>
        <v>42.355658198614307</v>
      </c>
    </row>
    <row r="7" spans="3:13" x14ac:dyDescent="0.3">
      <c r="C7" s="54"/>
      <c r="D7" s="54"/>
      <c r="E7" s="54"/>
      <c r="F7" s="54"/>
      <c r="G7" s="54"/>
    </row>
    <row r="8" spans="3:13" x14ac:dyDescent="0.3">
      <c r="C8" s="54">
        <f>'Punto 2'!M16</f>
        <v>0.74387441966457513</v>
      </c>
      <c r="D8" s="54">
        <f>1-C8</f>
        <v>0.25612558033542487</v>
      </c>
      <c r="E8" s="54">
        <v>0</v>
      </c>
      <c r="F8" s="54">
        <v>0.01</v>
      </c>
      <c r="G8" s="54">
        <f>1/F8*SUM('Punto 2'!M34:M56)</f>
        <v>33.410315627405694</v>
      </c>
    </row>
    <row r="9" spans="3:13" x14ac:dyDescent="0.3">
      <c r="C9" s="54"/>
      <c r="D9" s="54"/>
      <c r="E9" s="54"/>
      <c r="F9" s="54"/>
      <c r="G9" s="54"/>
    </row>
    <row r="10" spans="3:13" x14ac:dyDescent="0.3">
      <c r="C10" s="54">
        <f>'Punto 3'!M16</f>
        <v>-5.6520374265232984</v>
      </c>
      <c r="D10" s="54">
        <v>0</v>
      </c>
      <c r="E10" s="54">
        <f>1-C10</f>
        <v>6.6520374265232984</v>
      </c>
      <c r="F10" s="54">
        <v>0.05</v>
      </c>
      <c r="G10" s="54">
        <f>1/F10*(SUM('Punto 3'!M34:M280))</f>
        <v>47.282525019245554</v>
      </c>
    </row>
    <row r="11" spans="3:13" x14ac:dyDescent="0.3">
      <c r="C11" s="54"/>
      <c r="D11" s="54"/>
      <c r="E11" s="54"/>
      <c r="F11" s="54"/>
      <c r="G11" s="54"/>
    </row>
    <row r="12" spans="3:13" x14ac:dyDescent="0.3">
      <c r="C12" s="54">
        <f>'Punto 4'!M16</f>
        <v>-2.2306364233350524</v>
      </c>
      <c r="D12" s="54">
        <v>0</v>
      </c>
      <c r="E12" s="54">
        <f>1-C12</f>
        <v>3.2306364233350524</v>
      </c>
      <c r="F12" s="54">
        <v>0.01</v>
      </c>
      <c r="G12" s="54">
        <f>1/F12*(SUM('Punto 4'!M34:M139))</f>
        <v>42.494226327944574</v>
      </c>
    </row>
    <row r="13" spans="3:13" x14ac:dyDescent="0.3">
      <c r="C13" s="54"/>
      <c r="D13" s="54"/>
      <c r="E13" s="54"/>
      <c r="F13" s="54"/>
      <c r="G13" s="54"/>
    </row>
    <row r="14" spans="3:13" x14ac:dyDescent="0.3">
      <c r="C14" s="54">
        <v>0.4143</v>
      </c>
      <c r="D14" s="54">
        <v>0.36899999999999999</v>
      </c>
      <c r="E14" s="54">
        <v>0.2167</v>
      </c>
      <c r="F14" s="54">
        <v>0.05</v>
      </c>
      <c r="G14" s="54">
        <f>1/F14*SUM('Punto 5'!Y30:Y80)</f>
        <v>30.123266563944529</v>
      </c>
    </row>
    <row r="15" spans="3:13" x14ac:dyDescent="0.3">
      <c r="C15" s="54"/>
      <c r="D15" s="54"/>
      <c r="E15" s="54"/>
      <c r="F15" s="54"/>
      <c r="G15" s="54"/>
    </row>
    <row r="16" spans="3:13" x14ac:dyDescent="0.3">
      <c r="C16" s="54">
        <f>'Punto 5'!J13</f>
        <v>0.41431856227878083</v>
      </c>
      <c r="D16" s="54">
        <f>'Punto 5'!J14</f>
        <v>0.36896938413324049</v>
      </c>
      <c r="E16" s="54">
        <f>'Punto 5'!J15</f>
        <v>0.21671205358797871</v>
      </c>
      <c r="F16" s="54">
        <v>0.01</v>
      </c>
      <c r="G16" s="54">
        <f>1/F16*(SUM('Punto 5'!Y49:Y80))</f>
        <v>44.067796610169488</v>
      </c>
    </row>
  </sheetData>
  <mergeCells count="1"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Historical Simulation</vt:lpstr>
      <vt:lpstr>Punto 1</vt:lpstr>
      <vt:lpstr>Punto 2</vt:lpstr>
      <vt:lpstr>Punto 3</vt:lpstr>
      <vt:lpstr>Punto 4</vt:lpstr>
      <vt:lpstr>Punto 5</vt:lpstr>
      <vt:lpstr>Punto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Francesco Biancini</cp:lastModifiedBy>
  <dcterms:created xsi:type="dcterms:W3CDTF">2020-05-12T13:28:52Z</dcterms:created>
  <dcterms:modified xsi:type="dcterms:W3CDTF">2024-06-02T10:17:54Z</dcterms:modified>
</cp:coreProperties>
</file>