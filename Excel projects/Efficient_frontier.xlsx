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FCA1389-E5D4-4E0F-9986-03C86D83DE9B}" xr6:coauthVersionLast="47" xr6:coauthVersionMax="47" xr10:uidLastSave="{00000000-0000-0000-0000-000000000000}"/>
  <bookViews>
    <workbookView xWindow="-108" yWindow="-108" windowWidth="23256" windowHeight="12576" firstSheet="3" activeTab="4" xr2:uid="{09FCF9DC-F357-476B-8295-3F35BA19339D}"/>
  </bookViews>
  <sheets>
    <sheet name="PORTAFOGLIO A 3" sheetId="1" r:id="rId1"/>
    <sheet name="PORTAFOGLIO A" sheetId="2" r:id="rId2"/>
    <sheet name="PORTAFOGLIO B" sheetId="3" r:id="rId3"/>
    <sheet name="QUADRATICA" sheetId="4" r:id="rId4"/>
    <sheet name="ESPONENZIALE" sheetId="5" r:id="rId5"/>
    <sheet name="Esercizio 3.21" sheetId="6" r:id="rId6"/>
    <sheet name="Esercizio 3.19" sheetId="7" r:id="rId7"/>
  </sheets>
  <definedNames>
    <definedName name="TRNR_7053e89926db463285ce007995b46c9f_5_20" hidden="1">'PORTAFOGLIO A 3'!#REF!</definedName>
    <definedName name="TRNR_8ad8f1e39652446a9e1f6f3e505d97ba_1309_3" hidden="1">'PORTAFOGLIO A 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7" i="1" l="1"/>
  <c r="M17" i="1"/>
  <c r="K17" i="1"/>
  <c r="T42" i="1" l="1"/>
  <c r="L31" i="3"/>
  <c r="L31" i="2"/>
  <c r="E3" i="4" a="1"/>
  <c r="E3" i="4" s="1"/>
  <c r="I11" i="7"/>
  <c r="L11" i="7"/>
  <c r="C16" i="7"/>
  <c r="H16" i="7" a="1"/>
  <c r="H16" i="7" s="1"/>
  <c r="C11" i="7" a="1"/>
  <c r="C11" i="7" s="1"/>
  <c r="F7" i="7"/>
  <c r="F8" i="7"/>
  <c r="F6" i="7"/>
  <c r="H2" i="7" a="1"/>
  <c r="H2" i="7" s="1"/>
  <c r="D19" i="6"/>
  <c r="F17" i="6"/>
  <c r="F16" i="6"/>
  <c r="D16" i="6"/>
  <c r="L13" i="6" a="1"/>
  <c r="L13" i="6" s="1"/>
  <c r="L15" i="6" a="1"/>
  <c r="L15" i="6" s="1"/>
  <c r="F13" i="6" a="1"/>
  <c r="F13" i="6" s="1"/>
  <c r="D13" i="6" a="1"/>
  <c r="D13" i="6" s="1"/>
  <c r="I10" i="6"/>
  <c r="I9" i="6"/>
  <c r="F3" i="6"/>
  <c r="G8" i="5"/>
  <c r="F3" i="5" a="1"/>
  <c r="F3" i="5" s="1"/>
  <c r="C3" i="5" a="1"/>
  <c r="C3" i="5" s="1"/>
  <c r="M4" i="4"/>
  <c r="M5" i="4"/>
  <c r="S5" i="2"/>
  <c r="G3" i="4" a="1"/>
  <c r="G3" i="4" s="1"/>
  <c r="M44" i="1" a="1"/>
  <c r="M44" i="1" s="1"/>
  <c r="M42" i="1"/>
  <c r="F6" i="3"/>
  <c r="G5" i="3"/>
  <c r="G6" i="3"/>
  <c r="F5" i="3"/>
  <c r="K5" i="3" s="1" a="1"/>
  <c r="K5" i="3" s="1"/>
  <c r="D6" i="3"/>
  <c r="P4" i="3" s="1"/>
  <c r="D5" i="3"/>
  <c r="O4" i="3" s="1"/>
  <c r="F5" i="2" a="1"/>
  <c r="F5" i="2" s="1"/>
  <c r="D6" i="2"/>
  <c r="P4" i="2" s="1"/>
  <c r="D5" i="2"/>
  <c r="O4" i="2" s="1"/>
  <c r="N37" i="1"/>
  <c r="N38" i="1"/>
  <c r="N36" i="1"/>
  <c r="Q23" i="1" a="1"/>
  <c r="Q23" i="1" s="1"/>
  <c r="Q9" i="1" a="1"/>
  <c r="Q9" i="1" s="1"/>
  <c r="K9" i="1"/>
  <c r="L9" i="1"/>
  <c r="M9" i="1"/>
  <c r="M8" i="1"/>
  <c r="L8" i="1"/>
  <c r="K8" i="1"/>
  <c r="M7" i="1"/>
  <c r="L7" i="1"/>
  <c r="K7" i="1"/>
  <c r="Q16" i="1"/>
  <c r="Q15" i="1"/>
  <c r="Q14" i="1"/>
  <c r="F6" i="1"/>
  <c r="G6" i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/>
  <c r="H11" i="1"/>
  <c r="F12" i="1"/>
  <c r="G12" i="1"/>
  <c r="H12" i="1"/>
  <c r="F13" i="1"/>
  <c r="G13" i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/>
  <c r="H19" i="1"/>
  <c r="F20" i="1"/>
  <c r="G20" i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/>
  <c r="H44" i="1"/>
  <c r="F45" i="1"/>
  <c r="G45" i="1"/>
  <c r="H45" i="1"/>
  <c r="F46" i="1"/>
  <c r="G46" i="1"/>
  <c r="H46" i="1"/>
  <c r="F47" i="1"/>
  <c r="G47" i="1"/>
  <c r="H47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/>
  <c r="H93" i="1"/>
  <c r="F94" i="1"/>
  <c r="G94" i="1"/>
  <c r="H94" i="1"/>
  <c r="F95" i="1"/>
  <c r="G95" i="1"/>
  <c r="H95" i="1"/>
  <c r="F96" i="1"/>
  <c r="G96" i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F115" i="1"/>
  <c r="G115" i="1"/>
  <c r="H115" i="1"/>
  <c r="F116" i="1"/>
  <c r="G116" i="1"/>
  <c r="H116" i="1"/>
  <c r="F117" i="1"/>
  <c r="G117" i="1"/>
  <c r="H117" i="1"/>
  <c r="F118" i="1"/>
  <c r="G118" i="1"/>
  <c r="H118" i="1"/>
  <c r="F119" i="1"/>
  <c r="G119" i="1"/>
  <c r="H119" i="1"/>
  <c r="F120" i="1"/>
  <c r="G120" i="1"/>
  <c r="H120" i="1"/>
  <c r="F121" i="1"/>
  <c r="G121" i="1"/>
  <c r="H121" i="1"/>
  <c r="F122" i="1"/>
  <c r="G122" i="1"/>
  <c r="H122" i="1"/>
  <c r="F123" i="1"/>
  <c r="G123" i="1"/>
  <c r="H123" i="1"/>
  <c r="F124" i="1"/>
  <c r="G124" i="1"/>
  <c r="H124" i="1"/>
  <c r="F125" i="1"/>
  <c r="G125" i="1"/>
  <c r="H125" i="1"/>
  <c r="F126" i="1"/>
  <c r="G126" i="1"/>
  <c r="H126" i="1"/>
  <c r="F127" i="1"/>
  <c r="G127" i="1"/>
  <c r="H127" i="1"/>
  <c r="F128" i="1"/>
  <c r="G128" i="1"/>
  <c r="H128" i="1"/>
  <c r="F129" i="1"/>
  <c r="G129" i="1"/>
  <c r="H129" i="1"/>
  <c r="F130" i="1"/>
  <c r="G130" i="1"/>
  <c r="H130" i="1"/>
  <c r="F131" i="1"/>
  <c r="G131" i="1"/>
  <c r="H131" i="1"/>
  <c r="F132" i="1"/>
  <c r="G132" i="1"/>
  <c r="H132" i="1"/>
  <c r="F133" i="1"/>
  <c r="G133" i="1"/>
  <c r="H133" i="1"/>
  <c r="F134" i="1"/>
  <c r="G134" i="1"/>
  <c r="H134" i="1"/>
  <c r="F135" i="1"/>
  <c r="G135" i="1"/>
  <c r="H135" i="1"/>
  <c r="F136" i="1"/>
  <c r="G136" i="1"/>
  <c r="H136" i="1"/>
  <c r="F137" i="1"/>
  <c r="G137" i="1"/>
  <c r="H137" i="1"/>
  <c r="F138" i="1"/>
  <c r="G138" i="1"/>
  <c r="H138" i="1"/>
  <c r="F139" i="1"/>
  <c r="G139" i="1"/>
  <c r="H139" i="1"/>
  <c r="F140" i="1"/>
  <c r="G140" i="1"/>
  <c r="H140" i="1"/>
  <c r="F141" i="1"/>
  <c r="G141" i="1"/>
  <c r="H141" i="1"/>
  <c r="F142" i="1"/>
  <c r="G142" i="1"/>
  <c r="H142" i="1"/>
  <c r="F143" i="1"/>
  <c r="G143" i="1"/>
  <c r="H143" i="1"/>
  <c r="F144" i="1"/>
  <c r="G144" i="1"/>
  <c r="H144" i="1"/>
  <c r="F145" i="1"/>
  <c r="G145" i="1"/>
  <c r="H145" i="1"/>
  <c r="F146" i="1"/>
  <c r="G146" i="1"/>
  <c r="H146" i="1"/>
  <c r="F147" i="1"/>
  <c r="G147" i="1"/>
  <c r="H147" i="1"/>
  <c r="F148" i="1"/>
  <c r="G148" i="1"/>
  <c r="H148" i="1"/>
  <c r="F149" i="1"/>
  <c r="G149" i="1"/>
  <c r="H149" i="1"/>
  <c r="F150" i="1"/>
  <c r="G150" i="1"/>
  <c r="H150" i="1"/>
  <c r="F151" i="1"/>
  <c r="G151" i="1"/>
  <c r="H151" i="1"/>
  <c r="F152" i="1"/>
  <c r="G152" i="1"/>
  <c r="H152" i="1"/>
  <c r="F153" i="1"/>
  <c r="G153" i="1"/>
  <c r="H153" i="1"/>
  <c r="F154" i="1"/>
  <c r="G154" i="1"/>
  <c r="H154" i="1"/>
  <c r="F155" i="1"/>
  <c r="G155" i="1"/>
  <c r="H155" i="1"/>
  <c r="F156" i="1"/>
  <c r="G156" i="1"/>
  <c r="H156" i="1"/>
  <c r="F157" i="1"/>
  <c r="G157" i="1"/>
  <c r="H157" i="1"/>
  <c r="F158" i="1"/>
  <c r="G158" i="1"/>
  <c r="H158" i="1"/>
  <c r="F159" i="1"/>
  <c r="G159" i="1"/>
  <c r="H159" i="1"/>
  <c r="F160" i="1"/>
  <c r="G160" i="1"/>
  <c r="H160" i="1"/>
  <c r="F161" i="1"/>
  <c r="G161" i="1"/>
  <c r="H161" i="1"/>
  <c r="F162" i="1"/>
  <c r="G162" i="1"/>
  <c r="H162" i="1"/>
  <c r="F163" i="1"/>
  <c r="G163" i="1"/>
  <c r="H163" i="1"/>
  <c r="F164" i="1"/>
  <c r="G164" i="1"/>
  <c r="H164" i="1"/>
  <c r="F165" i="1"/>
  <c r="G165" i="1"/>
  <c r="H165" i="1"/>
  <c r="F166" i="1"/>
  <c r="G166" i="1"/>
  <c r="H166" i="1"/>
  <c r="F167" i="1"/>
  <c r="G167" i="1"/>
  <c r="H167" i="1"/>
  <c r="F168" i="1"/>
  <c r="G168" i="1"/>
  <c r="H168" i="1"/>
  <c r="F169" i="1"/>
  <c r="G169" i="1"/>
  <c r="H169" i="1"/>
  <c r="F170" i="1"/>
  <c r="G170" i="1"/>
  <c r="H170" i="1"/>
  <c r="F171" i="1"/>
  <c r="G171" i="1"/>
  <c r="H171" i="1"/>
  <c r="F172" i="1"/>
  <c r="G172" i="1"/>
  <c r="H172" i="1"/>
  <c r="F173" i="1"/>
  <c r="G173" i="1"/>
  <c r="H173" i="1"/>
  <c r="F174" i="1"/>
  <c r="G174" i="1"/>
  <c r="H174" i="1"/>
  <c r="F175" i="1"/>
  <c r="G175" i="1"/>
  <c r="H175" i="1"/>
  <c r="F176" i="1"/>
  <c r="G176" i="1"/>
  <c r="H176" i="1"/>
  <c r="F177" i="1"/>
  <c r="G177" i="1"/>
  <c r="H177" i="1"/>
  <c r="F178" i="1"/>
  <c r="G178" i="1"/>
  <c r="H178" i="1"/>
  <c r="F179" i="1"/>
  <c r="G179" i="1"/>
  <c r="H179" i="1"/>
  <c r="F180" i="1"/>
  <c r="G180" i="1"/>
  <c r="H180" i="1"/>
  <c r="F181" i="1"/>
  <c r="G181" i="1"/>
  <c r="H181" i="1"/>
  <c r="F182" i="1"/>
  <c r="G182" i="1"/>
  <c r="H182" i="1"/>
  <c r="F183" i="1"/>
  <c r="G183" i="1"/>
  <c r="H183" i="1"/>
  <c r="F184" i="1"/>
  <c r="G184" i="1"/>
  <c r="H184" i="1"/>
  <c r="F185" i="1"/>
  <c r="G185" i="1"/>
  <c r="H185" i="1"/>
  <c r="F186" i="1"/>
  <c r="G186" i="1"/>
  <c r="H186" i="1"/>
  <c r="F187" i="1"/>
  <c r="G187" i="1"/>
  <c r="H187" i="1"/>
  <c r="F188" i="1"/>
  <c r="G188" i="1"/>
  <c r="H188" i="1"/>
  <c r="F189" i="1"/>
  <c r="G189" i="1"/>
  <c r="H189" i="1"/>
  <c r="F190" i="1"/>
  <c r="G190" i="1"/>
  <c r="H190" i="1"/>
  <c r="F191" i="1"/>
  <c r="G191" i="1"/>
  <c r="H191" i="1"/>
  <c r="F192" i="1"/>
  <c r="G192" i="1"/>
  <c r="H192" i="1"/>
  <c r="F193" i="1"/>
  <c r="G193" i="1"/>
  <c r="H193" i="1"/>
  <c r="F194" i="1"/>
  <c r="G194" i="1"/>
  <c r="H194" i="1"/>
  <c r="F195" i="1"/>
  <c r="G195" i="1"/>
  <c r="H195" i="1"/>
  <c r="F196" i="1"/>
  <c r="G196" i="1"/>
  <c r="H196" i="1"/>
  <c r="F197" i="1"/>
  <c r="G197" i="1"/>
  <c r="H197" i="1"/>
  <c r="F198" i="1"/>
  <c r="G198" i="1"/>
  <c r="H198" i="1"/>
  <c r="F199" i="1"/>
  <c r="G199" i="1"/>
  <c r="H199" i="1"/>
  <c r="F200" i="1"/>
  <c r="G200" i="1"/>
  <c r="H200" i="1"/>
  <c r="F201" i="1"/>
  <c r="G201" i="1"/>
  <c r="H201" i="1"/>
  <c r="F202" i="1"/>
  <c r="G202" i="1"/>
  <c r="H202" i="1"/>
  <c r="F203" i="1"/>
  <c r="G203" i="1"/>
  <c r="H203" i="1"/>
  <c r="F204" i="1"/>
  <c r="G204" i="1"/>
  <c r="H204" i="1"/>
  <c r="F205" i="1"/>
  <c r="G205" i="1"/>
  <c r="H205" i="1"/>
  <c r="F206" i="1"/>
  <c r="G206" i="1"/>
  <c r="H206" i="1"/>
  <c r="F207" i="1"/>
  <c r="G207" i="1"/>
  <c r="H207" i="1"/>
  <c r="F208" i="1"/>
  <c r="G208" i="1"/>
  <c r="H208" i="1"/>
  <c r="F209" i="1"/>
  <c r="G209" i="1"/>
  <c r="H209" i="1"/>
  <c r="F210" i="1"/>
  <c r="G210" i="1"/>
  <c r="H210" i="1"/>
  <c r="F211" i="1"/>
  <c r="G211" i="1"/>
  <c r="H211" i="1"/>
  <c r="F212" i="1"/>
  <c r="G212" i="1"/>
  <c r="H212" i="1"/>
  <c r="F213" i="1"/>
  <c r="G213" i="1"/>
  <c r="H213" i="1"/>
  <c r="F214" i="1"/>
  <c r="G214" i="1"/>
  <c r="H214" i="1"/>
  <c r="F215" i="1"/>
  <c r="G215" i="1"/>
  <c r="H215" i="1"/>
  <c r="F216" i="1"/>
  <c r="G216" i="1"/>
  <c r="H216" i="1"/>
  <c r="F217" i="1"/>
  <c r="G217" i="1"/>
  <c r="H217" i="1"/>
  <c r="F218" i="1"/>
  <c r="G218" i="1"/>
  <c r="H218" i="1"/>
  <c r="F219" i="1"/>
  <c r="G219" i="1"/>
  <c r="H219" i="1"/>
  <c r="F220" i="1"/>
  <c r="G220" i="1"/>
  <c r="H220" i="1"/>
  <c r="F221" i="1"/>
  <c r="G221" i="1"/>
  <c r="H221" i="1"/>
  <c r="F222" i="1"/>
  <c r="G222" i="1"/>
  <c r="H222" i="1"/>
  <c r="F223" i="1"/>
  <c r="G223" i="1"/>
  <c r="H223" i="1"/>
  <c r="F224" i="1"/>
  <c r="G224" i="1"/>
  <c r="H224" i="1"/>
  <c r="F225" i="1"/>
  <c r="G225" i="1"/>
  <c r="H225" i="1"/>
  <c r="F226" i="1"/>
  <c r="G226" i="1"/>
  <c r="H226" i="1"/>
  <c r="F227" i="1"/>
  <c r="G227" i="1"/>
  <c r="H227" i="1"/>
  <c r="F228" i="1"/>
  <c r="G228" i="1"/>
  <c r="H228" i="1"/>
  <c r="F229" i="1"/>
  <c r="G229" i="1"/>
  <c r="H229" i="1"/>
  <c r="F230" i="1"/>
  <c r="G230" i="1"/>
  <c r="H230" i="1"/>
  <c r="F231" i="1"/>
  <c r="G231" i="1"/>
  <c r="H231" i="1"/>
  <c r="F232" i="1"/>
  <c r="G232" i="1"/>
  <c r="H232" i="1"/>
  <c r="F233" i="1"/>
  <c r="G233" i="1"/>
  <c r="H233" i="1"/>
  <c r="F234" i="1"/>
  <c r="G234" i="1"/>
  <c r="H234" i="1"/>
  <c r="F235" i="1"/>
  <c r="G235" i="1"/>
  <c r="H235" i="1"/>
  <c r="F236" i="1"/>
  <c r="G236" i="1"/>
  <c r="H236" i="1"/>
  <c r="F237" i="1"/>
  <c r="G237" i="1"/>
  <c r="H237" i="1"/>
  <c r="F238" i="1"/>
  <c r="G238" i="1"/>
  <c r="H238" i="1"/>
  <c r="F239" i="1"/>
  <c r="G239" i="1"/>
  <c r="H239" i="1"/>
  <c r="F240" i="1"/>
  <c r="G240" i="1"/>
  <c r="H240" i="1"/>
  <c r="F241" i="1"/>
  <c r="G241" i="1"/>
  <c r="H241" i="1"/>
  <c r="F242" i="1"/>
  <c r="G242" i="1"/>
  <c r="H242" i="1"/>
  <c r="F243" i="1"/>
  <c r="G243" i="1"/>
  <c r="H243" i="1"/>
  <c r="F244" i="1"/>
  <c r="G244" i="1"/>
  <c r="H244" i="1"/>
  <c r="F245" i="1"/>
  <c r="G245" i="1"/>
  <c r="H245" i="1"/>
  <c r="F246" i="1"/>
  <c r="G246" i="1"/>
  <c r="H246" i="1"/>
  <c r="F247" i="1"/>
  <c r="G247" i="1"/>
  <c r="H247" i="1"/>
  <c r="F248" i="1"/>
  <c r="G248" i="1"/>
  <c r="H248" i="1"/>
  <c r="F249" i="1"/>
  <c r="G249" i="1"/>
  <c r="H249" i="1"/>
  <c r="F250" i="1"/>
  <c r="G250" i="1"/>
  <c r="H250" i="1"/>
  <c r="F251" i="1"/>
  <c r="G251" i="1"/>
  <c r="H251" i="1"/>
  <c r="F252" i="1"/>
  <c r="G252" i="1"/>
  <c r="H252" i="1"/>
  <c r="F253" i="1"/>
  <c r="G253" i="1"/>
  <c r="H253" i="1"/>
  <c r="F254" i="1"/>
  <c r="G254" i="1"/>
  <c r="H254" i="1"/>
  <c r="F255" i="1"/>
  <c r="G255" i="1"/>
  <c r="H255" i="1"/>
  <c r="F256" i="1"/>
  <c r="G256" i="1"/>
  <c r="H256" i="1"/>
  <c r="F257" i="1"/>
  <c r="G257" i="1"/>
  <c r="H257" i="1"/>
  <c r="F258" i="1"/>
  <c r="G258" i="1"/>
  <c r="H258" i="1"/>
  <c r="F259" i="1"/>
  <c r="G259" i="1"/>
  <c r="H259" i="1"/>
  <c r="F260" i="1"/>
  <c r="G260" i="1"/>
  <c r="H260" i="1"/>
  <c r="F261" i="1"/>
  <c r="G261" i="1"/>
  <c r="H261" i="1"/>
  <c r="F262" i="1"/>
  <c r="G262" i="1"/>
  <c r="H262" i="1"/>
  <c r="F263" i="1"/>
  <c r="G263" i="1"/>
  <c r="H263" i="1"/>
  <c r="F264" i="1"/>
  <c r="G264" i="1"/>
  <c r="H264" i="1"/>
  <c r="F265" i="1"/>
  <c r="G265" i="1"/>
  <c r="H265" i="1"/>
  <c r="F266" i="1"/>
  <c r="G266" i="1"/>
  <c r="H266" i="1"/>
  <c r="F267" i="1"/>
  <c r="G267" i="1"/>
  <c r="H267" i="1"/>
  <c r="F268" i="1"/>
  <c r="G268" i="1"/>
  <c r="H268" i="1"/>
  <c r="F269" i="1"/>
  <c r="G269" i="1"/>
  <c r="H269" i="1"/>
  <c r="F270" i="1"/>
  <c r="G270" i="1"/>
  <c r="H270" i="1"/>
  <c r="F271" i="1"/>
  <c r="G271" i="1"/>
  <c r="H271" i="1"/>
  <c r="F272" i="1"/>
  <c r="G272" i="1"/>
  <c r="H272" i="1"/>
  <c r="F273" i="1"/>
  <c r="G273" i="1"/>
  <c r="H273" i="1"/>
  <c r="F274" i="1"/>
  <c r="G274" i="1"/>
  <c r="H274" i="1"/>
  <c r="F275" i="1"/>
  <c r="G275" i="1"/>
  <c r="H275" i="1"/>
  <c r="F276" i="1"/>
  <c r="G276" i="1"/>
  <c r="H276" i="1"/>
  <c r="F277" i="1"/>
  <c r="G277" i="1"/>
  <c r="H277" i="1"/>
  <c r="F278" i="1"/>
  <c r="G278" i="1"/>
  <c r="H278" i="1"/>
  <c r="F279" i="1"/>
  <c r="G279" i="1"/>
  <c r="H279" i="1"/>
  <c r="F280" i="1"/>
  <c r="G280" i="1"/>
  <c r="H280" i="1"/>
  <c r="F281" i="1"/>
  <c r="G281" i="1"/>
  <c r="H281" i="1"/>
  <c r="F282" i="1"/>
  <c r="G282" i="1"/>
  <c r="H282" i="1"/>
  <c r="F283" i="1"/>
  <c r="G283" i="1"/>
  <c r="H283" i="1"/>
  <c r="F284" i="1"/>
  <c r="G284" i="1"/>
  <c r="H284" i="1"/>
  <c r="F285" i="1"/>
  <c r="G285" i="1"/>
  <c r="H285" i="1"/>
  <c r="F286" i="1"/>
  <c r="G286" i="1"/>
  <c r="H286" i="1"/>
  <c r="F287" i="1"/>
  <c r="G287" i="1"/>
  <c r="H287" i="1"/>
  <c r="F288" i="1"/>
  <c r="G288" i="1"/>
  <c r="H288" i="1"/>
  <c r="F289" i="1"/>
  <c r="G289" i="1"/>
  <c r="H289" i="1"/>
  <c r="F290" i="1"/>
  <c r="G290" i="1"/>
  <c r="H290" i="1"/>
  <c r="F291" i="1"/>
  <c r="G291" i="1"/>
  <c r="H291" i="1"/>
  <c r="F292" i="1"/>
  <c r="G292" i="1"/>
  <c r="H292" i="1"/>
  <c r="F293" i="1"/>
  <c r="G293" i="1"/>
  <c r="H293" i="1"/>
  <c r="F294" i="1"/>
  <c r="G294" i="1"/>
  <c r="H294" i="1"/>
  <c r="F295" i="1"/>
  <c r="G295" i="1"/>
  <c r="H295" i="1"/>
  <c r="F296" i="1"/>
  <c r="G296" i="1"/>
  <c r="H296" i="1"/>
  <c r="F297" i="1"/>
  <c r="G297" i="1"/>
  <c r="H297" i="1"/>
  <c r="F298" i="1"/>
  <c r="G298" i="1"/>
  <c r="H298" i="1"/>
  <c r="F299" i="1"/>
  <c r="G299" i="1"/>
  <c r="H299" i="1"/>
  <c r="F300" i="1"/>
  <c r="G300" i="1"/>
  <c r="H300" i="1"/>
  <c r="F301" i="1"/>
  <c r="G301" i="1"/>
  <c r="H301" i="1"/>
  <c r="F302" i="1"/>
  <c r="G302" i="1"/>
  <c r="H302" i="1"/>
  <c r="F303" i="1"/>
  <c r="G303" i="1"/>
  <c r="H303" i="1"/>
  <c r="F304" i="1"/>
  <c r="G304" i="1"/>
  <c r="H304" i="1"/>
  <c r="F305" i="1"/>
  <c r="G305" i="1"/>
  <c r="H305" i="1"/>
  <c r="F306" i="1"/>
  <c r="G306" i="1"/>
  <c r="H306" i="1"/>
  <c r="F307" i="1"/>
  <c r="G307" i="1"/>
  <c r="H307" i="1"/>
  <c r="F308" i="1"/>
  <c r="G308" i="1"/>
  <c r="H308" i="1"/>
  <c r="F309" i="1"/>
  <c r="G309" i="1"/>
  <c r="H309" i="1"/>
  <c r="F310" i="1"/>
  <c r="G310" i="1"/>
  <c r="H310" i="1"/>
  <c r="F311" i="1"/>
  <c r="G311" i="1"/>
  <c r="H311" i="1"/>
  <c r="F312" i="1"/>
  <c r="G312" i="1"/>
  <c r="H312" i="1"/>
  <c r="F313" i="1"/>
  <c r="G313" i="1"/>
  <c r="H313" i="1"/>
  <c r="F314" i="1"/>
  <c r="G314" i="1"/>
  <c r="H314" i="1"/>
  <c r="F315" i="1"/>
  <c r="G315" i="1"/>
  <c r="H315" i="1"/>
  <c r="F316" i="1"/>
  <c r="G316" i="1"/>
  <c r="H316" i="1"/>
  <c r="F317" i="1"/>
  <c r="G317" i="1"/>
  <c r="H317" i="1"/>
  <c r="F318" i="1"/>
  <c r="G318" i="1"/>
  <c r="H318" i="1"/>
  <c r="F319" i="1"/>
  <c r="G319" i="1"/>
  <c r="H319" i="1"/>
  <c r="F320" i="1"/>
  <c r="G320" i="1"/>
  <c r="H320" i="1"/>
  <c r="F321" i="1"/>
  <c r="G321" i="1"/>
  <c r="H321" i="1"/>
  <c r="F322" i="1"/>
  <c r="G322" i="1"/>
  <c r="H322" i="1"/>
  <c r="F323" i="1"/>
  <c r="G323" i="1"/>
  <c r="H323" i="1"/>
  <c r="F324" i="1"/>
  <c r="G324" i="1"/>
  <c r="H324" i="1"/>
  <c r="F325" i="1"/>
  <c r="G325" i="1"/>
  <c r="H325" i="1"/>
  <c r="F326" i="1"/>
  <c r="G326" i="1"/>
  <c r="H326" i="1"/>
  <c r="F327" i="1"/>
  <c r="G327" i="1"/>
  <c r="H327" i="1"/>
  <c r="F328" i="1"/>
  <c r="G328" i="1"/>
  <c r="H328" i="1"/>
  <c r="F329" i="1"/>
  <c r="G329" i="1"/>
  <c r="H329" i="1"/>
  <c r="F330" i="1"/>
  <c r="G330" i="1"/>
  <c r="H330" i="1"/>
  <c r="F331" i="1"/>
  <c r="G331" i="1"/>
  <c r="H331" i="1"/>
  <c r="F332" i="1"/>
  <c r="G332" i="1"/>
  <c r="H332" i="1"/>
  <c r="F333" i="1"/>
  <c r="G333" i="1"/>
  <c r="H333" i="1"/>
  <c r="F334" i="1"/>
  <c r="G334" i="1"/>
  <c r="H334" i="1"/>
  <c r="F335" i="1"/>
  <c r="G335" i="1"/>
  <c r="H335" i="1"/>
  <c r="F336" i="1"/>
  <c r="G336" i="1"/>
  <c r="H336" i="1"/>
  <c r="F337" i="1"/>
  <c r="G337" i="1"/>
  <c r="H337" i="1"/>
  <c r="F338" i="1"/>
  <c r="G338" i="1"/>
  <c r="H338" i="1"/>
  <c r="F339" i="1"/>
  <c r="G339" i="1"/>
  <c r="H339" i="1"/>
  <c r="F340" i="1"/>
  <c r="G340" i="1"/>
  <c r="H340" i="1"/>
  <c r="F341" i="1"/>
  <c r="G341" i="1"/>
  <c r="H341" i="1"/>
  <c r="F342" i="1"/>
  <c r="G342" i="1"/>
  <c r="H342" i="1"/>
  <c r="F343" i="1"/>
  <c r="G343" i="1"/>
  <c r="H343" i="1"/>
  <c r="F344" i="1"/>
  <c r="G344" i="1"/>
  <c r="H344" i="1"/>
  <c r="F345" i="1"/>
  <c r="G345" i="1"/>
  <c r="H345" i="1"/>
  <c r="F346" i="1"/>
  <c r="G346" i="1"/>
  <c r="H346" i="1"/>
  <c r="F347" i="1"/>
  <c r="G347" i="1"/>
  <c r="H347" i="1"/>
  <c r="F348" i="1"/>
  <c r="G348" i="1"/>
  <c r="H348" i="1"/>
  <c r="F349" i="1"/>
  <c r="G349" i="1"/>
  <c r="H349" i="1"/>
  <c r="F350" i="1"/>
  <c r="G350" i="1"/>
  <c r="H350" i="1"/>
  <c r="F351" i="1"/>
  <c r="G351" i="1"/>
  <c r="H351" i="1"/>
  <c r="F352" i="1"/>
  <c r="G352" i="1"/>
  <c r="H352" i="1"/>
  <c r="F353" i="1"/>
  <c r="G353" i="1"/>
  <c r="H353" i="1"/>
  <c r="F354" i="1"/>
  <c r="G354" i="1"/>
  <c r="H354" i="1"/>
  <c r="F355" i="1"/>
  <c r="G355" i="1"/>
  <c r="H355" i="1"/>
  <c r="F356" i="1"/>
  <c r="G356" i="1"/>
  <c r="H356" i="1"/>
  <c r="F357" i="1"/>
  <c r="G357" i="1"/>
  <c r="H357" i="1"/>
  <c r="F358" i="1"/>
  <c r="G358" i="1"/>
  <c r="H358" i="1"/>
  <c r="F359" i="1"/>
  <c r="G359" i="1"/>
  <c r="H359" i="1"/>
  <c r="F360" i="1"/>
  <c r="G360" i="1"/>
  <c r="H360" i="1"/>
  <c r="F361" i="1"/>
  <c r="G361" i="1"/>
  <c r="H361" i="1"/>
  <c r="F362" i="1"/>
  <c r="G362" i="1"/>
  <c r="H362" i="1"/>
  <c r="F363" i="1"/>
  <c r="G363" i="1"/>
  <c r="H363" i="1"/>
  <c r="F364" i="1"/>
  <c r="G364" i="1"/>
  <c r="H364" i="1"/>
  <c r="F365" i="1"/>
  <c r="G365" i="1"/>
  <c r="H365" i="1"/>
  <c r="F366" i="1"/>
  <c r="G366" i="1"/>
  <c r="H366" i="1"/>
  <c r="F367" i="1"/>
  <c r="G367" i="1"/>
  <c r="H367" i="1"/>
  <c r="F368" i="1"/>
  <c r="G368" i="1"/>
  <c r="H368" i="1"/>
  <c r="F369" i="1"/>
  <c r="G369" i="1"/>
  <c r="H369" i="1"/>
  <c r="F370" i="1"/>
  <c r="G370" i="1"/>
  <c r="H370" i="1"/>
  <c r="F371" i="1"/>
  <c r="G371" i="1"/>
  <c r="H371" i="1"/>
  <c r="F372" i="1"/>
  <c r="G372" i="1"/>
  <c r="H372" i="1"/>
  <c r="F373" i="1"/>
  <c r="G373" i="1"/>
  <c r="H373" i="1"/>
  <c r="F374" i="1"/>
  <c r="G374" i="1"/>
  <c r="H374" i="1"/>
  <c r="F375" i="1"/>
  <c r="G375" i="1"/>
  <c r="H375" i="1"/>
  <c r="F376" i="1"/>
  <c r="G376" i="1"/>
  <c r="H376" i="1"/>
  <c r="F377" i="1"/>
  <c r="G377" i="1"/>
  <c r="H377" i="1"/>
  <c r="F378" i="1"/>
  <c r="G378" i="1"/>
  <c r="H378" i="1"/>
  <c r="F379" i="1"/>
  <c r="G379" i="1"/>
  <c r="H379" i="1"/>
  <c r="F380" i="1"/>
  <c r="G380" i="1"/>
  <c r="H380" i="1"/>
  <c r="F381" i="1"/>
  <c r="G381" i="1"/>
  <c r="H381" i="1"/>
  <c r="F382" i="1"/>
  <c r="G382" i="1"/>
  <c r="H382" i="1"/>
  <c r="F383" i="1"/>
  <c r="G383" i="1"/>
  <c r="H383" i="1"/>
  <c r="F384" i="1"/>
  <c r="G384" i="1"/>
  <c r="H384" i="1"/>
  <c r="F385" i="1"/>
  <c r="G385" i="1"/>
  <c r="H385" i="1"/>
  <c r="F386" i="1"/>
  <c r="G386" i="1"/>
  <c r="H386" i="1"/>
  <c r="F387" i="1"/>
  <c r="G387" i="1"/>
  <c r="H387" i="1"/>
  <c r="F388" i="1"/>
  <c r="G388" i="1"/>
  <c r="H388" i="1"/>
  <c r="F389" i="1"/>
  <c r="G389" i="1"/>
  <c r="H389" i="1"/>
  <c r="F390" i="1"/>
  <c r="G390" i="1"/>
  <c r="H390" i="1"/>
  <c r="F391" i="1"/>
  <c r="G391" i="1"/>
  <c r="H391" i="1"/>
  <c r="F392" i="1"/>
  <c r="G392" i="1"/>
  <c r="H392" i="1"/>
  <c r="F393" i="1"/>
  <c r="G393" i="1"/>
  <c r="H393" i="1"/>
  <c r="F394" i="1"/>
  <c r="G394" i="1"/>
  <c r="H394" i="1"/>
  <c r="F395" i="1"/>
  <c r="G395" i="1"/>
  <c r="H395" i="1"/>
  <c r="F396" i="1"/>
  <c r="G396" i="1"/>
  <c r="H396" i="1"/>
  <c r="F397" i="1"/>
  <c r="G397" i="1"/>
  <c r="H397" i="1"/>
  <c r="F398" i="1"/>
  <c r="G398" i="1"/>
  <c r="H398" i="1"/>
  <c r="F399" i="1"/>
  <c r="G399" i="1"/>
  <c r="H399" i="1"/>
  <c r="F400" i="1"/>
  <c r="G400" i="1"/>
  <c r="H400" i="1"/>
  <c r="F401" i="1"/>
  <c r="G401" i="1"/>
  <c r="H401" i="1"/>
  <c r="F402" i="1"/>
  <c r="G402" i="1"/>
  <c r="H402" i="1"/>
  <c r="F403" i="1"/>
  <c r="G403" i="1"/>
  <c r="H403" i="1"/>
  <c r="F404" i="1"/>
  <c r="G404" i="1"/>
  <c r="H404" i="1"/>
  <c r="F405" i="1"/>
  <c r="G405" i="1"/>
  <c r="H405" i="1"/>
  <c r="F406" i="1"/>
  <c r="G406" i="1"/>
  <c r="H406" i="1"/>
  <c r="F407" i="1"/>
  <c r="G407" i="1"/>
  <c r="H407" i="1"/>
  <c r="F408" i="1"/>
  <c r="G408" i="1"/>
  <c r="H408" i="1"/>
  <c r="F409" i="1"/>
  <c r="G409" i="1"/>
  <c r="H409" i="1"/>
  <c r="F410" i="1"/>
  <c r="G410" i="1"/>
  <c r="H410" i="1"/>
  <c r="F411" i="1"/>
  <c r="G411" i="1"/>
  <c r="H411" i="1"/>
  <c r="F412" i="1"/>
  <c r="G412" i="1"/>
  <c r="H412" i="1"/>
  <c r="F413" i="1"/>
  <c r="G413" i="1"/>
  <c r="H413" i="1"/>
  <c r="F414" i="1"/>
  <c r="G414" i="1"/>
  <c r="H414" i="1"/>
  <c r="F415" i="1"/>
  <c r="G415" i="1"/>
  <c r="H415" i="1"/>
  <c r="F416" i="1"/>
  <c r="G416" i="1"/>
  <c r="H416" i="1"/>
  <c r="F417" i="1"/>
  <c r="G417" i="1"/>
  <c r="H417" i="1"/>
  <c r="F418" i="1"/>
  <c r="G418" i="1"/>
  <c r="H418" i="1"/>
  <c r="F419" i="1"/>
  <c r="G419" i="1"/>
  <c r="H419" i="1"/>
  <c r="F420" i="1"/>
  <c r="G420" i="1"/>
  <c r="H420" i="1"/>
  <c r="F421" i="1"/>
  <c r="G421" i="1"/>
  <c r="H421" i="1"/>
  <c r="F422" i="1"/>
  <c r="G422" i="1"/>
  <c r="H422" i="1"/>
  <c r="F423" i="1"/>
  <c r="G423" i="1"/>
  <c r="H423" i="1"/>
  <c r="F424" i="1"/>
  <c r="G424" i="1"/>
  <c r="H424" i="1"/>
  <c r="F425" i="1"/>
  <c r="G425" i="1"/>
  <c r="H425" i="1"/>
  <c r="F426" i="1"/>
  <c r="G426" i="1"/>
  <c r="H426" i="1"/>
  <c r="F427" i="1"/>
  <c r="G427" i="1"/>
  <c r="H427" i="1"/>
  <c r="F428" i="1"/>
  <c r="G428" i="1"/>
  <c r="H428" i="1"/>
  <c r="F429" i="1"/>
  <c r="G429" i="1"/>
  <c r="H429" i="1"/>
  <c r="F430" i="1"/>
  <c r="G430" i="1"/>
  <c r="H430" i="1"/>
  <c r="F431" i="1"/>
  <c r="G431" i="1"/>
  <c r="H431" i="1"/>
  <c r="F432" i="1"/>
  <c r="G432" i="1"/>
  <c r="H432" i="1"/>
  <c r="F433" i="1"/>
  <c r="G433" i="1"/>
  <c r="H433" i="1"/>
  <c r="F434" i="1"/>
  <c r="G434" i="1"/>
  <c r="H434" i="1"/>
  <c r="F435" i="1"/>
  <c r="G435" i="1"/>
  <c r="H435" i="1"/>
  <c r="F436" i="1"/>
  <c r="G436" i="1"/>
  <c r="H436" i="1"/>
  <c r="F437" i="1"/>
  <c r="G437" i="1"/>
  <c r="H437" i="1"/>
  <c r="F438" i="1"/>
  <c r="G438" i="1"/>
  <c r="H438" i="1"/>
  <c r="F439" i="1"/>
  <c r="G439" i="1"/>
  <c r="H439" i="1"/>
  <c r="F440" i="1"/>
  <c r="G440" i="1"/>
  <c r="H440" i="1"/>
  <c r="F441" i="1"/>
  <c r="G441" i="1"/>
  <c r="H441" i="1"/>
  <c r="F442" i="1"/>
  <c r="G442" i="1"/>
  <c r="H442" i="1"/>
  <c r="F443" i="1"/>
  <c r="G443" i="1"/>
  <c r="H443" i="1"/>
  <c r="F444" i="1"/>
  <c r="G444" i="1"/>
  <c r="H444" i="1"/>
  <c r="F445" i="1"/>
  <c r="G445" i="1"/>
  <c r="H445" i="1"/>
  <c r="F446" i="1"/>
  <c r="G446" i="1"/>
  <c r="H446" i="1"/>
  <c r="F447" i="1"/>
  <c r="G447" i="1"/>
  <c r="H447" i="1"/>
  <c r="F448" i="1"/>
  <c r="G448" i="1"/>
  <c r="H448" i="1"/>
  <c r="F449" i="1"/>
  <c r="G449" i="1"/>
  <c r="H449" i="1"/>
  <c r="F450" i="1"/>
  <c r="G450" i="1"/>
  <c r="H450" i="1"/>
  <c r="F451" i="1"/>
  <c r="G451" i="1"/>
  <c r="H451" i="1"/>
  <c r="F452" i="1"/>
  <c r="G452" i="1"/>
  <c r="H452" i="1"/>
  <c r="F453" i="1"/>
  <c r="G453" i="1"/>
  <c r="H453" i="1"/>
  <c r="F454" i="1"/>
  <c r="G454" i="1"/>
  <c r="H454" i="1"/>
  <c r="F455" i="1"/>
  <c r="G455" i="1"/>
  <c r="H455" i="1"/>
  <c r="F456" i="1"/>
  <c r="G456" i="1"/>
  <c r="H456" i="1"/>
  <c r="F457" i="1"/>
  <c r="G457" i="1"/>
  <c r="H457" i="1"/>
  <c r="F458" i="1"/>
  <c r="G458" i="1"/>
  <c r="H458" i="1"/>
  <c r="F459" i="1"/>
  <c r="G459" i="1"/>
  <c r="H459" i="1"/>
  <c r="F460" i="1"/>
  <c r="G460" i="1"/>
  <c r="H460" i="1"/>
  <c r="F461" i="1"/>
  <c r="G461" i="1"/>
  <c r="H461" i="1"/>
  <c r="F462" i="1"/>
  <c r="G462" i="1"/>
  <c r="H462" i="1"/>
  <c r="F463" i="1"/>
  <c r="G463" i="1"/>
  <c r="H463" i="1"/>
  <c r="F464" i="1"/>
  <c r="G464" i="1"/>
  <c r="H464" i="1"/>
  <c r="F465" i="1"/>
  <c r="G465" i="1"/>
  <c r="H465" i="1"/>
  <c r="F466" i="1"/>
  <c r="G466" i="1"/>
  <c r="H466" i="1"/>
  <c r="F467" i="1"/>
  <c r="G467" i="1"/>
  <c r="H467" i="1"/>
  <c r="F468" i="1"/>
  <c r="G468" i="1"/>
  <c r="H468" i="1"/>
  <c r="F469" i="1"/>
  <c r="G469" i="1"/>
  <c r="H469" i="1"/>
  <c r="F470" i="1"/>
  <c r="G470" i="1"/>
  <c r="H470" i="1"/>
  <c r="F471" i="1"/>
  <c r="G471" i="1"/>
  <c r="H471" i="1"/>
  <c r="F472" i="1"/>
  <c r="G472" i="1"/>
  <c r="H472" i="1"/>
  <c r="F473" i="1"/>
  <c r="G473" i="1"/>
  <c r="H473" i="1"/>
  <c r="F474" i="1"/>
  <c r="G474" i="1"/>
  <c r="H474" i="1"/>
  <c r="F475" i="1"/>
  <c r="G475" i="1"/>
  <c r="H475" i="1"/>
  <c r="F476" i="1"/>
  <c r="G476" i="1"/>
  <c r="H476" i="1"/>
  <c r="F477" i="1"/>
  <c r="G477" i="1"/>
  <c r="H477" i="1"/>
  <c r="F478" i="1"/>
  <c r="G478" i="1"/>
  <c r="H478" i="1"/>
  <c r="F479" i="1"/>
  <c r="G479" i="1"/>
  <c r="H479" i="1"/>
  <c r="F480" i="1"/>
  <c r="G480" i="1"/>
  <c r="H480" i="1"/>
  <c r="F481" i="1"/>
  <c r="G481" i="1"/>
  <c r="H481" i="1"/>
  <c r="F482" i="1"/>
  <c r="G482" i="1"/>
  <c r="H482" i="1"/>
  <c r="F483" i="1"/>
  <c r="G483" i="1"/>
  <c r="H483" i="1"/>
  <c r="F484" i="1"/>
  <c r="G484" i="1"/>
  <c r="H484" i="1"/>
  <c r="F485" i="1"/>
  <c r="G485" i="1"/>
  <c r="H485" i="1"/>
  <c r="F486" i="1"/>
  <c r="G486" i="1"/>
  <c r="H486" i="1"/>
  <c r="F487" i="1"/>
  <c r="G487" i="1"/>
  <c r="H487" i="1"/>
  <c r="F488" i="1"/>
  <c r="G488" i="1"/>
  <c r="H488" i="1"/>
  <c r="F489" i="1"/>
  <c r="G489" i="1"/>
  <c r="H489" i="1"/>
  <c r="F490" i="1"/>
  <c r="G490" i="1"/>
  <c r="H490" i="1"/>
  <c r="F491" i="1"/>
  <c r="G491" i="1"/>
  <c r="H491" i="1"/>
  <c r="F492" i="1"/>
  <c r="G492" i="1"/>
  <c r="H492" i="1"/>
  <c r="F493" i="1"/>
  <c r="G493" i="1"/>
  <c r="H493" i="1"/>
  <c r="F494" i="1"/>
  <c r="G494" i="1"/>
  <c r="H494" i="1"/>
  <c r="F495" i="1"/>
  <c r="G495" i="1"/>
  <c r="H495" i="1"/>
  <c r="F496" i="1"/>
  <c r="G496" i="1"/>
  <c r="H496" i="1"/>
  <c r="F497" i="1"/>
  <c r="G497" i="1"/>
  <c r="H497" i="1"/>
  <c r="F498" i="1"/>
  <c r="G498" i="1"/>
  <c r="H498" i="1"/>
  <c r="F499" i="1"/>
  <c r="G499" i="1"/>
  <c r="H499" i="1"/>
  <c r="F500" i="1"/>
  <c r="G500" i="1"/>
  <c r="H500" i="1"/>
  <c r="F501" i="1"/>
  <c r="G501" i="1"/>
  <c r="H501" i="1"/>
  <c r="F502" i="1"/>
  <c r="G502" i="1"/>
  <c r="H502" i="1"/>
  <c r="F503" i="1"/>
  <c r="G503" i="1"/>
  <c r="H503" i="1"/>
  <c r="F504" i="1"/>
  <c r="G504" i="1"/>
  <c r="H504" i="1"/>
  <c r="F505" i="1"/>
  <c r="G505" i="1"/>
  <c r="H505" i="1"/>
  <c r="F506" i="1"/>
  <c r="G506" i="1"/>
  <c r="H506" i="1"/>
  <c r="F507" i="1"/>
  <c r="G507" i="1"/>
  <c r="H507" i="1"/>
  <c r="F508" i="1"/>
  <c r="G508" i="1"/>
  <c r="H508" i="1"/>
  <c r="F509" i="1"/>
  <c r="G509" i="1"/>
  <c r="H509" i="1"/>
  <c r="F510" i="1"/>
  <c r="G510" i="1"/>
  <c r="H510" i="1"/>
  <c r="F511" i="1"/>
  <c r="G511" i="1"/>
  <c r="H511" i="1"/>
  <c r="F512" i="1"/>
  <c r="G512" i="1"/>
  <c r="H512" i="1"/>
  <c r="F513" i="1"/>
  <c r="G513" i="1"/>
  <c r="H513" i="1"/>
  <c r="F514" i="1"/>
  <c r="G514" i="1"/>
  <c r="H514" i="1"/>
  <c r="F515" i="1"/>
  <c r="G515" i="1"/>
  <c r="H515" i="1"/>
  <c r="F516" i="1"/>
  <c r="G516" i="1"/>
  <c r="H516" i="1"/>
  <c r="F517" i="1"/>
  <c r="G517" i="1"/>
  <c r="H517" i="1"/>
  <c r="F518" i="1"/>
  <c r="G518" i="1"/>
  <c r="H518" i="1"/>
  <c r="F519" i="1"/>
  <c r="G519" i="1"/>
  <c r="H519" i="1"/>
  <c r="F520" i="1"/>
  <c r="G520" i="1"/>
  <c r="H520" i="1"/>
  <c r="F521" i="1"/>
  <c r="G521" i="1"/>
  <c r="H521" i="1"/>
  <c r="F522" i="1"/>
  <c r="G522" i="1"/>
  <c r="H522" i="1"/>
  <c r="F523" i="1"/>
  <c r="G523" i="1"/>
  <c r="H523" i="1"/>
  <c r="F524" i="1"/>
  <c r="G524" i="1"/>
  <c r="H524" i="1"/>
  <c r="F525" i="1"/>
  <c r="G525" i="1"/>
  <c r="H525" i="1"/>
  <c r="F526" i="1"/>
  <c r="G526" i="1"/>
  <c r="H526" i="1"/>
  <c r="F527" i="1"/>
  <c r="G527" i="1"/>
  <c r="H527" i="1"/>
  <c r="F528" i="1"/>
  <c r="G528" i="1"/>
  <c r="H528" i="1"/>
  <c r="F529" i="1"/>
  <c r="G529" i="1"/>
  <c r="H529" i="1"/>
  <c r="F530" i="1"/>
  <c r="G530" i="1"/>
  <c r="H530" i="1"/>
  <c r="F531" i="1"/>
  <c r="G531" i="1"/>
  <c r="H531" i="1"/>
  <c r="F532" i="1"/>
  <c r="G532" i="1"/>
  <c r="H532" i="1"/>
  <c r="F533" i="1"/>
  <c r="G533" i="1"/>
  <c r="H533" i="1"/>
  <c r="F534" i="1"/>
  <c r="G534" i="1"/>
  <c r="H534" i="1"/>
  <c r="F535" i="1"/>
  <c r="G535" i="1"/>
  <c r="H535" i="1"/>
  <c r="F536" i="1"/>
  <c r="G536" i="1"/>
  <c r="H536" i="1"/>
  <c r="F537" i="1"/>
  <c r="G537" i="1"/>
  <c r="H537" i="1"/>
  <c r="F538" i="1"/>
  <c r="G538" i="1"/>
  <c r="H538" i="1"/>
  <c r="F539" i="1"/>
  <c r="G539" i="1"/>
  <c r="H539" i="1"/>
  <c r="F540" i="1"/>
  <c r="G540" i="1"/>
  <c r="H540" i="1"/>
  <c r="F541" i="1"/>
  <c r="G541" i="1"/>
  <c r="H541" i="1"/>
  <c r="F542" i="1"/>
  <c r="G542" i="1"/>
  <c r="H542" i="1"/>
  <c r="F543" i="1"/>
  <c r="G543" i="1"/>
  <c r="H543" i="1"/>
  <c r="F544" i="1"/>
  <c r="G544" i="1"/>
  <c r="H544" i="1"/>
  <c r="F545" i="1"/>
  <c r="G545" i="1"/>
  <c r="H545" i="1"/>
  <c r="F546" i="1"/>
  <c r="G546" i="1"/>
  <c r="H546" i="1"/>
  <c r="F547" i="1"/>
  <c r="G547" i="1"/>
  <c r="H547" i="1"/>
  <c r="F548" i="1"/>
  <c r="G548" i="1"/>
  <c r="H548" i="1"/>
  <c r="F549" i="1"/>
  <c r="G549" i="1"/>
  <c r="H549" i="1"/>
  <c r="F550" i="1"/>
  <c r="G550" i="1"/>
  <c r="H550" i="1"/>
  <c r="F551" i="1"/>
  <c r="G551" i="1"/>
  <c r="H551" i="1"/>
  <c r="F552" i="1"/>
  <c r="G552" i="1"/>
  <c r="H552" i="1"/>
  <c r="F553" i="1"/>
  <c r="G553" i="1"/>
  <c r="H553" i="1"/>
  <c r="F554" i="1"/>
  <c r="G554" i="1"/>
  <c r="H554" i="1"/>
  <c r="F555" i="1"/>
  <c r="G555" i="1"/>
  <c r="H555" i="1"/>
  <c r="F556" i="1"/>
  <c r="G556" i="1"/>
  <c r="H556" i="1"/>
  <c r="F557" i="1"/>
  <c r="G557" i="1"/>
  <c r="H557" i="1"/>
  <c r="F558" i="1"/>
  <c r="G558" i="1"/>
  <c r="H558" i="1"/>
  <c r="F559" i="1"/>
  <c r="G559" i="1"/>
  <c r="H559" i="1"/>
  <c r="F560" i="1"/>
  <c r="G560" i="1"/>
  <c r="H560" i="1"/>
  <c r="F561" i="1"/>
  <c r="G561" i="1"/>
  <c r="H561" i="1"/>
  <c r="F562" i="1"/>
  <c r="G562" i="1"/>
  <c r="H562" i="1"/>
  <c r="F563" i="1"/>
  <c r="G563" i="1"/>
  <c r="H563" i="1"/>
  <c r="F564" i="1"/>
  <c r="G564" i="1"/>
  <c r="H564" i="1"/>
  <c r="F565" i="1"/>
  <c r="G565" i="1"/>
  <c r="H565" i="1"/>
  <c r="F566" i="1"/>
  <c r="G566" i="1"/>
  <c r="H566" i="1"/>
  <c r="F567" i="1"/>
  <c r="G567" i="1"/>
  <c r="H567" i="1"/>
  <c r="F568" i="1"/>
  <c r="G568" i="1"/>
  <c r="H568" i="1"/>
  <c r="F569" i="1"/>
  <c r="G569" i="1"/>
  <c r="H569" i="1"/>
  <c r="F570" i="1"/>
  <c r="G570" i="1"/>
  <c r="H570" i="1"/>
  <c r="F571" i="1"/>
  <c r="G571" i="1"/>
  <c r="H571" i="1"/>
  <c r="F572" i="1"/>
  <c r="G572" i="1"/>
  <c r="H572" i="1"/>
  <c r="F573" i="1"/>
  <c r="G573" i="1"/>
  <c r="H573" i="1"/>
  <c r="F574" i="1"/>
  <c r="G574" i="1"/>
  <c r="H574" i="1"/>
  <c r="F575" i="1"/>
  <c r="G575" i="1"/>
  <c r="H575" i="1"/>
  <c r="F576" i="1"/>
  <c r="G576" i="1"/>
  <c r="H576" i="1"/>
  <c r="F577" i="1"/>
  <c r="G577" i="1"/>
  <c r="H577" i="1"/>
  <c r="F578" i="1"/>
  <c r="G578" i="1"/>
  <c r="H578" i="1"/>
  <c r="F579" i="1"/>
  <c r="G579" i="1"/>
  <c r="H579" i="1"/>
  <c r="F580" i="1"/>
  <c r="G580" i="1"/>
  <c r="H580" i="1"/>
  <c r="F581" i="1"/>
  <c r="G581" i="1"/>
  <c r="H581" i="1"/>
  <c r="F582" i="1"/>
  <c r="G582" i="1"/>
  <c r="H582" i="1"/>
  <c r="F583" i="1"/>
  <c r="G583" i="1"/>
  <c r="H583" i="1"/>
  <c r="F584" i="1"/>
  <c r="G584" i="1"/>
  <c r="H584" i="1"/>
  <c r="F585" i="1"/>
  <c r="G585" i="1"/>
  <c r="H585" i="1"/>
  <c r="F586" i="1"/>
  <c r="G586" i="1"/>
  <c r="H586" i="1"/>
  <c r="F587" i="1"/>
  <c r="G587" i="1"/>
  <c r="H587" i="1"/>
  <c r="F588" i="1"/>
  <c r="G588" i="1"/>
  <c r="H588" i="1"/>
  <c r="F589" i="1"/>
  <c r="G589" i="1"/>
  <c r="H589" i="1"/>
  <c r="F590" i="1"/>
  <c r="G590" i="1"/>
  <c r="H590" i="1"/>
  <c r="F591" i="1"/>
  <c r="G591" i="1"/>
  <c r="H591" i="1"/>
  <c r="F592" i="1"/>
  <c r="G592" i="1"/>
  <c r="H592" i="1"/>
  <c r="F593" i="1"/>
  <c r="G593" i="1"/>
  <c r="H593" i="1"/>
  <c r="F594" i="1"/>
  <c r="G594" i="1"/>
  <c r="H594" i="1"/>
  <c r="F595" i="1"/>
  <c r="G595" i="1"/>
  <c r="H595" i="1"/>
  <c r="F596" i="1"/>
  <c r="G596" i="1"/>
  <c r="H596" i="1"/>
  <c r="F597" i="1"/>
  <c r="G597" i="1"/>
  <c r="H597" i="1"/>
  <c r="F598" i="1"/>
  <c r="G598" i="1"/>
  <c r="H598" i="1"/>
  <c r="F599" i="1"/>
  <c r="G599" i="1"/>
  <c r="H599" i="1"/>
  <c r="F600" i="1"/>
  <c r="G600" i="1"/>
  <c r="H600" i="1"/>
  <c r="F601" i="1"/>
  <c r="G601" i="1"/>
  <c r="H601" i="1"/>
  <c r="F602" i="1"/>
  <c r="G602" i="1"/>
  <c r="H602" i="1"/>
  <c r="F603" i="1"/>
  <c r="G603" i="1"/>
  <c r="H603" i="1"/>
  <c r="F604" i="1"/>
  <c r="G604" i="1"/>
  <c r="H604" i="1"/>
  <c r="F605" i="1"/>
  <c r="G605" i="1"/>
  <c r="H605" i="1"/>
  <c r="F606" i="1"/>
  <c r="G606" i="1"/>
  <c r="H606" i="1"/>
  <c r="F607" i="1"/>
  <c r="G607" i="1"/>
  <c r="H607" i="1"/>
  <c r="F608" i="1"/>
  <c r="G608" i="1"/>
  <c r="H608" i="1"/>
  <c r="F609" i="1"/>
  <c r="G609" i="1"/>
  <c r="H609" i="1"/>
  <c r="F610" i="1"/>
  <c r="G610" i="1"/>
  <c r="H610" i="1"/>
  <c r="F611" i="1"/>
  <c r="G611" i="1"/>
  <c r="H611" i="1"/>
  <c r="F612" i="1"/>
  <c r="G612" i="1"/>
  <c r="H612" i="1"/>
  <c r="F613" i="1"/>
  <c r="G613" i="1"/>
  <c r="H613" i="1"/>
  <c r="F614" i="1"/>
  <c r="G614" i="1"/>
  <c r="H614" i="1"/>
  <c r="F615" i="1"/>
  <c r="G615" i="1"/>
  <c r="H615" i="1"/>
  <c r="F616" i="1"/>
  <c r="G616" i="1"/>
  <c r="H616" i="1"/>
  <c r="F617" i="1"/>
  <c r="G617" i="1"/>
  <c r="H617" i="1"/>
  <c r="F618" i="1"/>
  <c r="G618" i="1"/>
  <c r="H618" i="1"/>
  <c r="F619" i="1"/>
  <c r="G619" i="1"/>
  <c r="H619" i="1"/>
  <c r="F620" i="1"/>
  <c r="G620" i="1"/>
  <c r="H620" i="1"/>
  <c r="F621" i="1"/>
  <c r="G621" i="1"/>
  <c r="H621" i="1"/>
  <c r="F622" i="1"/>
  <c r="G622" i="1"/>
  <c r="H622" i="1"/>
  <c r="F623" i="1"/>
  <c r="G623" i="1"/>
  <c r="H623" i="1"/>
  <c r="F624" i="1"/>
  <c r="G624" i="1"/>
  <c r="H624" i="1"/>
  <c r="F625" i="1"/>
  <c r="G625" i="1"/>
  <c r="H625" i="1"/>
  <c r="F626" i="1"/>
  <c r="G626" i="1"/>
  <c r="H626" i="1"/>
  <c r="F627" i="1"/>
  <c r="G627" i="1"/>
  <c r="H627" i="1"/>
  <c r="F628" i="1"/>
  <c r="G628" i="1"/>
  <c r="H628" i="1"/>
  <c r="F629" i="1"/>
  <c r="G629" i="1"/>
  <c r="H629" i="1"/>
  <c r="F630" i="1"/>
  <c r="G630" i="1"/>
  <c r="H630" i="1"/>
  <c r="F631" i="1"/>
  <c r="G631" i="1"/>
  <c r="H631" i="1"/>
  <c r="F632" i="1"/>
  <c r="G632" i="1"/>
  <c r="H632" i="1"/>
  <c r="F633" i="1"/>
  <c r="G633" i="1"/>
  <c r="H633" i="1"/>
  <c r="F634" i="1"/>
  <c r="G634" i="1"/>
  <c r="H634" i="1"/>
  <c r="F635" i="1"/>
  <c r="G635" i="1"/>
  <c r="H635" i="1"/>
  <c r="F636" i="1"/>
  <c r="G636" i="1"/>
  <c r="H636" i="1"/>
  <c r="F637" i="1"/>
  <c r="G637" i="1"/>
  <c r="H637" i="1"/>
  <c r="F638" i="1"/>
  <c r="G638" i="1"/>
  <c r="H638" i="1"/>
  <c r="F639" i="1"/>
  <c r="G639" i="1"/>
  <c r="H639" i="1"/>
  <c r="F640" i="1"/>
  <c r="G640" i="1"/>
  <c r="H640" i="1"/>
  <c r="F641" i="1"/>
  <c r="G641" i="1"/>
  <c r="H641" i="1"/>
  <c r="F642" i="1"/>
  <c r="G642" i="1"/>
  <c r="H642" i="1"/>
  <c r="F643" i="1"/>
  <c r="G643" i="1"/>
  <c r="H643" i="1"/>
  <c r="F644" i="1"/>
  <c r="G644" i="1"/>
  <c r="H644" i="1"/>
  <c r="F645" i="1"/>
  <c r="G645" i="1"/>
  <c r="H645" i="1"/>
  <c r="F646" i="1"/>
  <c r="G646" i="1"/>
  <c r="H646" i="1"/>
  <c r="F647" i="1"/>
  <c r="G647" i="1"/>
  <c r="H647" i="1"/>
  <c r="F648" i="1"/>
  <c r="G648" i="1"/>
  <c r="H648" i="1"/>
  <c r="F649" i="1"/>
  <c r="G649" i="1"/>
  <c r="H649" i="1"/>
  <c r="F650" i="1"/>
  <c r="G650" i="1"/>
  <c r="H650" i="1"/>
  <c r="F651" i="1"/>
  <c r="G651" i="1"/>
  <c r="H651" i="1"/>
  <c r="F652" i="1"/>
  <c r="G652" i="1"/>
  <c r="H652" i="1"/>
  <c r="F653" i="1"/>
  <c r="G653" i="1"/>
  <c r="H653" i="1"/>
  <c r="F654" i="1"/>
  <c r="G654" i="1"/>
  <c r="H654" i="1"/>
  <c r="F655" i="1"/>
  <c r="G655" i="1"/>
  <c r="H655" i="1"/>
  <c r="F656" i="1"/>
  <c r="G656" i="1"/>
  <c r="H656" i="1"/>
  <c r="F657" i="1"/>
  <c r="G657" i="1"/>
  <c r="H657" i="1"/>
  <c r="F658" i="1"/>
  <c r="G658" i="1"/>
  <c r="H658" i="1"/>
  <c r="F659" i="1"/>
  <c r="G659" i="1"/>
  <c r="H659" i="1"/>
  <c r="F660" i="1"/>
  <c r="G660" i="1"/>
  <c r="H660" i="1"/>
  <c r="F661" i="1"/>
  <c r="G661" i="1"/>
  <c r="H661" i="1"/>
  <c r="F662" i="1"/>
  <c r="G662" i="1"/>
  <c r="H662" i="1"/>
  <c r="F663" i="1"/>
  <c r="G663" i="1"/>
  <c r="H663" i="1"/>
  <c r="F664" i="1"/>
  <c r="G664" i="1"/>
  <c r="H664" i="1"/>
  <c r="F665" i="1"/>
  <c r="G665" i="1"/>
  <c r="H665" i="1"/>
  <c r="F666" i="1"/>
  <c r="G666" i="1"/>
  <c r="H666" i="1"/>
  <c r="F667" i="1"/>
  <c r="G667" i="1"/>
  <c r="H667" i="1"/>
  <c r="F668" i="1"/>
  <c r="G668" i="1"/>
  <c r="H668" i="1"/>
  <c r="F669" i="1"/>
  <c r="G669" i="1"/>
  <c r="H669" i="1"/>
  <c r="F670" i="1"/>
  <c r="G670" i="1"/>
  <c r="H670" i="1"/>
  <c r="F671" i="1"/>
  <c r="G671" i="1"/>
  <c r="H671" i="1"/>
  <c r="F672" i="1"/>
  <c r="G672" i="1"/>
  <c r="H672" i="1"/>
  <c r="F673" i="1"/>
  <c r="G673" i="1"/>
  <c r="H673" i="1"/>
  <c r="F674" i="1"/>
  <c r="G674" i="1"/>
  <c r="H674" i="1"/>
  <c r="F675" i="1"/>
  <c r="G675" i="1"/>
  <c r="H675" i="1"/>
  <c r="F676" i="1"/>
  <c r="G676" i="1"/>
  <c r="H676" i="1"/>
  <c r="F677" i="1"/>
  <c r="G677" i="1"/>
  <c r="H677" i="1"/>
  <c r="F678" i="1"/>
  <c r="G678" i="1"/>
  <c r="H678" i="1"/>
  <c r="F679" i="1"/>
  <c r="G679" i="1"/>
  <c r="H679" i="1"/>
  <c r="F680" i="1"/>
  <c r="G680" i="1"/>
  <c r="H680" i="1"/>
  <c r="F681" i="1"/>
  <c r="G681" i="1"/>
  <c r="H681" i="1"/>
  <c r="F682" i="1"/>
  <c r="G682" i="1"/>
  <c r="H682" i="1"/>
  <c r="F683" i="1"/>
  <c r="G683" i="1"/>
  <c r="H683" i="1"/>
  <c r="F684" i="1"/>
  <c r="G684" i="1"/>
  <c r="H684" i="1"/>
  <c r="F685" i="1"/>
  <c r="G685" i="1"/>
  <c r="H685" i="1"/>
  <c r="F686" i="1"/>
  <c r="G686" i="1"/>
  <c r="H686" i="1"/>
  <c r="F687" i="1"/>
  <c r="G687" i="1"/>
  <c r="H687" i="1"/>
  <c r="F688" i="1"/>
  <c r="G688" i="1"/>
  <c r="H688" i="1"/>
  <c r="F689" i="1"/>
  <c r="G689" i="1"/>
  <c r="H689" i="1"/>
  <c r="F690" i="1"/>
  <c r="G690" i="1"/>
  <c r="H690" i="1"/>
  <c r="F691" i="1"/>
  <c r="G691" i="1"/>
  <c r="H691" i="1"/>
  <c r="F692" i="1"/>
  <c r="G692" i="1"/>
  <c r="H692" i="1"/>
  <c r="F693" i="1"/>
  <c r="G693" i="1"/>
  <c r="H693" i="1"/>
  <c r="F694" i="1"/>
  <c r="G694" i="1"/>
  <c r="H694" i="1"/>
  <c r="F695" i="1"/>
  <c r="G695" i="1"/>
  <c r="H695" i="1"/>
  <c r="F696" i="1"/>
  <c r="G696" i="1"/>
  <c r="H696" i="1"/>
  <c r="F697" i="1"/>
  <c r="G697" i="1"/>
  <c r="H697" i="1"/>
  <c r="F698" i="1"/>
  <c r="G698" i="1"/>
  <c r="H698" i="1"/>
  <c r="F699" i="1"/>
  <c r="G699" i="1"/>
  <c r="H699" i="1"/>
  <c r="F700" i="1"/>
  <c r="G700" i="1"/>
  <c r="H700" i="1"/>
  <c r="F701" i="1"/>
  <c r="G701" i="1"/>
  <c r="H701" i="1"/>
  <c r="F702" i="1"/>
  <c r="G702" i="1"/>
  <c r="H702" i="1"/>
  <c r="F703" i="1"/>
  <c r="G703" i="1"/>
  <c r="H703" i="1"/>
  <c r="F704" i="1"/>
  <c r="G704" i="1"/>
  <c r="H704" i="1"/>
  <c r="F705" i="1"/>
  <c r="G705" i="1"/>
  <c r="H705" i="1"/>
  <c r="F706" i="1"/>
  <c r="G706" i="1"/>
  <c r="H706" i="1"/>
  <c r="F707" i="1"/>
  <c r="G707" i="1"/>
  <c r="H707" i="1"/>
  <c r="F708" i="1"/>
  <c r="G708" i="1"/>
  <c r="H708" i="1"/>
  <c r="F709" i="1"/>
  <c r="G709" i="1"/>
  <c r="H709" i="1"/>
  <c r="F710" i="1"/>
  <c r="G710" i="1"/>
  <c r="H710" i="1"/>
  <c r="F711" i="1"/>
  <c r="G711" i="1"/>
  <c r="H711" i="1"/>
  <c r="F712" i="1"/>
  <c r="G712" i="1"/>
  <c r="H712" i="1"/>
  <c r="F713" i="1"/>
  <c r="G713" i="1"/>
  <c r="H713" i="1"/>
  <c r="F714" i="1"/>
  <c r="G714" i="1"/>
  <c r="H714" i="1"/>
  <c r="F715" i="1"/>
  <c r="G715" i="1"/>
  <c r="H715" i="1"/>
  <c r="F716" i="1"/>
  <c r="G716" i="1"/>
  <c r="H716" i="1"/>
  <c r="F717" i="1"/>
  <c r="G717" i="1"/>
  <c r="H717" i="1"/>
  <c r="F718" i="1"/>
  <c r="G718" i="1"/>
  <c r="H718" i="1"/>
  <c r="F719" i="1"/>
  <c r="G719" i="1"/>
  <c r="H719" i="1"/>
  <c r="F720" i="1"/>
  <c r="G720" i="1"/>
  <c r="H720" i="1"/>
  <c r="F721" i="1"/>
  <c r="G721" i="1"/>
  <c r="H721" i="1"/>
  <c r="F722" i="1"/>
  <c r="G722" i="1"/>
  <c r="H722" i="1"/>
  <c r="F723" i="1"/>
  <c r="G723" i="1"/>
  <c r="H723" i="1"/>
  <c r="F724" i="1"/>
  <c r="G724" i="1"/>
  <c r="H724" i="1"/>
  <c r="F725" i="1"/>
  <c r="G725" i="1"/>
  <c r="H725" i="1"/>
  <c r="F726" i="1"/>
  <c r="G726" i="1"/>
  <c r="H726" i="1"/>
  <c r="F727" i="1"/>
  <c r="G727" i="1"/>
  <c r="H727" i="1"/>
  <c r="F728" i="1"/>
  <c r="G728" i="1"/>
  <c r="H728" i="1"/>
  <c r="F729" i="1"/>
  <c r="G729" i="1"/>
  <c r="H729" i="1"/>
  <c r="F730" i="1"/>
  <c r="G730" i="1"/>
  <c r="H730" i="1"/>
  <c r="F731" i="1"/>
  <c r="G731" i="1"/>
  <c r="H731" i="1"/>
  <c r="F732" i="1"/>
  <c r="G732" i="1"/>
  <c r="H732" i="1"/>
  <c r="F733" i="1"/>
  <c r="G733" i="1"/>
  <c r="H733" i="1"/>
  <c r="F734" i="1"/>
  <c r="G734" i="1"/>
  <c r="H734" i="1"/>
  <c r="F735" i="1"/>
  <c r="G735" i="1"/>
  <c r="H735" i="1"/>
  <c r="F736" i="1"/>
  <c r="G736" i="1"/>
  <c r="H736" i="1"/>
  <c r="F737" i="1"/>
  <c r="G737" i="1"/>
  <c r="H737" i="1"/>
  <c r="F738" i="1"/>
  <c r="G738" i="1"/>
  <c r="H738" i="1"/>
  <c r="F739" i="1"/>
  <c r="G739" i="1"/>
  <c r="H739" i="1"/>
  <c r="F740" i="1"/>
  <c r="G740" i="1"/>
  <c r="H740" i="1"/>
  <c r="F741" i="1"/>
  <c r="G741" i="1"/>
  <c r="H741" i="1"/>
  <c r="F742" i="1"/>
  <c r="G742" i="1"/>
  <c r="H742" i="1"/>
  <c r="F743" i="1"/>
  <c r="G743" i="1"/>
  <c r="H743" i="1"/>
  <c r="F744" i="1"/>
  <c r="G744" i="1"/>
  <c r="H744" i="1"/>
  <c r="F745" i="1"/>
  <c r="G745" i="1"/>
  <c r="H745" i="1"/>
  <c r="F746" i="1"/>
  <c r="G746" i="1"/>
  <c r="H746" i="1"/>
  <c r="F747" i="1"/>
  <c r="G747" i="1"/>
  <c r="H747" i="1"/>
  <c r="F748" i="1"/>
  <c r="G748" i="1"/>
  <c r="H748" i="1"/>
  <c r="F749" i="1"/>
  <c r="G749" i="1"/>
  <c r="H749" i="1"/>
  <c r="F750" i="1"/>
  <c r="G750" i="1"/>
  <c r="H750" i="1"/>
  <c r="F751" i="1"/>
  <c r="G751" i="1"/>
  <c r="H751" i="1"/>
  <c r="F752" i="1"/>
  <c r="G752" i="1"/>
  <c r="H752" i="1"/>
  <c r="F753" i="1"/>
  <c r="G753" i="1"/>
  <c r="H753" i="1"/>
  <c r="F754" i="1"/>
  <c r="G754" i="1"/>
  <c r="H754" i="1"/>
  <c r="F755" i="1"/>
  <c r="G755" i="1"/>
  <c r="H755" i="1"/>
  <c r="F756" i="1"/>
  <c r="G756" i="1"/>
  <c r="H756" i="1"/>
  <c r="F757" i="1"/>
  <c r="G757" i="1"/>
  <c r="H757" i="1"/>
  <c r="F758" i="1"/>
  <c r="G758" i="1"/>
  <c r="H758" i="1"/>
  <c r="F759" i="1"/>
  <c r="G759" i="1"/>
  <c r="H759" i="1"/>
  <c r="F760" i="1"/>
  <c r="G760" i="1"/>
  <c r="H760" i="1"/>
  <c r="F761" i="1"/>
  <c r="G761" i="1"/>
  <c r="H761" i="1"/>
  <c r="F762" i="1"/>
  <c r="G762" i="1"/>
  <c r="H762" i="1"/>
  <c r="F763" i="1"/>
  <c r="G763" i="1"/>
  <c r="H763" i="1"/>
  <c r="F764" i="1"/>
  <c r="G764" i="1"/>
  <c r="H764" i="1"/>
  <c r="F765" i="1"/>
  <c r="G765" i="1"/>
  <c r="H765" i="1"/>
  <c r="F766" i="1"/>
  <c r="G766" i="1"/>
  <c r="H766" i="1"/>
  <c r="F767" i="1"/>
  <c r="G767" i="1"/>
  <c r="H767" i="1"/>
  <c r="F768" i="1"/>
  <c r="G768" i="1"/>
  <c r="H768" i="1"/>
  <c r="F769" i="1"/>
  <c r="G769" i="1"/>
  <c r="H769" i="1"/>
  <c r="F770" i="1"/>
  <c r="G770" i="1"/>
  <c r="H770" i="1"/>
  <c r="F771" i="1"/>
  <c r="G771" i="1"/>
  <c r="H771" i="1"/>
  <c r="F772" i="1"/>
  <c r="G772" i="1"/>
  <c r="H772" i="1"/>
  <c r="F773" i="1"/>
  <c r="G773" i="1"/>
  <c r="H773" i="1"/>
  <c r="F774" i="1"/>
  <c r="G774" i="1"/>
  <c r="H774" i="1"/>
  <c r="F775" i="1"/>
  <c r="G775" i="1"/>
  <c r="H775" i="1"/>
  <c r="F776" i="1"/>
  <c r="G776" i="1"/>
  <c r="H776" i="1"/>
  <c r="F777" i="1"/>
  <c r="G777" i="1"/>
  <c r="H777" i="1"/>
  <c r="F778" i="1"/>
  <c r="G778" i="1"/>
  <c r="H778" i="1"/>
  <c r="F779" i="1"/>
  <c r="G779" i="1"/>
  <c r="H779" i="1"/>
  <c r="F780" i="1"/>
  <c r="G780" i="1"/>
  <c r="H780" i="1"/>
  <c r="F781" i="1"/>
  <c r="G781" i="1"/>
  <c r="H781" i="1"/>
  <c r="F782" i="1"/>
  <c r="G782" i="1"/>
  <c r="H782" i="1"/>
  <c r="F783" i="1"/>
  <c r="G783" i="1"/>
  <c r="H783" i="1"/>
  <c r="F784" i="1"/>
  <c r="G784" i="1"/>
  <c r="H784" i="1"/>
  <c r="F785" i="1"/>
  <c r="G785" i="1"/>
  <c r="H785" i="1"/>
  <c r="F786" i="1"/>
  <c r="G786" i="1"/>
  <c r="H786" i="1"/>
  <c r="F787" i="1"/>
  <c r="G787" i="1"/>
  <c r="H787" i="1"/>
  <c r="F788" i="1"/>
  <c r="G788" i="1"/>
  <c r="H788" i="1"/>
  <c r="F789" i="1"/>
  <c r="G789" i="1"/>
  <c r="H789" i="1"/>
  <c r="F790" i="1"/>
  <c r="G790" i="1"/>
  <c r="H790" i="1"/>
  <c r="F791" i="1"/>
  <c r="G791" i="1"/>
  <c r="H791" i="1"/>
  <c r="F792" i="1"/>
  <c r="G792" i="1"/>
  <c r="H792" i="1"/>
  <c r="F793" i="1"/>
  <c r="G793" i="1"/>
  <c r="H793" i="1"/>
  <c r="F794" i="1"/>
  <c r="G794" i="1"/>
  <c r="H794" i="1"/>
  <c r="F795" i="1"/>
  <c r="G795" i="1"/>
  <c r="H795" i="1"/>
  <c r="F796" i="1"/>
  <c r="G796" i="1"/>
  <c r="H796" i="1"/>
  <c r="F797" i="1"/>
  <c r="G797" i="1"/>
  <c r="H797" i="1"/>
  <c r="F798" i="1"/>
  <c r="G798" i="1"/>
  <c r="H798" i="1"/>
  <c r="F799" i="1"/>
  <c r="G799" i="1"/>
  <c r="H799" i="1"/>
  <c r="F800" i="1"/>
  <c r="G800" i="1"/>
  <c r="H800" i="1"/>
  <c r="F801" i="1"/>
  <c r="G801" i="1"/>
  <c r="H801" i="1"/>
  <c r="F802" i="1"/>
  <c r="G802" i="1"/>
  <c r="H802" i="1"/>
  <c r="F803" i="1"/>
  <c r="G803" i="1"/>
  <c r="H803" i="1"/>
  <c r="F804" i="1"/>
  <c r="G804" i="1"/>
  <c r="H804" i="1"/>
  <c r="F805" i="1"/>
  <c r="G805" i="1"/>
  <c r="H805" i="1"/>
  <c r="F806" i="1"/>
  <c r="G806" i="1"/>
  <c r="H806" i="1"/>
  <c r="F807" i="1"/>
  <c r="G807" i="1"/>
  <c r="H807" i="1"/>
  <c r="F808" i="1"/>
  <c r="G808" i="1"/>
  <c r="H808" i="1"/>
  <c r="F809" i="1"/>
  <c r="G809" i="1"/>
  <c r="H809" i="1"/>
  <c r="F810" i="1"/>
  <c r="G810" i="1"/>
  <c r="H810" i="1"/>
  <c r="F811" i="1"/>
  <c r="G811" i="1"/>
  <c r="H811" i="1"/>
  <c r="F812" i="1"/>
  <c r="G812" i="1"/>
  <c r="H812" i="1"/>
  <c r="F813" i="1"/>
  <c r="G813" i="1"/>
  <c r="H813" i="1"/>
  <c r="F814" i="1"/>
  <c r="G814" i="1"/>
  <c r="H814" i="1"/>
  <c r="F815" i="1"/>
  <c r="G815" i="1"/>
  <c r="H815" i="1"/>
  <c r="F816" i="1"/>
  <c r="G816" i="1"/>
  <c r="H816" i="1"/>
  <c r="F817" i="1"/>
  <c r="G817" i="1"/>
  <c r="H817" i="1"/>
  <c r="F818" i="1"/>
  <c r="G818" i="1"/>
  <c r="H818" i="1"/>
  <c r="F819" i="1"/>
  <c r="G819" i="1"/>
  <c r="H819" i="1"/>
  <c r="F820" i="1"/>
  <c r="G820" i="1"/>
  <c r="H820" i="1"/>
  <c r="F821" i="1"/>
  <c r="G821" i="1"/>
  <c r="H821" i="1"/>
  <c r="F822" i="1"/>
  <c r="G822" i="1"/>
  <c r="H822" i="1"/>
  <c r="F823" i="1"/>
  <c r="G823" i="1"/>
  <c r="H823" i="1"/>
  <c r="F824" i="1"/>
  <c r="G824" i="1"/>
  <c r="H824" i="1"/>
  <c r="F825" i="1"/>
  <c r="G825" i="1"/>
  <c r="H825" i="1"/>
  <c r="F826" i="1"/>
  <c r="G826" i="1"/>
  <c r="H826" i="1"/>
  <c r="F827" i="1"/>
  <c r="G827" i="1"/>
  <c r="H827" i="1"/>
  <c r="F828" i="1"/>
  <c r="G828" i="1"/>
  <c r="H828" i="1"/>
  <c r="F829" i="1"/>
  <c r="G829" i="1"/>
  <c r="H829" i="1"/>
  <c r="F830" i="1"/>
  <c r="G830" i="1"/>
  <c r="H830" i="1"/>
  <c r="F831" i="1"/>
  <c r="G831" i="1"/>
  <c r="H831" i="1"/>
  <c r="F832" i="1"/>
  <c r="G832" i="1"/>
  <c r="H832" i="1"/>
  <c r="F833" i="1"/>
  <c r="G833" i="1"/>
  <c r="H833" i="1"/>
  <c r="F834" i="1"/>
  <c r="G834" i="1"/>
  <c r="H834" i="1"/>
  <c r="F835" i="1"/>
  <c r="G835" i="1"/>
  <c r="H835" i="1"/>
  <c r="F836" i="1"/>
  <c r="G836" i="1"/>
  <c r="H836" i="1"/>
  <c r="F837" i="1"/>
  <c r="G837" i="1"/>
  <c r="H837" i="1"/>
  <c r="F838" i="1"/>
  <c r="G838" i="1"/>
  <c r="H838" i="1"/>
  <c r="F839" i="1"/>
  <c r="G839" i="1"/>
  <c r="H839" i="1"/>
  <c r="F840" i="1"/>
  <c r="G840" i="1"/>
  <c r="H840" i="1"/>
  <c r="F841" i="1"/>
  <c r="G841" i="1"/>
  <c r="H841" i="1"/>
  <c r="F842" i="1"/>
  <c r="G842" i="1"/>
  <c r="H842" i="1"/>
  <c r="F843" i="1"/>
  <c r="G843" i="1"/>
  <c r="H843" i="1"/>
  <c r="F844" i="1"/>
  <c r="G844" i="1"/>
  <c r="H844" i="1"/>
  <c r="F845" i="1"/>
  <c r="G845" i="1"/>
  <c r="H845" i="1"/>
  <c r="F846" i="1"/>
  <c r="G846" i="1"/>
  <c r="H846" i="1"/>
  <c r="F847" i="1"/>
  <c r="G847" i="1"/>
  <c r="H847" i="1"/>
  <c r="F848" i="1"/>
  <c r="G848" i="1"/>
  <c r="H848" i="1"/>
  <c r="F849" i="1"/>
  <c r="G849" i="1"/>
  <c r="H849" i="1"/>
  <c r="F850" i="1"/>
  <c r="G850" i="1"/>
  <c r="H850" i="1"/>
  <c r="F851" i="1"/>
  <c r="G851" i="1"/>
  <c r="H851" i="1"/>
  <c r="F852" i="1"/>
  <c r="G852" i="1"/>
  <c r="H852" i="1"/>
  <c r="F853" i="1"/>
  <c r="G853" i="1"/>
  <c r="H853" i="1"/>
  <c r="F854" i="1"/>
  <c r="G854" i="1"/>
  <c r="H854" i="1"/>
  <c r="F855" i="1"/>
  <c r="G855" i="1"/>
  <c r="H855" i="1"/>
  <c r="F856" i="1"/>
  <c r="G856" i="1"/>
  <c r="H856" i="1"/>
  <c r="F857" i="1"/>
  <c r="G857" i="1"/>
  <c r="H857" i="1"/>
  <c r="F858" i="1"/>
  <c r="G858" i="1"/>
  <c r="H858" i="1"/>
  <c r="F859" i="1"/>
  <c r="G859" i="1"/>
  <c r="H859" i="1"/>
  <c r="F860" i="1"/>
  <c r="G860" i="1"/>
  <c r="H860" i="1"/>
  <c r="F861" i="1"/>
  <c r="G861" i="1"/>
  <c r="H861" i="1"/>
  <c r="F862" i="1"/>
  <c r="G862" i="1"/>
  <c r="H862" i="1"/>
  <c r="F863" i="1"/>
  <c r="G863" i="1"/>
  <c r="H863" i="1"/>
  <c r="F864" i="1"/>
  <c r="G864" i="1"/>
  <c r="H864" i="1"/>
  <c r="F865" i="1"/>
  <c r="G865" i="1"/>
  <c r="H865" i="1"/>
  <c r="F866" i="1"/>
  <c r="G866" i="1"/>
  <c r="H866" i="1"/>
  <c r="F867" i="1"/>
  <c r="G867" i="1"/>
  <c r="H867" i="1"/>
  <c r="F868" i="1"/>
  <c r="G868" i="1"/>
  <c r="H868" i="1"/>
  <c r="F869" i="1"/>
  <c r="G869" i="1"/>
  <c r="H869" i="1"/>
  <c r="F870" i="1"/>
  <c r="G870" i="1"/>
  <c r="H870" i="1"/>
  <c r="F871" i="1"/>
  <c r="G871" i="1"/>
  <c r="H871" i="1"/>
  <c r="F872" i="1"/>
  <c r="G872" i="1"/>
  <c r="H872" i="1"/>
  <c r="F873" i="1"/>
  <c r="G873" i="1"/>
  <c r="H873" i="1"/>
  <c r="F874" i="1"/>
  <c r="G874" i="1"/>
  <c r="H874" i="1"/>
  <c r="F875" i="1"/>
  <c r="G875" i="1"/>
  <c r="H875" i="1"/>
  <c r="F876" i="1"/>
  <c r="G876" i="1"/>
  <c r="H876" i="1"/>
  <c r="F877" i="1"/>
  <c r="G877" i="1"/>
  <c r="H877" i="1"/>
  <c r="F878" i="1"/>
  <c r="G878" i="1"/>
  <c r="H878" i="1"/>
  <c r="F879" i="1"/>
  <c r="G879" i="1"/>
  <c r="H879" i="1"/>
  <c r="F880" i="1"/>
  <c r="G880" i="1"/>
  <c r="H880" i="1"/>
  <c r="F881" i="1"/>
  <c r="G881" i="1"/>
  <c r="H881" i="1"/>
  <c r="F882" i="1"/>
  <c r="G882" i="1"/>
  <c r="H882" i="1"/>
  <c r="F883" i="1"/>
  <c r="G883" i="1"/>
  <c r="H883" i="1"/>
  <c r="F884" i="1"/>
  <c r="G884" i="1"/>
  <c r="H884" i="1"/>
  <c r="F885" i="1"/>
  <c r="G885" i="1"/>
  <c r="H885" i="1"/>
  <c r="F886" i="1"/>
  <c r="G886" i="1"/>
  <c r="H886" i="1"/>
  <c r="F887" i="1"/>
  <c r="G887" i="1"/>
  <c r="H887" i="1"/>
  <c r="F888" i="1"/>
  <c r="G888" i="1"/>
  <c r="H888" i="1"/>
  <c r="F889" i="1"/>
  <c r="G889" i="1"/>
  <c r="H889" i="1"/>
  <c r="F890" i="1"/>
  <c r="G890" i="1"/>
  <c r="H890" i="1"/>
  <c r="F891" i="1"/>
  <c r="G891" i="1"/>
  <c r="H891" i="1"/>
  <c r="F892" i="1"/>
  <c r="G892" i="1"/>
  <c r="H892" i="1"/>
  <c r="F893" i="1"/>
  <c r="G893" i="1"/>
  <c r="H893" i="1"/>
  <c r="F894" i="1"/>
  <c r="G894" i="1"/>
  <c r="H894" i="1"/>
  <c r="F895" i="1"/>
  <c r="G895" i="1"/>
  <c r="H895" i="1"/>
  <c r="F896" i="1"/>
  <c r="G896" i="1"/>
  <c r="H896" i="1"/>
  <c r="F897" i="1"/>
  <c r="G897" i="1"/>
  <c r="H897" i="1"/>
  <c r="F898" i="1"/>
  <c r="G898" i="1"/>
  <c r="H898" i="1"/>
  <c r="F899" i="1"/>
  <c r="G899" i="1"/>
  <c r="H899" i="1"/>
  <c r="F900" i="1"/>
  <c r="G900" i="1"/>
  <c r="H900" i="1"/>
  <c r="F901" i="1"/>
  <c r="G901" i="1"/>
  <c r="H901" i="1"/>
  <c r="F902" i="1"/>
  <c r="G902" i="1"/>
  <c r="H902" i="1"/>
  <c r="F903" i="1"/>
  <c r="G903" i="1"/>
  <c r="H903" i="1"/>
  <c r="F904" i="1"/>
  <c r="G904" i="1"/>
  <c r="H904" i="1"/>
  <c r="F905" i="1"/>
  <c r="G905" i="1"/>
  <c r="H905" i="1"/>
  <c r="F906" i="1"/>
  <c r="G906" i="1"/>
  <c r="H906" i="1"/>
  <c r="F907" i="1"/>
  <c r="G907" i="1"/>
  <c r="H907" i="1"/>
  <c r="F908" i="1"/>
  <c r="G908" i="1"/>
  <c r="H908" i="1"/>
  <c r="F909" i="1"/>
  <c r="G909" i="1"/>
  <c r="H909" i="1"/>
  <c r="F910" i="1"/>
  <c r="G910" i="1"/>
  <c r="H910" i="1"/>
  <c r="F911" i="1"/>
  <c r="G911" i="1"/>
  <c r="H911" i="1"/>
  <c r="F912" i="1"/>
  <c r="G912" i="1"/>
  <c r="H912" i="1"/>
  <c r="F913" i="1"/>
  <c r="G913" i="1"/>
  <c r="H913" i="1"/>
  <c r="F914" i="1"/>
  <c r="G914" i="1"/>
  <c r="H914" i="1"/>
  <c r="F915" i="1"/>
  <c r="G915" i="1"/>
  <c r="H915" i="1"/>
  <c r="F916" i="1"/>
  <c r="G916" i="1"/>
  <c r="H916" i="1"/>
  <c r="F917" i="1"/>
  <c r="G917" i="1"/>
  <c r="H917" i="1"/>
  <c r="F918" i="1"/>
  <c r="G918" i="1"/>
  <c r="H918" i="1"/>
  <c r="F919" i="1"/>
  <c r="G919" i="1"/>
  <c r="H919" i="1"/>
  <c r="F920" i="1"/>
  <c r="G920" i="1"/>
  <c r="H920" i="1"/>
  <c r="F921" i="1"/>
  <c r="G921" i="1"/>
  <c r="H921" i="1"/>
  <c r="F922" i="1"/>
  <c r="G922" i="1"/>
  <c r="H922" i="1"/>
  <c r="F923" i="1"/>
  <c r="G923" i="1"/>
  <c r="H923" i="1"/>
  <c r="F924" i="1"/>
  <c r="G924" i="1"/>
  <c r="H924" i="1"/>
  <c r="F925" i="1"/>
  <c r="G925" i="1"/>
  <c r="H925" i="1"/>
  <c r="F926" i="1"/>
  <c r="G926" i="1"/>
  <c r="H926" i="1"/>
  <c r="F927" i="1"/>
  <c r="G927" i="1"/>
  <c r="H927" i="1"/>
  <c r="F928" i="1"/>
  <c r="G928" i="1"/>
  <c r="H928" i="1"/>
  <c r="F929" i="1"/>
  <c r="G929" i="1"/>
  <c r="H929" i="1"/>
  <c r="F930" i="1"/>
  <c r="G930" i="1"/>
  <c r="H930" i="1"/>
  <c r="F931" i="1"/>
  <c r="G931" i="1"/>
  <c r="H931" i="1"/>
  <c r="F932" i="1"/>
  <c r="G932" i="1"/>
  <c r="H932" i="1"/>
  <c r="F933" i="1"/>
  <c r="G933" i="1"/>
  <c r="H933" i="1"/>
  <c r="F934" i="1"/>
  <c r="G934" i="1"/>
  <c r="H934" i="1"/>
  <c r="F935" i="1"/>
  <c r="G935" i="1"/>
  <c r="H935" i="1"/>
  <c r="F936" i="1"/>
  <c r="G936" i="1"/>
  <c r="H936" i="1"/>
  <c r="F937" i="1"/>
  <c r="G937" i="1"/>
  <c r="H937" i="1"/>
  <c r="F938" i="1"/>
  <c r="G938" i="1"/>
  <c r="H938" i="1"/>
  <c r="F939" i="1"/>
  <c r="G939" i="1"/>
  <c r="H939" i="1"/>
  <c r="F940" i="1"/>
  <c r="G940" i="1"/>
  <c r="H940" i="1"/>
  <c r="F941" i="1"/>
  <c r="G941" i="1"/>
  <c r="H941" i="1"/>
  <c r="F942" i="1"/>
  <c r="G942" i="1"/>
  <c r="H942" i="1"/>
  <c r="F943" i="1"/>
  <c r="G943" i="1"/>
  <c r="H943" i="1"/>
  <c r="F944" i="1"/>
  <c r="G944" i="1"/>
  <c r="H944" i="1"/>
  <c r="F945" i="1"/>
  <c r="G945" i="1"/>
  <c r="H945" i="1"/>
  <c r="F946" i="1"/>
  <c r="G946" i="1"/>
  <c r="H946" i="1"/>
  <c r="F947" i="1"/>
  <c r="G947" i="1"/>
  <c r="H947" i="1"/>
  <c r="F948" i="1"/>
  <c r="G948" i="1"/>
  <c r="H948" i="1"/>
  <c r="F949" i="1"/>
  <c r="G949" i="1"/>
  <c r="H949" i="1"/>
  <c r="F950" i="1"/>
  <c r="G950" i="1"/>
  <c r="H950" i="1"/>
  <c r="F951" i="1"/>
  <c r="G951" i="1"/>
  <c r="H951" i="1"/>
  <c r="F952" i="1"/>
  <c r="G952" i="1"/>
  <c r="H952" i="1"/>
  <c r="F953" i="1"/>
  <c r="G953" i="1"/>
  <c r="H953" i="1"/>
  <c r="F954" i="1"/>
  <c r="G954" i="1"/>
  <c r="H954" i="1"/>
  <c r="F955" i="1"/>
  <c r="G955" i="1"/>
  <c r="H955" i="1"/>
  <c r="F956" i="1"/>
  <c r="G956" i="1"/>
  <c r="H956" i="1"/>
  <c r="F957" i="1"/>
  <c r="G957" i="1"/>
  <c r="H957" i="1"/>
  <c r="F958" i="1"/>
  <c r="G958" i="1"/>
  <c r="H958" i="1"/>
  <c r="F959" i="1"/>
  <c r="G959" i="1"/>
  <c r="H959" i="1"/>
  <c r="F960" i="1"/>
  <c r="G960" i="1"/>
  <c r="H960" i="1"/>
  <c r="F961" i="1"/>
  <c r="G961" i="1"/>
  <c r="H961" i="1"/>
  <c r="F962" i="1"/>
  <c r="G962" i="1"/>
  <c r="H962" i="1"/>
  <c r="F963" i="1"/>
  <c r="G963" i="1"/>
  <c r="H963" i="1"/>
  <c r="F964" i="1"/>
  <c r="G964" i="1"/>
  <c r="H964" i="1"/>
  <c r="F965" i="1"/>
  <c r="G965" i="1"/>
  <c r="H965" i="1"/>
  <c r="F966" i="1"/>
  <c r="G966" i="1"/>
  <c r="H966" i="1"/>
  <c r="F967" i="1"/>
  <c r="G967" i="1"/>
  <c r="H967" i="1"/>
  <c r="F968" i="1"/>
  <c r="G968" i="1"/>
  <c r="H968" i="1"/>
  <c r="F969" i="1"/>
  <c r="G969" i="1"/>
  <c r="H969" i="1"/>
  <c r="F970" i="1"/>
  <c r="G970" i="1"/>
  <c r="H970" i="1"/>
  <c r="F971" i="1"/>
  <c r="G971" i="1"/>
  <c r="H971" i="1"/>
  <c r="F972" i="1"/>
  <c r="G972" i="1"/>
  <c r="H972" i="1"/>
  <c r="F973" i="1"/>
  <c r="G973" i="1"/>
  <c r="H973" i="1"/>
  <c r="F974" i="1"/>
  <c r="G974" i="1"/>
  <c r="H974" i="1"/>
  <c r="F975" i="1"/>
  <c r="G975" i="1"/>
  <c r="H975" i="1"/>
  <c r="F976" i="1"/>
  <c r="G976" i="1"/>
  <c r="H976" i="1"/>
  <c r="F977" i="1"/>
  <c r="G977" i="1"/>
  <c r="H977" i="1"/>
  <c r="F978" i="1"/>
  <c r="G978" i="1"/>
  <c r="H978" i="1"/>
  <c r="F979" i="1"/>
  <c r="G979" i="1"/>
  <c r="H979" i="1"/>
  <c r="F980" i="1"/>
  <c r="G980" i="1"/>
  <c r="H980" i="1"/>
  <c r="F981" i="1"/>
  <c r="G981" i="1"/>
  <c r="H981" i="1"/>
  <c r="F982" i="1"/>
  <c r="G982" i="1"/>
  <c r="H982" i="1"/>
  <c r="F983" i="1"/>
  <c r="G983" i="1"/>
  <c r="H983" i="1"/>
  <c r="F984" i="1"/>
  <c r="G984" i="1"/>
  <c r="H984" i="1"/>
  <c r="F985" i="1"/>
  <c r="G985" i="1"/>
  <c r="H985" i="1"/>
  <c r="F986" i="1"/>
  <c r="G986" i="1"/>
  <c r="H986" i="1"/>
  <c r="F987" i="1"/>
  <c r="G987" i="1"/>
  <c r="H987" i="1"/>
  <c r="F988" i="1"/>
  <c r="G988" i="1"/>
  <c r="H988" i="1"/>
  <c r="F989" i="1"/>
  <c r="G989" i="1"/>
  <c r="H989" i="1"/>
  <c r="F990" i="1"/>
  <c r="G990" i="1"/>
  <c r="H990" i="1"/>
  <c r="F991" i="1"/>
  <c r="G991" i="1"/>
  <c r="H991" i="1"/>
  <c r="F992" i="1"/>
  <c r="G992" i="1"/>
  <c r="H992" i="1"/>
  <c r="F993" i="1"/>
  <c r="G993" i="1"/>
  <c r="H993" i="1"/>
  <c r="F994" i="1"/>
  <c r="G994" i="1"/>
  <c r="H994" i="1"/>
  <c r="F995" i="1"/>
  <c r="G995" i="1"/>
  <c r="H995" i="1"/>
  <c r="F996" i="1"/>
  <c r="G996" i="1"/>
  <c r="H996" i="1"/>
  <c r="F997" i="1"/>
  <c r="G997" i="1"/>
  <c r="H997" i="1"/>
  <c r="F998" i="1"/>
  <c r="G998" i="1"/>
  <c r="H998" i="1"/>
  <c r="F999" i="1"/>
  <c r="G999" i="1"/>
  <c r="H999" i="1"/>
  <c r="F1000" i="1"/>
  <c r="G1000" i="1"/>
  <c r="H1000" i="1"/>
  <c r="F1001" i="1"/>
  <c r="G1001" i="1"/>
  <c r="H1001" i="1"/>
  <c r="F1002" i="1"/>
  <c r="G1002" i="1"/>
  <c r="H1002" i="1"/>
  <c r="F1003" i="1"/>
  <c r="G1003" i="1"/>
  <c r="H1003" i="1"/>
  <c r="F1004" i="1"/>
  <c r="G1004" i="1"/>
  <c r="H1004" i="1"/>
  <c r="F1005" i="1"/>
  <c r="G1005" i="1"/>
  <c r="H1005" i="1"/>
  <c r="F1006" i="1"/>
  <c r="G1006" i="1"/>
  <c r="H1006" i="1"/>
  <c r="F1007" i="1"/>
  <c r="G1007" i="1"/>
  <c r="H1007" i="1"/>
  <c r="F1008" i="1"/>
  <c r="G1008" i="1"/>
  <c r="H1008" i="1"/>
  <c r="F1009" i="1"/>
  <c r="G1009" i="1"/>
  <c r="H1009" i="1"/>
  <c r="F1010" i="1"/>
  <c r="G1010" i="1"/>
  <c r="H1010" i="1"/>
  <c r="F1011" i="1"/>
  <c r="G1011" i="1"/>
  <c r="H1011" i="1"/>
  <c r="F1012" i="1"/>
  <c r="G1012" i="1"/>
  <c r="H1012" i="1"/>
  <c r="F1013" i="1"/>
  <c r="G1013" i="1"/>
  <c r="H1013" i="1"/>
  <c r="F1014" i="1"/>
  <c r="G1014" i="1"/>
  <c r="H1014" i="1"/>
  <c r="F1015" i="1"/>
  <c r="G1015" i="1"/>
  <c r="H1015" i="1"/>
  <c r="F1016" i="1"/>
  <c r="G1016" i="1"/>
  <c r="H1016" i="1"/>
  <c r="F1017" i="1"/>
  <c r="G1017" i="1"/>
  <c r="H1017" i="1"/>
  <c r="F1018" i="1"/>
  <c r="G1018" i="1"/>
  <c r="H1018" i="1"/>
  <c r="F1019" i="1"/>
  <c r="G1019" i="1"/>
  <c r="H1019" i="1"/>
  <c r="F1020" i="1"/>
  <c r="G1020" i="1"/>
  <c r="H1020" i="1"/>
  <c r="F1021" i="1"/>
  <c r="G1021" i="1"/>
  <c r="H1021" i="1"/>
  <c r="F1022" i="1"/>
  <c r="G1022" i="1"/>
  <c r="H1022" i="1"/>
  <c r="F1023" i="1"/>
  <c r="G1023" i="1"/>
  <c r="H1023" i="1"/>
  <c r="F1024" i="1"/>
  <c r="G1024" i="1"/>
  <c r="H1024" i="1"/>
  <c r="F1025" i="1"/>
  <c r="G1025" i="1"/>
  <c r="H1025" i="1"/>
  <c r="F1026" i="1"/>
  <c r="G1026" i="1"/>
  <c r="H1026" i="1"/>
  <c r="F1027" i="1"/>
  <c r="G1027" i="1"/>
  <c r="H1027" i="1"/>
  <c r="F1028" i="1"/>
  <c r="G1028" i="1"/>
  <c r="H1028" i="1"/>
  <c r="F1029" i="1"/>
  <c r="G1029" i="1"/>
  <c r="H1029" i="1"/>
  <c r="F1030" i="1"/>
  <c r="G1030" i="1"/>
  <c r="H1030" i="1"/>
  <c r="F1031" i="1"/>
  <c r="G1031" i="1"/>
  <c r="H1031" i="1"/>
  <c r="F1032" i="1"/>
  <c r="G1032" i="1"/>
  <c r="H1032" i="1"/>
  <c r="F1033" i="1"/>
  <c r="G1033" i="1"/>
  <c r="H1033" i="1"/>
  <c r="F1034" i="1"/>
  <c r="G1034" i="1"/>
  <c r="H1034" i="1"/>
  <c r="F1035" i="1"/>
  <c r="G1035" i="1"/>
  <c r="H1035" i="1"/>
  <c r="F1036" i="1"/>
  <c r="G1036" i="1"/>
  <c r="H1036" i="1"/>
  <c r="F1037" i="1"/>
  <c r="G1037" i="1"/>
  <c r="H1037" i="1"/>
  <c r="F1038" i="1"/>
  <c r="G1038" i="1"/>
  <c r="H1038" i="1"/>
  <c r="F1039" i="1"/>
  <c r="G1039" i="1"/>
  <c r="H1039" i="1"/>
  <c r="F1040" i="1"/>
  <c r="G1040" i="1"/>
  <c r="H1040" i="1"/>
  <c r="F1041" i="1"/>
  <c r="G1041" i="1"/>
  <c r="H1041" i="1"/>
  <c r="F1042" i="1"/>
  <c r="G1042" i="1"/>
  <c r="H1042" i="1"/>
  <c r="F1043" i="1"/>
  <c r="G1043" i="1"/>
  <c r="H1043" i="1"/>
  <c r="F1044" i="1"/>
  <c r="G1044" i="1"/>
  <c r="H1044" i="1"/>
  <c r="F1045" i="1"/>
  <c r="G1045" i="1"/>
  <c r="H1045" i="1"/>
  <c r="F1046" i="1"/>
  <c r="G1046" i="1"/>
  <c r="H1046" i="1"/>
  <c r="F1047" i="1"/>
  <c r="G1047" i="1"/>
  <c r="H1047" i="1"/>
  <c r="F1048" i="1"/>
  <c r="G1048" i="1"/>
  <c r="H1048" i="1"/>
  <c r="F1049" i="1"/>
  <c r="G1049" i="1"/>
  <c r="H1049" i="1"/>
  <c r="F1050" i="1"/>
  <c r="G1050" i="1"/>
  <c r="H1050" i="1"/>
  <c r="F1051" i="1"/>
  <c r="G1051" i="1"/>
  <c r="H1051" i="1"/>
  <c r="F1052" i="1"/>
  <c r="G1052" i="1"/>
  <c r="H1052" i="1"/>
  <c r="F1053" i="1"/>
  <c r="G1053" i="1"/>
  <c r="H1053" i="1"/>
  <c r="F1054" i="1"/>
  <c r="G1054" i="1"/>
  <c r="H1054" i="1"/>
  <c r="F1055" i="1"/>
  <c r="G1055" i="1"/>
  <c r="H1055" i="1"/>
  <c r="F1056" i="1"/>
  <c r="G1056" i="1"/>
  <c r="H1056" i="1"/>
  <c r="F1057" i="1"/>
  <c r="G1057" i="1"/>
  <c r="H1057" i="1"/>
  <c r="F1058" i="1"/>
  <c r="G1058" i="1"/>
  <c r="H1058" i="1"/>
  <c r="F1059" i="1"/>
  <c r="G1059" i="1"/>
  <c r="H1059" i="1"/>
  <c r="F1060" i="1"/>
  <c r="G1060" i="1"/>
  <c r="H1060" i="1"/>
  <c r="F1061" i="1"/>
  <c r="G1061" i="1"/>
  <c r="H1061" i="1"/>
  <c r="F1062" i="1"/>
  <c r="G1062" i="1"/>
  <c r="H1062" i="1"/>
  <c r="F1063" i="1"/>
  <c r="G1063" i="1"/>
  <c r="H1063" i="1"/>
  <c r="F1064" i="1"/>
  <c r="G1064" i="1"/>
  <c r="H1064" i="1"/>
  <c r="F1065" i="1"/>
  <c r="G1065" i="1"/>
  <c r="H1065" i="1"/>
  <c r="F1066" i="1"/>
  <c r="G1066" i="1"/>
  <c r="H1066" i="1"/>
  <c r="F1067" i="1"/>
  <c r="G1067" i="1"/>
  <c r="H1067" i="1"/>
  <c r="F1068" i="1"/>
  <c r="G1068" i="1"/>
  <c r="H1068" i="1"/>
  <c r="F1069" i="1"/>
  <c r="G1069" i="1"/>
  <c r="H1069" i="1"/>
  <c r="F1070" i="1"/>
  <c r="G1070" i="1"/>
  <c r="H1070" i="1"/>
  <c r="F1071" i="1"/>
  <c r="G1071" i="1"/>
  <c r="H1071" i="1"/>
  <c r="F1072" i="1"/>
  <c r="G1072" i="1"/>
  <c r="H1072" i="1"/>
  <c r="F1073" i="1"/>
  <c r="G1073" i="1"/>
  <c r="H1073" i="1"/>
  <c r="F1074" i="1"/>
  <c r="G1074" i="1"/>
  <c r="H1074" i="1"/>
  <c r="F1075" i="1"/>
  <c r="G1075" i="1"/>
  <c r="H1075" i="1"/>
  <c r="F1076" i="1"/>
  <c r="G1076" i="1"/>
  <c r="H1076" i="1"/>
  <c r="F1077" i="1"/>
  <c r="G1077" i="1"/>
  <c r="H1077" i="1"/>
  <c r="F1078" i="1"/>
  <c r="G1078" i="1"/>
  <c r="H1078" i="1"/>
  <c r="F1079" i="1"/>
  <c r="G1079" i="1"/>
  <c r="H1079" i="1"/>
  <c r="F1080" i="1"/>
  <c r="G1080" i="1"/>
  <c r="H1080" i="1"/>
  <c r="F1081" i="1"/>
  <c r="G1081" i="1"/>
  <c r="H1081" i="1"/>
  <c r="F1082" i="1"/>
  <c r="G1082" i="1"/>
  <c r="H1082" i="1"/>
  <c r="F1083" i="1"/>
  <c r="G1083" i="1"/>
  <c r="H1083" i="1"/>
  <c r="F1084" i="1"/>
  <c r="G1084" i="1"/>
  <c r="H1084" i="1"/>
  <c r="F1085" i="1"/>
  <c r="G1085" i="1"/>
  <c r="H1085" i="1"/>
  <c r="F1086" i="1"/>
  <c r="G1086" i="1"/>
  <c r="H1086" i="1"/>
  <c r="F1087" i="1"/>
  <c r="G1087" i="1"/>
  <c r="H1087" i="1"/>
  <c r="F1088" i="1"/>
  <c r="G1088" i="1"/>
  <c r="H1088" i="1"/>
  <c r="F1089" i="1"/>
  <c r="G1089" i="1"/>
  <c r="H1089" i="1"/>
  <c r="F1090" i="1"/>
  <c r="G1090" i="1"/>
  <c r="H1090" i="1"/>
  <c r="F1091" i="1"/>
  <c r="G1091" i="1"/>
  <c r="H1091" i="1"/>
  <c r="F1092" i="1"/>
  <c r="G1092" i="1"/>
  <c r="H1092" i="1"/>
  <c r="F1093" i="1"/>
  <c r="G1093" i="1"/>
  <c r="H1093" i="1"/>
  <c r="F1094" i="1"/>
  <c r="G1094" i="1"/>
  <c r="H1094" i="1"/>
  <c r="F1095" i="1"/>
  <c r="G1095" i="1"/>
  <c r="H1095" i="1"/>
  <c r="F1096" i="1"/>
  <c r="G1096" i="1"/>
  <c r="H1096" i="1"/>
  <c r="F1097" i="1"/>
  <c r="G1097" i="1"/>
  <c r="H1097" i="1"/>
  <c r="F1098" i="1"/>
  <c r="G1098" i="1"/>
  <c r="H1098" i="1"/>
  <c r="F1099" i="1"/>
  <c r="G1099" i="1"/>
  <c r="H1099" i="1"/>
  <c r="F1100" i="1"/>
  <c r="G1100" i="1"/>
  <c r="H1100" i="1"/>
  <c r="F1101" i="1"/>
  <c r="G1101" i="1"/>
  <c r="H1101" i="1"/>
  <c r="F1102" i="1"/>
  <c r="G1102" i="1"/>
  <c r="H1102" i="1"/>
  <c r="F1103" i="1"/>
  <c r="G1103" i="1"/>
  <c r="H1103" i="1"/>
  <c r="F1104" i="1"/>
  <c r="G1104" i="1"/>
  <c r="H1104" i="1"/>
  <c r="F1105" i="1"/>
  <c r="G1105" i="1"/>
  <c r="H1105" i="1"/>
  <c r="F1106" i="1"/>
  <c r="G1106" i="1"/>
  <c r="H1106" i="1"/>
  <c r="F1107" i="1"/>
  <c r="G1107" i="1"/>
  <c r="H1107" i="1"/>
  <c r="F1108" i="1"/>
  <c r="G1108" i="1"/>
  <c r="H1108" i="1"/>
  <c r="F1109" i="1"/>
  <c r="G1109" i="1"/>
  <c r="H1109" i="1"/>
  <c r="F1110" i="1"/>
  <c r="G1110" i="1"/>
  <c r="H1110" i="1"/>
  <c r="F1111" i="1"/>
  <c r="G1111" i="1"/>
  <c r="H1111" i="1"/>
  <c r="F1112" i="1"/>
  <c r="G1112" i="1"/>
  <c r="H1112" i="1"/>
  <c r="F1113" i="1"/>
  <c r="G1113" i="1"/>
  <c r="H1113" i="1"/>
  <c r="F1114" i="1"/>
  <c r="G1114" i="1"/>
  <c r="H1114" i="1"/>
  <c r="F1115" i="1"/>
  <c r="G1115" i="1"/>
  <c r="H1115" i="1"/>
  <c r="F1116" i="1"/>
  <c r="G1116" i="1"/>
  <c r="H1116" i="1"/>
  <c r="F1117" i="1"/>
  <c r="G1117" i="1"/>
  <c r="H1117" i="1"/>
  <c r="F1118" i="1"/>
  <c r="G1118" i="1"/>
  <c r="H1118" i="1"/>
  <c r="F1119" i="1"/>
  <c r="G1119" i="1"/>
  <c r="H1119" i="1"/>
  <c r="F1120" i="1"/>
  <c r="G1120" i="1"/>
  <c r="H1120" i="1"/>
  <c r="F1121" i="1"/>
  <c r="G1121" i="1"/>
  <c r="H1121" i="1"/>
  <c r="F1122" i="1"/>
  <c r="G1122" i="1"/>
  <c r="H1122" i="1"/>
  <c r="F1123" i="1"/>
  <c r="G1123" i="1"/>
  <c r="H1123" i="1"/>
  <c r="F1124" i="1"/>
  <c r="G1124" i="1"/>
  <c r="H1124" i="1"/>
  <c r="F1125" i="1"/>
  <c r="G1125" i="1"/>
  <c r="H1125" i="1"/>
  <c r="F1126" i="1"/>
  <c r="G1126" i="1"/>
  <c r="H1126" i="1"/>
  <c r="F1127" i="1"/>
  <c r="G1127" i="1"/>
  <c r="H1127" i="1"/>
  <c r="F1128" i="1"/>
  <c r="G1128" i="1"/>
  <c r="H1128" i="1"/>
  <c r="F1129" i="1"/>
  <c r="G1129" i="1"/>
  <c r="H1129" i="1"/>
  <c r="F1130" i="1"/>
  <c r="G1130" i="1"/>
  <c r="H1130" i="1"/>
  <c r="F1131" i="1"/>
  <c r="G1131" i="1"/>
  <c r="H1131" i="1"/>
  <c r="F1132" i="1"/>
  <c r="G1132" i="1"/>
  <c r="H1132" i="1"/>
  <c r="F1133" i="1"/>
  <c r="G1133" i="1"/>
  <c r="H1133" i="1"/>
  <c r="F1134" i="1"/>
  <c r="G1134" i="1"/>
  <c r="H1134" i="1"/>
  <c r="F1135" i="1"/>
  <c r="G1135" i="1"/>
  <c r="H1135" i="1"/>
  <c r="F1136" i="1"/>
  <c r="G1136" i="1"/>
  <c r="H1136" i="1"/>
  <c r="F1137" i="1"/>
  <c r="G1137" i="1"/>
  <c r="H1137" i="1"/>
  <c r="F1138" i="1"/>
  <c r="G1138" i="1"/>
  <c r="H1138" i="1"/>
  <c r="F1139" i="1"/>
  <c r="G1139" i="1"/>
  <c r="H1139" i="1"/>
  <c r="F1140" i="1"/>
  <c r="G1140" i="1"/>
  <c r="H1140" i="1"/>
  <c r="F1141" i="1"/>
  <c r="G1141" i="1"/>
  <c r="H1141" i="1"/>
  <c r="F1142" i="1"/>
  <c r="G1142" i="1"/>
  <c r="H1142" i="1"/>
  <c r="F1143" i="1"/>
  <c r="G1143" i="1"/>
  <c r="H1143" i="1"/>
  <c r="F1144" i="1"/>
  <c r="G1144" i="1"/>
  <c r="H1144" i="1"/>
  <c r="F1145" i="1"/>
  <c r="G1145" i="1"/>
  <c r="H1145" i="1"/>
  <c r="F1146" i="1"/>
  <c r="G1146" i="1"/>
  <c r="H1146" i="1"/>
  <c r="F1147" i="1"/>
  <c r="G1147" i="1"/>
  <c r="H1147" i="1"/>
  <c r="F1148" i="1"/>
  <c r="G1148" i="1"/>
  <c r="H1148" i="1"/>
  <c r="F1149" i="1"/>
  <c r="G1149" i="1"/>
  <c r="H1149" i="1"/>
  <c r="F1150" i="1"/>
  <c r="G1150" i="1"/>
  <c r="H1150" i="1"/>
  <c r="F1151" i="1"/>
  <c r="G1151" i="1"/>
  <c r="H1151" i="1"/>
  <c r="F1152" i="1"/>
  <c r="G1152" i="1"/>
  <c r="H1152" i="1"/>
  <c r="F1153" i="1"/>
  <c r="G1153" i="1"/>
  <c r="H1153" i="1"/>
  <c r="F1154" i="1"/>
  <c r="G1154" i="1"/>
  <c r="H1154" i="1"/>
  <c r="F1155" i="1"/>
  <c r="G1155" i="1"/>
  <c r="H1155" i="1"/>
  <c r="F1156" i="1"/>
  <c r="G1156" i="1"/>
  <c r="H1156" i="1"/>
  <c r="F1157" i="1"/>
  <c r="G1157" i="1"/>
  <c r="H1157" i="1"/>
  <c r="F1158" i="1"/>
  <c r="G1158" i="1"/>
  <c r="H1158" i="1"/>
  <c r="F1159" i="1"/>
  <c r="G1159" i="1"/>
  <c r="H1159" i="1"/>
  <c r="F1160" i="1"/>
  <c r="G1160" i="1"/>
  <c r="H1160" i="1"/>
  <c r="F1161" i="1"/>
  <c r="G1161" i="1"/>
  <c r="H1161" i="1"/>
  <c r="F1162" i="1"/>
  <c r="G1162" i="1"/>
  <c r="H1162" i="1"/>
  <c r="F1163" i="1"/>
  <c r="G1163" i="1"/>
  <c r="H1163" i="1"/>
  <c r="F1164" i="1"/>
  <c r="G1164" i="1"/>
  <c r="H1164" i="1"/>
  <c r="F1165" i="1"/>
  <c r="G1165" i="1"/>
  <c r="H1165" i="1"/>
  <c r="F1166" i="1"/>
  <c r="G1166" i="1"/>
  <c r="H1166" i="1"/>
  <c r="F1167" i="1"/>
  <c r="G1167" i="1"/>
  <c r="H1167" i="1"/>
  <c r="F1168" i="1"/>
  <c r="G1168" i="1"/>
  <c r="H1168" i="1"/>
  <c r="F1169" i="1"/>
  <c r="G1169" i="1"/>
  <c r="H1169" i="1"/>
  <c r="F1170" i="1"/>
  <c r="G1170" i="1"/>
  <c r="H1170" i="1"/>
  <c r="F1171" i="1"/>
  <c r="G1171" i="1"/>
  <c r="H1171" i="1"/>
  <c r="F1172" i="1"/>
  <c r="G1172" i="1"/>
  <c r="H1172" i="1"/>
  <c r="F1173" i="1"/>
  <c r="G1173" i="1"/>
  <c r="H1173" i="1"/>
  <c r="F1174" i="1"/>
  <c r="G1174" i="1"/>
  <c r="H1174" i="1"/>
  <c r="F1175" i="1"/>
  <c r="G1175" i="1"/>
  <c r="H1175" i="1"/>
  <c r="F1176" i="1"/>
  <c r="G1176" i="1"/>
  <c r="H1176" i="1"/>
  <c r="F1177" i="1"/>
  <c r="G1177" i="1"/>
  <c r="H1177" i="1"/>
  <c r="F1178" i="1"/>
  <c r="G1178" i="1"/>
  <c r="H1178" i="1"/>
  <c r="F1179" i="1"/>
  <c r="G1179" i="1"/>
  <c r="H1179" i="1"/>
  <c r="F1180" i="1"/>
  <c r="G1180" i="1"/>
  <c r="H1180" i="1"/>
  <c r="F1181" i="1"/>
  <c r="G1181" i="1"/>
  <c r="H1181" i="1"/>
  <c r="F1182" i="1"/>
  <c r="G1182" i="1"/>
  <c r="H1182" i="1"/>
  <c r="F1183" i="1"/>
  <c r="G1183" i="1"/>
  <c r="H1183" i="1"/>
  <c r="F1184" i="1"/>
  <c r="G1184" i="1"/>
  <c r="H1184" i="1"/>
  <c r="F1185" i="1"/>
  <c r="G1185" i="1"/>
  <c r="H1185" i="1"/>
  <c r="F1186" i="1"/>
  <c r="G1186" i="1"/>
  <c r="H1186" i="1"/>
  <c r="F1187" i="1"/>
  <c r="G1187" i="1"/>
  <c r="H1187" i="1"/>
  <c r="F1188" i="1"/>
  <c r="G1188" i="1"/>
  <c r="H1188" i="1"/>
  <c r="F1189" i="1"/>
  <c r="G1189" i="1"/>
  <c r="H1189" i="1"/>
  <c r="F1190" i="1"/>
  <c r="G1190" i="1"/>
  <c r="H1190" i="1"/>
  <c r="F1191" i="1"/>
  <c r="G1191" i="1"/>
  <c r="H1191" i="1"/>
  <c r="F1192" i="1"/>
  <c r="G1192" i="1"/>
  <c r="H1192" i="1"/>
  <c r="F1193" i="1"/>
  <c r="G1193" i="1"/>
  <c r="H1193" i="1"/>
  <c r="F1194" i="1"/>
  <c r="G1194" i="1"/>
  <c r="H1194" i="1"/>
  <c r="F1195" i="1"/>
  <c r="G1195" i="1"/>
  <c r="H1195" i="1"/>
  <c r="F1196" i="1"/>
  <c r="G1196" i="1"/>
  <c r="H1196" i="1"/>
  <c r="F1197" i="1"/>
  <c r="G1197" i="1"/>
  <c r="H1197" i="1"/>
  <c r="F1198" i="1"/>
  <c r="G1198" i="1"/>
  <c r="H1198" i="1"/>
  <c r="F1199" i="1"/>
  <c r="G1199" i="1"/>
  <c r="H1199" i="1"/>
  <c r="F1200" i="1"/>
  <c r="G1200" i="1"/>
  <c r="H1200" i="1"/>
  <c r="F1201" i="1"/>
  <c r="G1201" i="1"/>
  <c r="H1201" i="1"/>
  <c r="F1202" i="1"/>
  <c r="G1202" i="1"/>
  <c r="H1202" i="1"/>
  <c r="F1203" i="1"/>
  <c r="G1203" i="1"/>
  <c r="H1203" i="1"/>
  <c r="F1204" i="1"/>
  <c r="G1204" i="1"/>
  <c r="H1204" i="1"/>
  <c r="F1205" i="1"/>
  <c r="G1205" i="1"/>
  <c r="H1205" i="1"/>
  <c r="F1206" i="1"/>
  <c r="G1206" i="1"/>
  <c r="H1206" i="1"/>
  <c r="F1207" i="1"/>
  <c r="G1207" i="1"/>
  <c r="H1207" i="1"/>
  <c r="F1208" i="1"/>
  <c r="G1208" i="1"/>
  <c r="H1208" i="1"/>
  <c r="F1209" i="1"/>
  <c r="G1209" i="1"/>
  <c r="H1209" i="1"/>
  <c r="F1210" i="1"/>
  <c r="G1210" i="1"/>
  <c r="H1210" i="1"/>
  <c r="F1211" i="1"/>
  <c r="G1211" i="1"/>
  <c r="H1211" i="1"/>
  <c r="F1212" i="1"/>
  <c r="G1212" i="1"/>
  <c r="H1212" i="1"/>
  <c r="F1213" i="1"/>
  <c r="G1213" i="1"/>
  <c r="H1213" i="1"/>
  <c r="F1214" i="1"/>
  <c r="G1214" i="1"/>
  <c r="H1214" i="1"/>
  <c r="F1215" i="1"/>
  <c r="G1215" i="1"/>
  <c r="H1215" i="1"/>
  <c r="F1216" i="1"/>
  <c r="G1216" i="1"/>
  <c r="H1216" i="1"/>
  <c r="F1217" i="1"/>
  <c r="G1217" i="1"/>
  <c r="H1217" i="1"/>
  <c r="F1218" i="1"/>
  <c r="G1218" i="1"/>
  <c r="H1218" i="1"/>
  <c r="F1219" i="1"/>
  <c r="G1219" i="1"/>
  <c r="H1219" i="1"/>
  <c r="F1220" i="1"/>
  <c r="G1220" i="1"/>
  <c r="H1220" i="1"/>
  <c r="F1221" i="1"/>
  <c r="G1221" i="1"/>
  <c r="H1221" i="1"/>
  <c r="F1222" i="1"/>
  <c r="G1222" i="1"/>
  <c r="H1222" i="1"/>
  <c r="F1223" i="1"/>
  <c r="G1223" i="1"/>
  <c r="H1223" i="1"/>
  <c r="F1224" i="1"/>
  <c r="G1224" i="1"/>
  <c r="H1224" i="1"/>
  <c r="F1225" i="1"/>
  <c r="G1225" i="1"/>
  <c r="H1225" i="1"/>
  <c r="F1226" i="1"/>
  <c r="G1226" i="1"/>
  <c r="H1226" i="1"/>
  <c r="F1227" i="1"/>
  <c r="G1227" i="1"/>
  <c r="H1227" i="1"/>
  <c r="F1228" i="1"/>
  <c r="G1228" i="1"/>
  <c r="H1228" i="1"/>
  <c r="F1229" i="1"/>
  <c r="G1229" i="1"/>
  <c r="H1229" i="1"/>
  <c r="F1230" i="1"/>
  <c r="G1230" i="1"/>
  <c r="H1230" i="1"/>
  <c r="F1231" i="1"/>
  <c r="G1231" i="1"/>
  <c r="H1231" i="1"/>
  <c r="F1232" i="1"/>
  <c r="G1232" i="1"/>
  <c r="H1232" i="1"/>
  <c r="F1233" i="1"/>
  <c r="G1233" i="1"/>
  <c r="H1233" i="1"/>
  <c r="F1234" i="1"/>
  <c r="G1234" i="1"/>
  <c r="H1234" i="1"/>
  <c r="F1235" i="1"/>
  <c r="G1235" i="1"/>
  <c r="H1235" i="1"/>
  <c r="F1236" i="1"/>
  <c r="G1236" i="1"/>
  <c r="H1236" i="1"/>
  <c r="F1237" i="1"/>
  <c r="G1237" i="1"/>
  <c r="H1237" i="1"/>
  <c r="F1238" i="1"/>
  <c r="G1238" i="1"/>
  <c r="H1238" i="1"/>
  <c r="F1239" i="1"/>
  <c r="G1239" i="1"/>
  <c r="H1239" i="1"/>
  <c r="F1240" i="1"/>
  <c r="G1240" i="1"/>
  <c r="H1240" i="1"/>
  <c r="F1241" i="1"/>
  <c r="G1241" i="1"/>
  <c r="H1241" i="1"/>
  <c r="F1242" i="1"/>
  <c r="G1242" i="1"/>
  <c r="H1242" i="1"/>
  <c r="F1243" i="1"/>
  <c r="G1243" i="1"/>
  <c r="H1243" i="1"/>
  <c r="F1244" i="1"/>
  <c r="G1244" i="1"/>
  <c r="H1244" i="1"/>
  <c r="F1245" i="1"/>
  <c r="G1245" i="1"/>
  <c r="H1245" i="1"/>
  <c r="F1246" i="1"/>
  <c r="G1246" i="1"/>
  <c r="H1246" i="1"/>
  <c r="F1247" i="1"/>
  <c r="G1247" i="1"/>
  <c r="H1247" i="1"/>
  <c r="F1248" i="1"/>
  <c r="G1248" i="1"/>
  <c r="H1248" i="1"/>
  <c r="F1249" i="1"/>
  <c r="G1249" i="1"/>
  <c r="H1249" i="1"/>
  <c r="F1250" i="1"/>
  <c r="G1250" i="1"/>
  <c r="H1250" i="1"/>
  <c r="F1251" i="1"/>
  <c r="G1251" i="1"/>
  <c r="H1251" i="1"/>
  <c r="F1252" i="1"/>
  <c r="G1252" i="1"/>
  <c r="H1252" i="1"/>
  <c r="F1253" i="1"/>
  <c r="G1253" i="1"/>
  <c r="H1253" i="1"/>
  <c r="F1254" i="1"/>
  <c r="G1254" i="1"/>
  <c r="H1254" i="1"/>
  <c r="F1255" i="1"/>
  <c r="G1255" i="1"/>
  <c r="H1255" i="1"/>
  <c r="F1256" i="1"/>
  <c r="G1256" i="1"/>
  <c r="H1256" i="1"/>
  <c r="F1257" i="1"/>
  <c r="G1257" i="1"/>
  <c r="H1257" i="1"/>
  <c r="F1258" i="1"/>
  <c r="G1258" i="1"/>
  <c r="H1258" i="1"/>
  <c r="F1259" i="1"/>
  <c r="G1259" i="1"/>
  <c r="H1259" i="1"/>
  <c r="F1260" i="1"/>
  <c r="G1260" i="1"/>
  <c r="H1260" i="1"/>
  <c r="F1261" i="1"/>
  <c r="G1261" i="1"/>
  <c r="H1261" i="1"/>
  <c r="F1262" i="1"/>
  <c r="G1262" i="1"/>
  <c r="H1262" i="1"/>
  <c r="F1263" i="1"/>
  <c r="G1263" i="1"/>
  <c r="H1263" i="1"/>
  <c r="F1264" i="1"/>
  <c r="G1264" i="1"/>
  <c r="H1264" i="1"/>
  <c r="F1265" i="1"/>
  <c r="G1265" i="1"/>
  <c r="H1265" i="1"/>
  <c r="F1266" i="1"/>
  <c r="G1266" i="1"/>
  <c r="H1266" i="1"/>
  <c r="F1267" i="1"/>
  <c r="G1267" i="1"/>
  <c r="H1267" i="1"/>
  <c r="F1268" i="1"/>
  <c r="G1268" i="1"/>
  <c r="H1268" i="1"/>
  <c r="F1269" i="1"/>
  <c r="G1269" i="1"/>
  <c r="H1269" i="1"/>
  <c r="F1270" i="1"/>
  <c r="G1270" i="1"/>
  <c r="H1270" i="1"/>
  <c r="F1271" i="1"/>
  <c r="G1271" i="1"/>
  <c r="H1271" i="1"/>
  <c r="F1272" i="1"/>
  <c r="G1272" i="1"/>
  <c r="H1272" i="1"/>
  <c r="F1273" i="1"/>
  <c r="G1273" i="1"/>
  <c r="H1273" i="1"/>
  <c r="F1274" i="1"/>
  <c r="G1274" i="1"/>
  <c r="H1274" i="1"/>
  <c r="F1275" i="1"/>
  <c r="G1275" i="1"/>
  <c r="H1275" i="1"/>
  <c r="F1276" i="1"/>
  <c r="G1276" i="1"/>
  <c r="H1276" i="1"/>
  <c r="F1277" i="1"/>
  <c r="G1277" i="1"/>
  <c r="H1277" i="1"/>
  <c r="F1278" i="1"/>
  <c r="G1278" i="1"/>
  <c r="H1278" i="1"/>
  <c r="F1279" i="1"/>
  <c r="G1279" i="1"/>
  <c r="H1279" i="1"/>
  <c r="F1280" i="1"/>
  <c r="G1280" i="1"/>
  <c r="H1280" i="1"/>
  <c r="F1281" i="1"/>
  <c r="G1281" i="1"/>
  <c r="H1281" i="1"/>
  <c r="F1282" i="1"/>
  <c r="G1282" i="1"/>
  <c r="H1282" i="1"/>
  <c r="F1283" i="1"/>
  <c r="G1283" i="1"/>
  <c r="H1283" i="1"/>
  <c r="F1284" i="1"/>
  <c r="G1284" i="1"/>
  <c r="H1284" i="1"/>
  <c r="F1285" i="1"/>
  <c r="G1285" i="1"/>
  <c r="H1285" i="1"/>
  <c r="F1286" i="1"/>
  <c r="G1286" i="1"/>
  <c r="H1286" i="1"/>
  <c r="F1287" i="1"/>
  <c r="G1287" i="1"/>
  <c r="H1287" i="1"/>
  <c r="F1288" i="1"/>
  <c r="G1288" i="1"/>
  <c r="H1288" i="1"/>
  <c r="F1289" i="1"/>
  <c r="G1289" i="1"/>
  <c r="H1289" i="1"/>
  <c r="F1290" i="1"/>
  <c r="G1290" i="1"/>
  <c r="H1290" i="1"/>
  <c r="F1291" i="1"/>
  <c r="G1291" i="1"/>
  <c r="H1291" i="1"/>
  <c r="F1292" i="1"/>
  <c r="G1292" i="1"/>
  <c r="H1292" i="1"/>
  <c r="F1293" i="1"/>
  <c r="G1293" i="1"/>
  <c r="H1293" i="1"/>
  <c r="F1294" i="1"/>
  <c r="G1294" i="1"/>
  <c r="H1294" i="1"/>
  <c r="F1295" i="1"/>
  <c r="G1295" i="1"/>
  <c r="H1295" i="1"/>
  <c r="F1296" i="1"/>
  <c r="G1296" i="1"/>
  <c r="H1296" i="1"/>
  <c r="F1297" i="1"/>
  <c r="G1297" i="1"/>
  <c r="H1297" i="1"/>
  <c r="F1298" i="1"/>
  <c r="G1298" i="1"/>
  <c r="H1298" i="1"/>
  <c r="F1299" i="1"/>
  <c r="G1299" i="1"/>
  <c r="H1299" i="1"/>
  <c r="F1300" i="1"/>
  <c r="G1300" i="1"/>
  <c r="H1300" i="1"/>
  <c r="F1301" i="1"/>
  <c r="G1301" i="1"/>
  <c r="H1301" i="1"/>
  <c r="F1302" i="1"/>
  <c r="G1302" i="1"/>
  <c r="H1302" i="1"/>
  <c r="F1303" i="1"/>
  <c r="G1303" i="1"/>
  <c r="H1303" i="1"/>
  <c r="H5" i="1"/>
  <c r="G5" i="1"/>
  <c r="F5" i="1"/>
  <c r="A1" i="1"/>
  <c r="E4" i="6" l="1"/>
  <c r="M3" i="6" s="1" a="1"/>
  <c r="M3" i="6" s="1"/>
  <c r="D9" i="6" s="1" a="1"/>
  <c r="D9" i="6" s="1"/>
  <c r="D2" i="5" a="1"/>
  <c r="D2" i="5" s="1"/>
  <c r="M3" i="4"/>
  <c r="O8" i="4" s="1" a="1"/>
  <c r="O8" i="4" s="1"/>
  <c r="O14" i="4" s="1" a="1"/>
  <c r="O14" i="4" s="1"/>
  <c r="G14" i="3" a="1"/>
  <c r="G14" i="3" s="1"/>
  <c r="G6" i="2"/>
  <c r="F6" i="2"/>
  <c r="G5" i="2"/>
  <c r="K5" i="2" s="1" a="1"/>
  <c r="K5" i="2" s="1"/>
  <c r="Q4" i="1" a="1"/>
  <c r="Q4" i="1" s="1"/>
  <c r="K5" i="1"/>
  <c r="M5" i="1"/>
  <c r="L5" i="1"/>
  <c r="J5" i="5" l="1"/>
  <c r="D17" i="5" s="1"/>
  <c r="I21" i="5" s="1"/>
  <c r="J4" i="5"/>
  <c r="D16" i="5" s="1"/>
  <c r="I20" i="5" s="1"/>
  <c r="J3" i="5"/>
  <c r="D15" i="5" s="1"/>
  <c r="I19" i="5" s="1"/>
  <c r="O13" i="4" a="1"/>
  <c r="O13" i="4" s="1"/>
  <c r="D16" i="4" s="1"/>
  <c r="G14" i="2" a="1"/>
  <c r="G14" i="2" s="1"/>
  <c r="G13" i="2" a="1"/>
  <c r="G13" i="2" s="1"/>
  <c r="D31" i="2" s="1"/>
  <c r="G15" i="2" a="1"/>
  <c r="G15" i="2" s="1"/>
  <c r="D33" i="2" s="1" a="1"/>
  <c r="D33" i="2" s="1"/>
  <c r="G15" i="3" a="1"/>
  <c r="G15" i="3" s="1"/>
  <c r="D33" i="3" s="1" a="1"/>
  <c r="D33" i="3" s="1"/>
  <c r="G13" i="3" a="1"/>
  <c r="G13" i="3" s="1"/>
  <c r="S6" i="1"/>
  <c r="R6" i="1"/>
  <c r="S5" i="1"/>
  <c r="R4" i="1"/>
  <c r="S4" i="1"/>
  <c r="Q5" i="1"/>
  <c r="R5" i="1"/>
  <c r="Q6" i="1"/>
  <c r="D31" i="3" l="1"/>
  <c r="G16" i="2"/>
  <c r="G17" i="2" s="1" a="1"/>
  <c r="G17" i="2" s="1"/>
  <c r="G20" i="2" a="1"/>
  <c r="G20" i="2" s="1"/>
  <c r="D27" i="2"/>
  <c r="G16" i="3"/>
  <c r="G17" i="3" s="1" a="1"/>
  <c r="G17" i="3" s="1"/>
  <c r="Q25" i="1" a="1"/>
  <c r="Q25" i="1" s="1"/>
  <c r="Q24" i="1" a="1"/>
  <c r="Q24" i="1" s="1"/>
  <c r="D20" i="4" l="1"/>
  <c r="G17" i="4"/>
  <c r="G18" i="4"/>
  <c r="G16" i="4"/>
  <c r="D28" i="2"/>
  <c r="D26" i="2"/>
  <c r="G20" i="3" a="1"/>
  <c r="G20" i="3" s="1"/>
  <c r="D27" i="3"/>
  <c r="D26" i="3"/>
  <c r="D28" i="3"/>
  <c r="Q26" i="1"/>
  <c r="Q30" i="1" s="1" a="1"/>
  <c r="Q30" i="1" s="1"/>
  <c r="Q27" i="1" a="1"/>
  <c r="Q27" i="1" s="1"/>
  <c r="D20" i="5" l="1"/>
  <c r="D19" i="5"/>
  <c r="D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F897A74D-0DE4-4B22-A86D-A1730885A78A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<sst xmlns="http://schemas.openxmlformats.org/spreadsheetml/2006/main" count="159" uniqueCount="85">
  <si>
    <t>End</t>
  </si>
  <si>
    <t>Frequency</t>
  </si>
  <si>
    <t>D</t>
  </si>
  <si>
    <t>Name</t>
  </si>
  <si>
    <t>APPLE</t>
  </si>
  <si>
    <t>AMAZON.COM</t>
  </si>
  <si>
    <t>FACEBOOK CLASS A</t>
  </si>
  <si>
    <t>Return</t>
  </si>
  <si>
    <t>Mean</t>
  </si>
  <si>
    <t>Inverse V</t>
  </si>
  <si>
    <t>V=VarCov Matrix</t>
  </si>
  <si>
    <t>Check</t>
  </si>
  <si>
    <t>Ones</t>
  </si>
  <si>
    <t>A</t>
  </si>
  <si>
    <t>B</t>
  </si>
  <si>
    <t>C</t>
  </si>
  <si>
    <t>D=B*C-A^2;</t>
  </si>
  <si>
    <t>g</t>
  </si>
  <si>
    <t>h</t>
  </si>
  <si>
    <t>R</t>
  </si>
  <si>
    <t>(C*R.^2-2*A*R+B)/D</t>
  </si>
  <si>
    <t>Variance</t>
  </si>
  <si>
    <t>Exp Return</t>
  </si>
  <si>
    <t>A=ones'*invV*mean;</t>
  </si>
  <si>
    <t>B=mean'*invV*mean;</t>
  </si>
  <si>
    <t>C=ones'*invV*ones;</t>
  </si>
  <si>
    <t>g=(B*(invV*ones)-A*(invV*mean))/D;</t>
  </si>
  <si>
    <t>h=(-A*(invV*ones)+C*(invV*mean))/D;</t>
  </si>
  <si>
    <t>w=@(R) g+h*R;</t>
  </si>
  <si>
    <t>Amazon e facebook</t>
  </si>
  <si>
    <t>Media</t>
  </si>
  <si>
    <t>Amazon</t>
  </si>
  <si>
    <t>Facebook</t>
  </si>
  <si>
    <t>Matrice V</t>
  </si>
  <si>
    <t>Matrice V inversa</t>
  </si>
  <si>
    <t>Ones'</t>
  </si>
  <si>
    <t>Media'</t>
  </si>
  <si>
    <t>Apple</t>
  </si>
  <si>
    <t>Facebook e apple</t>
  </si>
  <si>
    <t>E[rp]=A/C</t>
  </si>
  <si>
    <t>Portafoglio a varianza minima globale</t>
  </si>
  <si>
    <t>wMVP=(invV*ones)/C</t>
  </si>
  <si>
    <t>Portafoglio a varianza minima(Frontiera)</t>
  </si>
  <si>
    <t>Normale multivariata X</t>
  </si>
  <si>
    <t>VARIANZA</t>
  </si>
  <si>
    <t>AMAZON</t>
  </si>
  <si>
    <t>FACEBOOK</t>
  </si>
  <si>
    <t>Rendimento titolo privo di rischio</t>
  </si>
  <si>
    <t>b</t>
  </si>
  <si>
    <t>Funzione utilità</t>
  </si>
  <si>
    <t>Portafoglio ottimo</t>
  </si>
  <si>
    <t>Utilità</t>
  </si>
  <si>
    <t>x</t>
  </si>
  <si>
    <t>x+(b/2)*(x^2)</t>
  </si>
  <si>
    <t>p</t>
  </si>
  <si>
    <t>e-rf</t>
  </si>
  <si>
    <t>invV*(e-rf*ones)/(onesTrasp*invV*(e-rf*ones))</t>
  </si>
  <si>
    <t>Portafoglio tangente(wE)</t>
  </si>
  <si>
    <t>E[rE]=wETrasposto*e</t>
  </si>
  <si>
    <t>Var[rE]=wETrasposto*V*wE</t>
  </si>
  <si>
    <t>Nel portafoglio tangente</t>
  </si>
  <si>
    <t>Nel titolo privo di rischio</t>
  </si>
  <si>
    <t xml:space="preserve">quindi </t>
  </si>
  <si>
    <t>supponendo una ricchezza=1</t>
  </si>
  <si>
    <t>a</t>
  </si>
  <si>
    <t>1-exp(-a*x)</t>
  </si>
  <si>
    <t>rf</t>
  </si>
  <si>
    <t>1/a*invV*(e-rf*1)</t>
  </si>
  <si>
    <t>e-rf*1</t>
  </si>
  <si>
    <t>esponente</t>
  </si>
  <si>
    <t>MEDIA rendimento annua</t>
  </si>
  <si>
    <t>MVP</t>
  </si>
  <si>
    <t>TAN</t>
  </si>
  <si>
    <t>OTT</t>
  </si>
  <si>
    <t>E</t>
  </si>
  <si>
    <t>var</t>
  </si>
  <si>
    <t>nel port tangente</t>
  </si>
  <si>
    <t>nel titolo privo di rischio</t>
  </si>
  <si>
    <t>invV</t>
  </si>
  <si>
    <t>r</t>
  </si>
  <si>
    <t>V</t>
  </si>
  <si>
    <t>Sul libro sono sbagliati i trasposti se ci fate caso</t>
  </si>
  <si>
    <t>utilità</t>
  </si>
  <si>
    <t>Titolo B è il preferibile da scegliere</t>
  </si>
  <si>
    <t>Curtosi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</si>
</sst>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4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9" xfId="0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6" borderId="0" xfId="0" applyFill="1"/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0" xfId="0" applyFill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8" borderId="14" xfId="0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43" fontId="0" fillId="0" borderId="0" xfId="1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B335-B947-4DC3-A863-06FC7F2CCE2E}">
  <dimension ref="A1:V1305"/>
  <sheetViews>
    <sheetView topLeftCell="D1" zoomScale="70" zoomScaleNormal="70" workbookViewId="0">
      <selection activeCell="K17" sqref="K17"/>
    </sheetView>
  </sheetViews>
  <sheetFormatPr defaultColWidth="8.77734375" defaultRowHeight="14.4" x14ac:dyDescent="0.3"/>
  <cols>
    <col min="1" max="10" width="18.6640625" style="1" customWidth="1"/>
    <col min="11" max="11" width="38" bestFit="1" customWidth="1"/>
    <col min="12" max="12" width="19.77734375" bestFit="1" customWidth="1"/>
    <col min="13" max="13" width="16.44140625" customWidth="1"/>
    <col min="14" max="14" width="18.6640625" customWidth="1"/>
    <col min="17" max="17" width="9.33203125" bestFit="1" customWidth="1"/>
    <col min="18" max="18" width="9.21875" bestFit="1" customWidth="1"/>
    <col min="19" max="19" width="9.33203125" bestFit="1" customWidth="1"/>
  </cols>
  <sheetData>
    <row r="1" spans="1:20" x14ac:dyDescent="0.3">
      <c r="A1" s="1" t="e">
        <f ca="1">_xll.Thomson.Reuters.AFOSpreadsheetFormulas.DSGRID("@AAPL,@AMZN,@FB"," ","-5Y","","D","RowHeader=true;ColHeader=true;Heading=true;LatestFirstValue=true;DispSeriesDescription=false;YearlyTSFormat=false;QuarterlyTSFormat=false","")</f>
        <v>#NAME?</v>
      </c>
      <c r="B1" s="2">
        <v>42283</v>
      </c>
    </row>
    <row r="2" spans="1:20" x14ac:dyDescent="0.3">
      <c r="A2" s="1" t="s">
        <v>0</v>
      </c>
      <c r="B2" s="2">
        <v>44110</v>
      </c>
      <c r="E2" s="3"/>
      <c r="F2" s="3"/>
      <c r="G2" s="3"/>
      <c r="H2" s="3"/>
      <c r="I2" s="3"/>
    </row>
    <row r="3" spans="1:20" ht="15" thickBot="1" x14ac:dyDescent="0.35">
      <c r="A3" s="1" t="s">
        <v>1</v>
      </c>
      <c r="B3" s="1" t="s">
        <v>2</v>
      </c>
      <c r="E3" s="3"/>
      <c r="F3" s="63" t="s">
        <v>7</v>
      </c>
      <c r="G3" s="63"/>
      <c r="H3" s="63"/>
      <c r="I3" s="3"/>
      <c r="J3" s="12"/>
      <c r="K3" s="13"/>
      <c r="L3" s="13"/>
      <c r="M3" s="13"/>
      <c r="N3" s="13"/>
      <c r="O3" s="31"/>
      <c r="P3" s="31"/>
      <c r="Q3" s="31"/>
      <c r="R3" s="31"/>
      <c r="S3" s="31"/>
      <c r="T3" s="31"/>
    </row>
    <row r="4" spans="1:20" ht="15" thickBot="1" x14ac:dyDescent="0.35">
      <c r="A4" s="1" t="s">
        <v>3</v>
      </c>
      <c r="B4" s="1" t="s">
        <v>4</v>
      </c>
      <c r="C4" s="1" t="s">
        <v>5</v>
      </c>
      <c r="D4" s="1" t="s">
        <v>6</v>
      </c>
      <c r="E4" s="3"/>
      <c r="F4" s="21" t="s">
        <v>4</v>
      </c>
      <c r="G4" s="21" t="s">
        <v>5</v>
      </c>
      <c r="H4" s="21" t="s">
        <v>6</v>
      </c>
      <c r="I4" s="3"/>
      <c r="J4" s="12"/>
      <c r="K4" s="22" t="s">
        <v>4</v>
      </c>
      <c r="L4" s="22" t="s">
        <v>5</v>
      </c>
      <c r="M4" s="22" t="s">
        <v>6</v>
      </c>
      <c r="N4" s="13"/>
      <c r="O4" s="31"/>
      <c r="P4" s="32" t="s">
        <v>9</v>
      </c>
      <c r="Q4" s="34">
        <f t="array" ref="Q4:S6">MINVERSE(K7:M9)</f>
        <v>4933.5952830816359</v>
      </c>
      <c r="R4" s="35">
        <v>-1830.6199347266365</v>
      </c>
      <c r="S4" s="36">
        <v>-1521.5812557356264</v>
      </c>
      <c r="T4" s="31"/>
    </row>
    <row r="5" spans="1:20" ht="15" thickBot="1" x14ac:dyDescent="0.35">
      <c r="A5" s="2">
        <v>44110</v>
      </c>
      <c r="B5" s="1">
        <v>113.16</v>
      </c>
      <c r="C5" s="1">
        <v>3099.96</v>
      </c>
      <c r="D5" s="1">
        <v>258.65989999999999</v>
      </c>
      <c r="E5" s="3"/>
      <c r="F5" s="20">
        <f>LN(B5/B6)</f>
        <v>-2.9088526572388838E-2</v>
      </c>
      <c r="G5" s="20">
        <f>LN(C5/C6)</f>
        <v>-3.1511570368424655E-2</v>
      </c>
      <c r="H5" s="20">
        <f>LN(D5/D6)</f>
        <v>-2.2893749067256237E-2</v>
      </c>
      <c r="I5" s="3"/>
      <c r="J5" s="11" t="s">
        <v>8</v>
      </c>
      <c r="K5" s="23">
        <f>AVERAGE(F5:F1303)</f>
        <v>1.0798906897984005E-3</v>
      </c>
      <c r="L5" s="23">
        <f t="shared" ref="L5:M5" si="0">AVERAGE(G5:G1303)</f>
        <v>1.3489245089738104E-3</v>
      </c>
      <c r="M5" s="23">
        <f t="shared" si="0"/>
        <v>7.8912042462430049E-4</v>
      </c>
      <c r="N5" s="13"/>
      <c r="O5" s="31"/>
      <c r="P5" s="33"/>
      <c r="Q5" s="37">
        <v>-1830.6199347266361</v>
      </c>
      <c r="R5" s="38">
        <v>5350.6222664011775</v>
      </c>
      <c r="S5" s="39">
        <v>-2111.6995001129985</v>
      </c>
      <c r="T5" s="31"/>
    </row>
    <row r="6" spans="1:20" ht="15" thickBot="1" x14ac:dyDescent="0.35">
      <c r="A6" s="2">
        <v>44109</v>
      </c>
      <c r="B6" s="1">
        <v>116.5</v>
      </c>
      <c r="C6" s="1">
        <v>3199.2</v>
      </c>
      <c r="D6" s="1">
        <v>264.6499</v>
      </c>
      <c r="E6" s="3"/>
      <c r="F6" s="20">
        <f t="shared" ref="F6:F69" si="1">LN(B6/B7)</f>
        <v>3.0326478804057942E-2</v>
      </c>
      <c r="G6" s="20">
        <f t="shared" ref="G6:G69" si="2">LN(C6/C7)</f>
        <v>2.346649536210672E-2</v>
      </c>
      <c r="H6" s="20">
        <f t="shared" ref="H6:H69" si="3">LN(D6/D7)</f>
        <v>1.7957369997171464E-2</v>
      </c>
      <c r="I6" s="3"/>
      <c r="J6" s="12"/>
      <c r="K6" s="13"/>
      <c r="L6" s="13"/>
      <c r="M6" s="13"/>
      <c r="N6" s="13"/>
      <c r="O6" s="31"/>
      <c r="P6" s="33"/>
      <c r="Q6" s="40">
        <v>-1521.5812557356269</v>
      </c>
      <c r="R6" s="41">
        <v>-2111.6995001129985</v>
      </c>
      <c r="S6" s="42">
        <v>4460.4393544364584</v>
      </c>
      <c r="T6" s="31"/>
    </row>
    <row r="7" spans="1:20" ht="15" thickBot="1" x14ac:dyDescent="0.35">
      <c r="A7" s="2">
        <v>44106</v>
      </c>
      <c r="B7" s="1">
        <v>113.02</v>
      </c>
      <c r="C7" s="1">
        <v>3125</v>
      </c>
      <c r="D7" s="1">
        <v>259.93990000000002</v>
      </c>
      <c r="E7" s="3"/>
      <c r="F7" s="20">
        <f t="shared" si="1"/>
        <v>-3.2812656088776926E-2</v>
      </c>
      <c r="G7" s="20">
        <f t="shared" si="2"/>
        <v>-3.0338304176198167E-2</v>
      </c>
      <c r="H7" s="20">
        <f t="shared" si="3"/>
        <v>-2.5411104044980166E-2</v>
      </c>
      <c r="I7" s="3"/>
      <c r="J7" s="11" t="s">
        <v>10</v>
      </c>
      <c r="K7" s="24">
        <f>_xlfn.COVARIANCE.P($F$5:$F$1303,F5:F1303)</f>
        <v>3.4259855748272166E-4</v>
      </c>
      <c r="L7" s="24">
        <f>_xlfn.COVARIANCE.P($F$5:$F$1303,G5:G1303)</f>
        <v>2.0087002937785027E-4</v>
      </c>
      <c r="M7" s="24">
        <f>_xlfn.COVARIANCE.P($F$5:$F$1303,H5:H1303)</f>
        <v>2.1196761323349865E-4</v>
      </c>
      <c r="N7" s="22" t="s">
        <v>4</v>
      </c>
      <c r="O7" s="31"/>
      <c r="P7" s="33"/>
      <c r="Q7" s="31"/>
      <c r="R7" s="31"/>
      <c r="S7" s="31"/>
      <c r="T7" s="31"/>
    </row>
    <row r="8" spans="1:20" ht="15" thickBot="1" x14ac:dyDescent="0.35">
      <c r="A8" s="2">
        <v>44105</v>
      </c>
      <c r="B8" s="1">
        <v>116.79</v>
      </c>
      <c r="C8" s="1">
        <v>3221.26</v>
      </c>
      <c r="D8" s="1">
        <v>266.62990000000002</v>
      </c>
      <c r="E8" s="3"/>
      <c r="F8" s="20">
        <f t="shared" si="1"/>
        <v>8.4265330941876888E-3</v>
      </c>
      <c r="G8" s="20">
        <f t="shared" si="2"/>
        <v>2.2773390426928015E-2</v>
      </c>
      <c r="H8" s="20">
        <f t="shared" si="3"/>
        <v>1.7899184805716801E-2</v>
      </c>
      <c r="I8" s="3"/>
      <c r="J8" s="12"/>
      <c r="K8" s="24">
        <f>_xlfn.COVARIANCE.P($F$5:$F$1303,G5:G1303)</f>
        <v>2.0087002937785027E-4</v>
      </c>
      <c r="L8" s="26">
        <f>_xlfn.COVARIANCE.P($G$5:$G$1303,G5:G1303)</f>
        <v>3.4761111787093838E-4</v>
      </c>
      <c r="M8" s="26">
        <f>_xlfn.COVARIANCE.P($G$5:$G$1303,H5:H1303)</f>
        <v>2.3309145417437012E-4</v>
      </c>
      <c r="N8" s="22" t="s">
        <v>5</v>
      </c>
      <c r="O8" s="31"/>
      <c r="P8" s="33"/>
      <c r="Q8" s="31"/>
      <c r="R8" s="31"/>
      <c r="S8" s="31"/>
      <c r="T8" s="31"/>
    </row>
    <row r="9" spans="1:20" ht="15" thickBot="1" x14ac:dyDescent="0.35">
      <c r="A9" s="2">
        <v>44104</v>
      </c>
      <c r="B9" s="1">
        <v>115.81</v>
      </c>
      <c r="C9" s="1">
        <v>3148.73</v>
      </c>
      <c r="D9" s="1">
        <v>261.8999</v>
      </c>
      <c r="E9" s="3"/>
      <c r="F9" s="20">
        <f t="shared" si="1"/>
        <v>1.4963306588008254E-2</v>
      </c>
      <c r="G9" s="20">
        <f t="shared" si="2"/>
        <v>1.2234633160437428E-3</v>
      </c>
      <c r="H9" s="20">
        <f t="shared" si="3"/>
        <v>4.1971403921796071E-4</v>
      </c>
      <c r="I9" s="3"/>
      <c r="J9" s="12"/>
      <c r="K9" s="28">
        <f>_xlfn.COVARIANCE.P($F$5:$F$1303,H5:H1303)</f>
        <v>2.1196761323349865E-4</v>
      </c>
      <c r="L9" s="29">
        <f>_xlfn.COVARIANCE.P($G$5:$G$1303,H5:H1303)</f>
        <v>2.3309145417437012E-4</v>
      </c>
      <c r="M9" s="30">
        <f>_xlfn.COVARIANCE.P(H5:H1303,H5:H1303)</f>
        <v>4.0685343083406156E-4</v>
      </c>
      <c r="N9" s="22" t="s">
        <v>6</v>
      </c>
      <c r="O9" s="31"/>
      <c r="P9" s="32" t="s">
        <v>11</v>
      </c>
      <c r="Q9" s="50" cm="1">
        <f t="array" ref="Q9:S11">MMULT(K7:M9,Q4:S6)</f>
        <v>1</v>
      </c>
      <c r="R9" s="51">
        <v>0</v>
      </c>
      <c r="S9" s="52">
        <v>0</v>
      </c>
      <c r="T9" s="31"/>
    </row>
    <row r="10" spans="1:20" x14ac:dyDescent="0.3">
      <c r="A10" s="2">
        <v>44103</v>
      </c>
      <c r="B10" s="1">
        <v>114.09</v>
      </c>
      <c r="C10" s="1">
        <v>3144.88</v>
      </c>
      <c r="D10" s="1">
        <v>261.79000000000002</v>
      </c>
      <c r="E10" s="3"/>
      <c r="F10" s="20">
        <f t="shared" si="1"/>
        <v>-7.5966311624914452E-3</v>
      </c>
      <c r="G10" s="20">
        <f t="shared" si="2"/>
        <v>-9.2326413516179689E-3</v>
      </c>
      <c r="H10" s="20">
        <f t="shared" si="3"/>
        <v>1.916681586842487E-2</v>
      </c>
      <c r="I10" s="3"/>
      <c r="J10" s="12"/>
      <c r="K10" s="13"/>
      <c r="L10" s="13"/>
      <c r="M10" s="13"/>
      <c r="N10" s="13"/>
      <c r="O10" s="31"/>
      <c r="P10" s="33"/>
      <c r="Q10" s="53">
        <v>1.1102230246251565E-16</v>
      </c>
      <c r="R10" s="31">
        <v>1</v>
      </c>
      <c r="S10" s="54">
        <v>0</v>
      </c>
      <c r="T10" s="31"/>
    </row>
    <row r="11" spans="1:20" ht="15" thickBot="1" x14ac:dyDescent="0.35">
      <c r="A11" s="2">
        <v>44102</v>
      </c>
      <c r="B11" s="1">
        <v>114.96</v>
      </c>
      <c r="C11" s="1">
        <v>3174.05</v>
      </c>
      <c r="D11" s="1">
        <v>256.82010000000002</v>
      </c>
      <c r="E11" s="3"/>
      <c r="F11" s="20">
        <f t="shared" si="1"/>
        <v>2.358849027708761E-2</v>
      </c>
      <c r="G11" s="20">
        <f t="shared" si="2"/>
        <v>2.5178466487742825E-2</v>
      </c>
      <c r="H11" s="20">
        <f t="shared" si="3"/>
        <v>7.8184262275917404E-3</v>
      </c>
      <c r="I11" s="3"/>
      <c r="O11" s="31"/>
      <c r="P11" s="33"/>
      <c r="Q11" s="55">
        <v>-2.2204460492503131E-16</v>
      </c>
      <c r="R11" s="56">
        <v>-1.1102230246251565E-16</v>
      </c>
      <c r="S11" s="57">
        <v>1</v>
      </c>
      <c r="T11" s="31"/>
    </row>
    <row r="12" spans="1:20" x14ac:dyDescent="0.3">
      <c r="A12" s="2">
        <v>44099</v>
      </c>
      <c r="B12" s="1">
        <v>112.28</v>
      </c>
      <c r="C12" s="1">
        <v>3095.13</v>
      </c>
      <c r="D12" s="1">
        <v>254.82</v>
      </c>
      <c r="E12" s="3"/>
      <c r="F12" s="20">
        <f t="shared" si="1"/>
        <v>3.6829559279092587E-2</v>
      </c>
      <c r="G12" s="20">
        <f t="shared" si="2"/>
        <v>2.4642615940298155E-2</v>
      </c>
      <c r="H12" s="20">
        <f t="shared" si="3"/>
        <v>2.0978265109006675E-2</v>
      </c>
      <c r="I12" s="3"/>
      <c r="O12" s="31"/>
      <c r="P12" s="33"/>
      <c r="Q12" s="31"/>
      <c r="R12" s="31"/>
      <c r="S12" s="31"/>
      <c r="T12" s="31"/>
    </row>
    <row r="13" spans="1:20" ht="15" thickBot="1" x14ac:dyDescent="0.35">
      <c r="A13" s="2">
        <v>44098</v>
      </c>
      <c r="B13" s="1">
        <v>108.22</v>
      </c>
      <c r="C13" s="1">
        <v>3019.79</v>
      </c>
      <c r="D13" s="1">
        <v>249.53</v>
      </c>
      <c r="E13" s="3"/>
      <c r="F13" s="20">
        <f t="shared" si="1"/>
        <v>1.0216490831672094E-2</v>
      </c>
      <c r="G13" s="20">
        <f t="shared" si="2"/>
        <v>6.6216716326476929E-3</v>
      </c>
      <c r="H13" s="20">
        <f t="shared" si="3"/>
        <v>2.0459339199614826E-3</v>
      </c>
      <c r="I13" s="3"/>
      <c r="P13" s="1"/>
    </row>
    <row r="14" spans="1:20" x14ac:dyDescent="0.3">
      <c r="A14" s="2">
        <v>44097</v>
      </c>
      <c r="B14" s="1">
        <v>107.12</v>
      </c>
      <c r="C14" s="1">
        <v>2999.86</v>
      </c>
      <c r="D14" s="1">
        <v>249.02</v>
      </c>
      <c r="E14" s="3"/>
      <c r="F14" s="20">
        <f t="shared" si="1"/>
        <v>-4.2851300776359645E-2</v>
      </c>
      <c r="G14" s="20">
        <f t="shared" si="2"/>
        <v>-4.2144647859881659E-2</v>
      </c>
      <c r="H14" s="20">
        <f t="shared" si="3"/>
        <v>-2.2749457578567733E-2</v>
      </c>
      <c r="I14" s="3"/>
      <c r="P14" s="4" t="s">
        <v>8</v>
      </c>
      <c r="Q14" s="8">
        <f>K5</f>
        <v>1.0798906897984005E-3</v>
      </c>
    </row>
    <row r="15" spans="1:20" x14ac:dyDescent="0.3">
      <c r="A15" s="2">
        <v>44096</v>
      </c>
      <c r="B15" s="1">
        <v>111.81</v>
      </c>
      <c r="C15" s="1">
        <v>3128.99</v>
      </c>
      <c r="D15" s="1">
        <v>254.75</v>
      </c>
      <c r="E15" s="3"/>
      <c r="F15" s="20">
        <f t="shared" si="1"/>
        <v>1.5593627974243187E-2</v>
      </c>
      <c r="G15" s="20">
        <f t="shared" si="2"/>
        <v>5.5362229257460004E-2</v>
      </c>
      <c r="H15" s="20">
        <f t="shared" si="3"/>
        <v>2.6249270069384375E-2</v>
      </c>
      <c r="I15" s="3"/>
      <c r="P15" s="4"/>
      <c r="Q15" s="9">
        <f>L5</f>
        <v>1.3489245089738104E-3</v>
      </c>
    </row>
    <row r="16" spans="1:20" ht="15" thickBot="1" x14ac:dyDescent="0.35">
      <c r="A16" s="2">
        <v>44095</v>
      </c>
      <c r="B16" s="1">
        <v>110.08</v>
      </c>
      <c r="C16" s="1">
        <v>2960.47</v>
      </c>
      <c r="D16" s="1">
        <v>248.15</v>
      </c>
      <c r="E16" s="3"/>
      <c r="F16" s="20">
        <f t="shared" si="1"/>
        <v>2.9874985943273268E-2</v>
      </c>
      <c r="G16" s="20">
        <f t="shared" si="2"/>
        <v>1.8798459734918509E-3</v>
      </c>
      <c r="H16" s="20">
        <f t="shared" si="3"/>
        <v>-1.7496651505580205E-2</v>
      </c>
      <c r="I16" s="3"/>
      <c r="P16" s="4"/>
      <c r="Q16" s="10">
        <f>M5</f>
        <v>7.8912042462430049E-4</v>
      </c>
    </row>
    <row r="17" spans="1:22" ht="15" thickBot="1" x14ac:dyDescent="0.35">
      <c r="A17" s="2">
        <v>44092</v>
      </c>
      <c r="B17" s="1">
        <v>106.84</v>
      </c>
      <c r="C17" s="1">
        <v>2954.91</v>
      </c>
      <c r="D17" s="1">
        <v>252.53</v>
      </c>
      <c r="E17" s="3"/>
      <c r="F17" s="20">
        <f t="shared" si="1"/>
        <v>-3.2234119602524557E-2</v>
      </c>
      <c r="G17" s="20">
        <f t="shared" si="2"/>
        <v>-1.8049869272830928E-2</v>
      </c>
      <c r="H17" s="20">
        <f t="shared" si="3"/>
        <v>-9.0273600142046738E-3</v>
      </c>
      <c r="I17" s="3"/>
      <c r="J17" s="1" t="s">
        <v>84</v>
      </c>
      <c r="K17">
        <f>KURT(F5:F1303)</f>
        <v>8.0948731410478665</v>
      </c>
      <c r="L17">
        <f t="shared" ref="L17:M17" si="4">KURT(G5:G1303)</f>
        <v>4.8676563442080578</v>
      </c>
      <c r="M17">
        <f t="shared" si="4"/>
        <v>16.340579956182914</v>
      </c>
      <c r="P17" s="4"/>
    </row>
    <row r="18" spans="1:22" ht="15" thickBot="1" x14ac:dyDescent="0.35">
      <c r="A18" s="2">
        <v>44091</v>
      </c>
      <c r="B18" s="1">
        <v>110.34</v>
      </c>
      <c r="C18" s="1">
        <v>3008.73</v>
      </c>
      <c r="D18" s="1">
        <v>254.82</v>
      </c>
      <c r="E18" s="3"/>
      <c r="F18" s="20">
        <f t="shared" si="1"/>
        <v>-1.6092404628504513E-2</v>
      </c>
      <c r="G18" s="20">
        <f t="shared" si="2"/>
        <v>-2.2794460703642067E-2</v>
      </c>
      <c r="H18" s="20">
        <f t="shared" si="3"/>
        <v>-3.3571852876095369E-2</v>
      </c>
      <c r="I18" s="3"/>
      <c r="P18" s="4" t="s">
        <v>12</v>
      </c>
      <c r="Q18" s="8">
        <v>1</v>
      </c>
      <c r="S18" t="s">
        <v>12</v>
      </c>
      <c r="T18" s="5">
        <v>1</v>
      </c>
      <c r="U18" s="6">
        <v>1</v>
      </c>
      <c r="V18" s="7">
        <v>1</v>
      </c>
    </row>
    <row r="19" spans="1:22" x14ac:dyDescent="0.3">
      <c r="A19" s="2">
        <v>44090</v>
      </c>
      <c r="B19" s="1">
        <v>112.13</v>
      </c>
      <c r="C19" s="1">
        <v>3078.1</v>
      </c>
      <c r="D19" s="1">
        <v>263.52</v>
      </c>
      <c r="E19" s="3"/>
      <c r="F19" s="20">
        <f t="shared" si="1"/>
        <v>-2.9957877880330188E-2</v>
      </c>
      <c r="G19" s="20">
        <f t="shared" si="2"/>
        <v>-2.5034069998858526E-2</v>
      </c>
      <c r="H19" s="20">
        <f t="shared" si="3"/>
        <v>-3.3215359509554315E-2</v>
      </c>
      <c r="I19" s="3"/>
      <c r="P19" s="4"/>
      <c r="Q19" s="9">
        <v>1</v>
      </c>
    </row>
    <row r="20" spans="1:22" ht="15" thickBot="1" x14ac:dyDescent="0.35">
      <c r="A20" s="2">
        <v>44089</v>
      </c>
      <c r="B20" s="1">
        <v>115.54</v>
      </c>
      <c r="C20" s="1">
        <v>3156.13</v>
      </c>
      <c r="D20" s="1">
        <v>272.41989999999998</v>
      </c>
      <c r="E20" s="3"/>
      <c r="F20" s="20">
        <f t="shared" si="1"/>
        <v>1.6024603355476621E-3</v>
      </c>
      <c r="G20" s="20">
        <f t="shared" si="2"/>
        <v>1.6986876160439368E-2</v>
      </c>
      <c r="H20" s="20">
        <f t="shared" si="3"/>
        <v>2.3284942048161599E-2</v>
      </c>
      <c r="I20" s="3"/>
      <c r="P20" s="4"/>
      <c r="Q20" s="10">
        <v>1</v>
      </c>
    </row>
    <row r="21" spans="1:22" x14ac:dyDescent="0.3">
      <c r="A21" s="2">
        <v>44088</v>
      </c>
      <c r="B21" s="1">
        <v>115.355</v>
      </c>
      <c r="C21" s="1">
        <v>3102.97</v>
      </c>
      <c r="D21" s="1">
        <v>266.1499</v>
      </c>
      <c r="E21" s="3"/>
      <c r="F21" s="20">
        <f t="shared" si="1"/>
        <v>2.9515458722477402E-2</v>
      </c>
      <c r="G21" s="20">
        <f t="shared" si="2"/>
        <v>-4.2610114974733614E-3</v>
      </c>
      <c r="H21" s="20">
        <f t="shared" si="3"/>
        <v>-1.7276076074047575E-3</v>
      </c>
      <c r="I21" s="3"/>
    </row>
    <row r="22" spans="1:22" ht="15" thickBot="1" x14ac:dyDescent="0.35">
      <c r="A22" s="2">
        <v>44085</v>
      </c>
      <c r="B22" s="1">
        <v>112</v>
      </c>
      <c r="C22" s="1">
        <v>3116.22</v>
      </c>
      <c r="D22" s="1">
        <v>266.61009999999999</v>
      </c>
      <c r="E22" s="3"/>
      <c r="F22" s="20">
        <f t="shared" si="1"/>
        <v>-1.3215856017952983E-2</v>
      </c>
      <c r="G22" s="20">
        <f t="shared" si="2"/>
        <v>-1.8721548559983224E-2</v>
      </c>
      <c r="H22" s="20">
        <f t="shared" si="3"/>
        <v>-5.5358265420301497E-3</v>
      </c>
      <c r="I22" s="3"/>
      <c r="K22" t="s">
        <v>42</v>
      </c>
      <c r="L22" s="14"/>
      <c r="M22" s="14"/>
      <c r="N22" s="14"/>
      <c r="O22" s="14"/>
      <c r="P22" s="14"/>
      <c r="Q22" s="14"/>
      <c r="R22" s="14"/>
      <c r="S22" s="14"/>
      <c r="T22" s="14"/>
    </row>
    <row r="23" spans="1:22" x14ac:dyDescent="0.3">
      <c r="A23" s="2">
        <v>44084</v>
      </c>
      <c r="B23" s="1">
        <v>113.49</v>
      </c>
      <c r="C23" s="1">
        <v>3175.11</v>
      </c>
      <c r="D23" s="1">
        <v>268.09010000000001</v>
      </c>
      <c r="E23" s="3"/>
      <c r="F23" s="20">
        <f t="shared" si="1"/>
        <v>-3.3190516796202683E-2</v>
      </c>
      <c r="G23" s="20">
        <f t="shared" si="2"/>
        <v>-2.9022540672157836E-2</v>
      </c>
      <c r="H23" s="20">
        <f t="shared" si="3"/>
        <v>-2.0782568044139405E-2</v>
      </c>
      <c r="I23" s="3"/>
      <c r="L23" s="14"/>
      <c r="M23" s="15" t="s">
        <v>23</v>
      </c>
      <c r="N23" s="16"/>
      <c r="O23" s="16"/>
      <c r="P23" s="16" t="s">
        <v>13</v>
      </c>
      <c r="Q23" s="25" cm="1">
        <f t="array" ref="Q23">MMULT(MMULT(T18:V18,Q4:S6),Q14:Q16)</f>
        <v>4.2601547076217035</v>
      </c>
      <c r="R23" s="14"/>
      <c r="S23" s="14"/>
      <c r="T23" s="14"/>
    </row>
    <row r="24" spans="1:22" x14ac:dyDescent="0.3">
      <c r="A24" s="2">
        <v>44083</v>
      </c>
      <c r="B24" s="1">
        <v>117.32</v>
      </c>
      <c r="C24" s="1">
        <v>3268.61</v>
      </c>
      <c r="D24" s="1">
        <v>273.72000000000003</v>
      </c>
      <c r="E24" s="3"/>
      <c r="F24" s="20">
        <f t="shared" si="1"/>
        <v>3.9111615797420202E-2</v>
      </c>
      <c r="G24" s="20">
        <f t="shared" si="2"/>
        <v>3.7013160189250015E-2</v>
      </c>
      <c r="H24" s="20">
        <f t="shared" si="3"/>
        <v>9.3970023075568808E-3</v>
      </c>
      <c r="I24" s="3"/>
      <c r="L24" s="14"/>
      <c r="M24" s="17" t="s">
        <v>24</v>
      </c>
      <c r="N24" s="14"/>
      <c r="O24" s="14"/>
      <c r="P24" s="14" t="s">
        <v>14</v>
      </c>
      <c r="Q24" s="27" cm="1">
        <f t="array" ref="Q24">MMULT(MMULT(K5:M5,Q4:S6),Q14:Q16)</f>
        <v>5.8446997147716742E-3</v>
      </c>
      <c r="R24" s="14"/>
      <c r="S24" s="14"/>
      <c r="T24" s="14"/>
    </row>
    <row r="25" spans="1:22" x14ac:dyDescent="0.3">
      <c r="A25" s="2">
        <v>44082</v>
      </c>
      <c r="B25" s="1">
        <v>112.82</v>
      </c>
      <c r="C25" s="1">
        <v>3149.84</v>
      </c>
      <c r="D25" s="1">
        <v>271.15989999999999</v>
      </c>
      <c r="E25" s="3"/>
      <c r="F25" s="20">
        <f t="shared" si="1"/>
        <v>-6.9666284119392893E-2</v>
      </c>
      <c r="G25" s="20">
        <f t="shared" si="2"/>
        <v>-4.4939177155283283E-2</v>
      </c>
      <c r="H25" s="20">
        <f t="shared" si="3"/>
        <v>-4.1783694853894708E-2</v>
      </c>
      <c r="I25" s="3"/>
      <c r="L25" s="14"/>
      <c r="M25" s="17" t="s">
        <v>25</v>
      </c>
      <c r="N25" s="14"/>
      <c r="O25" s="14"/>
      <c r="P25" s="14" t="s">
        <v>15</v>
      </c>
      <c r="Q25" s="27" cm="1">
        <f t="array" ref="Q25">MMULT(MMULT(T18:V18,Q4:S6),Q18:Q20)</f>
        <v>3816.8555227687493</v>
      </c>
      <c r="R25" s="14"/>
      <c r="S25" s="14"/>
      <c r="T25" s="14"/>
    </row>
    <row r="26" spans="1:22" ht="15" thickBot="1" x14ac:dyDescent="0.35">
      <c r="A26" s="2">
        <v>44078</v>
      </c>
      <c r="B26" s="1">
        <v>120.96</v>
      </c>
      <c r="C26" s="1">
        <v>3294.62</v>
      </c>
      <c r="D26" s="1">
        <v>282.73</v>
      </c>
      <c r="E26" s="3"/>
      <c r="F26" s="20">
        <f t="shared" si="1"/>
        <v>6.6159446673871847E-4</v>
      </c>
      <c r="G26" s="20">
        <f t="shared" si="2"/>
        <v>-2.2028261328090111E-2</v>
      </c>
      <c r="H26" s="20">
        <f t="shared" si="3"/>
        <v>-2.9243518174172308E-2</v>
      </c>
      <c r="I26" s="3"/>
      <c r="L26" s="14"/>
      <c r="M26" s="18" t="s">
        <v>16</v>
      </c>
      <c r="N26" s="19"/>
      <c r="O26" s="19"/>
      <c r="P26" s="19" t="s">
        <v>2</v>
      </c>
      <c r="Q26" s="30">
        <f>Q24*Q25-Q23*Q23</f>
        <v>4.1594562523798366</v>
      </c>
      <c r="R26" s="14"/>
      <c r="S26" s="14"/>
      <c r="T26" s="14"/>
    </row>
    <row r="27" spans="1:22" x14ac:dyDescent="0.3">
      <c r="A27" s="2">
        <v>44077</v>
      </c>
      <c r="B27" s="1">
        <v>120.88</v>
      </c>
      <c r="C27" s="1">
        <v>3368</v>
      </c>
      <c r="D27" s="1">
        <v>291.12009999999998</v>
      </c>
      <c r="E27" s="3"/>
      <c r="F27" s="20">
        <f t="shared" si="1"/>
        <v>-8.3447788086026042E-2</v>
      </c>
      <c r="G27" s="20">
        <f t="shared" si="2"/>
        <v>-4.7389455096851441E-2</v>
      </c>
      <c r="H27" s="20">
        <f t="shared" si="3"/>
        <v>-3.8345380666089036E-2</v>
      </c>
      <c r="I27" s="3"/>
      <c r="L27" s="14"/>
      <c r="M27" s="15" t="s">
        <v>26</v>
      </c>
      <c r="N27" s="16"/>
      <c r="O27" s="16"/>
      <c r="P27" s="16" t="s">
        <v>17</v>
      </c>
      <c r="Q27" s="47" cm="1">
        <f t="array" ref="Q27:Q29">(Q24*(MMULT(Q4:S6,Q18:Q20))-Q23*(MMULT(Q4:S6,Q14:Q16)))/Q26</f>
        <v>0.52431508379349889</v>
      </c>
      <c r="R27" s="14"/>
      <c r="S27" s="14"/>
      <c r="T27" s="14"/>
    </row>
    <row r="28" spans="1:22" x14ac:dyDescent="0.3">
      <c r="A28" s="2">
        <v>44076</v>
      </c>
      <c r="B28" s="1">
        <v>131.4</v>
      </c>
      <c r="C28" s="1">
        <v>3531.45</v>
      </c>
      <c r="D28" s="1">
        <v>302.5</v>
      </c>
      <c r="E28" s="3"/>
      <c r="F28" s="20">
        <f t="shared" si="1"/>
        <v>-2.0936076084231873E-2</v>
      </c>
      <c r="G28" s="20">
        <f t="shared" si="2"/>
        <v>9.1970431664546437E-3</v>
      </c>
      <c r="H28" s="20">
        <f t="shared" si="3"/>
        <v>2.3615845404847517E-2</v>
      </c>
      <c r="I28" s="3"/>
      <c r="L28" s="14"/>
      <c r="M28" s="17"/>
      <c r="N28" s="14"/>
      <c r="O28" s="14"/>
      <c r="P28" s="14"/>
      <c r="Q28" s="48">
        <v>-1.6819735455625036</v>
      </c>
      <c r="R28" s="14"/>
      <c r="S28" s="14"/>
      <c r="T28" s="14"/>
    </row>
    <row r="29" spans="1:22" ht="15" thickBot="1" x14ac:dyDescent="0.35">
      <c r="A29" s="2">
        <v>44075</v>
      </c>
      <c r="B29" s="1">
        <v>134.18</v>
      </c>
      <c r="C29" s="1">
        <v>3499.12</v>
      </c>
      <c r="D29" s="1">
        <v>295.43990000000002</v>
      </c>
      <c r="E29" s="3"/>
      <c r="F29" s="20">
        <f t="shared" si="1"/>
        <v>3.9059748317788613E-2</v>
      </c>
      <c r="G29" s="20">
        <f t="shared" si="2"/>
        <v>1.3859055105018739E-2</v>
      </c>
      <c r="H29" s="20">
        <f t="shared" si="3"/>
        <v>7.6104620535521602E-3</v>
      </c>
      <c r="I29" s="3"/>
      <c r="L29" s="14"/>
      <c r="M29" s="17"/>
      <c r="N29" s="14"/>
      <c r="O29" s="14"/>
      <c r="P29" s="14"/>
      <c r="Q29" s="49">
        <v>2.157658461769004</v>
      </c>
      <c r="R29" s="14"/>
      <c r="S29" s="64" t="s">
        <v>28</v>
      </c>
      <c r="T29" s="64"/>
    </row>
    <row r="30" spans="1:22" x14ac:dyDescent="0.3">
      <c r="A30" s="2">
        <v>44074</v>
      </c>
      <c r="B30" s="1">
        <v>129.04</v>
      </c>
      <c r="C30" s="1">
        <v>3450.96</v>
      </c>
      <c r="D30" s="1">
        <v>293.2</v>
      </c>
      <c r="E30" s="3"/>
      <c r="F30" s="20">
        <f t="shared" si="1"/>
        <v>3.3349883533481332E-2</v>
      </c>
      <c r="G30" s="20">
        <f t="shared" si="2"/>
        <v>1.4347749907603886E-2</v>
      </c>
      <c r="H30" s="20">
        <f t="shared" si="3"/>
        <v>-1.5673249923726024E-3</v>
      </c>
      <c r="I30" s="3"/>
      <c r="L30" s="14"/>
      <c r="M30" s="17" t="s">
        <v>27</v>
      </c>
      <c r="N30" s="14"/>
      <c r="O30" s="14"/>
      <c r="P30" s="14" t="s">
        <v>18</v>
      </c>
      <c r="Q30" s="47" cm="1">
        <f t="array" ref="Q30:Q32">(-Q23*(MMULT(Q4:S6,Q18:Q20))+Q25*(MMULT(Q4:S6,Q14:Q16)))/Q26</f>
        <v>-98.550606595971516</v>
      </c>
      <c r="R30" s="14"/>
      <c r="S30" s="64"/>
      <c r="T30" s="64"/>
    </row>
    <row r="31" spans="1:22" x14ac:dyDescent="0.3">
      <c r="A31" s="2">
        <v>44071</v>
      </c>
      <c r="B31" s="1">
        <v>124.8075</v>
      </c>
      <c r="C31" s="1">
        <v>3401.8</v>
      </c>
      <c r="D31" s="1">
        <v>293.65989999999999</v>
      </c>
      <c r="E31" s="3"/>
      <c r="F31" s="20">
        <f t="shared" si="1"/>
        <v>-1.6211838189998278E-3</v>
      </c>
      <c r="G31" s="20">
        <f t="shared" si="2"/>
        <v>5.2927167573856904E-4</v>
      </c>
      <c r="H31" s="20">
        <f t="shared" si="3"/>
        <v>1.4991144947505291E-3</v>
      </c>
      <c r="I31" s="3"/>
      <c r="L31" s="14"/>
      <c r="M31" s="17"/>
      <c r="N31" s="14"/>
      <c r="O31" s="14"/>
      <c r="P31" s="14"/>
      <c r="Q31" s="48">
        <v>1837.5278329887001</v>
      </c>
      <c r="R31" s="14"/>
      <c r="S31" s="14"/>
      <c r="T31" s="14"/>
    </row>
    <row r="32" spans="1:22" ht="15" thickBot="1" x14ac:dyDescent="0.35">
      <c r="A32" s="2">
        <v>44070</v>
      </c>
      <c r="B32" s="1">
        <v>125.01</v>
      </c>
      <c r="C32" s="1">
        <v>3400</v>
      </c>
      <c r="D32" s="1">
        <v>293.22000000000003</v>
      </c>
      <c r="E32" s="3"/>
      <c r="F32" s="20">
        <f t="shared" si="1"/>
        <v>-1.2026423861538555E-2</v>
      </c>
      <c r="G32" s="20">
        <f t="shared" si="2"/>
        <v>-1.2233685903273882E-2</v>
      </c>
      <c r="H32" s="20">
        <f t="shared" si="3"/>
        <v>-3.5808095387455441E-2</v>
      </c>
      <c r="I32" s="3"/>
      <c r="L32" s="14"/>
      <c r="M32" s="18"/>
      <c r="N32" s="19"/>
      <c r="O32" s="19"/>
      <c r="P32" s="19"/>
      <c r="Q32" s="49">
        <v>-1738.9772263927287</v>
      </c>
      <c r="R32" s="14"/>
      <c r="S32" s="14"/>
      <c r="T32" s="14"/>
    </row>
    <row r="33" spans="1:20" ht="15" thickBot="1" x14ac:dyDescent="0.35">
      <c r="A33" s="2">
        <v>44069</v>
      </c>
      <c r="B33" s="1">
        <v>126.52249999999999</v>
      </c>
      <c r="C33" s="1">
        <v>3441.85</v>
      </c>
      <c r="D33" s="1">
        <v>303.90989999999999</v>
      </c>
      <c r="E33" s="3"/>
      <c r="F33" s="20">
        <f t="shared" si="1"/>
        <v>1.350740157733734E-2</v>
      </c>
      <c r="G33" s="20">
        <f t="shared" si="2"/>
        <v>2.8097082167917869E-2</v>
      </c>
      <c r="H33" s="20">
        <f t="shared" si="3"/>
        <v>7.9017025111148248E-2</v>
      </c>
      <c r="I33" s="3"/>
      <c r="L33" s="14"/>
      <c r="M33" s="14"/>
      <c r="N33" s="14"/>
      <c r="O33" s="14"/>
      <c r="P33" s="14"/>
      <c r="Q33" s="14"/>
      <c r="R33" s="14"/>
      <c r="S33" s="14"/>
      <c r="T33" s="14"/>
    </row>
    <row r="34" spans="1:20" x14ac:dyDescent="0.3">
      <c r="A34" s="2">
        <v>44068</v>
      </c>
      <c r="B34" s="1">
        <v>124.825</v>
      </c>
      <c r="C34" s="1">
        <v>3346.49</v>
      </c>
      <c r="D34" s="1">
        <v>280.82010000000002</v>
      </c>
      <c r="E34" s="3"/>
      <c r="F34" s="20">
        <f t="shared" si="1"/>
        <v>-8.2375581746164991E-3</v>
      </c>
      <c r="G34" s="20">
        <f t="shared" si="2"/>
        <v>1.1731512150007223E-2</v>
      </c>
      <c r="H34" s="20">
        <f t="shared" si="3"/>
        <v>3.4157718521757169E-2</v>
      </c>
      <c r="I34" s="3"/>
      <c r="L34" s="14"/>
      <c r="M34" s="43" t="s">
        <v>22</v>
      </c>
      <c r="N34" s="44" t="s">
        <v>21</v>
      </c>
      <c r="O34" s="14"/>
      <c r="P34" s="14"/>
      <c r="Q34" s="14"/>
      <c r="R34" s="14"/>
      <c r="S34" s="14"/>
      <c r="T34" s="14"/>
    </row>
    <row r="35" spans="1:20" x14ac:dyDescent="0.3">
      <c r="A35" s="2">
        <v>44067</v>
      </c>
      <c r="B35" s="1">
        <v>125.8575</v>
      </c>
      <c r="C35" s="1">
        <v>3307.46</v>
      </c>
      <c r="D35" s="1">
        <v>271.38990000000001</v>
      </c>
      <c r="E35" s="3"/>
      <c r="F35" s="20">
        <f t="shared" si="1"/>
        <v>1.1889320895639802E-2</v>
      </c>
      <c r="G35" s="20">
        <f t="shared" si="2"/>
        <v>6.8991108245307197E-3</v>
      </c>
      <c r="H35" s="20">
        <f t="shared" si="3"/>
        <v>1.6270421382251488E-2</v>
      </c>
      <c r="I35" s="3"/>
      <c r="L35" s="14"/>
      <c r="M35" s="45" t="s">
        <v>19</v>
      </c>
      <c r="N35" s="46" t="s">
        <v>20</v>
      </c>
      <c r="O35" s="14"/>
      <c r="P35" s="14"/>
      <c r="Q35" s="14"/>
      <c r="R35" s="14"/>
      <c r="S35" s="14"/>
      <c r="T35" s="14"/>
    </row>
    <row r="36" spans="1:20" x14ac:dyDescent="0.3">
      <c r="A36" s="2">
        <v>44064</v>
      </c>
      <c r="B36" s="1">
        <v>124.37</v>
      </c>
      <c r="C36" s="1">
        <v>3284.72</v>
      </c>
      <c r="D36" s="1">
        <v>267.01</v>
      </c>
      <c r="E36" s="3"/>
      <c r="F36" s="20">
        <f t="shared" si="1"/>
        <v>5.0248572148437892E-2</v>
      </c>
      <c r="G36" s="20">
        <f t="shared" si="2"/>
        <v>-3.8437686433464668E-3</v>
      </c>
      <c r="H36" s="20">
        <f t="shared" si="3"/>
        <v>-7.4624427496486822E-3</v>
      </c>
      <c r="I36" s="3"/>
      <c r="L36" s="14"/>
      <c r="M36" s="17">
        <v>0.999</v>
      </c>
      <c r="N36" s="27">
        <f>($Q$25*M36^2-2*$Q$23*M36+$Q$24)/$Q$26</f>
        <v>913.75397493315063</v>
      </c>
      <c r="O36" s="14"/>
      <c r="P36" s="14"/>
      <c r="Q36" s="14"/>
      <c r="R36" s="14"/>
      <c r="S36" s="14"/>
      <c r="T36" s="14"/>
    </row>
    <row r="37" spans="1:20" x14ac:dyDescent="0.3">
      <c r="A37" s="2">
        <v>44063</v>
      </c>
      <c r="B37" s="1">
        <v>118.27500000000001</v>
      </c>
      <c r="C37" s="1">
        <v>3297.37</v>
      </c>
      <c r="D37" s="1">
        <v>269.01</v>
      </c>
      <c r="E37" s="3"/>
      <c r="F37" s="20">
        <f t="shared" si="1"/>
        <v>2.1946966600857144E-2</v>
      </c>
      <c r="G37" s="20">
        <f t="shared" si="2"/>
        <v>1.1250757222496834E-2</v>
      </c>
      <c r="H37" s="20">
        <f t="shared" si="3"/>
        <v>2.4154292397868593E-2</v>
      </c>
      <c r="I37" s="3"/>
      <c r="L37" s="14"/>
      <c r="M37" s="17">
        <v>1</v>
      </c>
      <c r="N37" s="27">
        <f t="shared" ref="N37:N38" si="5">($Q$25*M37^2-2*$Q$23*M37+$Q$24)/$Q$26</f>
        <v>915.58627545950867</v>
      </c>
      <c r="O37" s="14"/>
      <c r="P37" s="14"/>
      <c r="Q37" s="14"/>
      <c r="R37" s="14"/>
      <c r="S37" s="14"/>
      <c r="T37" s="14"/>
    </row>
    <row r="38" spans="1:20" ht="15" thickBot="1" x14ac:dyDescent="0.35">
      <c r="A38" s="2">
        <v>44062</v>
      </c>
      <c r="B38" s="1">
        <v>115.7075</v>
      </c>
      <c r="C38" s="1">
        <v>3260.48</v>
      </c>
      <c r="D38" s="1">
        <v>262.59010000000001</v>
      </c>
      <c r="E38" s="3"/>
      <c r="F38" s="20">
        <f t="shared" si="1"/>
        <v>1.2539457690109346E-3</v>
      </c>
      <c r="G38" s="20">
        <f t="shared" si="2"/>
        <v>-1.5825748636075759E-2</v>
      </c>
      <c r="H38" s="20">
        <f t="shared" si="3"/>
        <v>9.525076625481767E-4</v>
      </c>
      <c r="I38" s="3"/>
      <c r="L38" s="14"/>
      <c r="M38" s="18">
        <v>1.0009999999999999</v>
      </c>
      <c r="N38" s="27">
        <f t="shared" si="5"/>
        <v>917.42041125244521</v>
      </c>
      <c r="O38" s="14"/>
      <c r="P38" s="14"/>
      <c r="Q38" s="14"/>
      <c r="R38" s="14"/>
      <c r="S38" s="14"/>
      <c r="T38" s="14"/>
    </row>
    <row r="39" spans="1:20" x14ac:dyDescent="0.3">
      <c r="A39" s="2">
        <v>44061</v>
      </c>
      <c r="B39" s="1">
        <v>115.5625</v>
      </c>
      <c r="C39" s="1">
        <v>3312.49</v>
      </c>
      <c r="D39" s="1">
        <v>262.34010000000001</v>
      </c>
      <c r="E39" s="3"/>
      <c r="F39" s="20">
        <f t="shared" si="1"/>
        <v>8.2982619819586424E-3</v>
      </c>
      <c r="G39" s="20">
        <f t="shared" si="2"/>
        <v>4.0061401044671471E-2</v>
      </c>
      <c r="H39" s="20">
        <f t="shared" si="3"/>
        <v>4.5088901603198665E-3</v>
      </c>
      <c r="I39" s="3"/>
      <c r="L39" s="14"/>
      <c r="M39" s="14"/>
      <c r="N39" s="14"/>
      <c r="O39" s="14"/>
      <c r="P39" s="14"/>
      <c r="Q39" s="14"/>
      <c r="R39" s="14"/>
      <c r="S39" s="14"/>
      <c r="T39" s="14"/>
    </row>
    <row r="40" spans="1:20" x14ac:dyDescent="0.3">
      <c r="A40" s="2">
        <v>44060</v>
      </c>
      <c r="B40" s="1">
        <v>114.6075</v>
      </c>
      <c r="C40" s="1">
        <v>3182.41</v>
      </c>
      <c r="D40" s="1">
        <v>261.15989999999999</v>
      </c>
      <c r="E40" s="3"/>
      <c r="F40" s="20">
        <f t="shared" si="1"/>
        <v>-2.614209710496362E-3</v>
      </c>
      <c r="G40" s="20">
        <f t="shared" si="2"/>
        <v>1.0865087620060195E-2</v>
      </c>
      <c r="H40" s="20">
        <f t="shared" si="3"/>
        <v>-3.0666162312722154E-4</v>
      </c>
      <c r="I40" s="3"/>
    </row>
    <row r="41" spans="1:20" x14ac:dyDescent="0.3">
      <c r="A41" s="2">
        <v>44057</v>
      </c>
      <c r="B41" s="1">
        <v>114.9075</v>
      </c>
      <c r="C41" s="1">
        <v>3148.02</v>
      </c>
      <c r="D41" s="1">
        <v>261.24</v>
      </c>
      <c r="E41" s="3"/>
      <c r="F41" s="20">
        <f t="shared" si="1"/>
        <v>-8.9162422860878841E-4</v>
      </c>
      <c r="G41" s="20">
        <f t="shared" si="2"/>
        <v>-4.121076550010626E-3</v>
      </c>
      <c r="H41" s="20">
        <f t="shared" si="3"/>
        <v>-2.2964749211048377E-4</v>
      </c>
      <c r="I41" s="3"/>
    </row>
    <row r="42" spans="1:20" x14ac:dyDescent="0.3">
      <c r="A42" s="2">
        <v>44056</v>
      </c>
      <c r="B42" s="1">
        <v>115.01</v>
      </c>
      <c r="C42" s="1">
        <v>3161.02</v>
      </c>
      <c r="D42" s="1">
        <v>261.3</v>
      </c>
      <c r="E42" s="3"/>
      <c r="F42" s="20">
        <f t="shared" si="1"/>
        <v>1.754277073243065E-2</v>
      </c>
      <c r="G42" s="20">
        <f t="shared" si="2"/>
        <v>-3.858769100553148E-4</v>
      </c>
      <c r="H42" s="20">
        <f t="shared" si="3"/>
        <v>5.4110927346576838E-3</v>
      </c>
      <c r="I42" s="3"/>
      <c r="K42" t="s">
        <v>40</v>
      </c>
      <c r="L42" s="59" t="s">
        <v>39</v>
      </c>
      <c r="M42" s="60">
        <f>Q23/Q25</f>
        <v>1.1161425110823647E-3</v>
      </c>
      <c r="N42" s="59"/>
      <c r="O42" s="59"/>
      <c r="P42" s="59"/>
      <c r="Q42" s="59"/>
      <c r="R42" s="59"/>
      <c r="S42" s="59"/>
      <c r="T42">
        <f>(1+M42)^365</f>
        <v>1.5025517535647113</v>
      </c>
    </row>
    <row r="43" spans="1:20" x14ac:dyDescent="0.3">
      <c r="A43" s="2">
        <v>44055</v>
      </c>
      <c r="B43" s="1">
        <v>113.01</v>
      </c>
      <c r="C43" s="1">
        <v>3162.24</v>
      </c>
      <c r="D43" s="1">
        <v>259.88990000000001</v>
      </c>
      <c r="E43" s="3"/>
      <c r="F43" s="20">
        <f t="shared" si="1"/>
        <v>3.2693965694280944E-2</v>
      </c>
      <c r="G43" s="20">
        <f t="shared" si="2"/>
        <v>2.6133531438934432E-2</v>
      </c>
      <c r="H43" s="20">
        <f t="shared" si="3"/>
        <v>1.4573342132293172E-2</v>
      </c>
      <c r="I43" s="3"/>
      <c r="L43" s="59"/>
      <c r="M43" s="59"/>
      <c r="N43" s="59"/>
      <c r="O43" s="59"/>
      <c r="P43" s="59"/>
      <c r="Q43" s="59"/>
      <c r="R43" s="59"/>
      <c r="S43" s="59"/>
    </row>
    <row r="44" spans="1:20" x14ac:dyDescent="0.3">
      <c r="A44" s="2">
        <v>44054</v>
      </c>
      <c r="B44" s="1">
        <v>109.375</v>
      </c>
      <c r="C44" s="1">
        <v>3080.67</v>
      </c>
      <c r="D44" s="1">
        <v>256.12990000000002</v>
      </c>
      <c r="E44" s="3"/>
      <c r="F44" s="20">
        <f t="shared" si="1"/>
        <v>-3.0190170154554181E-2</v>
      </c>
      <c r="G44" s="20">
        <f t="shared" si="2"/>
        <v>-2.16710493885241E-2</v>
      </c>
      <c r="H44" s="20">
        <f t="shared" si="3"/>
        <v>-2.6469294518148334E-2</v>
      </c>
      <c r="I44" s="3"/>
      <c r="L44" s="59" t="s">
        <v>41</v>
      </c>
      <c r="M44" s="60" cm="1">
        <f t="array" ref="M44:M46">MMULT(Q4:S6,Q18:Q20)/Q25</f>
        <v>0.41431856227878089</v>
      </c>
      <c r="N44" s="59"/>
      <c r="O44" s="59"/>
      <c r="P44" s="59"/>
      <c r="Q44" s="59"/>
      <c r="R44" s="59"/>
      <c r="S44" s="59"/>
    </row>
    <row r="45" spans="1:20" x14ac:dyDescent="0.3">
      <c r="A45" s="2">
        <v>44053</v>
      </c>
      <c r="B45" s="1">
        <v>112.7274</v>
      </c>
      <c r="C45" s="1">
        <v>3148.16</v>
      </c>
      <c r="D45" s="1">
        <v>263</v>
      </c>
      <c r="E45" s="3"/>
      <c r="F45" s="20">
        <f t="shared" si="1"/>
        <v>1.4429313264539379E-2</v>
      </c>
      <c r="G45" s="20">
        <f t="shared" si="2"/>
        <v>-6.1118496929146102E-3</v>
      </c>
      <c r="H45" s="20">
        <f t="shared" si="3"/>
        <v>-2.0473020589480757E-2</v>
      </c>
      <c r="I45" s="3"/>
      <c r="L45" s="59"/>
      <c r="M45" s="60">
        <v>0.36896938413324043</v>
      </c>
      <c r="N45" s="59"/>
      <c r="O45" s="59"/>
      <c r="P45" s="59"/>
      <c r="Q45" s="59"/>
      <c r="R45" s="59"/>
      <c r="S45" s="59"/>
    </row>
    <row r="46" spans="1:20" x14ac:dyDescent="0.3">
      <c r="A46" s="2">
        <v>44050</v>
      </c>
      <c r="B46" s="1">
        <v>111.1125</v>
      </c>
      <c r="C46" s="1">
        <v>3167.46</v>
      </c>
      <c r="D46" s="1">
        <v>268.43990000000002</v>
      </c>
      <c r="E46" s="3"/>
      <c r="F46" s="20">
        <f t="shared" si="1"/>
        <v>-2.4799617722604427E-2</v>
      </c>
      <c r="G46" s="20">
        <f t="shared" si="2"/>
        <v>-1.8002945370038003E-2</v>
      </c>
      <c r="H46" s="20">
        <f t="shared" si="3"/>
        <v>1.1841180820315373E-2</v>
      </c>
      <c r="I46" s="3"/>
      <c r="L46" s="59"/>
      <c r="M46" s="60">
        <v>0.21671205358797846</v>
      </c>
      <c r="N46" s="59"/>
      <c r="O46" s="59"/>
      <c r="P46" s="59"/>
      <c r="Q46" s="59"/>
      <c r="R46" s="59"/>
      <c r="S46" s="59"/>
    </row>
    <row r="47" spans="1:20" x14ac:dyDescent="0.3">
      <c r="A47" s="2">
        <v>44049</v>
      </c>
      <c r="B47" s="1">
        <v>113.9025</v>
      </c>
      <c r="C47" s="1">
        <v>3225</v>
      </c>
      <c r="D47" s="1">
        <v>265.27999999999997</v>
      </c>
      <c r="E47" s="3"/>
      <c r="F47" s="20">
        <f t="shared" si="1"/>
        <v>3.4294433033972706E-2</v>
      </c>
      <c r="G47" s="20">
        <f t="shared" si="2"/>
        <v>6.2114995444954206E-3</v>
      </c>
      <c r="H47" s="20">
        <f t="shared" si="3"/>
        <v>6.2851163861241816E-2</v>
      </c>
      <c r="I47" s="3"/>
      <c r="L47" s="59"/>
      <c r="M47" s="59"/>
      <c r="N47" s="59"/>
      <c r="O47" s="59"/>
      <c r="P47" s="59"/>
      <c r="Q47" s="59"/>
      <c r="R47" s="59"/>
      <c r="S47" s="59"/>
    </row>
    <row r="48" spans="1:20" x14ac:dyDescent="0.3">
      <c r="A48" s="2">
        <v>44048</v>
      </c>
      <c r="B48" s="1">
        <v>110.0625</v>
      </c>
      <c r="C48" s="1">
        <v>3205.03</v>
      </c>
      <c r="D48" s="1">
        <v>249.12</v>
      </c>
      <c r="E48" s="3"/>
      <c r="F48" s="20">
        <f t="shared" si="1"/>
        <v>3.6181218430358332E-3</v>
      </c>
      <c r="G48" s="20">
        <f t="shared" si="2"/>
        <v>2.0871331684947609E-2</v>
      </c>
      <c r="H48" s="20">
        <f t="shared" si="3"/>
        <v>-2.84597847169407E-3</v>
      </c>
      <c r="I48" s="3"/>
    </row>
    <row r="49" spans="1:9" x14ac:dyDescent="0.3">
      <c r="A49" s="2">
        <v>44047</v>
      </c>
      <c r="B49" s="1">
        <v>109.66500000000001</v>
      </c>
      <c r="C49" s="1">
        <v>3138.83</v>
      </c>
      <c r="D49" s="1">
        <v>249.83</v>
      </c>
      <c r="E49" s="3"/>
      <c r="F49" s="20">
        <f t="shared" si="1"/>
        <v>6.6559411331492133E-3</v>
      </c>
      <c r="G49" s="20">
        <f t="shared" si="2"/>
        <v>8.6198603705709073E-3</v>
      </c>
      <c r="H49" s="20">
        <f t="shared" si="3"/>
        <v>-8.4896581963459714E-3</v>
      </c>
      <c r="I49" s="3"/>
    </row>
    <row r="50" spans="1:9" x14ac:dyDescent="0.3">
      <c r="A50" s="2">
        <v>44046</v>
      </c>
      <c r="B50" s="1">
        <v>108.9375</v>
      </c>
      <c r="C50" s="1">
        <v>3111.89</v>
      </c>
      <c r="D50" s="1">
        <v>251.96</v>
      </c>
      <c r="E50" s="3"/>
      <c r="F50" s="20">
        <f t="shared" si="1"/>
        <v>2.488540225744253E-2</v>
      </c>
      <c r="G50" s="20">
        <f t="shared" si="2"/>
        <v>-1.682168599169542E-2</v>
      </c>
      <c r="H50" s="20">
        <f t="shared" si="3"/>
        <v>-6.763864957978598E-3</v>
      </c>
      <c r="I50" s="3"/>
    </row>
    <row r="51" spans="1:9" x14ac:dyDescent="0.3">
      <c r="A51" s="2">
        <v>44043</v>
      </c>
      <c r="B51" s="1">
        <v>106.26</v>
      </c>
      <c r="C51" s="1">
        <v>3164.68</v>
      </c>
      <c r="D51" s="1">
        <v>253.67</v>
      </c>
      <c r="E51" s="3"/>
      <c r="F51" s="20">
        <f t="shared" si="1"/>
        <v>9.9563518858273095E-2</v>
      </c>
      <c r="G51" s="20">
        <f t="shared" si="2"/>
        <v>3.629415046988383E-2</v>
      </c>
      <c r="H51" s="20">
        <f t="shared" si="3"/>
        <v>7.8578621825372827E-2</v>
      </c>
      <c r="I51" s="3"/>
    </row>
    <row r="52" spans="1:9" x14ac:dyDescent="0.3">
      <c r="A52" s="2">
        <v>44042</v>
      </c>
      <c r="B52" s="1">
        <v>96.19</v>
      </c>
      <c r="C52" s="1">
        <v>3051.88</v>
      </c>
      <c r="D52" s="1">
        <v>234.5</v>
      </c>
      <c r="E52" s="3"/>
      <c r="F52" s="20">
        <f t="shared" si="1"/>
        <v>1.2027546550189306E-2</v>
      </c>
      <c r="G52" s="20">
        <f t="shared" si="2"/>
        <v>6.0308362517120569E-3</v>
      </c>
      <c r="H52" s="20">
        <f t="shared" si="3"/>
        <v>5.1732730437867181E-3</v>
      </c>
      <c r="I52" s="3"/>
    </row>
    <row r="53" spans="1:9" x14ac:dyDescent="0.3">
      <c r="A53" s="2">
        <v>44041</v>
      </c>
      <c r="B53" s="1">
        <v>95.04</v>
      </c>
      <c r="C53" s="1">
        <v>3033.53</v>
      </c>
      <c r="D53" s="1">
        <v>233.29</v>
      </c>
      <c r="E53" s="3"/>
      <c r="F53" s="20">
        <f t="shared" si="1"/>
        <v>1.8986987798307715E-2</v>
      </c>
      <c r="G53" s="20">
        <f t="shared" si="2"/>
        <v>1.1004675299268098E-2</v>
      </c>
      <c r="H53" s="20">
        <f t="shared" si="3"/>
        <v>1.3681402847454699E-2</v>
      </c>
      <c r="I53" s="3"/>
    </row>
    <row r="54" spans="1:9" x14ac:dyDescent="0.3">
      <c r="A54" s="2">
        <v>44040</v>
      </c>
      <c r="B54" s="1">
        <v>93.252499999999998</v>
      </c>
      <c r="C54" s="1">
        <v>3000.33</v>
      </c>
      <c r="D54" s="1">
        <v>230.12</v>
      </c>
      <c r="E54" s="3"/>
      <c r="F54" s="20">
        <f t="shared" si="1"/>
        <v>-1.6564021113840633E-2</v>
      </c>
      <c r="G54" s="20">
        <f t="shared" si="2"/>
        <v>-1.812604741340295E-2</v>
      </c>
      <c r="H54" s="20">
        <f t="shared" si="3"/>
        <v>-1.4581165113859327E-2</v>
      </c>
      <c r="I54" s="3"/>
    </row>
    <row r="55" spans="1:9" x14ac:dyDescent="0.3">
      <c r="A55" s="2">
        <v>44039</v>
      </c>
      <c r="B55" s="1">
        <v>94.81</v>
      </c>
      <c r="C55" s="1">
        <v>3055.21</v>
      </c>
      <c r="D55" s="1">
        <v>233.5</v>
      </c>
      <c r="E55" s="3"/>
      <c r="F55" s="20">
        <f t="shared" si="1"/>
        <v>2.34237733551814E-2</v>
      </c>
      <c r="G55" s="20">
        <f t="shared" si="2"/>
        <v>1.5270443100561594E-2</v>
      </c>
      <c r="H55" s="20">
        <f t="shared" si="3"/>
        <v>1.2020566531434769E-2</v>
      </c>
      <c r="I55" s="3"/>
    </row>
    <row r="56" spans="1:9" x14ac:dyDescent="0.3">
      <c r="A56" s="2">
        <v>44036</v>
      </c>
      <c r="B56" s="1">
        <v>92.614999999999995</v>
      </c>
      <c r="C56" s="1">
        <v>3008.91</v>
      </c>
      <c r="D56" s="1">
        <v>230.71</v>
      </c>
      <c r="E56" s="3"/>
      <c r="F56" s="20">
        <f t="shared" si="1"/>
        <v>-2.4803204778725985E-3</v>
      </c>
      <c r="G56" s="20">
        <f t="shared" si="2"/>
        <v>7.4590118756245726E-3</v>
      </c>
      <c r="H56" s="20">
        <f t="shared" si="3"/>
        <v>-8.1587295070468611E-3</v>
      </c>
      <c r="I56" s="3"/>
    </row>
    <row r="57" spans="1:9" x14ac:dyDescent="0.3">
      <c r="A57" s="2">
        <v>44035</v>
      </c>
      <c r="B57" s="1">
        <v>92.844999999999999</v>
      </c>
      <c r="C57" s="1">
        <v>2986.55</v>
      </c>
      <c r="D57" s="1">
        <v>232.6</v>
      </c>
      <c r="E57" s="3"/>
      <c r="F57" s="20">
        <f t="shared" si="1"/>
        <v>-4.6584882153694669E-2</v>
      </c>
      <c r="G57" s="20">
        <f t="shared" si="2"/>
        <v>-3.7254203755821634E-2</v>
      </c>
      <c r="H57" s="20">
        <f t="shared" si="3"/>
        <v>-3.0776869836374704E-2</v>
      </c>
      <c r="I57" s="3"/>
    </row>
    <row r="58" spans="1:9" x14ac:dyDescent="0.3">
      <c r="A58" s="2">
        <v>44034</v>
      </c>
      <c r="B58" s="1">
        <v>97.272499999999994</v>
      </c>
      <c r="C58" s="1">
        <v>3099.91</v>
      </c>
      <c r="D58" s="1">
        <v>239.87</v>
      </c>
      <c r="E58" s="3"/>
      <c r="F58" s="20">
        <f t="shared" si="1"/>
        <v>2.8053397028707616E-3</v>
      </c>
      <c r="G58" s="20">
        <f t="shared" si="2"/>
        <v>-1.230498678050157E-2</v>
      </c>
      <c r="H58" s="20">
        <f t="shared" si="3"/>
        <v>-7.8070244124649746E-3</v>
      </c>
      <c r="I58" s="3"/>
    </row>
    <row r="59" spans="1:9" x14ac:dyDescent="0.3">
      <c r="A59" s="2">
        <v>44033</v>
      </c>
      <c r="B59" s="1">
        <v>97</v>
      </c>
      <c r="C59" s="1">
        <v>3138.29</v>
      </c>
      <c r="D59" s="1">
        <v>241.75</v>
      </c>
      <c r="E59" s="3"/>
      <c r="F59" s="20">
        <f t="shared" si="1"/>
        <v>-1.3897821685483569E-2</v>
      </c>
      <c r="G59" s="20">
        <f t="shared" si="2"/>
        <v>-1.8484756314235684E-2</v>
      </c>
      <c r="H59" s="20">
        <f t="shared" si="3"/>
        <v>-1.5066894214998005E-2</v>
      </c>
      <c r="I59" s="3"/>
    </row>
    <row r="60" spans="1:9" x14ac:dyDescent="0.3">
      <c r="A60" s="2">
        <v>44032</v>
      </c>
      <c r="B60" s="1">
        <v>98.357500000000002</v>
      </c>
      <c r="C60" s="1">
        <v>3196.84</v>
      </c>
      <c r="D60" s="1">
        <v>245.42</v>
      </c>
      <c r="E60" s="3"/>
      <c r="F60" s="20">
        <f t="shared" si="1"/>
        <v>2.0854956211207188E-2</v>
      </c>
      <c r="G60" s="20">
        <f t="shared" si="2"/>
        <v>7.6308234403708347E-2</v>
      </c>
      <c r="H60" s="20">
        <f t="shared" si="3"/>
        <v>1.3909343132832834E-2</v>
      </c>
      <c r="I60" s="3"/>
    </row>
    <row r="61" spans="1:9" x14ac:dyDescent="0.3">
      <c r="A61" s="2">
        <v>44029</v>
      </c>
      <c r="B61" s="1">
        <v>96.327500000000001</v>
      </c>
      <c r="C61" s="1">
        <v>2961.97</v>
      </c>
      <c r="D61" s="1">
        <v>242.03</v>
      </c>
      <c r="E61" s="3"/>
      <c r="F61" s="20">
        <f t="shared" si="1"/>
        <v>-2.0222978113292392E-3</v>
      </c>
      <c r="G61" s="20">
        <f t="shared" si="2"/>
        <v>-1.2724367276587762E-2</v>
      </c>
      <c r="H61" s="20">
        <f t="shared" si="3"/>
        <v>4.5552505470882786E-3</v>
      </c>
      <c r="I61" s="3"/>
    </row>
    <row r="62" spans="1:9" x14ac:dyDescent="0.3">
      <c r="A62" s="2">
        <v>44028</v>
      </c>
      <c r="B62" s="1">
        <v>96.522499999999994</v>
      </c>
      <c r="C62" s="1">
        <v>2999.9</v>
      </c>
      <c r="D62" s="1">
        <v>240.93</v>
      </c>
      <c r="E62" s="3"/>
      <c r="F62" s="20">
        <f t="shared" si="1"/>
        <v>-1.2381269890029981E-2</v>
      </c>
      <c r="G62" s="20">
        <f t="shared" si="2"/>
        <v>-2.9856382132251464E-3</v>
      </c>
      <c r="H62" s="20">
        <f t="shared" si="3"/>
        <v>2.7015248865199736E-3</v>
      </c>
      <c r="I62" s="3"/>
    </row>
    <row r="63" spans="1:9" x14ac:dyDescent="0.3">
      <c r="A63" s="2">
        <v>44027</v>
      </c>
      <c r="B63" s="1">
        <v>97.724999999999994</v>
      </c>
      <c r="C63" s="1">
        <v>3008.87</v>
      </c>
      <c r="D63" s="1">
        <v>240.28</v>
      </c>
      <c r="E63" s="3"/>
      <c r="F63" s="20">
        <f t="shared" si="1"/>
        <v>6.853825297220578E-3</v>
      </c>
      <c r="G63" s="20">
        <f t="shared" si="2"/>
        <v>-2.4662862708649407E-2</v>
      </c>
      <c r="H63" s="20">
        <f t="shared" si="3"/>
        <v>2.2916199274797032E-3</v>
      </c>
      <c r="I63" s="3"/>
    </row>
    <row r="64" spans="1:9" x14ac:dyDescent="0.3">
      <c r="A64" s="2">
        <v>44026</v>
      </c>
      <c r="B64" s="1">
        <v>97.057500000000005</v>
      </c>
      <c r="C64" s="1">
        <v>3084</v>
      </c>
      <c r="D64" s="1">
        <v>239.73</v>
      </c>
      <c r="E64" s="3"/>
      <c r="F64" s="20">
        <f t="shared" si="1"/>
        <v>1.6412968747887519E-2</v>
      </c>
      <c r="G64" s="20">
        <f t="shared" si="2"/>
        <v>-6.4641466198892376E-3</v>
      </c>
      <c r="H64" s="20">
        <f t="shared" si="3"/>
        <v>3.0497381229703372E-3</v>
      </c>
      <c r="I64" s="3"/>
    </row>
    <row r="65" spans="1:9" x14ac:dyDescent="0.3">
      <c r="A65" s="2">
        <v>44025</v>
      </c>
      <c r="B65" s="1">
        <v>95.477500000000006</v>
      </c>
      <c r="C65" s="1">
        <v>3104</v>
      </c>
      <c r="D65" s="1">
        <v>239</v>
      </c>
      <c r="E65" s="3"/>
      <c r="F65" s="20">
        <f t="shared" si="1"/>
        <v>-4.6238930853484649E-3</v>
      </c>
      <c r="G65" s="20">
        <f t="shared" si="2"/>
        <v>-3.0459207484708574E-2</v>
      </c>
      <c r="H65" s="20">
        <f t="shared" si="3"/>
        <v>-2.508033209037697E-2</v>
      </c>
      <c r="I65" s="3"/>
    </row>
    <row r="66" spans="1:9" x14ac:dyDescent="0.3">
      <c r="A66" s="2">
        <v>44022</v>
      </c>
      <c r="B66" s="1">
        <v>95.92</v>
      </c>
      <c r="C66" s="1">
        <v>3200</v>
      </c>
      <c r="D66" s="1">
        <v>245.07</v>
      </c>
      <c r="E66" s="3"/>
      <c r="F66" s="20">
        <f t="shared" si="1"/>
        <v>2.4790920957454355E-3</v>
      </c>
      <c r="G66" s="20">
        <f t="shared" si="2"/>
        <v>5.4429108008981998E-3</v>
      </c>
      <c r="H66" s="20">
        <f t="shared" si="3"/>
        <v>2.3285751069608389E-3</v>
      </c>
      <c r="I66" s="3"/>
    </row>
    <row r="67" spans="1:9" x14ac:dyDescent="0.3">
      <c r="A67" s="2">
        <v>44021</v>
      </c>
      <c r="B67" s="1">
        <v>95.682500000000005</v>
      </c>
      <c r="C67" s="1">
        <v>3182.63</v>
      </c>
      <c r="D67" s="1">
        <v>244.5</v>
      </c>
      <c r="E67" s="3"/>
      <c r="F67" s="20">
        <f t="shared" si="1"/>
        <v>3.5597472481012906E-3</v>
      </c>
      <c r="G67" s="20">
        <f t="shared" si="2"/>
        <v>3.2417977333647062E-2</v>
      </c>
      <c r="H67" s="20">
        <f t="shared" si="3"/>
        <v>3.7698782559621911E-3</v>
      </c>
      <c r="I67" s="3"/>
    </row>
    <row r="68" spans="1:9" x14ac:dyDescent="0.3">
      <c r="A68" s="2">
        <v>44020</v>
      </c>
      <c r="B68" s="1">
        <v>95.342500000000001</v>
      </c>
      <c r="C68" s="1">
        <v>3081.11</v>
      </c>
      <c r="D68" s="1">
        <v>243.58</v>
      </c>
      <c r="E68" s="3"/>
      <c r="F68" s="20">
        <f t="shared" si="1"/>
        <v>2.3023057601607385E-2</v>
      </c>
      <c r="G68" s="20">
        <f t="shared" si="2"/>
        <v>2.6637633803004469E-2</v>
      </c>
      <c r="H68" s="20">
        <f t="shared" si="3"/>
        <v>1.1229578826630686E-2</v>
      </c>
      <c r="I68" s="3"/>
    </row>
    <row r="69" spans="1:9" x14ac:dyDescent="0.3">
      <c r="A69" s="2">
        <v>44019</v>
      </c>
      <c r="B69" s="1">
        <v>93.172499999999999</v>
      </c>
      <c r="C69" s="1">
        <v>3000.12</v>
      </c>
      <c r="D69" s="1">
        <v>240.86</v>
      </c>
      <c r="E69" s="3"/>
      <c r="F69" s="20">
        <f t="shared" si="1"/>
        <v>-3.1076725522293748E-3</v>
      </c>
      <c r="G69" s="20">
        <f t="shared" si="2"/>
        <v>-1.8794839678547413E-2</v>
      </c>
      <c r="H69" s="20">
        <f t="shared" si="3"/>
        <v>2.4109418503733028E-3</v>
      </c>
      <c r="I69" s="3"/>
    </row>
    <row r="70" spans="1:9" x14ac:dyDescent="0.3">
      <c r="A70" s="2">
        <v>44018</v>
      </c>
      <c r="B70" s="1">
        <v>93.462500000000006</v>
      </c>
      <c r="C70" s="1">
        <v>3057.04</v>
      </c>
      <c r="D70" s="1">
        <v>240.28</v>
      </c>
      <c r="E70" s="3"/>
      <c r="F70" s="20">
        <f t="shared" ref="F70:F133" si="6">LN(B70/B71)</f>
        <v>2.639862765954477E-2</v>
      </c>
      <c r="G70" s="20">
        <f t="shared" ref="G70:G133" si="7">LN(C70/C71)</f>
        <v>5.6086824581457556E-2</v>
      </c>
      <c r="H70" s="20">
        <f t="shared" ref="H70:H133" si="8">LN(D70/D71)</f>
        <v>2.8965503997753151E-2</v>
      </c>
      <c r="I70" s="3"/>
    </row>
    <row r="71" spans="1:9" x14ac:dyDescent="0.3">
      <c r="A71" s="2">
        <v>44014</v>
      </c>
      <c r="B71" s="1">
        <v>91.027500000000003</v>
      </c>
      <c r="C71" s="1">
        <v>2890.3</v>
      </c>
      <c r="D71" s="1">
        <v>233.42</v>
      </c>
      <c r="E71" s="3"/>
      <c r="F71" s="20">
        <f t="shared" si="6"/>
        <v>0</v>
      </c>
      <c r="G71" s="20">
        <f t="shared" si="7"/>
        <v>4.0214996128872344E-3</v>
      </c>
      <c r="H71" s="20">
        <f t="shared" si="8"/>
        <v>-1.753872164872284E-2</v>
      </c>
      <c r="I71" s="3"/>
    </row>
    <row r="72" spans="1:9" x14ac:dyDescent="0.3">
      <c r="A72" s="2">
        <v>44013</v>
      </c>
      <c r="B72" s="1">
        <v>91.027500000000003</v>
      </c>
      <c r="C72" s="1">
        <v>2878.7</v>
      </c>
      <c r="D72" s="1">
        <v>237.55</v>
      </c>
      <c r="E72" s="3"/>
      <c r="F72" s="20">
        <f t="shared" si="6"/>
        <v>-1.8932384137965272E-3</v>
      </c>
      <c r="G72" s="20">
        <f t="shared" si="7"/>
        <v>4.2535751274831425E-2</v>
      </c>
      <c r="H72" s="20">
        <f t="shared" si="8"/>
        <v>4.511978764374474E-2</v>
      </c>
      <c r="I72" s="3"/>
    </row>
    <row r="73" spans="1:9" x14ac:dyDescent="0.3">
      <c r="A73" s="2">
        <v>44012</v>
      </c>
      <c r="B73" s="1">
        <v>91.2</v>
      </c>
      <c r="C73" s="1">
        <v>2758.82</v>
      </c>
      <c r="D73" s="1">
        <v>227.07</v>
      </c>
      <c r="E73" s="3"/>
      <c r="F73" s="20">
        <f t="shared" si="6"/>
        <v>8.3129659266875273E-3</v>
      </c>
      <c r="G73" s="20">
        <f t="shared" si="7"/>
        <v>2.8844476561360733E-2</v>
      </c>
      <c r="H73" s="20">
        <f t="shared" si="8"/>
        <v>2.8725925944194167E-2</v>
      </c>
      <c r="I73" s="3"/>
    </row>
    <row r="74" spans="1:9" x14ac:dyDescent="0.3">
      <c r="A74" s="2">
        <v>44011</v>
      </c>
      <c r="B74" s="1">
        <v>90.444999999999993</v>
      </c>
      <c r="C74" s="1">
        <v>2680.38</v>
      </c>
      <c r="D74" s="1">
        <v>220.64</v>
      </c>
      <c r="E74" s="3"/>
      <c r="F74" s="20">
        <f t="shared" si="6"/>
        <v>2.2785123479888664E-2</v>
      </c>
      <c r="G74" s="20">
        <f t="shared" si="7"/>
        <v>-4.6489638469759259E-3</v>
      </c>
      <c r="H74" s="20">
        <f t="shared" si="8"/>
        <v>2.0883704560631326E-2</v>
      </c>
      <c r="I74" s="3"/>
    </row>
    <row r="75" spans="1:9" x14ac:dyDescent="0.3">
      <c r="A75" s="2">
        <v>44008</v>
      </c>
      <c r="B75" s="1">
        <v>88.407499999999999</v>
      </c>
      <c r="C75" s="1">
        <v>2692.87</v>
      </c>
      <c r="D75" s="1">
        <v>216.08</v>
      </c>
      <c r="E75" s="3"/>
      <c r="F75" s="20">
        <f t="shared" si="6"/>
        <v>-3.1207732518357401E-2</v>
      </c>
      <c r="G75" s="20">
        <f t="shared" si="7"/>
        <v>-2.2657441529320064E-2</v>
      </c>
      <c r="H75" s="20">
        <f t="shared" si="8"/>
        <v>-8.6826243229959979E-2</v>
      </c>
      <c r="I75" s="3"/>
    </row>
    <row r="76" spans="1:9" x14ac:dyDescent="0.3">
      <c r="A76" s="2">
        <v>44007</v>
      </c>
      <c r="B76" s="1">
        <v>91.21</v>
      </c>
      <c r="C76" s="1">
        <v>2754.58</v>
      </c>
      <c r="D76" s="1">
        <v>235.68</v>
      </c>
      <c r="E76" s="3"/>
      <c r="F76" s="20">
        <f t="shared" si="6"/>
        <v>1.3188217082481208E-2</v>
      </c>
      <c r="G76" s="20">
        <f t="shared" si="7"/>
        <v>7.3529475132480537E-3</v>
      </c>
      <c r="H76" s="20">
        <f t="shared" si="8"/>
        <v>7.0683709235083427E-3</v>
      </c>
      <c r="I76" s="3"/>
    </row>
    <row r="77" spans="1:9" x14ac:dyDescent="0.3">
      <c r="A77" s="2">
        <v>44006</v>
      </c>
      <c r="B77" s="1">
        <v>90.015000000000001</v>
      </c>
      <c r="C77" s="1">
        <v>2734.4</v>
      </c>
      <c r="D77" s="1">
        <v>234.02</v>
      </c>
      <c r="E77" s="3"/>
      <c r="F77" s="20">
        <f t="shared" si="6"/>
        <v>-1.7809689136073188E-2</v>
      </c>
      <c r="G77" s="20">
        <f t="shared" si="7"/>
        <v>-1.0915197270871804E-2</v>
      </c>
      <c r="H77" s="20">
        <f t="shared" si="8"/>
        <v>-3.452238845827213E-2</v>
      </c>
      <c r="I77" s="3"/>
    </row>
    <row r="78" spans="1:9" x14ac:dyDescent="0.3">
      <c r="A78" s="2">
        <v>44005</v>
      </c>
      <c r="B78" s="1">
        <v>91.632499999999993</v>
      </c>
      <c r="C78" s="1">
        <v>2764.41</v>
      </c>
      <c r="D78" s="1">
        <v>242.24</v>
      </c>
      <c r="E78" s="3"/>
      <c r="F78" s="20">
        <f t="shared" si="6"/>
        <v>2.1120167449104374E-2</v>
      </c>
      <c r="G78" s="20">
        <f t="shared" si="7"/>
        <v>1.8469994207653922E-2</v>
      </c>
      <c r="H78" s="20">
        <f t="shared" si="8"/>
        <v>1.2545339627765287E-2</v>
      </c>
      <c r="I78" s="3"/>
    </row>
    <row r="79" spans="1:9" x14ac:dyDescent="0.3">
      <c r="A79" s="2">
        <v>44004</v>
      </c>
      <c r="B79" s="1">
        <v>89.717500000000001</v>
      </c>
      <c r="C79" s="1">
        <v>2713.82</v>
      </c>
      <c r="D79" s="1">
        <v>239.22</v>
      </c>
      <c r="E79" s="3"/>
      <c r="F79" s="20">
        <f t="shared" si="6"/>
        <v>2.5827371603755051E-2</v>
      </c>
      <c r="G79" s="20">
        <f t="shared" si="7"/>
        <v>1.440411778366788E-2</v>
      </c>
      <c r="H79" s="20">
        <f t="shared" si="8"/>
        <v>1.7991260265989625E-3</v>
      </c>
      <c r="I79" s="3"/>
    </row>
    <row r="80" spans="1:9" x14ac:dyDescent="0.3">
      <c r="A80" s="2">
        <v>44001</v>
      </c>
      <c r="B80" s="1">
        <v>87.43</v>
      </c>
      <c r="C80" s="1">
        <v>2675.01</v>
      </c>
      <c r="D80" s="1">
        <v>238.79</v>
      </c>
      <c r="E80" s="3"/>
      <c r="F80" s="20">
        <f t="shared" si="6"/>
        <v>-5.7310015009774829E-3</v>
      </c>
      <c r="G80" s="20">
        <f t="shared" si="7"/>
        <v>7.8927185721442868E-3</v>
      </c>
      <c r="H80" s="20">
        <f t="shared" si="8"/>
        <v>1.200696918102335E-2</v>
      </c>
      <c r="I80" s="3"/>
    </row>
    <row r="81" spans="1:9" x14ac:dyDescent="0.3">
      <c r="A81" s="2">
        <v>44000</v>
      </c>
      <c r="B81" s="1">
        <v>87.932500000000005</v>
      </c>
      <c r="C81" s="1">
        <v>2653.98</v>
      </c>
      <c r="D81" s="1">
        <v>235.94</v>
      </c>
      <c r="E81" s="3"/>
      <c r="F81" s="20">
        <f t="shared" si="6"/>
        <v>3.981118178045245E-4</v>
      </c>
      <c r="G81" s="20">
        <f t="shared" si="7"/>
        <v>4.9103396893316244E-3</v>
      </c>
      <c r="H81" s="20">
        <f t="shared" si="8"/>
        <v>1.7392415354225597E-3</v>
      </c>
      <c r="I81" s="3"/>
    </row>
    <row r="82" spans="1:9" x14ac:dyDescent="0.3">
      <c r="A82" s="2">
        <v>43999</v>
      </c>
      <c r="B82" s="1">
        <v>87.897499999999994</v>
      </c>
      <c r="C82" s="1">
        <v>2640.98</v>
      </c>
      <c r="D82" s="1">
        <v>235.53</v>
      </c>
      <c r="E82" s="3"/>
      <c r="F82" s="20">
        <f t="shared" si="6"/>
        <v>-1.3926985069725745E-3</v>
      </c>
      <c r="G82" s="20">
        <f t="shared" si="7"/>
        <v>9.7827177323296655E-3</v>
      </c>
      <c r="H82" s="20">
        <f t="shared" si="8"/>
        <v>-5.0935949146599347E-4</v>
      </c>
      <c r="I82" s="3"/>
    </row>
    <row r="83" spans="1:9" x14ac:dyDescent="0.3">
      <c r="A83" s="2">
        <v>43998</v>
      </c>
      <c r="B83" s="1">
        <v>88.02</v>
      </c>
      <c r="C83" s="1">
        <v>2615.27</v>
      </c>
      <c r="D83" s="1">
        <v>235.65</v>
      </c>
      <c r="E83" s="3"/>
      <c r="F83" s="20">
        <f t="shared" si="6"/>
        <v>2.6157130280847624E-2</v>
      </c>
      <c r="G83" s="20">
        <f t="shared" si="7"/>
        <v>1.6419185541230837E-2</v>
      </c>
      <c r="H83" s="20">
        <f t="shared" si="8"/>
        <v>1.3457428342328962E-2</v>
      </c>
      <c r="I83" s="3"/>
    </row>
    <row r="84" spans="1:9" x14ac:dyDescent="0.3">
      <c r="A84" s="2">
        <v>43997</v>
      </c>
      <c r="B84" s="1">
        <v>85.747500000000002</v>
      </c>
      <c r="C84" s="1">
        <v>2572.6799999999998</v>
      </c>
      <c r="D84" s="1">
        <v>232.5</v>
      </c>
      <c r="E84" s="3"/>
      <c r="F84" s="20">
        <f t="shared" si="6"/>
        <v>1.2291329444088814E-2</v>
      </c>
      <c r="G84" s="20">
        <f t="shared" si="7"/>
        <v>1.0809648605926373E-2</v>
      </c>
      <c r="H84" s="20">
        <f t="shared" si="8"/>
        <v>1.7003966557958963E-2</v>
      </c>
      <c r="I84" s="3"/>
    </row>
    <row r="85" spans="1:9" x14ac:dyDescent="0.3">
      <c r="A85" s="2">
        <v>43994</v>
      </c>
      <c r="B85" s="1">
        <v>84.7</v>
      </c>
      <c r="C85" s="1">
        <v>2545.02</v>
      </c>
      <c r="D85" s="1">
        <v>228.58</v>
      </c>
      <c r="E85" s="3"/>
      <c r="F85" s="20">
        <f t="shared" si="6"/>
        <v>8.5964661596524723E-3</v>
      </c>
      <c r="G85" s="20">
        <f t="shared" si="7"/>
        <v>-5.0715573000361903E-3</v>
      </c>
      <c r="H85" s="20">
        <f t="shared" si="8"/>
        <v>1.8322403917028759E-2</v>
      </c>
      <c r="I85" s="3"/>
    </row>
    <row r="86" spans="1:9" x14ac:dyDescent="0.3">
      <c r="A86" s="2">
        <v>43993</v>
      </c>
      <c r="B86" s="1">
        <v>83.974999999999994</v>
      </c>
      <c r="C86" s="1">
        <v>2557.96</v>
      </c>
      <c r="D86" s="1">
        <v>224.43</v>
      </c>
      <c r="E86" s="3"/>
      <c r="F86" s="20">
        <f t="shared" si="6"/>
        <v>-4.9201199772319078E-2</v>
      </c>
      <c r="G86" s="20">
        <f t="shared" si="7"/>
        <v>-3.4386846756008234E-2</v>
      </c>
      <c r="H86" s="20">
        <f t="shared" si="8"/>
        <v>-5.3356396648629976E-2</v>
      </c>
      <c r="I86" s="3"/>
    </row>
    <row r="87" spans="1:9" x14ac:dyDescent="0.3">
      <c r="A87" s="2">
        <v>43992</v>
      </c>
      <c r="B87" s="1">
        <v>88.21</v>
      </c>
      <c r="C87" s="1">
        <v>2647.45</v>
      </c>
      <c r="D87" s="1">
        <v>236.73</v>
      </c>
      <c r="E87" s="3"/>
      <c r="F87" s="20">
        <f t="shared" si="6"/>
        <v>2.5402109207143461E-2</v>
      </c>
      <c r="G87" s="20">
        <f t="shared" si="7"/>
        <v>1.7754753007697566E-2</v>
      </c>
      <c r="H87" s="20">
        <f t="shared" si="8"/>
        <v>-8.1615934743991501E-3</v>
      </c>
      <c r="I87" s="3"/>
    </row>
    <row r="88" spans="1:9" x14ac:dyDescent="0.3">
      <c r="A88" s="2">
        <v>43991</v>
      </c>
      <c r="B88" s="1">
        <v>85.997500000000002</v>
      </c>
      <c r="C88" s="1">
        <v>2600.86</v>
      </c>
      <c r="D88" s="1">
        <v>238.67</v>
      </c>
      <c r="E88" s="3"/>
      <c r="F88" s="20">
        <f t="shared" si="6"/>
        <v>3.1089669051109898E-2</v>
      </c>
      <c r="G88" s="20">
        <f t="shared" si="7"/>
        <v>2.9973443378893249E-2</v>
      </c>
      <c r="H88" s="20">
        <f t="shared" si="8"/>
        <v>3.0934029915876148E-2</v>
      </c>
      <c r="I88" s="3"/>
    </row>
    <row r="89" spans="1:9" x14ac:dyDescent="0.3">
      <c r="A89" s="2">
        <v>43990</v>
      </c>
      <c r="B89" s="1">
        <v>83.364999999999995</v>
      </c>
      <c r="C89" s="1">
        <v>2524.06</v>
      </c>
      <c r="D89" s="1">
        <v>231.4</v>
      </c>
      <c r="E89" s="3"/>
      <c r="F89" s="20">
        <f t="shared" si="6"/>
        <v>5.8951085063955527E-3</v>
      </c>
      <c r="G89" s="20">
        <f t="shared" si="7"/>
        <v>1.6401209661200747E-2</v>
      </c>
      <c r="H89" s="20">
        <f t="shared" si="8"/>
        <v>2.7262712430883018E-3</v>
      </c>
      <c r="I89" s="3"/>
    </row>
    <row r="90" spans="1:9" x14ac:dyDescent="0.3">
      <c r="A90" s="2">
        <v>43987</v>
      </c>
      <c r="B90" s="1">
        <v>82.875</v>
      </c>
      <c r="C90" s="1">
        <v>2483</v>
      </c>
      <c r="D90" s="1">
        <v>230.77</v>
      </c>
      <c r="E90" s="3"/>
      <c r="F90" s="20">
        <f t="shared" si="6"/>
        <v>2.8082968742825305E-2</v>
      </c>
      <c r="G90" s="20">
        <f t="shared" si="7"/>
        <v>9.0622838820981801E-3</v>
      </c>
      <c r="H90" s="20">
        <f t="shared" si="8"/>
        <v>1.9604180982838573E-2</v>
      </c>
      <c r="I90" s="3"/>
    </row>
    <row r="91" spans="1:9" x14ac:dyDescent="0.3">
      <c r="A91" s="2">
        <v>43986</v>
      </c>
      <c r="B91" s="1">
        <v>80.58</v>
      </c>
      <c r="C91" s="1">
        <v>2460.6</v>
      </c>
      <c r="D91" s="1">
        <v>226.29</v>
      </c>
      <c r="E91" s="3"/>
      <c r="F91" s="20">
        <f t="shared" si="6"/>
        <v>-8.6495040669705946E-3</v>
      </c>
      <c r="G91" s="20">
        <f t="shared" si="7"/>
        <v>-7.2079680365357201E-3</v>
      </c>
      <c r="H91" s="20">
        <f t="shared" si="8"/>
        <v>-1.6957356709643327E-2</v>
      </c>
      <c r="I91" s="3"/>
    </row>
    <row r="92" spans="1:9" x14ac:dyDescent="0.3">
      <c r="A92" s="2">
        <v>43985</v>
      </c>
      <c r="B92" s="1">
        <v>81.28</v>
      </c>
      <c r="C92" s="1">
        <v>2478.4</v>
      </c>
      <c r="D92" s="1">
        <v>230.16</v>
      </c>
      <c r="E92" s="3"/>
      <c r="F92" s="20">
        <f t="shared" si="6"/>
        <v>5.4899437766020584E-3</v>
      </c>
      <c r="G92" s="20">
        <f t="shared" si="7"/>
        <v>2.4198072326968405E-3</v>
      </c>
      <c r="H92" s="20">
        <f t="shared" si="8"/>
        <v>-1.1061294943653746E-2</v>
      </c>
      <c r="I92" s="3"/>
    </row>
    <row r="93" spans="1:9" x14ac:dyDescent="0.3">
      <c r="A93" s="2">
        <v>43984</v>
      </c>
      <c r="B93" s="1">
        <v>80.834999999999994</v>
      </c>
      <c r="C93" s="1">
        <v>2472.41</v>
      </c>
      <c r="D93" s="1">
        <v>232.72</v>
      </c>
      <c r="E93" s="3"/>
      <c r="F93" s="20">
        <f t="shared" si="6"/>
        <v>4.6188026748352805E-3</v>
      </c>
      <c r="G93" s="20">
        <f t="shared" si="7"/>
        <v>5.5426879409044424E-4</v>
      </c>
      <c r="H93" s="20">
        <f t="shared" si="8"/>
        <v>3.4866488198283304E-3</v>
      </c>
      <c r="I93" s="3"/>
    </row>
    <row r="94" spans="1:9" x14ac:dyDescent="0.3">
      <c r="A94" s="2">
        <v>43983</v>
      </c>
      <c r="B94" s="1">
        <v>80.462500000000006</v>
      </c>
      <c r="C94" s="1">
        <v>2471.04</v>
      </c>
      <c r="D94" s="1">
        <v>231.91</v>
      </c>
      <c r="E94" s="3"/>
      <c r="F94" s="20">
        <f t="shared" si="6"/>
        <v>1.2222912765899315E-2</v>
      </c>
      <c r="G94" s="20">
        <f t="shared" si="7"/>
        <v>1.1670235290912953E-2</v>
      </c>
      <c r="H94" s="20">
        <f t="shared" si="8"/>
        <v>2.9849043141370747E-2</v>
      </c>
      <c r="I94" s="3"/>
    </row>
    <row r="95" spans="1:9" x14ac:dyDescent="0.3">
      <c r="A95" s="2">
        <v>43980</v>
      </c>
      <c r="B95" s="1">
        <v>79.484999999999999</v>
      </c>
      <c r="C95" s="1">
        <v>2442.37</v>
      </c>
      <c r="D95" s="1">
        <v>225.09</v>
      </c>
      <c r="E95" s="3"/>
      <c r="F95" s="20">
        <f t="shared" si="6"/>
        <v>-9.7455170479014295E-4</v>
      </c>
      <c r="G95" s="20">
        <f t="shared" si="7"/>
        <v>1.7041913678172808E-2</v>
      </c>
      <c r="H95" s="20">
        <f t="shared" si="8"/>
        <v>-1.6424373906382417E-3</v>
      </c>
      <c r="I95" s="3"/>
    </row>
    <row r="96" spans="1:9" x14ac:dyDescent="0.3">
      <c r="A96" s="2">
        <v>43979</v>
      </c>
      <c r="B96" s="1">
        <v>79.5625</v>
      </c>
      <c r="C96" s="1">
        <v>2401.1</v>
      </c>
      <c r="D96" s="1">
        <v>225.46</v>
      </c>
      <c r="E96" s="3"/>
      <c r="F96" s="20">
        <f t="shared" si="6"/>
        <v>4.4000252139874237E-4</v>
      </c>
      <c r="G96" s="20">
        <f t="shared" si="7"/>
        <v>-3.8615944517403698E-3</v>
      </c>
      <c r="H96" s="20">
        <f t="shared" si="8"/>
        <v>-1.6190410849094547E-2</v>
      </c>
      <c r="I96" s="3"/>
    </row>
    <row r="97" spans="1:9" x14ac:dyDescent="0.3">
      <c r="A97" s="2">
        <v>43978</v>
      </c>
      <c r="B97" s="1">
        <v>79.527500000000003</v>
      </c>
      <c r="C97" s="1">
        <v>2410.39</v>
      </c>
      <c r="D97" s="1">
        <v>229.14</v>
      </c>
      <c r="E97" s="3"/>
      <c r="F97" s="20">
        <f t="shared" si="6"/>
        <v>4.3475589869739579E-3</v>
      </c>
      <c r="G97" s="20">
        <f t="shared" si="7"/>
        <v>-4.7472798556733179E-3</v>
      </c>
      <c r="H97" s="20">
        <f t="shared" si="8"/>
        <v>-1.3265898798311257E-2</v>
      </c>
      <c r="I97" s="3"/>
    </row>
    <row r="98" spans="1:9" x14ac:dyDescent="0.3">
      <c r="A98" s="2">
        <v>43977</v>
      </c>
      <c r="B98" s="1">
        <v>79.182500000000005</v>
      </c>
      <c r="C98" s="1">
        <v>2421.86</v>
      </c>
      <c r="D98" s="1">
        <v>232.2</v>
      </c>
      <c r="E98" s="3"/>
      <c r="F98" s="20">
        <f t="shared" si="6"/>
        <v>-6.7965398027914452E-3</v>
      </c>
      <c r="G98" s="20">
        <f t="shared" si="7"/>
        <v>-6.1826925687681654E-3</v>
      </c>
      <c r="H98" s="20">
        <f t="shared" si="8"/>
        <v>-1.1603392801882795E-2</v>
      </c>
      <c r="I98" s="3"/>
    </row>
    <row r="99" spans="1:9" x14ac:dyDescent="0.3">
      <c r="A99" s="2">
        <v>43973</v>
      </c>
      <c r="B99" s="1">
        <v>79.722499999999997</v>
      </c>
      <c r="C99" s="1">
        <v>2436.88</v>
      </c>
      <c r="D99" s="1">
        <v>234.91</v>
      </c>
      <c r="E99" s="3"/>
      <c r="F99" s="20">
        <f t="shared" si="6"/>
        <v>6.4177399624085968E-3</v>
      </c>
      <c r="G99" s="20">
        <f t="shared" si="7"/>
        <v>-4.037993700408307E-3</v>
      </c>
      <c r="H99" s="20">
        <f t="shared" si="8"/>
        <v>1.5097863451656464E-2</v>
      </c>
      <c r="I99" s="3"/>
    </row>
    <row r="100" spans="1:9" x14ac:dyDescent="0.3">
      <c r="A100" s="2">
        <v>43972</v>
      </c>
      <c r="B100" s="1">
        <v>79.212500000000006</v>
      </c>
      <c r="C100" s="1">
        <v>2446.7399999999998</v>
      </c>
      <c r="D100" s="1">
        <v>231.39</v>
      </c>
      <c r="E100" s="3"/>
      <c r="F100" s="20">
        <f t="shared" si="6"/>
        <v>-7.4833703522239024E-3</v>
      </c>
      <c r="G100" s="20">
        <f t="shared" si="7"/>
        <v>-2.0709865938363593E-2</v>
      </c>
      <c r="H100" s="20">
        <f t="shared" si="8"/>
        <v>6.1557329807867206E-3</v>
      </c>
      <c r="I100" s="3"/>
    </row>
    <row r="101" spans="1:9" x14ac:dyDescent="0.3">
      <c r="A101" s="2">
        <v>43971</v>
      </c>
      <c r="B101" s="1">
        <v>79.807500000000005</v>
      </c>
      <c r="C101" s="1">
        <v>2497.94</v>
      </c>
      <c r="D101" s="1">
        <v>229.97</v>
      </c>
      <c r="E101" s="3"/>
      <c r="F101" s="20">
        <f t="shared" si="6"/>
        <v>1.9261471238373101E-2</v>
      </c>
      <c r="G101" s="20">
        <f t="shared" si="7"/>
        <v>1.9651874430238726E-2</v>
      </c>
      <c r="H101" s="20">
        <f t="shared" si="8"/>
        <v>5.8604660442820651E-2</v>
      </c>
      <c r="I101" s="3"/>
    </row>
    <row r="102" spans="1:9" x14ac:dyDescent="0.3">
      <c r="A102" s="2">
        <v>43970</v>
      </c>
      <c r="B102" s="1">
        <v>78.284999999999997</v>
      </c>
      <c r="C102" s="1">
        <v>2449.33</v>
      </c>
      <c r="D102" s="1">
        <v>216.88</v>
      </c>
      <c r="E102" s="3"/>
      <c r="F102" s="20">
        <f t="shared" si="6"/>
        <v>-5.7952717521052343E-3</v>
      </c>
      <c r="G102" s="20">
        <f t="shared" si="7"/>
        <v>9.4635406899086453E-3</v>
      </c>
      <c r="H102" s="20">
        <f t="shared" si="8"/>
        <v>1.7160418313959439E-2</v>
      </c>
      <c r="I102" s="3"/>
    </row>
    <row r="103" spans="1:9" x14ac:dyDescent="0.3">
      <c r="A103" s="2">
        <v>43969</v>
      </c>
      <c r="B103" s="1">
        <v>78.739999999999995</v>
      </c>
      <c r="C103" s="1">
        <v>2426.2600000000002</v>
      </c>
      <c r="D103" s="1">
        <v>213.19</v>
      </c>
      <c r="E103" s="3"/>
      <c r="F103" s="20">
        <f t="shared" si="6"/>
        <v>2.3287865648052835E-2</v>
      </c>
      <c r="G103" s="20">
        <f t="shared" si="7"/>
        <v>6.8155200507390651E-3</v>
      </c>
      <c r="H103" s="20">
        <f t="shared" si="8"/>
        <v>1.0894535562308393E-2</v>
      </c>
      <c r="I103" s="3"/>
    </row>
    <row r="104" spans="1:9" x14ac:dyDescent="0.3">
      <c r="A104" s="2">
        <v>43966</v>
      </c>
      <c r="B104" s="1">
        <v>76.927499999999995</v>
      </c>
      <c r="C104" s="1">
        <v>2409.7800000000002</v>
      </c>
      <c r="D104" s="1">
        <v>210.88</v>
      </c>
      <c r="E104" s="3"/>
      <c r="F104" s="20">
        <f t="shared" si="6"/>
        <v>-5.9295434971843638E-3</v>
      </c>
      <c r="G104" s="20">
        <f t="shared" si="7"/>
        <v>8.7233784335364467E-3</v>
      </c>
      <c r="H104" s="20">
        <f t="shared" si="8"/>
        <v>1.9488753949557382E-2</v>
      </c>
      <c r="I104" s="3"/>
    </row>
    <row r="105" spans="1:9" x14ac:dyDescent="0.3">
      <c r="A105" s="2">
        <v>43965</v>
      </c>
      <c r="B105" s="1">
        <v>77.385000000000005</v>
      </c>
      <c r="C105" s="1">
        <v>2388.85</v>
      </c>
      <c r="D105" s="1">
        <v>206.81</v>
      </c>
      <c r="E105" s="3"/>
      <c r="F105" s="20">
        <f t="shared" si="6"/>
        <v>6.1245512981143672E-3</v>
      </c>
      <c r="G105" s="20">
        <f t="shared" si="7"/>
        <v>8.8001459278341503E-3</v>
      </c>
      <c r="H105" s="20">
        <f t="shared" si="8"/>
        <v>8.302832286250077E-3</v>
      </c>
      <c r="I105" s="3"/>
    </row>
    <row r="106" spans="1:9" x14ac:dyDescent="0.3">
      <c r="A106" s="2">
        <v>43964</v>
      </c>
      <c r="B106" s="1">
        <v>76.912499999999994</v>
      </c>
      <c r="C106" s="1">
        <v>2367.92</v>
      </c>
      <c r="D106" s="1">
        <v>205.1</v>
      </c>
      <c r="E106" s="3"/>
      <c r="F106" s="20">
        <f t="shared" si="6"/>
        <v>-1.2147598735679586E-2</v>
      </c>
      <c r="G106" s="20">
        <f t="shared" si="7"/>
        <v>4.6435223451772468E-3</v>
      </c>
      <c r="H106" s="20">
        <f t="shared" si="8"/>
        <v>-2.4085942772619759E-2</v>
      </c>
      <c r="I106" s="3"/>
    </row>
    <row r="107" spans="1:9" x14ac:dyDescent="0.3">
      <c r="A107" s="2">
        <v>43963</v>
      </c>
      <c r="B107" s="1">
        <v>77.852500000000006</v>
      </c>
      <c r="C107" s="1">
        <v>2356.9499999999998</v>
      </c>
      <c r="D107" s="1">
        <v>210.1</v>
      </c>
      <c r="E107" s="3"/>
      <c r="F107" s="20">
        <f t="shared" si="6"/>
        <v>-1.1494012431305609E-2</v>
      </c>
      <c r="G107" s="20">
        <f t="shared" si="7"/>
        <v>-2.1843313310621025E-2</v>
      </c>
      <c r="H107" s="20">
        <f t="shared" si="8"/>
        <v>-1.4553271410036003E-2</v>
      </c>
      <c r="I107" s="3"/>
    </row>
    <row r="108" spans="1:9" x14ac:dyDescent="0.3">
      <c r="A108" s="2">
        <v>43962</v>
      </c>
      <c r="B108" s="1">
        <v>78.752499999999998</v>
      </c>
      <c r="C108" s="1">
        <v>2409</v>
      </c>
      <c r="D108" s="1">
        <v>213.18</v>
      </c>
      <c r="E108" s="3"/>
      <c r="F108" s="20">
        <f t="shared" si="6"/>
        <v>1.5614109722784894E-2</v>
      </c>
      <c r="G108" s="20">
        <f t="shared" si="7"/>
        <v>1.2275114922994934E-2</v>
      </c>
      <c r="H108" s="20">
        <f t="shared" si="8"/>
        <v>3.9010225017105308E-3</v>
      </c>
      <c r="I108" s="3"/>
    </row>
    <row r="109" spans="1:9" x14ac:dyDescent="0.3">
      <c r="A109" s="2">
        <v>43959</v>
      </c>
      <c r="B109" s="1">
        <v>77.532399999999996</v>
      </c>
      <c r="C109" s="1">
        <v>2379.61</v>
      </c>
      <c r="D109" s="1">
        <v>212.35</v>
      </c>
      <c r="E109" s="3"/>
      <c r="F109" s="20">
        <f t="shared" si="6"/>
        <v>2.0818202328575709E-2</v>
      </c>
      <c r="G109" s="20">
        <f t="shared" si="7"/>
        <v>5.0556011977925756E-3</v>
      </c>
      <c r="H109" s="20">
        <f t="shared" si="8"/>
        <v>5.1462543642640341E-3</v>
      </c>
      <c r="I109" s="3"/>
    </row>
    <row r="110" spans="1:9" x14ac:dyDescent="0.3">
      <c r="A110" s="2">
        <v>43958</v>
      </c>
      <c r="B110" s="1">
        <v>75.935000000000002</v>
      </c>
      <c r="C110" s="1">
        <v>2367.61</v>
      </c>
      <c r="D110" s="1">
        <v>211.26</v>
      </c>
      <c r="E110" s="3"/>
      <c r="F110" s="20">
        <f t="shared" si="6"/>
        <v>1.0291799563776667E-2</v>
      </c>
      <c r="G110" s="20">
        <f t="shared" si="7"/>
        <v>6.9296528310032381E-3</v>
      </c>
      <c r="H110" s="20">
        <f t="shared" si="8"/>
        <v>1.3294456400670326E-2</v>
      </c>
      <c r="I110" s="3"/>
    </row>
    <row r="111" spans="1:9" x14ac:dyDescent="0.3">
      <c r="A111" s="2">
        <v>43957</v>
      </c>
      <c r="B111" s="1">
        <v>75.157499999999999</v>
      </c>
      <c r="C111" s="1">
        <v>2351.2600000000002</v>
      </c>
      <c r="D111" s="1">
        <v>208.47</v>
      </c>
      <c r="E111" s="3"/>
      <c r="F111" s="20">
        <f t="shared" si="6"/>
        <v>1.0264387415206463E-2</v>
      </c>
      <c r="G111" s="20">
        <f t="shared" si="7"/>
        <v>1.4332894762789958E-2</v>
      </c>
      <c r="H111" s="20">
        <f t="shared" si="8"/>
        <v>6.7382456424121976E-3</v>
      </c>
      <c r="I111" s="3"/>
    </row>
    <row r="112" spans="1:9" x14ac:dyDescent="0.3">
      <c r="A112" s="2">
        <v>43956</v>
      </c>
      <c r="B112" s="1">
        <v>74.39</v>
      </c>
      <c r="C112" s="1">
        <v>2317.8000000000002</v>
      </c>
      <c r="D112" s="1">
        <v>207.07</v>
      </c>
      <c r="E112" s="3"/>
      <c r="F112" s="20">
        <f t="shared" si="6"/>
        <v>1.4897350265491036E-2</v>
      </c>
      <c r="G112" s="20">
        <f t="shared" si="7"/>
        <v>7.8121800601847248E-4</v>
      </c>
      <c r="H112" s="20">
        <f t="shared" si="8"/>
        <v>8.7794321343652067E-3</v>
      </c>
      <c r="I112" s="3"/>
    </row>
    <row r="113" spans="1:9" x14ac:dyDescent="0.3">
      <c r="A113" s="2">
        <v>43955</v>
      </c>
      <c r="B113" s="1">
        <v>73.290000000000006</v>
      </c>
      <c r="C113" s="1">
        <v>2315.9899999999998</v>
      </c>
      <c r="D113" s="1">
        <v>205.26</v>
      </c>
      <c r="E113" s="3"/>
      <c r="F113" s="20">
        <f t="shared" si="6"/>
        <v>1.4049661741549393E-2</v>
      </c>
      <c r="G113" s="20">
        <f t="shared" si="7"/>
        <v>1.3016178879827771E-2</v>
      </c>
      <c r="H113" s="20">
        <f t="shared" si="8"/>
        <v>1.4674029652564063E-2</v>
      </c>
      <c r="I113" s="3"/>
    </row>
    <row r="114" spans="1:9" x14ac:dyDescent="0.3">
      <c r="A114" s="2">
        <v>43952</v>
      </c>
      <c r="B114" s="1">
        <v>72.267499999999998</v>
      </c>
      <c r="C114" s="1">
        <v>2286.04</v>
      </c>
      <c r="D114" s="1">
        <v>202.27</v>
      </c>
      <c r="E114" s="3"/>
      <c r="F114" s="20">
        <f t="shared" si="6"/>
        <v>-1.6230390423676997E-2</v>
      </c>
      <c r="G114" s="20">
        <f t="shared" si="7"/>
        <v>-7.9015210937988828E-2</v>
      </c>
      <c r="H114" s="20">
        <f t="shared" si="8"/>
        <v>-1.1990904887525737E-2</v>
      </c>
      <c r="I114" s="3"/>
    </row>
    <row r="115" spans="1:9" x14ac:dyDescent="0.3">
      <c r="A115" s="2">
        <v>43951</v>
      </c>
      <c r="B115" s="1">
        <v>73.45</v>
      </c>
      <c r="C115" s="1">
        <v>2474</v>
      </c>
      <c r="D115" s="1">
        <v>204.71</v>
      </c>
      <c r="E115" s="3"/>
      <c r="F115" s="20">
        <f t="shared" si="6"/>
        <v>2.0876723331807501E-2</v>
      </c>
      <c r="G115" s="20">
        <f t="shared" si="7"/>
        <v>4.1803512160002651E-2</v>
      </c>
      <c r="H115" s="20">
        <f t="shared" si="8"/>
        <v>5.2757282227001386E-2</v>
      </c>
      <c r="I115" s="3"/>
    </row>
    <row r="116" spans="1:9" x14ac:dyDescent="0.3">
      <c r="A116" s="2">
        <v>43950</v>
      </c>
      <c r="B116" s="1">
        <v>71.932500000000005</v>
      </c>
      <c r="C116" s="1">
        <v>2372.71</v>
      </c>
      <c r="D116" s="1">
        <v>194.19</v>
      </c>
      <c r="E116" s="3"/>
      <c r="F116" s="20">
        <f t="shared" si="6"/>
        <v>3.2317269148084193E-2</v>
      </c>
      <c r="G116" s="20">
        <f t="shared" si="7"/>
        <v>2.502056146700873E-2</v>
      </c>
      <c r="H116" s="20">
        <f t="shared" si="8"/>
        <v>5.9842832637694181E-2</v>
      </c>
      <c r="I116" s="3"/>
    </row>
    <row r="117" spans="1:9" x14ac:dyDescent="0.3">
      <c r="A117" s="2">
        <v>43949</v>
      </c>
      <c r="B117" s="1">
        <v>69.644999999999996</v>
      </c>
      <c r="C117" s="1">
        <v>2314.08</v>
      </c>
      <c r="D117" s="1">
        <v>182.91</v>
      </c>
      <c r="E117" s="3"/>
      <c r="F117" s="20">
        <f t="shared" si="6"/>
        <v>-1.6342152745077457E-2</v>
      </c>
      <c r="G117" s="20">
        <f t="shared" si="7"/>
        <v>-2.6406201157113767E-2</v>
      </c>
      <c r="H117" s="20">
        <f t="shared" si="8"/>
        <v>-2.4784616822631139E-2</v>
      </c>
      <c r="I117" s="3"/>
    </row>
    <row r="118" spans="1:9" x14ac:dyDescent="0.3">
      <c r="A118" s="2">
        <v>43948</v>
      </c>
      <c r="B118" s="1">
        <v>70.792500000000004</v>
      </c>
      <c r="C118" s="1">
        <v>2376</v>
      </c>
      <c r="D118" s="1">
        <v>187.5</v>
      </c>
      <c r="E118" s="3"/>
      <c r="F118" s="20">
        <f t="shared" si="6"/>
        <v>7.0653904800923651E-4</v>
      </c>
      <c r="G118" s="20">
        <f t="shared" si="7"/>
        <v>-1.4299628142877573E-2</v>
      </c>
      <c r="H118" s="20">
        <f t="shared" si="8"/>
        <v>-1.3613579952280658E-2</v>
      </c>
      <c r="I118" s="3"/>
    </row>
    <row r="119" spans="1:9" x14ac:dyDescent="0.3">
      <c r="A119" s="2">
        <v>43945</v>
      </c>
      <c r="B119" s="1">
        <v>70.742500000000007</v>
      </c>
      <c r="C119" s="1">
        <v>2410.2199999999998</v>
      </c>
      <c r="D119" s="1">
        <v>190.07</v>
      </c>
      <c r="E119" s="3"/>
      <c r="F119" s="20">
        <f t="shared" si="6"/>
        <v>2.8460702331272025E-2</v>
      </c>
      <c r="G119" s="20">
        <f t="shared" si="7"/>
        <v>4.478485218735808E-3</v>
      </c>
      <c r="H119" s="20">
        <f t="shared" si="8"/>
        <v>2.6334144361660969E-2</v>
      </c>
      <c r="I119" s="3"/>
    </row>
    <row r="120" spans="1:9" x14ac:dyDescent="0.3">
      <c r="A120" s="2">
        <v>43944</v>
      </c>
      <c r="B120" s="1">
        <v>68.757499999999993</v>
      </c>
      <c r="C120" s="1">
        <v>2399.4499999999998</v>
      </c>
      <c r="D120" s="1">
        <v>185.13</v>
      </c>
      <c r="E120" s="3"/>
      <c r="F120" s="20">
        <f t="shared" si="6"/>
        <v>-3.8829363104271753E-3</v>
      </c>
      <c r="G120" s="20">
        <f t="shared" si="7"/>
        <v>1.510020419566468E-2</v>
      </c>
      <c r="H120" s="20">
        <f t="shared" si="8"/>
        <v>1.5514314605403291E-2</v>
      </c>
      <c r="I120" s="3"/>
    </row>
    <row r="121" spans="1:9" x14ac:dyDescent="0.3">
      <c r="A121" s="2">
        <v>43943</v>
      </c>
      <c r="B121" s="1">
        <v>69.025000000000006</v>
      </c>
      <c r="C121" s="1">
        <v>2363.4899999999998</v>
      </c>
      <c r="D121" s="1">
        <v>182.28</v>
      </c>
      <c r="E121" s="3"/>
      <c r="F121" s="20">
        <f t="shared" si="6"/>
        <v>2.839649355813148E-2</v>
      </c>
      <c r="G121" s="20">
        <f t="shared" si="7"/>
        <v>1.5078265296401095E-2</v>
      </c>
      <c r="H121" s="20">
        <f t="shared" si="8"/>
        <v>6.5050685041212156E-2</v>
      </c>
      <c r="I121" s="3"/>
    </row>
    <row r="122" spans="1:9" x14ac:dyDescent="0.3">
      <c r="A122" s="2">
        <v>43942</v>
      </c>
      <c r="B122" s="1">
        <v>67.092500000000001</v>
      </c>
      <c r="C122" s="1">
        <v>2328.12</v>
      </c>
      <c r="D122" s="1">
        <v>170.8</v>
      </c>
      <c r="E122" s="3"/>
      <c r="F122" s="20">
        <f t="shared" si="6"/>
        <v>-3.1398141292192448E-2</v>
      </c>
      <c r="G122" s="20">
        <f t="shared" si="7"/>
        <v>-2.7741611664306384E-2</v>
      </c>
      <c r="H122" s="20">
        <f t="shared" si="8"/>
        <v>-4.2637675384449743E-2</v>
      </c>
      <c r="I122" s="3"/>
    </row>
    <row r="123" spans="1:9" x14ac:dyDescent="0.3">
      <c r="A123" s="2">
        <v>43941</v>
      </c>
      <c r="B123" s="1">
        <v>69.232500000000002</v>
      </c>
      <c r="C123" s="1">
        <v>2393.61</v>
      </c>
      <c r="D123" s="1">
        <v>178.24</v>
      </c>
      <c r="E123" s="3"/>
      <c r="F123" s="20">
        <f t="shared" si="6"/>
        <v>-2.0975167352247834E-2</v>
      </c>
      <c r="G123" s="20">
        <f t="shared" si="7"/>
        <v>7.8052491101761696E-3</v>
      </c>
      <c r="H123" s="20">
        <f t="shared" si="8"/>
        <v>-5.5947331790231012E-3</v>
      </c>
      <c r="I123" s="3"/>
    </row>
    <row r="124" spans="1:9" x14ac:dyDescent="0.3">
      <c r="A124" s="2">
        <v>43938</v>
      </c>
      <c r="B124" s="1">
        <v>70.7</v>
      </c>
      <c r="C124" s="1">
        <v>2375</v>
      </c>
      <c r="D124" s="1">
        <v>179.24</v>
      </c>
      <c r="E124" s="3"/>
      <c r="F124" s="20">
        <f t="shared" si="6"/>
        <v>-1.3661558593441493E-2</v>
      </c>
      <c r="G124" s="20">
        <f t="shared" si="7"/>
        <v>-1.3877990501725517E-2</v>
      </c>
      <c r="H124" s="20">
        <f t="shared" si="8"/>
        <v>1.6822248225564315E-2</v>
      </c>
      <c r="I124" s="3"/>
    </row>
    <row r="125" spans="1:9" x14ac:dyDescent="0.3">
      <c r="A125" s="2">
        <v>43937</v>
      </c>
      <c r="B125" s="1">
        <v>71.672499999999999</v>
      </c>
      <c r="C125" s="1">
        <v>2408.19</v>
      </c>
      <c r="D125" s="1">
        <v>176.25</v>
      </c>
      <c r="E125" s="3"/>
      <c r="F125" s="20">
        <f t="shared" si="6"/>
        <v>7.9143150178817567E-3</v>
      </c>
      <c r="G125" s="20">
        <f t="shared" si="7"/>
        <v>4.2632737135267128E-2</v>
      </c>
      <c r="H125" s="20">
        <f t="shared" si="8"/>
        <v>-4.0767849907155027E-3</v>
      </c>
      <c r="I125" s="3"/>
    </row>
    <row r="126" spans="1:9" x14ac:dyDescent="0.3">
      <c r="A126" s="2">
        <v>43936</v>
      </c>
      <c r="B126" s="1">
        <v>71.107500000000002</v>
      </c>
      <c r="C126" s="1">
        <v>2307.6799999999998</v>
      </c>
      <c r="D126" s="1">
        <v>176.97</v>
      </c>
      <c r="E126" s="3"/>
      <c r="F126" s="20">
        <f t="shared" si="6"/>
        <v>-9.1692390156684084E-3</v>
      </c>
      <c r="G126" s="20">
        <f t="shared" si="7"/>
        <v>1.0612166680146555E-2</v>
      </c>
      <c r="H126" s="20">
        <f t="shared" si="8"/>
        <v>-6.7579240127848281E-3</v>
      </c>
      <c r="I126" s="3"/>
    </row>
    <row r="127" spans="1:9" x14ac:dyDescent="0.3">
      <c r="A127" s="2">
        <v>43935</v>
      </c>
      <c r="B127" s="1">
        <v>71.762500000000003</v>
      </c>
      <c r="C127" s="1">
        <v>2283.3200000000002</v>
      </c>
      <c r="D127" s="1">
        <v>178.17</v>
      </c>
      <c r="E127" s="3"/>
      <c r="F127" s="20">
        <f t="shared" si="6"/>
        <v>4.9269289556997879E-2</v>
      </c>
      <c r="G127" s="20">
        <f t="shared" si="7"/>
        <v>5.142422957850671E-2</v>
      </c>
      <c r="H127" s="20">
        <f t="shared" si="8"/>
        <v>1.9152897348883303E-2</v>
      </c>
      <c r="I127" s="3"/>
    </row>
    <row r="128" spans="1:9" x14ac:dyDescent="0.3">
      <c r="A128" s="2">
        <v>43934</v>
      </c>
      <c r="B128" s="1">
        <v>68.3125</v>
      </c>
      <c r="C128" s="1">
        <v>2168.87</v>
      </c>
      <c r="D128" s="1">
        <v>174.79</v>
      </c>
      <c r="E128" s="3"/>
      <c r="F128" s="20">
        <f t="shared" si="6"/>
        <v>1.9437460674790529E-2</v>
      </c>
      <c r="G128" s="20">
        <f t="shared" si="7"/>
        <v>5.9904459962067468E-2</v>
      </c>
      <c r="H128" s="20">
        <f t="shared" si="8"/>
        <v>-2.2858459007355021E-3</v>
      </c>
      <c r="I128" s="3"/>
    </row>
    <row r="129" spans="1:9" x14ac:dyDescent="0.3">
      <c r="A129" s="2">
        <v>43930</v>
      </c>
      <c r="B129" s="1">
        <v>66.997500000000002</v>
      </c>
      <c r="C129" s="1">
        <v>2042.76</v>
      </c>
      <c r="D129" s="1">
        <v>175.19</v>
      </c>
      <c r="E129" s="3"/>
      <c r="F129" s="20">
        <f t="shared" si="6"/>
        <v>7.1902343253867421E-3</v>
      </c>
      <c r="G129" s="20">
        <f t="shared" si="7"/>
        <v>-1.1748120314262327E-4</v>
      </c>
      <c r="H129" s="20">
        <f t="shared" si="8"/>
        <v>5.2078979984893472E-3</v>
      </c>
      <c r="I129" s="3"/>
    </row>
    <row r="130" spans="1:9" x14ac:dyDescent="0.3">
      <c r="A130" s="2">
        <v>43929</v>
      </c>
      <c r="B130" s="1">
        <v>66.517499999999998</v>
      </c>
      <c r="C130" s="1">
        <v>2043</v>
      </c>
      <c r="D130" s="1">
        <v>174.28</v>
      </c>
      <c r="E130" s="3"/>
      <c r="F130" s="20">
        <f t="shared" si="6"/>
        <v>2.5272515357777109E-2</v>
      </c>
      <c r="G130" s="20">
        <f t="shared" si="7"/>
        <v>1.5488890519812445E-2</v>
      </c>
      <c r="H130" s="20">
        <f t="shared" si="8"/>
        <v>3.1770909760139028E-2</v>
      </c>
      <c r="I130" s="3"/>
    </row>
    <row r="131" spans="1:9" x14ac:dyDescent="0.3">
      <c r="A131" s="2">
        <v>43928</v>
      </c>
      <c r="B131" s="1">
        <v>64.857500000000002</v>
      </c>
      <c r="C131" s="1">
        <v>2011.6</v>
      </c>
      <c r="D131" s="1">
        <v>168.83</v>
      </c>
      <c r="E131" s="3"/>
      <c r="F131" s="20">
        <f t="shared" si="6"/>
        <v>-1.164987308758943E-2</v>
      </c>
      <c r="G131" s="20">
        <f t="shared" si="7"/>
        <v>6.9889713519850419E-3</v>
      </c>
      <c r="H131" s="20">
        <f t="shared" si="8"/>
        <v>1.9619027495847027E-2</v>
      </c>
      <c r="I131" s="3"/>
    </row>
    <row r="132" spans="1:9" x14ac:dyDescent="0.3">
      <c r="A132" s="2">
        <v>43927</v>
      </c>
      <c r="B132" s="1">
        <v>65.617500000000007</v>
      </c>
      <c r="C132" s="1">
        <v>1997.59</v>
      </c>
      <c r="D132" s="1">
        <v>165.55</v>
      </c>
      <c r="E132" s="3"/>
      <c r="F132" s="20">
        <f t="shared" si="6"/>
        <v>8.3640056960131812E-2</v>
      </c>
      <c r="G132" s="20">
        <f t="shared" si="7"/>
        <v>4.6625147838735906E-2</v>
      </c>
      <c r="H132" s="20">
        <f t="shared" si="8"/>
        <v>7.115251296213923E-2</v>
      </c>
      <c r="I132" s="3"/>
    </row>
    <row r="133" spans="1:9" x14ac:dyDescent="0.3">
      <c r="A133" s="2">
        <v>43924</v>
      </c>
      <c r="B133" s="1">
        <v>60.352499999999999</v>
      </c>
      <c r="C133" s="1">
        <v>1906.59</v>
      </c>
      <c r="D133" s="1">
        <v>154.18</v>
      </c>
      <c r="E133" s="3"/>
      <c r="F133" s="20">
        <f t="shared" si="6"/>
        <v>-1.4475722608758856E-2</v>
      </c>
      <c r="G133" s="20">
        <f t="shared" si="7"/>
        <v>-6.3993191703306451E-3</v>
      </c>
      <c r="H133" s="20">
        <f t="shared" si="8"/>
        <v>-2.5676091179371884E-2</v>
      </c>
      <c r="I133" s="3"/>
    </row>
    <row r="134" spans="1:9" x14ac:dyDescent="0.3">
      <c r="A134" s="2">
        <v>43923</v>
      </c>
      <c r="B134" s="1">
        <v>61.232500000000002</v>
      </c>
      <c r="C134" s="1">
        <v>1918.83</v>
      </c>
      <c r="D134" s="1">
        <v>158.19</v>
      </c>
      <c r="E134" s="3"/>
      <c r="F134" s="20">
        <f t="shared" ref="F134:F197" si="9">LN(B134/B135)</f>
        <v>1.6549035675227041E-2</v>
      </c>
      <c r="G134" s="20">
        <f t="shared" ref="G134:G197" si="10">LN(C134/C135)</f>
        <v>5.8172973359475267E-3</v>
      </c>
      <c r="H134" s="20">
        <f t="shared" ref="H134:H197" si="11">LN(D134/D135)</f>
        <v>-8.8738428052202896E-3</v>
      </c>
      <c r="I134" s="3"/>
    </row>
    <row r="135" spans="1:9" x14ac:dyDescent="0.3">
      <c r="A135" s="2">
        <v>43922</v>
      </c>
      <c r="B135" s="1">
        <v>60.227499999999999</v>
      </c>
      <c r="C135" s="1">
        <v>1907.7</v>
      </c>
      <c r="D135" s="1">
        <v>159.6</v>
      </c>
      <c r="E135" s="3"/>
      <c r="F135" s="20">
        <f t="shared" si="9"/>
        <v>-5.4051928261692854E-2</v>
      </c>
      <c r="G135" s="20">
        <f t="shared" si="10"/>
        <v>-2.1787444562736753E-2</v>
      </c>
      <c r="H135" s="20">
        <f t="shared" si="11"/>
        <v>-4.412480490893806E-2</v>
      </c>
      <c r="I135" s="3"/>
    </row>
    <row r="136" spans="1:9" x14ac:dyDescent="0.3">
      <c r="A136" s="2">
        <v>43921</v>
      </c>
      <c r="B136" s="1">
        <v>63.572499999999998</v>
      </c>
      <c r="C136" s="1">
        <v>1949.72</v>
      </c>
      <c r="D136" s="1">
        <v>166.8</v>
      </c>
      <c r="E136" s="3"/>
      <c r="F136" s="20">
        <f t="shared" si="9"/>
        <v>-2.042821374327881E-3</v>
      </c>
      <c r="G136" s="20">
        <f t="shared" si="10"/>
        <v>-7.2719788376634648E-3</v>
      </c>
      <c r="H136" s="20">
        <f t="shared" si="11"/>
        <v>5.1089517586628509E-3</v>
      </c>
      <c r="I136" s="3"/>
    </row>
    <row r="137" spans="1:9" x14ac:dyDescent="0.3">
      <c r="A137" s="2">
        <v>43920</v>
      </c>
      <c r="B137" s="1">
        <v>63.702500000000001</v>
      </c>
      <c r="C137" s="1">
        <v>1963.95</v>
      </c>
      <c r="D137" s="1">
        <v>165.95</v>
      </c>
      <c r="E137" s="3"/>
      <c r="F137" s="20">
        <f t="shared" si="9"/>
        <v>2.8138360269649835E-2</v>
      </c>
      <c r="G137" s="20">
        <f t="shared" si="10"/>
        <v>3.3051234993385914E-2</v>
      </c>
      <c r="H137" s="20">
        <f t="shared" si="11"/>
        <v>5.6779207793624491E-2</v>
      </c>
      <c r="I137" s="3"/>
    </row>
    <row r="138" spans="1:9" x14ac:dyDescent="0.3">
      <c r="A138" s="2">
        <v>43917</v>
      </c>
      <c r="B138" s="1">
        <v>61.935000000000002</v>
      </c>
      <c r="C138" s="1">
        <v>1900.1</v>
      </c>
      <c r="D138" s="1">
        <v>156.79</v>
      </c>
      <c r="E138" s="3"/>
      <c r="F138" s="20">
        <f t="shared" si="9"/>
        <v>-4.2283749563910837E-2</v>
      </c>
      <c r="G138" s="20">
        <f t="shared" si="10"/>
        <v>-2.8734285052365686E-2</v>
      </c>
      <c r="H138" s="20">
        <f t="shared" si="11"/>
        <v>-4.0926587557770615E-2</v>
      </c>
      <c r="I138" s="3"/>
    </row>
    <row r="139" spans="1:9" x14ac:dyDescent="0.3">
      <c r="A139" s="2">
        <v>43916</v>
      </c>
      <c r="B139" s="1">
        <v>64.61</v>
      </c>
      <c r="C139" s="1">
        <v>1955.49</v>
      </c>
      <c r="D139" s="1">
        <v>163.34</v>
      </c>
      <c r="E139" s="3"/>
      <c r="F139" s="20">
        <f t="shared" si="9"/>
        <v>5.1285148378484004E-2</v>
      </c>
      <c r="G139" s="20">
        <f t="shared" si="10"/>
        <v>3.6267456437159833E-2</v>
      </c>
      <c r="H139" s="20">
        <f t="shared" si="11"/>
        <v>4.4632662087212088E-2</v>
      </c>
      <c r="I139" s="3"/>
    </row>
    <row r="140" spans="1:9" x14ac:dyDescent="0.3">
      <c r="A140" s="2">
        <v>43915</v>
      </c>
      <c r="B140" s="1">
        <v>61.38</v>
      </c>
      <c r="C140" s="1">
        <v>1885.84</v>
      </c>
      <c r="D140" s="1">
        <v>156.21</v>
      </c>
      <c r="E140" s="3"/>
      <c r="F140" s="20">
        <f t="shared" si="9"/>
        <v>-5.5239783033699009E-3</v>
      </c>
      <c r="G140" s="20">
        <f t="shared" si="10"/>
        <v>-2.836617315696471E-2</v>
      </c>
      <c r="H140" s="20">
        <f t="shared" si="11"/>
        <v>-3.0078877822670231E-2</v>
      </c>
      <c r="I140" s="3"/>
    </row>
    <row r="141" spans="1:9" x14ac:dyDescent="0.3">
      <c r="A141" s="2">
        <v>43914</v>
      </c>
      <c r="B141" s="1">
        <v>61.72</v>
      </c>
      <c r="C141" s="1">
        <v>1940.1</v>
      </c>
      <c r="D141" s="1">
        <v>160.97999999999999</v>
      </c>
      <c r="E141" s="3"/>
      <c r="F141" s="20">
        <f t="shared" si="9"/>
        <v>9.5605913743164753E-2</v>
      </c>
      <c r="G141" s="20">
        <f t="shared" si="10"/>
        <v>1.9397266447589826E-2</v>
      </c>
      <c r="H141" s="20">
        <f t="shared" si="11"/>
        <v>8.3392412391834744E-2</v>
      </c>
      <c r="I141" s="3"/>
    </row>
    <row r="142" spans="1:9" x14ac:dyDescent="0.3">
      <c r="A142" s="2">
        <v>43913</v>
      </c>
      <c r="B142" s="1">
        <v>56.092500000000001</v>
      </c>
      <c r="C142" s="1">
        <v>1902.83</v>
      </c>
      <c r="D142" s="1">
        <v>148.1</v>
      </c>
      <c r="E142" s="3"/>
      <c r="F142" s="20">
        <f t="shared" si="9"/>
        <v>-2.1473014811850877E-2</v>
      </c>
      <c r="G142" s="20">
        <f t="shared" si="10"/>
        <v>3.0272362735871593E-2</v>
      </c>
      <c r="H142" s="20">
        <f t="shared" si="11"/>
        <v>-1.0945950875874459E-2</v>
      </c>
      <c r="I142" s="3"/>
    </row>
    <row r="143" spans="1:9" x14ac:dyDescent="0.3">
      <c r="A143" s="2">
        <v>43910</v>
      </c>
      <c r="B143" s="1">
        <v>57.31</v>
      </c>
      <c r="C143" s="1">
        <v>1846.09</v>
      </c>
      <c r="D143" s="1">
        <v>149.72999999999999</v>
      </c>
      <c r="E143" s="3"/>
      <c r="F143" s="20">
        <f t="shared" si="9"/>
        <v>-6.5590358270655694E-2</v>
      </c>
      <c r="G143" s="20">
        <f t="shared" si="10"/>
        <v>-1.8696446423627236E-2</v>
      </c>
      <c r="H143" s="20">
        <f t="shared" si="11"/>
        <v>-2.2453561677488843E-2</v>
      </c>
      <c r="I143" s="3"/>
    </row>
    <row r="144" spans="1:9" x14ac:dyDescent="0.3">
      <c r="A144" s="2">
        <v>43909</v>
      </c>
      <c r="B144" s="1">
        <v>61.195</v>
      </c>
      <c r="C144" s="1">
        <v>1880.93</v>
      </c>
      <c r="D144" s="1">
        <v>153.13</v>
      </c>
      <c r="E144" s="3"/>
      <c r="F144" s="20">
        <f t="shared" si="9"/>
        <v>-7.6915629981200691E-3</v>
      </c>
      <c r="G144" s="20">
        <f t="shared" si="10"/>
        <v>2.7450368525355873E-2</v>
      </c>
      <c r="H144" s="20">
        <f t="shared" si="11"/>
        <v>4.1126792920246111E-2</v>
      </c>
      <c r="I144" s="3"/>
    </row>
    <row r="145" spans="1:9" x14ac:dyDescent="0.3">
      <c r="A145" s="2">
        <v>43908</v>
      </c>
      <c r="B145" s="1">
        <v>61.667499999999997</v>
      </c>
      <c r="C145" s="1">
        <v>1830</v>
      </c>
      <c r="D145" s="1">
        <v>146.96</v>
      </c>
      <c r="E145" s="3"/>
      <c r="F145" s="20">
        <f t="shared" si="9"/>
        <v>-2.4784564931439157E-2</v>
      </c>
      <c r="G145" s="20">
        <f t="shared" si="10"/>
        <v>1.2183204374530625E-2</v>
      </c>
      <c r="H145" s="20">
        <f t="shared" si="11"/>
        <v>-1.6600691640784794E-2</v>
      </c>
      <c r="I145" s="3"/>
    </row>
    <row r="146" spans="1:9" x14ac:dyDescent="0.3">
      <c r="A146" s="2">
        <v>43907</v>
      </c>
      <c r="B146" s="1">
        <v>63.215000000000003</v>
      </c>
      <c r="C146" s="1">
        <v>1807.84</v>
      </c>
      <c r="D146" s="1">
        <v>149.41999999999999</v>
      </c>
      <c r="E146" s="3"/>
      <c r="F146" s="20">
        <f t="shared" si="9"/>
        <v>4.3030857425516565E-2</v>
      </c>
      <c r="G146" s="20">
        <f t="shared" si="10"/>
        <v>6.7907318649791673E-2</v>
      </c>
      <c r="H146" s="20">
        <f t="shared" si="11"/>
        <v>2.3086020034182551E-2</v>
      </c>
      <c r="I146" s="3"/>
    </row>
    <row r="147" spans="1:9" x14ac:dyDescent="0.3">
      <c r="A147" s="2">
        <v>43906</v>
      </c>
      <c r="B147" s="1">
        <v>60.552500000000002</v>
      </c>
      <c r="C147" s="1">
        <v>1689.15</v>
      </c>
      <c r="D147" s="1">
        <v>146.01</v>
      </c>
      <c r="E147" s="3"/>
      <c r="F147" s="20">
        <f t="shared" si="9"/>
        <v>-0.13770807574023833</v>
      </c>
      <c r="G147" s="20">
        <f t="shared" si="10"/>
        <v>-5.5192971402595152E-2</v>
      </c>
      <c r="H147" s="20">
        <f t="shared" si="11"/>
        <v>-0.15376902844647902</v>
      </c>
      <c r="I147" s="3"/>
    </row>
    <row r="148" spans="1:9" x14ac:dyDescent="0.3">
      <c r="A148" s="2">
        <v>43903</v>
      </c>
      <c r="B148" s="1">
        <v>69.492500000000007</v>
      </c>
      <c r="C148" s="1">
        <v>1785</v>
      </c>
      <c r="D148" s="1">
        <v>170.28</v>
      </c>
      <c r="E148" s="3"/>
      <c r="F148" s="20">
        <f t="shared" si="9"/>
        <v>0.11315745846627409</v>
      </c>
      <c r="G148" s="20">
        <f t="shared" si="10"/>
        <v>6.2644517575902864E-2</v>
      </c>
      <c r="H148" s="20">
        <f t="shared" si="11"/>
        <v>9.7444238233791877E-2</v>
      </c>
      <c r="I148" s="3"/>
    </row>
    <row r="149" spans="1:9" x14ac:dyDescent="0.3">
      <c r="A149" s="2">
        <v>43902</v>
      </c>
      <c r="B149" s="1">
        <v>62.057499999999997</v>
      </c>
      <c r="C149" s="1">
        <v>1676.61</v>
      </c>
      <c r="D149" s="1">
        <v>154.47</v>
      </c>
      <c r="E149" s="3"/>
      <c r="F149" s="20">
        <f t="shared" si="9"/>
        <v>-0.10397777709151899</v>
      </c>
      <c r="G149" s="20">
        <f t="shared" si="10"/>
        <v>-8.2535019299582346E-2</v>
      </c>
      <c r="H149" s="20">
        <f t="shared" si="11"/>
        <v>-9.720930342711992E-2</v>
      </c>
      <c r="I149" s="3"/>
    </row>
    <row r="150" spans="1:9" x14ac:dyDescent="0.3">
      <c r="A150" s="2">
        <v>43901</v>
      </c>
      <c r="B150" s="1">
        <v>68.857500000000002</v>
      </c>
      <c r="C150" s="1">
        <v>1820.86</v>
      </c>
      <c r="D150" s="1">
        <v>170.24</v>
      </c>
      <c r="E150" s="3"/>
      <c r="F150" s="20">
        <f t="shared" si="9"/>
        <v>-3.5347938862949943E-2</v>
      </c>
      <c r="G150" s="20">
        <f t="shared" si="10"/>
        <v>-3.8230411727834403E-2</v>
      </c>
      <c r="H150" s="20">
        <f t="shared" si="11"/>
        <v>-4.5641190586043705E-2</v>
      </c>
      <c r="I150" s="3"/>
    </row>
    <row r="151" spans="1:9" x14ac:dyDescent="0.3">
      <c r="A151" s="2">
        <v>43900</v>
      </c>
      <c r="B151" s="1">
        <v>71.334999999999994</v>
      </c>
      <c r="C151" s="1">
        <v>1891.82</v>
      </c>
      <c r="D151" s="1">
        <v>178.19</v>
      </c>
      <c r="E151" s="3"/>
      <c r="F151" s="20">
        <f t="shared" si="9"/>
        <v>6.954775209669338E-2</v>
      </c>
      <c r="G151" s="20">
        <f t="shared" si="10"/>
        <v>4.9413832301977857E-2</v>
      </c>
      <c r="H151" s="20">
        <f t="shared" si="11"/>
        <v>4.9997469918818351E-2</v>
      </c>
      <c r="I151" s="3"/>
    </row>
    <row r="152" spans="1:9" x14ac:dyDescent="0.3">
      <c r="A152" s="2">
        <v>43899</v>
      </c>
      <c r="B152" s="1">
        <v>66.542400000000001</v>
      </c>
      <c r="C152" s="1">
        <v>1800.61</v>
      </c>
      <c r="D152" s="1">
        <v>169.5</v>
      </c>
      <c r="E152" s="3"/>
      <c r="F152" s="20">
        <f t="shared" si="9"/>
        <v>-8.2396789363337122E-2</v>
      </c>
      <c r="G152" s="20">
        <f t="shared" si="10"/>
        <v>-5.43019095079047E-2</v>
      </c>
      <c r="H152" s="20">
        <f t="shared" si="11"/>
        <v>-6.6141218432746104E-2</v>
      </c>
      <c r="I152" s="3"/>
    </row>
    <row r="153" spans="1:9" x14ac:dyDescent="0.3">
      <c r="A153" s="2">
        <v>43896</v>
      </c>
      <c r="B153" s="1">
        <v>72.257499999999993</v>
      </c>
      <c r="C153" s="1">
        <v>1901.09</v>
      </c>
      <c r="D153" s="1">
        <v>181.09</v>
      </c>
      <c r="E153" s="3"/>
      <c r="F153" s="20">
        <f t="shared" si="9"/>
        <v>-1.3369045239556957E-2</v>
      </c>
      <c r="G153" s="20">
        <f t="shared" si="10"/>
        <v>-1.1994538748502254E-2</v>
      </c>
      <c r="H153" s="20">
        <f t="shared" si="11"/>
        <v>-2.2280176796473438E-2</v>
      </c>
      <c r="I153" s="3"/>
    </row>
    <row r="154" spans="1:9" x14ac:dyDescent="0.3">
      <c r="A154" s="2">
        <v>43895</v>
      </c>
      <c r="B154" s="1">
        <v>73.23</v>
      </c>
      <c r="C154" s="1">
        <v>1924.03</v>
      </c>
      <c r="D154" s="1">
        <v>185.17</v>
      </c>
      <c r="E154" s="3"/>
      <c r="F154" s="20">
        <f t="shared" si="9"/>
        <v>-3.2974817141550067E-2</v>
      </c>
      <c r="G154" s="20">
        <f t="shared" si="10"/>
        <v>-2.6566618598468612E-2</v>
      </c>
      <c r="H154" s="20">
        <f t="shared" si="11"/>
        <v>-3.4970268076404347E-2</v>
      </c>
      <c r="I154" s="3"/>
    </row>
    <row r="155" spans="1:9" x14ac:dyDescent="0.3">
      <c r="A155" s="2">
        <v>43894</v>
      </c>
      <c r="B155" s="1">
        <v>75.685000000000002</v>
      </c>
      <c r="C155" s="1">
        <v>1975.83</v>
      </c>
      <c r="D155" s="1">
        <v>191.76</v>
      </c>
      <c r="E155" s="3"/>
      <c r="F155" s="20">
        <f t="shared" si="9"/>
        <v>4.5341009353339227E-2</v>
      </c>
      <c r="G155" s="20">
        <f t="shared" si="10"/>
        <v>3.4414256850806645E-2</v>
      </c>
      <c r="H155" s="20">
        <f t="shared" si="11"/>
        <v>3.1089489207076208E-2</v>
      </c>
      <c r="I155" s="3"/>
    </row>
    <row r="156" spans="1:9" x14ac:dyDescent="0.3">
      <c r="A156" s="2">
        <v>43893</v>
      </c>
      <c r="B156" s="1">
        <v>72.33</v>
      </c>
      <c r="C156" s="1">
        <v>1908.99</v>
      </c>
      <c r="D156" s="1">
        <v>185.89</v>
      </c>
      <c r="E156" s="3"/>
      <c r="F156" s="20">
        <f t="shared" si="9"/>
        <v>-3.2274577919709828E-2</v>
      </c>
      <c r="G156" s="20">
        <f t="shared" si="10"/>
        <v>-2.3278658371655856E-2</v>
      </c>
      <c r="H156" s="20">
        <f t="shared" si="11"/>
        <v>-5.5201940251991218E-2</v>
      </c>
      <c r="I156" s="3"/>
    </row>
    <row r="157" spans="1:9" x14ac:dyDescent="0.3">
      <c r="A157" s="2">
        <v>43892</v>
      </c>
      <c r="B157" s="1">
        <v>74.702500000000001</v>
      </c>
      <c r="C157" s="1">
        <v>1953.95</v>
      </c>
      <c r="D157" s="1">
        <v>196.44</v>
      </c>
      <c r="E157" s="3"/>
      <c r="F157" s="20">
        <f t="shared" si="9"/>
        <v>8.9018312093753493E-2</v>
      </c>
      <c r="G157" s="20">
        <f t="shared" si="10"/>
        <v>3.6588493798295041E-2</v>
      </c>
      <c r="H157" s="20">
        <f t="shared" si="11"/>
        <v>2.041674374401127E-2</v>
      </c>
      <c r="I157" s="3"/>
    </row>
    <row r="158" spans="1:9" x14ac:dyDescent="0.3">
      <c r="A158" s="2">
        <v>43889</v>
      </c>
      <c r="B158" s="1">
        <v>68.34</v>
      </c>
      <c r="C158" s="1">
        <v>1883.75</v>
      </c>
      <c r="D158" s="1">
        <v>192.47</v>
      </c>
      <c r="E158" s="3"/>
      <c r="F158" s="20">
        <f t="shared" si="9"/>
        <v>-5.8513752400935826E-4</v>
      </c>
      <c r="G158" s="20">
        <f t="shared" si="10"/>
        <v>-2.9192818773949404E-4</v>
      </c>
      <c r="H158" s="20">
        <f t="shared" si="11"/>
        <v>1.4232881151293142E-2</v>
      </c>
      <c r="I158" s="3"/>
    </row>
    <row r="159" spans="1:9" x14ac:dyDescent="0.3">
      <c r="A159" s="2">
        <v>43888</v>
      </c>
      <c r="B159" s="1">
        <v>68.38</v>
      </c>
      <c r="C159" s="1">
        <v>1884.3</v>
      </c>
      <c r="D159" s="1">
        <v>189.75</v>
      </c>
      <c r="E159" s="3"/>
      <c r="F159" s="20">
        <f t="shared" si="9"/>
        <v>-6.7601243584816076E-2</v>
      </c>
      <c r="G159" s="20">
        <f t="shared" si="10"/>
        <v>-4.9333353410966528E-2</v>
      </c>
      <c r="H159" s="20">
        <f t="shared" si="11"/>
        <v>-3.8511025892795633E-2</v>
      </c>
      <c r="I159" s="3"/>
    </row>
    <row r="160" spans="1:9" x14ac:dyDescent="0.3">
      <c r="A160" s="2">
        <v>43887</v>
      </c>
      <c r="B160" s="1">
        <v>73.162400000000005</v>
      </c>
      <c r="C160" s="1">
        <v>1979.59</v>
      </c>
      <c r="D160" s="1">
        <v>197.2</v>
      </c>
      <c r="E160" s="3"/>
      <c r="F160" s="20">
        <f t="shared" si="9"/>
        <v>1.573776957524221E-2</v>
      </c>
      <c r="G160" s="20">
        <f t="shared" si="10"/>
        <v>3.4663132171392766E-3</v>
      </c>
      <c r="H160" s="20">
        <f t="shared" si="11"/>
        <v>2.1829081947810809E-3</v>
      </c>
      <c r="I160" s="3"/>
    </row>
    <row r="161" spans="1:9" x14ac:dyDescent="0.3">
      <c r="A161" s="2">
        <v>43886</v>
      </c>
      <c r="B161" s="1">
        <v>72.02</v>
      </c>
      <c r="C161" s="1">
        <v>1972.74</v>
      </c>
      <c r="D161" s="1">
        <v>196.77</v>
      </c>
      <c r="E161" s="3"/>
      <c r="F161" s="20">
        <f t="shared" si="9"/>
        <v>-3.4459111659633314E-2</v>
      </c>
      <c r="G161" s="20">
        <f t="shared" si="10"/>
        <v>-1.8357986498238575E-2</v>
      </c>
      <c r="H161" s="20">
        <f t="shared" si="11"/>
        <v>-1.9875368084412939E-2</v>
      </c>
      <c r="I161" s="3"/>
    </row>
    <row r="162" spans="1:9" x14ac:dyDescent="0.3">
      <c r="A162" s="2">
        <v>43885</v>
      </c>
      <c r="B162" s="1">
        <v>74.545000000000002</v>
      </c>
      <c r="C162" s="1">
        <v>2009.29</v>
      </c>
      <c r="D162" s="1">
        <v>200.72</v>
      </c>
      <c r="E162" s="3"/>
      <c r="F162" s="20">
        <f t="shared" si="9"/>
        <v>-4.8665591191066455E-2</v>
      </c>
      <c r="G162" s="20">
        <f t="shared" si="10"/>
        <v>-4.2235027540891187E-2</v>
      </c>
      <c r="H162" s="20">
        <f t="shared" si="11"/>
        <v>-4.6053404379283618E-2</v>
      </c>
      <c r="I162" s="3"/>
    </row>
    <row r="163" spans="1:9" x14ac:dyDescent="0.3">
      <c r="A163" s="2">
        <v>43882</v>
      </c>
      <c r="B163" s="1">
        <v>78.262500000000003</v>
      </c>
      <c r="C163" s="1">
        <v>2095.9699999999998</v>
      </c>
      <c r="D163" s="1">
        <v>210.18</v>
      </c>
      <c r="E163" s="3"/>
      <c r="F163" s="20">
        <f t="shared" si="9"/>
        <v>-2.289513442379297E-2</v>
      </c>
      <c r="G163" s="20">
        <f t="shared" si="10"/>
        <v>-2.689221074273403E-2</v>
      </c>
      <c r="H163" s="20">
        <f t="shared" si="11"/>
        <v>-2.071832277114978E-2</v>
      </c>
      <c r="I163" s="3"/>
    </row>
    <row r="164" spans="1:9" x14ac:dyDescent="0.3">
      <c r="A164" s="2">
        <v>43881</v>
      </c>
      <c r="B164" s="1">
        <v>80.075000000000003</v>
      </c>
      <c r="C164" s="1">
        <v>2153.1</v>
      </c>
      <c r="D164" s="1">
        <v>214.58</v>
      </c>
      <c r="E164" s="3"/>
      <c r="F164" s="20">
        <f t="shared" si="9"/>
        <v>-1.0311931356549493E-2</v>
      </c>
      <c r="G164" s="20">
        <f t="shared" si="10"/>
        <v>-7.9198807799913899E-3</v>
      </c>
      <c r="H164" s="20">
        <f t="shared" si="11"/>
        <v>-1.347024325166918E-2</v>
      </c>
      <c r="I164" s="3"/>
    </row>
    <row r="165" spans="1:9" x14ac:dyDescent="0.3">
      <c r="A165" s="2">
        <v>43880</v>
      </c>
      <c r="B165" s="1">
        <v>80.905000000000001</v>
      </c>
      <c r="C165" s="1">
        <v>2170.2199999999998</v>
      </c>
      <c r="D165" s="1">
        <v>217.49</v>
      </c>
      <c r="E165" s="3"/>
      <c r="F165" s="20">
        <f t="shared" si="9"/>
        <v>1.4378885186817483E-2</v>
      </c>
      <c r="G165" s="20">
        <f t="shared" si="10"/>
        <v>6.7269647947939886E-3</v>
      </c>
      <c r="H165" s="20">
        <f t="shared" si="11"/>
        <v>-1.4243380385907502E-3</v>
      </c>
      <c r="I165" s="3"/>
    </row>
    <row r="166" spans="1:9" x14ac:dyDescent="0.3">
      <c r="A166" s="2">
        <v>43879</v>
      </c>
      <c r="B166" s="1">
        <v>79.75</v>
      </c>
      <c r="C166" s="1">
        <v>2155.67</v>
      </c>
      <c r="D166" s="1">
        <v>217.8</v>
      </c>
      <c r="E166" s="3"/>
      <c r="F166" s="20">
        <f t="shared" si="9"/>
        <v>-1.8480221555513314E-2</v>
      </c>
      <c r="G166" s="20">
        <f t="shared" si="10"/>
        <v>9.6958252102178188E-3</v>
      </c>
      <c r="H166" s="20">
        <f t="shared" si="11"/>
        <v>1.6760427526131189E-2</v>
      </c>
      <c r="I166" s="3"/>
    </row>
    <row r="167" spans="1:9" x14ac:dyDescent="0.3">
      <c r="A167" s="2">
        <v>43875</v>
      </c>
      <c r="B167" s="1">
        <v>81.237499999999997</v>
      </c>
      <c r="C167" s="1">
        <v>2134.87</v>
      </c>
      <c r="D167" s="1">
        <v>214.18</v>
      </c>
      <c r="E167" s="3"/>
      <c r="F167" s="20">
        <f t="shared" si="9"/>
        <v>2.4622203195997903E-4</v>
      </c>
      <c r="G167" s="20">
        <f t="shared" si="10"/>
        <v>-7.0016202982250524E-3</v>
      </c>
      <c r="H167" s="20">
        <f t="shared" si="11"/>
        <v>4.8675561799190453E-3</v>
      </c>
      <c r="I167" s="3"/>
    </row>
    <row r="168" spans="1:9" x14ac:dyDescent="0.3">
      <c r="A168" s="2">
        <v>43874</v>
      </c>
      <c r="B168" s="1">
        <v>81.217500000000001</v>
      </c>
      <c r="C168" s="1">
        <v>2149.87</v>
      </c>
      <c r="D168" s="1">
        <v>213.14</v>
      </c>
      <c r="E168" s="3"/>
      <c r="F168" s="20">
        <f t="shared" si="9"/>
        <v>-7.146502420194204E-3</v>
      </c>
      <c r="G168" s="20">
        <f t="shared" si="10"/>
        <v>-4.7008465008701907E-3</v>
      </c>
      <c r="H168" s="20">
        <f t="shared" si="11"/>
        <v>1.122918145172503E-2</v>
      </c>
      <c r="I168" s="3"/>
    </row>
    <row r="169" spans="1:9" x14ac:dyDescent="0.3">
      <c r="A169" s="2">
        <v>43873</v>
      </c>
      <c r="B169" s="1">
        <v>81.8</v>
      </c>
      <c r="C169" s="1">
        <v>2160</v>
      </c>
      <c r="D169" s="1">
        <v>210.76</v>
      </c>
      <c r="E169" s="3"/>
      <c r="F169" s="20">
        <f t="shared" si="9"/>
        <v>2.3470102214577199E-2</v>
      </c>
      <c r="G169" s="20">
        <f t="shared" si="10"/>
        <v>4.2683557426876741E-3</v>
      </c>
      <c r="H169" s="20">
        <f t="shared" si="11"/>
        <v>1.7083798668693816E-2</v>
      </c>
      <c r="I169" s="3"/>
    </row>
    <row r="170" spans="1:9" x14ac:dyDescent="0.3">
      <c r="A170" s="2">
        <v>43872</v>
      </c>
      <c r="B170" s="1">
        <v>79.902500000000003</v>
      </c>
      <c r="C170" s="1">
        <v>2150.8000000000002</v>
      </c>
      <c r="D170" s="1">
        <v>207.19</v>
      </c>
      <c r="E170" s="3"/>
      <c r="F170" s="20">
        <f t="shared" si="9"/>
        <v>-6.0515500668573263E-3</v>
      </c>
      <c r="G170" s="20">
        <f t="shared" si="10"/>
        <v>7.8838882837109336E-3</v>
      </c>
      <c r="H170" s="20">
        <f t="shared" si="11"/>
        <v>-2.7937569510660301E-2</v>
      </c>
      <c r="I170" s="3"/>
    </row>
    <row r="171" spans="1:9" x14ac:dyDescent="0.3">
      <c r="A171" s="2">
        <v>43871</v>
      </c>
      <c r="B171" s="1">
        <v>80.387500000000003</v>
      </c>
      <c r="C171" s="1">
        <v>2133.91</v>
      </c>
      <c r="D171" s="1">
        <v>213.06</v>
      </c>
      <c r="E171" s="3"/>
      <c r="F171" s="20">
        <f t="shared" si="9"/>
        <v>4.7383111813566131E-3</v>
      </c>
      <c r="G171" s="20">
        <f t="shared" si="10"/>
        <v>2.5934297727674048E-2</v>
      </c>
      <c r="H171" s="20">
        <f t="shared" si="11"/>
        <v>3.4321479893490029E-3</v>
      </c>
      <c r="I171" s="3"/>
    </row>
    <row r="172" spans="1:9" x14ac:dyDescent="0.3">
      <c r="A172" s="2">
        <v>43868</v>
      </c>
      <c r="B172" s="1">
        <v>80.007499999999993</v>
      </c>
      <c r="C172" s="1">
        <v>2079.2800000000002</v>
      </c>
      <c r="D172" s="1">
        <v>212.33</v>
      </c>
      <c r="E172" s="3"/>
      <c r="F172" s="20">
        <f t="shared" si="9"/>
        <v>-1.6056386108862043E-2</v>
      </c>
      <c r="G172" s="20">
        <f t="shared" si="10"/>
        <v>1.4069697963134923E-2</v>
      </c>
      <c r="H172" s="20">
        <f t="shared" si="11"/>
        <v>6.9946880011335106E-3</v>
      </c>
      <c r="I172" s="3"/>
    </row>
    <row r="173" spans="1:9" x14ac:dyDescent="0.3">
      <c r="A173" s="2">
        <v>43867</v>
      </c>
      <c r="B173" s="1">
        <v>81.302499999999995</v>
      </c>
      <c r="C173" s="1">
        <v>2050.23</v>
      </c>
      <c r="D173" s="1">
        <v>210.85</v>
      </c>
      <c r="E173" s="3"/>
      <c r="F173" s="20">
        <f t="shared" si="9"/>
        <v>1.162911692068175E-2</v>
      </c>
      <c r="G173" s="20">
        <f t="shared" si="10"/>
        <v>5.0659016434923985E-3</v>
      </c>
      <c r="H173" s="20">
        <f t="shared" si="11"/>
        <v>3.5157770916109323E-3</v>
      </c>
      <c r="I173" s="3"/>
    </row>
    <row r="174" spans="1:9" x14ac:dyDescent="0.3">
      <c r="A174" s="2">
        <v>43866</v>
      </c>
      <c r="B174" s="1">
        <v>80.362499999999997</v>
      </c>
      <c r="C174" s="1">
        <v>2039.87</v>
      </c>
      <c r="D174" s="1">
        <v>210.11</v>
      </c>
      <c r="E174" s="3"/>
      <c r="F174" s="20">
        <f t="shared" si="9"/>
        <v>8.1212378264149867E-3</v>
      </c>
      <c r="G174" s="20">
        <f t="shared" si="10"/>
        <v>-4.7927242472230848E-3</v>
      </c>
      <c r="H174" s="20">
        <f t="shared" si="11"/>
        <v>1.333524034354161E-3</v>
      </c>
      <c r="I174" s="3"/>
    </row>
    <row r="175" spans="1:9" x14ac:dyDescent="0.3">
      <c r="A175" s="2">
        <v>43865</v>
      </c>
      <c r="B175" s="1">
        <v>79.712500000000006</v>
      </c>
      <c r="C175" s="1">
        <v>2049.67</v>
      </c>
      <c r="D175" s="1">
        <v>209.83</v>
      </c>
      <c r="E175" s="3"/>
      <c r="F175" s="20">
        <f t="shared" si="9"/>
        <v>3.2480425288595127E-2</v>
      </c>
      <c r="G175" s="20">
        <f t="shared" si="10"/>
        <v>2.2433825940505216E-2</v>
      </c>
      <c r="H175" s="20">
        <f t="shared" si="11"/>
        <v>2.7246746131660411E-2</v>
      </c>
      <c r="I175" s="3"/>
    </row>
    <row r="176" spans="1:9" x14ac:dyDescent="0.3">
      <c r="A176" s="2">
        <v>43864</v>
      </c>
      <c r="B176" s="1">
        <v>77.165000000000006</v>
      </c>
      <c r="C176" s="1">
        <v>2004.2</v>
      </c>
      <c r="D176" s="1">
        <v>204.19</v>
      </c>
      <c r="E176" s="3"/>
      <c r="F176" s="20">
        <f t="shared" si="9"/>
        <v>-2.7500543077087192E-3</v>
      </c>
      <c r="G176" s="20">
        <f t="shared" si="10"/>
        <v>-2.2527246551119549E-3</v>
      </c>
      <c r="H176" s="20">
        <f t="shared" si="11"/>
        <v>1.1228879372660488E-2</v>
      </c>
      <c r="I176" s="3"/>
    </row>
    <row r="177" spans="1:9" x14ac:dyDescent="0.3">
      <c r="A177" s="2">
        <v>43861</v>
      </c>
      <c r="B177" s="1">
        <v>77.377499999999998</v>
      </c>
      <c r="C177" s="1">
        <v>2008.72</v>
      </c>
      <c r="D177" s="1">
        <v>201.91</v>
      </c>
      <c r="E177" s="3"/>
      <c r="F177" s="20">
        <f t="shared" si="9"/>
        <v>-4.5351798927906729E-2</v>
      </c>
      <c r="G177" s="20">
        <f t="shared" si="10"/>
        <v>7.1195702166750516E-2</v>
      </c>
      <c r="H177" s="20">
        <f t="shared" si="11"/>
        <v>-3.7044873638733884E-2</v>
      </c>
      <c r="I177" s="3"/>
    </row>
    <row r="178" spans="1:9" x14ac:dyDescent="0.3">
      <c r="A178" s="2">
        <v>43860</v>
      </c>
      <c r="B178" s="1">
        <v>80.967500000000001</v>
      </c>
      <c r="C178" s="1">
        <v>1870.68</v>
      </c>
      <c r="D178" s="1">
        <v>209.53</v>
      </c>
      <c r="E178" s="3"/>
      <c r="F178" s="20">
        <f t="shared" si="9"/>
        <v>-1.4501475829272309E-3</v>
      </c>
      <c r="G178" s="20">
        <f t="shared" si="10"/>
        <v>6.801360738806158E-3</v>
      </c>
      <c r="H178" s="20">
        <f t="shared" si="11"/>
        <v>-6.3335702876262917E-2</v>
      </c>
      <c r="I178" s="3"/>
    </row>
    <row r="179" spans="1:9" x14ac:dyDescent="0.3">
      <c r="A179" s="2">
        <v>43859</v>
      </c>
      <c r="B179" s="1">
        <v>81.084999999999994</v>
      </c>
      <c r="C179" s="1">
        <v>1858</v>
      </c>
      <c r="D179" s="1">
        <v>223.23</v>
      </c>
      <c r="E179" s="3"/>
      <c r="F179" s="20">
        <f t="shared" si="9"/>
        <v>2.0716283746587138E-2</v>
      </c>
      <c r="G179" s="20">
        <f t="shared" si="10"/>
        <v>2.5597858369547214E-3</v>
      </c>
      <c r="H179" s="20">
        <f t="shared" si="11"/>
        <v>2.4671334314762244E-2</v>
      </c>
      <c r="I179" s="3"/>
    </row>
    <row r="180" spans="1:9" x14ac:dyDescent="0.3">
      <c r="A180" s="2">
        <v>43858</v>
      </c>
      <c r="B180" s="1">
        <v>79.422499999999999</v>
      </c>
      <c r="C180" s="1">
        <v>1853.25</v>
      </c>
      <c r="D180" s="1">
        <v>217.79</v>
      </c>
      <c r="E180" s="3"/>
      <c r="F180" s="20">
        <f t="shared" si="9"/>
        <v>2.7896613037652646E-2</v>
      </c>
      <c r="G180" s="20">
        <f t="shared" si="10"/>
        <v>1.3532403194143021E-2</v>
      </c>
      <c r="H180" s="20">
        <f t="shared" si="11"/>
        <v>1.3498101672880335E-2</v>
      </c>
      <c r="I180" s="3"/>
    </row>
    <row r="181" spans="1:9" x14ac:dyDescent="0.3">
      <c r="A181" s="2">
        <v>43857</v>
      </c>
      <c r="B181" s="1">
        <v>77.237499999999997</v>
      </c>
      <c r="C181" s="1">
        <v>1828.34</v>
      </c>
      <c r="D181" s="1">
        <v>214.87</v>
      </c>
      <c r="E181" s="3"/>
      <c r="F181" s="20">
        <f t="shared" si="9"/>
        <v>-2.9846299189851485E-2</v>
      </c>
      <c r="G181" s="20">
        <f t="shared" si="10"/>
        <v>-1.8049368307551179E-2</v>
      </c>
      <c r="H181" s="20">
        <f t="shared" si="11"/>
        <v>-1.4186601459103112E-2</v>
      </c>
      <c r="I181" s="3"/>
    </row>
    <row r="182" spans="1:9" x14ac:dyDescent="0.3">
      <c r="A182" s="2">
        <v>43854</v>
      </c>
      <c r="B182" s="1">
        <v>79.577500000000001</v>
      </c>
      <c r="C182" s="1">
        <v>1861.64</v>
      </c>
      <c r="D182" s="1">
        <v>217.94</v>
      </c>
      <c r="E182" s="3"/>
      <c r="F182" s="20">
        <f t="shared" si="9"/>
        <v>-2.8860954249098963E-3</v>
      </c>
      <c r="G182" s="20">
        <f t="shared" si="10"/>
        <v>-1.2247164734578044E-2</v>
      </c>
      <c r="H182" s="20">
        <f t="shared" si="11"/>
        <v>-8.3162462382783721E-3</v>
      </c>
      <c r="I182" s="3"/>
    </row>
    <row r="183" spans="1:9" x14ac:dyDescent="0.3">
      <c r="A183" s="2">
        <v>43853</v>
      </c>
      <c r="B183" s="1">
        <v>79.807500000000005</v>
      </c>
      <c r="C183" s="1">
        <v>1884.58</v>
      </c>
      <c r="D183" s="1">
        <v>219.76</v>
      </c>
      <c r="E183" s="3"/>
      <c r="F183" s="20">
        <f t="shared" si="9"/>
        <v>4.804304846279475E-3</v>
      </c>
      <c r="G183" s="20">
        <f t="shared" si="10"/>
        <v>-1.5270254608295748E-3</v>
      </c>
      <c r="H183" s="20">
        <f t="shared" si="11"/>
        <v>-7.0735762428905972E-3</v>
      </c>
      <c r="I183" s="3"/>
    </row>
    <row r="184" spans="1:9" x14ac:dyDescent="0.3">
      <c r="A184" s="2">
        <v>43852</v>
      </c>
      <c r="B184" s="1">
        <v>79.424999999999997</v>
      </c>
      <c r="C184" s="1">
        <v>1887.46</v>
      </c>
      <c r="D184" s="1">
        <v>221.32</v>
      </c>
      <c r="E184" s="3"/>
      <c r="F184" s="20">
        <f t="shared" si="9"/>
        <v>3.5631551091704003E-3</v>
      </c>
      <c r="G184" s="20">
        <f t="shared" si="10"/>
        <v>-2.4024607661786456E-3</v>
      </c>
      <c r="H184" s="20">
        <f t="shared" si="11"/>
        <v>-5.4205439939581095E-4</v>
      </c>
      <c r="I184" s="3"/>
    </row>
    <row r="185" spans="1:9" x14ac:dyDescent="0.3">
      <c r="A185" s="2">
        <v>43851</v>
      </c>
      <c r="B185" s="1">
        <v>79.142499999999998</v>
      </c>
      <c r="C185" s="1">
        <v>1892</v>
      </c>
      <c r="D185" s="1">
        <v>221.44</v>
      </c>
      <c r="E185" s="3"/>
      <c r="F185" s="20">
        <f t="shared" si="9"/>
        <v>-6.7999632397407039E-3</v>
      </c>
      <c r="G185" s="20">
        <f t="shared" si="10"/>
        <v>1.4523562853409481E-2</v>
      </c>
      <c r="H185" s="20">
        <f t="shared" si="11"/>
        <v>-3.1561413096691257E-3</v>
      </c>
      <c r="I185" s="3"/>
    </row>
    <row r="186" spans="1:9" x14ac:dyDescent="0.3">
      <c r="A186" s="2">
        <v>43847</v>
      </c>
      <c r="B186" s="1">
        <v>79.682500000000005</v>
      </c>
      <c r="C186" s="1">
        <v>1864.72</v>
      </c>
      <c r="D186" s="1">
        <v>222.14</v>
      </c>
      <c r="E186" s="3"/>
      <c r="F186" s="20">
        <f t="shared" si="9"/>
        <v>1.1010095920591972E-2</v>
      </c>
      <c r="G186" s="20">
        <f t="shared" si="10"/>
        <v>-7.0645236176285044E-3</v>
      </c>
      <c r="H186" s="20">
        <f t="shared" si="11"/>
        <v>1.6670049590363307E-3</v>
      </c>
      <c r="I186" s="3"/>
    </row>
    <row r="187" spans="1:9" x14ac:dyDescent="0.3">
      <c r="A187" s="2">
        <v>43846</v>
      </c>
      <c r="B187" s="1">
        <v>78.81</v>
      </c>
      <c r="C187" s="1">
        <v>1877.94</v>
      </c>
      <c r="D187" s="1">
        <v>221.77</v>
      </c>
      <c r="E187" s="3"/>
      <c r="F187" s="20">
        <f t="shared" si="9"/>
        <v>1.2448690877745642E-2</v>
      </c>
      <c r="G187" s="20">
        <f t="shared" si="10"/>
        <v>8.5135114581552651E-3</v>
      </c>
      <c r="H187" s="20">
        <f t="shared" si="11"/>
        <v>2.7996044656018867E-3</v>
      </c>
      <c r="I187" s="3"/>
    </row>
    <row r="188" spans="1:9" x14ac:dyDescent="0.3">
      <c r="A188" s="2">
        <v>43845</v>
      </c>
      <c r="B188" s="1">
        <v>77.834999999999994</v>
      </c>
      <c r="C188" s="1">
        <v>1862.02</v>
      </c>
      <c r="D188" s="1">
        <v>221.15</v>
      </c>
      <c r="E188" s="3"/>
      <c r="F188" s="20">
        <f t="shared" si="9"/>
        <v>-4.2947407444264936E-3</v>
      </c>
      <c r="G188" s="20">
        <f t="shared" si="10"/>
        <v>-3.9770008414340445E-3</v>
      </c>
      <c r="H188" s="20">
        <f t="shared" si="11"/>
        <v>9.4955394187353596E-3</v>
      </c>
      <c r="I188" s="3"/>
    </row>
    <row r="189" spans="1:9" x14ac:dyDescent="0.3">
      <c r="A189" s="2">
        <v>43844</v>
      </c>
      <c r="B189" s="1">
        <v>78.17</v>
      </c>
      <c r="C189" s="1">
        <v>1869.44</v>
      </c>
      <c r="D189" s="1">
        <v>219.06</v>
      </c>
      <c r="E189" s="3"/>
      <c r="F189" s="20">
        <f t="shared" si="9"/>
        <v>-1.3595279598111076E-2</v>
      </c>
      <c r="G189" s="20">
        <f t="shared" si="10"/>
        <v>-1.1625502535087139E-2</v>
      </c>
      <c r="H189" s="20">
        <f t="shared" si="11"/>
        <v>-1.2926229372285459E-2</v>
      </c>
      <c r="I189" s="3"/>
    </row>
    <row r="190" spans="1:9" x14ac:dyDescent="0.3">
      <c r="A190" s="2">
        <v>43843</v>
      </c>
      <c r="B190" s="1">
        <v>79.239999999999995</v>
      </c>
      <c r="C190" s="1">
        <v>1891.3</v>
      </c>
      <c r="D190" s="1">
        <v>221.91</v>
      </c>
      <c r="E190" s="3"/>
      <c r="F190" s="20">
        <f t="shared" si="9"/>
        <v>2.1139335537530484E-2</v>
      </c>
      <c r="G190" s="20">
        <f t="shared" si="10"/>
        <v>4.313206455778912E-3</v>
      </c>
      <c r="H190" s="20">
        <f t="shared" si="11"/>
        <v>1.7501639989650319E-2</v>
      </c>
      <c r="I190" s="3"/>
    </row>
    <row r="191" spans="1:9" x14ac:dyDescent="0.3">
      <c r="A191" s="2">
        <v>43840</v>
      </c>
      <c r="B191" s="1">
        <v>77.582499999999996</v>
      </c>
      <c r="C191" s="1">
        <v>1883.16</v>
      </c>
      <c r="D191" s="1">
        <v>218.06</v>
      </c>
      <c r="E191" s="3"/>
      <c r="F191" s="20">
        <f t="shared" si="9"/>
        <v>2.2582111667585961E-3</v>
      </c>
      <c r="G191" s="20">
        <f t="shared" si="10"/>
        <v>-9.4551482502532626E-3</v>
      </c>
      <c r="H191" s="20">
        <f t="shared" si="11"/>
        <v>-1.1000092776625857E-3</v>
      </c>
      <c r="I191" s="3"/>
    </row>
    <row r="192" spans="1:9" x14ac:dyDescent="0.3">
      <c r="A192" s="2">
        <v>43839</v>
      </c>
      <c r="B192" s="1">
        <v>77.407499999999999</v>
      </c>
      <c r="C192" s="1">
        <v>1901.05</v>
      </c>
      <c r="D192" s="1">
        <v>218.3</v>
      </c>
      <c r="E192" s="3"/>
      <c r="F192" s="20">
        <f t="shared" si="9"/>
        <v>2.1018364551980692E-2</v>
      </c>
      <c r="G192" s="20">
        <f t="shared" si="10"/>
        <v>4.787750839557332E-3</v>
      </c>
      <c r="H192" s="20">
        <f t="shared" si="11"/>
        <v>1.4209502783652156E-2</v>
      </c>
      <c r="I192" s="3"/>
    </row>
    <row r="193" spans="1:9" x14ac:dyDescent="0.3">
      <c r="A193" s="2">
        <v>43838</v>
      </c>
      <c r="B193" s="1">
        <v>75.797499999999999</v>
      </c>
      <c r="C193" s="1">
        <v>1891.97</v>
      </c>
      <c r="D193" s="1">
        <v>215.22</v>
      </c>
      <c r="E193" s="3"/>
      <c r="F193" s="20">
        <f t="shared" si="9"/>
        <v>1.595831599025016E-2</v>
      </c>
      <c r="G193" s="20">
        <f t="shared" si="10"/>
        <v>-7.8392959173160665E-3</v>
      </c>
      <c r="H193" s="20">
        <f t="shared" si="11"/>
        <v>1.0086944589194562E-2</v>
      </c>
      <c r="I193" s="3"/>
    </row>
    <row r="194" spans="1:9" x14ac:dyDescent="0.3">
      <c r="A194" s="2">
        <v>43837</v>
      </c>
      <c r="B194" s="1">
        <v>74.597499999999997</v>
      </c>
      <c r="C194" s="1">
        <v>1906.86</v>
      </c>
      <c r="D194" s="1">
        <v>213.06</v>
      </c>
      <c r="E194" s="3"/>
      <c r="F194" s="20">
        <f t="shared" si="9"/>
        <v>-4.714229964776516E-3</v>
      </c>
      <c r="G194" s="20">
        <f t="shared" si="10"/>
        <v>2.0893821877064908E-3</v>
      </c>
      <c r="H194" s="20">
        <f t="shared" si="11"/>
        <v>2.1613502752039172E-3</v>
      </c>
      <c r="I194" s="3"/>
    </row>
    <row r="195" spans="1:9" x14ac:dyDescent="0.3">
      <c r="A195" s="2">
        <v>43836</v>
      </c>
      <c r="B195" s="1">
        <v>74.95</v>
      </c>
      <c r="C195" s="1">
        <v>1902.88</v>
      </c>
      <c r="D195" s="1">
        <v>212.6</v>
      </c>
      <c r="E195" s="3"/>
      <c r="F195" s="20">
        <f t="shared" si="9"/>
        <v>7.9366824864639061E-3</v>
      </c>
      <c r="G195" s="20">
        <f t="shared" si="10"/>
        <v>1.4775868702425381E-2</v>
      </c>
      <c r="H195" s="20">
        <f t="shared" si="11"/>
        <v>1.8658409162554283E-2</v>
      </c>
      <c r="I195" s="3"/>
    </row>
    <row r="196" spans="1:9" x14ac:dyDescent="0.3">
      <c r="A196" s="2">
        <v>43833</v>
      </c>
      <c r="B196" s="1">
        <v>74.357500000000002</v>
      </c>
      <c r="C196" s="1">
        <v>1874.97</v>
      </c>
      <c r="D196" s="1">
        <v>208.67</v>
      </c>
      <c r="E196" s="3"/>
      <c r="F196" s="20">
        <f t="shared" si="9"/>
        <v>-9.7695581141369284E-3</v>
      </c>
      <c r="G196" s="20">
        <f t="shared" si="10"/>
        <v>-1.221330958338258E-2</v>
      </c>
      <c r="H196" s="20">
        <f t="shared" si="11"/>
        <v>-5.3053057881644822E-3</v>
      </c>
      <c r="I196" s="3"/>
    </row>
    <row r="197" spans="1:9" x14ac:dyDescent="0.3">
      <c r="A197" s="2">
        <v>43832</v>
      </c>
      <c r="B197" s="1">
        <v>75.087500000000006</v>
      </c>
      <c r="C197" s="1">
        <v>1898.01</v>
      </c>
      <c r="D197" s="1">
        <v>209.78</v>
      </c>
      <c r="E197" s="3"/>
      <c r="F197" s="20">
        <f t="shared" si="9"/>
        <v>2.2559879327641991E-2</v>
      </c>
      <c r="G197" s="20">
        <f t="shared" si="10"/>
        <v>2.6788579493115187E-2</v>
      </c>
      <c r="H197" s="20">
        <f t="shared" si="11"/>
        <v>2.1830614200920171E-2</v>
      </c>
      <c r="I197" s="3"/>
    </row>
    <row r="198" spans="1:9" x14ac:dyDescent="0.3">
      <c r="A198" s="2">
        <v>43831</v>
      </c>
      <c r="B198" s="1">
        <v>73.412499999999994</v>
      </c>
      <c r="C198" s="1">
        <v>1847.84</v>
      </c>
      <c r="D198" s="1">
        <v>205.25</v>
      </c>
      <c r="E198" s="3"/>
      <c r="F198" s="20">
        <f t="shared" ref="F198:F261" si="12">LN(B198/B199)</f>
        <v>0</v>
      </c>
      <c r="G198" s="20">
        <f t="shared" ref="G198:G261" si="13">LN(C198/C199)</f>
        <v>0</v>
      </c>
      <c r="H198" s="20">
        <f t="shared" ref="H198:H261" si="14">LN(D198/D199)</f>
        <v>0</v>
      </c>
      <c r="I198" s="3"/>
    </row>
    <row r="199" spans="1:9" x14ac:dyDescent="0.3">
      <c r="A199" s="2">
        <v>43830</v>
      </c>
      <c r="B199" s="1">
        <v>73.412499999999994</v>
      </c>
      <c r="C199" s="1">
        <v>1847.84</v>
      </c>
      <c r="D199" s="1">
        <v>205.25</v>
      </c>
      <c r="E199" s="3"/>
      <c r="F199" s="20">
        <f t="shared" si="12"/>
        <v>7.2799678969350549E-3</v>
      </c>
      <c r="G199" s="20">
        <f t="shared" si="13"/>
        <v>5.1424597788499984E-4</v>
      </c>
      <c r="H199" s="20">
        <f t="shared" si="14"/>
        <v>4.1009675206517176E-3</v>
      </c>
      <c r="I199" s="3"/>
    </row>
    <row r="200" spans="1:9" x14ac:dyDescent="0.3">
      <c r="A200" s="2">
        <v>43829</v>
      </c>
      <c r="B200" s="1">
        <v>72.88</v>
      </c>
      <c r="C200" s="1">
        <v>1846.89</v>
      </c>
      <c r="D200" s="1">
        <v>204.41</v>
      </c>
      <c r="E200" s="3"/>
      <c r="F200" s="20">
        <f t="shared" si="12"/>
        <v>5.9175841850114654E-3</v>
      </c>
      <c r="G200" s="20">
        <f t="shared" si="13"/>
        <v>-1.2328329868322897E-2</v>
      </c>
      <c r="H200" s="20">
        <f t="shared" si="14"/>
        <v>-1.7890952587702815E-2</v>
      </c>
      <c r="I200" s="3"/>
    </row>
    <row r="201" spans="1:9" x14ac:dyDescent="0.3">
      <c r="A201" s="2">
        <v>43826</v>
      </c>
      <c r="B201" s="1">
        <v>72.45</v>
      </c>
      <c r="C201" s="1">
        <v>1869.8</v>
      </c>
      <c r="D201" s="1">
        <v>208.1</v>
      </c>
      <c r="E201" s="3"/>
      <c r="F201" s="20">
        <f t="shared" si="12"/>
        <v>-3.7950009942974369E-4</v>
      </c>
      <c r="G201" s="20">
        <f t="shared" si="13"/>
        <v>5.5101283435124264E-4</v>
      </c>
      <c r="H201" s="20">
        <f t="shared" si="14"/>
        <v>1.4907790878000999E-3</v>
      </c>
      <c r="I201" s="3"/>
    </row>
    <row r="202" spans="1:9" x14ac:dyDescent="0.3">
      <c r="A202" s="2">
        <v>43825</v>
      </c>
      <c r="B202" s="1">
        <v>72.477500000000006</v>
      </c>
      <c r="C202" s="1">
        <v>1868.77</v>
      </c>
      <c r="D202" s="1">
        <v>207.79</v>
      </c>
      <c r="E202" s="3"/>
      <c r="F202" s="20">
        <f t="shared" si="12"/>
        <v>1.9646039232492037E-2</v>
      </c>
      <c r="G202" s="20">
        <f t="shared" si="13"/>
        <v>4.3506278789693771E-2</v>
      </c>
      <c r="H202" s="20">
        <f t="shared" si="14"/>
        <v>1.2932780579483525E-2</v>
      </c>
      <c r="I202" s="3"/>
    </row>
    <row r="203" spans="1:9" x14ac:dyDescent="0.3">
      <c r="A203" s="2">
        <v>43824</v>
      </c>
      <c r="B203" s="1">
        <v>71.067499999999995</v>
      </c>
      <c r="C203" s="1">
        <v>1789.21</v>
      </c>
      <c r="D203" s="1">
        <v>205.12</v>
      </c>
      <c r="E203" s="3"/>
      <c r="F203" s="20">
        <f t="shared" si="12"/>
        <v>0</v>
      </c>
      <c r="G203" s="20">
        <f t="shared" si="13"/>
        <v>0</v>
      </c>
      <c r="H203" s="20">
        <f t="shared" si="14"/>
        <v>0</v>
      </c>
      <c r="I203" s="3"/>
    </row>
    <row r="204" spans="1:9" x14ac:dyDescent="0.3">
      <c r="A204" s="2">
        <v>43823</v>
      </c>
      <c r="B204" s="1">
        <v>71.067499999999995</v>
      </c>
      <c r="C204" s="1">
        <v>1789.21</v>
      </c>
      <c r="D204" s="1">
        <v>205.12</v>
      </c>
      <c r="E204" s="3"/>
      <c r="F204" s="20">
        <f t="shared" si="12"/>
        <v>9.5025259231361358E-4</v>
      </c>
      <c r="G204" s="20">
        <f t="shared" si="13"/>
        <v>-2.1160129719625729E-3</v>
      </c>
      <c r="H204" s="20">
        <f t="shared" si="14"/>
        <v>-5.1543999359333998E-3</v>
      </c>
      <c r="I204" s="3"/>
    </row>
    <row r="205" spans="1:9" x14ac:dyDescent="0.3">
      <c r="A205" s="2">
        <v>43822</v>
      </c>
      <c r="B205" s="1">
        <v>71</v>
      </c>
      <c r="C205" s="1">
        <v>1793</v>
      </c>
      <c r="D205" s="1">
        <v>206.18</v>
      </c>
      <c r="E205" s="3"/>
      <c r="F205" s="20">
        <f t="shared" si="12"/>
        <v>1.6186637662629479E-2</v>
      </c>
      <c r="G205" s="20">
        <f t="shared" si="13"/>
        <v>3.631796141668333E-3</v>
      </c>
      <c r="H205" s="20">
        <f t="shared" si="14"/>
        <v>-5.8184640896749096E-4</v>
      </c>
      <c r="I205" s="3"/>
    </row>
    <row r="206" spans="1:9" x14ac:dyDescent="0.3">
      <c r="A206" s="2">
        <v>43819</v>
      </c>
      <c r="B206" s="1">
        <v>69.86</v>
      </c>
      <c r="C206" s="1">
        <v>1786.5</v>
      </c>
      <c r="D206" s="1">
        <v>206.3</v>
      </c>
      <c r="E206" s="3"/>
      <c r="F206" s="20">
        <f t="shared" si="12"/>
        <v>-2.0734286912026429E-3</v>
      </c>
      <c r="G206" s="20">
        <f t="shared" si="13"/>
        <v>-3.2301538656514485E-3</v>
      </c>
      <c r="H206" s="20">
        <f t="shared" si="14"/>
        <v>1.1640315602841364E-3</v>
      </c>
      <c r="I206" s="3"/>
    </row>
    <row r="207" spans="1:9" x14ac:dyDescent="0.3">
      <c r="A207" s="2">
        <v>43818</v>
      </c>
      <c r="B207" s="1">
        <v>70.004999999999995</v>
      </c>
      <c r="C207" s="1">
        <v>1792.28</v>
      </c>
      <c r="D207" s="1">
        <v>206.06</v>
      </c>
      <c r="E207" s="3"/>
      <c r="F207" s="20">
        <f t="shared" si="12"/>
        <v>1.0004288386213317E-3</v>
      </c>
      <c r="G207" s="20">
        <f t="shared" si="13"/>
        <v>4.6137021870532981E-3</v>
      </c>
      <c r="H207" s="20">
        <f t="shared" si="14"/>
        <v>1.7427501970328076E-2</v>
      </c>
      <c r="I207" s="3"/>
    </row>
    <row r="208" spans="1:9" x14ac:dyDescent="0.3">
      <c r="A208" s="2">
        <v>43817</v>
      </c>
      <c r="B208" s="1">
        <v>69.935000000000002</v>
      </c>
      <c r="C208" s="1">
        <v>1784.03</v>
      </c>
      <c r="D208" s="1">
        <v>202.5</v>
      </c>
      <c r="E208" s="3"/>
      <c r="F208" s="20">
        <f t="shared" si="12"/>
        <v>-2.3922175114439001E-3</v>
      </c>
      <c r="G208" s="20">
        <f t="shared" si="13"/>
        <v>-3.7094168178348737E-3</v>
      </c>
      <c r="H208" s="20">
        <f t="shared" si="14"/>
        <v>2.0505096191913125E-2</v>
      </c>
      <c r="I208" s="3"/>
    </row>
    <row r="209" spans="1:9" x14ac:dyDescent="0.3">
      <c r="A209" s="2">
        <v>43816</v>
      </c>
      <c r="B209" s="1">
        <v>70.102500000000006</v>
      </c>
      <c r="C209" s="1">
        <v>1790.66</v>
      </c>
      <c r="D209" s="1">
        <v>198.39</v>
      </c>
      <c r="E209" s="3"/>
      <c r="F209" s="20">
        <f t="shared" si="12"/>
        <v>1.9633397350343859E-3</v>
      </c>
      <c r="G209" s="20">
        <f t="shared" si="13"/>
        <v>1.2051147709486315E-2</v>
      </c>
      <c r="H209" s="20">
        <f t="shared" si="14"/>
        <v>2.3718817105028551E-3</v>
      </c>
      <c r="I209" s="3"/>
    </row>
    <row r="210" spans="1:9" x14ac:dyDescent="0.3">
      <c r="A210" s="2">
        <v>43815</v>
      </c>
      <c r="B210" s="1">
        <v>69.965000000000003</v>
      </c>
      <c r="C210" s="1">
        <v>1769.21</v>
      </c>
      <c r="D210" s="1">
        <v>197.92</v>
      </c>
      <c r="E210" s="3"/>
      <c r="F210" s="20">
        <f t="shared" si="12"/>
        <v>1.697307462179971E-2</v>
      </c>
      <c r="G210" s="20">
        <f t="shared" si="13"/>
        <v>4.6853618849088891E-3</v>
      </c>
      <c r="H210" s="20">
        <f t="shared" si="14"/>
        <v>1.9437899961177708E-2</v>
      </c>
      <c r="I210" s="3"/>
    </row>
    <row r="211" spans="1:9" x14ac:dyDescent="0.3">
      <c r="A211" s="2">
        <v>43812</v>
      </c>
      <c r="B211" s="1">
        <v>68.787499999999994</v>
      </c>
      <c r="C211" s="1">
        <v>1760.94</v>
      </c>
      <c r="D211" s="1">
        <v>194.11</v>
      </c>
      <c r="E211" s="3"/>
      <c r="F211" s="20">
        <f t="shared" si="12"/>
        <v>1.3501604635948721E-2</v>
      </c>
      <c r="G211" s="20">
        <f t="shared" si="13"/>
        <v>3.464659092327355E-4</v>
      </c>
      <c r="H211" s="20">
        <f t="shared" si="14"/>
        <v>-1.3508878614512589E-2</v>
      </c>
      <c r="I211" s="3"/>
    </row>
    <row r="212" spans="1:9" x14ac:dyDescent="0.3">
      <c r="A212" s="2">
        <v>43811</v>
      </c>
      <c r="B212" s="1">
        <v>67.864999999999995</v>
      </c>
      <c r="C212" s="1">
        <v>1760.33</v>
      </c>
      <c r="D212" s="1">
        <v>196.75</v>
      </c>
      <c r="E212" s="3"/>
      <c r="F212" s="20">
        <f t="shared" si="12"/>
        <v>2.5450468341574129E-3</v>
      </c>
      <c r="G212" s="20">
        <f t="shared" si="13"/>
        <v>6.6171997345225598E-3</v>
      </c>
      <c r="H212" s="20">
        <f t="shared" si="14"/>
        <v>-2.7620111176511742E-2</v>
      </c>
      <c r="I212" s="3"/>
    </row>
    <row r="213" spans="1:9" x14ac:dyDescent="0.3">
      <c r="A213" s="2">
        <v>43810</v>
      </c>
      <c r="B213" s="1">
        <v>67.692499999999995</v>
      </c>
      <c r="C213" s="1">
        <v>1748.72</v>
      </c>
      <c r="D213" s="1">
        <v>202.26</v>
      </c>
      <c r="E213" s="3"/>
      <c r="F213" s="20">
        <f t="shared" si="12"/>
        <v>8.4933287568201184E-3</v>
      </c>
      <c r="G213" s="20">
        <f t="shared" si="13"/>
        <v>5.4531046013224678E-3</v>
      </c>
      <c r="H213" s="20">
        <f t="shared" si="14"/>
        <v>6.8960658275674857E-3</v>
      </c>
      <c r="I213" s="3"/>
    </row>
    <row r="214" spans="1:9" x14ac:dyDescent="0.3">
      <c r="A214" s="2">
        <v>43809</v>
      </c>
      <c r="B214" s="1">
        <v>67.12</v>
      </c>
      <c r="C214" s="1">
        <v>1739.21</v>
      </c>
      <c r="D214" s="1">
        <v>200.87</v>
      </c>
      <c r="E214" s="3"/>
      <c r="F214" s="20">
        <f t="shared" si="12"/>
        <v>5.8274352434354547E-3</v>
      </c>
      <c r="G214" s="20">
        <f t="shared" si="13"/>
        <v>-5.9047615898165304E-3</v>
      </c>
      <c r="H214" s="20">
        <f t="shared" si="14"/>
        <v>-2.3370886548204745E-3</v>
      </c>
      <c r="I214" s="3"/>
    </row>
    <row r="215" spans="1:9" x14ac:dyDescent="0.3">
      <c r="A215" s="2">
        <v>43808</v>
      </c>
      <c r="B215" s="1">
        <v>66.73</v>
      </c>
      <c r="C215" s="1">
        <v>1749.51</v>
      </c>
      <c r="D215" s="1">
        <v>201.34</v>
      </c>
      <c r="E215" s="3"/>
      <c r="F215" s="20">
        <f t="shared" si="12"/>
        <v>-1.4099149165929161E-2</v>
      </c>
      <c r="G215" s="20">
        <f t="shared" si="13"/>
        <v>-1.1939072170024094E-3</v>
      </c>
      <c r="H215" s="20">
        <f t="shared" si="14"/>
        <v>1.4413879579940852E-3</v>
      </c>
      <c r="I215" s="3"/>
    </row>
    <row r="216" spans="1:9" x14ac:dyDescent="0.3">
      <c r="A216" s="2">
        <v>43805</v>
      </c>
      <c r="B216" s="1">
        <v>67.677499999999995</v>
      </c>
      <c r="C216" s="1">
        <v>1751.6</v>
      </c>
      <c r="D216" s="1">
        <v>201.05</v>
      </c>
      <c r="E216" s="3"/>
      <c r="F216" s="20">
        <f t="shared" si="12"/>
        <v>1.9132023639153513E-2</v>
      </c>
      <c r="G216" s="20">
        <f t="shared" si="13"/>
        <v>6.3687186926472406E-3</v>
      </c>
      <c r="H216" s="20">
        <f t="shared" si="14"/>
        <v>8.441397744194605E-3</v>
      </c>
      <c r="I216" s="3"/>
    </row>
    <row r="217" spans="1:9" x14ac:dyDescent="0.3">
      <c r="A217" s="2">
        <v>43804</v>
      </c>
      <c r="B217" s="1">
        <v>66.394999999999996</v>
      </c>
      <c r="C217" s="1">
        <v>1740.48</v>
      </c>
      <c r="D217" s="1">
        <v>199.36</v>
      </c>
      <c r="E217" s="3"/>
      <c r="F217" s="20">
        <f t="shared" si="12"/>
        <v>1.4564468934846784E-2</v>
      </c>
      <c r="G217" s="20">
        <f t="shared" si="13"/>
        <v>-1.1544840422407608E-2</v>
      </c>
      <c r="H217" s="20">
        <f t="shared" si="14"/>
        <v>3.2657601813635253E-3</v>
      </c>
      <c r="I217" s="3"/>
    </row>
    <row r="218" spans="1:9" x14ac:dyDescent="0.3">
      <c r="A218" s="2">
        <v>43803</v>
      </c>
      <c r="B218" s="1">
        <v>65.435000000000002</v>
      </c>
      <c r="C218" s="1">
        <v>1760.69</v>
      </c>
      <c r="D218" s="1">
        <v>198.71</v>
      </c>
      <c r="E218" s="3"/>
      <c r="F218" s="20">
        <f t="shared" si="12"/>
        <v>8.7876388135858883E-3</v>
      </c>
      <c r="G218" s="20">
        <f t="shared" si="13"/>
        <v>-5.2511697854564238E-3</v>
      </c>
      <c r="H218" s="20">
        <f t="shared" si="14"/>
        <v>-5.5341736627412058E-4</v>
      </c>
      <c r="I218" s="3"/>
    </row>
    <row r="219" spans="1:9" x14ac:dyDescent="0.3">
      <c r="A219" s="2">
        <v>43802</v>
      </c>
      <c r="B219" s="1">
        <v>64.862499999999997</v>
      </c>
      <c r="C219" s="1">
        <v>1769.96</v>
      </c>
      <c r="D219" s="1">
        <v>198.82</v>
      </c>
      <c r="E219" s="3"/>
      <c r="F219" s="20">
        <f t="shared" si="12"/>
        <v>-1.7990974358069328E-2</v>
      </c>
      <c r="G219" s="20">
        <f t="shared" si="13"/>
        <v>-6.5548895006978265E-3</v>
      </c>
      <c r="H219" s="20">
        <f t="shared" si="14"/>
        <v>-4.4163476377704469E-3</v>
      </c>
      <c r="I219" s="3"/>
    </row>
    <row r="220" spans="1:9" x14ac:dyDescent="0.3">
      <c r="A220" s="2">
        <v>43801</v>
      </c>
      <c r="B220" s="1">
        <v>66.040000000000006</v>
      </c>
      <c r="C220" s="1">
        <v>1781.6</v>
      </c>
      <c r="D220" s="1">
        <v>199.7</v>
      </c>
      <c r="E220" s="3"/>
      <c r="F220" s="20">
        <f t="shared" si="12"/>
        <v>-1.1629569733336675E-2</v>
      </c>
      <c r="G220" s="20">
        <f t="shared" si="13"/>
        <v>-1.071917364936468E-2</v>
      </c>
      <c r="H220" s="20">
        <f t="shared" si="14"/>
        <v>-9.6676887926605264E-3</v>
      </c>
      <c r="I220" s="3"/>
    </row>
    <row r="221" spans="1:9" x14ac:dyDescent="0.3">
      <c r="A221" s="2">
        <v>43798</v>
      </c>
      <c r="B221" s="1">
        <v>66.8125</v>
      </c>
      <c r="C221" s="1">
        <v>1800.8</v>
      </c>
      <c r="D221" s="1">
        <v>201.64</v>
      </c>
      <c r="E221" s="3"/>
      <c r="F221" s="20">
        <f t="shared" si="12"/>
        <v>-2.2052373959558008E-3</v>
      </c>
      <c r="G221" s="20">
        <f t="shared" si="13"/>
        <v>-9.7864738570699657E-3</v>
      </c>
      <c r="H221" s="20">
        <f t="shared" si="14"/>
        <v>-1.7837681867747797E-3</v>
      </c>
      <c r="I221" s="3"/>
    </row>
    <row r="222" spans="1:9" x14ac:dyDescent="0.3">
      <c r="A222" s="2">
        <v>43797</v>
      </c>
      <c r="B222" s="1">
        <v>66.959999999999994</v>
      </c>
      <c r="C222" s="1">
        <v>1818.51</v>
      </c>
      <c r="D222" s="1">
        <v>202</v>
      </c>
      <c r="E222" s="3"/>
      <c r="F222" s="20">
        <f t="shared" si="12"/>
        <v>0</v>
      </c>
      <c r="G222" s="20">
        <f t="shared" si="13"/>
        <v>0</v>
      </c>
      <c r="H222" s="20">
        <f t="shared" si="14"/>
        <v>0</v>
      </c>
      <c r="I222" s="3"/>
    </row>
    <row r="223" spans="1:9" x14ac:dyDescent="0.3">
      <c r="A223" s="2">
        <v>43796</v>
      </c>
      <c r="B223" s="1">
        <v>66.959999999999994</v>
      </c>
      <c r="C223" s="1">
        <v>1818.51</v>
      </c>
      <c r="D223" s="1">
        <v>202</v>
      </c>
      <c r="E223" s="3"/>
      <c r="F223" s="20">
        <f t="shared" si="12"/>
        <v>1.3342802199318405E-2</v>
      </c>
      <c r="G223" s="20">
        <f t="shared" si="13"/>
        <v>1.1932266205093953E-2</v>
      </c>
      <c r="H223" s="20">
        <f t="shared" si="14"/>
        <v>1.5113637810048106E-2</v>
      </c>
      <c r="I223" s="3"/>
    </row>
    <row r="224" spans="1:9" x14ac:dyDescent="0.3">
      <c r="A224" s="2">
        <v>43795</v>
      </c>
      <c r="B224" s="1">
        <v>66.072500000000005</v>
      </c>
      <c r="C224" s="1">
        <v>1796.94</v>
      </c>
      <c r="D224" s="1">
        <v>198.97</v>
      </c>
      <c r="E224" s="3"/>
      <c r="F224" s="20">
        <f t="shared" si="12"/>
        <v>-7.8393346105530091E-3</v>
      </c>
      <c r="G224" s="20">
        <f t="shared" si="13"/>
        <v>1.2938530099757513E-2</v>
      </c>
      <c r="H224" s="20">
        <f t="shared" si="14"/>
        <v>-4.112755320700886E-3</v>
      </c>
      <c r="I224" s="3"/>
    </row>
    <row r="225" spans="1:9" x14ac:dyDescent="0.3">
      <c r="A225" s="2">
        <v>43794</v>
      </c>
      <c r="B225" s="1">
        <v>66.592500000000001</v>
      </c>
      <c r="C225" s="1">
        <v>1773.84</v>
      </c>
      <c r="D225" s="1">
        <v>199.79</v>
      </c>
      <c r="E225" s="3"/>
      <c r="F225" s="20">
        <f t="shared" si="12"/>
        <v>1.7381863348771995E-2</v>
      </c>
      <c r="G225" s="20">
        <f t="shared" si="13"/>
        <v>1.597961015740303E-2</v>
      </c>
      <c r="H225" s="20">
        <f t="shared" si="14"/>
        <v>4.8669221278583854E-3</v>
      </c>
      <c r="I225" s="3"/>
    </row>
    <row r="226" spans="1:9" x14ac:dyDescent="0.3">
      <c r="A226" s="2">
        <v>43791</v>
      </c>
      <c r="B226" s="1">
        <v>65.444999999999993</v>
      </c>
      <c r="C226" s="1">
        <v>1745.72</v>
      </c>
      <c r="D226" s="1">
        <v>198.82</v>
      </c>
      <c r="E226" s="3"/>
      <c r="F226" s="20">
        <f t="shared" si="12"/>
        <v>-8.782146080777689E-4</v>
      </c>
      <c r="G226" s="20">
        <f t="shared" si="13"/>
        <v>6.3268255510539806E-3</v>
      </c>
      <c r="H226" s="20">
        <f t="shared" si="14"/>
        <v>4.4864599513552558E-3</v>
      </c>
      <c r="I226" s="3"/>
    </row>
    <row r="227" spans="1:9" x14ac:dyDescent="0.3">
      <c r="A227" s="2">
        <v>43790</v>
      </c>
      <c r="B227" s="1">
        <v>65.502499999999998</v>
      </c>
      <c r="C227" s="1">
        <v>1734.71</v>
      </c>
      <c r="D227" s="1">
        <v>197.93</v>
      </c>
      <c r="E227" s="3"/>
      <c r="F227" s="20">
        <f t="shared" si="12"/>
        <v>-4.4935338367513402E-3</v>
      </c>
      <c r="G227" s="20">
        <f t="shared" si="13"/>
        <v>-6.2179820135316232E-3</v>
      </c>
      <c r="H227" s="20">
        <f t="shared" si="14"/>
        <v>2.1242168618775155E-3</v>
      </c>
      <c r="I227" s="3"/>
    </row>
    <row r="228" spans="1:9" x14ac:dyDescent="0.3">
      <c r="A228" s="2">
        <v>43789</v>
      </c>
      <c r="B228" s="1">
        <v>65.797499999999999</v>
      </c>
      <c r="C228" s="1">
        <v>1745.53</v>
      </c>
      <c r="D228" s="1">
        <v>197.51</v>
      </c>
      <c r="E228" s="3"/>
      <c r="F228" s="20">
        <f t="shared" si="12"/>
        <v>-1.1709735672908094E-2</v>
      </c>
      <c r="G228" s="20">
        <f t="shared" si="13"/>
        <v>-4.1505696577043994E-3</v>
      </c>
      <c r="H228" s="20">
        <f t="shared" si="14"/>
        <v>-9.1223574424374523E-3</v>
      </c>
      <c r="I228" s="3"/>
    </row>
    <row r="229" spans="1:9" x14ac:dyDescent="0.3">
      <c r="A229" s="2">
        <v>43788</v>
      </c>
      <c r="B229" s="1">
        <v>66.572500000000005</v>
      </c>
      <c r="C229" s="1">
        <v>1752.79</v>
      </c>
      <c r="D229" s="1">
        <v>199.32</v>
      </c>
      <c r="E229" s="3"/>
      <c r="F229" s="20">
        <f t="shared" si="12"/>
        <v>-3.037179634604965E-3</v>
      </c>
      <c r="G229" s="20">
        <f t="shared" si="13"/>
        <v>1.4834594301040089E-4</v>
      </c>
      <c r="H229" s="20">
        <f t="shared" si="14"/>
        <v>9.679446413822651E-3</v>
      </c>
      <c r="I229" s="3"/>
    </row>
    <row r="230" spans="1:9" x14ac:dyDescent="0.3">
      <c r="A230" s="2">
        <v>43787</v>
      </c>
      <c r="B230" s="1">
        <v>66.775000000000006</v>
      </c>
      <c r="C230" s="1">
        <v>1752.53</v>
      </c>
      <c r="D230" s="1">
        <v>197.4</v>
      </c>
      <c r="E230" s="3"/>
      <c r="F230" s="20">
        <f t="shared" si="12"/>
        <v>5.0294742509306009E-3</v>
      </c>
      <c r="G230" s="20">
        <f t="shared" si="13"/>
        <v>7.4684913674214629E-3</v>
      </c>
      <c r="H230" s="20">
        <f t="shared" si="14"/>
        <v>1.171987937031576E-2</v>
      </c>
      <c r="I230" s="3"/>
    </row>
    <row r="231" spans="1:9" x14ac:dyDescent="0.3">
      <c r="A231" s="2">
        <v>43784</v>
      </c>
      <c r="B231" s="1">
        <v>66.44</v>
      </c>
      <c r="C231" s="1">
        <v>1739.49</v>
      </c>
      <c r="D231" s="1">
        <v>195.1</v>
      </c>
      <c r="E231" s="3"/>
      <c r="F231" s="20">
        <f t="shared" si="12"/>
        <v>1.1809372671647542E-2</v>
      </c>
      <c r="G231" s="20">
        <f t="shared" si="13"/>
        <v>-8.6489438971956555E-3</v>
      </c>
      <c r="H231" s="20">
        <f t="shared" si="14"/>
        <v>1.0045158516775104E-2</v>
      </c>
      <c r="I231" s="3"/>
    </row>
    <row r="232" spans="1:9" x14ac:dyDescent="0.3">
      <c r="A232" s="2">
        <v>43783</v>
      </c>
      <c r="B232" s="1">
        <v>65.66</v>
      </c>
      <c r="C232" s="1">
        <v>1754.6</v>
      </c>
      <c r="D232" s="1">
        <v>193.15</v>
      </c>
      <c r="E232" s="3"/>
      <c r="F232" s="20">
        <f t="shared" si="12"/>
        <v>-6.9435501222121065E-3</v>
      </c>
      <c r="G232" s="20">
        <f t="shared" si="13"/>
        <v>8.4955716955914908E-4</v>
      </c>
      <c r="H232" s="20">
        <f t="shared" si="14"/>
        <v>-2.0707149217231063E-4</v>
      </c>
      <c r="I232" s="3"/>
    </row>
    <row r="233" spans="1:9" x14ac:dyDescent="0.3">
      <c r="A233" s="2">
        <v>43782</v>
      </c>
      <c r="B233" s="1">
        <v>66.117500000000007</v>
      </c>
      <c r="C233" s="1">
        <v>1753.11</v>
      </c>
      <c r="D233" s="1">
        <v>193.19</v>
      </c>
      <c r="E233" s="3"/>
      <c r="F233" s="20">
        <f t="shared" si="12"/>
        <v>9.5360029656964742E-3</v>
      </c>
      <c r="G233" s="20">
        <f t="shared" si="13"/>
        <v>-1.4097783549125498E-2</v>
      </c>
      <c r="H233" s="20">
        <f t="shared" si="14"/>
        <v>-6.6037489123283053E-3</v>
      </c>
      <c r="I233" s="3"/>
    </row>
    <row r="234" spans="1:9" x14ac:dyDescent="0.3">
      <c r="A234" s="2">
        <v>43781</v>
      </c>
      <c r="B234" s="1">
        <v>65.489999999999995</v>
      </c>
      <c r="C234" s="1">
        <v>1778</v>
      </c>
      <c r="D234" s="1">
        <v>194.47</v>
      </c>
      <c r="E234" s="3"/>
      <c r="F234" s="20">
        <f t="shared" si="12"/>
        <v>-9.1575097974667193E-4</v>
      </c>
      <c r="G234" s="20">
        <f t="shared" si="13"/>
        <v>3.5778213478839024E-3</v>
      </c>
      <c r="H234" s="20">
        <f t="shared" si="14"/>
        <v>2.5308578470678463E-2</v>
      </c>
      <c r="I234" s="3"/>
    </row>
    <row r="235" spans="1:9" x14ac:dyDescent="0.3">
      <c r="A235" s="2">
        <v>43780</v>
      </c>
      <c r="B235" s="1">
        <v>65.55</v>
      </c>
      <c r="C235" s="1">
        <v>1771.65</v>
      </c>
      <c r="D235" s="1">
        <v>189.61</v>
      </c>
      <c r="E235" s="3"/>
      <c r="F235" s="20">
        <f t="shared" si="12"/>
        <v>7.8876236940047841E-3</v>
      </c>
      <c r="G235" s="20">
        <f t="shared" si="13"/>
        <v>-7.999975203459686E-3</v>
      </c>
      <c r="H235" s="20">
        <f t="shared" si="14"/>
        <v>-6.4660496017939157E-3</v>
      </c>
      <c r="I235" s="3"/>
    </row>
    <row r="236" spans="1:9" x14ac:dyDescent="0.3">
      <c r="A236" s="2">
        <v>43777</v>
      </c>
      <c r="B236" s="1">
        <v>65.034999999999997</v>
      </c>
      <c r="C236" s="1">
        <v>1785.88</v>
      </c>
      <c r="D236" s="1">
        <v>190.84</v>
      </c>
      <c r="E236" s="3"/>
      <c r="F236" s="20">
        <f t="shared" si="12"/>
        <v>2.7330309369011079E-3</v>
      </c>
      <c r="G236" s="20">
        <f t="shared" si="13"/>
        <v>-1.2982363717920389E-3</v>
      </c>
      <c r="H236" s="20">
        <f t="shared" si="14"/>
        <v>2.2032217903609659E-3</v>
      </c>
      <c r="I236" s="3"/>
    </row>
    <row r="237" spans="1:9" x14ac:dyDescent="0.3">
      <c r="A237" s="2">
        <v>43776</v>
      </c>
      <c r="B237" s="1">
        <v>64.857500000000002</v>
      </c>
      <c r="C237" s="1">
        <v>1788.2</v>
      </c>
      <c r="D237" s="1">
        <v>190.42</v>
      </c>
      <c r="E237" s="3"/>
      <c r="F237" s="20">
        <f t="shared" si="12"/>
        <v>8.4774154320310414E-3</v>
      </c>
      <c r="G237" s="20">
        <f t="shared" si="13"/>
        <v>-4.2243719994411845E-3</v>
      </c>
      <c r="H237" s="20">
        <f t="shared" si="14"/>
        <v>-5.9167122891127695E-3</v>
      </c>
      <c r="I237" s="3"/>
    </row>
    <row r="238" spans="1:9" x14ac:dyDescent="0.3">
      <c r="A238" s="2">
        <v>43775</v>
      </c>
      <c r="B238" s="1">
        <v>64.31</v>
      </c>
      <c r="C238" s="1">
        <v>1795.77</v>
      </c>
      <c r="D238" s="1">
        <v>191.55</v>
      </c>
      <c r="E238" s="3"/>
      <c r="F238" s="20">
        <f t="shared" si="12"/>
        <v>4.2770768776131507E-4</v>
      </c>
      <c r="G238" s="20">
        <f t="shared" si="13"/>
        <v>-3.302314619185434E-3</v>
      </c>
      <c r="H238" s="20">
        <f t="shared" si="14"/>
        <v>-1.4357413547258996E-2</v>
      </c>
      <c r="I238" s="3"/>
    </row>
    <row r="239" spans="1:9" x14ac:dyDescent="0.3">
      <c r="A239" s="2">
        <v>43774</v>
      </c>
      <c r="B239" s="1">
        <v>64.282499999999999</v>
      </c>
      <c r="C239" s="1">
        <v>1801.71</v>
      </c>
      <c r="D239" s="1">
        <v>194.32</v>
      </c>
      <c r="E239" s="3"/>
      <c r="F239" s="20">
        <f t="shared" si="12"/>
        <v>-1.4379265248897698E-3</v>
      </c>
      <c r="G239" s="20">
        <f t="shared" si="13"/>
        <v>-1.6359944531301488E-3</v>
      </c>
      <c r="H239" s="20">
        <f t="shared" si="14"/>
        <v>-2.0563445453000316E-3</v>
      </c>
      <c r="I239" s="3"/>
    </row>
    <row r="240" spans="1:9" x14ac:dyDescent="0.3">
      <c r="A240" s="2">
        <v>43773</v>
      </c>
      <c r="B240" s="1">
        <v>64.375</v>
      </c>
      <c r="C240" s="1">
        <v>1804.66</v>
      </c>
      <c r="D240" s="1">
        <v>194.72</v>
      </c>
      <c r="E240" s="3"/>
      <c r="F240" s="20">
        <f t="shared" si="12"/>
        <v>6.5456479325438485E-3</v>
      </c>
      <c r="G240" s="20">
        <f t="shared" si="13"/>
        <v>7.3524426763984388E-3</v>
      </c>
      <c r="H240" s="20">
        <f t="shared" si="14"/>
        <v>5.6651539472915699E-3</v>
      </c>
      <c r="I240" s="3"/>
    </row>
    <row r="241" spans="1:9" x14ac:dyDescent="0.3">
      <c r="A241" s="2">
        <v>43770</v>
      </c>
      <c r="B241" s="1">
        <v>63.954999999999998</v>
      </c>
      <c r="C241" s="1">
        <v>1791.44</v>
      </c>
      <c r="D241" s="1">
        <v>193.62</v>
      </c>
      <c r="E241" s="3"/>
      <c r="F241" s="20">
        <f t="shared" si="12"/>
        <v>2.7985495935558668E-2</v>
      </c>
      <c r="G241" s="20">
        <f t="shared" si="13"/>
        <v>8.2845685570511422E-3</v>
      </c>
      <c r="H241" s="20">
        <f t="shared" si="14"/>
        <v>1.0226683465361453E-2</v>
      </c>
      <c r="I241" s="3"/>
    </row>
    <row r="242" spans="1:9" x14ac:dyDescent="0.3">
      <c r="A242" s="2">
        <v>43769</v>
      </c>
      <c r="B242" s="1">
        <v>62.19</v>
      </c>
      <c r="C242" s="1">
        <v>1776.66</v>
      </c>
      <c r="D242" s="1">
        <v>191.65</v>
      </c>
      <c r="E242" s="3"/>
      <c r="F242" s="20">
        <f t="shared" si="12"/>
        <v>2.2357746045398162E-2</v>
      </c>
      <c r="G242" s="20">
        <f t="shared" si="13"/>
        <v>-1.8725491532971385E-3</v>
      </c>
      <c r="H242" s="20">
        <f t="shared" si="14"/>
        <v>1.7899925146561253E-2</v>
      </c>
      <c r="I242" s="3"/>
    </row>
    <row r="243" spans="1:9" x14ac:dyDescent="0.3">
      <c r="A243" s="2">
        <v>43768</v>
      </c>
      <c r="B243" s="1">
        <v>60.814999999999998</v>
      </c>
      <c r="C243" s="1">
        <v>1779.99</v>
      </c>
      <c r="D243" s="1">
        <v>188.25</v>
      </c>
      <c r="E243" s="3"/>
      <c r="F243" s="20">
        <f t="shared" si="12"/>
        <v>-1.2331723373965468E-4</v>
      </c>
      <c r="G243" s="20">
        <f t="shared" si="13"/>
        <v>9.7553487678986514E-3</v>
      </c>
      <c r="H243" s="20">
        <f t="shared" si="14"/>
        <v>-5.6150163418156361E-3</v>
      </c>
      <c r="I243" s="3"/>
    </row>
    <row r="244" spans="1:9" x14ac:dyDescent="0.3">
      <c r="A244" s="2">
        <v>43767</v>
      </c>
      <c r="B244" s="1">
        <v>60.822499999999998</v>
      </c>
      <c r="C244" s="1">
        <v>1762.71</v>
      </c>
      <c r="D244" s="1">
        <v>189.31</v>
      </c>
      <c r="E244" s="3"/>
      <c r="F244" s="20">
        <f t="shared" si="12"/>
        <v>-2.3399532095262503E-2</v>
      </c>
      <c r="G244" s="20">
        <f t="shared" si="13"/>
        <v>-8.1191703124889551E-3</v>
      </c>
      <c r="H244" s="20">
        <f t="shared" si="14"/>
        <v>-4.7529773015927724E-4</v>
      </c>
      <c r="I244" s="3"/>
    </row>
    <row r="245" spans="1:9" x14ac:dyDescent="0.3">
      <c r="A245" s="2">
        <v>43766</v>
      </c>
      <c r="B245" s="1">
        <v>62.262500000000003</v>
      </c>
      <c r="C245" s="1">
        <v>1777.08</v>
      </c>
      <c r="D245" s="1">
        <v>189.4</v>
      </c>
      <c r="E245" s="3"/>
      <c r="F245" s="20">
        <f t="shared" si="12"/>
        <v>9.9671950788857641E-3</v>
      </c>
      <c r="G245" s="20">
        <f t="shared" si="13"/>
        <v>8.9023623707742503E-3</v>
      </c>
      <c r="H245" s="20">
        <f t="shared" si="14"/>
        <v>8.0044955465468429E-3</v>
      </c>
      <c r="I245" s="3"/>
    </row>
    <row r="246" spans="1:9" x14ac:dyDescent="0.3">
      <c r="A246" s="2">
        <v>43763</v>
      </c>
      <c r="B246" s="1">
        <v>61.645000000000003</v>
      </c>
      <c r="C246" s="1">
        <v>1761.33</v>
      </c>
      <c r="D246" s="1">
        <v>187.89</v>
      </c>
      <c r="E246" s="3"/>
      <c r="F246" s="20">
        <f t="shared" si="12"/>
        <v>1.2241053781442197E-2</v>
      </c>
      <c r="G246" s="20">
        <f t="shared" si="13"/>
        <v>-1.0982265084117995E-2</v>
      </c>
      <c r="H246" s="20">
        <f t="shared" si="14"/>
        <v>8.0690848479217005E-3</v>
      </c>
      <c r="I246" s="3"/>
    </row>
    <row r="247" spans="1:9" x14ac:dyDescent="0.3">
      <c r="A247" s="2">
        <v>43762</v>
      </c>
      <c r="B247" s="1">
        <v>60.895000000000003</v>
      </c>
      <c r="C247" s="1">
        <v>1780.78</v>
      </c>
      <c r="D247" s="1">
        <v>186.38</v>
      </c>
      <c r="E247" s="3"/>
      <c r="F247" s="20">
        <f t="shared" si="12"/>
        <v>1.643520790692368E-3</v>
      </c>
      <c r="G247" s="20">
        <f t="shared" si="13"/>
        <v>1.0505466437367007E-2</v>
      </c>
      <c r="H247" s="20">
        <f t="shared" si="14"/>
        <v>1.2348000387834232E-3</v>
      </c>
      <c r="I247" s="3"/>
    </row>
    <row r="248" spans="1:9" x14ac:dyDescent="0.3">
      <c r="A248" s="2">
        <v>43761</v>
      </c>
      <c r="B248" s="1">
        <v>60.795000000000002</v>
      </c>
      <c r="C248" s="1">
        <v>1762.17</v>
      </c>
      <c r="D248" s="1">
        <v>186.15</v>
      </c>
      <c r="E248" s="3"/>
      <c r="F248" s="20">
        <f t="shared" si="12"/>
        <v>1.3329667083379933E-2</v>
      </c>
      <c r="G248" s="20">
        <f t="shared" si="13"/>
        <v>-2.0181984797529562E-3</v>
      </c>
      <c r="H248" s="20">
        <f t="shared" si="14"/>
        <v>2.0679724161969133E-2</v>
      </c>
      <c r="I248" s="3"/>
    </row>
    <row r="249" spans="1:9" x14ac:dyDescent="0.3">
      <c r="A249" s="2">
        <v>43760</v>
      </c>
      <c r="B249" s="1">
        <v>59.99</v>
      </c>
      <c r="C249" s="1">
        <v>1765.73</v>
      </c>
      <c r="D249" s="1">
        <v>182.34</v>
      </c>
      <c r="E249" s="3"/>
      <c r="F249" s="20">
        <f t="shared" si="12"/>
        <v>-2.289425938077481E-3</v>
      </c>
      <c r="G249" s="20">
        <f t="shared" si="13"/>
        <v>-1.1223892179847879E-2</v>
      </c>
      <c r="H249" s="20">
        <f t="shared" si="14"/>
        <v>-3.9887039652603866E-2</v>
      </c>
      <c r="I249" s="3"/>
    </row>
    <row r="250" spans="1:9" x14ac:dyDescent="0.3">
      <c r="A250" s="2">
        <v>43759</v>
      </c>
      <c r="B250" s="1">
        <v>60.127499999999998</v>
      </c>
      <c r="C250" s="1">
        <v>1785.66</v>
      </c>
      <c r="D250" s="1">
        <v>189.76</v>
      </c>
      <c r="E250" s="3"/>
      <c r="F250" s="20">
        <f t="shared" si="12"/>
        <v>1.7194082901263532E-2</v>
      </c>
      <c r="G250" s="20">
        <f t="shared" si="13"/>
        <v>1.5890060203930641E-2</v>
      </c>
      <c r="H250" s="20">
        <f t="shared" si="14"/>
        <v>2.0820219066099526E-2</v>
      </c>
      <c r="I250" s="3"/>
    </row>
    <row r="251" spans="1:9" x14ac:dyDescent="0.3">
      <c r="A251" s="2">
        <v>43756</v>
      </c>
      <c r="B251" s="1">
        <v>59.102499999999999</v>
      </c>
      <c r="C251" s="1">
        <v>1757.51</v>
      </c>
      <c r="D251" s="1">
        <v>185.85</v>
      </c>
      <c r="E251" s="3"/>
      <c r="F251" s="20">
        <f t="shared" si="12"/>
        <v>4.7912915759668736E-3</v>
      </c>
      <c r="G251" s="20">
        <f t="shared" si="13"/>
        <v>-1.6908772125319407E-2</v>
      </c>
      <c r="H251" s="20">
        <f t="shared" si="14"/>
        <v>-2.4134703226323884E-2</v>
      </c>
      <c r="I251" s="3"/>
    </row>
    <row r="252" spans="1:9" x14ac:dyDescent="0.3">
      <c r="A252" s="2">
        <v>43755</v>
      </c>
      <c r="B252" s="1">
        <v>58.82</v>
      </c>
      <c r="C252" s="1">
        <v>1787.48</v>
      </c>
      <c r="D252" s="1">
        <v>190.39</v>
      </c>
      <c r="E252" s="3"/>
      <c r="F252" s="20">
        <f t="shared" si="12"/>
        <v>3.8752310819564484E-3</v>
      </c>
      <c r="G252" s="20">
        <f t="shared" si="13"/>
        <v>5.6383059457459257E-3</v>
      </c>
      <c r="H252" s="20">
        <f t="shared" si="14"/>
        <v>4.4217580072411274E-3</v>
      </c>
      <c r="I252" s="3"/>
    </row>
    <row r="253" spans="1:9" x14ac:dyDescent="0.3">
      <c r="A253" s="2">
        <v>43754</v>
      </c>
      <c r="B253" s="1">
        <v>58.592500000000001</v>
      </c>
      <c r="C253" s="1">
        <v>1777.43</v>
      </c>
      <c r="D253" s="1">
        <v>189.55</v>
      </c>
      <c r="E253" s="3"/>
      <c r="F253" s="20">
        <f t="shared" si="12"/>
        <v>-4.0452268324719948E-3</v>
      </c>
      <c r="G253" s="20">
        <f t="shared" si="13"/>
        <v>5.6702767862413933E-3</v>
      </c>
      <c r="H253" s="20">
        <f t="shared" si="14"/>
        <v>3.4880069186157088E-3</v>
      </c>
      <c r="I253" s="3"/>
    </row>
    <row r="254" spans="1:9" x14ac:dyDescent="0.3">
      <c r="A254" s="2">
        <v>43753</v>
      </c>
      <c r="B254" s="1">
        <v>58.83</v>
      </c>
      <c r="C254" s="1">
        <v>1767.38</v>
      </c>
      <c r="D254" s="1">
        <v>188.89</v>
      </c>
      <c r="E254" s="3"/>
      <c r="F254" s="20">
        <f t="shared" si="12"/>
        <v>-2.334515799528931E-3</v>
      </c>
      <c r="G254" s="20">
        <f t="shared" si="13"/>
        <v>1.7666942561114455E-2</v>
      </c>
      <c r="H254" s="20">
        <f t="shared" si="14"/>
        <v>3.0149796898488103E-2</v>
      </c>
      <c r="I254" s="3"/>
    </row>
    <row r="255" spans="1:9" x14ac:dyDescent="0.3">
      <c r="A255" s="2">
        <v>43752</v>
      </c>
      <c r="B255" s="1">
        <v>58.967500000000001</v>
      </c>
      <c r="C255" s="1">
        <v>1736.43</v>
      </c>
      <c r="D255" s="1">
        <v>183.28</v>
      </c>
      <c r="E255" s="3"/>
      <c r="F255" s="20">
        <f t="shared" si="12"/>
        <v>-1.4404340738325713E-3</v>
      </c>
      <c r="G255" s="20">
        <f t="shared" si="13"/>
        <v>2.6006617221020572E-3</v>
      </c>
      <c r="H255" s="20">
        <f t="shared" si="14"/>
        <v>-4.9527953857714047E-3</v>
      </c>
      <c r="I255" s="3"/>
    </row>
    <row r="256" spans="1:9" x14ac:dyDescent="0.3">
      <c r="A256" s="2">
        <v>43749</v>
      </c>
      <c r="B256" s="1">
        <v>59.052500000000002</v>
      </c>
      <c r="C256" s="1">
        <v>1731.92</v>
      </c>
      <c r="D256" s="1">
        <v>184.19</v>
      </c>
      <c r="E256" s="3"/>
      <c r="F256" s="20">
        <f t="shared" si="12"/>
        <v>2.6250703138175204E-2</v>
      </c>
      <c r="G256" s="20">
        <f t="shared" si="13"/>
        <v>6.7551775049220714E-3</v>
      </c>
      <c r="H256" s="20">
        <f t="shared" si="14"/>
        <v>2.2844329861480273E-2</v>
      </c>
      <c r="I256" s="3"/>
    </row>
    <row r="257" spans="1:9" x14ac:dyDescent="0.3">
      <c r="A257" s="2">
        <v>43748</v>
      </c>
      <c r="B257" s="1">
        <v>57.522500000000001</v>
      </c>
      <c r="C257" s="1">
        <v>1720.26</v>
      </c>
      <c r="D257" s="1">
        <v>180.03</v>
      </c>
      <c r="E257" s="3"/>
      <c r="F257" s="20">
        <f t="shared" si="12"/>
        <v>1.3388369391907559E-2</v>
      </c>
      <c r="G257" s="20">
        <f t="shared" si="13"/>
        <v>-1.0051565956321086E-3</v>
      </c>
      <c r="H257" s="20">
        <f t="shared" si="14"/>
        <v>1.0003335278981984E-3</v>
      </c>
      <c r="I257" s="3"/>
    </row>
    <row r="258" spans="1:9" x14ac:dyDescent="0.3">
      <c r="A258" s="2">
        <v>43747</v>
      </c>
      <c r="B258" s="1">
        <v>56.7575</v>
      </c>
      <c r="C258" s="1">
        <v>1721.99</v>
      </c>
      <c r="D258" s="1">
        <v>179.85</v>
      </c>
      <c r="E258" s="3"/>
      <c r="F258" s="20">
        <f t="shared" si="12"/>
        <v>1.1651993690992643E-2</v>
      </c>
      <c r="G258" s="20">
        <f t="shared" si="13"/>
        <v>9.6164125452020983E-3</v>
      </c>
      <c r="H258" s="20">
        <f t="shared" si="14"/>
        <v>1.1745101458282673E-2</v>
      </c>
      <c r="I258" s="3"/>
    </row>
    <row r="259" spans="1:9" x14ac:dyDescent="0.3">
      <c r="A259" s="2">
        <v>43746</v>
      </c>
      <c r="B259" s="1">
        <v>56.1</v>
      </c>
      <c r="C259" s="1">
        <v>1705.51</v>
      </c>
      <c r="D259" s="1">
        <v>177.75</v>
      </c>
      <c r="E259" s="3"/>
      <c r="F259" s="20">
        <f t="shared" si="12"/>
        <v>-1.1784126087846273E-2</v>
      </c>
      <c r="G259" s="20">
        <f t="shared" si="13"/>
        <v>-1.5793613667535501E-2</v>
      </c>
      <c r="H259" s="20">
        <f t="shared" si="14"/>
        <v>-1.0799422306782797E-2</v>
      </c>
      <c r="I259" s="3"/>
    </row>
    <row r="260" spans="1:9" x14ac:dyDescent="0.3">
      <c r="A260" s="2">
        <v>43745</v>
      </c>
      <c r="B260" s="1">
        <v>56.765000000000001</v>
      </c>
      <c r="C260" s="1">
        <v>1732.66</v>
      </c>
      <c r="D260" s="1">
        <v>179.68</v>
      </c>
      <c r="E260" s="3"/>
      <c r="F260" s="20">
        <f t="shared" si="12"/>
        <v>2.2023036184768487E-4</v>
      </c>
      <c r="G260" s="20">
        <f t="shared" si="13"/>
        <v>-4.0261436578099491E-3</v>
      </c>
      <c r="H260" s="20">
        <f t="shared" si="14"/>
        <v>-4.2762400986644765E-3</v>
      </c>
      <c r="I260" s="3"/>
    </row>
    <row r="261" spans="1:9" x14ac:dyDescent="0.3">
      <c r="A261" s="2">
        <v>43742</v>
      </c>
      <c r="B261" s="1">
        <v>56.752499999999998</v>
      </c>
      <c r="C261" s="1">
        <v>1739.65</v>
      </c>
      <c r="D261" s="1">
        <v>180.45</v>
      </c>
      <c r="E261" s="3"/>
      <c r="F261" s="20">
        <f t="shared" si="12"/>
        <v>2.7646179363548958E-2</v>
      </c>
      <c r="G261" s="20">
        <f t="shared" si="13"/>
        <v>8.7931815072399382E-3</v>
      </c>
      <c r="H261" s="20">
        <f t="shared" si="14"/>
        <v>5.9472703989405058E-3</v>
      </c>
      <c r="I261" s="3"/>
    </row>
    <row r="262" spans="1:9" x14ac:dyDescent="0.3">
      <c r="A262" s="2">
        <v>43741</v>
      </c>
      <c r="B262" s="1">
        <v>55.204999999999998</v>
      </c>
      <c r="C262" s="1">
        <v>1724.42</v>
      </c>
      <c r="D262" s="1">
        <v>179.38</v>
      </c>
      <c r="E262" s="3"/>
      <c r="F262" s="20">
        <f t="shared" ref="F262:F325" si="15">LN(B262/B263)</f>
        <v>8.4588252785671274E-3</v>
      </c>
      <c r="G262" s="20">
        <f t="shared" ref="G262:G325" si="16">LN(C262/C263)</f>
        <v>6.5102843645327485E-3</v>
      </c>
      <c r="H262" s="20">
        <f t="shared" ref="H262:H325" si="17">LN(D262/D263)</f>
        <v>2.7008817284355106E-2</v>
      </c>
      <c r="I262" s="3"/>
    </row>
    <row r="263" spans="1:9" x14ac:dyDescent="0.3">
      <c r="A263" s="2">
        <v>43740</v>
      </c>
      <c r="B263" s="1">
        <v>54.74</v>
      </c>
      <c r="C263" s="1">
        <v>1713.23</v>
      </c>
      <c r="D263" s="1">
        <v>174.6</v>
      </c>
      <c r="E263" s="3"/>
      <c r="F263" s="20">
        <f t="shared" si="15"/>
        <v>-2.5387452983207721E-2</v>
      </c>
      <c r="G263" s="20">
        <f t="shared" si="16"/>
        <v>-1.3001505312200477E-2</v>
      </c>
      <c r="H263" s="20">
        <f t="shared" si="17"/>
        <v>-6.9062230491964086E-3</v>
      </c>
      <c r="I263" s="3"/>
    </row>
    <row r="264" spans="1:9" x14ac:dyDescent="0.3">
      <c r="A264" s="2">
        <v>43739</v>
      </c>
      <c r="B264" s="1">
        <v>56.147500000000001</v>
      </c>
      <c r="C264" s="1">
        <v>1735.65</v>
      </c>
      <c r="D264" s="1">
        <v>175.81</v>
      </c>
      <c r="E264" s="3"/>
      <c r="F264" s="20">
        <f t="shared" si="15"/>
        <v>2.7644034012519973E-3</v>
      </c>
      <c r="G264" s="20">
        <f t="shared" si="16"/>
        <v>-1.4978856795571022E-4</v>
      </c>
      <c r="H264" s="20">
        <f t="shared" si="17"/>
        <v>-1.282902107253648E-2</v>
      </c>
      <c r="I264" s="3"/>
    </row>
    <row r="265" spans="1:9" x14ac:dyDescent="0.3">
      <c r="A265" s="2">
        <v>43738</v>
      </c>
      <c r="B265" s="1">
        <v>55.9925</v>
      </c>
      <c r="C265" s="1">
        <v>1735.91</v>
      </c>
      <c r="D265" s="1">
        <v>178.08</v>
      </c>
      <c r="E265" s="3"/>
      <c r="F265" s="20">
        <f t="shared" si="15"/>
        <v>2.3262640265735535E-2</v>
      </c>
      <c r="G265" s="20">
        <f t="shared" si="16"/>
        <v>6.0438855482828849E-3</v>
      </c>
      <c r="H265" s="20">
        <f t="shared" si="17"/>
        <v>5.5183427384470334E-3</v>
      </c>
      <c r="I265" s="3"/>
    </row>
    <row r="266" spans="1:9" x14ac:dyDescent="0.3">
      <c r="A266" s="2">
        <v>43735</v>
      </c>
      <c r="B266" s="1">
        <v>54.704999999999998</v>
      </c>
      <c r="C266" s="1">
        <v>1725.45</v>
      </c>
      <c r="D266" s="1">
        <v>177.1</v>
      </c>
      <c r="E266" s="3"/>
      <c r="F266" s="20">
        <f t="shared" si="15"/>
        <v>-4.8779472620353002E-3</v>
      </c>
      <c r="G266" s="20">
        <f t="shared" si="16"/>
        <v>-8.3052689474267631E-3</v>
      </c>
      <c r="H266" s="20">
        <f t="shared" si="17"/>
        <v>-1.685323056017831E-2</v>
      </c>
      <c r="I266" s="3"/>
    </row>
    <row r="267" spans="1:9" x14ac:dyDescent="0.3">
      <c r="A267" s="2">
        <v>43734</v>
      </c>
      <c r="B267" s="1">
        <v>54.972499999999997</v>
      </c>
      <c r="C267" s="1">
        <v>1739.84</v>
      </c>
      <c r="D267" s="1">
        <v>180.11</v>
      </c>
      <c r="E267" s="3"/>
      <c r="F267" s="20">
        <f t="shared" si="15"/>
        <v>-5.1710176006716808E-3</v>
      </c>
      <c r="G267" s="20">
        <f t="shared" si="16"/>
        <v>-1.6242443406503684E-2</v>
      </c>
      <c r="H267" s="20">
        <f t="shared" si="17"/>
        <v>-1.482488367108355E-2</v>
      </c>
      <c r="I267" s="3"/>
    </row>
    <row r="268" spans="1:9" x14ac:dyDescent="0.3">
      <c r="A268" s="2">
        <v>43733</v>
      </c>
      <c r="B268" s="1">
        <v>55.2575</v>
      </c>
      <c r="C268" s="1">
        <v>1768.33</v>
      </c>
      <c r="D268" s="1">
        <v>182.8</v>
      </c>
      <c r="E268" s="3"/>
      <c r="F268" s="20">
        <f t="shared" si="15"/>
        <v>1.5272344436359988E-2</v>
      </c>
      <c r="G268" s="20">
        <f t="shared" si="16"/>
        <v>1.5225625613628455E-2</v>
      </c>
      <c r="H268" s="20">
        <f t="shared" si="17"/>
        <v>8.3498617403534054E-3</v>
      </c>
      <c r="I268" s="3"/>
    </row>
    <row r="269" spans="1:9" x14ac:dyDescent="0.3">
      <c r="A269" s="2">
        <v>43732</v>
      </c>
      <c r="B269" s="1">
        <v>54.42</v>
      </c>
      <c r="C269" s="1">
        <v>1741.61</v>
      </c>
      <c r="D269" s="1">
        <v>181.28</v>
      </c>
      <c r="E269" s="3"/>
      <c r="F269" s="20">
        <f t="shared" si="15"/>
        <v>-4.7662785006485648E-3</v>
      </c>
      <c r="G269" s="20">
        <f t="shared" si="16"/>
        <v>-2.4776495568484869E-2</v>
      </c>
      <c r="H269" s="20">
        <f t="shared" si="17"/>
        <v>-3.0102789165006475E-2</v>
      </c>
      <c r="I269" s="3"/>
    </row>
    <row r="270" spans="1:9" x14ac:dyDescent="0.3">
      <c r="A270" s="2">
        <v>43731</v>
      </c>
      <c r="B270" s="1">
        <v>54.68</v>
      </c>
      <c r="C270" s="1">
        <v>1785.3</v>
      </c>
      <c r="D270" s="1">
        <v>186.82</v>
      </c>
      <c r="E270" s="3"/>
      <c r="F270" s="20">
        <f t="shared" si="15"/>
        <v>4.5366099114118562E-3</v>
      </c>
      <c r="G270" s="20">
        <f t="shared" si="16"/>
        <v>-4.9504774991176006E-3</v>
      </c>
      <c r="H270" s="20">
        <f t="shared" si="17"/>
        <v>-1.6509996779442222E-2</v>
      </c>
      <c r="I270" s="3"/>
    </row>
    <row r="271" spans="1:9" x14ac:dyDescent="0.3">
      <c r="A271" s="2">
        <v>43728</v>
      </c>
      <c r="B271" s="1">
        <v>54.432499999999997</v>
      </c>
      <c r="C271" s="1">
        <v>1794.16</v>
      </c>
      <c r="D271" s="1">
        <v>189.93</v>
      </c>
      <c r="E271" s="3"/>
      <c r="F271" s="20">
        <f t="shared" si="15"/>
        <v>-1.4725926596754473E-2</v>
      </c>
      <c r="G271" s="20">
        <f t="shared" si="16"/>
        <v>-1.5123391630584857E-2</v>
      </c>
      <c r="H271" s="20">
        <f t="shared" si="17"/>
        <v>-1.1050597067394535E-3</v>
      </c>
      <c r="I271" s="3"/>
    </row>
    <row r="272" spans="1:9" x14ac:dyDescent="0.3">
      <c r="A272" s="2">
        <v>43727</v>
      </c>
      <c r="B272" s="1">
        <v>55.24</v>
      </c>
      <c r="C272" s="1">
        <v>1821.5</v>
      </c>
      <c r="D272" s="1">
        <v>190.14</v>
      </c>
      <c r="E272" s="3"/>
      <c r="F272" s="20">
        <f t="shared" si="15"/>
        <v>-8.1581594158005397E-3</v>
      </c>
      <c r="G272" s="20">
        <f t="shared" si="16"/>
        <v>2.2204155362240481E-3</v>
      </c>
      <c r="H272" s="20">
        <f t="shared" si="17"/>
        <v>1.0574276387078974E-2</v>
      </c>
      <c r="I272" s="3"/>
    </row>
    <row r="273" spans="1:9" x14ac:dyDescent="0.3">
      <c r="A273" s="2">
        <v>43726</v>
      </c>
      <c r="B273" s="1">
        <v>55.692500000000003</v>
      </c>
      <c r="C273" s="1">
        <v>1817.46</v>
      </c>
      <c r="D273" s="1">
        <v>188.14</v>
      </c>
      <c r="E273" s="3"/>
      <c r="F273" s="20">
        <f t="shared" si="15"/>
        <v>9.3355358140919369E-3</v>
      </c>
      <c r="G273" s="20">
        <f t="shared" si="16"/>
        <v>-2.7966974363400391E-3</v>
      </c>
      <c r="H273" s="20">
        <f t="shared" si="17"/>
        <v>3.1896231199108287E-4</v>
      </c>
      <c r="I273" s="3"/>
    </row>
    <row r="274" spans="1:9" x14ac:dyDescent="0.3">
      <c r="A274" s="2">
        <v>43725</v>
      </c>
      <c r="B274" s="1">
        <v>55.174999999999997</v>
      </c>
      <c r="C274" s="1">
        <v>1822.55</v>
      </c>
      <c r="D274" s="1">
        <v>188.08</v>
      </c>
      <c r="E274" s="3"/>
      <c r="F274" s="20">
        <f t="shared" si="15"/>
        <v>3.6314157019752399E-3</v>
      </c>
      <c r="G274" s="20">
        <f t="shared" si="16"/>
        <v>8.1038568877982997E-3</v>
      </c>
      <c r="H274" s="20">
        <f t="shared" si="17"/>
        <v>9.9386337714303732E-3</v>
      </c>
      <c r="I274" s="3"/>
    </row>
    <row r="275" spans="1:9" x14ac:dyDescent="0.3">
      <c r="A275" s="2">
        <v>43724</v>
      </c>
      <c r="B275" s="1">
        <v>54.975000000000001</v>
      </c>
      <c r="C275" s="1">
        <v>1807.84</v>
      </c>
      <c r="D275" s="1">
        <v>186.22</v>
      </c>
      <c r="E275" s="3"/>
      <c r="F275" s="20">
        <f t="shared" si="15"/>
        <v>5.2433723229916816E-3</v>
      </c>
      <c r="G275" s="20">
        <f t="shared" si="16"/>
        <v>-1.7274049143248069E-2</v>
      </c>
      <c r="H275" s="20">
        <f t="shared" si="17"/>
        <v>-5.1953733528539827E-3</v>
      </c>
      <c r="I275" s="3"/>
    </row>
    <row r="276" spans="1:9" x14ac:dyDescent="0.3">
      <c r="A276" s="2">
        <v>43721</v>
      </c>
      <c r="B276" s="1">
        <v>54.6875</v>
      </c>
      <c r="C276" s="1">
        <v>1839.34</v>
      </c>
      <c r="D276" s="1">
        <v>187.19</v>
      </c>
      <c r="E276" s="3"/>
      <c r="F276" s="20">
        <f t="shared" si="15"/>
        <v>-1.9622442996736846E-2</v>
      </c>
      <c r="G276" s="20">
        <f t="shared" si="16"/>
        <v>-2.2862490238822245E-3</v>
      </c>
      <c r="H276" s="20">
        <f t="shared" si="17"/>
        <v>-1.4946887958622167E-3</v>
      </c>
      <c r="I276" s="3"/>
    </row>
    <row r="277" spans="1:9" x14ac:dyDescent="0.3">
      <c r="A277" s="2">
        <v>43720</v>
      </c>
      <c r="B277" s="1">
        <v>55.7712</v>
      </c>
      <c r="C277" s="1">
        <v>1843.55</v>
      </c>
      <c r="D277" s="1">
        <v>187.47</v>
      </c>
      <c r="E277" s="3"/>
      <c r="F277" s="20">
        <f t="shared" si="15"/>
        <v>-2.2620493272514958E-3</v>
      </c>
      <c r="G277" s="20">
        <f t="shared" si="16"/>
        <v>1.1215050427970243E-2</v>
      </c>
      <c r="H277" s="20">
        <f t="shared" si="17"/>
        <v>-5.4261224738654272E-3</v>
      </c>
      <c r="I277" s="3"/>
    </row>
    <row r="278" spans="1:9" x14ac:dyDescent="0.3">
      <c r="A278" s="2">
        <v>43719</v>
      </c>
      <c r="B278" s="1">
        <v>55.897500000000001</v>
      </c>
      <c r="C278" s="1">
        <v>1822.99</v>
      </c>
      <c r="D278" s="1">
        <v>188.49</v>
      </c>
      <c r="E278" s="3"/>
      <c r="F278" s="20">
        <f t="shared" si="15"/>
        <v>3.1300109019398815E-2</v>
      </c>
      <c r="G278" s="20">
        <f t="shared" si="16"/>
        <v>1.3393569796161071E-3</v>
      </c>
      <c r="H278" s="20">
        <f t="shared" si="17"/>
        <v>1.2384720299159775E-2</v>
      </c>
      <c r="I278" s="3"/>
    </row>
    <row r="279" spans="1:9" x14ac:dyDescent="0.3">
      <c r="A279" s="2">
        <v>43718</v>
      </c>
      <c r="B279" s="1">
        <v>54.174999999999997</v>
      </c>
      <c r="C279" s="1">
        <v>1820.55</v>
      </c>
      <c r="D279" s="1">
        <v>186.17</v>
      </c>
      <c r="E279" s="3"/>
      <c r="F279" s="20">
        <f t="shared" si="15"/>
        <v>1.1743816359834488E-2</v>
      </c>
      <c r="G279" s="20">
        <f t="shared" si="16"/>
        <v>-5.9147465624939163E-3</v>
      </c>
      <c r="H279" s="20">
        <f t="shared" si="17"/>
        <v>-1.3816132074381145E-2</v>
      </c>
      <c r="I279" s="3"/>
    </row>
    <row r="280" spans="1:9" x14ac:dyDescent="0.3">
      <c r="A280" s="2">
        <v>43717</v>
      </c>
      <c r="B280" s="1">
        <v>53.542499999999997</v>
      </c>
      <c r="C280" s="1">
        <v>1831.35</v>
      </c>
      <c r="D280" s="1">
        <v>188.76</v>
      </c>
      <c r="E280" s="3"/>
      <c r="F280" s="20">
        <f t="shared" si="15"/>
        <v>4.2580135924454414E-3</v>
      </c>
      <c r="G280" s="20">
        <f t="shared" si="16"/>
        <v>-1.1787627631651659E-3</v>
      </c>
      <c r="H280" s="20">
        <f t="shared" si="17"/>
        <v>6.7508562033273432E-3</v>
      </c>
      <c r="I280" s="3"/>
    </row>
    <row r="281" spans="1:9" x14ac:dyDescent="0.3">
      <c r="A281" s="2">
        <v>43714</v>
      </c>
      <c r="B281" s="1">
        <v>53.314999999999998</v>
      </c>
      <c r="C281" s="1">
        <v>1833.51</v>
      </c>
      <c r="D281" s="1">
        <v>187.49</v>
      </c>
      <c r="E281" s="3"/>
      <c r="F281" s="20">
        <f t="shared" si="15"/>
        <v>-9.3777840365146266E-5</v>
      </c>
      <c r="G281" s="20">
        <f t="shared" si="16"/>
        <v>-3.9246368651380649E-3</v>
      </c>
      <c r="H281" s="20">
        <f t="shared" si="17"/>
        <v>-1.8024220076842512E-2</v>
      </c>
      <c r="I281" s="3"/>
    </row>
    <row r="282" spans="1:9" x14ac:dyDescent="0.3">
      <c r="A282" s="2">
        <v>43713</v>
      </c>
      <c r="B282" s="1">
        <v>53.32</v>
      </c>
      <c r="C282" s="1">
        <v>1840.72</v>
      </c>
      <c r="D282" s="1">
        <v>190.9</v>
      </c>
      <c r="E282" s="3"/>
      <c r="F282" s="20">
        <f t="shared" si="15"/>
        <v>1.9362926529369578E-2</v>
      </c>
      <c r="G282" s="20">
        <f t="shared" si="16"/>
        <v>2.202574938994618E-2</v>
      </c>
      <c r="H282" s="20">
        <f t="shared" si="17"/>
        <v>1.9892730883935159E-2</v>
      </c>
      <c r="I282" s="3"/>
    </row>
    <row r="283" spans="1:9" x14ac:dyDescent="0.3">
      <c r="A283" s="2">
        <v>43712</v>
      </c>
      <c r="B283" s="1">
        <v>52.297499999999999</v>
      </c>
      <c r="C283" s="1">
        <v>1800.62</v>
      </c>
      <c r="D283" s="1">
        <v>187.14</v>
      </c>
      <c r="E283" s="3"/>
      <c r="F283" s="20">
        <f t="shared" si="15"/>
        <v>1.6824133242117543E-2</v>
      </c>
      <c r="G283" s="20">
        <f t="shared" si="16"/>
        <v>6.0048196565104482E-3</v>
      </c>
      <c r="H283" s="20">
        <f t="shared" si="17"/>
        <v>2.5709748271860559E-2</v>
      </c>
      <c r="I283" s="3"/>
    </row>
    <row r="284" spans="1:9" x14ac:dyDescent="0.3">
      <c r="A284" s="2">
        <v>43711</v>
      </c>
      <c r="B284" s="1">
        <v>51.424999999999997</v>
      </c>
      <c r="C284" s="1">
        <v>1789.84</v>
      </c>
      <c r="D284" s="1">
        <v>182.39</v>
      </c>
      <c r="E284" s="3"/>
      <c r="F284" s="20">
        <f t="shared" si="15"/>
        <v>-1.467066173299424E-2</v>
      </c>
      <c r="G284" s="20">
        <f t="shared" si="16"/>
        <v>7.5993108544985767E-3</v>
      </c>
      <c r="H284" s="20">
        <f t="shared" si="17"/>
        <v>-1.7823652843473488E-2</v>
      </c>
      <c r="I284" s="3"/>
    </row>
    <row r="285" spans="1:9" x14ac:dyDescent="0.3">
      <c r="A285" s="2">
        <v>43710</v>
      </c>
      <c r="B285" s="1">
        <v>52.185000000000002</v>
      </c>
      <c r="C285" s="1">
        <v>1776.29</v>
      </c>
      <c r="D285" s="1">
        <v>185.67</v>
      </c>
      <c r="E285" s="3"/>
      <c r="F285" s="20">
        <f t="shared" si="15"/>
        <v>0</v>
      </c>
      <c r="G285" s="20">
        <f t="shared" si="16"/>
        <v>0</v>
      </c>
      <c r="H285" s="20">
        <f t="shared" si="17"/>
        <v>0</v>
      </c>
      <c r="I285" s="3"/>
    </row>
    <row r="286" spans="1:9" x14ac:dyDescent="0.3">
      <c r="A286" s="2">
        <v>43707</v>
      </c>
      <c r="B286" s="1">
        <v>52.185000000000002</v>
      </c>
      <c r="C286" s="1">
        <v>1776.29</v>
      </c>
      <c r="D286" s="1">
        <v>185.67</v>
      </c>
      <c r="E286" s="3"/>
      <c r="F286" s="20">
        <f t="shared" si="15"/>
        <v>-1.2926393182315016E-3</v>
      </c>
      <c r="G286" s="20">
        <f t="shared" si="16"/>
        <v>-5.6755020156260428E-3</v>
      </c>
      <c r="H286" s="20">
        <f t="shared" si="17"/>
        <v>5.387350631322988E-4</v>
      </c>
      <c r="I286" s="3"/>
    </row>
    <row r="287" spans="1:9" x14ac:dyDescent="0.3">
      <c r="A287" s="2">
        <v>43706</v>
      </c>
      <c r="B287" s="1">
        <v>52.252499999999998</v>
      </c>
      <c r="C287" s="1">
        <v>1786.4</v>
      </c>
      <c r="D287" s="1">
        <v>185.57</v>
      </c>
      <c r="E287" s="3"/>
      <c r="F287" s="20">
        <f t="shared" si="15"/>
        <v>1.6790089027219835E-2</v>
      </c>
      <c r="G287" s="20">
        <f t="shared" si="16"/>
        <v>1.2476750645008533E-2</v>
      </c>
      <c r="H287" s="20">
        <f t="shared" si="17"/>
        <v>2.0745033823461059E-2</v>
      </c>
      <c r="I287" s="3"/>
    </row>
    <row r="288" spans="1:9" x14ac:dyDescent="0.3">
      <c r="A288" s="2">
        <v>43705</v>
      </c>
      <c r="B288" s="1">
        <v>51.3825</v>
      </c>
      <c r="C288" s="1">
        <v>1764.25</v>
      </c>
      <c r="D288" s="1">
        <v>181.76</v>
      </c>
      <c r="E288" s="3"/>
      <c r="F288" s="20">
        <f t="shared" si="15"/>
        <v>6.6880085264923173E-3</v>
      </c>
      <c r="G288" s="20">
        <f t="shared" si="16"/>
        <v>1.3726293107147616E-3</v>
      </c>
      <c r="H288" s="20">
        <f t="shared" si="17"/>
        <v>2.5340177719810329E-3</v>
      </c>
      <c r="I288" s="3"/>
    </row>
    <row r="289" spans="1:9" x14ac:dyDescent="0.3">
      <c r="A289" s="2">
        <v>43704</v>
      </c>
      <c r="B289" s="1">
        <v>51.04</v>
      </c>
      <c r="C289" s="1">
        <v>1761.83</v>
      </c>
      <c r="D289" s="1">
        <v>181.3</v>
      </c>
      <c r="E289" s="3"/>
      <c r="F289" s="20">
        <f t="shared" si="15"/>
        <v>-1.1347984921957514E-2</v>
      </c>
      <c r="G289" s="20">
        <f t="shared" si="16"/>
        <v>-3.9878830429554155E-3</v>
      </c>
      <c r="H289" s="20">
        <f t="shared" si="17"/>
        <v>5.1982642079218908E-3</v>
      </c>
      <c r="I289" s="3"/>
    </row>
    <row r="290" spans="1:9" x14ac:dyDescent="0.3">
      <c r="A290" s="2">
        <v>43703</v>
      </c>
      <c r="B290" s="1">
        <v>51.622500000000002</v>
      </c>
      <c r="C290" s="1">
        <v>1768.87</v>
      </c>
      <c r="D290" s="1">
        <v>180.36</v>
      </c>
      <c r="E290" s="3"/>
      <c r="F290" s="20">
        <f t="shared" si="15"/>
        <v>1.8820979384962869E-2</v>
      </c>
      <c r="G290" s="20">
        <f t="shared" si="16"/>
        <v>1.0942303131687122E-2</v>
      </c>
      <c r="H290" s="20">
        <f t="shared" si="17"/>
        <v>1.4576784869533295E-2</v>
      </c>
      <c r="I290" s="3"/>
    </row>
    <row r="291" spans="1:9" x14ac:dyDescent="0.3">
      <c r="A291" s="2">
        <v>43700</v>
      </c>
      <c r="B291" s="1">
        <v>50.66</v>
      </c>
      <c r="C291" s="1">
        <v>1749.62</v>
      </c>
      <c r="D291" s="1">
        <v>177.75</v>
      </c>
      <c r="E291" s="3"/>
      <c r="F291" s="20">
        <f t="shared" si="15"/>
        <v>-4.7322729658447658E-2</v>
      </c>
      <c r="G291" s="20">
        <f t="shared" si="16"/>
        <v>-3.1494325021832657E-2</v>
      </c>
      <c r="H291" s="20">
        <f t="shared" si="17"/>
        <v>-2.3848374465090909E-2</v>
      </c>
      <c r="I291" s="3"/>
    </row>
    <row r="292" spans="1:9" x14ac:dyDescent="0.3">
      <c r="A292" s="2">
        <v>43699</v>
      </c>
      <c r="B292" s="1">
        <v>53.115000000000002</v>
      </c>
      <c r="C292" s="1">
        <v>1805.6</v>
      </c>
      <c r="D292" s="1">
        <v>182.04</v>
      </c>
      <c r="E292" s="3"/>
      <c r="F292" s="20">
        <f t="shared" si="15"/>
        <v>-8.4685961306768163E-4</v>
      </c>
      <c r="G292" s="20">
        <f t="shared" si="16"/>
        <v>-9.8867203424968537E-3</v>
      </c>
      <c r="H292" s="20">
        <f t="shared" si="17"/>
        <v>-8.2606667944021949E-3</v>
      </c>
      <c r="I292" s="3"/>
    </row>
    <row r="293" spans="1:9" x14ac:dyDescent="0.3">
      <c r="A293" s="2">
        <v>43698</v>
      </c>
      <c r="B293" s="1">
        <v>53.16</v>
      </c>
      <c r="C293" s="1">
        <v>1823.54</v>
      </c>
      <c r="D293" s="1">
        <v>183.55</v>
      </c>
      <c r="E293" s="3"/>
      <c r="F293" s="20">
        <f t="shared" si="15"/>
        <v>1.0780246243791704E-2</v>
      </c>
      <c r="G293" s="20">
        <f t="shared" si="16"/>
        <v>1.2226629033665211E-2</v>
      </c>
      <c r="H293" s="20">
        <f t="shared" si="17"/>
        <v>-1.4155054628294899E-3</v>
      </c>
      <c r="I293" s="3"/>
    </row>
    <row r="294" spans="1:9" x14ac:dyDescent="0.3">
      <c r="A294" s="2">
        <v>43697</v>
      </c>
      <c r="B294" s="1">
        <v>52.59</v>
      </c>
      <c r="C294" s="1">
        <v>1801.38</v>
      </c>
      <c r="D294" s="1">
        <v>183.81</v>
      </c>
      <c r="E294" s="3"/>
      <c r="F294" s="20">
        <f t="shared" si="15"/>
        <v>4.7538684613537089E-5</v>
      </c>
      <c r="G294" s="20">
        <f t="shared" si="16"/>
        <v>-8.1493194610948189E-3</v>
      </c>
      <c r="H294" s="20">
        <f t="shared" si="17"/>
        <v>-1.2757619378132631E-2</v>
      </c>
      <c r="I294" s="3"/>
    </row>
    <row r="295" spans="1:9" x14ac:dyDescent="0.3">
      <c r="A295" s="2">
        <v>43696</v>
      </c>
      <c r="B295" s="1">
        <v>52.587499999999999</v>
      </c>
      <c r="C295" s="1">
        <v>1816.12</v>
      </c>
      <c r="D295" s="1">
        <v>186.17</v>
      </c>
      <c r="E295" s="3"/>
      <c r="F295" s="20">
        <f t="shared" si="15"/>
        <v>1.8472397635442481E-2</v>
      </c>
      <c r="G295" s="20">
        <f t="shared" si="16"/>
        <v>1.3052012958065667E-2</v>
      </c>
      <c r="H295" s="20">
        <f t="shared" si="17"/>
        <v>1.3356242562725542E-2</v>
      </c>
      <c r="I295" s="3"/>
    </row>
    <row r="296" spans="1:9" x14ac:dyDescent="0.3">
      <c r="A296" s="2">
        <v>43693</v>
      </c>
      <c r="B296" s="1">
        <v>51.625</v>
      </c>
      <c r="C296" s="1">
        <v>1792.57</v>
      </c>
      <c r="D296" s="1">
        <v>183.7</v>
      </c>
      <c r="E296" s="3"/>
      <c r="F296" s="20">
        <f t="shared" si="15"/>
        <v>2.332067277439805E-2</v>
      </c>
      <c r="G296" s="20">
        <f t="shared" si="16"/>
        <v>9.2191344780888102E-3</v>
      </c>
      <c r="H296" s="20">
        <f t="shared" si="17"/>
        <v>6.0607900724383868E-3</v>
      </c>
      <c r="I296" s="3"/>
    </row>
    <row r="297" spans="1:9" x14ac:dyDescent="0.3">
      <c r="A297" s="2">
        <v>43692</v>
      </c>
      <c r="B297" s="1">
        <v>50.435000000000002</v>
      </c>
      <c r="C297" s="1">
        <v>1776.12</v>
      </c>
      <c r="D297" s="1">
        <v>182.59</v>
      </c>
      <c r="E297" s="3"/>
      <c r="F297" s="20">
        <f t="shared" si="15"/>
        <v>-4.9939533688328677E-3</v>
      </c>
      <c r="G297" s="20">
        <f t="shared" si="16"/>
        <v>7.4369952955964476E-3</v>
      </c>
      <c r="H297" s="20">
        <f t="shared" si="17"/>
        <v>1.5898761604710862E-2</v>
      </c>
      <c r="I297" s="3"/>
    </row>
    <row r="298" spans="1:9" x14ac:dyDescent="0.3">
      <c r="A298" s="2">
        <v>43691</v>
      </c>
      <c r="B298" s="1">
        <v>50.6875</v>
      </c>
      <c r="C298" s="1">
        <v>1762.96</v>
      </c>
      <c r="D298" s="1">
        <v>179.71</v>
      </c>
      <c r="E298" s="3"/>
      <c r="F298" s="20">
        <f t="shared" si="15"/>
        <v>-3.0217007996484326E-2</v>
      </c>
      <c r="G298" s="20">
        <f t="shared" si="16"/>
        <v>-3.4224063230572158E-2</v>
      </c>
      <c r="H298" s="20">
        <f t="shared" si="17"/>
        <v>-4.7488279169213582E-2</v>
      </c>
      <c r="I298" s="3"/>
    </row>
    <row r="299" spans="1:9" x14ac:dyDescent="0.3">
      <c r="A299" s="2">
        <v>43690</v>
      </c>
      <c r="B299" s="1">
        <v>52.2425</v>
      </c>
      <c r="C299" s="1">
        <v>1824.34</v>
      </c>
      <c r="D299" s="1">
        <v>188.45</v>
      </c>
      <c r="E299" s="3"/>
      <c r="F299" s="20">
        <f t="shared" si="15"/>
        <v>4.1476209844248525E-2</v>
      </c>
      <c r="G299" s="20">
        <f t="shared" si="16"/>
        <v>2.1844681489857892E-2</v>
      </c>
      <c r="H299" s="20">
        <f t="shared" si="17"/>
        <v>1.6478891972146411E-2</v>
      </c>
      <c r="I299" s="3"/>
    </row>
    <row r="300" spans="1:9" x14ac:dyDescent="0.3">
      <c r="A300" s="2">
        <v>43689</v>
      </c>
      <c r="B300" s="1">
        <v>50.12</v>
      </c>
      <c r="C300" s="1">
        <v>1784.92</v>
      </c>
      <c r="D300" s="1">
        <v>185.37</v>
      </c>
      <c r="E300" s="3"/>
      <c r="F300" s="20">
        <f t="shared" si="15"/>
        <v>-2.5406644299024541E-3</v>
      </c>
      <c r="G300" s="20">
        <f t="shared" si="16"/>
        <v>-1.261533779892076E-2</v>
      </c>
      <c r="H300" s="20">
        <f t="shared" si="17"/>
        <v>-1.3289944278979948E-2</v>
      </c>
      <c r="I300" s="3"/>
    </row>
    <row r="301" spans="1:9" x14ac:dyDescent="0.3">
      <c r="A301" s="2">
        <v>43686</v>
      </c>
      <c r="B301" s="1">
        <v>50.247500000000002</v>
      </c>
      <c r="C301" s="1">
        <v>1807.58</v>
      </c>
      <c r="D301" s="1">
        <v>187.85</v>
      </c>
      <c r="E301" s="3"/>
      <c r="F301" s="20">
        <f t="shared" si="15"/>
        <v>-1.2066809786199935E-2</v>
      </c>
      <c r="G301" s="20">
        <f t="shared" si="16"/>
        <v>-1.3905022046767468E-2</v>
      </c>
      <c r="H301" s="20">
        <f t="shared" si="17"/>
        <v>-1.2222051031960598E-2</v>
      </c>
      <c r="I301" s="3"/>
    </row>
    <row r="302" spans="1:9" x14ac:dyDescent="0.3">
      <c r="A302" s="2">
        <v>43685</v>
      </c>
      <c r="B302" s="1">
        <v>50.857500000000002</v>
      </c>
      <c r="C302" s="1">
        <v>1832.89</v>
      </c>
      <c r="D302" s="1">
        <v>190.16</v>
      </c>
      <c r="E302" s="3"/>
      <c r="F302" s="20">
        <f t="shared" si="15"/>
        <v>2.1816155813045975E-2</v>
      </c>
      <c r="G302" s="20">
        <f t="shared" si="16"/>
        <v>2.1780696609956279E-2</v>
      </c>
      <c r="H302" s="20">
        <f t="shared" si="17"/>
        <v>2.6699515692316635E-2</v>
      </c>
      <c r="I302" s="3"/>
    </row>
    <row r="303" spans="1:9" x14ac:dyDescent="0.3">
      <c r="A303" s="2">
        <v>43684</v>
      </c>
      <c r="B303" s="1">
        <v>49.76</v>
      </c>
      <c r="C303" s="1">
        <v>1793.4</v>
      </c>
      <c r="D303" s="1">
        <v>185.15</v>
      </c>
      <c r="E303" s="3"/>
      <c r="F303" s="20">
        <f t="shared" si="15"/>
        <v>1.0302080812826029E-2</v>
      </c>
      <c r="G303" s="20">
        <f t="shared" si="16"/>
        <v>3.110665604492237E-3</v>
      </c>
      <c r="H303" s="20">
        <f t="shared" si="17"/>
        <v>3.4626448058306921E-3</v>
      </c>
      <c r="I303" s="3"/>
    </row>
    <row r="304" spans="1:9" x14ac:dyDescent="0.3">
      <c r="A304" s="2">
        <v>43683</v>
      </c>
      <c r="B304" s="1">
        <v>49.25</v>
      </c>
      <c r="C304" s="1">
        <v>1787.83</v>
      </c>
      <c r="D304" s="1">
        <v>184.51</v>
      </c>
      <c r="E304" s="3"/>
      <c r="F304" s="20">
        <f t="shared" si="15"/>
        <v>1.8753431701529048E-2</v>
      </c>
      <c r="G304" s="20">
        <f t="shared" si="16"/>
        <v>1.2778251867474588E-2</v>
      </c>
      <c r="H304" s="20">
        <f t="shared" si="17"/>
        <v>1.5181593460621109E-2</v>
      </c>
      <c r="I304" s="3"/>
    </row>
    <row r="305" spans="1:9" x14ac:dyDescent="0.3">
      <c r="A305" s="2">
        <v>43682</v>
      </c>
      <c r="B305" s="1">
        <v>48.335000000000001</v>
      </c>
      <c r="C305" s="1">
        <v>1765.13</v>
      </c>
      <c r="D305" s="1">
        <v>181.73</v>
      </c>
      <c r="E305" s="3"/>
      <c r="F305" s="20">
        <f t="shared" si="15"/>
        <v>-5.3767731217913485E-2</v>
      </c>
      <c r="G305" s="20">
        <f t="shared" si="16"/>
        <v>-3.2390796091953757E-2</v>
      </c>
      <c r="H305" s="20">
        <f t="shared" si="17"/>
        <v>-3.9330760473740206E-2</v>
      </c>
      <c r="I305" s="3"/>
    </row>
    <row r="306" spans="1:9" x14ac:dyDescent="0.3">
      <c r="A306" s="2">
        <v>43679</v>
      </c>
      <c r="B306" s="1">
        <v>51.005000000000003</v>
      </c>
      <c r="C306" s="1">
        <v>1823.24</v>
      </c>
      <c r="D306" s="1">
        <v>189.02</v>
      </c>
      <c r="E306" s="3"/>
      <c r="F306" s="20">
        <f t="shared" si="15"/>
        <v>-2.1385225199206482E-2</v>
      </c>
      <c r="G306" s="20">
        <f t="shared" si="16"/>
        <v>-1.7442049764569166E-2</v>
      </c>
      <c r="H306" s="20">
        <f t="shared" si="17"/>
        <v>-1.9437416144049962E-2</v>
      </c>
      <c r="I306" s="3"/>
    </row>
    <row r="307" spans="1:9" x14ac:dyDescent="0.3">
      <c r="A307" s="2">
        <v>43678</v>
      </c>
      <c r="B307" s="1">
        <v>52.107500000000002</v>
      </c>
      <c r="C307" s="1">
        <v>1855.32</v>
      </c>
      <c r="D307" s="1">
        <v>192.73</v>
      </c>
      <c r="E307" s="3"/>
      <c r="F307" s="20">
        <f t="shared" si="15"/>
        <v>-2.1876688052097398E-2</v>
      </c>
      <c r="G307" s="20">
        <f t="shared" si="16"/>
        <v>-6.1578335953040905E-3</v>
      </c>
      <c r="H307" s="20">
        <f t="shared" si="17"/>
        <v>-7.7527781330813551E-3</v>
      </c>
      <c r="I307" s="3"/>
    </row>
    <row r="308" spans="1:9" x14ac:dyDescent="0.3">
      <c r="A308" s="2">
        <v>43677</v>
      </c>
      <c r="B308" s="1">
        <v>53.26</v>
      </c>
      <c r="C308" s="1">
        <v>1866.78</v>
      </c>
      <c r="D308" s="1">
        <v>194.23</v>
      </c>
      <c r="E308" s="3"/>
      <c r="F308" s="20">
        <f t="shared" si="15"/>
        <v>2.0198875525524452E-2</v>
      </c>
      <c r="G308" s="20">
        <f t="shared" si="16"/>
        <v>-1.6864880998106981E-2</v>
      </c>
      <c r="H308" s="20">
        <f t="shared" si="17"/>
        <v>-1.4363729968241062E-2</v>
      </c>
      <c r="I308" s="3"/>
    </row>
    <row r="309" spans="1:9" x14ac:dyDescent="0.3">
      <c r="A309" s="2">
        <v>43676</v>
      </c>
      <c r="B309" s="1">
        <v>52.195</v>
      </c>
      <c r="C309" s="1">
        <v>1898.53</v>
      </c>
      <c r="D309" s="1">
        <v>197.04</v>
      </c>
      <c r="E309" s="3"/>
      <c r="F309" s="20">
        <f t="shared" si="15"/>
        <v>-4.3014930349985717E-3</v>
      </c>
      <c r="G309" s="20">
        <f t="shared" si="16"/>
        <v>-7.3052400721718485E-3</v>
      </c>
      <c r="H309" s="20">
        <f t="shared" si="17"/>
        <v>5.5982638957863002E-3</v>
      </c>
      <c r="I309" s="3"/>
    </row>
    <row r="310" spans="1:9" x14ac:dyDescent="0.3">
      <c r="A310" s="2">
        <v>43675</v>
      </c>
      <c r="B310" s="1">
        <v>52.42</v>
      </c>
      <c r="C310" s="1">
        <v>1912.45</v>
      </c>
      <c r="D310" s="1">
        <v>195.94</v>
      </c>
      <c r="E310" s="3"/>
      <c r="F310" s="20">
        <f t="shared" si="15"/>
        <v>9.2952612154856042E-3</v>
      </c>
      <c r="G310" s="20">
        <f t="shared" si="16"/>
        <v>-1.5873760880211044E-2</v>
      </c>
      <c r="H310" s="20">
        <f t="shared" si="17"/>
        <v>-1.9258094729887799E-2</v>
      </c>
      <c r="I310" s="3"/>
    </row>
    <row r="311" spans="1:9" x14ac:dyDescent="0.3">
      <c r="A311" s="2">
        <v>43672</v>
      </c>
      <c r="B311" s="1">
        <v>51.935000000000002</v>
      </c>
      <c r="C311" s="1">
        <v>1943.05</v>
      </c>
      <c r="D311" s="1">
        <v>199.75</v>
      </c>
      <c r="E311" s="3"/>
      <c r="F311" s="20">
        <f t="shared" si="15"/>
        <v>3.4718908440613287E-3</v>
      </c>
      <c r="G311" s="20">
        <f t="shared" si="16"/>
        <v>-1.5711847977152776E-2</v>
      </c>
      <c r="H311" s="20">
        <f t="shared" si="17"/>
        <v>-4.7944955250177291E-3</v>
      </c>
      <c r="I311" s="3"/>
    </row>
    <row r="312" spans="1:9" x14ac:dyDescent="0.3">
      <c r="A312" s="2">
        <v>43671</v>
      </c>
      <c r="B312" s="1">
        <v>51.755000000000003</v>
      </c>
      <c r="C312" s="1">
        <v>1973.82</v>
      </c>
      <c r="D312" s="1">
        <v>200.71</v>
      </c>
      <c r="E312" s="3"/>
      <c r="F312" s="20">
        <f t="shared" si="15"/>
        <v>-7.9386497896891048E-3</v>
      </c>
      <c r="G312" s="20">
        <f t="shared" si="16"/>
        <v>-1.35813471262688E-2</v>
      </c>
      <c r="H312" s="20">
        <f t="shared" si="17"/>
        <v>-1.9488985487207566E-2</v>
      </c>
      <c r="I312" s="3"/>
    </row>
    <row r="313" spans="1:9" x14ac:dyDescent="0.3">
      <c r="A313" s="2">
        <v>43670</v>
      </c>
      <c r="B313" s="1">
        <v>52.167499999999997</v>
      </c>
      <c r="C313" s="1">
        <v>2000.81</v>
      </c>
      <c r="D313" s="1">
        <v>204.66</v>
      </c>
      <c r="E313" s="3"/>
      <c r="F313" s="20">
        <f t="shared" si="15"/>
        <v>-8.1435179705833594E-4</v>
      </c>
      <c r="G313" s="20">
        <f t="shared" si="16"/>
        <v>3.1637200067435533E-3</v>
      </c>
      <c r="H313" s="20">
        <f t="shared" si="17"/>
        <v>1.1301776234874021E-2</v>
      </c>
      <c r="I313" s="3"/>
    </row>
    <row r="314" spans="1:9" x14ac:dyDescent="0.3">
      <c r="A314" s="2">
        <v>43669</v>
      </c>
      <c r="B314" s="1">
        <v>52.21</v>
      </c>
      <c r="C314" s="1">
        <v>1994.49</v>
      </c>
      <c r="D314" s="1">
        <v>202.36</v>
      </c>
      <c r="E314" s="3"/>
      <c r="F314" s="20">
        <f t="shared" si="15"/>
        <v>7.7873777187458899E-3</v>
      </c>
      <c r="G314" s="20">
        <f t="shared" si="16"/>
        <v>4.4521344255298119E-3</v>
      </c>
      <c r="H314" s="20">
        <f t="shared" si="17"/>
        <v>1.9768706202576516E-4</v>
      </c>
      <c r="I314" s="3"/>
    </row>
    <row r="315" spans="1:9" x14ac:dyDescent="0.3">
      <c r="A315" s="2">
        <v>43668</v>
      </c>
      <c r="B315" s="1">
        <v>51.805</v>
      </c>
      <c r="C315" s="1">
        <v>1985.63</v>
      </c>
      <c r="D315" s="1">
        <v>202.32</v>
      </c>
      <c r="E315" s="3"/>
      <c r="F315" s="20">
        <f t="shared" si="15"/>
        <v>2.2596798568745524E-2</v>
      </c>
      <c r="G315" s="20">
        <f t="shared" si="16"/>
        <v>1.0688303465195049E-2</v>
      </c>
      <c r="H315" s="20">
        <f t="shared" si="17"/>
        <v>1.9767040740776582E-2</v>
      </c>
      <c r="I315" s="3"/>
    </row>
    <row r="316" spans="1:9" x14ac:dyDescent="0.3">
      <c r="A316" s="2">
        <v>43665</v>
      </c>
      <c r="B316" s="1">
        <v>50.647500000000001</v>
      </c>
      <c r="C316" s="1">
        <v>1964.52</v>
      </c>
      <c r="D316" s="1">
        <v>198.36</v>
      </c>
      <c r="E316" s="3"/>
      <c r="F316" s="20">
        <f t="shared" si="15"/>
        <v>-1.5040087546184295E-2</v>
      </c>
      <c r="G316" s="20">
        <f t="shared" si="16"/>
        <v>-6.7877351331131304E-3</v>
      </c>
      <c r="H316" s="20">
        <f t="shared" si="17"/>
        <v>-1.2126219642447289E-2</v>
      </c>
      <c r="I316" s="3"/>
    </row>
    <row r="317" spans="1:9" x14ac:dyDescent="0.3">
      <c r="A317" s="2">
        <v>43664</v>
      </c>
      <c r="B317" s="1">
        <v>51.414999999999999</v>
      </c>
      <c r="C317" s="1">
        <v>1977.9</v>
      </c>
      <c r="D317" s="1">
        <v>200.78</v>
      </c>
      <c r="E317" s="3"/>
      <c r="F317" s="20">
        <f t="shared" si="15"/>
        <v>1.129568744781095E-2</v>
      </c>
      <c r="G317" s="20">
        <f t="shared" si="16"/>
        <v>-7.1185434847394089E-3</v>
      </c>
      <c r="H317" s="20">
        <f t="shared" si="17"/>
        <v>-5.0673266561280716E-3</v>
      </c>
      <c r="I317" s="3"/>
    </row>
    <row r="318" spans="1:9" x14ac:dyDescent="0.3">
      <c r="A318" s="2">
        <v>43663</v>
      </c>
      <c r="B318" s="1">
        <v>50.837499999999999</v>
      </c>
      <c r="C318" s="1">
        <v>1992.03</v>
      </c>
      <c r="D318" s="1">
        <v>201.8</v>
      </c>
      <c r="E318" s="3"/>
      <c r="F318" s="20">
        <f t="shared" si="15"/>
        <v>-5.6393431296228721E-3</v>
      </c>
      <c r="G318" s="20">
        <f t="shared" si="16"/>
        <v>-8.930750299603064E-3</v>
      </c>
      <c r="H318" s="20">
        <f t="shared" si="17"/>
        <v>-1.0058264464289939E-2</v>
      </c>
      <c r="I318" s="3"/>
    </row>
    <row r="319" spans="1:9" x14ac:dyDescent="0.3">
      <c r="A319" s="2">
        <v>43662</v>
      </c>
      <c r="B319" s="1">
        <v>51.125</v>
      </c>
      <c r="C319" s="1">
        <v>2009.9</v>
      </c>
      <c r="D319" s="1">
        <v>203.84</v>
      </c>
      <c r="E319" s="3"/>
      <c r="F319" s="20">
        <f t="shared" si="15"/>
        <v>-3.4658695698165896E-3</v>
      </c>
      <c r="G319" s="20">
        <f t="shared" si="16"/>
        <v>-5.502520774151148E-3</v>
      </c>
      <c r="H319" s="20">
        <f t="shared" si="17"/>
        <v>-3.4334764285801625E-4</v>
      </c>
      <c r="I319" s="3"/>
    </row>
    <row r="320" spans="1:9" x14ac:dyDescent="0.3">
      <c r="A320" s="2">
        <v>43661</v>
      </c>
      <c r="B320" s="1">
        <v>51.302500000000002</v>
      </c>
      <c r="C320" s="1">
        <v>2020.99</v>
      </c>
      <c r="D320" s="1">
        <v>203.91</v>
      </c>
      <c r="E320" s="3"/>
      <c r="F320" s="20">
        <f t="shared" si="15"/>
        <v>9.351124418371954E-3</v>
      </c>
      <c r="G320" s="20">
        <f t="shared" si="16"/>
        <v>4.955379573205426E-3</v>
      </c>
      <c r="H320" s="20">
        <f t="shared" si="17"/>
        <v>-4.6969116144510402E-3</v>
      </c>
      <c r="I320" s="3"/>
    </row>
    <row r="321" spans="1:9" x14ac:dyDescent="0.3">
      <c r="A321" s="2">
        <v>43658</v>
      </c>
      <c r="B321" s="1">
        <v>50.825000000000003</v>
      </c>
      <c r="C321" s="1">
        <v>2011</v>
      </c>
      <c r="D321" s="1">
        <v>204.87</v>
      </c>
      <c r="E321" s="3"/>
      <c r="F321" s="20">
        <f t="shared" si="15"/>
        <v>7.6534134842428025E-3</v>
      </c>
      <c r="G321" s="20">
        <f t="shared" si="16"/>
        <v>4.9500732920467845E-3</v>
      </c>
      <c r="H321" s="20">
        <f t="shared" si="17"/>
        <v>1.7927099162830758E-2</v>
      </c>
      <c r="I321" s="3"/>
    </row>
    <row r="322" spans="1:9" x14ac:dyDescent="0.3">
      <c r="A322" s="2">
        <v>43657</v>
      </c>
      <c r="B322" s="1">
        <v>50.4375</v>
      </c>
      <c r="C322" s="1">
        <v>2001.07</v>
      </c>
      <c r="D322" s="1">
        <v>201.23</v>
      </c>
      <c r="E322" s="3"/>
      <c r="F322" s="20">
        <f t="shared" si="15"/>
        <v>-7.3090354521574653E-3</v>
      </c>
      <c r="G322" s="20">
        <f t="shared" si="16"/>
        <v>-8.132473003030322E-3</v>
      </c>
      <c r="H322" s="20">
        <f t="shared" si="17"/>
        <v>-7.4265120018255845E-3</v>
      </c>
      <c r="I322" s="3"/>
    </row>
    <row r="323" spans="1:9" x14ac:dyDescent="0.3">
      <c r="A323" s="2">
        <v>43656</v>
      </c>
      <c r="B323" s="1">
        <v>50.807499999999997</v>
      </c>
      <c r="C323" s="1">
        <v>2017.41</v>
      </c>
      <c r="D323" s="1">
        <v>202.73</v>
      </c>
      <c r="E323" s="3"/>
      <c r="F323" s="20">
        <f t="shared" si="15"/>
        <v>9.8401169790978977E-3</v>
      </c>
      <c r="G323" s="20">
        <f t="shared" si="16"/>
        <v>1.4534508219600249E-2</v>
      </c>
      <c r="H323" s="20">
        <f t="shared" si="17"/>
        <v>1.7515499786409813E-2</v>
      </c>
      <c r="I323" s="3"/>
    </row>
    <row r="324" spans="1:9" x14ac:dyDescent="0.3">
      <c r="A324" s="2">
        <v>43655</v>
      </c>
      <c r="B324" s="1">
        <v>50.31</v>
      </c>
      <c r="C324" s="1">
        <v>1988.3</v>
      </c>
      <c r="D324" s="1">
        <v>199.21</v>
      </c>
      <c r="E324" s="3"/>
      <c r="F324" s="20">
        <f t="shared" si="15"/>
        <v>6.0808640747477107E-3</v>
      </c>
      <c r="G324" s="20">
        <f t="shared" si="16"/>
        <v>1.8261593300547899E-2</v>
      </c>
      <c r="H324" s="20">
        <f t="shared" si="17"/>
        <v>1.7470125559276496E-2</v>
      </c>
      <c r="I324" s="3"/>
    </row>
    <row r="325" spans="1:9" x14ac:dyDescent="0.3">
      <c r="A325" s="2">
        <v>43654</v>
      </c>
      <c r="B325" s="1">
        <v>50.005000000000003</v>
      </c>
      <c r="C325" s="1">
        <v>1952.32</v>
      </c>
      <c r="D325" s="1">
        <v>195.76</v>
      </c>
      <c r="E325" s="3"/>
      <c r="F325" s="20">
        <f t="shared" si="15"/>
        <v>-2.0829448180696448E-2</v>
      </c>
      <c r="G325" s="20">
        <f t="shared" si="16"/>
        <v>4.8315597823778075E-3</v>
      </c>
      <c r="H325" s="20">
        <f t="shared" si="17"/>
        <v>-3.2639767859493425E-3</v>
      </c>
      <c r="I325" s="3"/>
    </row>
    <row r="326" spans="1:9" x14ac:dyDescent="0.3">
      <c r="A326" s="2">
        <v>43651</v>
      </c>
      <c r="B326" s="1">
        <v>51.057499999999997</v>
      </c>
      <c r="C326" s="1">
        <v>1942.91</v>
      </c>
      <c r="D326" s="1">
        <v>196.4</v>
      </c>
      <c r="E326" s="3"/>
      <c r="F326" s="20">
        <f t="shared" ref="F326:F389" si="18">LN(B326/B327)</f>
        <v>-8.8097108281940133E-4</v>
      </c>
      <c r="G326" s="20">
        <f t="shared" ref="G326:G389" si="19">LN(C326/C327)</f>
        <v>2.0144729384579375E-3</v>
      </c>
      <c r="H326" s="20">
        <f t="shared" ref="H326:H389" si="20">LN(D326/D327)</f>
        <v>-4.0650462481694452E-3</v>
      </c>
      <c r="I326" s="3"/>
    </row>
    <row r="327" spans="1:9" x14ac:dyDescent="0.3">
      <c r="A327" s="2">
        <v>43650</v>
      </c>
      <c r="B327" s="1">
        <v>51.102499999999999</v>
      </c>
      <c r="C327" s="1">
        <v>1939</v>
      </c>
      <c r="D327" s="1">
        <v>197.2</v>
      </c>
      <c r="E327" s="3"/>
      <c r="F327" s="20">
        <f t="shared" si="18"/>
        <v>0</v>
      </c>
      <c r="G327" s="20">
        <f t="shared" si="19"/>
        <v>0</v>
      </c>
      <c r="H327" s="20">
        <f t="shared" si="20"/>
        <v>0</v>
      </c>
      <c r="I327" s="3"/>
    </row>
    <row r="328" spans="1:9" x14ac:dyDescent="0.3">
      <c r="A328" s="2">
        <v>43649</v>
      </c>
      <c r="B328" s="1">
        <v>51.102499999999999</v>
      </c>
      <c r="C328" s="1">
        <v>1939</v>
      </c>
      <c r="D328" s="1">
        <v>197.2</v>
      </c>
      <c r="E328" s="3"/>
      <c r="F328" s="20">
        <f t="shared" si="18"/>
        <v>8.2527363317833856E-3</v>
      </c>
      <c r="G328" s="20">
        <f t="shared" si="19"/>
        <v>2.4217025190846984E-3</v>
      </c>
      <c r="H328" s="20">
        <f t="shared" si="20"/>
        <v>1.1218883604788244E-2</v>
      </c>
      <c r="I328" s="3"/>
    </row>
    <row r="329" spans="1:9" x14ac:dyDescent="0.3">
      <c r="A329" s="2">
        <v>43648</v>
      </c>
      <c r="B329" s="1">
        <v>50.682499999999997</v>
      </c>
      <c r="C329" s="1">
        <v>1934.31</v>
      </c>
      <c r="D329" s="1">
        <v>195</v>
      </c>
      <c r="E329" s="3"/>
      <c r="F329" s="20">
        <f t="shared" si="18"/>
        <v>5.837554916927553E-3</v>
      </c>
      <c r="G329" s="20">
        <f t="shared" si="19"/>
        <v>6.285512720197348E-3</v>
      </c>
      <c r="H329" s="20">
        <f t="shared" si="20"/>
        <v>1.0309369658861287E-2</v>
      </c>
      <c r="I329" s="3"/>
    </row>
    <row r="330" spans="1:9" x14ac:dyDescent="0.3">
      <c r="A330" s="2">
        <v>43647</v>
      </c>
      <c r="B330" s="1">
        <v>50.387500000000003</v>
      </c>
      <c r="C330" s="1">
        <v>1922.19</v>
      </c>
      <c r="D330" s="1">
        <v>193</v>
      </c>
      <c r="E330" s="3"/>
      <c r="F330" s="20">
        <f t="shared" si="18"/>
        <v>1.8174580918997062E-2</v>
      </c>
      <c r="G330" s="20">
        <f t="shared" si="19"/>
        <v>1.4969539090055368E-2</v>
      </c>
      <c r="H330" s="20">
        <f t="shared" si="20"/>
        <v>0</v>
      </c>
      <c r="I330" s="3"/>
    </row>
    <row r="331" spans="1:9" x14ac:dyDescent="0.3">
      <c r="A331" s="2">
        <v>43644</v>
      </c>
      <c r="B331" s="1">
        <v>49.48</v>
      </c>
      <c r="C331" s="1">
        <v>1893.63</v>
      </c>
      <c r="D331" s="1">
        <v>193</v>
      </c>
      <c r="E331" s="3"/>
      <c r="F331" s="20">
        <f t="shared" si="18"/>
        <v>-9.1536121708109645E-3</v>
      </c>
      <c r="G331" s="20">
        <f t="shared" si="19"/>
        <v>-5.6083624494366957E-3</v>
      </c>
      <c r="H331" s="20">
        <f t="shared" si="20"/>
        <v>1.8301164382404443E-2</v>
      </c>
      <c r="I331" s="3"/>
    </row>
    <row r="332" spans="1:9" x14ac:dyDescent="0.3">
      <c r="A332" s="2">
        <v>43643</v>
      </c>
      <c r="B332" s="1">
        <v>49.935000000000002</v>
      </c>
      <c r="C332" s="1">
        <v>1904.28</v>
      </c>
      <c r="D332" s="1">
        <v>189.5</v>
      </c>
      <c r="E332" s="3"/>
      <c r="F332" s="20">
        <f t="shared" si="18"/>
        <v>-3.0034539946452812E-4</v>
      </c>
      <c r="G332" s="20">
        <f t="shared" si="19"/>
        <v>3.3928561706082451E-3</v>
      </c>
      <c r="H332" s="20">
        <f t="shared" si="20"/>
        <v>9.7572096605773578E-3</v>
      </c>
      <c r="I332" s="3"/>
    </row>
    <row r="333" spans="1:9" x14ac:dyDescent="0.3">
      <c r="A333" s="2">
        <v>43642</v>
      </c>
      <c r="B333" s="1">
        <v>49.95</v>
      </c>
      <c r="C333" s="1">
        <v>1897.83</v>
      </c>
      <c r="D333" s="1">
        <v>187.66</v>
      </c>
      <c r="E333" s="3"/>
      <c r="F333" s="20">
        <f t="shared" si="18"/>
        <v>2.1398494609895607E-2</v>
      </c>
      <c r="G333" s="20">
        <f t="shared" si="19"/>
        <v>1.0359987789795034E-2</v>
      </c>
      <c r="H333" s="20">
        <f t="shared" si="20"/>
        <v>-6.2682808161823953E-3</v>
      </c>
      <c r="I333" s="3"/>
    </row>
    <row r="334" spans="1:9" x14ac:dyDescent="0.3">
      <c r="A334" s="2">
        <v>43641</v>
      </c>
      <c r="B334" s="1">
        <v>48.892499999999998</v>
      </c>
      <c r="C334" s="1">
        <v>1878.27</v>
      </c>
      <c r="D334" s="1">
        <v>188.84</v>
      </c>
      <c r="E334" s="3"/>
      <c r="F334" s="20">
        <f t="shared" si="18"/>
        <v>-1.5273670000890454E-2</v>
      </c>
      <c r="G334" s="20">
        <f t="shared" si="19"/>
        <v>-1.8791904641679544E-2</v>
      </c>
      <c r="H334" s="20">
        <f t="shared" si="20"/>
        <v>-1.9715403685939138E-2</v>
      </c>
      <c r="I334" s="3"/>
    </row>
    <row r="335" spans="1:9" x14ac:dyDescent="0.3">
      <c r="A335" s="2">
        <v>43640</v>
      </c>
      <c r="B335" s="1">
        <v>49.645000000000003</v>
      </c>
      <c r="C335" s="1">
        <v>1913.9</v>
      </c>
      <c r="D335" s="1">
        <v>192.6</v>
      </c>
      <c r="E335" s="3"/>
      <c r="F335" s="20">
        <f t="shared" si="18"/>
        <v>-1.0066439344114438E-3</v>
      </c>
      <c r="G335" s="20">
        <f t="shared" si="19"/>
        <v>1.3594062534753903E-3</v>
      </c>
      <c r="H335" s="20">
        <f t="shared" si="20"/>
        <v>7.6093555259916183E-3</v>
      </c>
      <c r="I335" s="3"/>
    </row>
    <row r="336" spans="1:9" x14ac:dyDescent="0.3">
      <c r="A336" s="2">
        <v>43637</v>
      </c>
      <c r="B336" s="1">
        <v>49.695</v>
      </c>
      <c r="C336" s="1">
        <v>1911.3</v>
      </c>
      <c r="D336" s="1">
        <v>191.14</v>
      </c>
      <c r="E336" s="3"/>
      <c r="F336" s="20">
        <f t="shared" si="18"/>
        <v>-3.4150294338623809E-3</v>
      </c>
      <c r="G336" s="20">
        <f t="shared" si="19"/>
        <v>-3.5983942689819782E-3</v>
      </c>
      <c r="H336" s="20">
        <f t="shared" si="20"/>
        <v>8.458820499824625E-3</v>
      </c>
      <c r="I336" s="3"/>
    </row>
    <row r="337" spans="1:9" x14ac:dyDescent="0.3">
      <c r="A337" s="2">
        <v>43636</v>
      </c>
      <c r="B337" s="1">
        <v>49.865000000000002</v>
      </c>
      <c r="C337" s="1">
        <v>1918.19</v>
      </c>
      <c r="D337" s="1">
        <v>189.53</v>
      </c>
      <c r="E337" s="3"/>
      <c r="F337" s="20">
        <f t="shared" si="18"/>
        <v>8.0034655693733085E-3</v>
      </c>
      <c r="G337" s="20">
        <f t="shared" si="19"/>
        <v>4.9124996231511859E-3</v>
      </c>
      <c r="H337" s="20">
        <f t="shared" si="20"/>
        <v>1.0875150283703408E-2</v>
      </c>
      <c r="I337" s="3"/>
    </row>
    <row r="338" spans="1:9" x14ac:dyDescent="0.3">
      <c r="A338" s="2">
        <v>43635</v>
      </c>
      <c r="B338" s="1">
        <v>49.467500000000001</v>
      </c>
      <c r="C338" s="1">
        <v>1908.79</v>
      </c>
      <c r="D338" s="1">
        <v>187.48</v>
      </c>
      <c r="E338" s="3"/>
      <c r="F338" s="20">
        <f t="shared" si="18"/>
        <v>-2.9269298247256311E-3</v>
      </c>
      <c r="G338" s="20">
        <f t="shared" si="19"/>
        <v>3.8948544838260466E-3</v>
      </c>
      <c r="H338" s="20">
        <f t="shared" si="20"/>
        <v>-5.2666699740310406E-3</v>
      </c>
      <c r="I338" s="3"/>
    </row>
    <row r="339" spans="1:9" x14ac:dyDescent="0.3">
      <c r="A339" s="2">
        <v>43634</v>
      </c>
      <c r="B339" s="1">
        <v>49.612499999999997</v>
      </c>
      <c r="C339" s="1">
        <v>1901.37</v>
      </c>
      <c r="D339" s="1">
        <v>188.47</v>
      </c>
      <c r="E339" s="3"/>
      <c r="F339" s="20">
        <f t="shared" si="18"/>
        <v>2.3246191286160529E-2</v>
      </c>
      <c r="G339" s="20">
        <f t="shared" si="19"/>
        <v>8.1005882048581241E-3</v>
      </c>
      <c r="H339" s="20">
        <f t="shared" si="20"/>
        <v>-2.8610806843284904E-3</v>
      </c>
      <c r="I339" s="3"/>
    </row>
    <row r="340" spans="1:9" x14ac:dyDescent="0.3">
      <c r="A340" s="2">
        <v>43633</v>
      </c>
      <c r="B340" s="1">
        <v>48.472499999999997</v>
      </c>
      <c r="C340" s="1">
        <v>1886.03</v>
      </c>
      <c r="D340" s="1">
        <v>189.01</v>
      </c>
      <c r="E340" s="3"/>
      <c r="F340" s="20">
        <f t="shared" si="18"/>
        <v>5.9488575197722635E-3</v>
      </c>
      <c r="G340" s="20">
        <f t="shared" si="19"/>
        <v>8.7121460600681714E-3</v>
      </c>
      <c r="H340" s="20">
        <f t="shared" si="20"/>
        <v>4.1481348046930565E-2</v>
      </c>
      <c r="I340" s="3"/>
    </row>
    <row r="341" spans="1:9" x14ac:dyDescent="0.3">
      <c r="A341" s="2">
        <v>43630</v>
      </c>
      <c r="B341" s="1">
        <v>48.185000000000002</v>
      </c>
      <c r="C341" s="1">
        <v>1869.67</v>
      </c>
      <c r="D341" s="1">
        <v>181.33</v>
      </c>
      <c r="E341" s="3"/>
      <c r="F341" s="20">
        <f t="shared" si="18"/>
        <v>-7.2889257545349579E-3</v>
      </c>
      <c r="G341" s="20">
        <f t="shared" si="19"/>
        <v>-3.3690110132365597E-4</v>
      </c>
      <c r="H341" s="20">
        <f t="shared" si="20"/>
        <v>2.151699511946081E-2</v>
      </c>
      <c r="I341" s="3"/>
    </row>
    <row r="342" spans="1:9" x14ac:dyDescent="0.3">
      <c r="A342" s="2">
        <v>43629</v>
      </c>
      <c r="B342" s="1">
        <v>48.537500000000001</v>
      </c>
      <c r="C342" s="1">
        <v>1870.3</v>
      </c>
      <c r="D342" s="1">
        <v>177.47</v>
      </c>
      <c r="E342" s="3"/>
      <c r="F342" s="20">
        <f t="shared" si="18"/>
        <v>-2.0600504785213181E-4</v>
      </c>
      <c r="G342" s="20">
        <f t="shared" si="19"/>
        <v>8.0416578864508873E-3</v>
      </c>
      <c r="H342" s="20">
        <f t="shared" si="20"/>
        <v>1.3787061312857252E-2</v>
      </c>
      <c r="I342" s="3"/>
    </row>
    <row r="343" spans="1:9" x14ac:dyDescent="0.3">
      <c r="A343" s="2">
        <v>43628</v>
      </c>
      <c r="B343" s="1">
        <v>48.547499999999999</v>
      </c>
      <c r="C343" s="1">
        <v>1855.32</v>
      </c>
      <c r="D343" s="1">
        <v>175.04</v>
      </c>
      <c r="E343" s="3"/>
      <c r="F343" s="20">
        <f t="shared" si="18"/>
        <v>-3.187663367584239E-3</v>
      </c>
      <c r="G343" s="20">
        <f t="shared" si="19"/>
        <v>-4.5065711841159421E-3</v>
      </c>
      <c r="H343" s="20">
        <f t="shared" si="20"/>
        <v>-1.7330671061999554E-2</v>
      </c>
      <c r="I343" s="3"/>
    </row>
    <row r="344" spans="1:9" x14ac:dyDescent="0.3">
      <c r="A344" s="2">
        <v>43627</v>
      </c>
      <c r="B344" s="1">
        <v>48.702500000000001</v>
      </c>
      <c r="C344" s="1">
        <v>1863.7</v>
      </c>
      <c r="D344" s="1">
        <v>178.1</v>
      </c>
      <c r="E344" s="3"/>
      <c r="F344" s="20">
        <f t="shared" si="18"/>
        <v>1.1513072780974794E-2</v>
      </c>
      <c r="G344" s="20">
        <f t="shared" si="19"/>
        <v>1.6486190511264167E-3</v>
      </c>
      <c r="H344" s="20">
        <f t="shared" si="20"/>
        <v>1.8588317143274188E-2</v>
      </c>
      <c r="I344" s="3"/>
    </row>
    <row r="345" spans="1:9" x14ac:dyDescent="0.3">
      <c r="A345" s="2">
        <v>43626</v>
      </c>
      <c r="B345" s="1">
        <v>48.145000000000003</v>
      </c>
      <c r="C345" s="1">
        <v>1860.63</v>
      </c>
      <c r="D345" s="1">
        <v>174.82</v>
      </c>
      <c r="E345" s="3"/>
      <c r="F345" s="20">
        <f t="shared" si="18"/>
        <v>1.2698417437869296E-2</v>
      </c>
      <c r="G345" s="20">
        <f t="shared" si="19"/>
        <v>3.089208883944445E-2</v>
      </c>
      <c r="H345" s="20">
        <f t="shared" si="20"/>
        <v>8.4442010213094509E-3</v>
      </c>
      <c r="I345" s="3"/>
    </row>
    <row r="346" spans="1:9" x14ac:dyDescent="0.3">
      <c r="A346" s="2">
        <v>43623</v>
      </c>
      <c r="B346" s="1">
        <v>47.537500000000001</v>
      </c>
      <c r="C346" s="1">
        <v>1804.03</v>
      </c>
      <c r="D346" s="1">
        <v>173.35</v>
      </c>
      <c r="E346" s="3"/>
      <c r="F346" s="20">
        <f t="shared" si="18"/>
        <v>2.6268926632145719E-2</v>
      </c>
      <c r="G346" s="20">
        <f t="shared" si="19"/>
        <v>2.7918933169891351E-2</v>
      </c>
      <c r="H346" s="20">
        <f t="shared" si="20"/>
        <v>2.9386333700042028E-2</v>
      </c>
      <c r="I346" s="3"/>
    </row>
    <row r="347" spans="1:9" x14ac:dyDescent="0.3">
      <c r="A347" s="2">
        <v>43622</v>
      </c>
      <c r="B347" s="1">
        <v>46.305</v>
      </c>
      <c r="C347" s="1">
        <v>1754.36</v>
      </c>
      <c r="D347" s="1">
        <v>168.33</v>
      </c>
      <c r="E347" s="3"/>
      <c r="F347" s="20">
        <f t="shared" si="18"/>
        <v>1.457498065339172E-2</v>
      </c>
      <c r="G347" s="20">
        <f t="shared" si="19"/>
        <v>9.0814455782409938E-3</v>
      </c>
      <c r="H347" s="20">
        <f t="shared" si="20"/>
        <v>9.5096589633190628E-4</v>
      </c>
      <c r="I347" s="3"/>
    </row>
    <row r="348" spans="1:9" x14ac:dyDescent="0.3">
      <c r="A348" s="2">
        <v>43621</v>
      </c>
      <c r="B348" s="1">
        <v>45.634999999999998</v>
      </c>
      <c r="C348" s="1">
        <v>1738.5</v>
      </c>
      <c r="D348" s="1">
        <v>168.17</v>
      </c>
      <c r="E348" s="3"/>
      <c r="F348" s="20">
        <f t="shared" si="18"/>
        <v>1.6014478869193965E-2</v>
      </c>
      <c r="G348" s="20">
        <f t="shared" si="19"/>
        <v>5.1556315649044608E-3</v>
      </c>
      <c r="H348" s="20">
        <f t="shared" si="20"/>
        <v>3.9920212695374567E-3</v>
      </c>
      <c r="I348" s="3"/>
    </row>
    <row r="349" spans="1:9" x14ac:dyDescent="0.3">
      <c r="A349" s="2">
        <v>43620</v>
      </c>
      <c r="B349" s="1">
        <v>44.91</v>
      </c>
      <c r="C349" s="1">
        <v>1729.56</v>
      </c>
      <c r="D349" s="1">
        <v>167.5</v>
      </c>
      <c r="E349" s="3"/>
      <c r="F349" s="20">
        <f t="shared" si="18"/>
        <v>3.5930651497976709E-2</v>
      </c>
      <c r="G349" s="20">
        <f t="shared" si="19"/>
        <v>2.1548061426802694E-2</v>
      </c>
      <c r="H349" s="20">
        <f t="shared" si="20"/>
        <v>2.0202707317519469E-2</v>
      </c>
      <c r="I349" s="3"/>
    </row>
    <row r="350" spans="1:9" x14ac:dyDescent="0.3">
      <c r="A350" s="2">
        <v>43619</v>
      </c>
      <c r="B350" s="1">
        <v>43.325000000000003</v>
      </c>
      <c r="C350" s="1">
        <v>1692.69</v>
      </c>
      <c r="D350" s="1">
        <v>164.15</v>
      </c>
      <c r="E350" s="3"/>
      <c r="F350" s="20">
        <f t="shared" si="18"/>
        <v>-1.0161697223280449E-2</v>
      </c>
      <c r="G350" s="20">
        <f t="shared" si="19"/>
        <v>-4.752087929542239E-2</v>
      </c>
      <c r="H350" s="20">
        <f t="shared" si="20"/>
        <v>-7.8020936598871812E-2</v>
      </c>
      <c r="I350" s="3"/>
    </row>
    <row r="351" spans="1:9" x14ac:dyDescent="0.3">
      <c r="A351" s="2">
        <v>43616</v>
      </c>
      <c r="B351" s="1">
        <v>43.767499999999998</v>
      </c>
      <c r="C351" s="1">
        <v>1775.07</v>
      </c>
      <c r="D351" s="1">
        <v>177.47</v>
      </c>
      <c r="E351" s="3"/>
      <c r="F351" s="20">
        <f t="shared" si="18"/>
        <v>-1.8281630924253847E-2</v>
      </c>
      <c r="G351" s="20">
        <f t="shared" si="19"/>
        <v>-2.2972617339937076E-2</v>
      </c>
      <c r="H351" s="20">
        <f t="shared" si="20"/>
        <v>-3.0739215610717369E-2</v>
      </c>
      <c r="I351" s="3"/>
    </row>
    <row r="352" spans="1:9" x14ac:dyDescent="0.3">
      <c r="A352" s="2">
        <v>43615</v>
      </c>
      <c r="B352" s="1">
        <v>44.575000000000003</v>
      </c>
      <c r="C352" s="1">
        <v>1816.32</v>
      </c>
      <c r="D352" s="1">
        <v>183.01</v>
      </c>
      <c r="E352" s="3"/>
      <c r="F352" s="20">
        <f t="shared" si="18"/>
        <v>5.1732009207884934E-3</v>
      </c>
      <c r="G352" s="20">
        <f t="shared" si="19"/>
        <v>-1.5788709678712742E-3</v>
      </c>
      <c r="H352" s="20">
        <f t="shared" si="20"/>
        <v>4.4906975795972002E-3</v>
      </c>
      <c r="I352" s="3"/>
    </row>
    <row r="353" spans="1:9" x14ac:dyDescent="0.3">
      <c r="A353" s="2">
        <v>43614</v>
      </c>
      <c r="B353" s="1">
        <v>44.344999999999999</v>
      </c>
      <c r="C353" s="1">
        <v>1819.19</v>
      </c>
      <c r="D353" s="1">
        <v>182.19</v>
      </c>
      <c r="E353" s="3"/>
      <c r="F353" s="20">
        <f t="shared" si="18"/>
        <v>-4.7805270874534626E-3</v>
      </c>
      <c r="G353" s="20">
        <f t="shared" si="19"/>
        <v>-9.432122492363415E-3</v>
      </c>
      <c r="H353" s="20">
        <f t="shared" si="20"/>
        <v>-1.1569023985937683E-2</v>
      </c>
      <c r="I353" s="3"/>
    </row>
    <row r="354" spans="1:9" x14ac:dyDescent="0.3">
      <c r="A354" s="2">
        <v>43613</v>
      </c>
      <c r="B354" s="1">
        <v>44.557499999999997</v>
      </c>
      <c r="C354" s="1">
        <v>1836.43</v>
      </c>
      <c r="D354" s="1">
        <v>184.31</v>
      </c>
      <c r="E354" s="3"/>
      <c r="F354" s="20">
        <f t="shared" si="18"/>
        <v>-4.1433429935572438E-3</v>
      </c>
      <c r="G354" s="20">
        <f t="shared" si="19"/>
        <v>7.1863926887272313E-3</v>
      </c>
      <c r="H354" s="20">
        <f t="shared" si="20"/>
        <v>1.7790654516237028E-2</v>
      </c>
      <c r="I354" s="3"/>
    </row>
    <row r="355" spans="1:9" x14ac:dyDescent="0.3">
      <c r="A355" s="2">
        <v>43612</v>
      </c>
      <c r="B355" s="1">
        <v>44.7425</v>
      </c>
      <c r="C355" s="1">
        <v>1823.28</v>
      </c>
      <c r="D355" s="1">
        <v>181.06</v>
      </c>
      <c r="E355" s="3"/>
      <c r="F355" s="20">
        <f t="shared" si="18"/>
        <v>0</v>
      </c>
      <c r="G355" s="20">
        <f t="shared" si="19"/>
        <v>0</v>
      </c>
      <c r="H355" s="20">
        <f t="shared" si="20"/>
        <v>0</v>
      </c>
      <c r="I355" s="3"/>
    </row>
    <row r="356" spans="1:9" x14ac:dyDescent="0.3">
      <c r="A356" s="2">
        <v>43609</v>
      </c>
      <c r="B356" s="1">
        <v>44.7425</v>
      </c>
      <c r="C356" s="1">
        <v>1823.28</v>
      </c>
      <c r="D356" s="1">
        <v>181.06</v>
      </c>
      <c r="E356" s="3"/>
      <c r="F356" s="20">
        <f t="shared" si="18"/>
        <v>-3.8479817717436407E-3</v>
      </c>
      <c r="G356" s="20">
        <f t="shared" si="19"/>
        <v>4.2871813183319989E-3</v>
      </c>
      <c r="H356" s="20">
        <f t="shared" si="20"/>
        <v>1.0499268778703112E-3</v>
      </c>
      <c r="I356" s="3"/>
    </row>
    <row r="357" spans="1:9" x14ac:dyDescent="0.3">
      <c r="A357" s="2">
        <v>43608</v>
      </c>
      <c r="B357" s="1">
        <v>44.914999999999999</v>
      </c>
      <c r="C357" s="1">
        <v>1815.48</v>
      </c>
      <c r="D357" s="1">
        <v>180.87</v>
      </c>
      <c r="E357" s="3"/>
      <c r="F357" s="20">
        <f t="shared" si="18"/>
        <v>-1.7217068042995082E-2</v>
      </c>
      <c r="G357" s="20">
        <f t="shared" si="19"/>
        <v>-2.4054534350653866E-2</v>
      </c>
      <c r="H357" s="20">
        <f t="shared" si="20"/>
        <v>-2.4305519379023702E-2</v>
      </c>
      <c r="I357" s="3"/>
    </row>
    <row r="358" spans="1:9" x14ac:dyDescent="0.3">
      <c r="A358" s="2">
        <v>43607</v>
      </c>
      <c r="B358" s="1">
        <v>45.695</v>
      </c>
      <c r="C358" s="1">
        <v>1859.68</v>
      </c>
      <c r="D358" s="1">
        <v>185.32</v>
      </c>
      <c r="E358" s="3"/>
      <c r="F358" s="20">
        <f t="shared" si="18"/>
        <v>-2.068404456918788E-2</v>
      </c>
      <c r="G358" s="20">
        <f t="shared" si="19"/>
        <v>1.1621652012875779E-3</v>
      </c>
      <c r="H358" s="20">
        <f t="shared" si="20"/>
        <v>2.7016820885531999E-3</v>
      </c>
      <c r="I358" s="3"/>
    </row>
    <row r="359" spans="1:9" x14ac:dyDescent="0.3">
      <c r="A359" s="2">
        <v>43606</v>
      </c>
      <c r="B359" s="1">
        <v>46.65</v>
      </c>
      <c r="C359" s="1">
        <v>1857.52</v>
      </c>
      <c r="D359" s="1">
        <v>184.82</v>
      </c>
      <c r="E359" s="3"/>
      <c r="F359" s="20">
        <f t="shared" si="18"/>
        <v>1.8989453188730094E-2</v>
      </c>
      <c r="G359" s="20">
        <f t="shared" si="19"/>
        <v>-7.8030618867417452E-4</v>
      </c>
      <c r="H359" s="20">
        <f t="shared" si="20"/>
        <v>1.1427451992249009E-2</v>
      </c>
      <c r="I359" s="3"/>
    </row>
    <row r="360" spans="1:9" x14ac:dyDescent="0.3">
      <c r="A360" s="2">
        <v>43605</v>
      </c>
      <c r="B360" s="1">
        <v>45.772500000000001</v>
      </c>
      <c r="C360" s="1">
        <v>1858.97</v>
      </c>
      <c r="D360" s="1">
        <v>182.72</v>
      </c>
      <c r="E360" s="3"/>
      <c r="F360" s="20">
        <f t="shared" si="18"/>
        <v>-3.1769179835129058E-2</v>
      </c>
      <c r="G360" s="20">
        <f t="shared" si="19"/>
        <v>-5.3809575727784623E-3</v>
      </c>
      <c r="H360" s="20">
        <f t="shared" si="20"/>
        <v>-1.4021206823668744E-2</v>
      </c>
      <c r="I360" s="3"/>
    </row>
    <row r="361" spans="1:9" x14ac:dyDescent="0.3">
      <c r="A361" s="2">
        <v>43602</v>
      </c>
      <c r="B361" s="1">
        <v>47.25</v>
      </c>
      <c r="C361" s="1">
        <v>1869</v>
      </c>
      <c r="D361" s="1">
        <v>185.3</v>
      </c>
      <c r="E361" s="3"/>
      <c r="F361" s="20">
        <f t="shared" si="18"/>
        <v>-5.6980211146377786E-3</v>
      </c>
      <c r="G361" s="20">
        <f t="shared" si="19"/>
        <v>-2.0426652277428115E-2</v>
      </c>
      <c r="H361" s="20">
        <f t="shared" si="20"/>
        <v>-9.0790061975548116E-3</v>
      </c>
      <c r="I361" s="3"/>
    </row>
    <row r="362" spans="1:9" x14ac:dyDescent="0.3">
      <c r="A362" s="2">
        <v>43601</v>
      </c>
      <c r="B362" s="1">
        <v>47.52</v>
      </c>
      <c r="C362" s="1">
        <v>1907.57</v>
      </c>
      <c r="D362" s="1">
        <v>186.99</v>
      </c>
      <c r="E362" s="3"/>
      <c r="F362" s="20">
        <f t="shared" si="18"/>
        <v>-4.4094559634155544E-3</v>
      </c>
      <c r="G362" s="20">
        <f t="shared" si="19"/>
        <v>1.9276965640892797E-2</v>
      </c>
      <c r="H362" s="20">
        <f t="shared" si="20"/>
        <v>3.8579054439577994E-3</v>
      </c>
      <c r="I362" s="3"/>
    </row>
    <row r="363" spans="1:9" x14ac:dyDescent="0.3">
      <c r="A363" s="2">
        <v>43600</v>
      </c>
      <c r="B363" s="1">
        <v>47.73</v>
      </c>
      <c r="C363" s="1">
        <v>1871.15</v>
      </c>
      <c r="D363" s="1">
        <v>186.27</v>
      </c>
      <c r="E363" s="3"/>
      <c r="F363" s="20">
        <f t="shared" si="18"/>
        <v>1.1908038915988677E-2</v>
      </c>
      <c r="G363" s="20">
        <f t="shared" si="19"/>
        <v>1.6722428224324268E-2</v>
      </c>
      <c r="H363" s="20">
        <f t="shared" si="20"/>
        <v>3.0193029197364E-2</v>
      </c>
      <c r="I363" s="3"/>
    </row>
    <row r="364" spans="1:9" x14ac:dyDescent="0.3">
      <c r="A364" s="2">
        <v>43599</v>
      </c>
      <c r="B364" s="1">
        <v>47.164999999999999</v>
      </c>
      <c r="C364" s="1">
        <v>1840.12</v>
      </c>
      <c r="D364" s="1">
        <v>180.73</v>
      </c>
      <c r="E364" s="3"/>
      <c r="F364" s="20">
        <f t="shared" si="18"/>
        <v>1.5706290069986212E-2</v>
      </c>
      <c r="G364" s="20">
        <f t="shared" si="19"/>
        <v>9.5228414298461593E-3</v>
      </c>
      <c r="H364" s="20">
        <f t="shared" si="20"/>
        <v>-4.4718102509339087E-3</v>
      </c>
      <c r="I364" s="3"/>
    </row>
    <row r="365" spans="1:9" x14ac:dyDescent="0.3">
      <c r="A365" s="2">
        <v>43598</v>
      </c>
      <c r="B365" s="1">
        <v>46.43</v>
      </c>
      <c r="C365" s="1">
        <v>1822.68</v>
      </c>
      <c r="D365" s="1">
        <v>181.54</v>
      </c>
      <c r="E365" s="3"/>
      <c r="F365" s="20">
        <f t="shared" si="18"/>
        <v>-5.9876853995174346E-2</v>
      </c>
      <c r="G365" s="20">
        <f t="shared" si="19"/>
        <v>-3.6258301549188333E-2</v>
      </c>
      <c r="H365" s="20">
        <f t="shared" si="20"/>
        <v>-3.6772824983436009E-2</v>
      </c>
      <c r="I365" s="3"/>
    </row>
    <row r="366" spans="1:9" x14ac:dyDescent="0.3">
      <c r="A366" s="2">
        <v>43595</v>
      </c>
      <c r="B366" s="1">
        <v>49.295000000000002</v>
      </c>
      <c r="C366" s="1">
        <v>1889.98</v>
      </c>
      <c r="D366" s="1">
        <v>188.34</v>
      </c>
      <c r="E366" s="3"/>
      <c r="F366" s="20">
        <f t="shared" si="18"/>
        <v>-1.7793884911271513E-2</v>
      </c>
      <c r="G366" s="20">
        <f t="shared" si="19"/>
        <v>-5.2192157739569785E-3</v>
      </c>
      <c r="H366" s="20">
        <f t="shared" si="20"/>
        <v>-1.6446063284023219E-3</v>
      </c>
      <c r="I366" s="3"/>
    </row>
    <row r="367" spans="1:9" x14ac:dyDescent="0.3">
      <c r="A367" s="2">
        <v>43594</v>
      </c>
      <c r="B367" s="1">
        <v>50.18</v>
      </c>
      <c r="C367" s="1">
        <v>1899.87</v>
      </c>
      <c r="D367" s="1">
        <v>188.65</v>
      </c>
      <c r="E367" s="3"/>
      <c r="F367" s="20">
        <f t="shared" si="18"/>
        <v>-1.080234477360228E-2</v>
      </c>
      <c r="G367" s="20">
        <f t="shared" si="19"/>
        <v>-9.3775899119718197E-3</v>
      </c>
      <c r="H367" s="20">
        <f t="shared" si="20"/>
        <v>-4.7066376317292796E-3</v>
      </c>
      <c r="I367" s="3"/>
    </row>
    <row r="368" spans="1:9" x14ac:dyDescent="0.3">
      <c r="A368" s="2">
        <v>43593</v>
      </c>
      <c r="B368" s="1">
        <v>50.725000000000001</v>
      </c>
      <c r="C368" s="1">
        <v>1917.77</v>
      </c>
      <c r="D368" s="1">
        <v>189.54</v>
      </c>
      <c r="E368" s="3"/>
      <c r="F368" s="20">
        <f t="shared" si="18"/>
        <v>1.9716088391932133E-4</v>
      </c>
      <c r="G368" s="20">
        <f t="shared" si="19"/>
        <v>-1.6828310955116436E-3</v>
      </c>
      <c r="H368" s="20">
        <f t="shared" si="20"/>
        <v>-1.2127285238387757E-3</v>
      </c>
      <c r="I368" s="3"/>
    </row>
    <row r="369" spans="1:9" x14ac:dyDescent="0.3">
      <c r="A369" s="2">
        <v>43592</v>
      </c>
      <c r="B369" s="1">
        <v>50.715000000000003</v>
      </c>
      <c r="C369" s="1">
        <v>1921</v>
      </c>
      <c r="D369" s="1">
        <v>189.77</v>
      </c>
      <c r="E369" s="3"/>
      <c r="F369" s="20">
        <f t="shared" si="18"/>
        <v>-2.7327027428685272E-2</v>
      </c>
      <c r="G369" s="20">
        <f t="shared" si="19"/>
        <v>-1.526550030230195E-2</v>
      </c>
      <c r="H369" s="20">
        <f t="shared" si="20"/>
        <v>-2.1426598411287662E-2</v>
      </c>
      <c r="I369" s="3"/>
    </row>
    <row r="370" spans="1:9" x14ac:dyDescent="0.3">
      <c r="A370" s="2">
        <v>43591</v>
      </c>
      <c r="B370" s="1">
        <v>52.12</v>
      </c>
      <c r="C370" s="1">
        <v>1950.55</v>
      </c>
      <c r="D370" s="1">
        <v>193.88</v>
      </c>
      <c r="E370" s="3"/>
      <c r="F370" s="20">
        <f t="shared" si="18"/>
        <v>-1.5563220155628835E-2</v>
      </c>
      <c r="G370" s="20">
        <f t="shared" si="19"/>
        <v>-6.0874042123806368E-3</v>
      </c>
      <c r="H370" s="20">
        <f t="shared" si="20"/>
        <v>-8.1675039877553406E-3</v>
      </c>
      <c r="I370" s="3"/>
    </row>
    <row r="371" spans="1:9" x14ac:dyDescent="0.3">
      <c r="A371" s="2">
        <v>43588</v>
      </c>
      <c r="B371" s="1">
        <v>52.9375</v>
      </c>
      <c r="C371" s="1">
        <v>1962.46</v>
      </c>
      <c r="D371" s="1">
        <v>195.47</v>
      </c>
      <c r="E371" s="3"/>
      <c r="F371" s="20">
        <f t="shared" si="18"/>
        <v>1.2354635643956283E-2</v>
      </c>
      <c r="G371" s="20">
        <f t="shared" si="19"/>
        <v>3.1913416284746227E-2</v>
      </c>
      <c r="H371" s="20">
        <f t="shared" si="20"/>
        <v>1.5154929223686418E-2</v>
      </c>
      <c r="I371" s="3"/>
    </row>
    <row r="372" spans="1:9" x14ac:dyDescent="0.3">
      <c r="A372" s="2">
        <v>43587</v>
      </c>
      <c r="B372" s="1">
        <v>52.287500000000001</v>
      </c>
      <c r="C372" s="1">
        <v>1900.82</v>
      </c>
      <c r="D372" s="1">
        <v>192.53</v>
      </c>
      <c r="E372" s="3"/>
      <c r="F372" s="20">
        <f t="shared" si="18"/>
        <v>-6.528962597370778E-3</v>
      </c>
      <c r="G372" s="20">
        <f t="shared" si="19"/>
        <v>-5.6133650704206272E-3</v>
      </c>
      <c r="H372" s="20">
        <f t="shared" si="20"/>
        <v>-2.5936314985396747E-3</v>
      </c>
      <c r="I372" s="3"/>
    </row>
    <row r="373" spans="1:9" x14ac:dyDescent="0.3">
      <c r="A373" s="2">
        <v>43586</v>
      </c>
      <c r="B373" s="1">
        <v>52.63</v>
      </c>
      <c r="C373" s="1">
        <v>1911.52</v>
      </c>
      <c r="D373" s="1">
        <v>193.03</v>
      </c>
      <c r="E373" s="3"/>
      <c r="F373" s="20">
        <f t="shared" si="18"/>
        <v>4.7918892687151951E-2</v>
      </c>
      <c r="G373" s="20">
        <f t="shared" si="19"/>
        <v>-7.8165294643038601E-3</v>
      </c>
      <c r="H373" s="20">
        <f t="shared" si="20"/>
        <v>-1.9149657794100821E-3</v>
      </c>
      <c r="I373" s="3"/>
    </row>
    <row r="374" spans="1:9" x14ac:dyDescent="0.3">
      <c r="A374" s="2">
        <v>43585</v>
      </c>
      <c r="B374" s="1">
        <v>50.167499999999997</v>
      </c>
      <c r="C374" s="1">
        <v>1926.52</v>
      </c>
      <c r="D374" s="1">
        <v>193.4</v>
      </c>
      <c r="E374" s="3"/>
      <c r="F374" s="20">
        <f t="shared" si="18"/>
        <v>-1.9443960380041692E-2</v>
      </c>
      <c r="G374" s="20">
        <f t="shared" si="19"/>
        <v>-6.1631005311353591E-3</v>
      </c>
      <c r="H374" s="20">
        <f t="shared" si="20"/>
        <v>-7.1101335138592332E-3</v>
      </c>
      <c r="I374" s="3"/>
    </row>
    <row r="375" spans="1:9" x14ac:dyDescent="0.3">
      <c r="A375" s="2">
        <v>43584</v>
      </c>
      <c r="B375" s="1">
        <v>51.152500000000003</v>
      </c>
      <c r="C375" s="1">
        <v>1938.43</v>
      </c>
      <c r="D375" s="1">
        <v>194.78</v>
      </c>
      <c r="E375" s="3"/>
      <c r="F375" s="20">
        <f t="shared" si="18"/>
        <v>1.5162263548915062E-3</v>
      </c>
      <c r="G375" s="20">
        <f t="shared" si="19"/>
        <v>-6.2740302384055729E-3</v>
      </c>
      <c r="H375" s="20">
        <f t="shared" si="20"/>
        <v>1.7035128596977509E-2</v>
      </c>
      <c r="I375" s="3"/>
    </row>
    <row r="376" spans="1:9" x14ac:dyDescent="0.3">
      <c r="A376" s="2">
        <v>43581</v>
      </c>
      <c r="B376" s="1">
        <v>51.075000000000003</v>
      </c>
      <c r="C376" s="1">
        <v>1950.63</v>
      </c>
      <c r="D376" s="1">
        <v>191.49</v>
      </c>
      <c r="E376" s="3"/>
      <c r="F376" s="20">
        <f t="shared" si="18"/>
        <v>-4.7853990437498597E-3</v>
      </c>
      <c r="G376" s="20">
        <f t="shared" si="19"/>
        <v>2.511500124612626E-2</v>
      </c>
      <c r="H376" s="20">
        <f t="shared" si="20"/>
        <v>-9.2008446350866861E-3</v>
      </c>
      <c r="I376" s="3"/>
    </row>
    <row r="377" spans="1:9" x14ac:dyDescent="0.3">
      <c r="A377" s="2">
        <v>43580</v>
      </c>
      <c r="B377" s="1">
        <v>51.32</v>
      </c>
      <c r="C377" s="1">
        <v>1902.25</v>
      </c>
      <c r="D377" s="1">
        <v>193.26</v>
      </c>
      <c r="E377" s="3"/>
      <c r="F377" s="20">
        <f t="shared" si="18"/>
        <v>-9.1165406883644152E-3</v>
      </c>
      <c r="G377" s="20">
        <f t="shared" si="19"/>
        <v>2.6288117922154751E-4</v>
      </c>
      <c r="H377" s="20">
        <f t="shared" si="20"/>
        <v>5.6847999434227671E-2</v>
      </c>
      <c r="I377" s="3"/>
    </row>
    <row r="378" spans="1:9" x14ac:dyDescent="0.3">
      <c r="A378" s="2">
        <v>43579</v>
      </c>
      <c r="B378" s="1">
        <v>51.79</v>
      </c>
      <c r="C378" s="1">
        <v>1901.75</v>
      </c>
      <c r="D378" s="1">
        <v>182.58</v>
      </c>
      <c r="E378" s="3"/>
      <c r="F378" s="20">
        <f t="shared" si="18"/>
        <v>-1.5435079275087137E-3</v>
      </c>
      <c r="G378" s="20">
        <f t="shared" si="19"/>
        <v>-1.1512287582910162E-2</v>
      </c>
      <c r="H378" s="20">
        <f t="shared" si="20"/>
        <v>-6.5509569358040559E-3</v>
      </c>
      <c r="I378" s="3"/>
    </row>
    <row r="379" spans="1:9" x14ac:dyDescent="0.3">
      <c r="A379" s="2">
        <v>43578</v>
      </c>
      <c r="B379" s="1">
        <v>51.87</v>
      </c>
      <c r="C379" s="1">
        <v>1923.77</v>
      </c>
      <c r="D379" s="1">
        <v>183.78</v>
      </c>
      <c r="E379" s="3"/>
      <c r="F379" s="20">
        <f t="shared" si="18"/>
        <v>1.4320285493124347E-2</v>
      </c>
      <c r="G379" s="20">
        <f t="shared" si="19"/>
        <v>1.9134267655581103E-2</v>
      </c>
      <c r="H379" s="20">
        <f t="shared" si="20"/>
        <v>1.2814369533351584E-2</v>
      </c>
      <c r="I379" s="3"/>
    </row>
    <row r="380" spans="1:9" x14ac:dyDescent="0.3">
      <c r="A380" s="2">
        <v>43577</v>
      </c>
      <c r="B380" s="1">
        <v>51.1325</v>
      </c>
      <c r="C380" s="1">
        <v>1887.31</v>
      </c>
      <c r="D380" s="1">
        <v>181.44</v>
      </c>
      <c r="E380" s="3"/>
      <c r="F380" s="20">
        <f t="shared" si="18"/>
        <v>3.2811802498082252E-3</v>
      </c>
      <c r="G380" s="20">
        <f t="shared" si="19"/>
        <v>1.3667857476024801E-2</v>
      </c>
      <c r="H380" s="20">
        <f t="shared" si="20"/>
        <v>1.7569672461032259E-2</v>
      </c>
      <c r="I380" s="3"/>
    </row>
    <row r="381" spans="1:9" x14ac:dyDescent="0.3">
      <c r="A381" s="2">
        <v>43574</v>
      </c>
      <c r="B381" s="1">
        <v>50.965000000000003</v>
      </c>
      <c r="C381" s="1">
        <v>1861.69</v>
      </c>
      <c r="D381" s="1">
        <v>178.28</v>
      </c>
      <c r="E381" s="3"/>
      <c r="F381" s="20">
        <f t="shared" si="18"/>
        <v>0</v>
      </c>
      <c r="G381" s="20">
        <f t="shared" si="19"/>
        <v>0</v>
      </c>
      <c r="H381" s="20">
        <f t="shared" si="20"/>
        <v>0</v>
      </c>
      <c r="I381" s="3"/>
    </row>
    <row r="382" spans="1:9" x14ac:dyDescent="0.3">
      <c r="A382" s="2">
        <v>43573</v>
      </c>
      <c r="B382" s="1">
        <v>50.965000000000003</v>
      </c>
      <c r="C382" s="1">
        <v>1861.69</v>
      </c>
      <c r="D382" s="1">
        <v>178.28</v>
      </c>
      <c r="E382" s="3"/>
      <c r="F382" s="20">
        <f t="shared" si="18"/>
        <v>3.5873155746030099E-3</v>
      </c>
      <c r="G382" s="20">
        <f t="shared" si="19"/>
        <v>-1.6798563460449518E-3</v>
      </c>
      <c r="H382" s="20">
        <f t="shared" si="20"/>
        <v>-2.8006515813515198E-3</v>
      </c>
      <c r="I382" s="3"/>
    </row>
    <row r="383" spans="1:9" x14ac:dyDescent="0.3">
      <c r="A383" s="2">
        <v>43572</v>
      </c>
      <c r="B383" s="1">
        <v>50.782499999999999</v>
      </c>
      <c r="C383" s="1">
        <v>1864.82</v>
      </c>
      <c r="D383" s="1">
        <v>178.78</v>
      </c>
      <c r="E383" s="3"/>
      <c r="F383" s="20">
        <f t="shared" si="18"/>
        <v>1.928585049533919E-2</v>
      </c>
      <c r="G383" s="20">
        <f t="shared" si="19"/>
        <v>9.5497155755611704E-4</v>
      </c>
      <c r="H383" s="20">
        <f t="shared" si="20"/>
        <v>-5.0328534544793698E-4</v>
      </c>
      <c r="I383" s="3"/>
    </row>
    <row r="384" spans="1:9" x14ac:dyDescent="0.3">
      <c r="A384" s="2">
        <v>43571</v>
      </c>
      <c r="B384" s="1">
        <v>49.8125</v>
      </c>
      <c r="C384" s="1">
        <v>1863.04</v>
      </c>
      <c r="D384" s="1">
        <v>178.87</v>
      </c>
      <c r="E384" s="3"/>
      <c r="F384" s="20">
        <f t="shared" si="18"/>
        <v>1.0038144959242428E-4</v>
      </c>
      <c r="G384" s="20">
        <f t="shared" si="19"/>
        <v>9.8007478296552649E-3</v>
      </c>
      <c r="H384" s="20">
        <f t="shared" si="20"/>
        <v>-4.3512285543732777E-3</v>
      </c>
      <c r="I384" s="3"/>
    </row>
    <row r="385" spans="1:9" x14ac:dyDescent="0.3">
      <c r="A385" s="2">
        <v>43570</v>
      </c>
      <c r="B385" s="1">
        <v>49.807499999999997</v>
      </c>
      <c r="C385" s="1">
        <v>1844.87</v>
      </c>
      <c r="D385" s="1">
        <v>179.65</v>
      </c>
      <c r="E385" s="3"/>
      <c r="F385" s="20">
        <f t="shared" si="18"/>
        <v>1.8085912993220619E-3</v>
      </c>
      <c r="G385" s="20">
        <f t="shared" si="19"/>
        <v>9.8158053180396124E-4</v>
      </c>
      <c r="H385" s="20">
        <f t="shared" si="20"/>
        <v>3.0662044928616125E-3</v>
      </c>
      <c r="I385" s="3"/>
    </row>
    <row r="386" spans="1:9" x14ac:dyDescent="0.3">
      <c r="A386" s="2">
        <v>43567</v>
      </c>
      <c r="B386" s="1">
        <v>49.717500000000001</v>
      </c>
      <c r="C386" s="1">
        <v>1843.06</v>
      </c>
      <c r="D386" s="1">
        <v>179.1</v>
      </c>
      <c r="E386" s="3"/>
      <c r="F386" s="20">
        <f t="shared" si="18"/>
        <v>-4.0219195152770405E-4</v>
      </c>
      <c r="G386" s="20">
        <f t="shared" si="19"/>
        <v>-5.4785159474275247E-4</v>
      </c>
      <c r="H386" s="20">
        <f t="shared" si="20"/>
        <v>8.9173637099537982E-3</v>
      </c>
      <c r="I386" s="3"/>
    </row>
    <row r="387" spans="1:9" x14ac:dyDescent="0.3">
      <c r="A387" s="2">
        <v>43566</v>
      </c>
      <c r="B387" s="1">
        <v>49.737499999999997</v>
      </c>
      <c r="C387" s="1">
        <v>1844.07</v>
      </c>
      <c r="D387" s="1">
        <v>177.51</v>
      </c>
      <c r="E387" s="3"/>
      <c r="F387" s="20">
        <f t="shared" si="18"/>
        <v>-8.3590345824015016E-3</v>
      </c>
      <c r="G387" s="20">
        <f t="shared" si="19"/>
        <v>-1.7662679999562567E-3</v>
      </c>
      <c r="H387" s="20">
        <f t="shared" si="20"/>
        <v>-1.7448573362805193E-3</v>
      </c>
      <c r="I387" s="3"/>
    </row>
    <row r="388" spans="1:9" x14ac:dyDescent="0.3">
      <c r="A388" s="2">
        <v>43565</v>
      </c>
      <c r="B388" s="1">
        <v>50.155000000000001</v>
      </c>
      <c r="C388" s="1">
        <v>1847.33</v>
      </c>
      <c r="D388" s="1">
        <v>177.82</v>
      </c>
      <c r="E388" s="3"/>
      <c r="F388" s="20">
        <f t="shared" si="18"/>
        <v>5.5983351254210549E-3</v>
      </c>
      <c r="G388" s="20">
        <f t="shared" si="19"/>
        <v>6.2392109369372502E-3</v>
      </c>
      <c r="H388" s="20">
        <f t="shared" si="20"/>
        <v>1.3505910888121219E-3</v>
      </c>
      <c r="I388" s="3"/>
    </row>
    <row r="389" spans="1:9" x14ac:dyDescent="0.3">
      <c r="A389" s="2">
        <v>43564</v>
      </c>
      <c r="B389" s="1">
        <v>49.875</v>
      </c>
      <c r="C389" s="1">
        <v>1835.84</v>
      </c>
      <c r="D389" s="1">
        <v>177.58</v>
      </c>
      <c r="E389" s="3"/>
      <c r="F389" s="20">
        <f t="shared" si="18"/>
        <v>-3.0030052597695457E-3</v>
      </c>
      <c r="G389" s="20">
        <f t="shared" si="19"/>
        <v>-7.6078181196402011E-3</v>
      </c>
      <c r="H389" s="20">
        <f t="shared" si="20"/>
        <v>1.5035317702006347E-2</v>
      </c>
      <c r="I389" s="3"/>
    </row>
    <row r="390" spans="1:9" x14ac:dyDescent="0.3">
      <c r="A390" s="2">
        <v>43563</v>
      </c>
      <c r="B390" s="1">
        <v>50.024999999999999</v>
      </c>
      <c r="C390" s="1">
        <v>1849.86</v>
      </c>
      <c r="D390" s="1">
        <v>174.93</v>
      </c>
      <c r="E390" s="3"/>
      <c r="F390" s="20">
        <f t="shared" ref="F390:F453" si="21">LN(B390/B391)</f>
        <v>1.5613512851699297E-2</v>
      </c>
      <c r="G390" s="20">
        <f t="shared" ref="G390:G453" si="22">LN(C390/C391)</f>
        <v>6.8237435052671564E-3</v>
      </c>
      <c r="H390" s="20">
        <f t="shared" ref="H390:H453" si="23">LN(D390/D391)</f>
        <v>-4.5059252054045033E-3</v>
      </c>
      <c r="I390" s="3"/>
    </row>
    <row r="391" spans="1:9" x14ac:dyDescent="0.3">
      <c r="A391" s="2">
        <v>43560</v>
      </c>
      <c r="B391" s="1">
        <v>49.25</v>
      </c>
      <c r="C391" s="1">
        <v>1837.28</v>
      </c>
      <c r="D391" s="1">
        <v>175.72</v>
      </c>
      <c r="E391" s="3"/>
      <c r="F391" s="20">
        <f t="shared" si="21"/>
        <v>6.6719542618741299E-3</v>
      </c>
      <c r="G391" s="20">
        <f t="shared" si="22"/>
        <v>1.0076285837328095E-2</v>
      </c>
      <c r="H391" s="20">
        <f t="shared" si="23"/>
        <v>-1.7058058380868815E-3</v>
      </c>
      <c r="I391" s="3"/>
    </row>
    <row r="392" spans="1:9" x14ac:dyDescent="0.3">
      <c r="A392" s="2">
        <v>43559</v>
      </c>
      <c r="B392" s="1">
        <v>48.922499999999999</v>
      </c>
      <c r="C392" s="1">
        <v>1818.86</v>
      </c>
      <c r="D392" s="1">
        <v>176.02</v>
      </c>
      <c r="E392" s="3"/>
      <c r="F392" s="20">
        <f t="shared" si="21"/>
        <v>1.7389529750348404E-3</v>
      </c>
      <c r="G392" s="20">
        <f t="shared" si="22"/>
        <v>-1.0111113193682622E-3</v>
      </c>
      <c r="H392" s="20">
        <f t="shared" si="23"/>
        <v>1.4189504580322036E-2</v>
      </c>
      <c r="I392" s="3"/>
    </row>
    <row r="393" spans="1:9" x14ac:dyDescent="0.3">
      <c r="A393" s="2">
        <v>43558</v>
      </c>
      <c r="B393" s="1">
        <v>48.837499999999999</v>
      </c>
      <c r="C393" s="1">
        <v>1820.7</v>
      </c>
      <c r="D393" s="1">
        <v>173.54</v>
      </c>
      <c r="E393" s="3"/>
      <c r="F393" s="20">
        <f t="shared" si="21"/>
        <v>6.8315749679420199E-3</v>
      </c>
      <c r="G393" s="20">
        <f t="shared" si="22"/>
        <v>3.6977162539411175E-3</v>
      </c>
      <c r="H393" s="20">
        <f t="shared" si="23"/>
        <v>-3.7959440530587981E-3</v>
      </c>
      <c r="I393" s="3"/>
    </row>
    <row r="394" spans="1:9" x14ac:dyDescent="0.3">
      <c r="A394" s="2">
        <v>43557</v>
      </c>
      <c r="B394" s="1">
        <v>48.505000000000003</v>
      </c>
      <c r="C394" s="1">
        <v>1813.98</v>
      </c>
      <c r="D394" s="1">
        <v>174.2</v>
      </c>
      <c r="E394" s="3"/>
      <c r="F394" s="20">
        <f t="shared" si="21"/>
        <v>1.443206277523486E-2</v>
      </c>
      <c r="G394" s="20">
        <f t="shared" si="22"/>
        <v>-1.1576083823770969E-4</v>
      </c>
      <c r="H394" s="20">
        <f t="shared" si="23"/>
        <v>3.2082074866479911E-2</v>
      </c>
      <c r="I394" s="3"/>
    </row>
    <row r="395" spans="1:9" x14ac:dyDescent="0.3">
      <c r="A395" s="2">
        <v>43556</v>
      </c>
      <c r="B395" s="1">
        <v>47.81</v>
      </c>
      <c r="C395" s="1">
        <v>1814.19</v>
      </c>
      <c r="D395" s="1">
        <v>168.7</v>
      </c>
      <c r="E395" s="3"/>
      <c r="F395" s="20">
        <f t="shared" si="21"/>
        <v>6.7683041242681341E-3</v>
      </c>
      <c r="G395" s="20">
        <f t="shared" si="22"/>
        <v>1.8604463235752551E-2</v>
      </c>
      <c r="H395" s="20">
        <f t="shared" si="23"/>
        <v>1.1986189596925954E-2</v>
      </c>
      <c r="I395" s="3"/>
    </row>
    <row r="396" spans="1:9" x14ac:dyDescent="0.3">
      <c r="A396" s="2">
        <v>43553</v>
      </c>
      <c r="B396" s="1">
        <v>47.487499999999997</v>
      </c>
      <c r="C396" s="1">
        <v>1780.75</v>
      </c>
      <c r="D396" s="1">
        <v>166.69</v>
      </c>
      <c r="E396" s="3"/>
      <c r="F396" s="20">
        <f t="shared" si="21"/>
        <v>6.4964445342148396E-3</v>
      </c>
      <c r="G396" s="20">
        <f t="shared" si="22"/>
        <v>4.1247382046376733E-3</v>
      </c>
      <c r="H396" s="20">
        <f t="shared" si="23"/>
        <v>6.8625359617413197E-3</v>
      </c>
      <c r="I396" s="3"/>
    </row>
    <row r="397" spans="1:9" x14ac:dyDescent="0.3">
      <c r="A397" s="2">
        <v>43552</v>
      </c>
      <c r="B397" s="1">
        <v>47.18</v>
      </c>
      <c r="C397" s="1">
        <v>1773.42</v>
      </c>
      <c r="D397" s="1">
        <v>165.55</v>
      </c>
      <c r="E397" s="3"/>
      <c r="F397" s="20">
        <f t="shared" si="21"/>
        <v>1.3255920708832372E-3</v>
      </c>
      <c r="G397" s="20">
        <f t="shared" si="22"/>
        <v>4.3626733450728011E-3</v>
      </c>
      <c r="H397" s="20">
        <f t="shared" si="23"/>
        <v>-1.9310850246960049E-3</v>
      </c>
      <c r="I397" s="3"/>
    </row>
    <row r="398" spans="1:9" x14ac:dyDescent="0.3">
      <c r="A398" s="2">
        <v>43551</v>
      </c>
      <c r="B398" s="1">
        <v>47.1175</v>
      </c>
      <c r="C398" s="1">
        <v>1765.7</v>
      </c>
      <c r="D398" s="1">
        <v>165.87</v>
      </c>
      <c r="E398" s="3"/>
      <c r="F398" s="20">
        <f t="shared" si="21"/>
        <v>8.953851857324736E-3</v>
      </c>
      <c r="G398" s="20">
        <f t="shared" si="22"/>
        <v>-1.0176283633362627E-2</v>
      </c>
      <c r="H398" s="20">
        <f t="shared" si="23"/>
        <v>-1.0853052114726055E-2</v>
      </c>
      <c r="I398" s="3"/>
    </row>
    <row r="399" spans="1:9" x14ac:dyDescent="0.3">
      <c r="A399" s="2">
        <v>43550</v>
      </c>
      <c r="B399" s="1">
        <v>46.697499999999998</v>
      </c>
      <c r="C399" s="1">
        <v>1783.76</v>
      </c>
      <c r="D399" s="1">
        <v>167.68</v>
      </c>
      <c r="E399" s="3"/>
      <c r="F399" s="20">
        <f t="shared" si="21"/>
        <v>-1.0385415421975358E-2</v>
      </c>
      <c r="G399" s="20">
        <f t="shared" si="22"/>
        <v>5.3400613686028489E-3</v>
      </c>
      <c r="H399" s="20">
        <f t="shared" si="23"/>
        <v>8.3241490328545137E-3</v>
      </c>
      <c r="I399" s="3"/>
    </row>
    <row r="400" spans="1:9" x14ac:dyDescent="0.3">
      <c r="A400" s="2">
        <v>43549</v>
      </c>
      <c r="B400" s="1">
        <v>47.185000000000002</v>
      </c>
      <c r="C400" s="1">
        <v>1774.26</v>
      </c>
      <c r="D400" s="1">
        <v>166.29</v>
      </c>
      <c r="E400" s="3"/>
      <c r="F400" s="20">
        <f t="shared" si="21"/>
        <v>-1.2164767299721994E-2</v>
      </c>
      <c r="G400" s="20">
        <f t="shared" si="22"/>
        <v>5.3630643121421471E-3</v>
      </c>
      <c r="H400" s="20">
        <f t="shared" si="23"/>
        <v>1.1795799596781105E-2</v>
      </c>
      <c r="I400" s="3"/>
    </row>
    <row r="401" spans="1:9" x14ac:dyDescent="0.3">
      <c r="A401" s="2">
        <v>43546</v>
      </c>
      <c r="B401" s="1">
        <v>47.762500000000003</v>
      </c>
      <c r="C401" s="1">
        <v>1764.77</v>
      </c>
      <c r="D401" s="1">
        <v>164.34</v>
      </c>
      <c r="E401" s="3"/>
      <c r="F401" s="20">
        <f t="shared" si="21"/>
        <v>-2.092581665626109E-2</v>
      </c>
      <c r="G401" s="20">
        <f t="shared" si="22"/>
        <v>-3.0409454721365754E-2</v>
      </c>
      <c r="H401" s="20">
        <f t="shared" si="23"/>
        <v>-1.0532147474482109E-2</v>
      </c>
      <c r="I401" s="3"/>
    </row>
    <row r="402" spans="1:9" x14ac:dyDescent="0.3">
      <c r="A402" s="2">
        <v>43545</v>
      </c>
      <c r="B402" s="1">
        <v>48.772500000000001</v>
      </c>
      <c r="C402" s="1">
        <v>1819.26</v>
      </c>
      <c r="D402" s="1">
        <v>166.08</v>
      </c>
      <c r="E402" s="3"/>
      <c r="F402" s="20">
        <f t="shared" si="21"/>
        <v>3.6168325838908111E-2</v>
      </c>
      <c r="G402" s="20">
        <f t="shared" si="22"/>
        <v>1.2160978068277997E-2</v>
      </c>
      <c r="H402" s="20">
        <f t="shared" si="23"/>
        <v>3.8610086574595933E-3</v>
      </c>
      <c r="I402" s="3"/>
    </row>
    <row r="403" spans="1:9" x14ac:dyDescent="0.3">
      <c r="A403" s="2">
        <v>43544</v>
      </c>
      <c r="B403" s="1">
        <v>47.04</v>
      </c>
      <c r="C403" s="1">
        <v>1797.27</v>
      </c>
      <c r="D403" s="1">
        <v>165.44</v>
      </c>
      <c r="E403" s="3"/>
      <c r="F403" s="20">
        <f t="shared" si="21"/>
        <v>8.7005806537908056E-3</v>
      </c>
      <c r="G403" s="20">
        <f t="shared" si="22"/>
        <v>1.9904453575627298E-2</v>
      </c>
      <c r="H403" s="20">
        <f t="shared" si="23"/>
        <v>2.3670106031325282E-2</v>
      </c>
      <c r="I403" s="3"/>
    </row>
    <row r="404" spans="1:9" x14ac:dyDescent="0.3">
      <c r="A404" s="2">
        <v>43543</v>
      </c>
      <c r="B404" s="1">
        <v>46.6325</v>
      </c>
      <c r="C404" s="1">
        <v>1761.85</v>
      </c>
      <c r="D404" s="1">
        <v>161.57</v>
      </c>
      <c r="E404" s="3"/>
      <c r="F404" s="20">
        <f t="shared" si="21"/>
        <v>-7.9562560939336474E-3</v>
      </c>
      <c r="G404" s="20">
        <f t="shared" si="22"/>
        <v>1.124441071152785E-2</v>
      </c>
      <c r="H404" s="20">
        <f t="shared" si="23"/>
        <v>6.8314760774707654E-3</v>
      </c>
      <c r="I404" s="3"/>
    </row>
    <row r="405" spans="1:9" x14ac:dyDescent="0.3">
      <c r="A405" s="2">
        <v>43542</v>
      </c>
      <c r="B405" s="1">
        <v>47.005000000000003</v>
      </c>
      <c r="C405" s="1">
        <v>1742.15</v>
      </c>
      <c r="D405" s="1">
        <v>160.47</v>
      </c>
      <c r="E405" s="3"/>
      <c r="F405" s="20">
        <f t="shared" si="21"/>
        <v>1.0156713173957166E-2</v>
      </c>
      <c r="G405" s="20">
        <f t="shared" si="22"/>
        <v>1.7247446657602521E-2</v>
      </c>
      <c r="H405" s="20">
        <f t="shared" si="23"/>
        <v>-3.3760289959033386E-2</v>
      </c>
      <c r="I405" s="3"/>
    </row>
    <row r="406" spans="1:9" x14ac:dyDescent="0.3">
      <c r="A406" s="2">
        <v>43539</v>
      </c>
      <c r="B406" s="1">
        <v>46.53</v>
      </c>
      <c r="C406" s="1">
        <v>1712.36</v>
      </c>
      <c r="D406" s="1">
        <v>165.98</v>
      </c>
      <c r="E406" s="3"/>
      <c r="F406" s="20">
        <f t="shared" si="21"/>
        <v>1.2924338344804514E-2</v>
      </c>
      <c r="G406" s="20">
        <f t="shared" si="22"/>
        <v>1.5383198562259292E-2</v>
      </c>
      <c r="H406" s="20">
        <f t="shared" si="23"/>
        <v>-2.4930638213043341E-2</v>
      </c>
      <c r="I406" s="3"/>
    </row>
    <row r="407" spans="1:9" x14ac:dyDescent="0.3">
      <c r="A407" s="2">
        <v>43538</v>
      </c>
      <c r="B407" s="1">
        <v>45.932499999999997</v>
      </c>
      <c r="C407" s="1">
        <v>1686.22</v>
      </c>
      <c r="D407" s="1">
        <v>170.17</v>
      </c>
      <c r="E407" s="3"/>
      <c r="F407" s="20">
        <f t="shared" si="21"/>
        <v>1.1055278970677722E-2</v>
      </c>
      <c r="G407" s="20">
        <f t="shared" si="22"/>
        <v>-2.7183666277704821E-3</v>
      </c>
      <c r="H407" s="20">
        <f t="shared" si="23"/>
        <v>-1.8630101614451094E-2</v>
      </c>
      <c r="I407" s="3"/>
    </row>
    <row r="408" spans="1:9" x14ac:dyDescent="0.3">
      <c r="A408" s="2">
        <v>43537</v>
      </c>
      <c r="B408" s="1">
        <v>45.427500000000002</v>
      </c>
      <c r="C408" s="1">
        <v>1690.81</v>
      </c>
      <c r="D408" s="1">
        <v>173.37</v>
      </c>
      <c r="E408" s="3"/>
      <c r="F408" s="20">
        <f t="shared" si="21"/>
        <v>4.4123396277958105E-3</v>
      </c>
      <c r="G408" s="20">
        <f t="shared" si="22"/>
        <v>1.0529510971593539E-2</v>
      </c>
      <c r="H408" s="20">
        <f t="shared" si="23"/>
        <v>8.3987866635414164E-3</v>
      </c>
      <c r="I408" s="3"/>
    </row>
    <row r="409" spans="1:9" x14ac:dyDescent="0.3">
      <c r="A409" s="2">
        <v>43536</v>
      </c>
      <c r="B409" s="1">
        <v>45.227499999999999</v>
      </c>
      <c r="C409" s="1">
        <v>1673.1</v>
      </c>
      <c r="D409" s="1">
        <v>171.92</v>
      </c>
      <c r="E409" s="3"/>
      <c r="F409" s="20">
        <f t="shared" si="21"/>
        <v>1.1172679518496185E-2</v>
      </c>
      <c r="G409" s="20">
        <f t="shared" si="22"/>
        <v>1.4833780667947011E-3</v>
      </c>
      <c r="H409" s="20">
        <f t="shared" si="23"/>
        <v>-8.7211843081128743E-4</v>
      </c>
      <c r="I409" s="3"/>
    </row>
    <row r="410" spans="1:9" x14ac:dyDescent="0.3">
      <c r="A410" s="2">
        <v>43535</v>
      </c>
      <c r="B410" s="1">
        <v>44.725000000000001</v>
      </c>
      <c r="C410" s="1">
        <v>1670.62</v>
      </c>
      <c r="D410" s="1">
        <v>172.07</v>
      </c>
      <c r="E410" s="3"/>
      <c r="F410" s="20">
        <f t="shared" si="21"/>
        <v>3.4055762597975596E-2</v>
      </c>
      <c r="G410" s="20">
        <f t="shared" si="22"/>
        <v>3.0274960502404014E-2</v>
      </c>
      <c r="H410" s="20">
        <f t="shared" si="23"/>
        <v>1.445864740726357E-2</v>
      </c>
      <c r="I410" s="3"/>
    </row>
    <row r="411" spans="1:9" x14ac:dyDescent="0.3">
      <c r="A411" s="2">
        <v>43532</v>
      </c>
      <c r="B411" s="1">
        <v>43.227499999999999</v>
      </c>
      <c r="C411" s="1">
        <v>1620.8</v>
      </c>
      <c r="D411" s="1">
        <v>169.6</v>
      </c>
      <c r="E411" s="3"/>
      <c r="F411" s="20">
        <f t="shared" si="21"/>
        <v>2.3739914452835121E-3</v>
      </c>
      <c r="G411" s="20">
        <f t="shared" si="22"/>
        <v>-3.1724058330335589E-3</v>
      </c>
      <c r="H411" s="20">
        <f t="shared" si="23"/>
        <v>2.7750733718520017E-3</v>
      </c>
      <c r="I411" s="3"/>
    </row>
    <row r="412" spans="1:9" x14ac:dyDescent="0.3">
      <c r="A412" s="2">
        <v>43531</v>
      </c>
      <c r="B412" s="1">
        <v>43.125</v>
      </c>
      <c r="C412" s="1">
        <v>1625.95</v>
      </c>
      <c r="D412" s="1">
        <v>169.13</v>
      </c>
      <c r="E412" s="3"/>
      <c r="F412" s="20">
        <f t="shared" si="21"/>
        <v>-1.1642111783994503E-2</v>
      </c>
      <c r="G412" s="20">
        <f t="shared" si="22"/>
        <v>-2.6102425826913238E-2</v>
      </c>
      <c r="H412" s="20">
        <f t="shared" si="23"/>
        <v>-1.9787555819702162E-2</v>
      </c>
      <c r="I412" s="3"/>
    </row>
    <row r="413" spans="1:9" x14ac:dyDescent="0.3">
      <c r="A413" s="2">
        <v>43530</v>
      </c>
      <c r="B413" s="1">
        <v>43.63</v>
      </c>
      <c r="C413" s="1">
        <v>1668.95</v>
      </c>
      <c r="D413" s="1">
        <v>172.51</v>
      </c>
      <c r="E413" s="3"/>
      <c r="F413" s="20">
        <f t="shared" si="21"/>
        <v>-5.7706202128455647E-3</v>
      </c>
      <c r="G413" s="20">
        <f t="shared" si="22"/>
        <v>-1.3970679840275509E-2</v>
      </c>
      <c r="H413" s="20">
        <f t="shared" si="23"/>
        <v>7.272336207606876E-3</v>
      </c>
      <c r="I413" s="3"/>
    </row>
    <row r="414" spans="1:9" x14ac:dyDescent="0.3">
      <c r="A414" s="2">
        <v>43529</v>
      </c>
      <c r="B414" s="1">
        <v>43.8825</v>
      </c>
      <c r="C414" s="1">
        <v>1692.43</v>
      </c>
      <c r="D414" s="1">
        <v>171.26</v>
      </c>
      <c r="E414" s="3"/>
      <c r="F414" s="20">
        <f t="shared" si="21"/>
        <v>-1.8213904517370076E-3</v>
      </c>
      <c r="G414" s="20">
        <f t="shared" si="22"/>
        <v>-2.2074021829867657E-3</v>
      </c>
      <c r="H414" s="20">
        <f t="shared" si="23"/>
        <v>2.2975939072499146E-2</v>
      </c>
      <c r="I414" s="3"/>
    </row>
    <row r="415" spans="1:9" x14ac:dyDescent="0.3">
      <c r="A415" s="2">
        <v>43528</v>
      </c>
      <c r="B415" s="1">
        <v>43.962499999999999</v>
      </c>
      <c r="C415" s="1">
        <v>1696.17</v>
      </c>
      <c r="D415" s="1">
        <v>167.37</v>
      </c>
      <c r="E415" s="3"/>
      <c r="F415" s="20">
        <f t="shared" si="21"/>
        <v>5.0168282634629651E-3</v>
      </c>
      <c r="G415" s="20">
        <f t="shared" si="22"/>
        <v>1.4513749826393956E-2</v>
      </c>
      <c r="H415" s="20">
        <f t="shared" si="23"/>
        <v>3.0883692187300128E-2</v>
      </c>
      <c r="I415" s="3"/>
    </row>
    <row r="416" spans="1:9" x14ac:dyDescent="0.3">
      <c r="A416" s="2">
        <v>43525</v>
      </c>
      <c r="B416" s="1">
        <v>43.7425</v>
      </c>
      <c r="C416" s="1">
        <v>1671.73</v>
      </c>
      <c r="D416" s="1">
        <v>162.28</v>
      </c>
      <c r="E416" s="3"/>
      <c r="F416" s="20">
        <f t="shared" si="21"/>
        <v>1.0456259808097369E-2</v>
      </c>
      <c r="G416" s="20">
        <f t="shared" si="22"/>
        <v>1.9266440442492722E-2</v>
      </c>
      <c r="H416" s="20">
        <f t="shared" si="23"/>
        <v>5.1277411339623151E-3</v>
      </c>
      <c r="I416" s="3"/>
    </row>
    <row r="417" spans="1:9" x14ac:dyDescent="0.3">
      <c r="A417" s="2">
        <v>43524</v>
      </c>
      <c r="B417" s="1">
        <v>43.287500000000001</v>
      </c>
      <c r="C417" s="1">
        <v>1639.83</v>
      </c>
      <c r="D417" s="1">
        <v>161.44999999999999</v>
      </c>
      <c r="E417" s="3"/>
      <c r="F417" s="20">
        <f t="shared" si="21"/>
        <v>-9.8845698771371261E-3</v>
      </c>
      <c r="G417" s="20">
        <f t="shared" si="22"/>
        <v>-7.6807728438610466E-4</v>
      </c>
      <c r="H417" s="20">
        <f t="shared" si="23"/>
        <v>-8.3883795391390004E-3</v>
      </c>
      <c r="I417" s="3"/>
    </row>
    <row r="418" spans="1:9" x14ac:dyDescent="0.3">
      <c r="A418" s="2">
        <v>43523</v>
      </c>
      <c r="B418" s="1">
        <v>43.717500000000001</v>
      </c>
      <c r="C418" s="1">
        <v>1641.09</v>
      </c>
      <c r="D418" s="1">
        <v>162.81</v>
      </c>
      <c r="E418" s="3"/>
      <c r="F418" s="20">
        <f t="shared" si="21"/>
        <v>3.0927859704441541E-3</v>
      </c>
      <c r="G418" s="20">
        <f t="shared" si="22"/>
        <v>2.8619481378838545E-3</v>
      </c>
      <c r="H418" s="20">
        <f t="shared" si="23"/>
        <v>-8.0749200004210393E-3</v>
      </c>
      <c r="I418" s="3"/>
    </row>
    <row r="419" spans="1:9" x14ac:dyDescent="0.3">
      <c r="A419" s="2">
        <v>43522</v>
      </c>
      <c r="B419" s="1">
        <v>43.582500000000003</v>
      </c>
      <c r="C419" s="1">
        <v>1636.4</v>
      </c>
      <c r="D419" s="1">
        <v>164.13</v>
      </c>
      <c r="E419" s="3"/>
      <c r="F419" s="20">
        <f t="shared" si="21"/>
        <v>5.7378932031007166E-4</v>
      </c>
      <c r="G419" s="20">
        <f t="shared" si="22"/>
        <v>2.0798930847785008E-3</v>
      </c>
      <c r="H419" s="20">
        <f t="shared" si="23"/>
        <v>-2.9809908006537674E-3</v>
      </c>
      <c r="I419" s="3"/>
    </row>
    <row r="420" spans="1:9" x14ac:dyDescent="0.3">
      <c r="A420" s="2">
        <v>43521</v>
      </c>
      <c r="B420" s="1">
        <v>43.557499999999997</v>
      </c>
      <c r="C420" s="1">
        <v>1633</v>
      </c>
      <c r="D420" s="1">
        <v>164.62</v>
      </c>
      <c r="E420" s="3"/>
      <c r="F420" s="20">
        <f t="shared" si="21"/>
        <v>7.2580963789818705E-3</v>
      </c>
      <c r="G420" s="20">
        <f t="shared" si="22"/>
        <v>8.8220164027838889E-4</v>
      </c>
      <c r="H420" s="20">
        <f t="shared" si="23"/>
        <v>1.6722695291083483E-2</v>
      </c>
      <c r="I420" s="3"/>
    </row>
    <row r="421" spans="1:9" x14ac:dyDescent="0.3">
      <c r="A421" s="2">
        <v>43518</v>
      </c>
      <c r="B421" s="1">
        <v>43.2425</v>
      </c>
      <c r="C421" s="1">
        <v>1631.56</v>
      </c>
      <c r="D421" s="1">
        <v>161.88999999999999</v>
      </c>
      <c r="E421" s="3"/>
      <c r="F421" s="20">
        <f t="shared" si="21"/>
        <v>1.1103796903196281E-2</v>
      </c>
      <c r="G421" s="20">
        <f t="shared" si="22"/>
        <v>7.4562018768648351E-3</v>
      </c>
      <c r="H421" s="20">
        <f t="shared" si="23"/>
        <v>1.1493308264380078E-2</v>
      </c>
      <c r="I421" s="3"/>
    </row>
    <row r="422" spans="1:9" x14ac:dyDescent="0.3">
      <c r="A422" s="2">
        <v>43517</v>
      </c>
      <c r="B422" s="1">
        <v>42.765000000000001</v>
      </c>
      <c r="C422" s="1">
        <v>1619.44</v>
      </c>
      <c r="D422" s="1">
        <v>160.04</v>
      </c>
      <c r="E422" s="3"/>
      <c r="F422" s="20">
        <f t="shared" si="21"/>
        <v>-5.6545080563122196E-3</v>
      </c>
      <c r="G422" s="20">
        <f t="shared" si="22"/>
        <v>-1.6411956027468778E-3</v>
      </c>
      <c r="H422" s="20">
        <f t="shared" si="23"/>
        <v>-1.5623380401082821E-2</v>
      </c>
      <c r="I422" s="3"/>
    </row>
    <row r="423" spans="1:9" x14ac:dyDescent="0.3">
      <c r="A423" s="2">
        <v>43516</v>
      </c>
      <c r="B423" s="1">
        <v>43.0075</v>
      </c>
      <c r="C423" s="1">
        <v>1622.1</v>
      </c>
      <c r="D423" s="1">
        <v>162.56</v>
      </c>
      <c r="E423" s="3"/>
      <c r="F423" s="20">
        <f t="shared" si="21"/>
        <v>6.4147642407710722E-3</v>
      </c>
      <c r="G423" s="20">
        <f t="shared" si="22"/>
        <v>-3.3726429645101544E-3</v>
      </c>
      <c r="H423" s="20">
        <f t="shared" si="23"/>
        <v>1.6623060623265559E-3</v>
      </c>
      <c r="I423" s="3"/>
    </row>
    <row r="424" spans="1:9" x14ac:dyDescent="0.3">
      <c r="A424" s="2">
        <v>43515</v>
      </c>
      <c r="B424" s="1">
        <v>42.732500000000002</v>
      </c>
      <c r="C424" s="1">
        <v>1627.58</v>
      </c>
      <c r="D424" s="1">
        <v>162.29</v>
      </c>
      <c r="E424" s="3"/>
      <c r="F424" s="20">
        <f t="shared" si="21"/>
        <v>2.9881375683668745E-3</v>
      </c>
      <c r="G424" s="20">
        <f t="shared" si="22"/>
        <v>1.2134173292475419E-2</v>
      </c>
      <c r="H424" s="20">
        <f t="shared" si="23"/>
        <v>-1.2931434420016034E-3</v>
      </c>
      <c r="I424" s="3"/>
    </row>
    <row r="425" spans="1:9" x14ac:dyDescent="0.3">
      <c r="A425" s="2">
        <v>43514</v>
      </c>
      <c r="B425" s="1">
        <v>42.604999999999997</v>
      </c>
      <c r="C425" s="1">
        <v>1607.95</v>
      </c>
      <c r="D425" s="1">
        <v>162.5</v>
      </c>
      <c r="E425" s="3"/>
      <c r="F425" s="20">
        <f t="shared" si="21"/>
        <v>0</v>
      </c>
      <c r="G425" s="20">
        <f t="shared" si="22"/>
        <v>0</v>
      </c>
      <c r="H425" s="20">
        <f t="shared" si="23"/>
        <v>0</v>
      </c>
      <c r="I425" s="3"/>
    </row>
    <row r="426" spans="1:9" x14ac:dyDescent="0.3">
      <c r="A426" s="2">
        <v>43511</v>
      </c>
      <c r="B426" s="1">
        <v>42.604999999999997</v>
      </c>
      <c r="C426" s="1">
        <v>1607.95</v>
      </c>
      <c r="D426" s="1">
        <v>162.5</v>
      </c>
      <c r="E426" s="3"/>
      <c r="F426" s="20">
        <f t="shared" si="21"/>
        <v>-2.2273029546597293E-3</v>
      </c>
      <c r="G426" s="20">
        <f t="shared" si="22"/>
        <v>-9.1005394998690987E-3</v>
      </c>
      <c r="H426" s="20">
        <f t="shared" si="23"/>
        <v>-8.883501520864992E-3</v>
      </c>
      <c r="I426" s="3"/>
    </row>
    <row r="427" spans="1:9" x14ac:dyDescent="0.3">
      <c r="A427" s="2">
        <v>43510</v>
      </c>
      <c r="B427" s="1">
        <v>42.7</v>
      </c>
      <c r="C427" s="1">
        <v>1622.65</v>
      </c>
      <c r="D427" s="1">
        <v>163.95</v>
      </c>
      <c r="E427" s="3"/>
      <c r="F427" s="20">
        <f t="shared" si="21"/>
        <v>3.6365809330583436E-3</v>
      </c>
      <c r="G427" s="20">
        <f t="shared" si="22"/>
        <v>-1.0635626590271331E-2</v>
      </c>
      <c r="H427" s="20">
        <f t="shared" si="23"/>
        <v>-7.3166273613378457E-4</v>
      </c>
      <c r="I427" s="3"/>
    </row>
    <row r="428" spans="1:9" x14ac:dyDescent="0.3">
      <c r="A428" s="2">
        <v>43509</v>
      </c>
      <c r="B428" s="1">
        <v>42.545000000000002</v>
      </c>
      <c r="C428" s="1">
        <v>1640</v>
      </c>
      <c r="D428" s="1">
        <v>164.07</v>
      </c>
      <c r="E428" s="3"/>
      <c r="F428" s="20">
        <f t="shared" si="21"/>
        <v>-4.1633742374061139E-3</v>
      </c>
      <c r="G428" s="20">
        <f t="shared" si="22"/>
        <v>1.214151417759741E-3</v>
      </c>
      <c r="H428" s="20">
        <f t="shared" si="23"/>
        <v>-5.8947027362053024E-3</v>
      </c>
      <c r="I428" s="3"/>
    </row>
    <row r="429" spans="1:9" x14ac:dyDescent="0.3">
      <c r="A429" s="2">
        <v>43508</v>
      </c>
      <c r="B429" s="1">
        <v>42.722499999999997</v>
      </c>
      <c r="C429" s="1">
        <v>1638.01</v>
      </c>
      <c r="D429" s="1">
        <v>165.04</v>
      </c>
      <c r="E429" s="3"/>
      <c r="F429" s="20">
        <f t="shared" si="21"/>
        <v>8.5802124888025282E-3</v>
      </c>
      <c r="G429" s="20">
        <f t="shared" si="22"/>
        <v>2.9119341062697382E-2</v>
      </c>
      <c r="H429" s="20">
        <f t="shared" si="23"/>
        <v>-4.534058488377503E-3</v>
      </c>
      <c r="I429" s="3"/>
    </row>
    <row r="430" spans="1:9" x14ac:dyDescent="0.3">
      <c r="A430" s="2">
        <v>43507</v>
      </c>
      <c r="B430" s="1">
        <v>42.357500000000002</v>
      </c>
      <c r="C430" s="1">
        <v>1591</v>
      </c>
      <c r="D430" s="1">
        <v>165.79</v>
      </c>
      <c r="E430" s="3"/>
      <c r="F430" s="20">
        <f t="shared" si="21"/>
        <v>-5.7674359492863305E-3</v>
      </c>
      <c r="G430" s="20">
        <f t="shared" si="22"/>
        <v>1.7488570835315679E-3</v>
      </c>
      <c r="H430" s="20">
        <f t="shared" si="23"/>
        <v>-9.2459832551085499E-3</v>
      </c>
      <c r="I430" s="3"/>
    </row>
    <row r="431" spans="1:9" x14ac:dyDescent="0.3">
      <c r="A431" s="2">
        <v>43504</v>
      </c>
      <c r="B431" s="1">
        <v>42.602499999999999</v>
      </c>
      <c r="C431" s="1">
        <v>1588.22</v>
      </c>
      <c r="D431" s="1">
        <v>167.33</v>
      </c>
      <c r="E431" s="3"/>
      <c r="F431" s="20">
        <f t="shared" si="21"/>
        <v>-3.1053196185706366E-3</v>
      </c>
      <c r="G431" s="20">
        <f t="shared" si="22"/>
        <v>-1.6330895417224444E-2</v>
      </c>
      <c r="H431" s="20">
        <f t="shared" si="23"/>
        <v>5.693581650740593E-3</v>
      </c>
      <c r="I431" s="3"/>
    </row>
    <row r="432" spans="1:9" x14ac:dyDescent="0.3">
      <c r="A432" s="2">
        <v>43503</v>
      </c>
      <c r="B432" s="1">
        <v>42.734999999999999</v>
      </c>
      <c r="C432" s="1">
        <v>1614.37</v>
      </c>
      <c r="D432" s="1">
        <v>166.38</v>
      </c>
      <c r="E432" s="3"/>
      <c r="F432" s="20">
        <f t="shared" si="21"/>
        <v>-1.9121041446778512E-2</v>
      </c>
      <c r="G432" s="20">
        <f t="shared" si="22"/>
        <v>-1.5909978166533854E-2</v>
      </c>
      <c r="H432" s="20">
        <f t="shared" si="23"/>
        <v>-2.4402315121398198E-2</v>
      </c>
      <c r="I432" s="3"/>
    </row>
    <row r="433" spans="1:9" x14ac:dyDescent="0.3">
      <c r="A433" s="2">
        <v>43502</v>
      </c>
      <c r="B433" s="1">
        <v>43.56</v>
      </c>
      <c r="C433" s="1">
        <v>1640.26</v>
      </c>
      <c r="D433" s="1">
        <v>170.49</v>
      </c>
      <c r="E433" s="3"/>
      <c r="F433" s="20">
        <f t="shared" si="21"/>
        <v>3.4441192005689816E-4</v>
      </c>
      <c r="G433" s="20">
        <f t="shared" si="22"/>
        <v>-1.1245711970345946E-2</v>
      </c>
      <c r="H433" s="20">
        <f t="shared" si="23"/>
        <v>-3.922147571476243E-3</v>
      </c>
      <c r="I433" s="3"/>
    </row>
    <row r="434" spans="1:9" x14ac:dyDescent="0.3">
      <c r="A434" s="2">
        <v>43501</v>
      </c>
      <c r="B434" s="1">
        <v>43.545000000000002</v>
      </c>
      <c r="C434" s="1">
        <v>1658.81</v>
      </c>
      <c r="D434" s="1">
        <v>171.16</v>
      </c>
      <c r="E434" s="3"/>
      <c r="F434" s="20">
        <f t="shared" si="21"/>
        <v>1.6964770122258957E-2</v>
      </c>
      <c r="G434" s="20">
        <f t="shared" si="22"/>
        <v>1.549184719407881E-2</v>
      </c>
      <c r="H434" s="20">
        <f t="shared" si="23"/>
        <v>1.122187975623172E-2</v>
      </c>
      <c r="I434" s="3"/>
    </row>
    <row r="435" spans="1:9" x14ac:dyDescent="0.3">
      <c r="A435" s="2">
        <v>43500</v>
      </c>
      <c r="B435" s="1">
        <v>42.8125</v>
      </c>
      <c r="C435" s="1">
        <v>1633.31</v>
      </c>
      <c r="D435" s="1">
        <v>169.25</v>
      </c>
      <c r="E435" s="3"/>
      <c r="F435" s="20">
        <f t="shared" si="21"/>
        <v>2.8009054815559917E-2</v>
      </c>
      <c r="G435" s="20">
        <f t="shared" si="22"/>
        <v>4.3441780953186156E-3</v>
      </c>
      <c r="H435" s="20">
        <f t="shared" si="23"/>
        <v>2.1137639150681873E-2</v>
      </c>
      <c r="I435" s="3"/>
    </row>
    <row r="436" spans="1:9" x14ac:dyDescent="0.3">
      <c r="A436" s="2">
        <v>43497</v>
      </c>
      <c r="B436" s="1">
        <v>41.63</v>
      </c>
      <c r="C436" s="1">
        <v>1626.23</v>
      </c>
      <c r="D436" s="1">
        <v>165.71</v>
      </c>
      <c r="E436" s="3"/>
      <c r="F436" s="20">
        <f t="shared" si="21"/>
        <v>4.805382120342681E-4</v>
      </c>
      <c r="G436" s="20">
        <f t="shared" si="22"/>
        <v>-5.5321193464579997E-2</v>
      </c>
      <c r="H436" s="20">
        <f t="shared" si="23"/>
        <v>-5.8965273132940829E-3</v>
      </c>
      <c r="I436" s="3"/>
    </row>
    <row r="437" spans="1:9" x14ac:dyDescent="0.3">
      <c r="A437" s="2">
        <v>43496</v>
      </c>
      <c r="B437" s="1">
        <v>41.61</v>
      </c>
      <c r="C437" s="1">
        <v>1718.73</v>
      </c>
      <c r="D437" s="1">
        <v>166.69</v>
      </c>
      <c r="E437" s="3"/>
      <c r="F437" s="20">
        <f t="shared" si="21"/>
        <v>7.1754053829448461E-3</v>
      </c>
      <c r="G437" s="20">
        <f t="shared" si="22"/>
        <v>2.8504567686382189E-2</v>
      </c>
      <c r="H437" s="20">
        <f t="shared" si="23"/>
        <v>0.10270441855673969</v>
      </c>
      <c r="I437" s="3"/>
    </row>
    <row r="438" spans="1:9" x14ac:dyDescent="0.3">
      <c r="A438" s="2">
        <v>43495</v>
      </c>
      <c r="B438" s="1">
        <v>41.3125</v>
      </c>
      <c r="C438" s="1">
        <v>1670.43</v>
      </c>
      <c r="D438" s="1">
        <v>150.41999999999999</v>
      </c>
      <c r="E438" s="3"/>
      <c r="F438" s="20">
        <f t="shared" si="21"/>
        <v>6.6101011992699382E-2</v>
      </c>
      <c r="G438" s="20">
        <f t="shared" si="22"/>
        <v>4.690978308951213E-2</v>
      </c>
      <c r="H438" s="20">
        <f t="shared" si="23"/>
        <v>4.2299507079701294E-2</v>
      </c>
      <c r="I438" s="3"/>
    </row>
    <row r="439" spans="1:9" x14ac:dyDescent="0.3">
      <c r="A439" s="2">
        <v>43494</v>
      </c>
      <c r="B439" s="1">
        <v>38.67</v>
      </c>
      <c r="C439" s="1">
        <v>1593.88</v>
      </c>
      <c r="D439" s="1">
        <v>144.19</v>
      </c>
      <c r="E439" s="3"/>
      <c r="F439" s="20">
        <f t="shared" si="21"/>
        <v>-1.0418770688334572E-2</v>
      </c>
      <c r="G439" s="20">
        <f t="shared" si="22"/>
        <v>-2.7237532883209539E-2</v>
      </c>
      <c r="H439" s="20">
        <f t="shared" si="23"/>
        <v>-2.249289094429395E-2</v>
      </c>
      <c r="I439" s="3"/>
    </row>
    <row r="440" spans="1:9" x14ac:dyDescent="0.3">
      <c r="A440" s="2">
        <v>43493</v>
      </c>
      <c r="B440" s="1">
        <v>39.075000000000003</v>
      </c>
      <c r="C440" s="1">
        <v>1637.89</v>
      </c>
      <c r="D440" s="1">
        <v>147.47</v>
      </c>
      <c r="E440" s="3"/>
      <c r="F440" s="20">
        <f t="shared" si="21"/>
        <v>-9.2976534268942035E-3</v>
      </c>
      <c r="G440" s="20">
        <f t="shared" si="22"/>
        <v>-1.9756057449691861E-2</v>
      </c>
      <c r="H440" s="20">
        <f t="shared" si="23"/>
        <v>-1.0388652524519273E-2</v>
      </c>
      <c r="I440" s="3"/>
    </row>
    <row r="441" spans="1:9" x14ac:dyDescent="0.3">
      <c r="A441" s="2">
        <v>43490</v>
      </c>
      <c r="B441" s="1">
        <v>39.44</v>
      </c>
      <c r="C441" s="1">
        <v>1670.57</v>
      </c>
      <c r="D441" s="1">
        <v>149.01</v>
      </c>
      <c r="E441" s="3"/>
      <c r="F441" s="20">
        <f t="shared" si="21"/>
        <v>3.2599678629738615E-2</v>
      </c>
      <c r="G441" s="20">
        <f t="shared" si="22"/>
        <v>9.4061736963974504E-3</v>
      </c>
      <c r="H441" s="20">
        <f t="shared" si="23"/>
        <v>2.1571858061894874E-2</v>
      </c>
      <c r="I441" s="3"/>
    </row>
    <row r="442" spans="1:9" x14ac:dyDescent="0.3">
      <c r="A442" s="2">
        <v>43489</v>
      </c>
      <c r="B442" s="1">
        <v>38.174999999999997</v>
      </c>
      <c r="C442" s="1">
        <v>1654.93</v>
      </c>
      <c r="D442" s="1">
        <v>145.83000000000001</v>
      </c>
      <c r="E442" s="3"/>
      <c r="F442" s="20">
        <f t="shared" si="21"/>
        <v>-7.9577746928096195E-3</v>
      </c>
      <c r="G442" s="20">
        <f t="shared" si="22"/>
        <v>9.0502749783161526E-3</v>
      </c>
      <c r="H442" s="20">
        <f t="shared" si="23"/>
        <v>1.0547093945648655E-2</v>
      </c>
      <c r="I442" s="3"/>
    </row>
    <row r="443" spans="1:9" x14ac:dyDescent="0.3">
      <c r="A443" s="2">
        <v>43488</v>
      </c>
      <c r="B443" s="1">
        <v>38.479999999999997</v>
      </c>
      <c r="C443" s="1">
        <v>1640.02</v>
      </c>
      <c r="D443" s="1">
        <v>144.30000000000001</v>
      </c>
      <c r="E443" s="3"/>
      <c r="F443" s="20">
        <f t="shared" si="21"/>
        <v>4.0362010396276854E-3</v>
      </c>
      <c r="G443" s="20">
        <f t="shared" si="22"/>
        <v>4.7980191000869046E-3</v>
      </c>
      <c r="H443" s="20">
        <f t="shared" si="23"/>
        <v>-2.2408173695532815E-2</v>
      </c>
      <c r="I443" s="3"/>
    </row>
    <row r="444" spans="1:9" x14ac:dyDescent="0.3">
      <c r="A444" s="2">
        <v>43487</v>
      </c>
      <c r="B444" s="1">
        <v>38.325000000000003</v>
      </c>
      <c r="C444" s="1">
        <v>1632.17</v>
      </c>
      <c r="D444" s="1">
        <v>147.57</v>
      </c>
      <c r="E444" s="3"/>
      <c r="F444" s="20">
        <f t="shared" si="21"/>
        <v>-2.2701864925007316E-2</v>
      </c>
      <c r="G444" s="20">
        <f t="shared" si="22"/>
        <v>-3.8480037161851131E-2</v>
      </c>
      <c r="H444" s="20">
        <f t="shared" si="23"/>
        <v>-1.6599285738328477E-2</v>
      </c>
      <c r="I444" s="3"/>
    </row>
    <row r="445" spans="1:9" x14ac:dyDescent="0.3">
      <c r="A445" s="2">
        <v>43486</v>
      </c>
      <c r="B445" s="1">
        <v>39.204999999999998</v>
      </c>
      <c r="C445" s="1">
        <v>1696.2</v>
      </c>
      <c r="D445" s="1">
        <v>150.04</v>
      </c>
      <c r="E445" s="3"/>
      <c r="F445" s="20">
        <f t="shared" si="21"/>
        <v>0</v>
      </c>
      <c r="G445" s="20">
        <f t="shared" si="22"/>
        <v>0</v>
      </c>
      <c r="H445" s="20">
        <f t="shared" si="23"/>
        <v>0</v>
      </c>
      <c r="I445" s="3"/>
    </row>
    <row r="446" spans="1:9" x14ac:dyDescent="0.3">
      <c r="A446" s="2">
        <v>43483</v>
      </c>
      <c r="B446" s="1">
        <v>39.204999999999998</v>
      </c>
      <c r="C446" s="1">
        <v>1696.2</v>
      </c>
      <c r="D446" s="1">
        <v>150.04</v>
      </c>
      <c r="E446" s="3"/>
      <c r="F446" s="20">
        <f t="shared" si="21"/>
        <v>6.1404823873608648E-3</v>
      </c>
      <c r="G446" s="20">
        <f t="shared" si="22"/>
        <v>1.7584133968945061E-3</v>
      </c>
      <c r="H446" s="20">
        <f t="shared" si="23"/>
        <v>1.1664676069800041E-2</v>
      </c>
      <c r="I446" s="3"/>
    </row>
    <row r="447" spans="1:9" x14ac:dyDescent="0.3">
      <c r="A447" s="2">
        <v>43482</v>
      </c>
      <c r="B447" s="1">
        <v>38.965000000000003</v>
      </c>
      <c r="C447" s="1">
        <v>1693.22</v>
      </c>
      <c r="D447" s="1">
        <v>148.30000000000001</v>
      </c>
      <c r="E447" s="3"/>
      <c r="F447" s="20">
        <f t="shared" si="21"/>
        <v>5.9202232116584829E-3</v>
      </c>
      <c r="G447" s="20">
        <f t="shared" si="22"/>
        <v>5.5907755929212582E-3</v>
      </c>
      <c r="H447" s="20">
        <f t="shared" si="23"/>
        <v>5.1379236877303726E-3</v>
      </c>
      <c r="I447" s="3"/>
    </row>
    <row r="448" spans="1:9" x14ac:dyDescent="0.3">
      <c r="A448" s="2">
        <v>43481</v>
      </c>
      <c r="B448" s="1">
        <v>38.734999999999999</v>
      </c>
      <c r="C448" s="1">
        <v>1683.78</v>
      </c>
      <c r="D448" s="1">
        <v>147.54</v>
      </c>
      <c r="E448" s="3"/>
      <c r="F448" s="20">
        <f t="shared" si="21"/>
        <v>1.2142612100140771E-2</v>
      </c>
      <c r="G448" s="20">
        <f t="shared" si="22"/>
        <v>5.4908217539409851E-3</v>
      </c>
      <c r="H448" s="20">
        <f t="shared" si="23"/>
        <v>-9.5113537031350937E-3</v>
      </c>
      <c r="I448" s="3"/>
    </row>
    <row r="449" spans="1:9" x14ac:dyDescent="0.3">
      <c r="A449" s="2">
        <v>43480</v>
      </c>
      <c r="B449" s="1">
        <v>38.267499999999998</v>
      </c>
      <c r="C449" s="1">
        <v>1674.56</v>
      </c>
      <c r="D449" s="1">
        <v>148.94999999999999</v>
      </c>
      <c r="E449" s="3"/>
      <c r="F449" s="20">
        <f t="shared" si="21"/>
        <v>2.0260039007360012E-2</v>
      </c>
      <c r="G449" s="20">
        <f t="shared" si="22"/>
        <v>3.4848001909261177E-2</v>
      </c>
      <c r="H449" s="20">
        <f t="shared" si="23"/>
        <v>2.4190892215957036E-2</v>
      </c>
      <c r="I449" s="3"/>
    </row>
    <row r="450" spans="1:9" x14ac:dyDescent="0.3">
      <c r="A450" s="2">
        <v>43479</v>
      </c>
      <c r="B450" s="1">
        <v>37.5</v>
      </c>
      <c r="C450" s="1">
        <v>1617.21</v>
      </c>
      <c r="D450" s="1">
        <v>145.38999999999999</v>
      </c>
      <c r="E450" s="3"/>
      <c r="F450" s="20">
        <f t="shared" si="21"/>
        <v>-1.5151303767343681E-2</v>
      </c>
      <c r="G450" s="20">
        <f t="shared" si="22"/>
        <v>-1.4335204672932502E-2</v>
      </c>
      <c r="H450" s="20">
        <f t="shared" si="23"/>
        <v>1.0996341656387781E-2</v>
      </c>
      <c r="I450" s="3"/>
    </row>
    <row r="451" spans="1:9" x14ac:dyDescent="0.3">
      <c r="A451" s="2">
        <v>43476</v>
      </c>
      <c r="B451" s="1">
        <v>38.072499999999998</v>
      </c>
      <c r="C451" s="1">
        <v>1640.56</v>
      </c>
      <c r="D451" s="1">
        <v>143.80000000000001</v>
      </c>
      <c r="E451" s="3"/>
      <c r="F451" s="20">
        <f t="shared" si="21"/>
        <v>-9.8664592079442514E-3</v>
      </c>
      <c r="G451" s="20">
        <f t="shared" si="22"/>
        <v>-9.5002504154247935E-3</v>
      </c>
      <c r="H451" s="20">
        <f t="shared" si="23"/>
        <v>-2.7777795639022749E-3</v>
      </c>
      <c r="I451" s="3"/>
    </row>
    <row r="452" spans="1:9" x14ac:dyDescent="0.3">
      <c r="A452" s="2">
        <v>43475</v>
      </c>
      <c r="B452" s="1">
        <v>38.450000000000003</v>
      </c>
      <c r="C452" s="1">
        <v>1656.22</v>
      </c>
      <c r="D452" s="1">
        <v>144.19999999999999</v>
      </c>
      <c r="E452" s="3"/>
      <c r="F452" s="20">
        <f t="shared" si="21"/>
        <v>3.1910417491808744E-3</v>
      </c>
      <c r="G452" s="20">
        <f t="shared" si="22"/>
        <v>-1.9302463437286318E-3</v>
      </c>
      <c r="H452" s="20">
        <f t="shared" si="23"/>
        <v>-2.0802274457016961E-4</v>
      </c>
      <c r="I452" s="3"/>
    </row>
    <row r="453" spans="1:9" x14ac:dyDescent="0.3">
      <c r="A453" s="2">
        <v>43474</v>
      </c>
      <c r="B453" s="1">
        <v>38.327500000000001</v>
      </c>
      <c r="C453" s="1">
        <v>1659.42</v>
      </c>
      <c r="D453" s="1">
        <v>144.22999999999999</v>
      </c>
      <c r="E453" s="3"/>
      <c r="F453" s="20">
        <f t="shared" si="21"/>
        <v>1.6839179715067942E-2</v>
      </c>
      <c r="G453" s="20">
        <f t="shared" si="22"/>
        <v>1.7129075358218262E-3</v>
      </c>
      <c r="H453" s="20">
        <f t="shared" si="23"/>
        <v>1.1856743728479122E-2</v>
      </c>
      <c r="I453" s="3"/>
    </row>
    <row r="454" spans="1:9" x14ac:dyDescent="0.3">
      <c r="A454" s="2">
        <v>43473</v>
      </c>
      <c r="B454" s="1">
        <v>37.6875</v>
      </c>
      <c r="C454" s="1">
        <v>1656.58</v>
      </c>
      <c r="D454" s="1">
        <v>142.53</v>
      </c>
      <c r="E454" s="3"/>
      <c r="F454" s="20">
        <f t="shared" ref="F454:F517" si="24">LN(B454/B455)</f>
        <v>1.888364670315034E-2</v>
      </c>
      <c r="G454" s="20">
        <f t="shared" ref="G454:G517" si="25">LN(C454/C455)</f>
        <v>1.6475880060265173E-2</v>
      </c>
      <c r="H454" s="20">
        <f t="shared" ref="H454:H517" si="26">LN(D454/D455)</f>
        <v>3.1936565490776142E-2</v>
      </c>
      <c r="I454" s="3"/>
    </row>
    <row r="455" spans="1:9" x14ac:dyDescent="0.3">
      <c r="A455" s="2">
        <v>43472</v>
      </c>
      <c r="B455" s="1">
        <v>36.982500000000002</v>
      </c>
      <c r="C455" s="1">
        <v>1629.51</v>
      </c>
      <c r="D455" s="1">
        <v>138.05000000000001</v>
      </c>
      <c r="E455" s="3"/>
      <c r="F455" s="20">
        <f t="shared" si="24"/>
        <v>-2.2283003244291597E-3</v>
      </c>
      <c r="G455" s="20">
        <f t="shared" si="25"/>
        <v>3.3776495455764631E-2</v>
      </c>
      <c r="H455" s="20">
        <f t="shared" si="26"/>
        <v>7.2463771286851246E-4</v>
      </c>
      <c r="I455" s="3"/>
    </row>
    <row r="456" spans="1:9" x14ac:dyDescent="0.3">
      <c r="A456" s="2">
        <v>43469</v>
      </c>
      <c r="B456" s="1">
        <v>37.064999999999998</v>
      </c>
      <c r="C456" s="1">
        <v>1575.39</v>
      </c>
      <c r="D456" s="1">
        <v>137.94999999999999</v>
      </c>
      <c r="E456" s="3"/>
      <c r="F456" s="20">
        <f t="shared" si="24"/>
        <v>4.1803297820290658E-2</v>
      </c>
      <c r="G456" s="20">
        <f t="shared" si="25"/>
        <v>4.8851103317902579E-2</v>
      </c>
      <c r="H456" s="20">
        <f t="shared" si="26"/>
        <v>4.606101745074806E-2</v>
      </c>
      <c r="I456" s="3"/>
    </row>
    <row r="457" spans="1:9" x14ac:dyDescent="0.3">
      <c r="A457" s="2">
        <v>43468</v>
      </c>
      <c r="B457" s="1">
        <v>35.547499999999999</v>
      </c>
      <c r="C457" s="1">
        <v>1500.28</v>
      </c>
      <c r="D457" s="1">
        <v>131.74</v>
      </c>
      <c r="E457" s="3"/>
      <c r="F457" s="20">
        <f t="shared" si="24"/>
        <v>-0.10492438427688831</v>
      </c>
      <c r="G457" s="20">
        <f t="shared" si="25"/>
        <v>-2.5565564369886939E-2</v>
      </c>
      <c r="H457" s="20">
        <f t="shared" si="26"/>
        <v>-2.9468888831046085E-2</v>
      </c>
      <c r="I457" s="3"/>
    </row>
    <row r="458" spans="1:9" x14ac:dyDescent="0.3">
      <c r="A458" s="2">
        <v>43467</v>
      </c>
      <c r="B458" s="1">
        <v>39.479999999999997</v>
      </c>
      <c r="C458" s="1">
        <v>1539.13</v>
      </c>
      <c r="D458" s="1">
        <v>135.68</v>
      </c>
      <c r="E458" s="3"/>
      <c r="F458" s="20">
        <f t="shared" si="24"/>
        <v>1.1404677153263752E-3</v>
      </c>
      <c r="G458" s="20">
        <f t="shared" si="25"/>
        <v>2.4439741951032528E-2</v>
      </c>
      <c r="H458" s="20">
        <f t="shared" si="26"/>
        <v>3.4415061833875167E-2</v>
      </c>
      <c r="I458" s="3"/>
    </row>
    <row r="459" spans="1:9" x14ac:dyDescent="0.3">
      <c r="A459" s="2">
        <v>43466</v>
      </c>
      <c r="B459" s="1">
        <v>39.435000000000002</v>
      </c>
      <c r="C459" s="1">
        <v>1501.97</v>
      </c>
      <c r="D459" s="1">
        <v>131.09</v>
      </c>
      <c r="E459" s="3"/>
      <c r="F459" s="20">
        <f t="shared" si="24"/>
        <v>0</v>
      </c>
      <c r="G459" s="20">
        <f t="shared" si="25"/>
        <v>0</v>
      </c>
      <c r="H459" s="20">
        <f t="shared" si="26"/>
        <v>0</v>
      </c>
      <c r="I459" s="3"/>
    </row>
    <row r="460" spans="1:9" x14ac:dyDescent="0.3">
      <c r="A460" s="2">
        <v>43465</v>
      </c>
      <c r="B460" s="1">
        <v>39.435000000000002</v>
      </c>
      <c r="C460" s="1">
        <v>1501.97</v>
      </c>
      <c r="D460" s="1">
        <v>131.09</v>
      </c>
      <c r="E460" s="3"/>
      <c r="F460" s="20">
        <f t="shared" si="24"/>
        <v>9.6188275460332238E-3</v>
      </c>
      <c r="G460" s="20">
        <f t="shared" si="25"/>
        <v>1.6074225539445666E-2</v>
      </c>
      <c r="H460" s="20">
        <f t="shared" si="26"/>
        <v>-1.5967647896570757E-2</v>
      </c>
      <c r="I460" s="3"/>
    </row>
    <row r="461" spans="1:9" x14ac:dyDescent="0.3">
      <c r="A461" s="2">
        <v>43462</v>
      </c>
      <c r="B461" s="1">
        <v>39.057499999999997</v>
      </c>
      <c r="C461" s="1">
        <v>1478.02</v>
      </c>
      <c r="D461" s="1">
        <v>133.19999999999999</v>
      </c>
      <c r="E461" s="3"/>
      <c r="F461" s="20">
        <f t="shared" si="24"/>
        <v>5.1219669472401641E-4</v>
      </c>
      <c r="G461" s="20">
        <f t="shared" si="25"/>
        <v>1.1144261258255669E-2</v>
      </c>
      <c r="H461" s="20">
        <f t="shared" si="26"/>
        <v>-9.8611287657802953E-3</v>
      </c>
      <c r="I461" s="3"/>
    </row>
    <row r="462" spans="1:9" x14ac:dyDescent="0.3">
      <c r="A462" s="2">
        <v>43461</v>
      </c>
      <c r="B462" s="1">
        <v>39.037500000000001</v>
      </c>
      <c r="C462" s="1">
        <v>1461.64</v>
      </c>
      <c r="D462" s="1">
        <v>134.52000000000001</v>
      </c>
      <c r="E462" s="3"/>
      <c r="F462" s="20">
        <f t="shared" si="24"/>
        <v>-6.510938359150324E-3</v>
      </c>
      <c r="G462" s="20">
        <f t="shared" si="25"/>
        <v>-6.3153653672305922E-3</v>
      </c>
      <c r="H462" s="20">
        <f t="shared" si="26"/>
        <v>2.5307047373268588E-3</v>
      </c>
      <c r="I462" s="3"/>
    </row>
    <row r="463" spans="1:9" x14ac:dyDescent="0.3">
      <c r="A463" s="2">
        <v>43460</v>
      </c>
      <c r="B463" s="1">
        <v>39.292499999999997</v>
      </c>
      <c r="C463" s="1">
        <v>1470.9</v>
      </c>
      <c r="D463" s="1">
        <v>134.18</v>
      </c>
      <c r="E463" s="3"/>
      <c r="F463" s="20">
        <f t="shared" si="24"/>
        <v>6.8052567113391749E-2</v>
      </c>
      <c r="G463" s="20">
        <f t="shared" si="25"/>
        <v>9.0253978589858605E-2</v>
      </c>
      <c r="H463" s="20">
        <f t="shared" si="26"/>
        <v>7.84168625897705E-2</v>
      </c>
      <c r="I463" s="3"/>
    </row>
    <row r="464" spans="1:9" x14ac:dyDescent="0.3">
      <c r="A464" s="2">
        <v>43459</v>
      </c>
      <c r="B464" s="1">
        <v>36.707500000000003</v>
      </c>
      <c r="C464" s="1">
        <v>1343.96</v>
      </c>
      <c r="D464" s="1">
        <v>124.06</v>
      </c>
      <c r="E464" s="3"/>
      <c r="F464" s="20">
        <f t="shared" si="24"/>
        <v>0</v>
      </c>
      <c r="G464" s="20">
        <f t="shared" si="25"/>
        <v>0</v>
      </c>
      <c r="H464" s="20">
        <f t="shared" si="26"/>
        <v>0</v>
      </c>
      <c r="I464" s="3"/>
    </row>
    <row r="465" spans="1:9" x14ac:dyDescent="0.3">
      <c r="A465" s="2">
        <v>43458</v>
      </c>
      <c r="B465" s="1">
        <v>36.707500000000003</v>
      </c>
      <c r="C465" s="1">
        <v>1343.96</v>
      </c>
      <c r="D465" s="1">
        <v>124.06</v>
      </c>
      <c r="E465" s="3"/>
      <c r="F465" s="20">
        <f t="shared" si="24"/>
        <v>-2.6214701847591528E-2</v>
      </c>
      <c r="G465" s="20">
        <f t="shared" si="25"/>
        <v>-2.4613483992202232E-2</v>
      </c>
      <c r="H465" s="20">
        <f t="shared" si="26"/>
        <v>-7.1483377359899385E-3</v>
      </c>
      <c r="I465" s="3"/>
    </row>
    <row r="466" spans="1:9" x14ac:dyDescent="0.3">
      <c r="A466" s="2">
        <v>43455</v>
      </c>
      <c r="B466" s="1">
        <v>37.682499999999997</v>
      </c>
      <c r="C466" s="1">
        <v>1377.45</v>
      </c>
      <c r="D466" s="1">
        <v>124.95</v>
      </c>
      <c r="E466" s="3"/>
      <c r="F466" s="20">
        <f t="shared" si="24"/>
        <v>-3.9672259323895565E-2</v>
      </c>
      <c r="G466" s="20">
        <f t="shared" si="25"/>
        <v>-5.8770803594411468E-2</v>
      </c>
      <c r="H466" s="20">
        <f t="shared" si="26"/>
        <v>-6.5438476200561993E-2</v>
      </c>
      <c r="I466" s="3"/>
    </row>
    <row r="467" spans="1:9" x14ac:dyDescent="0.3">
      <c r="A467" s="2">
        <v>43454</v>
      </c>
      <c r="B467" s="1">
        <v>39.207500000000003</v>
      </c>
      <c r="C467" s="1">
        <v>1460.83</v>
      </c>
      <c r="D467" s="1">
        <v>133.4</v>
      </c>
      <c r="E467" s="3"/>
      <c r="F467" s="20">
        <f t="shared" si="24"/>
        <v>-2.5558485516610111E-2</v>
      </c>
      <c r="G467" s="20">
        <f t="shared" si="25"/>
        <v>-2.3174949776719713E-2</v>
      </c>
      <c r="H467" s="20">
        <f t="shared" si="26"/>
        <v>1.2001201560444073E-3</v>
      </c>
      <c r="I467" s="3"/>
    </row>
    <row r="468" spans="1:9" x14ac:dyDescent="0.3">
      <c r="A468" s="2">
        <v>43453</v>
      </c>
      <c r="B468" s="1">
        <v>40.222499999999997</v>
      </c>
      <c r="C468" s="1">
        <v>1495.08</v>
      </c>
      <c r="D468" s="1">
        <v>133.24</v>
      </c>
      <c r="E468" s="3"/>
      <c r="F468" s="20">
        <f t="shared" si="24"/>
        <v>-3.168848455571821E-2</v>
      </c>
      <c r="G468" s="20">
        <f t="shared" si="25"/>
        <v>-3.7029596955690067E-2</v>
      </c>
      <c r="H468" s="20">
        <f t="shared" si="26"/>
        <v>-7.5297383321176581E-2</v>
      </c>
      <c r="I468" s="3"/>
    </row>
    <row r="469" spans="1:9" x14ac:dyDescent="0.3">
      <c r="A469" s="2">
        <v>43452</v>
      </c>
      <c r="B469" s="1">
        <v>41.517499999999998</v>
      </c>
      <c r="C469" s="1">
        <v>1551.48</v>
      </c>
      <c r="D469" s="1">
        <v>143.66</v>
      </c>
      <c r="E469" s="3"/>
      <c r="F469" s="20">
        <f t="shared" si="24"/>
        <v>1.2908878993777004E-2</v>
      </c>
      <c r="G469" s="20">
        <f t="shared" si="25"/>
        <v>1.9900474143510549E-2</v>
      </c>
      <c r="H469" s="20">
        <f t="shared" si="26"/>
        <v>2.4450751266211039E-2</v>
      </c>
      <c r="I469" s="3"/>
    </row>
    <row r="470" spans="1:9" x14ac:dyDescent="0.3">
      <c r="A470" s="2">
        <v>43451</v>
      </c>
      <c r="B470" s="1">
        <v>40.984999999999999</v>
      </c>
      <c r="C470" s="1">
        <v>1520.91</v>
      </c>
      <c r="D470" s="1">
        <v>140.19</v>
      </c>
      <c r="E470" s="3"/>
      <c r="F470" s="20">
        <f t="shared" si="24"/>
        <v>-9.3498343683261001E-3</v>
      </c>
      <c r="G470" s="20">
        <f t="shared" si="25"/>
        <v>-4.5625713232028867E-2</v>
      </c>
      <c r="H470" s="20">
        <f t="shared" si="26"/>
        <v>-2.7231234080772378E-2</v>
      </c>
      <c r="I470" s="3"/>
    </row>
    <row r="471" spans="1:9" x14ac:dyDescent="0.3">
      <c r="A471" s="2">
        <v>43448</v>
      </c>
      <c r="B471" s="1">
        <v>41.37</v>
      </c>
      <c r="C471" s="1">
        <v>1591.91</v>
      </c>
      <c r="D471" s="1">
        <v>144.06</v>
      </c>
      <c r="E471" s="3"/>
      <c r="F471" s="20">
        <f t="shared" si="24"/>
        <v>-3.2520774492099586E-2</v>
      </c>
      <c r="G471" s="20">
        <f t="shared" si="25"/>
        <v>-4.0906669089178331E-2</v>
      </c>
      <c r="H471" s="20">
        <f t="shared" si="26"/>
        <v>-6.57282609858685E-3</v>
      </c>
      <c r="I471" s="3"/>
    </row>
    <row r="472" spans="1:9" x14ac:dyDescent="0.3">
      <c r="A472" s="2">
        <v>43447</v>
      </c>
      <c r="B472" s="1">
        <v>42.737499999999997</v>
      </c>
      <c r="C472" s="1">
        <v>1658.38</v>
      </c>
      <c r="D472" s="1">
        <v>145.01</v>
      </c>
      <c r="E472" s="3"/>
      <c r="F472" s="20">
        <f t="shared" si="24"/>
        <v>1.0880860180775654E-2</v>
      </c>
      <c r="G472" s="20">
        <f t="shared" si="25"/>
        <v>-3.1066396240845033E-3</v>
      </c>
      <c r="H472" s="20">
        <f t="shared" si="26"/>
        <v>3.523198007316878E-3</v>
      </c>
      <c r="I472" s="3"/>
    </row>
    <row r="473" spans="1:9" x14ac:dyDescent="0.3">
      <c r="A473" s="2">
        <v>43446</v>
      </c>
      <c r="B473" s="1">
        <v>42.274999999999999</v>
      </c>
      <c r="C473" s="1">
        <v>1663.54</v>
      </c>
      <c r="D473" s="1">
        <v>144.5</v>
      </c>
      <c r="E473" s="3"/>
      <c r="F473" s="20">
        <f t="shared" si="24"/>
        <v>2.7832902224414081E-3</v>
      </c>
      <c r="G473" s="20">
        <f t="shared" si="25"/>
        <v>1.2277959232367642E-2</v>
      </c>
      <c r="H473" s="20">
        <f t="shared" si="26"/>
        <v>1.6889228308626863E-2</v>
      </c>
      <c r="I473" s="3"/>
    </row>
    <row r="474" spans="1:9" x14ac:dyDescent="0.3">
      <c r="A474" s="2">
        <v>43445</v>
      </c>
      <c r="B474" s="1">
        <v>42.157499999999999</v>
      </c>
      <c r="C474" s="1">
        <v>1643.24</v>
      </c>
      <c r="D474" s="1">
        <v>142.08000000000001</v>
      </c>
      <c r="E474" s="3"/>
      <c r="F474" s="20">
        <f t="shared" si="24"/>
        <v>-5.7357576757093697E-3</v>
      </c>
      <c r="G474" s="20">
        <f t="shared" si="25"/>
        <v>1.3458091652411583E-3</v>
      </c>
      <c r="H474" s="20">
        <f t="shared" si="26"/>
        <v>1.6201179889997616E-3</v>
      </c>
      <c r="I474" s="3"/>
    </row>
    <row r="475" spans="1:9" x14ac:dyDescent="0.3">
      <c r="A475" s="2">
        <v>43444</v>
      </c>
      <c r="B475" s="1">
        <v>42.4</v>
      </c>
      <c r="C475" s="1">
        <v>1641.03</v>
      </c>
      <c r="D475" s="1">
        <v>141.85</v>
      </c>
      <c r="E475" s="3"/>
      <c r="F475" s="20">
        <f t="shared" si="24"/>
        <v>6.56632250750863E-3</v>
      </c>
      <c r="G475" s="20">
        <f t="shared" si="25"/>
        <v>7.2779634802577157E-3</v>
      </c>
      <c r="H475" s="20">
        <f t="shared" si="26"/>
        <v>3.1728231651930602E-2</v>
      </c>
      <c r="I475" s="3"/>
    </row>
    <row r="476" spans="1:9" x14ac:dyDescent="0.3">
      <c r="A476" s="2">
        <v>43441</v>
      </c>
      <c r="B476" s="1">
        <v>42.122500000000002</v>
      </c>
      <c r="C476" s="1">
        <v>1629.13</v>
      </c>
      <c r="D476" s="1">
        <v>137.41999999999999</v>
      </c>
      <c r="E476" s="3"/>
      <c r="F476" s="20">
        <f t="shared" si="24"/>
        <v>-3.6308291706246262E-2</v>
      </c>
      <c r="G476" s="20">
        <f t="shared" si="25"/>
        <v>-4.2105536929514742E-2</v>
      </c>
      <c r="H476" s="20">
        <f t="shared" si="26"/>
        <v>-1.5954137351173479E-2</v>
      </c>
      <c r="I476" s="3"/>
    </row>
    <row r="477" spans="1:9" x14ac:dyDescent="0.3">
      <c r="A477" s="2">
        <v>43440</v>
      </c>
      <c r="B477" s="1">
        <v>43.68</v>
      </c>
      <c r="C477" s="1">
        <v>1699.19</v>
      </c>
      <c r="D477" s="1">
        <v>139.63</v>
      </c>
      <c r="E477" s="3"/>
      <c r="F477" s="20">
        <f t="shared" si="24"/>
        <v>-1.1212092072018474E-2</v>
      </c>
      <c r="G477" s="20">
        <f t="shared" si="25"/>
        <v>1.8286583585101646E-2</v>
      </c>
      <c r="H477" s="20">
        <f t="shared" si="26"/>
        <v>1.22497568666748E-2</v>
      </c>
      <c r="I477" s="3"/>
    </row>
    <row r="478" spans="1:9" x14ac:dyDescent="0.3">
      <c r="A478" s="2">
        <v>43439</v>
      </c>
      <c r="B478" s="1">
        <v>44.172499999999999</v>
      </c>
      <c r="C478" s="1">
        <v>1668.4</v>
      </c>
      <c r="D478" s="1">
        <v>137.93</v>
      </c>
      <c r="E478" s="3"/>
      <c r="F478" s="20">
        <f t="shared" si="24"/>
        <v>0</v>
      </c>
      <c r="G478" s="20">
        <f t="shared" si="25"/>
        <v>0</v>
      </c>
      <c r="H478" s="20">
        <f t="shared" si="26"/>
        <v>0</v>
      </c>
      <c r="I478" s="3"/>
    </row>
    <row r="479" spans="1:9" x14ac:dyDescent="0.3">
      <c r="A479" s="2">
        <v>43438</v>
      </c>
      <c r="B479" s="1">
        <v>44.172499999999999</v>
      </c>
      <c r="C479" s="1">
        <v>1668.4</v>
      </c>
      <c r="D479" s="1">
        <v>137.93</v>
      </c>
      <c r="E479" s="3"/>
      <c r="F479" s="20">
        <f t="shared" si="24"/>
        <v>-4.4985593831335616E-2</v>
      </c>
      <c r="G479" s="20">
        <f t="shared" si="25"/>
        <v>-6.0446908478863165E-2</v>
      </c>
      <c r="H479" s="20">
        <f t="shared" si="26"/>
        <v>-2.2651674537637733E-2</v>
      </c>
      <c r="I479" s="3"/>
    </row>
    <row r="480" spans="1:9" x14ac:dyDescent="0.3">
      <c r="A480" s="2">
        <v>43437</v>
      </c>
      <c r="B480" s="1">
        <v>46.204999999999998</v>
      </c>
      <c r="C480" s="1">
        <v>1772.36</v>
      </c>
      <c r="D480" s="1">
        <v>141.09</v>
      </c>
      <c r="E480" s="3"/>
      <c r="F480" s="20">
        <f t="shared" si="24"/>
        <v>3.4345698370823956E-2</v>
      </c>
      <c r="G480" s="20">
        <f t="shared" si="25"/>
        <v>4.7482876227565279E-2</v>
      </c>
      <c r="H480" s="20">
        <f t="shared" si="26"/>
        <v>3.4078840223416918E-3</v>
      </c>
      <c r="I480" s="3"/>
    </row>
    <row r="481" spans="1:9" x14ac:dyDescent="0.3">
      <c r="A481" s="2">
        <v>43434</v>
      </c>
      <c r="B481" s="1">
        <v>44.645000000000003</v>
      </c>
      <c r="C481" s="1">
        <v>1690.17</v>
      </c>
      <c r="D481" s="1">
        <v>140.61000000000001</v>
      </c>
      <c r="E481" s="3"/>
      <c r="F481" s="20">
        <f t="shared" si="24"/>
        <v>-5.4170405830214693E-3</v>
      </c>
      <c r="G481" s="20">
        <f t="shared" si="25"/>
        <v>9.8700462943571068E-3</v>
      </c>
      <c r="H481" s="20">
        <f t="shared" si="26"/>
        <v>1.3820979785901816E-2</v>
      </c>
      <c r="I481" s="3"/>
    </row>
    <row r="482" spans="1:9" x14ac:dyDescent="0.3">
      <c r="A482" s="2">
        <v>43433</v>
      </c>
      <c r="B482" s="1">
        <v>44.887500000000003</v>
      </c>
      <c r="C482" s="1">
        <v>1673.57</v>
      </c>
      <c r="D482" s="1">
        <v>138.68</v>
      </c>
      <c r="E482" s="3"/>
      <c r="F482" s="20">
        <f t="shared" si="24"/>
        <v>-7.7117639255036728E-3</v>
      </c>
      <c r="G482" s="20">
        <f t="shared" si="25"/>
        <v>-2.4945407586177562E-3</v>
      </c>
      <c r="H482" s="20">
        <f t="shared" si="26"/>
        <v>1.3941556045722248E-2</v>
      </c>
      <c r="I482" s="3"/>
    </row>
    <row r="483" spans="1:9" x14ac:dyDescent="0.3">
      <c r="A483" s="2">
        <v>43432</v>
      </c>
      <c r="B483" s="1">
        <v>45.234999999999999</v>
      </c>
      <c r="C483" s="1">
        <v>1677.75</v>
      </c>
      <c r="D483" s="1">
        <v>136.76</v>
      </c>
      <c r="E483" s="3"/>
      <c r="F483" s="20">
        <f t="shared" si="24"/>
        <v>3.7731825412945244E-2</v>
      </c>
      <c r="G483" s="20">
        <f t="shared" si="25"/>
        <v>5.9130432459868563E-2</v>
      </c>
      <c r="H483" s="20">
        <f t="shared" si="26"/>
        <v>1.2952786332671011E-2</v>
      </c>
      <c r="I483" s="3"/>
    </row>
    <row r="484" spans="1:9" x14ac:dyDescent="0.3">
      <c r="A484" s="2">
        <v>43431</v>
      </c>
      <c r="B484" s="1">
        <v>43.56</v>
      </c>
      <c r="C484" s="1">
        <v>1581.42</v>
      </c>
      <c r="D484" s="1">
        <v>135</v>
      </c>
      <c r="E484" s="3"/>
      <c r="F484" s="20">
        <f t="shared" si="24"/>
        <v>-2.1785251980111931E-3</v>
      </c>
      <c r="G484" s="20">
        <f t="shared" si="25"/>
        <v>5.6912497051365758E-5</v>
      </c>
      <c r="H484" s="20">
        <f t="shared" si="26"/>
        <v>-1.0170328654077332E-2</v>
      </c>
      <c r="I484" s="3"/>
    </row>
    <row r="485" spans="1:9" x14ac:dyDescent="0.3">
      <c r="A485" s="2">
        <v>43430</v>
      </c>
      <c r="B485" s="1">
        <v>43.655000000000001</v>
      </c>
      <c r="C485" s="1">
        <v>1581.33</v>
      </c>
      <c r="D485" s="1">
        <v>136.38</v>
      </c>
      <c r="E485" s="3"/>
      <c r="F485" s="20">
        <f t="shared" si="24"/>
        <v>1.3433080838346925E-2</v>
      </c>
      <c r="G485" s="20">
        <f t="shared" si="25"/>
        <v>5.1428765817515508E-2</v>
      </c>
      <c r="H485" s="20">
        <f t="shared" si="26"/>
        <v>3.4690733850771191E-2</v>
      </c>
      <c r="I485" s="3"/>
    </row>
    <row r="486" spans="1:9" x14ac:dyDescent="0.3">
      <c r="A486" s="2">
        <v>43427</v>
      </c>
      <c r="B486" s="1">
        <v>43.072499999999998</v>
      </c>
      <c r="C486" s="1">
        <v>1502.06</v>
      </c>
      <c r="D486" s="1">
        <v>131.72999999999999</v>
      </c>
      <c r="E486" s="3"/>
      <c r="F486" s="20">
        <f t="shared" si="24"/>
        <v>-2.572691808848715E-2</v>
      </c>
      <c r="G486" s="20">
        <f t="shared" si="25"/>
        <v>-9.7192023828801492E-3</v>
      </c>
      <c r="H486" s="20">
        <f t="shared" si="26"/>
        <v>-2.3186182183557013E-2</v>
      </c>
      <c r="I486" s="3"/>
    </row>
    <row r="487" spans="1:9" x14ac:dyDescent="0.3">
      <c r="A487" s="2">
        <v>43426</v>
      </c>
      <c r="B487" s="1">
        <v>44.195</v>
      </c>
      <c r="C487" s="1">
        <v>1516.73</v>
      </c>
      <c r="D487" s="1">
        <v>134.82</v>
      </c>
      <c r="E487" s="3"/>
      <c r="F487" s="20">
        <f t="shared" si="24"/>
        <v>0</v>
      </c>
      <c r="G487" s="20">
        <f t="shared" si="25"/>
        <v>0</v>
      </c>
      <c r="H487" s="20">
        <f t="shared" si="26"/>
        <v>0</v>
      </c>
      <c r="I487" s="3"/>
    </row>
    <row r="488" spans="1:9" x14ac:dyDescent="0.3">
      <c r="A488" s="2">
        <v>43425</v>
      </c>
      <c r="B488" s="1">
        <v>44.195</v>
      </c>
      <c r="C488" s="1">
        <v>1516.73</v>
      </c>
      <c r="D488" s="1">
        <v>134.82</v>
      </c>
      <c r="E488" s="3"/>
      <c r="F488" s="20">
        <f t="shared" si="24"/>
        <v>-1.1307102064021337E-3</v>
      </c>
      <c r="G488" s="20">
        <f t="shared" si="25"/>
        <v>1.4122849841884555E-2</v>
      </c>
      <c r="H488" s="20">
        <f t="shared" si="26"/>
        <v>1.7886351486419719E-2</v>
      </c>
      <c r="I488" s="3"/>
    </row>
    <row r="489" spans="1:9" x14ac:dyDescent="0.3">
      <c r="A489" s="2">
        <v>43424</v>
      </c>
      <c r="B489" s="1">
        <v>44.244999999999997</v>
      </c>
      <c r="C489" s="1">
        <v>1495.46</v>
      </c>
      <c r="D489" s="1">
        <v>132.43</v>
      </c>
      <c r="E489" s="3"/>
      <c r="F489" s="20">
        <f t="shared" si="24"/>
        <v>-4.8956970289989292E-2</v>
      </c>
      <c r="G489" s="20">
        <f t="shared" si="25"/>
        <v>-1.1191206485302701E-2</v>
      </c>
      <c r="H489" s="20">
        <f t="shared" si="26"/>
        <v>6.6671964525712403E-3</v>
      </c>
      <c r="I489" s="3"/>
    </row>
    <row r="490" spans="1:9" x14ac:dyDescent="0.3">
      <c r="A490" s="2">
        <v>43423</v>
      </c>
      <c r="B490" s="1">
        <v>46.465000000000003</v>
      </c>
      <c r="C490" s="1">
        <v>1512.29</v>
      </c>
      <c r="D490" s="1">
        <v>131.55000000000001</v>
      </c>
      <c r="E490" s="3"/>
      <c r="F490" s="20">
        <f t="shared" si="24"/>
        <v>-4.0438837083066718E-2</v>
      </c>
      <c r="G490" s="20">
        <f t="shared" si="25"/>
        <v>-5.2251315524398871E-2</v>
      </c>
      <c r="H490" s="20">
        <f t="shared" si="26"/>
        <v>-5.8892624417813504E-2</v>
      </c>
      <c r="I490" s="3"/>
    </row>
    <row r="491" spans="1:9" x14ac:dyDescent="0.3">
      <c r="A491" s="2">
        <v>43420</v>
      </c>
      <c r="B491" s="1">
        <v>48.3825</v>
      </c>
      <c r="C491" s="1">
        <v>1593.41</v>
      </c>
      <c r="D491" s="1">
        <v>139.53</v>
      </c>
      <c r="E491" s="3"/>
      <c r="F491" s="20">
        <f t="shared" si="24"/>
        <v>1.1014814954241668E-2</v>
      </c>
      <c r="G491" s="20">
        <f t="shared" si="25"/>
        <v>-1.620403663871129E-2</v>
      </c>
      <c r="H491" s="20">
        <f t="shared" si="26"/>
        <v>-3.0491458093441521E-2</v>
      </c>
      <c r="I491" s="3"/>
    </row>
    <row r="492" spans="1:9" x14ac:dyDescent="0.3">
      <c r="A492" s="2">
        <v>43419</v>
      </c>
      <c r="B492" s="1">
        <v>47.852499999999999</v>
      </c>
      <c r="C492" s="1">
        <v>1619.44</v>
      </c>
      <c r="D492" s="1">
        <v>143.85</v>
      </c>
      <c r="E492" s="3"/>
      <c r="F492" s="20">
        <f t="shared" si="24"/>
        <v>2.4379198463276127E-2</v>
      </c>
      <c r="G492" s="20">
        <f t="shared" si="25"/>
        <v>1.2695722730230282E-2</v>
      </c>
      <c r="H492" s="20">
        <f t="shared" si="26"/>
        <v>-2.5688214910566114E-3</v>
      </c>
      <c r="I492" s="3"/>
    </row>
    <row r="493" spans="1:9" x14ac:dyDescent="0.3">
      <c r="A493" s="2">
        <v>43418</v>
      </c>
      <c r="B493" s="1">
        <v>46.7</v>
      </c>
      <c r="C493" s="1">
        <v>1599.01</v>
      </c>
      <c r="D493" s="1">
        <v>144.22</v>
      </c>
      <c r="E493" s="3"/>
      <c r="F493" s="20">
        <f t="shared" si="24"/>
        <v>-2.8654045970026604E-2</v>
      </c>
      <c r="G493" s="20">
        <f t="shared" si="25"/>
        <v>-1.9912860999712862E-2</v>
      </c>
      <c r="H493" s="20">
        <f t="shared" si="26"/>
        <v>1.4386727642217535E-2</v>
      </c>
      <c r="I493" s="3"/>
    </row>
    <row r="494" spans="1:9" x14ac:dyDescent="0.3">
      <c r="A494" s="2">
        <v>43417</v>
      </c>
      <c r="B494" s="1">
        <v>48.057499999999997</v>
      </c>
      <c r="C494" s="1">
        <v>1631.17</v>
      </c>
      <c r="D494" s="1">
        <v>142.16</v>
      </c>
      <c r="E494" s="3"/>
      <c r="F494" s="20">
        <f t="shared" si="24"/>
        <v>-1.0041492241593453E-2</v>
      </c>
      <c r="G494" s="20">
        <f t="shared" si="25"/>
        <v>-3.4761144175746083E-3</v>
      </c>
      <c r="H494" s="20">
        <f t="shared" si="26"/>
        <v>4.3001722884872086E-3</v>
      </c>
      <c r="I494" s="3"/>
    </row>
    <row r="495" spans="1:9" x14ac:dyDescent="0.3">
      <c r="A495" s="2">
        <v>43416</v>
      </c>
      <c r="B495" s="1">
        <v>48.542499999999997</v>
      </c>
      <c r="C495" s="1">
        <v>1636.85</v>
      </c>
      <c r="D495" s="1">
        <v>141.55000000000001</v>
      </c>
      <c r="E495" s="3"/>
      <c r="F495" s="20">
        <f t="shared" si="24"/>
        <v>-5.1687201448600596E-2</v>
      </c>
      <c r="G495" s="20">
        <f t="shared" si="25"/>
        <v>-4.5139751248149687E-2</v>
      </c>
      <c r="H495" s="20">
        <f t="shared" si="26"/>
        <v>-2.3804830736760551E-2</v>
      </c>
      <c r="I495" s="3"/>
    </row>
    <row r="496" spans="1:9" x14ac:dyDescent="0.3">
      <c r="A496" s="2">
        <v>43413</v>
      </c>
      <c r="B496" s="1">
        <v>51.1175</v>
      </c>
      <c r="C496" s="1">
        <v>1712.43</v>
      </c>
      <c r="D496" s="1">
        <v>144.96</v>
      </c>
      <c r="E496" s="3"/>
      <c r="F496" s="20">
        <f t="shared" si="24"/>
        <v>-1.9469813003002021E-2</v>
      </c>
      <c r="G496" s="20">
        <f t="shared" si="25"/>
        <v>-2.4504159145186038E-2</v>
      </c>
      <c r="H496" s="20">
        <f t="shared" si="26"/>
        <v>-1.987566709072687E-2</v>
      </c>
      <c r="I496" s="3"/>
    </row>
    <row r="497" spans="1:9" x14ac:dyDescent="0.3">
      <c r="A497" s="2">
        <v>43412</v>
      </c>
      <c r="B497" s="1">
        <v>52.122500000000002</v>
      </c>
      <c r="C497" s="1">
        <v>1754.91</v>
      </c>
      <c r="D497" s="1">
        <v>147.87</v>
      </c>
      <c r="E497" s="3"/>
      <c r="F497" s="20">
        <f t="shared" si="24"/>
        <v>-6.9783286722373133E-3</v>
      </c>
      <c r="G497" s="20">
        <f t="shared" si="25"/>
        <v>-3.3044667575073252E-4</v>
      </c>
      <c r="H497" s="20">
        <f t="shared" si="26"/>
        <v>-2.4450115762674748E-2</v>
      </c>
      <c r="I497" s="3"/>
    </row>
    <row r="498" spans="1:9" x14ac:dyDescent="0.3">
      <c r="A498" s="2">
        <v>43411</v>
      </c>
      <c r="B498" s="1">
        <v>52.487499999999997</v>
      </c>
      <c r="C498" s="1">
        <v>1755.49</v>
      </c>
      <c r="D498" s="1">
        <v>151.53</v>
      </c>
      <c r="E498" s="3"/>
      <c r="F498" s="20">
        <f t="shared" si="24"/>
        <v>2.9877500317357083E-2</v>
      </c>
      <c r="G498" s="20">
        <f t="shared" si="25"/>
        <v>6.6339829977339448E-2</v>
      </c>
      <c r="H498" s="20">
        <f t="shared" si="26"/>
        <v>1.0548411073154941E-2</v>
      </c>
      <c r="I498" s="3"/>
    </row>
    <row r="499" spans="1:9" x14ac:dyDescent="0.3">
      <c r="A499" s="2">
        <v>43410</v>
      </c>
      <c r="B499" s="1">
        <v>50.942500000000003</v>
      </c>
      <c r="C499" s="1">
        <v>1642.81</v>
      </c>
      <c r="D499" s="1">
        <v>149.94</v>
      </c>
      <c r="E499" s="3"/>
      <c r="F499" s="20">
        <f t="shared" si="24"/>
        <v>1.0755975020512992E-2</v>
      </c>
      <c r="G499" s="20">
        <f t="shared" si="25"/>
        <v>9.1787803391851289E-3</v>
      </c>
      <c r="H499" s="20">
        <f t="shared" si="26"/>
        <v>8.4388686458646035E-3</v>
      </c>
      <c r="I499" s="3"/>
    </row>
    <row r="500" spans="1:9" x14ac:dyDescent="0.3">
      <c r="A500" s="2">
        <v>43409</v>
      </c>
      <c r="B500" s="1">
        <v>50.397500000000001</v>
      </c>
      <c r="C500" s="1">
        <v>1627.8</v>
      </c>
      <c r="D500" s="1">
        <v>148.68</v>
      </c>
      <c r="E500" s="3"/>
      <c r="F500" s="20">
        <f t="shared" si="24"/>
        <v>-2.8799017690867113E-2</v>
      </c>
      <c r="G500" s="20">
        <f t="shared" si="25"/>
        <v>-2.2913981187394392E-2</v>
      </c>
      <c r="H500" s="20">
        <f t="shared" si="26"/>
        <v>-1.1169564005486653E-2</v>
      </c>
      <c r="I500" s="3"/>
    </row>
    <row r="501" spans="1:9" x14ac:dyDescent="0.3">
      <c r="A501" s="2">
        <v>43406</v>
      </c>
      <c r="B501" s="1">
        <v>51.87</v>
      </c>
      <c r="C501" s="1">
        <v>1665.53</v>
      </c>
      <c r="D501" s="1">
        <v>150.35</v>
      </c>
      <c r="E501" s="3"/>
      <c r="F501" s="20">
        <f t="shared" si="24"/>
        <v>-6.8632932672663197E-2</v>
      </c>
      <c r="G501" s="20">
        <f t="shared" si="25"/>
        <v>0</v>
      </c>
      <c r="H501" s="20">
        <f t="shared" si="26"/>
        <v>-9.2685205050695892E-3</v>
      </c>
      <c r="I501" s="3"/>
    </row>
    <row r="502" spans="1:9" x14ac:dyDescent="0.3">
      <c r="A502" s="2">
        <v>43405</v>
      </c>
      <c r="B502" s="1">
        <v>55.555</v>
      </c>
      <c r="C502" s="1">
        <v>1665.53</v>
      </c>
      <c r="D502" s="1">
        <v>151.75</v>
      </c>
      <c r="E502" s="3"/>
      <c r="F502" s="20">
        <f t="shared" si="24"/>
        <v>1.5235626165565584E-2</v>
      </c>
      <c r="G502" s="20">
        <f t="shared" si="25"/>
        <v>4.1384285951417764E-2</v>
      </c>
      <c r="H502" s="20">
        <f t="shared" si="26"/>
        <v>-2.6355669916015574E-4</v>
      </c>
      <c r="I502" s="3"/>
    </row>
    <row r="503" spans="1:9" x14ac:dyDescent="0.3">
      <c r="A503" s="2">
        <v>43404</v>
      </c>
      <c r="B503" s="1">
        <v>54.715000000000003</v>
      </c>
      <c r="C503" s="1">
        <v>1598.01</v>
      </c>
      <c r="D503" s="1">
        <v>151.79</v>
      </c>
      <c r="E503" s="3"/>
      <c r="F503" s="20">
        <f t="shared" si="24"/>
        <v>2.5732630512992103E-2</v>
      </c>
      <c r="G503" s="20">
        <f t="shared" si="25"/>
        <v>4.3216897609437262E-2</v>
      </c>
      <c r="H503" s="20">
        <f t="shared" si="26"/>
        <v>3.7385649773597825E-2</v>
      </c>
      <c r="I503" s="3"/>
    </row>
    <row r="504" spans="1:9" x14ac:dyDescent="0.3">
      <c r="A504" s="2">
        <v>43403</v>
      </c>
      <c r="B504" s="1">
        <v>53.325000000000003</v>
      </c>
      <c r="C504" s="1">
        <v>1530.42</v>
      </c>
      <c r="D504" s="1">
        <v>146.22</v>
      </c>
      <c r="E504" s="3"/>
      <c r="F504" s="20">
        <f t="shared" si="24"/>
        <v>4.9819156478205793E-3</v>
      </c>
      <c r="G504" s="20">
        <f t="shared" si="25"/>
        <v>-5.5126715698175293E-3</v>
      </c>
      <c r="H504" s="20">
        <f t="shared" si="26"/>
        <v>2.8651677215185859E-2</v>
      </c>
      <c r="I504" s="3"/>
    </row>
    <row r="505" spans="1:9" x14ac:dyDescent="0.3">
      <c r="A505" s="2">
        <v>43402</v>
      </c>
      <c r="B505" s="1">
        <v>53.06</v>
      </c>
      <c r="C505" s="1">
        <v>1538.88</v>
      </c>
      <c r="D505" s="1">
        <v>142.09</v>
      </c>
      <c r="E505" s="3"/>
      <c r="F505" s="20">
        <f t="shared" si="24"/>
        <v>-1.8948623129528868E-2</v>
      </c>
      <c r="G505" s="20">
        <f t="shared" si="25"/>
        <v>-6.5353311142828205E-2</v>
      </c>
      <c r="H505" s="20">
        <f t="shared" si="26"/>
        <v>-2.2821556788249563E-2</v>
      </c>
      <c r="I505" s="3"/>
    </row>
    <row r="506" spans="1:9" x14ac:dyDescent="0.3">
      <c r="A506" s="2">
        <v>43399</v>
      </c>
      <c r="B506" s="1">
        <v>54.075000000000003</v>
      </c>
      <c r="C506" s="1">
        <v>1642.81</v>
      </c>
      <c r="D506" s="1">
        <v>145.37</v>
      </c>
      <c r="E506" s="3"/>
      <c r="F506" s="20">
        <f t="shared" si="24"/>
        <v>-1.6051709010507901E-2</v>
      </c>
      <c r="G506" s="20">
        <f t="shared" si="25"/>
        <v>-8.1423532677219565E-2</v>
      </c>
      <c r="H506" s="20">
        <f t="shared" si="26"/>
        <v>-3.7666439714614183E-2</v>
      </c>
      <c r="I506" s="3"/>
    </row>
    <row r="507" spans="1:9" x14ac:dyDescent="0.3">
      <c r="A507" s="2">
        <v>43398</v>
      </c>
      <c r="B507" s="1">
        <v>54.95</v>
      </c>
      <c r="C507" s="1">
        <v>1782.17</v>
      </c>
      <c r="D507" s="1">
        <v>150.94999999999999</v>
      </c>
      <c r="E507" s="3"/>
      <c r="F507" s="20">
        <f t="shared" si="24"/>
        <v>2.1661496781179467E-2</v>
      </c>
      <c r="G507" s="20">
        <f t="shared" si="25"/>
        <v>6.848719544301618E-2</v>
      </c>
      <c r="H507" s="20">
        <f t="shared" si="26"/>
        <v>3.3068099365411607E-2</v>
      </c>
      <c r="I507" s="3"/>
    </row>
    <row r="508" spans="1:9" x14ac:dyDescent="0.3">
      <c r="A508" s="2">
        <v>43397</v>
      </c>
      <c r="B508" s="1">
        <v>53.772500000000001</v>
      </c>
      <c r="C508" s="1">
        <v>1664.2</v>
      </c>
      <c r="D508" s="1">
        <v>146.04</v>
      </c>
      <c r="E508" s="3"/>
      <c r="F508" s="20">
        <f t="shared" si="24"/>
        <v>-3.4903730375051532E-2</v>
      </c>
      <c r="G508" s="20">
        <f t="shared" si="25"/>
        <v>-6.0900285974418503E-2</v>
      </c>
      <c r="H508" s="20">
        <f t="shared" si="26"/>
        <v>-5.5601311866399064E-2</v>
      </c>
      <c r="I508" s="3"/>
    </row>
    <row r="509" spans="1:9" x14ac:dyDescent="0.3">
      <c r="A509" s="2">
        <v>43396</v>
      </c>
      <c r="B509" s="1">
        <v>55.682499999999997</v>
      </c>
      <c r="C509" s="1">
        <v>1768.7</v>
      </c>
      <c r="D509" s="1">
        <v>154.38999999999999</v>
      </c>
      <c r="E509" s="3"/>
      <c r="F509" s="20">
        <f t="shared" si="24"/>
        <v>9.3825398478369574E-3</v>
      </c>
      <c r="G509" s="20">
        <f t="shared" si="25"/>
        <v>-1.1579668457068129E-2</v>
      </c>
      <c r="H509" s="20">
        <f t="shared" si="26"/>
        <v>-2.5228851884779089E-3</v>
      </c>
      <c r="I509" s="3"/>
    </row>
    <row r="510" spans="1:9" x14ac:dyDescent="0.3">
      <c r="A510" s="2">
        <v>43395</v>
      </c>
      <c r="B510" s="1">
        <v>55.162500000000001</v>
      </c>
      <c r="C510" s="1">
        <v>1789.3</v>
      </c>
      <c r="D510" s="1">
        <v>154.78</v>
      </c>
      <c r="E510" s="3"/>
      <c r="F510" s="20">
        <f t="shared" si="24"/>
        <v>6.0914816961425257E-3</v>
      </c>
      <c r="G510" s="20">
        <f t="shared" si="25"/>
        <v>1.4223517672972422E-2</v>
      </c>
      <c r="H510" s="20">
        <f t="shared" si="26"/>
        <v>4.7275287996361654E-3</v>
      </c>
      <c r="I510" s="3"/>
    </row>
    <row r="511" spans="1:9" x14ac:dyDescent="0.3">
      <c r="A511" s="2">
        <v>43392</v>
      </c>
      <c r="B511" s="1">
        <v>54.827500000000001</v>
      </c>
      <c r="C511" s="1">
        <v>1764.03</v>
      </c>
      <c r="D511" s="1">
        <v>154.05000000000001</v>
      </c>
      <c r="E511" s="3"/>
      <c r="F511" s="20">
        <f t="shared" si="24"/>
        <v>1.511525802908552E-2</v>
      </c>
      <c r="G511" s="20">
        <f t="shared" si="25"/>
        <v>-3.7852792916315912E-3</v>
      </c>
      <c r="H511" s="20">
        <f t="shared" si="26"/>
        <v>-5.6316296038743064E-3</v>
      </c>
      <c r="I511" s="3"/>
    </row>
    <row r="512" spans="1:9" x14ac:dyDescent="0.3">
      <c r="A512" s="2">
        <v>43391</v>
      </c>
      <c r="B512" s="1">
        <v>54.005000000000003</v>
      </c>
      <c r="C512" s="1">
        <v>1770.72</v>
      </c>
      <c r="D512" s="1">
        <v>154.91999999999999</v>
      </c>
      <c r="E512" s="3"/>
      <c r="F512" s="20">
        <f t="shared" si="24"/>
        <v>-2.3651064679340767E-2</v>
      </c>
      <c r="G512" s="20">
        <f t="shared" si="25"/>
        <v>-3.387463194345007E-2</v>
      </c>
      <c r="H512" s="20">
        <f t="shared" si="26"/>
        <v>-2.8633374353225698E-2</v>
      </c>
      <c r="I512" s="3"/>
    </row>
    <row r="513" spans="1:9" x14ac:dyDescent="0.3">
      <c r="A513" s="2">
        <v>43390</v>
      </c>
      <c r="B513" s="1">
        <v>55.297499999999999</v>
      </c>
      <c r="C513" s="1">
        <v>1831.73</v>
      </c>
      <c r="D513" s="1">
        <v>159.41999999999999</v>
      </c>
      <c r="E513" s="3"/>
      <c r="F513" s="20">
        <f t="shared" si="24"/>
        <v>-4.3307687122485835E-3</v>
      </c>
      <c r="G513" s="20">
        <f t="shared" si="25"/>
        <v>6.4463526525824558E-3</v>
      </c>
      <c r="H513" s="20">
        <f t="shared" si="26"/>
        <v>4.0226327028096654E-3</v>
      </c>
      <c r="I513" s="3"/>
    </row>
    <row r="514" spans="1:9" x14ac:dyDescent="0.3">
      <c r="A514" s="2">
        <v>43389</v>
      </c>
      <c r="B514" s="1">
        <v>55.537500000000001</v>
      </c>
      <c r="C514" s="1">
        <v>1819.96</v>
      </c>
      <c r="D514" s="1">
        <v>158.78</v>
      </c>
      <c r="E514" s="3"/>
      <c r="F514" s="20">
        <f t="shared" si="24"/>
        <v>2.179786426382509E-2</v>
      </c>
      <c r="G514" s="20">
        <f t="shared" si="25"/>
        <v>3.2961086672770548E-2</v>
      </c>
      <c r="H514" s="20">
        <f t="shared" si="26"/>
        <v>3.3688744597522823E-2</v>
      </c>
      <c r="I514" s="3"/>
    </row>
    <row r="515" spans="1:9" x14ac:dyDescent="0.3">
      <c r="A515" s="2">
        <v>43388</v>
      </c>
      <c r="B515" s="1">
        <v>54.34</v>
      </c>
      <c r="C515" s="1">
        <v>1760.95</v>
      </c>
      <c r="D515" s="1">
        <v>153.52000000000001</v>
      </c>
      <c r="E515" s="3"/>
      <c r="F515" s="20">
        <f t="shared" si="24"/>
        <v>-2.1617789532325248E-2</v>
      </c>
      <c r="G515" s="20">
        <f t="shared" si="25"/>
        <v>-1.5585345726879656E-2</v>
      </c>
      <c r="H515" s="20">
        <f t="shared" si="26"/>
        <v>-1.4320122215414658E-3</v>
      </c>
      <c r="I515" s="3"/>
    </row>
    <row r="516" spans="1:9" x14ac:dyDescent="0.3">
      <c r="A516" s="2">
        <v>43385</v>
      </c>
      <c r="B516" s="1">
        <v>55.527500000000003</v>
      </c>
      <c r="C516" s="1">
        <v>1788.61</v>
      </c>
      <c r="D516" s="1">
        <v>153.74</v>
      </c>
      <c r="E516" s="3"/>
      <c r="F516" s="20">
        <f t="shared" si="24"/>
        <v>3.509614368752819E-2</v>
      </c>
      <c r="G516" s="20">
        <f t="shared" si="25"/>
        <v>3.9486653320995338E-2</v>
      </c>
      <c r="H516" s="20">
        <f t="shared" si="26"/>
        <v>2.539973360725525E-3</v>
      </c>
      <c r="I516" s="3"/>
    </row>
    <row r="517" spans="1:9" x14ac:dyDescent="0.3">
      <c r="A517" s="2">
        <v>43384</v>
      </c>
      <c r="B517" s="1">
        <v>53.612499999999997</v>
      </c>
      <c r="C517" s="1">
        <v>1719.36</v>
      </c>
      <c r="D517" s="1">
        <v>153.35</v>
      </c>
      <c r="E517" s="3"/>
      <c r="F517" s="20">
        <f t="shared" si="24"/>
        <v>-8.8670760403368135E-3</v>
      </c>
      <c r="G517" s="20">
        <f t="shared" si="25"/>
        <v>-2.0659168356901625E-2</v>
      </c>
      <c r="H517" s="20">
        <f t="shared" si="26"/>
        <v>1.2929658679239188E-2</v>
      </c>
      <c r="I517" s="3"/>
    </row>
    <row r="518" spans="1:9" x14ac:dyDescent="0.3">
      <c r="A518" s="2">
        <v>43383</v>
      </c>
      <c r="B518" s="1">
        <v>54.09</v>
      </c>
      <c r="C518" s="1">
        <v>1755.25</v>
      </c>
      <c r="D518" s="1">
        <v>151.38</v>
      </c>
      <c r="E518" s="3"/>
      <c r="F518" s="20">
        <f t="shared" ref="F518:F581" si="27">LN(B518/B519)</f>
        <v>-4.7433479205543055E-2</v>
      </c>
      <c r="G518" s="20">
        <f t="shared" ref="G518:G581" si="28">LN(C518/C519)</f>
        <v>-6.349824230605694E-2</v>
      </c>
      <c r="H518" s="20">
        <f t="shared" ref="H518:H581" si="29">LN(D518/D519)</f>
        <v>-4.2168689380575136E-2</v>
      </c>
      <c r="I518" s="3"/>
    </row>
    <row r="519" spans="1:9" x14ac:dyDescent="0.3">
      <c r="A519" s="2">
        <v>43382</v>
      </c>
      <c r="B519" s="1">
        <v>56.717500000000001</v>
      </c>
      <c r="C519" s="1">
        <v>1870.32</v>
      </c>
      <c r="D519" s="1">
        <v>157.9</v>
      </c>
      <c r="E519" s="3"/>
      <c r="F519" s="20">
        <f t="shared" si="27"/>
        <v>1.3758427573587828E-2</v>
      </c>
      <c r="G519" s="20">
        <f t="shared" si="28"/>
        <v>3.1595264506308145E-3</v>
      </c>
      <c r="H519" s="20">
        <f t="shared" si="29"/>
        <v>4.125025681046576E-3</v>
      </c>
      <c r="I519" s="3"/>
    </row>
    <row r="520" spans="1:9" x14ac:dyDescent="0.3">
      <c r="A520" s="2">
        <v>43381</v>
      </c>
      <c r="B520" s="1">
        <v>55.942500000000003</v>
      </c>
      <c r="C520" s="1">
        <v>1864.42</v>
      </c>
      <c r="D520" s="1">
        <v>157.25</v>
      </c>
      <c r="E520" s="3"/>
      <c r="F520" s="20">
        <f t="shared" si="27"/>
        <v>-2.3211187495526561E-3</v>
      </c>
      <c r="G520" s="20">
        <f t="shared" si="28"/>
        <v>-1.3441613966824908E-2</v>
      </c>
      <c r="H520" s="20">
        <f t="shared" si="29"/>
        <v>-5.0861467178208949E-4</v>
      </c>
      <c r="I520" s="3"/>
    </row>
    <row r="521" spans="1:9" x14ac:dyDescent="0.3">
      <c r="A521" s="2">
        <v>43378</v>
      </c>
      <c r="B521" s="1">
        <v>56.072499999999998</v>
      </c>
      <c r="C521" s="1">
        <v>1889.65</v>
      </c>
      <c r="D521" s="1">
        <v>157.33000000000001</v>
      </c>
      <c r="E521" s="3"/>
      <c r="F521" s="20">
        <f t="shared" si="27"/>
        <v>-1.6361910958721096E-2</v>
      </c>
      <c r="G521" s="20">
        <f t="shared" si="28"/>
        <v>-1.0407904284072062E-2</v>
      </c>
      <c r="H521" s="20">
        <f t="shared" si="29"/>
        <v>-9.6148504631930771E-3</v>
      </c>
      <c r="I521" s="3"/>
    </row>
    <row r="522" spans="1:9" x14ac:dyDescent="0.3">
      <c r="A522" s="2">
        <v>43377</v>
      </c>
      <c r="B522" s="1">
        <v>56.997500000000002</v>
      </c>
      <c r="C522" s="1">
        <v>1909.42</v>
      </c>
      <c r="D522" s="1">
        <v>158.85</v>
      </c>
      <c r="E522" s="3"/>
      <c r="F522" s="20">
        <f t="shared" si="27"/>
        <v>-1.773728195121178E-2</v>
      </c>
      <c r="G522" s="20">
        <f t="shared" si="28"/>
        <v>-2.2444225456841906E-2</v>
      </c>
      <c r="H522" s="20">
        <f t="shared" si="29"/>
        <v>-2.2286779015779384E-2</v>
      </c>
      <c r="I522" s="3"/>
    </row>
    <row r="523" spans="1:9" x14ac:dyDescent="0.3">
      <c r="A523" s="2">
        <v>43376</v>
      </c>
      <c r="B523" s="1">
        <v>58.017499999999998</v>
      </c>
      <c r="C523" s="1">
        <v>1952.76</v>
      </c>
      <c r="D523" s="1">
        <v>162.43</v>
      </c>
      <c r="E523" s="3"/>
      <c r="F523" s="20">
        <f t="shared" si="27"/>
        <v>1.2095086214805446E-2</v>
      </c>
      <c r="G523" s="20">
        <f t="shared" si="28"/>
        <v>-9.454539893144525E-3</v>
      </c>
      <c r="H523" s="20">
        <f t="shared" si="29"/>
        <v>1.9269616628886869E-2</v>
      </c>
      <c r="I523" s="3"/>
    </row>
    <row r="524" spans="1:9" x14ac:dyDescent="0.3">
      <c r="A524" s="2">
        <v>43375</v>
      </c>
      <c r="B524" s="1">
        <v>57.32</v>
      </c>
      <c r="C524" s="1">
        <v>1971.31</v>
      </c>
      <c r="D524" s="1">
        <v>159.33000000000001</v>
      </c>
      <c r="E524" s="3"/>
      <c r="F524" s="20">
        <f t="shared" si="27"/>
        <v>8.8492275899986622E-3</v>
      </c>
      <c r="G524" s="20">
        <f t="shared" si="28"/>
        <v>-1.6626511436188707E-2</v>
      </c>
      <c r="H524" s="20">
        <f t="shared" si="29"/>
        <v>-1.933117971567952E-2</v>
      </c>
      <c r="I524" s="3"/>
    </row>
    <row r="525" spans="1:9" x14ac:dyDescent="0.3">
      <c r="A525" s="2">
        <v>43374</v>
      </c>
      <c r="B525" s="1">
        <v>56.814999999999998</v>
      </c>
      <c r="C525" s="1">
        <v>2004.36</v>
      </c>
      <c r="D525" s="1">
        <v>162.44</v>
      </c>
      <c r="E525" s="3"/>
      <c r="F525" s="20">
        <f t="shared" si="27"/>
        <v>6.7108419623827797E-3</v>
      </c>
      <c r="G525" s="20">
        <f t="shared" si="28"/>
        <v>6.787511240382403E-4</v>
      </c>
      <c r="H525" s="20">
        <f t="shared" si="29"/>
        <v>-1.2358676724652438E-2</v>
      </c>
      <c r="I525" s="3"/>
    </row>
    <row r="526" spans="1:9" x14ac:dyDescent="0.3">
      <c r="A526" s="2">
        <v>43371</v>
      </c>
      <c r="B526" s="1">
        <v>56.435000000000002</v>
      </c>
      <c r="C526" s="1">
        <v>2003</v>
      </c>
      <c r="D526" s="1">
        <v>164.46</v>
      </c>
      <c r="E526" s="3"/>
      <c r="F526" s="20">
        <f t="shared" si="27"/>
        <v>3.5057392402991208E-3</v>
      </c>
      <c r="G526" s="20">
        <f t="shared" si="28"/>
        <v>-4.9701545048451822E-3</v>
      </c>
      <c r="H526" s="20">
        <f t="shared" si="29"/>
        <v>-2.6284141371548542E-2</v>
      </c>
      <c r="I526" s="3"/>
    </row>
    <row r="527" spans="1:9" x14ac:dyDescent="0.3">
      <c r="A527" s="2">
        <v>43370</v>
      </c>
      <c r="B527" s="1">
        <v>56.237499999999997</v>
      </c>
      <c r="C527" s="1">
        <v>2012.98</v>
      </c>
      <c r="D527" s="1">
        <v>168.84</v>
      </c>
      <c r="E527" s="3"/>
      <c r="F527" s="20">
        <f t="shared" si="27"/>
        <v>2.034333802378548E-2</v>
      </c>
      <c r="G527" s="20">
        <f t="shared" si="28"/>
        <v>1.912376508682901E-2</v>
      </c>
      <c r="H527" s="20">
        <f t="shared" si="29"/>
        <v>1.1257154524634468E-2</v>
      </c>
      <c r="I527" s="3"/>
    </row>
    <row r="528" spans="1:9" x14ac:dyDescent="0.3">
      <c r="A528" s="2">
        <v>43369</v>
      </c>
      <c r="B528" s="1">
        <v>55.104999999999997</v>
      </c>
      <c r="C528" s="1">
        <v>1974.85</v>
      </c>
      <c r="D528" s="1">
        <v>166.95</v>
      </c>
      <c r="E528" s="3"/>
      <c r="F528" s="20">
        <f t="shared" si="27"/>
        <v>-7.9980544289507995E-3</v>
      </c>
      <c r="G528" s="20">
        <f t="shared" si="28"/>
        <v>1.5192181120010878E-4</v>
      </c>
      <c r="H528" s="20">
        <f t="shared" si="29"/>
        <v>1.2294495848984888E-2</v>
      </c>
      <c r="I528" s="3"/>
    </row>
    <row r="529" spans="1:9" x14ac:dyDescent="0.3">
      <c r="A529" s="2">
        <v>43368</v>
      </c>
      <c r="B529" s="1">
        <v>55.547499999999999</v>
      </c>
      <c r="C529" s="1">
        <v>1974.55</v>
      </c>
      <c r="D529" s="1">
        <v>164.91</v>
      </c>
      <c r="E529" s="3"/>
      <c r="F529" s="20">
        <f t="shared" si="27"/>
        <v>6.3208481700952916E-3</v>
      </c>
      <c r="G529" s="20">
        <f t="shared" si="28"/>
        <v>2.0564001872388576E-2</v>
      </c>
      <c r="H529" s="20">
        <f t="shared" si="29"/>
        <v>-3.0273697134511309E-3</v>
      </c>
      <c r="I529" s="3"/>
    </row>
    <row r="530" spans="1:9" x14ac:dyDescent="0.3">
      <c r="A530" s="2">
        <v>43367</v>
      </c>
      <c r="B530" s="1">
        <v>55.197499999999998</v>
      </c>
      <c r="C530" s="1">
        <v>1934.36</v>
      </c>
      <c r="D530" s="1">
        <v>165.41</v>
      </c>
      <c r="E530" s="3"/>
      <c r="F530" s="20">
        <f t="shared" si="27"/>
        <v>1.4277811254335767E-2</v>
      </c>
      <c r="G530" s="20">
        <f t="shared" si="28"/>
        <v>1.0053677867018532E-2</v>
      </c>
      <c r="H530" s="20">
        <f t="shared" si="29"/>
        <v>1.5106579539266212E-2</v>
      </c>
      <c r="I530" s="3"/>
    </row>
    <row r="531" spans="1:9" x14ac:dyDescent="0.3">
      <c r="A531" s="2">
        <v>43364</v>
      </c>
      <c r="B531" s="1">
        <v>54.414999999999999</v>
      </c>
      <c r="C531" s="1">
        <v>1915.01</v>
      </c>
      <c r="D531" s="1">
        <v>162.93</v>
      </c>
      <c r="E531" s="3"/>
      <c r="F531" s="20">
        <f t="shared" si="27"/>
        <v>-1.0829688424134044E-2</v>
      </c>
      <c r="G531" s="20">
        <f t="shared" si="28"/>
        <v>-1.5179170568552985E-2</v>
      </c>
      <c r="H531" s="20">
        <f t="shared" si="29"/>
        <v>-1.8787602312025919E-2</v>
      </c>
      <c r="I531" s="3"/>
    </row>
    <row r="532" spans="1:9" x14ac:dyDescent="0.3">
      <c r="A532" s="2">
        <v>43363</v>
      </c>
      <c r="B532" s="1">
        <v>55.0075</v>
      </c>
      <c r="C532" s="1">
        <v>1944.3</v>
      </c>
      <c r="D532" s="1">
        <v>166.02</v>
      </c>
      <c r="E532" s="3"/>
      <c r="F532" s="20">
        <f t="shared" si="27"/>
        <v>7.5730288937733209E-3</v>
      </c>
      <c r="G532" s="20">
        <f t="shared" si="28"/>
        <v>9.23865698137054E-3</v>
      </c>
      <c r="H532" s="20">
        <f t="shared" si="29"/>
        <v>1.7990031792124911E-2</v>
      </c>
      <c r="I532" s="3"/>
    </row>
    <row r="533" spans="1:9" x14ac:dyDescent="0.3">
      <c r="A533" s="2">
        <v>43362</v>
      </c>
      <c r="B533" s="1">
        <v>54.592500000000001</v>
      </c>
      <c r="C533" s="1">
        <v>1926.42</v>
      </c>
      <c r="D533" s="1">
        <v>163.06</v>
      </c>
      <c r="E533" s="3"/>
      <c r="F533" s="20">
        <f t="shared" si="27"/>
        <v>5.9549714317886065E-4</v>
      </c>
      <c r="G533" s="20">
        <f t="shared" si="28"/>
        <v>-7.5657056343881495E-3</v>
      </c>
      <c r="H533" s="20">
        <f t="shared" si="29"/>
        <v>1.7071171619257364E-2</v>
      </c>
      <c r="I533" s="3"/>
    </row>
    <row r="534" spans="1:9" x14ac:dyDescent="0.3">
      <c r="A534" s="2">
        <v>43361</v>
      </c>
      <c r="B534" s="1">
        <v>54.56</v>
      </c>
      <c r="C534" s="1">
        <v>1941.05</v>
      </c>
      <c r="D534" s="1">
        <v>160.30000000000001</v>
      </c>
      <c r="E534" s="3"/>
      <c r="F534" s="20">
        <f t="shared" si="27"/>
        <v>1.6509221396235352E-3</v>
      </c>
      <c r="G534" s="20">
        <f t="shared" si="28"/>
        <v>1.7157767599734794E-2</v>
      </c>
      <c r="H534" s="20">
        <f t="shared" si="29"/>
        <v>-1.7452011410306386E-3</v>
      </c>
      <c r="I534" s="3"/>
    </row>
    <row r="535" spans="1:9" x14ac:dyDescent="0.3">
      <c r="A535" s="2">
        <v>43360</v>
      </c>
      <c r="B535" s="1">
        <v>54.47</v>
      </c>
      <c r="C535" s="1">
        <v>1908.03</v>
      </c>
      <c r="D535" s="1">
        <v>160.58000000000001</v>
      </c>
      <c r="E535" s="3"/>
      <c r="F535" s="20">
        <f t="shared" si="27"/>
        <v>-2.6987058401697381E-2</v>
      </c>
      <c r="G535" s="20">
        <f t="shared" si="28"/>
        <v>-3.2058688626795055E-2</v>
      </c>
      <c r="H535" s="20">
        <f t="shared" si="29"/>
        <v>-1.0777434761021241E-2</v>
      </c>
      <c r="I535" s="3"/>
    </row>
    <row r="536" spans="1:9" x14ac:dyDescent="0.3">
      <c r="A536" s="2">
        <v>43357</v>
      </c>
      <c r="B536" s="1">
        <v>55.96</v>
      </c>
      <c r="C536" s="1">
        <v>1970.19</v>
      </c>
      <c r="D536" s="1">
        <v>162.32</v>
      </c>
      <c r="E536" s="3"/>
      <c r="F536" s="20">
        <f t="shared" si="27"/>
        <v>-1.1416004047715613E-2</v>
      </c>
      <c r="G536" s="20">
        <f t="shared" si="28"/>
        <v>-9.9393251696369492E-3</v>
      </c>
      <c r="H536" s="20">
        <f t="shared" si="29"/>
        <v>5.9318018716028841E-3</v>
      </c>
      <c r="I536" s="3"/>
    </row>
    <row r="537" spans="1:9" x14ac:dyDescent="0.3">
      <c r="A537" s="2">
        <v>43356</v>
      </c>
      <c r="B537" s="1">
        <v>56.602499999999999</v>
      </c>
      <c r="C537" s="1">
        <v>1989.87</v>
      </c>
      <c r="D537" s="1">
        <v>161.36000000000001</v>
      </c>
      <c r="E537" s="3"/>
      <c r="F537" s="20">
        <f t="shared" si="27"/>
        <v>2.3868121517869031E-2</v>
      </c>
      <c r="G537" s="20">
        <f t="shared" si="28"/>
        <v>-6.5328767043263346E-5</v>
      </c>
      <c r="H537" s="20">
        <f t="shared" si="29"/>
        <v>-3.9584415864276443E-3</v>
      </c>
      <c r="I537" s="3"/>
    </row>
    <row r="538" spans="1:9" x14ac:dyDescent="0.3">
      <c r="A538" s="2">
        <v>43355</v>
      </c>
      <c r="B538" s="1">
        <v>55.267499999999998</v>
      </c>
      <c r="C538" s="1">
        <v>1990</v>
      </c>
      <c r="D538" s="1">
        <v>162</v>
      </c>
      <c r="E538" s="3"/>
      <c r="F538" s="20">
        <f t="shared" si="27"/>
        <v>-1.2496791239956945E-2</v>
      </c>
      <c r="G538" s="20">
        <f t="shared" si="28"/>
        <v>1.4331873265183341E-3</v>
      </c>
      <c r="H538" s="20">
        <f t="shared" si="29"/>
        <v>-2.4029942003755182E-2</v>
      </c>
      <c r="I538" s="3"/>
    </row>
    <row r="539" spans="1:9" x14ac:dyDescent="0.3">
      <c r="A539" s="2">
        <v>43354</v>
      </c>
      <c r="B539" s="1">
        <v>55.962499999999999</v>
      </c>
      <c r="C539" s="1">
        <v>1987.15</v>
      </c>
      <c r="D539" s="1">
        <v>165.94</v>
      </c>
      <c r="E539" s="3"/>
      <c r="F539" s="20">
        <f t="shared" si="27"/>
        <v>2.4968505011949253E-2</v>
      </c>
      <c r="G539" s="20">
        <f t="shared" si="28"/>
        <v>2.4523917865090838E-2</v>
      </c>
      <c r="H539" s="20">
        <f t="shared" si="29"/>
        <v>1.0662890316019058E-2</v>
      </c>
      <c r="I539" s="3"/>
    </row>
    <row r="540" spans="1:9" x14ac:dyDescent="0.3">
      <c r="A540" s="2">
        <v>43353</v>
      </c>
      <c r="B540" s="1">
        <v>54.582500000000003</v>
      </c>
      <c r="C540" s="1">
        <v>1939.01</v>
      </c>
      <c r="D540" s="1">
        <v>164.18</v>
      </c>
      <c r="E540" s="3"/>
      <c r="F540" s="20">
        <f t="shared" si="27"/>
        <v>-1.3511567381978777E-2</v>
      </c>
      <c r="G540" s="20">
        <f t="shared" si="28"/>
        <v>-6.7128144588684945E-3</v>
      </c>
      <c r="H540" s="20">
        <f t="shared" si="29"/>
        <v>6.9678174457054416E-3</v>
      </c>
      <c r="I540" s="3"/>
    </row>
    <row r="541" spans="1:9" x14ac:dyDescent="0.3">
      <c r="A541" s="2">
        <v>43350</v>
      </c>
      <c r="B541" s="1">
        <v>55.325000000000003</v>
      </c>
      <c r="C541" s="1">
        <v>1952.07</v>
      </c>
      <c r="D541" s="1">
        <v>163.04</v>
      </c>
      <c r="E541" s="3"/>
      <c r="F541" s="20">
        <f t="shared" si="27"/>
        <v>-8.1008543814828117E-3</v>
      </c>
      <c r="G541" s="20">
        <f t="shared" si="28"/>
        <v>-3.1915083938525387E-3</v>
      </c>
      <c r="H541" s="20">
        <f t="shared" si="29"/>
        <v>3.1329693593299727E-3</v>
      </c>
      <c r="I541" s="3"/>
    </row>
    <row r="542" spans="1:9" x14ac:dyDescent="0.3">
      <c r="A542" s="2">
        <v>43349</v>
      </c>
      <c r="B542" s="1">
        <v>55.774999999999999</v>
      </c>
      <c r="C542" s="1">
        <v>1958.31</v>
      </c>
      <c r="D542" s="1">
        <v>162.53</v>
      </c>
      <c r="E542" s="3"/>
      <c r="F542" s="20">
        <f t="shared" si="27"/>
        <v>-1.6757064770282559E-2</v>
      </c>
      <c r="G542" s="20">
        <f t="shared" si="28"/>
        <v>-1.847196430983292E-2</v>
      </c>
      <c r="H542" s="20">
        <f t="shared" si="29"/>
        <v>-2.8208476155925508E-2</v>
      </c>
      <c r="I542" s="3"/>
    </row>
    <row r="543" spans="1:9" x14ac:dyDescent="0.3">
      <c r="A543" s="2">
        <v>43348</v>
      </c>
      <c r="B543" s="1">
        <v>56.717500000000001</v>
      </c>
      <c r="C543" s="1">
        <v>1994.82</v>
      </c>
      <c r="D543" s="1">
        <v>167.18</v>
      </c>
      <c r="E543" s="3"/>
      <c r="F543" s="20">
        <f t="shared" si="27"/>
        <v>-6.5461648872891616E-3</v>
      </c>
      <c r="G543" s="20">
        <f t="shared" si="28"/>
        <v>-2.2155762218649535E-2</v>
      </c>
      <c r="H543" s="20">
        <f t="shared" si="29"/>
        <v>-2.3527715277606005E-2</v>
      </c>
      <c r="I543" s="3"/>
    </row>
    <row r="544" spans="1:9" x14ac:dyDescent="0.3">
      <c r="A544" s="2">
        <v>43347</v>
      </c>
      <c r="B544" s="1">
        <v>57.09</v>
      </c>
      <c r="C544" s="1">
        <v>2039.51</v>
      </c>
      <c r="D544" s="1">
        <v>171.16</v>
      </c>
      <c r="E544" s="3"/>
      <c r="F544" s="20">
        <f t="shared" si="27"/>
        <v>3.201827336761364E-3</v>
      </c>
      <c r="G544" s="20">
        <f t="shared" si="28"/>
        <v>1.3227510233182907E-2</v>
      </c>
      <c r="H544" s="20">
        <f t="shared" si="29"/>
        <v>-2.6349934658138653E-2</v>
      </c>
      <c r="I544" s="3"/>
    </row>
    <row r="545" spans="1:9" x14ac:dyDescent="0.3">
      <c r="A545" s="2">
        <v>43346</v>
      </c>
      <c r="B545" s="1">
        <v>56.907499999999999</v>
      </c>
      <c r="C545" s="1">
        <v>2012.71</v>
      </c>
      <c r="D545" s="1">
        <v>175.73</v>
      </c>
      <c r="E545" s="3"/>
      <c r="F545" s="20">
        <f t="shared" si="27"/>
        <v>0</v>
      </c>
      <c r="G545" s="20">
        <f t="shared" si="28"/>
        <v>0</v>
      </c>
      <c r="H545" s="20">
        <f t="shared" si="29"/>
        <v>0</v>
      </c>
      <c r="I545" s="3"/>
    </row>
    <row r="546" spans="1:9" x14ac:dyDescent="0.3">
      <c r="A546" s="2">
        <v>43343</v>
      </c>
      <c r="B546" s="1">
        <v>56.907499999999999</v>
      </c>
      <c r="C546" s="1">
        <v>2012.71</v>
      </c>
      <c r="D546" s="1">
        <v>175.73</v>
      </c>
      <c r="E546" s="3"/>
      <c r="F546" s="20">
        <f t="shared" si="27"/>
        <v>1.1487777109642648E-2</v>
      </c>
      <c r="G546" s="20">
        <f t="shared" si="28"/>
        <v>5.1455996216484366E-3</v>
      </c>
      <c r="H546" s="20">
        <f t="shared" si="29"/>
        <v>-1.0810304217146762E-2</v>
      </c>
      <c r="I546" s="3"/>
    </row>
    <row r="547" spans="1:9" x14ac:dyDescent="0.3">
      <c r="A547" s="2">
        <v>43342</v>
      </c>
      <c r="B547" s="1">
        <v>56.2575</v>
      </c>
      <c r="C547" s="1">
        <v>2002.38</v>
      </c>
      <c r="D547" s="1">
        <v>177.64</v>
      </c>
      <c r="E547" s="3"/>
      <c r="F547" s="20">
        <f t="shared" si="27"/>
        <v>9.1516453102292641E-3</v>
      </c>
      <c r="G547" s="20">
        <f t="shared" si="28"/>
        <v>2.1397440472143833E-3</v>
      </c>
      <c r="H547" s="20">
        <f t="shared" si="29"/>
        <v>9.843378680388877E-3</v>
      </c>
      <c r="I547" s="3"/>
    </row>
    <row r="548" spans="1:9" x14ac:dyDescent="0.3">
      <c r="A548" s="2">
        <v>43341</v>
      </c>
      <c r="B548" s="1">
        <v>55.744999999999997</v>
      </c>
      <c r="C548" s="1">
        <v>1998.1</v>
      </c>
      <c r="D548" s="1">
        <v>175.9</v>
      </c>
      <c r="E548" s="3"/>
      <c r="F548" s="20">
        <f t="shared" si="27"/>
        <v>1.481910194886101E-2</v>
      </c>
      <c r="G548" s="20">
        <f t="shared" si="28"/>
        <v>3.3216652637008813E-2</v>
      </c>
      <c r="H548" s="20">
        <f t="shared" si="29"/>
        <v>-2.0445259280018079E-3</v>
      </c>
      <c r="I548" s="3"/>
    </row>
    <row r="549" spans="1:9" x14ac:dyDescent="0.3">
      <c r="A549" s="2">
        <v>43340</v>
      </c>
      <c r="B549" s="1">
        <v>54.924999999999997</v>
      </c>
      <c r="C549" s="1">
        <v>1932.82</v>
      </c>
      <c r="D549" s="1">
        <v>176.26</v>
      </c>
      <c r="E549" s="3"/>
      <c r="F549" s="20">
        <f t="shared" si="27"/>
        <v>8.0431838418243366E-3</v>
      </c>
      <c r="G549" s="20">
        <f t="shared" si="28"/>
        <v>2.6628690777133314E-3</v>
      </c>
      <c r="H549" s="20">
        <f t="shared" si="29"/>
        <v>-6.7850537356774392E-3</v>
      </c>
      <c r="I549" s="3"/>
    </row>
    <row r="550" spans="1:9" x14ac:dyDescent="0.3">
      <c r="A550" s="2">
        <v>43339</v>
      </c>
      <c r="B550" s="1">
        <v>54.484999999999999</v>
      </c>
      <c r="C550" s="1">
        <v>1927.68</v>
      </c>
      <c r="D550" s="1">
        <v>177.46</v>
      </c>
      <c r="E550" s="3"/>
      <c r="F550" s="20">
        <f t="shared" si="27"/>
        <v>8.2009213368514269E-3</v>
      </c>
      <c r="G550" s="20">
        <f t="shared" si="28"/>
        <v>1.163049527429677E-2</v>
      </c>
      <c r="H550" s="20">
        <f t="shared" si="29"/>
        <v>1.5989889250102668E-2</v>
      </c>
      <c r="I550" s="3"/>
    </row>
    <row r="551" spans="1:9" x14ac:dyDescent="0.3">
      <c r="A551" s="2">
        <v>43336</v>
      </c>
      <c r="B551" s="1">
        <v>54.04</v>
      </c>
      <c r="C551" s="1">
        <v>1905.39</v>
      </c>
      <c r="D551" s="1">
        <v>174.64500000000001</v>
      </c>
      <c r="E551" s="3"/>
      <c r="F551" s="20">
        <f t="shared" si="27"/>
        <v>3.104369457068649E-3</v>
      </c>
      <c r="G551" s="20">
        <f t="shared" si="28"/>
        <v>1.3076737091069018E-3</v>
      </c>
      <c r="H551" s="20">
        <f t="shared" si="29"/>
        <v>1.004194946784432E-2</v>
      </c>
      <c r="I551" s="3"/>
    </row>
    <row r="552" spans="1:9" x14ac:dyDescent="0.3">
      <c r="A552" s="2">
        <v>43335</v>
      </c>
      <c r="B552" s="1">
        <v>53.872500000000002</v>
      </c>
      <c r="C552" s="1">
        <v>1902.9</v>
      </c>
      <c r="D552" s="1">
        <v>172.9</v>
      </c>
      <c r="E552" s="3"/>
      <c r="F552" s="20">
        <f t="shared" si="27"/>
        <v>2.0439455250746866E-3</v>
      </c>
      <c r="G552" s="20">
        <f t="shared" si="28"/>
        <v>-1.0504754366911805E-3</v>
      </c>
      <c r="H552" s="20">
        <f t="shared" si="29"/>
        <v>-4.2707977421478733E-3</v>
      </c>
      <c r="I552" s="3"/>
    </row>
    <row r="553" spans="1:9" x14ac:dyDescent="0.3">
      <c r="A553" s="2">
        <v>43334</v>
      </c>
      <c r="B553" s="1">
        <v>53.762500000000003</v>
      </c>
      <c r="C553" s="1">
        <v>1904.9</v>
      </c>
      <c r="D553" s="1">
        <v>173.64</v>
      </c>
      <c r="E553" s="3"/>
      <c r="F553" s="20">
        <f t="shared" si="27"/>
        <v>4.6501894960588474E-5</v>
      </c>
      <c r="G553" s="20">
        <f t="shared" si="28"/>
        <v>1.1340240631942236E-2</v>
      </c>
      <c r="H553" s="20">
        <f t="shared" si="29"/>
        <v>5.8915436398811411E-3</v>
      </c>
      <c r="I553" s="3"/>
    </row>
    <row r="554" spans="1:9" x14ac:dyDescent="0.3">
      <c r="A554" s="2">
        <v>43333</v>
      </c>
      <c r="B554" s="1">
        <v>53.76</v>
      </c>
      <c r="C554" s="1">
        <v>1883.42</v>
      </c>
      <c r="D554" s="1">
        <v>172.62</v>
      </c>
      <c r="E554" s="3"/>
      <c r="F554" s="20">
        <f t="shared" si="27"/>
        <v>-1.9512201312618048E-3</v>
      </c>
      <c r="G554" s="20">
        <f t="shared" si="28"/>
        <v>3.5690293275217264E-3</v>
      </c>
      <c r="H554" s="20">
        <f t="shared" si="29"/>
        <v>6.9541032009703995E-4</v>
      </c>
      <c r="I554" s="3"/>
    </row>
    <row r="555" spans="1:9" x14ac:dyDescent="0.3">
      <c r="A555" s="2">
        <v>43332</v>
      </c>
      <c r="B555" s="1">
        <v>53.865000000000002</v>
      </c>
      <c r="C555" s="1">
        <v>1876.71</v>
      </c>
      <c r="D555" s="1">
        <v>172.5</v>
      </c>
      <c r="E555" s="3"/>
      <c r="F555" s="20">
        <f t="shared" si="27"/>
        <v>-9.7913215268901465E-3</v>
      </c>
      <c r="G555" s="20">
        <f t="shared" si="28"/>
        <v>-2.9316874463961866E-3</v>
      </c>
      <c r="H555" s="20">
        <f t="shared" si="29"/>
        <v>-7.5079763598773072E-3</v>
      </c>
      <c r="I555" s="3"/>
    </row>
    <row r="556" spans="1:9" x14ac:dyDescent="0.3">
      <c r="A556" s="2">
        <v>43329</v>
      </c>
      <c r="B556" s="1">
        <v>54.395000000000003</v>
      </c>
      <c r="C556" s="1">
        <v>1882.22</v>
      </c>
      <c r="D556" s="1">
        <v>173.8</v>
      </c>
      <c r="E556" s="3"/>
      <c r="F556" s="20">
        <f t="shared" si="27"/>
        <v>1.9773213260535199E-2</v>
      </c>
      <c r="G556" s="20">
        <f t="shared" si="28"/>
        <v>-2.2819307598380151E-3</v>
      </c>
      <c r="H556" s="20">
        <f t="shared" si="29"/>
        <v>-5.1650043087190546E-3</v>
      </c>
      <c r="I556" s="3"/>
    </row>
    <row r="557" spans="1:9" x14ac:dyDescent="0.3">
      <c r="A557" s="2">
        <v>43328</v>
      </c>
      <c r="B557" s="1">
        <v>53.33</v>
      </c>
      <c r="C557" s="1">
        <v>1886.52</v>
      </c>
      <c r="D557" s="1">
        <v>174.7</v>
      </c>
      <c r="E557" s="3"/>
      <c r="F557" s="20">
        <f t="shared" si="27"/>
        <v>1.4543650436155752E-2</v>
      </c>
      <c r="G557" s="20">
        <f t="shared" si="28"/>
        <v>2.0694383290813722E-3</v>
      </c>
      <c r="H557" s="20">
        <f t="shared" si="29"/>
        <v>-2.7272107742726644E-2</v>
      </c>
      <c r="I557" s="3"/>
    </row>
    <row r="558" spans="1:9" x14ac:dyDescent="0.3">
      <c r="A558" s="2">
        <v>43327</v>
      </c>
      <c r="B558" s="1">
        <v>52.56</v>
      </c>
      <c r="C558" s="1">
        <v>1882.62</v>
      </c>
      <c r="D558" s="1">
        <v>179.53</v>
      </c>
      <c r="E558" s="3"/>
      <c r="F558" s="20">
        <f t="shared" si="27"/>
        <v>2.3333899489301974E-3</v>
      </c>
      <c r="G558" s="20">
        <f t="shared" si="28"/>
        <v>-1.9478454075673821E-2</v>
      </c>
      <c r="H558" s="20">
        <f t="shared" si="29"/>
        <v>-8.7622565937070553E-3</v>
      </c>
      <c r="I558" s="3"/>
    </row>
    <row r="559" spans="1:9" x14ac:dyDescent="0.3">
      <c r="A559" s="2">
        <v>43326</v>
      </c>
      <c r="B559" s="1">
        <v>52.4375</v>
      </c>
      <c r="C559" s="1">
        <v>1919.65</v>
      </c>
      <c r="D559" s="1">
        <v>181.11</v>
      </c>
      <c r="E559" s="3"/>
      <c r="F559" s="20">
        <f t="shared" si="27"/>
        <v>4.2042964800899198E-3</v>
      </c>
      <c r="G559" s="20">
        <f t="shared" si="28"/>
        <v>1.2290994254156565E-2</v>
      </c>
      <c r="H559" s="20">
        <f t="shared" si="29"/>
        <v>5.8699913815601851E-3</v>
      </c>
      <c r="I559" s="3"/>
    </row>
    <row r="560" spans="1:9" x14ac:dyDescent="0.3">
      <c r="A560" s="2">
        <v>43325</v>
      </c>
      <c r="B560" s="1">
        <v>52.217500000000001</v>
      </c>
      <c r="C560" s="1">
        <v>1896.2</v>
      </c>
      <c r="D560" s="1">
        <v>180.05</v>
      </c>
      <c r="E560" s="3"/>
      <c r="F560" s="20">
        <f t="shared" si="27"/>
        <v>6.4361413336567587E-3</v>
      </c>
      <c r="G560" s="20">
        <f t="shared" si="28"/>
        <v>5.2346451321799081E-3</v>
      </c>
      <c r="H560" s="20">
        <f t="shared" si="29"/>
        <v>-1.1656630333793769E-3</v>
      </c>
      <c r="I560" s="3"/>
    </row>
    <row r="561" spans="1:9" x14ac:dyDescent="0.3">
      <c r="A561" s="2">
        <v>43322</v>
      </c>
      <c r="B561" s="1">
        <v>51.8825</v>
      </c>
      <c r="C561" s="1">
        <v>1886.3</v>
      </c>
      <c r="D561" s="1">
        <v>180.26</v>
      </c>
      <c r="E561" s="3"/>
      <c r="F561" s="20">
        <f t="shared" si="27"/>
        <v>-6.4840168573044631E-3</v>
      </c>
      <c r="G561" s="20">
        <f t="shared" si="28"/>
        <v>-6.4573968972939499E-3</v>
      </c>
      <c r="H561" s="20">
        <f t="shared" si="29"/>
        <v>-1.5577582096249607E-2</v>
      </c>
      <c r="I561" s="3"/>
    </row>
    <row r="562" spans="1:9" x14ac:dyDescent="0.3">
      <c r="A562" s="2">
        <v>43321</v>
      </c>
      <c r="B562" s="1">
        <v>52.22</v>
      </c>
      <c r="C562" s="1">
        <v>1898.52</v>
      </c>
      <c r="D562" s="1">
        <v>183.09</v>
      </c>
      <c r="E562" s="3"/>
      <c r="F562" s="20">
        <f t="shared" si="27"/>
        <v>7.8341303754689406E-3</v>
      </c>
      <c r="G562" s="20">
        <f t="shared" si="28"/>
        <v>6.3407732575500022E-3</v>
      </c>
      <c r="H562" s="20">
        <f t="shared" si="29"/>
        <v>-1.1350489795387773E-2</v>
      </c>
      <c r="I562" s="3"/>
    </row>
    <row r="563" spans="1:9" x14ac:dyDescent="0.3">
      <c r="A563" s="2">
        <v>43320</v>
      </c>
      <c r="B563" s="1">
        <v>51.8125</v>
      </c>
      <c r="C563" s="1">
        <v>1886.52</v>
      </c>
      <c r="D563" s="1">
        <v>185.18</v>
      </c>
      <c r="E563" s="3"/>
      <c r="F563" s="20">
        <f t="shared" si="27"/>
        <v>6.7574092734475435E-4</v>
      </c>
      <c r="G563" s="20">
        <f t="shared" si="28"/>
        <v>1.2824929050397189E-2</v>
      </c>
      <c r="H563" s="20">
        <f t="shared" si="29"/>
        <v>7.4257096142281752E-3</v>
      </c>
      <c r="I563" s="3"/>
    </row>
    <row r="564" spans="1:9" x14ac:dyDescent="0.3">
      <c r="A564" s="2">
        <v>43319</v>
      </c>
      <c r="B564" s="1">
        <v>51.777500000000003</v>
      </c>
      <c r="C564" s="1">
        <v>1862.48</v>
      </c>
      <c r="D564" s="1">
        <v>183.81</v>
      </c>
      <c r="E564" s="3"/>
      <c r="F564" s="20">
        <f t="shared" si="27"/>
        <v>-9.4190710304775539E-3</v>
      </c>
      <c r="G564" s="20">
        <f t="shared" si="28"/>
        <v>7.9402502760294556E-3</v>
      </c>
      <c r="H564" s="20">
        <f t="shared" si="29"/>
        <v>-1.0176001206831362E-2</v>
      </c>
      <c r="I564" s="3"/>
    </row>
    <row r="565" spans="1:9" x14ac:dyDescent="0.3">
      <c r="A565" s="2">
        <v>43318</v>
      </c>
      <c r="B565" s="1">
        <v>52.267499999999998</v>
      </c>
      <c r="C565" s="1">
        <v>1847.75</v>
      </c>
      <c r="D565" s="1">
        <v>185.69</v>
      </c>
      <c r="E565" s="3"/>
      <c r="F565" s="20">
        <f t="shared" si="27"/>
        <v>5.1791224960282718E-3</v>
      </c>
      <c r="G565" s="20">
        <f t="shared" si="28"/>
        <v>1.3326121195838444E-2</v>
      </c>
      <c r="H565" s="20">
        <f t="shared" si="29"/>
        <v>4.3531785798975285E-2</v>
      </c>
      <c r="I565" s="3"/>
    </row>
    <row r="566" spans="1:9" x14ac:dyDescent="0.3">
      <c r="A566" s="2">
        <v>43315</v>
      </c>
      <c r="B566" s="1">
        <v>51.997500000000002</v>
      </c>
      <c r="C566" s="1">
        <v>1823.29</v>
      </c>
      <c r="D566" s="1">
        <v>177.78</v>
      </c>
      <c r="E566" s="3"/>
      <c r="F566" s="20">
        <f t="shared" si="27"/>
        <v>2.8889229972256076E-3</v>
      </c>
      <c r="G566" s="20">
        <f t="shared" si="28"/>
        <v>-6.0367307302169508E-3</v>
      </c>
      <c r="H566" s="20">
        <f t="shared" si="29"/>
        <v>7.9627697312556357E-3</v>
      </c>
      <c r="I566" s="3"/>
    </row>
    <row r="567" spans="1:9" x14ac:dyDescent="0.3">
      <c r="A567" s="2">
        <v>43314</v>
      </c>
      <c r="B567" s="1">
        <v>51.847499999999997</v>
      </c>
      <c r="C567" s="1">
        <v>1834.33</v>
      </c>
      <c r="D567" s="1">
        <v>176.37</v>
      </c>
      <c r="E567" s="3"/>
      <c r="F567" s="20">
        <f t="shared" si="27"/>
        <v>2.8811697238545597E-2</v>
      </c>
      <c r="G567" s="20">
        <f t="shared" si="28"/>
        <v>2.0466086775677926E-2</v>
      </c>
      <c r="H567" s="20">
        <f t="shared" si="29"/>
        <v>2.7126541178572185E-2</v>
      </c>
      <c r="I567" s="3"/>
    </row>
    <row r="568" spans="1:9" x14ac:dyDescent="0.3">
      <c r="A568" s="2">
        <v>43313</v>
      </c>
      <c r="B568" s="1">
        <v>50.375</v>
      </c>
      <c r="C568" s="1">
        <v>1797.17</v>
      </c>
      <c r="D568" s="1">
        <v>171.65</v>
      </c>
      <c r="E568" s="3"/>
      <c r="F568" s="20">
        <f t="shared" si="27"/>
        <v>5.7240157072822158E-2</v>
      </c>
      <c r="G568" s="20">
        <f t="shared" si="28"/>
        <v>1.1039078590284357E-2</v>
      </c>
      <c r="H568" s="20">
        <f t="shared" si="29"/>
        <v>-5.4033771764604652E-3</v>
      </c>
      <c r="I568" s="3"/>
    </row>
    <row r="569" spans="1:9" x14ac:dyDescent="0.3">
      <c r="A569" s="2">
        <v>43312</v>
      </c>
      <c r="B569" s="1">
        <v>47.572499999999998</v>
      </c>
      <c r="C569" s="1">
        <v>1777.44</v>
      </c>
      <c r="D569" s="1">
        <v>172.58</v>
      </c>
      <c r="E569" s="3"/>
      <c r="F569" s="20">
        <f t="shared" si="27"/>
        <v>1.9989485877618405E-3</v>
      </c>
      <c r="G569" s="20">
        <f t="shared" si="28"/>
        <v>-1.0009391668656051E-3</v>
      </c>
      <c r="H569" s="20">
        <f t="shared" si="29"/>
        <v>8.8465249275257781E-3</v>
      </c>
      <c r="I569" s="3"/>
    </row>
    <row r="570" spans="1:9" x14ac:dyDescent="0.3">
      <c r="A570" s="2">
        <v>43311</v>
      </c>
      <c r="B570" s="1">
        <v>47.477499999999999</v>
      </c>
      <c r="C570" s="1">
        <v>1779.22</v>
      </c>
      <c r="D570" s="1">
        <v>171.06</v>
      </c>
      <c r="E570" s="3"/>
      <c r="F570" s="20">
        <f t="shared" si="27"/>
        <v>-5.6184347959026991E-3</v>
      </c>
      <c r="G570" s="20">
        <f t="shared" si="28"/>
        <v>-2.1160308944296012E-2</v>
      </c>
      <c r="H570" s="20">
        <f t="shared" si="29"/>
        <v>-2.2142832708464132E-2</v>
      </c>
      <c r="I570" s="3"/>
    </row>
    <row r="571" spans="1:9" x14ac:dyDescent="0.3">
      <c r="A571" s="2">
        <v>43308</v>
      </c>
      <c r="B571" s="1">
        <v>47.744999999999997</v>
      </c>
      <c r="C571" s="1">
        <v>1817.27</v>
      </c>
      <c r="D571" s="1">
        <v>174.89</v>
      </c>
      <c r="E571" s="3"/>
      <c r="F571" s="20">
        <f t="shared" si="27"/>
        <v>-1.67713373153036E-2</v>
      </c>
      <c r="G571" s="20">
        <f t="shared" si="28"/>
        <v>5.1141129924521826E-3</v>
      </c>
      <c r="H571" s="20">
        <f t="shared" si="29"/>
        <v>-7.8029728104146009E-3</v>
      </c>
      <c r="I571" s="3"/>
    </row>
    <row r="572" spans="1:9" x14ac:dyDescent="0.3">
      <c r="A572" s="2">
        <v>43307</v>
      </c>
      <c r="B572" s="1">
        <v>48.552500000000002</v>
      </c>
      <c r="C572" s="1">
        <v>1808</v>
      </c>
      <c r="D572" s="1">
        <v>176.26</v>
      </c>
      <c r="E572" s="3"/>
      <c r="F572" s="20">
        <f t="shared" si="27"/>
        <v>-3.1360075054495265E-3</v>
      </c>
      <c r="G572" s="20">
        <f t="shared" si="28"/>
        <v>-3.0294204934483301E-2</v>
      </c>
      <c r="H572" s="20">
        <f t="shared" si="29"/>
        <v>-0.21023867285722447</v>
      </c>
      <c r="I572" s="3"/>
    </row>
    <row r="573" spans="1:9" x14ac:dyDescent="0.3">
      <c r="A573" s="2">
        <v>43306</v>
      </c>
      <c r="B573" s="1">
        <v>48.704999999999998</v>
      </c>
      <c r="C573" s="1">
        <v>1863.61</v>
      </c>
      <c r="D573" s="1">
        <v>217.5</v>
      </c>
      <c r="E573" s="3"/>
      <c r="F573" s="20">
        <f t="shared" si="27"/>
        <v>9.3858664379240942E-3</v>
      </c>
      <c r="G573" s="20">
        <f t="shared" si="28"/>
        <v>1.8614886858742252E-2</v>
      </c>
      <c r="H573" s="20">
        <f t="shared" si="29"/>
        <v>1.3096885262741725E-2</v>
      </c>
      <c r="I573" s="3"/>
    </row>
    <row r="574" spans="1:9" x14ac:dyDescent="0.3">
      <c r="A574" s="2">
        <v>43305</v>
      </c>
      <c r="B574" s="1">
        <v>48.25</v>
      </c>
      <c r="C574" s="1">
        <v>1829.24</v>
      </c>
      <c r="D574" s="1">
        <v>214.67</v>
      </c>
      <c r="E574" s="3"/>
      <c r="F574" s="20">
        <f t="shared" si="27"/>
        <v>7.2281326632780774E-3</v>
      </c>
      <c r="G574" s="20">
        <f t="shared" si="28"/>
        <v>1.5003420859579682E-2</v>
      </c>
      <c r="H574" s="20">
        <f t="shared" si="29"/>
        <v>1.7670463068473922E-2</v>
      </c>
      <c r="I574" s="3"/>
    </row>
    <row r="575" spans="1:9" x14ac:dyDescent="0.3">
      <c r="A575" s="2">
        <v>43304</v>
      </c>
      <c r="B575" s="1">
        <v>47.902500000000003</v>
      </c>
      <c r="C575" s="1">
        <v>1802</v>
      </c>
      <c r="D575" s="1">
        <v>210.91</v>
      </c>
      <c r="E575" s="3"/>
      <c r="F575" s="20">
        <f t="shared" si="27"/>
        <v>8.8761264148967559E-4</v>
      </c>
      <c r="G575" s="20">
        <f t="shared" si="28"/>
        <v>-6.4717984550943606E-3</v>
      </c>
      <c r="H575" s="20">
        <f t="shared" si="29"/>
        <v>4.6097265898715351E-3</v>
      </c>
      <c r="I575" s="3"/>
    </row>
    <row r="576" spans="1:9" x14ac:dyDescent="0.3">
      <c r="A576" s="2">
        <v>43301</v>
      </c>
      <c r="B576" s="1">
        <v>47.86</v>
      </c>
      <c r="C576" s="1">
        <v>1813.7</v>
      </c>
      <c r="D576" s="1">
        <v>209.94</v>
      </c>
      <c r="E576" s="3"/>
      <c r="F576" s="20">
        <f t="shared" si="27"/>
        <v>-2.2957330337452682E-3</v>
      </c>
      <c r="G576" s="20">
        <f t="shared" si="28"/>
        <v>4.0257316483653563E-4</v>
      </c>
      <c r="H576" s="20">
        <f t="shared" si="29"/>
        <v>8.8510971829633429E-3</v>
      </c>
      <c r="I576" s="3"/>
    </row>
    <row r="577" spans="1:9" x14ac:dyDescent="0.3">
      <c r="A577" s="2">
        <v>43300</v>
      </c>
      <c r="B577" s="1">
        <v>47.97</v>
      </c>
      <c r="C577" s="1">
        <v>1812.97</v>
      </c>
      <c r="D577" s="1">
        <v>208.09</v>
      </c>
      <c r="E577" s="3"/>
      <c r="F577" s="20">
        <f t="shared" si="27"/>
        <v>7.7430542765982071E-3</v>
      </c>
      <c r="G577" s="20">
        <f t="shared" si="28"/>
        <v>-1.6384885781358348E-2</v>
      </c>
      <c r="H577" s="20">
        <f t="shared" si="29"/>
        <v>-6.0845797972022848E-3</v>
      </c>
      <c r="I577" s="3"/>
    </row>
    <row r="578" spans="1:9" x14ac:dyDescent="0.3">
      <c r="A578" s="2">
        <v>43299</v>
      </c>
      <c r="B578" s="1">
        <v>47.6</v>
      </c>
      <c r="C578" s="1">
        <v>1842.92</v>
      </c>
      <c r="D578" s="1">
        <v>209.36</v>
      </c>
      <c r="E578" s="3"/>
      <c r="F578" s="20">
        <f t="shared" si="27"/>
        <v>-5.4995555660384355E-3</v>
      </c>
      <c r="G578" s="20">
        <f t="shared" si="28"/>
        <v>-5.4789320165759875E-4</v>
      </c>
      <c r="H578" s="20">
        <f t="shared" si="29"/>
        <v>-3.0046523141363688E-3</v>
      </c>
      <c r="I578" s="3"/>
    </row>
    <row r="579" spans="1:9" x14ac:dyDescent="0.3">
      <c r="A579" s="2">
        <v>43298</v>
      </c>
      <c r="B579" s="1">
        <v>47.862499999999997</v>
      </c>
      <c r="C579" s="1">
        <v>1843.93</v>
      </c>
      <c r="D579" s="1">
        <v>209.99</v>
      </c>
      <c r="E579" s="3"/>
      <c r="F579" s="20">
        <f t="shared" si="27"/>
        <v>2.8245651167355577E-3</v>
      </c>
      <c r="G579" s="20">
        <f t="shared" si="28"/>
        <v>1.1695465542247228E-2</v>
      </c>
      <c r="H579" s="20">
        <f t="shared" si="29"/>
        <v>1.3230622986630705E-2</v>
      </c>
      <c r="I579" s="3"/>
    </row>
    <row r="580" spans="1:9" x14ac:dyDescent="0.3">
      <c r="A580" s="2">
        <v>43297</v>
      </c>
      <c r="B580" s="1">
        <v>47.727499999999999</v>
      </c>
      <c r="C580" s="1">
        <v>1822.49</v>
      </c>
      <c r="D580" s="1">
        <v>207.23</v>
      </c>
      <c r="E580" s="3"/>
      <c r="F580" s="20">
        <f t="shared" si="27"/>
        <v>-2.1975730903435772E-3</v>
      </c>
      <c r="G580" s="20">
        <f t="shared" si="28"/>
        <v>5.2042191219572624E-3</v>
      </c>
      <c r="H580" s="20">
        <f t="shared" si="29"/>
        <v>-4.3420577210959236E-4</v>
      </c>
      <c r="I580" s="3"/>
    </row>
    <row r="581" spans="1:9" x14ac:dyDescent="0.3">
      <c r="A581" s="2">
        <v>43294</v>
      </c>
      <c r="B581" s="1">
        <v>47.832500000000003</v>
      </c>
      <c r="C581" s="1">
        <v>1813.03</v>
      </c>
      <c r="D581" s="1">
        <v>207.32</v>
      </c>
      <c r="E581" s="3"/>
      <c r="F581" s="20">
        <f t="shared" si="27"/>
        <v>1.5692021213509818E-3</v>
      </c>
      <c r="G581" s="20">
        <f t="shared" si="28"/>
        <v>9.0923569057244219E-3</v>
      </c>
      <c r="H581" s="20">
        <f t="shared" si="29"/>
        <v>1.9312481861914739E-3</v>
      </c>
      <c r="I581" s="3"/>
    </row>
    <row r="582" spans="1:9" x14ac:dyDescent="0.3">
      <c r="A582" s="2">
        <v>43293</v>
      </c>
      <c r="B582" s="1">
        <v>47.7575</v>
      </c>
      <c r="C582" s="1">
        <v>1796.62</v>
      </c>
      <c r="D582" s="1">
        <v>206.92</v>
      </c>
      <c r="E582" s="3"/>
      <c r="F582" s="20">
        <f t="shared" ref="F582:F645" si="30">LN(B582/B583)</f>
        <v>1.6627022616766154E-2</v>
      </c>
      <c r="G582" s="20">
        <f t="shared" ref="G582:G645" si="31">LN(C582/C583)</f>
        <v>2.3438264971662032E-2</v>
      </c>
      <c r="H582" s="20">
        <f t="shared" ref="H582:H645" si="32">LN(D582/D583)</f>
        <v>2.1394847231175448E-2</v>
      </c>
      <c r="I582" s="3"/>
    </row>
    <row r="583" spans="1:9" x14ac:dyDescent="0.3">
      <c r="A583" s="2">
        <v>43292</v>
      </c>
      <c r="B583" s="1">
        <v>46.97</v>
      </c>
      <c r="C583" s="1">
        <v>1755</v>
      </c>
      <c r="D583" s="1">
        <v>202.54</v>
      </c>
      <c r="E583" s="3"/>
      <c r="F583" s="20">
        <f t="shared" si="30"/>
        <v>-1.3061021669711955E-2</v>
      </c>
      <c r="G583" s="20">
        <f t="shared" si="31"/>
        <v>6.8209305437919509E-3</v>
      </c>
      <c r="H583" s="20">
        <f t="shared" si="32"/>
        <v>-4.9251478596465939E-3</v>
      </c>
      <c r="I583" s="3"/>
    </row>
    <row r="584" spans="1:9" x14ac:dyDescent="0.3">
      <c r="A584" s="2">
        <v>43291</v>
      </c>
      <c r="B584" s="1">
        <v>47.587499999999999</v>
      </c>
      <c r="C584" s="1">
        <v>1743.07</v>
      </c>
      <c r="D584" s="1">
        <v>203.54</v>
      </c>
      <c r="E584" s="3"/>
      <c r="F584" s="20">
        <f t="shared" si="30"/>
        <v>-1.2075710915359459E-3</v>
      </c>
      <c r="G584" s="20">
        <f t="shared" si="31"/>
        <v>2.3261902054609561E-3</v>
      </c>
      <c r="H584" s="20">
        <f t="shared" si="32"/>
        <v>-5.8783357278393072E-3</v>
      </c>
      <c r="I584" s="3"/>
    </row>
    <row r="585" spans="1:9" x14ac:dyDescent="0.3">
      <c r="A585" s="2">
        <v>43290</v>
      </c>
      <c r="B585" s="1">
        <v>47.645000000000003</v>
      </c>
      <c r="C585" s="1">
        <v>1739.02</v>
      </c>
      <c r="D585" s="1">
        <v>204.74</v>
      </c>
      <c r="E585" s="3"/>
      <c r="F585" s="20">
        <f t="shared" si="30"/>
        <v>1.3789678291538309E-2</v>
      </c>
      <c r="G585" s="20">
        <f t="shared" si="31"/>
        <v>1.6460012451747622E-2</v>
      </c>
      <c r="H585" s="20">
        <f t="shared" si="32"/>
        <v>7.4025388894091966E-3</v>
      </c>
      <c r="I585" s="3"/>
    </row>
    <row r="586" spans="1:9" x14ac:dyDescent="0.3">
      <c r="A586" s="2">
        <v>43287</v>
      </c>
      <c r="B586" s="1">
        <v>46.9925</v>
      </c>
      <c r="C586" s="1">
        <v>1710.63</v>
      </c>
      <c r="D586" s="1">
        <v>203.23</v>
      </c>
      <c r="E586" s="3"/>
      <c r="F586" s="20">
        <f t="shared" si="30"/>
        <v>1.3766722496749269E-2</v>
      </c>
      <c r="G586" s="20">
        <f t="shared" si="31"/>
        <v>6.3923087978622999E-3</v>
      </c>
      <c r="H586" s="20">
        <f t="shared" si="32"/>
        <v>2.3801163373141299E-2</v>
      </c>
      <c r="I586" s="3"/>
    </row>
    <row r="587" spans="1:9" x14ac:dyDescent="0.3">
      <c r="A587" s="2">
        <v>43286</v>
      </c>
      <c r="B587" s="1">
        <v>46.35</v>
      </c>
      <c r="C587" s="1">
        <v>1699.73</v>
      </c>
      <c r="D587" s="1">
        <v>198.45</v>
      </c>
      <c r="E587" s="3"/>
      <c r="F587" s="20">
        <f t="shared" si="30"/>
        <v>8.0147726768287769E-3</v>
      </c>
      <c r="G587" s="20">
        <f t="shared" si="31"/>
        <v>3.4004317187744963E-3</v>
      </c>
      <c r="H587" s="20">
        <f t="shared" si="32"/>
        <v>2.9246933518114283E-2</v>
      </c>
      <c r="I587" s="3"/>
    </row>
    <row r="588" spans="1:9" x14ac:dyDescent="0.3">
      <c r="A588" s="2">
        <v>43285</v>
      </c>
      <c r="B588" s="1">
        <v>45.98</v>
      </c>
      <c r="C588" s="1">
        <v>1693.96</v>
      </c>
      <c r="D588" s="1">
        <v>192.73</v>
      </c>
      <c r="E588" s="3"/>
      <c r="F588" s="20">
        <f t="shared" si="30"/>
        <v>0</v>
      </c>
      <c r="G588" s="20">
        <f t="shared" si="31"/>
        <v>0</v>
      </c>
      <c r="H588" s="20">
        <f t="shared" si="32"/>
        <v>0</v>
      </c>
      <c r="I588" s="3"/>
    </row>
    <row r="589" spans="1:9" x14ac:dyDescent="0.3">
      <c r="A589" s="2">
        <v>43284</v>
      </c>
      <c r="B589" s="1">
        <v>45.98</v>
      </c>
      <c r="C589" s="1">
        <v>1693.96</v>
      </c>
      <c r="D589" s="1">
        <v>192.73</v>
      </c>
      <c r="E589" s="3"/>
      <c r="F589" s="20">
        <f t="shared" si="30"/>
        <v>-1.7569840274184432E-2</v>
      </c>
      <c r="G589" s="20">
        <f t="shared" si="31"/>
        <v>-1.1632474011435858E-2</v>
      </c>
      <c r="H589" s="20">
        <f t="shared" si="32"/>
        <v>-2.3739226510141268E-2</v>
      </c>
      <c r="I589" s="3"/>
    </row>
    <row r="590" spans="1:9" x14ac:dyDescent="0.3">
      <c r="A590" s="2">
        <v>43283</v>
      </c>
      <c r="B590" s="1">
        <v>46.795000000000002</v>
      </c>
      <c r="C590" s="1">
        <v>1713.78</v>
      </c>
      <c r="D590" s="1">
        <v>197.36</v>
      </c>
      <c r="E590" s="3"/>
      <c r="F590" s="20">
        <f t="shared" si="30"/>
        <v>1.1120477757516548E-2</v>
      </c>
      <c r="G590" s="20">
        <f t="shared" si="31"/>
        <v>8.1908601292388222E-3</v>
      </c>
      <c r="H590" s="20">
        <f t="shared" si="32"/>
        <v>1.5523187527184377E-2</v>
      </c>
      <c r="I590" s="3"/>
    </row>
    <row r="591" spans="1:9" x14ac:dyDescent="0.3">
      <c r="A591" s="2">
        <v>43280</v>
      </c>
      <c r="B591" s="1">
        <v>46.277500000000003</v>
      </c>
      <c r="C591" s="1">
        <v>1699.8</v>
      </c>
      <c r="D591" s="1">
        <v>194.32</v>
      </c>
      <c r="E591" s="3"/>
      <c r="F591" s="20">
        <f t="shared" si="30"/>
        <v>-2.1046390758960231E-3</v>
      </c>
      <c r="G591" s="20">
        <f t="shared" si="31"/>
        <v>-9.7023160863540792E-4</v>
      </c>
      <c r="H591" s="20">
        <f t="shared" si="32"/>
        <v>-9.7811559473140169E-3</v>
      </c>
      <c r="I591" s="3"/>
    </row>
    <row r="592" spans="1:9" x14ac:dyDescent="0.3">
      <c r="A592" s="2">
        <v>43279</v>
      </c>
      <c r="B592" s="1">
        <v>46.375</v>
      </c>
      <c r="C592" s="1">
        <v>1701.45</v>
      </c>
      <c r="D592" s="1">
        <v>196.23</v>
      </c>
      <c r="E592" s="3"/>
      <c r="F592" s="20">
        <f t="shared" si="30"/>
        <v>7.2499370739173554E-3</v>
      </c>
      <c r="G592" s="20">
        <f t="shared" si="31"/>
        <v>2.4356044592048869E-2</v>
      </c>
      <c r="H592" s="20">
        <f t="shared" si="32"/>
        <v>1.9894413172697693E-3</v>
      </c>
      <c r="I592" s="3"/>
    </row>
    <row r="593" spans="1:9" x14ac:dyDescent="0.3">
      <c r="A593" s="2">
        <v>43278</v>
      </c>
      <c r="B593" s="1">
        <v>46.04</v>
      </c>
      <c r="C593" s="1">
        <v>1660.51</v>
      </c>
      <c r="D593" s="1">
        <v>195.84</v>
      </c>
      <c r="E593" s="3"/>
      <c r="F593" s="20">
        <f t="shared" si="30"/>
        <v>-1.4650427211420831E-3</v>
      </c>
      <c r="G593" s="20">
        <f t="shared" si="31"/>
        <v>-1.8248507346180075E-2</v>
      </c>
      <c r="H593" s="20">
        <f t="shared" si="32"/>
        <v>-1.6006825400531086E-2</v>
      </c>
      <c r="I593" s="3"/>
    </row>
    <row r="594" spans="1:9" x14ac:dyDescent="0.3">
      <c r="A594" s="2">
        <v>43277</v>
      </c>
      <c r="B594" s="1">
        <v>46.107500000000002</v>
      </c>
      <c r="C594" s="1">
        <v>1691.09</v>
      </c>
      <c r="D594" s="1">
        <v>199</v>
      </c>
      <c r="E594" s="3"/>
      <c r="F594" s="20">
        <f t="shared" si="30"/>
        <v>1.2329670651977202E-2</v>
      </c>
      <c r="G594" s="20">
        <f t="shared" si="31"/>
        <v>1.6659896865438801E-2</v>
      </c>
      <c r="H594" s="20">
        <f t="shared" si="32"/>
        <v>1.34060437004738E-2</v>
      </c>
      <c r="I594" s="3"/>
    </row>
    <row r="595" spans="1:9" x14ac:dyDescent="0.3">
      <c r="A595" s="2">
        <v>43276</v>
      </c>
      <c r="B595" s="1">
        <v>45.542499999999997</v>
      </c>
      <c r="C595" s="1">
        <v>1663.15</v>
      </c>
      <c r="D595" s="1">
        <v>196.35</v>
      </c>
      <c r="E595" s="3"/>
      <c r="F595" s="20">
        <f t="shared" si="30"/>
        <v>-1.4982982077287156E-2</v>
      </c>
      <c r="G595" s="20">
        <f t="shared" si="31"/>
        <v>-3.1090280300250937E-2</v>
      </c>
      <c r="H595" s="20">
        <f t="shared" si="32"/>
        <v>-2.7080958602670811E-2</v>
      </c>
      <c r="I595" s="3"/>
    </row>
    <row r="596" spans="1:9" x14ac:dyDescent="0.3">
      <c r="A596" s="2">
        <v>43273</v>
      </c>
      <c r="B596" s="1">
        <v>46.23</v>
      </c>
      <c r="C596" s="1">
        <v>1715.67</v>
      </c>
      <c r="D596" s="1">
        <v>201.74</v>
      </c>
      <c r="E596" s="3"/>
      <c r="F596" s="20">
        <f t="shared" si="30"/>
        <v>-2.9159262520553919E-3</v>
      </c>
      <c r="G596" s="20">
        <f t="shared" si="31"/>
        <v>-8.444893174660113E-3</v>
      </c>
      <c r="H596" s="20">
        <f t="shared" si="32"/>
        <v>1.1903582399516379E-3</v>
      </c>
      <c r="I596" s="3"/>
    </row>
    <row r="597" spans="1:9" x14ac:dyDescent="0.3">
      <c r="A597" s="2">
        <v>43272</v>
      </c>
      <c r="B597" s="1">
        <v>46.365000000000002</v>
      </c>
      <c r="C597" s="1">
        <v>1730.22</v>
      </c>
      <c r="D597" s="1">
        <v>201.5</v>
      </c>
      <c r="E597" s="3"/>
      <c r="F597" s="20">
        <f t="shared" si="30"/>
        <v>-5.5920137117902845E-3</v>
      </c>
      <c r="G597" s="20">
        <f t="shared" si="31"/>
        <v>-1.14129331216431E-2</v>
      </c>
      <c r="H597" s="20">
        <f t="shared" si="32"/>
        <v>-2.4783160144670898E-3</v>
      </c>
      <c r="I597" s="3"/>
    </row>
    <row r="598" spans="1:9" x14ac:dyDescent="0.3">
      <c r="A598" s="2">
        <v>43271</v>
      </c>
      <c r="B598" s="1">
        <v>46.625</v>
      </c>
      <c r="C598" s="1">
        <v>1750.08</v>
      </c>
      <c r="D598" s="1">
        <v>202</v>
      </c>
      <c r="E598" s="3"/>
      <c r="F598" s="20">
        <f t="shared" si="30"/>
        <v>4.3526224713660447E-3</v>
      </c>
      <c r="G598" s="20">
        <f t="shared" si="31"/>
        <v>8.7808969701318428E-3</v>
      </c>
      <c r="H598" s="20">
        <f t="shared" si="32"/>
        <v>2.2579747253309624E-2</v>
      </c>
      <c r="I598" s="3"/>
    </row>
    <row r="599" spans="1:9" x14ac:dyDescent="0.3">
      <c r="A599" s="2">
        <v>43270</v>
      </c>
      <c r="B599" s="1">
        <v>46.422499999999999</v>
      </c>
      <c r="C599" s="1">
        <v>1734.78</v>
      </c>
      <c r="D599" s="1">
        <v>197.49</v>
      </c>
      <c r="E599" s="3"/>
      <c r="F599" s="20">
        <f t="shared" si="30"/>
        <v>-1.6291789980682755E-2</v>
      </c>
      <c r="G599" s="20">
        <f t="shared" si="31"/>
        <v>6.3552491288265938E-3</v>
      </c>
      <c r="H599" s="20">
        <f t="shared" si="32"/>
        <v>-4.1435127498433873E-3</v>
      </c>
      <c r="I599" s="3"/>
    </row>
    <row r="600" spans="1:9" x14ac:dyDescent="0.3">
      <c r="A600" s="2">
        <v>43269</v>
      </c>
      <c r="B600" s="1">
        <v>47.185000000000002</v>
      </c>
      <c r="C600" s="1">
        <v>1723.79</v>
      </c>
      <c r="D600" s="1">
        <v>198.31</v>
      </c>
      <c r="E600" s="3"/>
      <c r="F600" s="20">
        <f t="shared" si="30"/>
        <v>-5.296890848990127E-4</v>
      </c>
      <c r="G600" s="20">
        <f t="shared" si="31"/>
        <v>4.5468366818452385E-3</v>
      </c>
      <c r="H600" s="20">
        <f t="shared" si="32"/>
        <v>1.2482402785898225E-2</v>
      </c>
      <c r="I600" s="3"/>
    </row>
    <row r="601" spans="1:9" x14ac:dyDescent="0.3">
      <c r="A601" s="2">
        <v>43266</v>
      </c>
      <c r="B601" s="1">
        <v>47.21</v>
      </c>
      <c r="C601" s="1">
        <v>1715.97</v>
      </c>
      <c r="D601" s="1">
        <v>195.85</v>
      </c>
      <c r="E601" s="3"/>
      <c r="F601" s="20">
        <f t="shared" si="30"/>
        <v>-1.0325663336100193E-2</v>
      </c>
      <c r="G601" s="20">
        <f t="shared" si="31"/>
        <v>-4.5874440520884754E-3</v>
      </c>
      <c r="H601" s="20">
        <f t="shared" si="32"/>
        <v>-4.889736223505658E-3</v>
      </c>
      <c r="I601" s="3"/>
    </row>
    <row r="602" spans="1:9" x14ac:dyDescent="0.3">
      <c r="A602" s="2">
        <v>43265</v>
      </c>
      <c r="B602" s="1">
        <v>47.7</v>
      </c>
      <c r="C602" s="1">
        <v>1723.86</v>
      </c>
      <c r="D602" s="1">
        <v>196.81</v>
      </c>
      <c r="E602" s="3"/>
      <c r="F602" s="20">
        <f t="shared" si="30"/>
        <v>5.2424640781277912E-4</v>
      </c>
      <c r="G602" s="20">
        <f t="shared" si="31"/>
        <v>1.1082966520354226E-2</v>
      </c>
      <c r="H602" s="20">
        <f t="shared" si="32"/>
        <v>2.2610284402421077E-2</v>
      </c>
      <c r="I602" s="3"/>
    </row>
    <row r="603" spans="1:9" x14ac:dyDescent="0.3">
      <c r="A603" s="2">
        <v>43264</v>
      </c>
      <c r="B603" s="1">
        <v>47.674999999999997</v>
      </c>
      <c r="C603" s="1">
        <v>1704.86</v>
      </c>
      <c r="D603" s="1">
        <v>192.41</v>
      </c>
      <c r="E603" s="3"/>
      <c r="F603" s="20">
        <f t="shared" si="30"/>
        <v>-8.2511304193866337E-3</v>
      </c>
      <c r="G603" s="20">
        <f t="shared" si="31"/>
        <v>3.5903094439849034E-3</v>
      </c>
      <c r="H603" s="20">
        <f t="shared" si="32"/>
        <v>5.1973701318747954E-5</v>
      </c>
      <c r="I603" s="3"/>
    </row>
    <row r="604" spans="1:9" x14ac:dyDescent="0.3">
      <c r="A604" s="2">
        <v>43263</v>
      </c>
      <c r="B604" s="1">
        <v>48.07</v>
      </c>
      <c r="C604" s="1">
        <v>1698.75</v>
      </c>
      <c r="D604" s="1">
        <v>192.4</v>
      </c>
      <c r="E604" s="3"/>
      <c r="F604" s="20">
        <f t="shared" si="30"/>
        <v>5.4757509508770764E-3</v>
      </c>
      <c r="G604" s="20">
        <f t="shared" si="31"/>
        <v>5.6850032239687421E-3</v>
      </c>
      <c r="H604" s="20">
        <f t="shared" si="32"/>
        <v>4.4798741381330007E-3</v>
      </c>
      <c r="I604" s="3"/>
    </row>
    <row r="605" spans="1:9" x14ac:dyDescent="0.3">
      <c r="A605" s="2">
        <v>43262</v>
      </c>
      <c r="B605" s="1">
        <v>47.807499999999997</v>
      </c>
      <c r="C605" s="1">
        <v>1689.12</v>
      </c>
      <c r="D605" s="1">
        <v>191.54</v>
      </c>
      <c r="E605" s="3"/>
      <c r="F605" s="20">
        <f t="shared" si="30"/>
        <v>-2.4547579767159014E-3</v>
      </c>
      <c r="G605" s="20">
        <f t="shared" si="31"/>
        <v>3.0417056990242378E-3</v>
      </c>
      <c r="H605" s="20">
        <f t="shared" si="32"/>
        <v>1.2820688429061469E-2</v>
      </c>
      <c r="I605" s="3"/>
    </row>
    <row r="606" spans="1:9" x14ac:dyDescent="0.3">
      <c r="A606" s="2">
        <v>43259</v>
      </c>
      <c r="B606" s="1">
        <v>47.924999999999997</v>
      </c>
      <c r="C606" s="1">
        <v>1683.99</v>
      </c>
      <c r="D606" s="1">
        <v>189.1</v>
      </c>
      <c r="E606" s="3"/>
      <c r="F606" s="20">
        <f t="shared" si="30"/>
        <v>-9.139122702802217E-3</v>
      </c>
      <c r="G606" s="20">
        <f t="shared" si="31"/>
        <v>-3.1482643863221522E-3</v>
      </c>
      <c r="H606" s="20">
        <f t="shared" si="32"/>
        <v>4.8770240857921527E-3</v>
      </c>
      <c r="I606" s="3"/>
    </row>
    <row r="607" spans="1:9" x14ac:dyDescent="0.3">
      <c r="A607" s="2">
        <v>43258</v>
      </c>
      <c r="B607" s="1">
        <v>48.365000000000002</v>
      </c>
      <c r="C607" s="1">
        <v>1689.3</v>
      </c>
      <c r="D607" s="1">
        <v>188.18</v>
      </c>
      <c r="E607" s="3"/>
      <c r="F607" s="20">
        <f t="shared" si="30"/>
        <v>-2.6842882109956376E-3</v>
      </c>
      <c r="G607" s="20">
        <f t="shared" si="31"/>
        <v>-3.8108788975064574E-3</v>
      </c>
      <c r="H607" s="20">
        <f t="shared" si="32"/>
        <v>-1.6652998671401607E-2</v>
      </c>
      <c r="I607" s="3"/>
    </row>
    <row r="608" spans="1:9" x14ac:dyDescent="0.3">
      <c r="A608" s="2">
        <v>43257</v>
      </c>
      <c r="B608" s="1">
        <v>48.494999999999997</v>
      </c>
      <c r="C608" s="1">
        <v>1695.75</v>
      </c>
      <c r="D608" s="1">
        <v>191.34</v>
      </c>
      <c r="E608" s="3"/>
      <c r="F608" s="20">
        <f t="shared" si="30"/>
        <v>3.4599430317961252E-3</v>
      </c>
      <c r="G608" s="20">
        <f t="shared" si="31"/>
        <v>-3.5376315925669821E-4</v>
      </c>
      <c r="H608" s="20">
        <f t="shared" si="32"/>
        <v>-8.3273094923862079E-3</v>
      </c>
      <c r="I608" s="3"/>
    </row>
    <row r="609" spans="1:9" x14ac:dyDescent="0.3">
      <c r="A609" s="2">
        <v>43256</v>
      </c>
      <c r="B609" s="1">
        <v>48.327500000000001</v>
      </c>
      <c r="C609" s="1">
        <v>1696.35</v>
      </c>
      <c r="D609" s="1">
        <v>192.94</v>
      </c>
      <c r="E609" s="3"/>
      <c r="F609" s="20">
        <f t="shared" si="30"/>
        <v>7.6855547853539579E-3</v>
      </c>
      <c r="G609" s="20">
        <f t="shared" si="31"/>
        <v>1.8491611555601372E-2</v>
      </c>
      <c r="H609" s="20">
        <f t="shared" si="32"/>
        <v>-1.7606550040426621E-3</v>
      </c>
      <c r="I609" s="3"/>
    </row>
    <row r="610" spans="1:9" x14ac:dyDescent="0.3">
      <c r="A610" s="2">
        <v>43255</v>
      </c>
      <c r="B610" s="1">
        <v>47.957500000000003</v>
      </c>
      <c r="C610" s="1">
        <v>1665.27</v>
      </c>
      <c r="D610" s="1">
        <v>193.28</v>
      </c>
      <c r="E610" s="3"/>
      <c r="F610" s="20">
        <f t="shared" si="30"/>
        <v>8.323130205774739E-3</v>
      </c>
      <c r="G610" s="20">
        <f t="shared" si="31"/>
        <v>1.4352446828953083E-2</v>
      </c>
      <c r="H610" s="20">
        <f t="shared" si="32"/>
        <v>-3.666696596564596E-3</v>
      </c>
      <c r="I610" s="3"/>
    </row>
    <row r="611" spans="1:9" x14ac:dyDescent="0.3">
      <c r="A611" s="2">
        <v>43252</v>
      </c>
      <c r="B611" s="1">
        <v>47.56</v>
      </c>
      <c r="C611" s="1">
        <v>1641.54</v>
      </c>
      <c r="D611" s="1">
        <v>193.99</v>
      </c>
      <c r="E611" s="3"/>
      <c r="F611" s="20">
        <f t="shared" si="30"/>
        <v>1.7873245008307968E-2</v>
      </c>
      <c r="G611" s="20">
        <f t="shared" si="31"/>
        <v>7.2879668131898808E-3</v>
      </c>
      <c r="H611" s="20">
        <f t="shared" si="32"/>
        <v>1.1457729617479574E-2</v>
      </c>
      <c r="I611" s="3"/>
    </row>
    <row r="612" spans="1:9" x14ac:dyDescent="0.3">
      <c r="A612" s="2">
        <v>43251</v>
      </c>
      <c r="B612" s="1">
        <v>46.717500000000001</v>
      </c>
      <c r="C612" s="1">
        <v>1629.62</v>
      </c>
      <c r="D612" s="1">
        <v>191.78</v>
      </c>
      <c r="E612" s="3"/>
      <c r="F612" s="20">
        <f t="shared" si="30"/>
        <v>-3.3656574763016871E-3</v>
      </c>
      <c r="G612" s="20">
        <f t="shared" si="31"/>
        <v>2.9067376227832555E-3</v>
      </c>
      <c r="H612" s="20">
        <f t="shared" si="32"/>
        <v>2.166378042235392E-2</v>
      </c>
      <c r="I612" s="3"/>
    </row>
    <row r="613" spans="1:9" x14ac:dyDescent="0.3">
      <c r="A613" s="2">
        <v>43250</v>
      </c>
      <c r="B613" s="1">
        <v>46.875</v>
      </c>
      <c r="C613" s="1">
        <v>1624.89</v>
      </c>
      <c r="D613" s="1">
        <v>187.67</v>
      </c>
      <c r="E613" s="3"/>
      <c r="F613" s="20">
        <f t="shared" si="30"/>
        <v>-2.1310610089541738E-3</v>
      </c>
      <c r="G613" s="20">
        <f t="shared" si="31"/>
        <v>7.4249204519640311E-3</v>
      </c>
      <c r="H613" s="20">
        <f t="shared" si="32"/>
        <v>1.0337254955318856E-2</v>
      </c>
      <c r="I613" s="3"/>
    </row>
    <row r="614" spans="1:9" x14ac:dyDescent="0.3">
      <c r="A614" s="2">
        <v>43249</v>
      </c>
      <c r="B614" s="1">
        <v>46.975000000000001</v>
      </c>
      <c r="C614" s="1">
        <v>1612.87</v>
      </c>
      <c r="D614" s="1">
        <v>185.74</v>
      </c>
      <c r="E614" s="3"/>
      <c r="F614" s="20">
        <f t="shared" si="30"/>
        <v>-3.6124136181116366E-3</v>
      </c>
      <c r="G614" s="20">
        <f t="shared" si="31"/>
        <v>1.6878583724225255E-3</v>
      </c>
      <c r="H614" s="20">
        <f t="shared" si="32"/>
        <v>4.4245472278376385E-3</v>
      </c>
      <c r="I614" s="3"/>
    </row>
    <row r="615" spans="1:9" x14ac:dyDescent="0.3">
      <c r="A615" s="2">
        <v>43248</v>
      </c>
      <c r="B615" s="1">
        <v>47.145000000000003</v>
      </c>
      <c r="C615" s="1">
        <v>1610.15</v>
      </c>
      <c r="D615" s="1">
        <v>184.92</v>
      </c>
      <c r="E615" s="3"/>
      <c r="F615" s="20">
        <f t="shared" si="30"/>
        <v>0</v>
      </c>
      <c r="G615" s="20">
        <f t="shared" si="31"/>
        <v>0</v>
      </c>
      <c r="H615" s="20">
        <f t="shared" si="32"/>
        <v>0</v>
      </c>
      <c r="I615" s="3"/>
    </row>
    <row r="616" spans="1:9" x14ac:dyDescent="0.3">
      <c r="A616" s="2">
        <v>43245</v>
      </c>
      <c r="B616" s="1">
        <v>47.145000000000003</v>
      </c>
      <c r="C616" s="1">
        <v>1610.15</v>
      </c>
      <c r="D616" s="1">
        <v>184.92</v>
      </c>
      <c r="E616" s="3"/>
      <c r="F616" s="20">
        <f t="shared" si="30"/>
        <v>2.2828029980850621E-3</v>
      </c>
      <c r="G616" s="20">
        <f t="shared" si="31"/>
        <v>4.406801562132379E-3</v>
      </c>
      <c r="H616" s="20">
        <f t="shared" si="32"/>
        <v>-5.4469596719467616E-3</v>
      </c>
      <c r="I616" s="3"/>
    </row>
    <row r="617" spans="1:9" x14ac:dyDescent="0.3">
      <c r="A617" s="2">
        <v>43244</v>
      </c>
      <c r="B617" s="1">
        <v>47.037500000000001</v>
      </c>
      <c r="C617" s="1">
        <v>1603.07</v>
      </c>
      <c r="D617" s="1">
        <v>185.93</v>
      </c>
      <c r="E617" s="3"/>
      <c r="F617" s="20">
        <f t="shared" si="30"/>
        <v>-1.1155083359075978E-3</v>
      </c>
      <c r="G617" s="20">
        <f t="shared" si="31"/>
        <v>7.5508673043771408E-4</v>
      </c>
      <c r="H617" s="20">
        <f t="shared" si="32"/>
        <v>-5.2034556695457253E-3</v>
      </c>
      <c r="I617" s="3"/>
    </row>
    <row r="618" spans="1:9" x14ac:dyDescent="0.3">
      <c r="A618" s="2">
        <v>43243</v>
      </c>
      <c r="B618" s="1">
        <v>47.09</v>
      </c>
      <c r="C618" s="1">
        <v>1601.86</v>
      </c>
      <c r="D618" s="1">
        <v>186.9</v>
      </c>
      <c r="E618" s="3"/>
      <c r="F618" s="20">
        <f t="shared" si="30"/>
        <v>6.391159377338332E-3</v>
      </c>
      <c r="G618" s="20">
        <f t="shared" si="31"/>
        <v>1.2854923411134526E-2</v>
      </c>
      <c r="H618" s="20">
        <f t="shared" si="32"/>
        <v>1.672550453993053E-2</v>
      </c>
      <c r="I618" s="3"/>
    </row>
    <row r="619" spans="1:9" x14ac:dyDescent="0.3">
      <c r="A619" s="2">
        <v>43242</v>
      </c>
      <c r="B619" s="1">
        <v>46.79</v>
      </c>
      <c r="C619" s="1">
        <v>1581.4</v>
      </c>
      <c r="D619" s="1">
        <v>183.8</v>
      </c>
      <c r="E619" s="3"/>
      <c r="F619" s="20">
        <f t="shared" si="30"/>
        <v>-2.5080725012676785E-3</v>
      </c>
      <c r="G619" s="20">
        <f t="shared" si="31"/>
        <v>-2.5640553888278197E-3</v>
      </c>
      <c r="H619" s="20">
        <f t="shared" si="32"/>
        <v>-3.7470515480872782E-3</v>
      </c>
      <c r="I619" s="3"/>
    </row>
    <row r="620" spans="1:9" x14ac:dyDescent="0.3">
      <c r="A620" s="2">
        <v>43241</v>
      </c>
      <c r="B620" s="1">
        <v>46.907499999999999</v>
      </c>
      <c r="C620" s="1">
        <v>1585.46</v>
      </c>
      <c r="D620" s="1">
        <v>184.49</v>
      </c>
      <c r="E620" s="3"/>
      <c r="F620" s="20">
        <f t="shared" si="30"/>
        <v>7.0599854670207601E-3</v>
      </c>
      <c r="G620" s="20">
        <f t="shared" si="31"/>
        <v>7.0193937872609653E-3</v>
      </c>
      <c r="H620" s="20">
        <f t="shared" si="32"/>
        <v>9.8592731528757954E-3</v>
      </c>
      <c r="I620" s="3"/>
    </row>
    <row r="621" spans="1:9" x14ac:dyDescent="0.3">
      <c r="A621" s="2">
        <v>43238</v>
      </c>
      <c r="B621" s="1">
        <v>46.577500000000001</v>
      </c>
      <c r="C621" s="1">
        <v>1574.37</v>
      </c>
      <c r="D621" s="1">
        <v>182.68</v>
      </c>
      <c r="E621" s="3"/>
      <c r="F621" s="20">
        <f t="shared" si="30"/>
        <v>-3.6431864566065044E-3</v>
      </c>
      <c r="G621" s="20">
        <f t="shared" si="31"/>
        <v>-4.6829588802008576E-3</v>
      </c>
      <c r="H621" s="20">
        <f t="shared" si="32"/>
        <v>-5.8945700640444876E-3</v>
      </c>
      <c r="I621" s="3"/>
    </row>
    <row r="622" spans="1:9" x14ac:dyDescent="0.3">
      <c r="A622" s="2">
        <v>43237</v>
      </c>
      <c r="B622" s="1">
        <v>46.747500000000002</v>
      </c>
      <c r="C622" s="1">
        <v>1581.76</v>
      </c>
      <c r="D622" s="1">
        <v>183.76</v>
      </c>
      <c r="E622" s="3"/>
      <c r="F622" s="20">
        <f t="shared" si="30"/>
        <v>-6.3438120897507128E-3</v>
      </c>
      <c r="G622" s="20">
        <f t="shared" si="31"/>
        <v>-3.483708367620388E-3</v>
      </c>
      <c r="H622" s="20">
        <f t="shared" si="32"/>
        <v>3.0521061408129366E-3</v>
      </c>
      <c r="I622" s="3"/>
    </row>
    <row r="623" spans="1:9" x14ac:dyDescent="0.3">
      <c r="A623" s="2">
        <v>43236</v>
      </c>
      <c r="B623" s="1">
        <v>47.045000000000002</v>
      </c>
      <c r="C623" s="1">
        <v>1587.28</v>
      </c>
      <c r="D623" s="1">
        <v>183.2</v>
      </c>
      <c r="E623" s="3"/>
      <c r="F623" s="20">
        <f t="shared" si="30"/>
        <v>9.2894800740795213E-3</v>
      </c>
      <c r="G623" s="20">
        <f t="shared" si="31"/>
        <v>7.0557288350758052E-3</v>
      </c>
      <c r="H623" s="20">
        <f t="shared" si="32"/>
        <v>-6.0949252674965875E-3</v>
      </c>
      <c r="I623" s="3"/>
    </row>
    <row r="624" spans="1:9" x14ac:dyDescent="0.3">
      <c r="A624" s="2">
        <v>43235</v>
      </c>
      <c r="B624" s="1">
        <v>46.61</v>
      </c>
      <c r="C624" s="1">
        <v>1576.12</v>
      </c>
      <c r="D624" s="1">
        <v>184.32</v>
      </c>
      <c r="E624" s="3"/>
      <c r="F624" s="20">
        <f t="shared" si="30"/>
        <v>-9.1300455349060949E-3</v>
      </c>
      <c r="G624" s="20">
        <f t="shared" si="31"/>
        <v>-1.599953567061611E-2</v>
      </c>
      <c r="H624" s="20">
        <f t="shared" si="32"/>
        <v>-1.2508250205648105E-2</v>
      </c>
      <c r="I624" s="3"/>
    </row>
    <row r="625" spans="1:9" x14ac:dyDescent="0.3">
      <c r="A625" s="2">
        <v>43234</v>
      </c>
      <c r="B625" s="1">
        <v>47.037500000000001</v>
      </c>
      <c r="C625" s="1">
        <v>1601.54</v>
      </c>
      <c r="D625" s="1">
        <v>186.64</v>
      </c>
      <c r="E625" s="3"/>
      <c r="F625" s="20">
        <f t="shared" si="30"/>
        <v>-2.3358294848274748E-3</v>
      </c>
      <c r="G625" s="20">
        <f t="shared" si="31"/>
        <v>-8.5506098298972005E-4</v>
      </c>
      <c r="H625" s="20">
        <f t="shared" si="32"/>
        <v>-1.873511775694534E-3</v>
      </c>
      <c r="I625" s="3"/>
    </row>
    <row r="626" spans="1:9" x14ac:dyDescent="0.3">
      <c r="A626" s="2">
        <v>43231</v>
      </c>
      <c r="B626" s="1">
        <v>47.147500000000001</v>
      </c>
      <c r="C626" s="1">
        <v>1602.91</v>
      </c>
      <c r="D626" s="1">
        <v>186.99</v>
      </c>
      <c r="E626" s="3"/>
      <c r="F626" s="20">
        <f t="shared" si="30"/>
        <v>-7.6592297944467333E-3</v>
      </c>
      <c r="G626" s="20">
        <f t="shared" si="31"/>
        <v>-3.841859774806024E-3</v>
      </c>
      <c r="H626" s="20">
        <f t="shared" si="32"/>
        <v>7.8385454500825447E-3</v>
      </c>
      <c r="I626" s="3"/>
    </row>
    <row r="627" spans="1:9" x14ac:dyDescent="0.3">
      <c r="A627" s="2">
        <v>43230</v>
      </c>
      <c r="B627" s="1">
        <v>47.51</v>
      </c>
      <c r="C627" s="1">
        <v>1609.08</v>
      </c>
      <c r="D627" s="1">
        <v>185.53</v>
      </c>
      <c r="E627" s="3"/>
      <c r="F627" s="20">
        <f t="shared" si="30"/>
        <v>1.4202676469313212E-2</v>
      </c>
      <c r="G627" s="20">
        <f t="shared" si="31"/>
        <v>6.714163406393971E-4</v>
      </c>
      <c r="H627" s="20">
        <f t="shared" si="32"/>
        <v>1.5590092775253564E-2</v>
      </c>
      <c r="I627" s="3"/>
    </row>
    <row r="628" spans="1:9" x14ac:dyDescent="0.3">
      <c r="A628" s="2">
        <v>43229</v>
      </c>
      <c r="B628" s="1">
        <v>46.84</v>
      </c>
      <c r="C628" s="1">
        <v>1608</v>
      </c>
      <c r="D628" s="1">
        <v>182.66</v>
      </c>
      <c r="E628" s="3"/>
      <c r="F628" s="20">
        <f t="shared" si="30"/>
        <v>7.0164450567757617E-3</v>
      </c>
      <c r="G628" s="20">
        <f t="shared" si="31"/>
        <v>9.7551384616563711E-3</v>
      </c>
      <c r="H628" s="20">
        <f t="shared" si="32"/>
        <v>2.0687722698885552E-2</v>
      </c>
      <c r="I628" s="3"/>
    </row>
    <row r="629" spans="1:9" x14ac:dyDescent="0.3">
      <c r="A629" s="2">
        <v>43228</v>
      </c>
      <c r="B629" s="1">
        <v>46.512500000000003</v>
      </c>
      <c r="C629" s="1">
        <v>1592.39</v>
      </c>
      <c r="D629" s="1">
        <v>178.92</v>
      </c>
      <c r="E629" s="3"/>
      <c r="F629" s="20">
        <f t="shared" si="30"/>
        <v>4.7951386295617075E-3</v>
      </c>
      <c r="G629" s="20">
        <f t="shared" si="31"/>
        <v>-4.8550931227155682E-3</v>
      </c>
      <c r="H629" s="20">
        <f t="shared" si="32"/>
        <v>5.323781802753105E-3</v>
      </c>
      <c r="I629" s="3"/>
    </row>
    <row r="630" spans="1:9" x14ac:dyDescent="0.3">
      <c r="A630" s="2">
        <v>43227</v>
      </c>
      <c r="B630" s="1">
        <v>46.29</v>
      </c>
      <c r="C630" s="1">
        <v>1600.14</v>
      </c>
      <c r="D630" s="1">
        <v>177.97</v>
      </c>
      <c r="E630" s="3"/>
      <c r="F630" s="20">
        <f t="shared" si="30"/>
        <v>7.2088986682893675E-3</v>
      </c>
      <c r="G630" s="20">
        <f t="shared" si="31"/>
        <v>1.2065193244044451E-2</v>
      </c>
      <c r="H630" s="20">
        <f t="shared" si="32"/>
        <v>7.6710850536144048E-3</v>
      </c>
      <c r="I630" s="3"/>
    </row>
    <row r="631" spans="1:9" x14ac:dyDescent="0.3">
      <c r="A631" s="2">
        <v>43224</v>
      </c>
      <c r="B631" s="1">
        <v>45.957500000000003</v>
      </c>
      <c r="C631" s="1">
        <v>1580.95</v>
      </c>
      <c r="D631" s="1">
        <v>176.61</v>
      </c>
      <c r="E631" s="3"/>
      <c r="F631" s="20">
        <f t="shared" si="30"/>
        <v>3.8483347039364256E-2</v>
      </c>
      <c r="G631" s="20">
        <f t="shared" si="31"/>
        <v>5.6295293811927955E-3</v>
      </c>
      <c r="H631" s="20">
        <f t="shared" si="32"/>
        <v>1.4773676570401238E-2</v>
      </c>
      <c r="I631" s="3"/>
    </row>
    <row r="632" spans="1:9" x14ac:dyDescent="0.3">
      <c r="A632" s="2">
        <v>43223</v>
      </c>
      <c r="B632" s="1">
        <v>44.222499999999997</v>
      </c>
      <c r="C632" s="1">
        <v>1572.075</v>
      </c>
      <c r="D632" s="1">
        <v>174.02</v>
      </c>
      <c r="E632" s="3"/>
      <c r="F632" s="20">
        <f t="shared" si="30"/>
        <v>1.8106721407092951E-3</v>
      </c>
      <c r="G632" s="20">
        <f t="shared" si="31"/>
        <v>1.5246258628876185E-3</v>
      </c>
      <c r="H632" s="20">
        <f t="shared" si="32"/>
        <v>-1.1711408100474356E-2</v>
      </c>
      <c r="I632" s="3"/>
    </row>
    <row r="633" spans="1:9" x14ac:dyDescent="0.3">
      <c r="A633" s="2">
        <v>43222</v>
      </c>
      <c r="B633" s="1">
        <v>44.142499999999998</v>
      </c>
      <c r="C633" s="1">
        <v>1569.68</v>
      </c>
      <c r="D633" s="1">
        <v>176.07</v>
      </c>
      <c r="E633" s="3"/>
      <c r="F633" s="20">
        <f t="shared" si="30"/>
        <v>4.3227142410172288E-2</v>
      </c>
      <c r="G633" s="20">
        <f t="shared" si="31"/>
        <v>-7.9824278373587538E-3</v>
      </c>
      <c r="H633" s="20">
        <f t="shared" si="32"/>
        <v>1.2631265587434526E-2</v>
      </c>
      <c r="I633" s="3"/>
    </row>
    <row r="634" spans="1:9" x14ac:dyDescent="0.3">
      <c r="A634" s="2">
        <v>43221</v>
      </c>
      <c r="B634" s="1">
        <v>42.274999999999999</v>
      </c>
      <c r="C634" s="1">
        <v>1582.26</v>
      </c>
      <c r="D634" s="1">
        <v>173.86</v>
      </c>
      <c r="E634" s="3"/>
      <c r="F634" s="20">
        <f t="shared" si="30"/>
        <v>2.297026463149638E-2</v>
      </c>
      <c r="G634" s="20">
        <f t="shared" si="31"/>
        <v>1.0246596595400613E-2</v>
      </c>
      <c r="H634" s="20">
        <f t="shared" si="32"/>
        <v>1.0755900837465356E-2</v>
      </c>
      <c r="I634" s="3"/>
    </row>
    <row r="635" spans="1:9" x14ac:dyDescent="0.3">
      <c r="A635" s="2">
        <v>43220</v>
      </c>
      <c r="B635" s="1">
        <v>41.314999999999998</v>
      </c>
      <c r="C635" s="1">
        <v>1566.13</v>
      </c>
      <c r="D635" s="1">
        <v>172</v>
      </c>
      <c r="E635" s="3"/>
      <c r="F635" s="20">
        <f t="shared" si="30"/>
        <v>1.7950295755478976E-2</v>
      </c>
      <c r="G635" s="20">
        <f t="shared" si="31"/>
        <v>-4.1354101149321185E-3</v>
      </c>
      <c r="H635" s="20">
        <f t="shared" si="32"/>
        <v>-9.2017200670047733E-3</v>
      </c>
      <c r="I635" s="3"/>
    </row>
    <row r="636" spans="1:9" x14ac:dyDescent="0.3">
      <c r="A636" s="2">
        <v>43217</v>
      </c>
      <c r="B636" s="1">
        <v>40.58</v>
      </c>
      <c r="C636" s="1">
        <v>1572.62</v>
      </c>
      <c r="D636" s="1">
        <v>173.59</v>
      </c>
      <c r="E636" s="3"/>
      <c r="F636" s="20">
        <f t="shared" si="30"/>
        <v>-1.1637296763083452E-2</v>
      </c>
      <c r="G636" s="20">
        <f t="shared" si="31"/>
        <v>3.5375690121473721E-2</v>
      </c>
      <c r="H636" s="20">
        <f t="shared" si="32"/>
        <v>-3.2782200458341534E-3</v>
      </c>
      <c r="I636" s="3"/>
    </row>
    <row r="637" spans="1:9" x14ac:dyDescent="0.3">
      <c r="A637" s="2">
        <v>43216</v>
      </c>
      <c r="B637" s="1">
        <v>41.055</v>
      </c>
      <c r="C637" s="1">
        <v>1517.96</v>
      </c>
      <c r="D637" s="1">
        <v>174.16</v>
      </c>
      <c r="E637" s="3"/>
      <c r="F637" s="20">
        <f t="shared" si="30"/>
        <v>3.476991333453069E-3</v>
      </c>
      <c r="G637" s="20">
        <f t="shared" si="31"/>
        <v>3.8814460867135435E-2</v>
      </c>
      <c r="H637" s="20">
        <f t="shared" si="32"/>
        <v>8.673998107351627E-2</v>
      </c>
      <c r="I637" s="3"/>
    </row>
    <row r="638" spans="1:9" x14ac:dyDescent="0.3">
      <c r="A638" s="2">
        <v>43215</v>
      </c>
      <c r="B638" s="1">
        <v>40.912500000000001</v>
      </c>
      <c r="C638" s="1">
        <v>1460.17</v>
      </c>
      <c r="D638" s="1">
        <v>159.69</v>
      </c>
      <c r="E638" s="3"/>
      <c r="F638" s="20">
        <f t="shared" si="30"/>
        <v>4.3479660646938674E-3</v>
      </c>
      <c r="G638" s="20">
        <f t="shared" si="31"/>
        <v>5.4789642031917987E-5</v>
      </c>
      <c r="H638" s="20">
        <f t="shared" si="32"/>
        <v>0</v>
      </c>
      <c r="I638" s="3"/>
    </row>
    <row r="639" spans="1:9" x14ac:dyDescent="0.3">
      <c r="A639" s="2">
        <v>43214</v>
      </c>
      <c r="B639" s="1">
        <v>40.734999999999999</v>
      </c>
      <c r="C639" s="1">
        <v>1460.09</v>
      </c>
      <c r="D639" s="1">
        <v>159.69</v>
      </c>
      <c r="E639" s="3"/>
      <c r="F639" s="20">
        <f t="shared" si="30"/>
        <v>-1.401692764606813E-2</v>
      </c>
      <c r="G639" s="20">
        <f t="shared" si="31"/>
        <v>-3.8803370450378356E-2</v>
      </c>
      <c r="H639" s="20">
        <f t="shared" si="32"/>
        <v>-3.7789032274748523E-2</v>
      </c>
      <c r="I639" s="3"/>
    </row>
    <row r="640" spans="1:9" x14ac:dyDescent="0.3">
      <c r="A640" s="2">
        <v>43213</v>
      </c>
      <c r="B640" s="1">
        <v>41.31</v>
      </c>
      <c r="C640" s="1">
        <v>1517.86</v>
      </c>
      <c r="D640" s="1">
        <v>165.84</v>
      </c>
      <c r="E640" s="3"/>
      <c r="F640" s="20">
        <f t="shared" si="30"/>
        <v>-2.9006546806372331E-3</v>
      </c>
      <c r="G640" s="20">
        <f t="shared" si="31"/>
        <v>-6.3244172910027988E-3</v>
      </c>
      <c r="H640" s="20">
        <f t="shared" si="32"/>
        <v>-2.6496462569125826E-3</v>
      </c>
      <c r="I640" s="3"/>
    </row>
    <row r="641" spans="1:9" x14ac:dyDescent="0.3">
      <c r="A641" s="2">
        <v>43210</v>
      </c>
      <c r="B641" s="1">
        <v>41.43</v>
      </c>
      <c r="C641" s="1">
        <v>1527.49</v>
      </c>
      <c r="D641" s="1">
        <v>166.28</v>
      </c>
      <c r="E641" s="3"/>
      <c r="F641" s="20">
        <f t="shared" si="30"/>
        <v>-4.1835239160754267E-2</v>
      </c>
      <c r="G641" s="20">
        <f t="shared" si="31"/>
        <v>-1.9077222315628885E-2</v>
      </c>
      <c r="H641" s="20">
        <f t="shared" si="32"/>
        <v>-1.088592603013314E-2</v>
      </c>
      <c r="I641" s="3"/>
    </row>
    <row r="642" spans="1:9" x14ac:dyDescent="0.3">
      <c r="A642" s="2">
        <v>43209</v>
      </c>
      <c r="B642" s="1">
        <v>43.2</v>
      </c>
      <c r="C642" s="1">
        <v>1556.91</v>
      </c>
      <c r="D642" s="1">
        <v>168.1</v>
      </c>
      <c r="E642" s="3"/>
      <c r="F642" s="20">
        <f t="shared" si="30"/>
        <v>-2.8749413285985823E-2</v>
      </c>
      <c r="G642" s="20">
        <f t="shared" si="31"/>
        <v>1.8848114493213153E-2</v>
      </c>
      <c r="H642" s="20">
        <f t="shared" si="32"/>
        <v>1.0404925539858945E-2</v>
      </c>
      <c r="I642" s="3"/>
    </row>
    <row r="643" spans="1:9" x14ac:dyDescent="0.3">
      <c r="A643" s="2">
        <v>43208</v>
      </c>
      <c r="B643" s="1">
        <v>44.46</v>
      </c>
      <c r="C643" s="1">
        <v>1527.84</v>
      </c>
      <c r="D643" s="1">
        <v>166.36</v>
      </c>
      <c r="E643" s="3"/>
      <c r="F643" s="20">
        <f t="shared" si="30"/>
        <v>-2.2466870829780982E-3</v>
      </c>
      <c r="G643" s="20">
        <f t="shared" si="31"/>
        <v>1.5839785995589231E-2</v>
      </c>
      <c r="H643" s="20">
        <f t="shared" si="32"/>
        <v>-1.3730739271784522E-2</v>
      </c>
      <c r="I643" s="3"/>
    </row>
    <row r="644" spans="1:9" x14ac:dyDescent="0.3">
      <c r="A644" s="2">
        <v>43207</v>
      </c>
      <c r="B644" s="1">
        <v>44.56</v>
      </c>
      <c r="C644" s="1">
        <v>1503.83</v>
      </c>
      <c r="D644" s="1">
        <v>168.66</v>
      </c>
      <c r="E644" s="3"/>
      <c r="F644" s="20">
        <f t="shared" si="30"/>
        <v>1.3670212315886717E-2</v>
      </c>
      <c r="G644" s="20">
        <f t="shared" si="31"/>
        <v>4.2330949127846233E-2</v>
      </c>
      <c r="H644" s="20">
        <f t="shared" si="32"/>
        <v>2.2970214403230778E-2</v>
      </c>
      <c r="I644" s="3"/>
    </row>
    <row r="645" spans="1:9" x14ac:dyDescent="0.3">
      <c r="A645" s="2">
        <v>43206</v>
      </c>
      <c r="B645" s="1">
        <v>43.954999999999998</v>
      </c>
      <c r="C645" s="1">
        <v>1441.5</v>
      </c>
      <c r="D645" s="1">
        <v>164.83</v>
      </c>
      <c r="E645" s="3"/>
      <c r="F645" s="20">
        <f t="shared" si="30"/>
        <v>6.2188190720854526E-3</v>
      </c>
      <c r="G645" s="20">
        <f t="shared" si="31"/>
        <v>7.4574988150268324E-3</v>
      </c>
      <c r="H645" s="20">
        <f t="shared" si="32"/>
        <v>1.8824963810412639E-3</v>
      </c>
      <c r="I645" s="3"/>
    </row>
    <row r="646" spans="1:9" x14ac:dyDescent="0.3">
      <c r="A646" s="2">
        <v>43203</v>
      </c>
      <c r="B646" s="1">
        <v>43.682499999999997</v>
      </c>
      <c r="C646" s="1">
        <v>1430.79</v>
      </c>
      <c r="D646" s="1">
        <v>164.52</v>
      </c>
      <c r="E646" s="3"/>
      <c r="F646" s="20">
        <f t="shared" ref="F646:F709" si="33">LN(B646/B647)</f>
        <v>3.3823519504774724E-3</v>
      </c>
      <c r="G646" s="20">
        <f t="shared" ref="G646:G709" si="34">LN(C646/C647)</f>
        <v>-1.230179894597494E-2</v>
      </c>
      <c r="H646" s="20">
        <f t="shared" ref="H646:H709" si="35">LN(D646/D647)</f>
        <v>3.9587128040905568E-3</v>
      </c>
      <c r="I646" s="3"/>
    </row>
    <row r="647" spans="1:9" x14ac:dyDescent="0.3">
      <c r="A647" s="2">
        <v>43202</v>
      </c>
      <c r="B647" s="1">
        <v>43.534999999999997</v>
      </c>
      <c r="C647" s="1">
        <v>1448.5</v>
      </c>
      <c r="D647" s="1">
        <v>163.87</v>
      </c>
      <c r="E647" s="3"/>
      <c r="F647" s="20">
        <f t="shared" si="33"/>
        <v>9.8102235215356392E-3</v>
      </c>
      <c r="G647" s="20">
        <f t="shared" si="34"/>
        <v>1.4919161804007526E-2</v>
      </c>
      <c r="H647" s="20">
        <f t="shared" si="35"/>
        <v>-1.4840212991624755E-2</v>
      </c>
      <c r="I647" s="3"/>
    </row>
    <row r="648" spans="1:9" x14ac:dyDescent="0.3">
      <c r="A648" s="2">
        <v>43201</v>
      </c>
      <c r="B648" s="1">
        <v>43.11</v>
      </c>
      <c r="C648" s="1">
        <v>1427.05</v>
      </c>
      <c r="D648" s="1">
        <v>166.32</v>
      </c>
      <c r="E648" s="3"/>
      <c r="F648" s="20">
        <f t="shared" si="33"/>
        <v>-4.6862881910787902E-3</v>
      </c>
      <c r="G648" s="20">
        <f t="shared" si="34"/>
        <v>-6.4052858109566934E-3</v>
      </c>
      <c r="H648" s="20">
        <f t="shared" si="35"/>
        <v>7.725774786761141E-3</v>
      </c>
      <c r="I648" s="3"/>
    </row>
    <row r="649" spans="1:9" x14ac:dyDescent="0.3">
      <c r="A649" s="2">
        <v>43200</v>
      </c>
      <c r="B649" s="1">
        <v>43.3125</v>
      </c>
      <c r="C649" s="1">
        <v>1436.22</v>
      </c>
      <c r="D649" s="1">
        <v>165.04</v>
      </c>
      <c r="E649" s="3"/>
      <c r="F649" s="20">
        <f t="shared" si="33"/>
        <v>1.8643126616808108E-2</v>
      </c>
      <c r="G649" s="20">
        <f t="shared" si="34"/>
        <v>2.1208971460163664E-2</v>
      </c>
      <c r="H649" s="20">
        <f t="shared" si="35"/>
        <v>4.4035971881033031E-2</v>
      </c>
      <c r="I649" s="3"/>
    </row>
    <row r="650" spans="1:9" x14ac:dyDescent="0.3">
      <c r="A650" s="2">
        <v>43199</v>
      </c>
      <c r="B650" s="1">
        <v>42.512500000000003</v>
      </c>
      <c r="C650" s="1">
        <v>1406.08</v>
      </c>
      <c r="D650" s="1">
        <v>157.93</v>
      </c>
      <c r="E650" s="3"/>
      <c r="F650" s="20">
        <f t="shared" si="33"/>
        <v>9.8691815436866837E-3</v>
      </c>
      <c r="G650" s="20">
        <f t="shared" si="34"/>
        <v>6.0470031828655662E-4</v>
      </c>
      <c r="H650" s="20">
        <f t="shared" si="35"/>
        <v>4.633016886857232E-3</v>
      </c>
      <c r="I650" s="3"/>
    </row>
    <row r="651" spans="1:9" x14ac:dyDescent="0.3">
      <c r="A651" s="2">
        <v>43196</v>
      </c>
      <c r="B651" s="1">
        <v>42.094999999999999</v>
      </c>
      <c r="C651" s="1">
        <v>1405.23</v>
      </c>
      <c r="D651" s="1">
        <v>157.19999999999999</v>
      </c>
      <c r="E651" s="3"/>
      <c r="F651" s="20">
        <f t="shared" si="33"/>
        <v>-2.5911526460437356E-2</v>
      </c>
      <c r="G651" s="20">
        <f t="shared" si="34"/>
        <v>-3.256873481425511E-2</v>
      </c>
      <c r="H651" s="20">
        <f t="shared" si="35"/>
        <v>-1.3521403957113865E-2</v>
      </c>
      <c r="I651" s="3"/>
    </row>
    <row r="652" spans="1:9" x14ac:dyDescent="0.3">
      <c r="A652" s="2">
        <v>43195</v>
      </c>
      <c r="B652" s="1">
        <v>43.2</v>
      </c>
      <c r="C652" s="1">
        <v>1451.75</v>
      </c>
      <c r="D652" s="1">
        <v>159.34</v>
      </c>
      <c r="E652" s="3"/>
      <c r="F652" s="20">
        <f t="shared" si="33"/>
        <v>6.9103959557435101E-3</v>
      </c>
      <c r="G652" s="20">
        <f t="shared" si="34"/>
        <v>2.8775847249963116E-2</v>
      </c>
      <c r="H652" s="20">
        <f t="shared" si="35"/>
        <v>2.6970213769726806E-2</v>
      </c>
      <c r="I652" s="3"/>
    </row>
    <row r="653" spans="1:9" x14ac:dyDescent="0.3">
      <c r="A653" s="2">
        <v>43194</v>
      </c>
      <c r="B653" s="1">
        <v>42.902500000000003</v>
      </c>
      <c r="C653" s="1">
        <v>1410.57</v>
      </c>
      <c r="D653" s="1">
        <v>155.1</v>
      </c>
      <c r="E653" s="3"/>
      <c r="F653" s="20">
        <f t="shared" si="33"/>
        <v>1.8941742791994311E-2</v>
      </c>
      <c r="G653" s="20">
        <f t="shared" si="34"/>
        <v>1.3216397212692502E-2</v>
      </c>
      <c r="H653" s="20">
        <f t="shared" si="35"/>
        <v>-6.4908167860822253E-3</v>
      </c>
      <c r="I653" s="3"/>
    </row>
    <row r="654" spans="1:9" x14ac:dyDescent="0.3">
      <c r="A654" s="2">
        <v>43193</v>
      </c>
      <c r="B654" s="1">
        <v>42.097499999999997</v>
      </c>
      <c r="C654" s="1">
        <v>1392.05</v>
      </c>
      <c r="D654" s="1">
        <v>156.11000000000001</v>
      </c>
      <c r="E654" s="3"/>
      <c r="F654" s="20">
        <f t="shared" si="33"/>
        <v>1.0206911067964735E-2</v>
      </c>
      <c r="G654" s="20">
        <f t="shared" si="34"/>
        <v>1.4515240159972919E-2</v>
      </c>
      <c r="H654" s="20">
        <f t="shared" si="35"/>
        <v>4.6228011699327486E-3</v>
      </c>
      <c r="I654" s="3"/>
    </row>
    <row r="655" spans="1:9" x14ac:dyDescent="0.3">
      <c r="A655" s="2">
        <v>43192</v>
      </c>
      <c r="B655" s="1">
        <v>41.67</v>
      </c>
      <c r="C655" s="1">
        <v>1371.99</v>
      </c>
      <c r="D655" s="1">
        <v>155.38999999999999</v>
      </c>
      <c r="E655" s="3"/>
      <c r="F655" s="20">
        <f t="shared" si="33"/>
        <v>-6.577790863895836E-3</v>
      </c>
      <c r="G655" s="20">
        <f t="shared" si="34"/>
        <v>-5.3465148302259104E-2</v>
      </c>
      <c r="H655" s="20">
        <f t="shared" si="35"/>
        <v>-2.7922367352654437E-2</v>
      </c>
      <c r="I655" s="3"/>
    </row>
    <row r="656" spans="1:9" x14ac:dyDescent="0.3">
      <c r="A656" s="2">
        <v>43189</v>
      </c>
      <c r="B656" s="1">
        <v>41.945</v>
      </c>
      <c r="C656" s="1">
        <v>1447.34</v>
      </c>
      <c r="D656" s="1">
        <v>159.79</v>
      </c>
      <c r="E656" s="3"/>
      <c r="F656" s="20">
        <f t="shared" si="33"/>
        <v>0</v>
      </c>
      <c r="G656" s="20">
        <f t="shared" si="34"/>
        <v>0</v>
      </c>
      <c r="H656" s="20">
        <f t="shared" si="35"/>
        <v>0</v>
      </c>
      <c r="I656" s="3"/>
    </row>
    <row r="657" spans="1:9" x14ac:dyDescent="0.3">
      <c r="A657" s="2">
        <v>43188</v>
      </c>
      <c r="B657" s="1">
        <v>41.945</v>
      </c>
      <c r="C657" s="1">
        <v>1447.34</v>
      </c>
      <c r="D657" s="1">
        <v>159.79</v>
      </c>
      <c r="E657" s="3"/>
      <c r="F657" s="20">
        <f t="shared" si="33"/>
        <v>7.7784153327697184E-3</v>
      </c>
      <c r="G657" s="20">
        <f t="shared" si="34"/>
        <v>1.1060430390127796E-2</v>
      </c>
      <c r="H657" s="20">
        <f t="shared" si="35"/>
        <v>4.3226472548352143E-2</v>
      </c>
      <c r="I657" s="3"/>
    </row>
    <row r="658" spans="1:9" x14ac:dyDescent="0.3">
      <c r="A658" s="2">
        <v>43187</v>
      </c>
      <c r="B658" s="1">
        <v>41.62</v>
      </c>
      <c r="C658" s="1">
        <v>1431.42</v>
      </c>
      <c r="D658" s="1">
        <v>153.03</v>
      </c>
      <c r="E658" s="3"/>
      <c r="F658" s="20">
        <f t="shared" si="33"/>
        <v>-1.111056169805113E-2</v>
      </c>
      <c r="G658" s="20">
        <f t="shared" si="34"/>
        <v>-4.4829546453794646E-2</v>
      </c>
      <c r="H658" s="20">
        <f t="shared" si="35"/>
        <v>5.3071377636993051E-3</v>
      </c>
      <c r="I658" s="3"/>
    </row>
    <row r="659" spans="1:9" x14ac:dyDescent="0.3">
      <c r="A659" s="2">
        <v>43186</v>
      </c>
      <c r="B659" s="1">
        <v>42.085000000000001</v>
      </c>
      <c r="C659" s="1">
        <v>1497.05</v>
      </c>
      <c r="D659" s="1">
        <v>152.22</v>
      </c>
      <c r="E659" s="3"/>
      <c r="F659" s="20">
        <f t="shared" si="33"/>
        <v>-2.5975486403260677E-2</v>
      </c>
      <c r="G659" s="20">
        <f t="shared" si="34"/>
        <v>-3.8531942401891409E-2</v>
      </c>
      <c r="H659" s="20">
        <f t="shared" si="35"/>
        <v>-5.0221902099654672E-2</v>
      </c>
      <c r="I659" s="3"/>
    </row>
    <row r="660" spans="1:9" x14ac:dyDescent="0.3">
      <c r="A660" s="2">
        <v>43185</v>
      </c>
      <c r="B660" s="1">
        <v>43.192500000000003</v>
      </c>
      <c r="C660" s="1">
        <v>1555.86</v>
      </c>
      <c r="D660" s="1">
        <v>160.06</v>
      </c>
      <c r="E660" s="3"/>
      <c r="F660" s="20">
        <f t="shared" si="33"/>
        <v>4.6379458781481517E-2</v>
      </c>
      <c r="G660" s="20">
        <f t="shared" si="34"/>
        <v>3.9527728771062469E-2</v>
      </c>
      <c r="H660" s="20">
        <f t="shared" si="35"/>
        <v>4.1947158079386655E-3</v>
      </c>
      <c r="I660" s="3"/>
    </row>
    <row r="661" spans="1:9" x14ac:dyDescent="0.3">
      <c r="A661" s="2">
        <v>43182</v>
      </c>
      <c r="B661" s="1">
        <v>41.234999999999999</v>
      </c>
      <c r="C661" s="1">
        <v>1495.56</v>
      </c>
      <c r="D661" s="1">
        <v>159.38999999999999</v>
      </c>
      <c r="E661" s="3"/>
      <c r="F661" s="20">
        <f t="shared" si="33"/>
        <v>-2.342897542636729E-2</v>
      </c>
      <c r="G661" s="20">
        <f t="shared" si="34"/>
        <v>-3.247141042965794E-2</v>
      </c>
      <c r="H661" s="20">
        <f t="shared" si="35"/>
        <v>-3.3924555781915319E-2</v>
      </c>
      <c r="I661" s="3"/>
    </row>
    <row r="662" spans="1:9" x14ac:dyDescent="0.3">
      <c r="A662" s="2">
        <v>43181</v>
      </c>
      <c r="B662" s="1">
        <v>42.212499999999999</v>
      </c>
      <c r="C662" s="1">
        <v>1544.92</v>
      </c>
      <c r="D662" s="1">
        <v>164.89</v>
      </c>
      <c r="E662" s="3"/>
      <c r="F662" s="20">
        <f t="shared" si="33"/>
        <v>-1.4230511812700894E-2</v>
      </c>
      <c r="G662" s="20">
        <f t="shared" si="34"/>
        <v>-2.3629240780469761E-2</v>
      </c>
      <c r="H662" s="20">
        <f t="shared" si="35"/>
        <v>-2.6925163685413624E-2</v>
      </c>
      <c r="I662" s="3"/>
    </row>
    <row r="663" spans="1:9" x14ac:dyDescent="0.3">
      <c r="A663" s="2">
        <v>43180</v>
      </c>
      <c r="B663" s="1">
        <v>42.817500000000003</v>
      </c>
      <c r="C663" s="1">
        <v>1581.86</v>
      </c>
      <c r="D663" s="1">
        <v>169.39</v>
      </c>
      <c r="E663" s="3"/>
      <c r="F663" s="20">
        <f t="shared" si="33"/>
        <v>-2.2915204301420231E-2</v>
      </c>
      <c r="G663" s="20">
        <f t="shared" si="34"/>
        <v>-2.9352653500792887E-3</v>
      </c>
      <c r="H663" s="20">
        <f t="shared" si="35"/>
        <v>7.3473104120118701E-3</v>
      </c>
      <c r="I663" s="3"/>
    </row>
    <row r="664" spans="1:9" x14ac:dyDescent="0.3">
      <c r="A664" s="2">
        <v>43179</v>
      </c>
      <c r="B664" s="1">
        <v>43.81</v>
      </c>
      <c r="C664" s="1">
        <v>1586.51</v>
      </c>
      <c r="D664" s="1">
        <v>168.15</v>
      </c>
      <c r="E664" s="3"/>
      <c r="F664" s="20">
        <f t="shared" si="33"/>
        <v>-3.4232898149116111E-4</v>
      </c>
      <c r="G664" s="20">
        <f t="shared" si="34"/>
        <v>2.6558033324425717E-2</v>
      </c>
      <c r="H664" s="20">
        <f t="shared" si="35"/>
        <v>-2.5888563894622307E-2</v>
      </c>
      <c r="I664" s="3"/>
    </row>
    <row r="665" spans="1:9" x14ac:dyDescent="0.3">
      <c r="A665" s="2">
        <v>43178</v>
      </c>
      <c r="B665" s="1">
        <v>43.825000000000003</v>
      </c>
      <c r="C665" s="1">
        <v>1544.93</v>
      </c>
      <c r="D665" s="1">
        <v>172.56</v>
      </c>
      <c r="E665" s="3"/>
      <c r="F665" s="20">
        <f t="shared" si="33"/>
        <v>-1.5397111603596634E-2</v>
      </c>
      <c r="G665" s="20">
        <f t="shared" si="34"/>
        <v>-1.7166509064492505E-2</v>
      </c>
      <c r="H665" s="20">
        <f t="shared" si="35"/>
        <v>-7.0097191187724395E-2</v>
      </c>
      <c r="I665" s="3"/>
    </row>
    <row r="666" spans="1:9" x14ac:dyDescent="0.3">
      <c r="A666" s="2">
        <v>43175</v>
      </c>
      <c r="B666" s="1">
        <v>44.505000000000003</v>
      </c>
      <c r="C666" s="1">
        <v>1571.68</v>
      </c>
      <c r="D666" s="1">
        <v>185.09</v>
      </c>
      <c r="E666" s="3"/>
      <c r="F666" s="20">
        <f t="shared" si="33"/>
        <v>-3.5326809386333857E-3</v>
      </c>
      <c r="G666" s="20">
        <f t="shared" si="34"/>
        <v>-6.7470135465943762E-3</v>
      </c>
      <c r="H666" s="20">
        <f t="shared" si="35"/>
        <v>6.6675948330165834E-3</v>
      </c>
      <c r="I666" s="3"/>
    </row>
    <row r="667" spans="1:9" x14ac:dyDescent="0.3">
      <c r="A667" s="2">
        <v>43174</v>
      </c>
      <c r="B667" s="1">
        <v>44.662500000000001</v>
      </c>
      <c r="C667" s="1">
        <v>1582.32</v>
      </c>
      <c r="D667" s="1">
        <v>183.86</v>
      </c>
      <c r="E667" s="3"/>
      <c r="F667" s="20">
        <f t="shared" si="33"/>
        <v>1.1761742093547428E-3</v>
      </c>
      <c r="G667" s="20">
        <f t="shared" si="34"/>
        <v>-5.4706248646330244E-3</v>
      </c>
      <c r="H667" s="20">
        <f t="shared" si="35"/>
        <v>-1.7932350954028599E-3</v>
      </c>
      <c r="I667" s="3"/>
    </row>
    <row r="668" spans="1:9" x14ac:dyDescent="0.3">
      <c r="A668" s="2">
        <v>43173</v>
      </c>
      <c r="B668" s="1">
        <v>44.61</v>
      </c>
      <c r="C668" s="1">
        <v>1591</v>
      </c>
      <c r="D668" s="1">
        <v>184.19</v>
      </c>
      <c r="E668" s="3"/>
      <c r="F668" s="20">
        <f t="shared" si="33"/>
        <v>-8.5377600730474051E-3</v>
      </c>
      <c r="G668" s="20">
        <f t="shared" si="34"/>
        <v>1.7740428284014171E-3</v>
      </c>
      <c r="H668" s="20">
        <f t="shared" si="35"/>
        <v>1.2620704574201631E-2</v>
      </c>
      <c r="I668" s="3"/>
    </row>
    <row r="669" spans="1:9" x14ac:dyDescent="0.3">
      <c r="A669" s="2">
        <v>43172</v>
      </c>
      <c r="B669" s="1">
        <v>44.9925</v>
      </c>
      <c r="C669" s="1">
        <v>1588.18</v>
      </c>
      <c r="D669" s="1">
        <v>181.88</v>
      </c>
      <c r="E669" s="3"/>
      <c r="F669" s="20">
        <f t="shared" si="33"/>
        <v>-9.6768705580911381E-3</v>
      </c>
      <c r="G669" s="20">
        <f t="shared" si="34"/>
        <v>-6.408166109076836E-3</v>
      </c>
      <c r="H669" s="20">
        <f t="shared" si="35"/>
        <v>-1.5710556605594811E-2</v>
      </c>
      <c r="I669" s="3"/>
    </row>
    <row r="670" spans="1:9" x14ac:dyDescent="0.3">
      <c r="A670" s="2">
        <v>43171</v>
      </c>
      <c r="B670" s="1">
        <v>45.43</v>
      </c>
      <c r="C670" s="1">
        <v>1598.39</v>
      </c>
      <c r="D670" s="1">
        <v>184.76</v>
      </c>
      <c r="E670" s="3"/>
      <c r="F670" s="20">
        <f t="shared" si="33"/>
        <v>9.6213072854000967E-3</v>
      </c>
      <c r="G670" s="20">
        <f t="shared" si="34"/>
        <v>1.2274804134015284E-2</v>
      </c>
      <c r="H670" s="20">
        <f t="shared" si="35"/>
        <v>-2.5406105722269958E-3</v>
      </c>
      <c r="I670" s="3"/>
    </row>
    <row r="671" spans="1:9" x14ac:dyDescent="0.3">
      <c r="A671" s="2">
        <v>43168</v>
      </c>
      <c r="B671" s="1">
        <v>44.994999999999997</v>
      </c>
      <c r="C671" s="1">
        <v>1578.89</v>
      </c>
      <c r="D671" s="1">
        <v>185.23</v>
      </c>
      <c r="E671" s="3"/>
      <c r="F671" s="20">
        <f t="shared" si="33"/>
        <v>1.7035041550562589E-2</v>
      </c>
      <c r="G671" s="20">
        <f t="shared" si="34"/>
        <v>1.7267856995672817E-2</v>
      </c>
      <c r="H671" s="20">
        <f t="shared" si="35"/>
        <v>1.5725219977874981E-2</v>
      </c>
      <c r="I671" s="3"/>
    </row>
    <row r="672" spans="1:9" x14ac:dyDescent="0.3">
      <c r="A672" s="2">
        <v>43167</v>
      </c>
      <c r="B672" s="1">
        <v>44.234999999999999</v>
      </c>
      <c r="C672" s="1">
        <v>1551.86</v>
      </c>
      <c r="D672" s="1">
        <v>182.34</v>
      </c>
      <c r="E672" s="3"/>
      <c r="F672" s="20">
        <f t="shared" si="33"/>
        <v>1.0853304252495751E-2</v>
      </c>
      <c r="G672" s="20">
        <f t="shared" si="34"/>
        <v>4.4303011569285589E-3</v>
      </c>
      <c r="H672" s="20">
        <f t="shared" si="35"/>
        <v>-7.4853511640890855E-3</v>
      </c>
      <c r="I672" s="3"/>
    </row>
    <row r="673" spans="1:9" x14ac:dyDescent="0.3">
      <c r="A673" s="2">
        <v>43166</v>
      </c>
      <c r="B673" s="1">
        <v>43.7575</v>
      </c>
      <c r="C673" s="1">
        <v>1545</v>
      </c>
      <c r="D673" s="1">
        <v>183.71</v>
      </c>
      <c r="E673" s="3"/>
      <c r="F673" s="20">
        <f t="shared" si="33"/>
        <v>-9.3261978218448192E-3</v>
      </c>
      <c r="G673" s="20">
        <f t="shared" si="34"/>
        <v>4.7751368860325097E-3</v>
      </c>
      <c r="H673" s="20">
        <f t="shared" si="35"/>
        <v>2.1624546175592445E-2</v>
      </c>
      <c r="I673" s="3"/>
    </row>
    <row r="674" spans="1:9" x14ac:dyDescent="0.3">
      <c r="A674" s="2">
        <v>43165</v>
      </c>
      <c r="B674" s="1">
        <v>44.167499999999997</v>
      </c>
      <c r="C674" s="1">
        <v>1537.64</v>
      </c>
      <c r="D674" s="1">
        <v>179.78</v>
      </c>
      <c r="E674" s="3"/>
      <c r="F674" s="20">
        <f t="shared" si="33"/>
        <v>-8.4868035306926283E-4</v>
      </c>
      <c r="G674" s="20">
        <f t="shared" si="34"/>
        <v>9.1662544604355738E-3</v>
      </c>
      <c r="H674" s="20">
        <f t="shared" si="35"/>
        <v>-3.4427264832700348E-3</v>
      </c>
      <c r="I674" s="3"/>
    </row>
    <row r="675" spans="1:9" x14ac:dyDescent="0.3">
      <c r="A675" s="2">
        <v>43164</v>
      </c>
      <c r="B675" s="1">
        <v>44.204999999999998</v>
      </c>
      <c r="C675" s="1">
        <v>1523.61</v>
      </c>
      <c r="D675" s="1">
        <v>180.4</v>
      </c>
      <c r="E675" s="3"/>
      <c r="F675" s="20">
        <f t="shared" si="33"/>
        <v>3.4558003970191075E-3</v>
      </c>
      <c r="G675" s="20">
        <f t="shared" si="34"/>
        <v>1.5450758115755579E-2</v>
      </c>
      <c r="H675" s="20">
        <f t="shared" si="35"/>
        <v>2.1176075587867039E-2</v>
      </c>
      <c r="I675" s="3"/>
    </row>
    <row r="676" spans="1:9" x14ac:dyDescent="0.3">
      <c r="A676" s="2">
        <v>43161</v>
      </c>
      <c r="B676" s="1">
        <v>44.052500000000002</v>
      </c>
      <c r="C676" s="1">
        <v>1500.25</v>
      </c>
      <c r="D676" s="1">
        <v>176.62</v>
      </c>
      <c r="E676" s="3"/>
      <c r="F676" s="20">
        <f t="shared" si="33"/>
        <v>6.8904916571251255E-3</v>
      </c>
      <c r="G676" s="20">
        <f t="shared" si="34"/>
        <v>4.5428811802998839E-3</v>
      </c>
      <c r="H676" s="20">
        <f t="shared" si="35"/>
        <v>3.8575042161276959E-3</v>
      </c>
      <c r="I676" s="3"/>
    </row>
    <row r="677" spans="1:9" x14ac:dyDescent="0.3">
      <c r="A677" s="2">
        <v>43160</v>
      </c>
      <c r="B677" s="1">
        <v>43.75</v>
      </c>
      <c r="C677" s="1">
        <v>1493.45</v>
      </c>
      <c r="D677" s="1">
        <v>175.94</v>
      </c>
      <c r="E677" s="3"/>
      <c r="F677" s="20">
        <f t="shared" si="33"/>
        <v>-1.7671506529987557E-2</v>
      </c>
      <c r="G677" s="20">
        <f t="shared" si="34"/>
        <v>-1.26419728180118E-2</v>
      </c>
      <c r="H677" s="20">
        <f t="shared" si="35"/>
        <v>-1.3436661253084915E-2</v>
      </c>
      <c r="I677" s="3"/>
    </row>
    <row r="678" spans="1:9" x14ac:dyDescent="0.3">
      <c r="A678" s="2">
        <v>43159</v>
      </c>
      <c r="B678" s="1">
        <v>44.53</v>
      </c>
      <c r="C678" s="1">
        <v>1512.45</v>
      </c>
      <c r="D678" s="1">
        <v>178.32</v>
      </c>
      <c r="E678" s="3"/>
      <c r="F678" s="20">
        <f t="shared" si="33"/>
        <v>-1.5146843096745051E-3</v>
      </c>
      <c r="G678" s="20">
        <f t="shared" si="34"/>
        <v>3.1080236856756421E-4</v>
      </c>
      <c r="H678" s="20">
        <f t="shared" si="35"/>
        <v>-1.7455554663869572E-2</v>
      </c>
      <c r="I678" s="3"/>
    </row>
    <row r="679" spans="1:9" x14ac:dyDescent="0.3">
      <c r="A679" s="2">
        <v>43158</v>
      </c>
      <c r="B679" s="1">
        <v>44.597499999999997</v>
      </c>
      <c r="C679" s="1">
        <v>1511.98</v>
      </c>
      <c r="D679" s="1">
        <v>181.46</v>
      </c>
      <c r="E679" s="3"/>
      <c r="F679" s="20">
        <f t="shared" si="33"/>
        <v>-3.2460292661408183E-3</v>
      </c>
      <c r="G679" s="20">
        <f t="shared" si="34"/>
        <v>-6.5723572320724394E-3</v>
      </c>
      <c r="H679" s="20">
        <f t="shared" si="35"/>
        <v>-1.8942131355302337E-2</v>
      </c>
      <c r="I679" s="3"/>
    </row>
    <row r="680" spans="1:9" x14ac:dyDescent="0.3">
      <c r="A680" s="2">
        <v>43157</v>
      </c>
      <c r="B680" s="1">
        <v>44.7425</v>
      </c>
      <c r="C680" s="1">
        <v>1521.95</v>
      </c>
      <c r="D680" s="1">
        <v>184.93</v>
      </c>
      <c r="E680" s="3"/>
      <c r="F680" s="20">
        <f t="shared" si="33"/>
        <v>1.9579151123396435E-2</v>
      </c>
      <c r="G680" s="20">
        <f t="shared" si="34"/>
        <v>1.4527299280537431E-2</v>
      </c>
      <c r="H680" s="20">
        <f t="shared" si="35"/>
        <v>8.9077771130287014E-3</v>
      </c>
      <c r="I680" s="3"/>
    </row>
    <row r="681" spans="1:9" x14ac:dyDescent="0.3">
      <c r="A681" s="2">
        <v>43154</v>
      </c>
      <c r="B681" s="1">
        <v>43.875</v>
      </c>
      <c r="C681" s="1">
        <v>1500</v>
      </c>
      <c r="D681" s="1">
        <v>183.29</v>
      </c>
      <c r="E681" s="3"/>
      <c r="F681" s="20">
        <f t="shared" si="33"/>
        <v>1.7241806434505954E-2</v>
      </c>
      <c r="G681" s="20">
        <f t="shared" si="34"/>
        <v>9.8214058310226431E-3</v>
      </c>
      <c r="H681" s="20">
        <f t="shared" si="35"/>
        <v>2.3739659625347933E-2</v>
      </c>
      <c r="I681" s="3"/>
    </row>
    <row r="682" spans="1:9" x14ac:dyDescent="0.3">
      <c r="A682" s="2">
        <v>43153</v>
      </c>
      <c r="B682" s="1">
        <v>43.125</v>
      </c>
      <c r="C682" s="1">
        <v>1485.34</v>
      </c>
      <c r="D682" s="1">
        <v>178.99</v>
      </c>
      <c r="E682" s="3"/>
      <c r="F682" s="20">
        <f t="shared" si="33"/>
        <v>8.3244070072138639E-3</v>
      </c>
      <c r="G682" s="20">
        <f t="shared" si="34"/>
        <v>1.6305852830904124E-3</v>
      </c>
      <c r="H682" s="20">
        <f t="shared" si="35"/>
        <v>6.0521339117246215E-3</v>
      </c>
      <c r="I682" s="3"/>
    </row>
    <row r="683" spans="1:9" x14ac:dyDescent="0.3">
      <c r="A683" s="2">
        <v>43152</v>
      </c>
      <c r="B683" s="1">
        <v>42.767499999999998</v>
      </c>
      <c r="C683" s="1">
        <v>1482.92</v>
      </c>
      <c r="D683" s="1">
        <v>177.91</v>
      </c>
      <c r="E683" s="3"/>
      <c r="F683" s="20">
        <f t="shared" si="33"/>
        <v>-4.5491738316423367E-3</v>
      </c>
      <c r="G683" s="20">
        <f t="shared" si="34"/>
        <v>9.8737956006394855E-3</v>
      </c>
      <c r="H683" s="20">
        <f t="shared" si="35"/>
        <v>1.0736992840806009E-2</v>
      </c>
      <c r="I683" s="3"/>
    </row>
    <row r="684" spans="1:9" x14ac:dyDescent="0.3">
      <c r="A684" s="2">
        <v>43151</v>
      </c>
      <c r="B684" s="1">
        <v>42.962499999999999</v>
      </c>
      <c r="C684" s="1">
        <v>1468.35</v>
      </c>
      <c r="D684" s="1">
        <v>176.01</v>
      </c>
      <c r="E684" s="3"/>
      <c r="F684" s="20">
        <f t="shared" si="33"/>
        <v>-3.3693537161973816E-3</v>
      </c>
      <c r="G684" s="20">
        <f t="shared" si="34"/>
        <v>1.3479621592155065E-2</v>
      </c>
      <c r="H684" s="20">
        <f t="shared" si="35"/>
        <v>-7.6407537021779383E-3</v>
      </c>
      <c r="I684" s="3"/>
    </row>
    <row r="685" spans="1:9" x14ac:dyDescent="0.3">
      <c r="A685" s="2">
        <v>43150</v>
      </c>
      <c r="B685" s="1">
        <v>43.107500000000002</v>
      </c>
      <c r="C685" s="1">
        <v>1448.69</v>
      </c>
      <c r="D685" s="1">
        <v>177.36</v>
      </c>
      <c r="E685" s="3"/>
      <c r="F685" s="20">
        <f t="shared" si="33"/>
        <v>0</v>
      </c>
      <c r="G685" s="20">
        <f t="shared" si="34"/>
        <v>0</v>
      </c>
      <c r="H685" s="20">
        <f t="shared" si="35"/>
        <v>0</v>
      </c>
      <c r="I685" s="3"/>
    </row>
    <row r="686" spans="1:9" x14ac:dyDescent="0.3">
      <c r="A686" s="2">
        <v>43147</v>
      </c>
      <c r="B686" s="1">
        <v>43.107500000000002</v>
      </c>
      <c r="C686" s="1">
        <v>1448.69</v>
      </c>
      <c r="D686" s="1">
        <v>177.36</v>
      </c>
      <c r="E686" s="3"/>
      <c r="F686" s="20">
        <f t="shared" si="33"/>
        <v>-3.242432346845786E-3</v>
      </c>
      <c r="G686" s="20">
        <f t="shared" si="34"/>
        <v>-8.9814893640873042E-3</v>
      </c>
      <c r="H686" s="20">
        <f t="shared" si="35"/>
        <v>-1.4553038664915526E-2</v>
      </c>
      <c r="I686" s="3"/>
    </row>
    <row r="687" spans="1:9" x14ac:dyDescent="0.3">
      <c r="A687" s="2">
        <v>43146</v>
      </c>
      <c r="B687" s="1">
        <v>43.247500000000002</v>
      </c>
      <c r="C687" s="1">
        <v>1461.76</v>
      </c>
      <c r="D687" s="1">
        <v>179.96</v>
      </c>
      <c r="E687" s="3"/>
      <c r="F687" s="20">
        <f t="shared" si="33"/>
        <v>3.3026858833339452E-2</v>
      </c>
      <c r="G687" s="20">
        <f t="shared" si="34"/>
        <v>7.3537568631936012E-3</v>
      </c>
      <c r="H687" s="20">
        <f t="shared" si="35"/>
        <v>2.4479816386400372E-3</v>
      </c>
      <c r="I687" s="3"/>
    </row>
    <row r="688" spans="1:9" x14ac:dyDescent="0.3">
      <c r="A688" s="2">
        <v>43145</v>
      </c>
      <c r="B688" s="1">
        <v>41.842500000000001</v>
      </c>
      <c r="C688" s="1">
        <v>1451.05</v>
      </c>
      <c r="D688" s="1">
        <v>179.52</v>
      </c>
      <c r="E688" s="3"/>
      <c r="F688" s="20">
        <f t="shared" si="33"/>
        <v>1.8269478022504962E-2</v>
      </c>
      <c r="G688" s="20">
        <f t="shared" si="34"/>
        <v>2.550425093174186E-2</v>
      </c>
      <c r="H688" s="20">
        <f t="shared" si="35"/>
        <v>3.6128351485900587E-2</v>
      </c>
      <c r="I688" s="3"/>
    </row>
    <row r="689" spans="1:9" x14ac:dyDescent="0.3">
      <c r="A689" s="2">
        <v>43144</v>
      </c>
      <c r="B689" s="1">
        <v>41.085000000000001</v>
      </c>
      <c r="C689" s="1">
        <v>1414.51</v>
      </c>
      <c r="D689" s="1">
        <v>173.15</v>
      </c>
      <c r="E689" s="3"/>
      <c r="F689" s="20">
        <f t="shared" si="33"/>
        <v>9.9679773518140807E-3</v>
      </c>
      <c r="G689" s="20">
        <f t="shared" si="34"/>
        <v>2.0195349204128028E-2</v>
      </c>
      <c r="H689" s="20">
        <f t="shared" si="35"/>
        <v>-1.8652560459883543E-2</v>
      </c>
      <c r="I689" s="3"/>
    </row>
    <row r="690" spans="1:9" x14ac:dyDescent="0.3">
      <c r="A690" s="2">
        <v>43143</v>
      </c>
      <c r="B690" s="1">
        <v>40.677500000000002</v>
      </c>
      <c r="C690" s="1">
        <v>1386.23</v>
      </c>
      <c r="D690" s="1">
        <v>176.41</v>
      </c>
      <c r="E690" s="3"/>
      <c r="F690" s="20">
        <f t="shared" si="33"/>
        <v>3.9488710465077473E-2</v>
      </c>
      <c r="G690" s="20">
        <f t="shared" si="34"/>
        <v>3.4216770228368242E-2</v>
      </c>
      <c r="H690" s="20">
        <f t="shared" si="35"/>
        <v>1.7020315013204575E-3</v>
      </c>
      <c r="I690" s="3"/>
    </row>
    <row r="691" spans="1:9" x14ac:dyDescent="0.3">
      <c r="A691" s="2">
        <v>43140</v>
      </c>
      <c r="B691" s="1">
        <v>39.102499999999999</v>
      </c>
      <c r="C691" s="1">
        <v>1339.6</v>
      </c>
      <c r="D691" s="1">
        <v>176.11</v>
      </c>
      <c r="E691" s="3"/>
      <c r="F691" s="20">
        <f t="shared" si="33"/>
        <v>8.0883737917609132E-3</v>
      </c>
      <c r="G691" s="20">
        <f t="shared" si="34"/>
        <v>-8.103832312620754E-3</v>
      </c>
      <c r="H691" s="20">
        <f t="shared" si="35"/>
        <v>2.6059169662174766E-2</v>
      </c>
      <c r="I691" s="3"/>
    </row>
    <row r="692" spans="1:9" x14ac:dyDescent="0.3">
      <c r="A692" s="2">
        <v>43139</v>
      </c>
      <c r="B692" s="1">
        <v>38.787500000000001</v>
      </c>
      <c r="C692" s="1">
        <v>1350.5</v>
      </c>
      <c r="D692" s="1">
        <v>171.58</v>
      </c>
      <c r="E692" s="3"/>
      <c r="F692" s="20">
        <f t="shared" si="33"/>
        <v>-2.7902283588594201E-2</v>
      </c>
      <c r="G692" s="20">
        <f t="shared" si="34"/>
        <v>-4.7911796817853181E-2</v>
      </c>
      <c r="H692" s="20">
        <f t="shared" si="35"/>
        <v>-4.8906721078474748E-2</v>
      </c>
      <c r="I692" s="3"/>
    </row>
    <row r="693" spans="1:9" x14ac:dyDescent="0.3">
      <c r="A693" s="2">
        <v>43138</v>
      </c>
      <c r="B693" s="1">
        <v>39.884999999999998</v>
      </c>
      <c r="C693" s="1">
        <v>1416.78</v>
      </c>
      <c r="D693" s="1">
        <v>180.18</v>
      </c>
      <c r="E693" s="3"/>
      <c r="F693" s="20">
        <f t="shared" si="33"/>
        <v>-2.1639558468579508E-2</v>
      </c>
      <c r="G693" s="20">
        <f t="shared" si="34"/>
        <v>-1.8226702464813359E-2</v>
      </c>
      <c r="H693" s="20">
        <f t="shared" si="35"/>
        <v>-2.8073747152623479E-2</v>
      </c>
      <c r="I693" s="3"/>
    </row>
    <row r="694" spans="1:9" x14ac:dyDescent="0.3">
      <c r="A694" s="2">
        <v>43137</v>
      </c>
      <c r="B694" s="1">
        <v>40.7575</v>
      </c>
      <c r="C694" s="1">
        <v>1442.84</v>
      </c>
      <c r="D694" s="1">
        <v>185.31</v>
      </c>
      <c r="E694" s="3"/>
      <c r="F694" s="20">
        <f t="shared" si="33"/>
        <v>4.09421227764823E-2</v>
      </c>
      <c r="G694" s="20">
        <f t="shared" si="34"/>
        <v>3.7309646390599326E-2</v>
      </c>
      <c r="H694" s="20">
        <f t="shared" si="35"/>
        <v>2.2097633749281882E-2</v>
      </c>
      <c r="I694" s="3"/>
    </row>
    <row r="695" spans="1:9" x14ac:dyDescent="0.3">
      <c r="A695" s="2">
        <v>43136</v>
      </c>
      <c r="B695" s="1">
        <v>39.122500000000002</v>
      </c>
      <c r="C695" s="1">
        <v>1390</v>
      </c>
      <c r="D695" s="1">
        <v>181.26</v>
      </c>
      <c r="E695" s="3"/>
      <c r="F695" s="20">
        <f t="shared" si="33"/>
        <v>-2.5301832394989912E-2</v>
      </c>
      <c r="G695" s="20">
        <f t="shared" si="34"/>
        <v>-2.8335731482959443E-2</v>
      </c>
      <c r="H695" s="20">
        <f t="shared" si="35"/>
        <v>-4.856420693744519E-2</v>
      </c>
      <c r="I695" s="3"/>
    </row>
    <row r="696" spans="1:9" x14ac:dyDescent="0.3">
      <c r="A696" s="2">
        <v>43133</v>
      </c>
      <c r="B696" s="1">
        <v>40.125</v>
      </c>
      <c r="C696" s="1">
        <v>1429.95</v>
      </c>
      <c r="D696" s="1">
        <v>190.28</v>
      </c>
      <c r="E696" s="3"/>
      <c r="F696" s="20">
        <f t="shared" si="33"/>
        <v>-4.435965484807803E-2</v>
      </c>
      <c r="G696" s="20">
        <f t="shared" si="34"/>
        <v>2.833573148295946E-2</v>
      </c>
      <c r="H696" s="20">
        <f t="shared" si="35"/>
        <v>-1.4659729890366572E-2</v>
      </c>
      <c r="I696" s="3"/>
    </row>
    <row r="697" spans="1:9" x14ac:dyDescent="0.3">
      <c r="A697" s="2">
        <v>43132</v>
      </c>
      <c r="B697" s="1">
        <v>41.945</v>
      </c>
      <c r="C697" s="1">
        <v>1390</v>
      </c>
      <c r="D697" s="1">
        <v>193.09</v>
      </c>
      <c r="E697" s="3"/>
      <c r="F697" s="20">
        <f t="shared" si="33"/>
        <v>2.0882439496966842E-3</v>
      </c>
      <c r="G697" s="20">
        <f t="shared" si="34"/>
        <v>-4.287341409938919E-2</v>
      </c>
      <c r="H697" s="20">
        <f t="shared" si="35"/>
        <v>3.2636192972236293E-2</v>
      </c>
      <c r="I697" s="3"/>
    </row>
    <row r="698" spans="1:9" x14ac:dyDescent="0.3">
      <c r="A698" s="2">
        <v>43131</v>
      </c>
      <c r="B698" s="1">
        <v>41.857500000000002</v>
      </c>
      <c r="C698" s="1">
        <v>1450.89</v>
      </c>
      <c r="D698" s="1">
        <v>186.89</v>
      </c>
      <c r="E698" s="3"/>
      <c r="F698" s="20">
        <f t="shared" si="33"/>
        <v>2.7511979075863237E-3</v>
      </c>
      <c r="G698" s="20">
        <f t="shared" si="34"/>
        <v>9.0490836306082109E-3</v>
      </c>
      <c r="H698" s="20">
        <f t="shared" si="35"/>
        <v>-1.2299137937124367E-3</v>
      </c>
      <c r="I698" s="3"/>
    </row>
    <row r="699" spans="1:9" x14ac:dyDescent="0.3">
      <c r="A699" s="2">
        <v>43130</v>
      </c>
      <c r="B699" s="1">
        <v>41.7425</v>
      </c>
      <c r="C699" s="1">
        <v>1437.82</v>
      </c>
      <c r="D699" s="1">
        <v>187.12</v>
      </c>
      <c r="E699" s="3"/>
      <c r="F699" s="20">
        <f t="shared" si="33"/>
        <v>-5.9117002551268283E-3</v>
      </c>
      <c r="G699" s="20">
        <f t="shared" si="34"/>
        <v>1.4106344926428944E-2</v>
      </c>
      <c r="H699" s="20">
        <f t="shared" si="35"/>
        <v>6.1109812258723951E-3</v>
      </c>
      <c r="I699" s="3"/>
    </row>
    <row r="700" spans="1:9" x14ac:dyDescent="0.3">
      <c r="A700" s="2">
        <v>43129</v>
      </c>
      <c r="B700" s="1">
        <v>41.99</v>
      </c>
      <c r="C700" s="1">
        <v>1417.68</v>
      </c>
      <c r="D700" s="1">
        <v>185.98</v>
      </c>
      <c r="E700" s="3"/>
      <c r="F700" s="20">
        <f t="shared" si="33"/>
        <v>-2.0915718127997005E-2</v>
      </c>
      <c r="G700" s="20">
        <f t="shared" si="34"/>
        <v>1.1086281370387465E-2</v>
      </c>
      <c r="H700" s="20">
        <f t="shared" si="35"/>
        <v>-2.1384931110434966E-2</v>
      </c>
      <c r="I700" s="3"/>
    </row>
    <row r="701" spans="1:9" x14ac:dyDescent="0.3">
      <c r="A701" s="2">
        <v>43126</v>
      </c>
      <c r="B701" s="1">
        <v>42.877499999999998</v>
      </c>
      <c r="C701" s="1">
        <v>1402.05</v>
      </c>
      <c r="D701" s="1">
        <v>190</v>
      </c>
      <c r="E701" s="3"/>
      <c r="F701" s="20">
        <f t="shared" si="33"/>
        <v>2.3349494001105339E-3</v>
      </c>
      <c r="G701" s="20">
        <f t="shared" si="34"/>
        <v>1.7338563851642327E-2</v>
      </c>
      <c r="H701" s="20">
        <f t="shared" si="35"/>
        <v>1.335189910598073E-2</v>
      </c>
      <c r="I701" s="3"/>
    </row>
    <row r="702" spans="1:9" x14ac:dyDescent="0.3">
      <c r="A702" s="2">
        <v>43125</v>
      </c>
      <c r="B702" s="1">
        <v>42.777500000000003</v>
      </c>
      <c r="C702" s="1">
        <v>1377.95</v>
      </c>
      <c r="D702" s="1">
        <v>187.48</v>
      </c>
      <c r="E702" s="3"/>
      <c r="F702" s="20">
        <f t="shared" si="33"/>
        <v>-1.8012243846866834E-2</v>
      </c>
      <c r="G702" s="20">
        <f t="shared" si="34"/>
        <v>1.4944748181597184E-2</v>
      </c>
      <c r="H702" s="20">
        <f t="shared" si="35"/>
        <v>4.9728733873383602E-3</v>
      </c>
      <c r="I702" s="3"/>
    </row>
    <row r="703" spans="1:9" x14ac:dyDescent="0.3">
      <c r="A703" s="2">
        <v>43124</v>
      </c>
      <c r="B703" s="1">
        <v>43.555</v>
      </c>
      <c r="C703" s="1">
        <v>1357.51</v>
      </c>
      <c r="D703" s="1">
        <v>186.55</v>
      </c>
      <c r="E703" s="3"/>
      <c r="F703" s="20">
        <f t="shared" si="33"/>
        <v>-1.6056827352048247E-2</v>
      </c>
      <c r="G703" s="20">
        <f t="shared" si="34"/>
        <v>-3.6984656411698461E-3</v>
      </c>
      <c r="H703" s="20">
        <f t="shared" si="35"/>
        <v>-1.4897854680636946E-2</v>
      </c>
      <c r="I703" s="3"/>
    </row>
    <row r="704" spans="1:9" x14ac:dyDescent="0.3">
      <c r="A704" s="2">
        <v>43123</v>
      </c>
      <c r="B704" s="1">
        <v>44.26</v>
      </c>
      <c r="C704" s="1">
        <v>1362.54</v>
      </c>
      <c r="D704" s="1">
        <v>189.35</v>
      </c>
      <c r="E704" s="3"/>
      <c r="F704" s="20">
        <f t="shared" si="33"/>
        <v>2.2596316896499895E-4</v>
      </c>
      <c r="G704" s="20">
        <f t="shared" si="34"/>
        <v>2.6196267209091777E-2</v>
      </c>
      <c r="H704" s="20">
        <f t="shared" si="35"/>
        <v>2.124332660680581E-2</v>
      </c>
      <c r="I704" s="3"/>
    </row>
    <row r="705" spans="1:9" x14ac:dyDescent="0.3">
      <c r="A705" s="2">
        <v>43122</v>
      </c>
      <c r="B705" s="1">
        <v>44.25</v>
      </c>
      <c r="C705" s="1">
        <v>1327.31</v>
      </c>
      <c r="D705" s="1">
        <v>185.37</v>
      </c>
      <c r="E705" s="3"/>
      <c r="F705" s="20">
        <f t="shared" si="33"/>
        <v>-8.2147538981762434E-3</v>
      </c>
      <c r="G705" s="20">
        <f t="shared" si="34"/>
        <v>2.4968019490734943E-2</v>
      </c>
      <c r="H705" s="20">
        <f t="shared" si="35"/>
        <v>2.2255868699421179E-2</v>
      </c>
      <c r="I705" s="3"/>
    </row>
    <row r="706" spans="1:9" x14ac:dyDescent="0.3">
      <c r="A706" s="2">
        <v>43119</v>
      </c>
      <c r="B706" s="1">
        <v>44.615000000000002</v>
      </c>
      <c r="C706" s="1">
        <v>1294.58</v>
      </c>
      <c r="D706" s="1">
        <v>181.29</v>
      </c>
      <c r="E706" s="3"/>
      <c r="F706" s="20">
        <f t="shared" si="33"/>
        <v>-4.4727794572101834E-3</v>
      </c>
      <c r="G706" s="20">
        <f t="shared" si="34"/>
        <v>9.7376258708788501E-4</v>
      </c>
      <c r="H706" s="20">
        <f t="shared" si="35"/>
        <v>8.252837004056884E-3</v>
      </c>
      <c r="I706" s="3"/>
    </row>
    <row r="707" spans="1:9" x14ac:dyDescent="0.3">
      <c r="A707" s="2">
        <v>43118</v>
      </c>
      <c r="B707" s="1">
        <v>44.814999999999998</v>
      </c>
      <c r="C707" s="1">
        <v>1293.32</v>
      </c>
      <c r="D707" s="1">
        <v>179.8</v>
      </c>
      <c r="E707" s="3"/>
      <c r="F707" s="20">
        <f t="shared" si="33"/>
        <v>8.9295686254956019E-4</v>
      </c>
      <c r="G707" s="20">
        <f t="shared" si="34"/>
        <v>-1.2981395159202124E-3</v>
      </c>
      <c r="H707" s="20">
        <f t="shared" si="35"/>
        <v>1.2311291479450249E-2</v>
      </c>
      <c r="I707" s="3"/>
    </row>
    <row r="708" spans="1:9" x14ac:dyDescent="0.3">
      <c r="A708" s="2">
        <v>43117</v>
      </c>
      <c r="B708" s="1">
        <v>44.774999999999999</v>
      </c>
      <c r="C708" s="1">
        <v>1295</v>
      </c>
      <c r="D708" s="1">
        <v>177.6</v>
      </c>
      <c r="E708" s="3"/>
      <c r="F708" s="20">
        <f t="shared" si="33"/>
        <v>1.6381350864128324E-2</v>
      </c>
      <c r="G708" s="20">
        <f t="shared" si="34"/>
        <v>-7.5850601747910525E-3</v>
      </c>
      <c r="H708" s="20">
        <f t="shared" si="35"/>
        <v>-4.4383342051064296E-3</v>
      </c>
      <c r="I708" s="3"/>
    </row>
    <row r="709" spans="1:9" x14ac:dyDescent="0.3">
      <c r="A709" s="2">
        <v>43116</v>
      </c>
      <c r="B709" s="1">
        <v>44.047499999999999</v>
      </c>
      <c r="C709" s="1">
        <v>1304.8599999999999</v>
      </c>
      <c r="D709" s="1">
        <v>178.39</v>
      </c>
      <c r="E709" s="3"/>
      <c r="F709" s="20">
        <f t="shared" si="33"/>
        <v>-5.0951197181699319E-3</v>
      </c>
      <c r="G709" s="20">
        <f t="shared" si="34"/>
        <v>-2.6053041073632736E-4</v>
      </c>
      <c r="H709" s="20">
        <f t="shared" si="35"/>
        <v>-5.4785467977466439E-3</v>
      </c>
      <c r="I709" s="3"/>
    </row>
    <row r="710" spans="1:9" x14ac:dyDescent="0.3">
      <c r="A710" s="2">
        <v>43115</v>
      </c>
      <c r="B710" s="1">
        <v>44.272500000000001</v>
      </c>
      <c r="C710" s="1">
        <v>1305.2</v>
      </c>
      <c r="D710" s="1">
        <v>179.37</v>
      </c>
      <c r="E710" s="3"/>
      <c r="F710" s="20">
        <f t="shared" ref="F710:F773" si="36">LN(B710/B711)</f>
        <v>0</v>
      </c>
      <c r="G710" s="20">
        <f t="shared" ref="G710:G773" si="37">LN(C710/C711)</f>
        <v>0</v>
      </c>
      <c r="H710" s="20">
        <f t="shared" ref="H710:H773" si="38">LN(D710/D711)</f>
        <v>0</v>
      </c>
      <c r="I710" s="3"/>
    </row>
    <row r="711" spans="1:9" x14ac:dyDescent="0.3">
      <c r="A711" s="2">
        <v>43112</v>
      </c>
      <c r="B711" s="1">
        <v>44.272500000000001</v>
      </c>
      <c r="C711" s="1">
        <v>1305.2</v>
      </c>
      <c r="D711" s="1">
        <v>179.37</v>
      </c>
      <c r="E711" s="3"/>
      <c r="F711" s="20">
        <f t="shared" si="36"/>
        <v>1.0273382633496518E-2</v>
      </c>
      <c r="G711" s="20">
        <f t="shared" si="37"/>
        <v>2.2093327402890661E-2</v>
      </c>
      <c r="H711" s="20">
        <f t="shared" si="38"/>
        <v>-4.5767098043797111E-2</v>
      </c>
      <c r="I711" s="3"/>
    </row>
    <row r="712" spans="1:9" x14ac:dyDescent="0.3">
      <c r="A712" s="2">
        <v>43111</v>
      </c>
      <c r="B712" s="1">
        <v>43.82</v>
      </c>
      <c r="C712" s="1">
        <v>1276.68</v>
      </c>
      <c r="D712" s="1">
        <v>187.77</v>
      </c>
      <c r="E712" s="3"/>
      <c r="F712" s="20">
        <f t="shared" si="36"/>
        <v>5.6641167536208006E-3</v>
      </c>
      <c r="G712" s="20">
        <f t="shared" si="37"/>
        <v>1.7661392848637474E-2</v>
      </c>
      <c r="H712" s="20">
        <f t="shared" si="38"/>
        <v>-3.7272703501177332E-4</v>
      </c>
      <c r="I712" s="3"/>
    </row>
    <row r="713" spans="1:9" x14ac:dyDescent="0.3">
      <c r="A713" s="2">
        <v>43110</v>
      </c>
      <c r="B713" s="1">
        <v>43.572499999999998</v>
      </c>
      <c r="C713" s="1">
        <v>1254.33</v>
      </c>
      <c r="D713" s="1">
        <v>187.84</v>
      </c>
      <c r="E713" s="3"/>
      <c r="F713" s="20">
        <f t="shared" si="36"/>
        <v>-2.2947622153374797E-4</v>
      </c>
      <c r="G713" s="20">
        <f t="shared" si="37"/>
        <v>1.3003436174912053E-3</v>
      </c>
      <c r="H713" s="20">
        <f t="shared" si="38"/>
        <v>-1.5969763947597235E-4</v>
      </c>
      <c r="I713" s="3"/>
    </row>
    <row r="714" spans="1:9" x14ac:dyDescent="0.3">
      <c r="A714" s="2">
        <v>43109</v>
      </c>
      <c r="B714" s="1">
        <v>43.582500000000003</v>
      </c>
      <c r="C714" s="1">
        <v>1252.7</v>
      </c>
      <c r="D714" s="1">
        <v>187.87</v>
      </c>
      <c r="E714" s="3"/>
      <c r="F714" s="20">
        <f t="shared" si="36"/>
        <v>-1.1471836653621983E-4</v>
      </c>
      <c r="G714" s="20">
        <f t="shared" si="37"/>
        <v>4.6648108050209424E-3</v>
      </c>
      <c r="H714" s="20">
        <f t="shared" si="38"/>
        <v>-2.1799822537338807E-3</v>
      </c>
      <c r="I714" s="3"/>
    </row>
    <row r="715" spans="1:9" x14ac:dyDescent="0.3">
      <c r="A715" s="2">
        <v>43108</v>
      </c>
      <c r="B715" s="1">
        <v>43.587499999999999</v>
      </c>
      <c r="C715" s="1">
        <v>1246.8699999999999</v>
      </c>
      <c r="D715" s="1">
        <v>188.28</v>
      </c>
      <c r="E715" s="3"/>
      <c r="F715" s="20">
        <f t="shared" si="36"/>
        <v>-3.7212008018539565E-3</v>
      </c>
      <c r="G715" s="20">
        <f t="shared" si="37"/>
        <v>1.4321673215751963E-2</v>
      </c>
      <c r="H715" s="20">
        <f t="shared" si="38"/>
        <v>7.6240606014486099E-3</v>
      </c>
      <c r="I715" s="3"/>
    </row>
    <row r="716" spans="1:9" x14ac:dyDescent="0.3">
      <c r="A716" s="2">
        <v>43105</v>
      </c>
      <c r="B716" s="1">
        <v>43.75</v>
      </c>
      <c r="C716" s="1">
        <v>1229.1400000000001</v>
      </c>
      <c r="D716" s="1">
        <v>186.85</v>
      </c>
      <c r="E716" s="3"/>
      <c r="F716" s="20">
        <f t="shared" si="36"/>
        <v>1.1320984054957106E-2</v>
      </c>
      <c r="G716" s="20">
        <f t="shared" si="37"/>
        <v>1.6033278634045491E-2</v>
      </c>
      <c r="H716" s="20">
        <f t="shared" si="38"/>
        <v>1.3578526423410566E-2</v>
      </c>
      <c r="I716" s="3"/>
    </row>
    <row r="717" spans="1:9" x14ac:dyDescent="0.3">
      <c r="A717" s="2">
        <v>43104</v>
      </c>
      <c r="B717" s="1">
        <v>43.2575</v>
      </c>
      <c r="C717" s="1">
        <v>1209.5899999999999</v>
      </c>
      <c r="D717" s="1">
        <v>184.33</v>
      </c>
      <c r="E717" s="3"/>
      <c r="F717" s="20">
        <f t="shared" si="36"/>
        <v>4.6341970209020132E-3</v>
      </c>
      <c r="G717" s="20">
        <f t="shared" si="37"/>
        <v>4.466013164980371E-3</v>
      </c>
      <c r="H717" s="20">
        <f t="shared" si="38"/>
        <v>-1.8428189496988729E-3</v>
      </c>
      <c r="I717" s="3"/>
    </row>
    <row r="718" spans="1:9" x14ac:dyDescent="0.3">
      <c r="A718" s="2">
        <v>43103</v>
      </c>
      <c r="B718" s="1">
        <v>43.057499999999997</v>
      </c>
      <c r="C718" s="1">
        <v>1204.2</v>
      </c>
      <c r="D718" s="1">
        <v>184.67</v>
      </c>
      <c r="E718" s="3"/>
      <c r="F718" s="20">
        <f t="shared" si="36"/>
        <v>-1.7417051337248623E-4</v>
      </c>
      <c r="G718" s="20">
        <f t="shared" si="37"/>
        <v>1.2694417946001181E-2</v>
      </c>
      <c r="H718" s="20">
        <f t="shared" si="38"/>
        <v>1.7755663270983213E-2</v>
      </c>
      <c r="I718" s="3"/>
    </row>
    <row r="719" spans="1:9" x14ac:dyDescent="0.3">
      <c r="A719" s="2">
        <v>43102</v>
      </c>
      <c r="B719" s="1">
        <v>43.064999999999998</v>
      </c>
      <c r="C719" s="1">
        <v>1189.01</v>
      </c>
      <c r="D719" s="1">
        <v>181.42</v>
      </c>
      <c r="E719" s="3"/>
      <c r="F719" s="20">
        <f t="shared" si="36"/>
        <v>1.7746226941033161E-2</v>
      </c>
      <c r="G719" s="20">
        <f t="shared" si="37"/>
        <v>1.6570373377159386E-2</v>
      </c>
      <c r="H719" s="20">
        <f t="shared" si="38"/>
        <v>2.7720563392839223E-2</v>
      </c>
      <c r="I719" s="3"/>
    </row>
    <row r="720" spans="1:9" x14ac:dyDescent="0.3">
      <c r="A720" s="2">
        <v>43101</v>
      </c>
      <c r="B720" s="1">
        <v>42.307499999999997</v>
      </c>
      <c r="C720" s="1">
        <v>1169.47</v>
      </c>
      <c r="D720" s="1">
        <v>176.46</v>
      </c>
      <c r="E720" s="3"/>
      <c r="F720" s="20">
        <f t="shared" si="36"/>
        <v>0</v>
      </c>
      <c r="G720" s="20">
        <f t="shared" si="37"/>
        <v>0</v>
      </c>
      <c r="H720" s="20">
        <f t="shared" si="38"/>
        <v>0</v>
      </c>
      <c r="I720" s="3"/>
    </row>
    <row r="721" spans="1:9" x14ac:dyDescent="0.3">
      <c r="A721" s="2">
        <v>43098</v>
      </c>
      <c r="B721" s="1">
        <v>42.307499999999997</v>
      </c>
      <c r="C721" s="1">
        <v>1169.47</v>
      </c>
      <c r="D721" s="1">
        <v>176.46</v>
      </c>
      <c r="E721" s="3"/>
      <c r="F721" s="20">
        <f t="shared" si="36"/>
        <v>-1.0872546938713586E-2</v>
      </c>
      <c r="G721" s="20">
        <f t="shared" si="37"/>
        <v>-1.4119959328043252E-2</v>
      </c>
      <c r="H721" s="20">
        <f t="shared" si="38"/>
        <v>-8.2397892682588014E-3</v>
      </c>
      <c r="I721" s="3"/>
    </row>
    <row r="722" spans="1:9" x14ac:dyDescent="0.3">
      <c r="A722" s="2">
        <v>43097</v>
      </c>
      <c r="B722" s="1">
        <v>42.77</v>
      </c>
      <c r="C722" s="1">
        <v>1186.0999999999999</v>
      </c>
      <c r="D722" s="1">
        <v>177.92</v>
      </c>
      <c r="E722" s="3"/>
      <c r="F722" s="20">
        <f t="shared" si="36"/>
        <v>2.8096483011293425E-3</v>
      </c>
      <c r="G722" s="20">
        <f t="shared" si="37"/>
        <v>3.2427530991424479E-3</v>
      </c>
      <c r="H722" s="20">
        <f t="shared" si="38"/>
        <v>1.6875742318593742E-3</v>
      </c>
      <c r="I722" s="3"/>
    </row>
    <row r="723" spans="1:9" x14ac:dyDescent="0.3">
      <c r="A723" s="2">
        <v>43096</v>
      </c>
      <c r="B723" s="1">
        <v>42.65</v>
      </c>
      <c r="C723" s="1">
        <v>1182.26</v>
      </c>
      <c r="D723" s="1">
        <v>177.62</v>
      </c>
      <c r="E723" s="3"/>
      <c r="F723" s="20">
        <f t="shared" si="36"/>
        <v>1.7586540479718152E-4</v>
      </c>
      <c r="G723" s="20">
        <f t="shared" si="37"/>
        <v>4.6629617092141494E-3</v>
      </c>
      <c r="H723" s="20">
        <f t="shared" si="38"/>
        <v>9.2192615882385493E-3</v>
      </c>
      <c r="I723" s="3"/>
    </row>
    <row r="724" spans="1:9" x14ac:dyDescent="0.3">
      <c r="A724" s="2">
        <v>43095</v>
      </c>
      <c r="B724" s="1">
        <v>42.642499999999998</v>
      </c>
      <c r="C724" s="1">
        <v>1176.76</v>
      </c>
      <c r="D724" s="1">
        <v>175.99</v>
      </c>
      <c r="E724" s="3"/>
      <c r="F724" s="20">
        <f t="shared" si="36"/>
        <v>-2.5697345495284404E-2</v>
      </c>
      <c r="G724" s="20">
        <f t="shared" si="37"/>
        <v>7.1638431503917854E-3</v>
      </c>
      <c r="H724" s="20">
        <f t="shared" si="38"/>
        <v>-6.8518629288608912E-3</v>
      </c>
      <c r="I724" s="3"/>
    </row>
    <row r="725" spans="1:9" x14ac:dyDescent="0.3">
      <c r="A725" s="2">
        <v>43094</v>
      </c>
      <c r="B725" s="1">
        <v>43.752499999999998</v>
      </c>
      <c r="C725" s="1">
        <v>1168.3599999999999</v>
      </c>
      <c r="D725" s="1">
        <v>177.2</v>
      </c>
      <c r="E725" s="3"/>
      <c r="F725" s="20">
        <f t="shared" si="36"/>
        <v>0</v>
      </c>
      <c r="G725" s="20">
        <f t="shared" si="37"/>
        <v>0</v>
      </c>
      <c r="H725" s="20">
        <f t="shared" si="38"/>
        <v>0</v>
      </c>
      <c r="I725" s="3"/>
    </row>
    <row r="726" spans="1:9" x14ac:dyDescent="0.3">
      <c r="A726" s="2">
        <v>43091</v>
      </c>
      <c r="B726" s="1">
        <v>43.752499999999998</v>
      </c>
      <c r="C726" s="1">
        <v>1168.3599999999999</v>
      </c>
      <c r="D726" s="1">
        <v>177.2</v>
      </c>
      <c r="E726" s="3"/>
      <c r="F726" s="20">
        <f t="shared" si="36"/>
        <v>0</v>
      </c>
      <c r="G726" s="20">
        <f t="shared" si="37"/>
        <v>-5.4628153196701577E-3</v>
      </c>
      <c r="H726" s="20">
        <f t="shared" si="38"/>
        <v>-1.4098409215249571E-3</v>
      </c>
      <c r="I726" s="3"/>
    </row>
    <row r="727" spans="1:9" x14ac:dyDescent="0.3">
      <c r="A727" s="2">
        <v>43090</v>
      </c>
      <c r="B727" s="1">
        <v>43.752499999999998</v>
      </c>
      <c r="C727" s="1">
        <v>1174.76</v>
      </c>
      <c r="D727" s="1">
        <v>177.45</v>
      </c>
      <c r="E727" s="3"/>
      <c r="F727" s="20">
        <f t="shared" si="36"/>
        <v>3.7783420264058997E-3</v>
      </c>
      <c r="G727" s="20">
        <f t="shared" si="37"/>
        <v>-2.4315811298908589E-3</v>
      </c>
      <c r="H727" s="20">
        <f t="shared" si="38"/>
        <v>-2.4765026446729437E-3</v>
      </c>
      <c r="I727" s="3"/>
    </row>
    <row r="728" spans="1:9" x14ac:dyDescent="0.3">
      <c r="A728" s="2">
        <v>43089</v>
      </c>
      <c r="B728" s="1">
        <v>43.587499999999999</v>
      </c>
      <c r="C728" s="1">
        <v>1177.6199999999999</v>
      </c>
      <c r="D728" s="1">
        <v>177.89</v>
      </c>
      <c r="E728" s="3"/>
      <c r="F728" s="20">
        <f t="shared" si="36"/>
        <v>-1.0891686135050998E-3</v>
      </c>
      <c r="G728" s="20">
        <f t="shared" si="37"/>
        <v>-8.2537466450136581E-3</v>
      </c>
      <c r="H728" s="20">
        <f t="shared" si="38"/>
        <v>-9.0655349458003322E-3</v>
      </c>
      <c r="I728" s="3"/>
    </row>
    <row r="729" spans="1:9" x14ac:dyDescent="0.3">
      <c r="A729" s="2">
        <v>43088</v>
      </c>
      <c r="B729" s="1">
        <v>43.634999999999998</v>
      </c>
      <c r="C729" s="1">
        <v>1187.3800000000001</v>
      </c>
      <c r="D729" s="1">
        <v>179.51</v>
      </c>
      <c r="E729" s="3"/>
      <c r="F729" s="20">
        <f t="shared" si="36"/>
        <v>-1.0713574095455545E-2</v>
      </c>
      <c r="G729" s="20">
        <f t="shared" si="37"/>
        <v>-2.6913841541594589E-3</v>
      </c>
      <c r="H729" s="20">
        <f t="shared" si="38"/>
        <v>-7.2711446262416508E-3</v>
      </c>
      <c r="I729" s="3"/>
    </row>
    <row r="730" spans="1:9" x14ac:dyDescent="0.3">
      <c r="A730" s="2">
        <v>43087</v>
      </c>
      <c r="B730" s="1">
        <v>44.104999999999997</v>
      </c>
      <c r="C730" s="1">
        <v>1190.58</v>
      </c>
      <c r="D730" s="1">
        <v>180.82</v>
      </c>
      <c r="E730" s="3"/>
      <c r="F730" s="20">
        <f t="shared" si="36"/>
        <v>1.3984645274161846E-2</v>
      </c>
      <c r="G730" s="20">
        <f t="shared" si="37"/>
        <v>9.6552241385410506E-3</v>
      </c>
      <c r="H730" s="20">
        <f t="shared" si="38"/>
        <v>3.5457100859264926E-3</v>
      </c>
      <c r="I730" s="3"/>
    </row>
    <row r="731" spans="1:9" x14ac:dyDescent="0.3">
      <c r="A731" s="2">
        <v>43084</v>
      </c>
      <c r="B731" s="1">
        <v>43.4925</v>
      </c>
      <c r="C731" s="1">
        <v>1179.1400000000001</v>
      </c>
      <c r="D731" s="1">
        <v>180.18</v>
      </c>
      <c r="E731" s="3"/>
      <c r="F731" s="20">
        <f t="shared" si="36"/>
        <v>1.0110141288439746E-2</v>
      </c>
      <c r="G731" s="20">
        <f t="shared" si="37"/>
        <v>4.1471972417419407E-3</v>
      </c>
      <c r="H731" s="20">
        <f t="shared" si="38"/>
        <v>9.9841864601178301E-3</v>
      </c>
      <c r="I731" s="3"/>
    </row>
    <row r="732" spans="1:9" x14ac:dyDescent="0.3">
      <c r="A732" s="2">
        <v>43083</v>
      </c>
      <c r="B732" s="1">
        <v>43.055</v>
      </c>
      <c r="C732" s="1">
        <v>1174.26</v>
      </c>
      <c r="D732" s="1">
        <v>178.39</v>
      </c>
      <c r="E732" s="3"/>
      <c r="F732" s="20">
        <f t="shared" si="36"/>
        <v>-2.9028419025872184E-4</v>
      </c>
      <c r="G732" s="20">
        <f t="shared" si="37"/>
        <v>8.6641350409289736E-3</v>
      </c>
      <c r="H732" s="20">
        <f t="shared" si="38"/>
        <v>5.0463989408140665E-4</v>
      </c>
      <c r="I732" s="3"/>
    </row>
    <row r="733" spans="1:9" x14ac:dyDescent="0.3">
      <c r="A733" s="2">
        <v>43082</v>
      </c>
      <c r="B733" s="1">
        <v>43.067500000000003</v>
      </c>
      <c r="C733" s="1">
        <v>1164.1300000000001</v>
      </c>
      <c r="D733" s="1">
        <v>178.3</v>
      </c>
      <c r="E733" s="3"/>
      <c r="F733" s="20">
        <f t="shared" si="36"/>
        <v>3.3142455548481132E-3</v>
      </c>
      <c r="G733" s="20">
        <f t="shared" si="37"/>
        <v>-8.1572726604997006E-4</v>
      </c>
      <c r="H733" s="20">
        <f t="shared" si="38"/>
        <v>7.5438065351247389E-3</v>
      </c>
      <c r="I733" s="3"/>
    </row>
    <row r="734" spans="1:9" x14ac:dyDescent="0.3">
      <c r="A734" s="2">
        <v>43081</v>
      </c>
      <c r="B734" s="1">
        <v>42.924999999999997</v>
      </c>
      <c r="C734" s="1">
        <v>1165.08</v>
      </c>
      <c r="D734" s="1">
        <v>176.96</v>
      </c>
      <c r="E734" s="3"/>
      <c r="F734" s="20">
        <f t="shared" si="36"/>
        <v>-5.6334905209090005E-3</v>
      </c>
      <c r="G734" s="20">
        <f t="shared" si="37"/>
        <v>-3.2904914008108827E-3</v>
      </c>
      <c r="H734" s="20">
        <f t="shared" si="38"/>
        <v>-1.1685526229645056E-2</v>
      </c>
      <c r="I734" s="3"/>
    </row>
    <row r="735" spans="1:9" x14ac:dyDescent="0.3">
      <c r="A735" s="2">
        <v>43080</v>
      </c>
      <c r="B735" s="1">
        <v>43.167499999999997</v>
      </c>
      <c r="C735" s="1">
        <v>1168.92</v>
      </c>
      <c r="D735" s="1">
        <v>179.04</v>
      </c>
      <c r="E735" s="3"/>
      <c r="F735" s="20">
        <f t="shared" si="36"/>
        <v>1.9296587521308941E-2</v>
      </c>
      <c r="G735" s="20">
        <f t="shared" si="37"/>
        <v>5.9375871590081463E-3</v>
      </c>
      <c r="H735" s="20">
        <f t="shared" si="38"/>
        <v>2.2343872286002825E-4</v>
      </c>
      <c r="I735" s="3"/>
    </row>
    <row r="736" spans="1:9" x14ac:dyDescent="0.3">
      <c r="A736" s="2">
        <v>43077</v>
      </c>
      <c r="B736" s="1">
        <v>42.342500000000001</v>
      </c>
      <c r="C736" s="1">
        <v>1162</v>
      </c>
      <c r="D736" s="1">
        <v>179</v>
      </c>
      <c r="E736" s="3"/>
      <c r="F736" s="20">
        <f t="shared" si="36"/>
        <v>2.9525525030693627E-4</v>
      </c>
      <c r="G736" s="20">
        <f t="shared" si="37"/>
        <v>1.9037041829248862E-3</v>
      </c>
      <c r="H736" s="20">
        <f t="shared" si="38"/>
        <v>-6.3485205148416986E-3</v>
      </c>
      <c r="I736" s="3"/>
    </row>
    <row r="737" spans="1:9" x14ac:dyDescent="0.3">
      <c r="A737" s="2">
        <v>43076</v>
      </c>
      <c r="B737" s="1">
        <v>42.33</v>
      </c>
      <c r="C737" s="1">
        <v>1159.79</v>
      </c>
      <c r="D737" s="1">
        <v>180.14</v>
      </c>
      <c r="E737" s="3"/>
      <c r="F737" s="20">
        <f t="shared" si="36"/>
        <v>1.8325308825863187E-3</v>
      </c>
      <c r="G737" s="20">
        <f t="shared" si="37"/>
        <v>6.4356186724323031E-3</v>
      </c>
      <c r="H737" s="20">
        <f t="shared" si="38"/>
        <v>2.2909480322836635E-2</v>
      </c>
      <c r="I737" s="3"/>
    </row>
    <row r="738" spans="1:9" x14ac:dyDescent="0.3">
      <c r="A738" s="2">
        <v>43075</v>
      </c>
      <c r="B738" s="1">
        <v>42.252499999999998</v>
      </c>
      <c r="C738" s="1">
        <v>1152.3499999999999</v>
      </c>
      <c r="D738" s="1">
        <v>176.06</v>
      </c>
      <c r="E738" s="3"/>
      <c r="F738" s="20">
        <f t="shared" si="36"/>
        <v>-3.7206598362532375E-3</v>
      </c>
      <c r="G738" s="20">
        <f t="shared" si="37"/>
        <v>9.3988276459670145E-3</v>
      </c>
      <c r="H738" s="20">
        <f t="shared" si="38"/>
        <v>1.8516393620358628E-2</v>
      </c>
      <c r="I738" s="3"/>
    </row>
    <row r="739" spans="1:9" x14ac:dyDescent="0.3">
      <c r="A739" s="2">
        <v>43074</v>
      </c>
      <c r="B739" s="1">
        <v>42.41</v>
      </c>
      <c r="C739" s="1">
        <v>1141.57</v>
      </c>
      <c r="D739" s="1">
        <v>172.83</v>
      </c>
      <c r="E739" s="3"/>
      <c r="F739" s="20">
        <f t="shared" si="36"/>
        <v>-9.42729270857073E-4</v>
      </c>
      <c r="G739" s="20">
        <f t="shared" si="37"/>
        <v>6.697395305661661E-3</v>
      </c>
      <c r="H739" s="20">
        <f t="shared" si="38"/>
        <v>7.9001282216416557E-3</v>
      </c>
      <c r="I739" s="3"/>
    </row>
    <row r="740" spans="1:9" x14ac:dyDescent="0.3">
      <c r="A740" s="2">
        <v>43073</v>
      </c>
      <c r="B740" s="1">
        <v>42.45</v>
      </c>
      <c r="C740" s="1">
        <v>1133.95</v>
      </c>
      <c r="D740" s="1">
        <v>171.47</v>
      </c>
      <c r="E740" s="3"/>
      <c r="F740" s="20">
        <f t="shared" si="36"/>
        <v>-7.3346375463667207E-3</v>
      </c>
      <c r="G740" s="20">
        <f t="shared" si="37"/>
        <v>-2.4736705273197868E-2</v>
      </c>
      <c r="H740" s="20">
        <f t="shared" si="38"/>
        <v>-2.0948915101046191E-2</v>
      </c>
      <c r="I740" s="3"/>
    </row>
    <row r="741" spans="1:9" x14ac:dyDescent="0.3">
      <c r="A741" s="2">
        <v>43070</v>
      </c>
      <c r="B741" s="1">
        <v>42.762500000000003</v>
      </c>
      <c r="C741" s="1">
        <v>1162.3499999999999</v>
      </c>
      <c r="D741" s="1">
        <v>175.1</v>
      </c>
      <c r="E741" s="3"/>
      <c r="F741" s="20">
        <f t="shared" si="36"/>
        <v>-4.666091872229057E-3</v>
      </c>
      <c r="G741" s="20">
        <f t="shared" si="37"/>
        <v>-1.2312583403182831E-2</v>
      </c>
      <c r="H741" s="20">
        <f t="shared" si="38"/>
        <v>-1.1808925692080214E-2</v>
      </c>
      <c r="I741" s="3"/>
    </row>
    <row r="742" spans="1:9" x14ac:dyDescent="0.3">
      <c r="A742" s="2">
        <v>43069</v>
      </c>
      <c r="B742" s="1">
        <v>42.962499999999999</v>
      </c>
      <c r="C742" s="1">
        <v>1176.75</v>
      </c>
      <c r="D742" s="1">
        <v>177.18</v>
      </c>
      <c r="E742" s="3"/>
      <c r="F742" s="20">
        <f t="shared" si="36"/>
        <v>1.3887077537484522E-2</v>
      </c>
      <c r="G742" s="20">
        <f t="shared" si="37"/>
        <v>1.3242167481277597E-2</v>
      </c>
      <c r="H742" s="20">
        <f t="shared" si="38"/>
        <v>1.163760969931329E-2</v>
      </c>
      <c r="I742" s="3"/>
    </row>
    <row r="743" spans="1:9" x14ac:dyDescent="0.3">
      <c r="A743" s="2">
        <v>43068</v>
      </c>
      <c r="B743" s="1">
        <v>42.37</v>
      </c>
      <c r="C743" s="1">
        <v>1161.27</v>
      </c>
      <c r="D743" s="1">
        <v>175.13</v>
      </c>
      <c r="E743" s="3"/>
      <c r="F743" s="20">
        <f t="shared" si="36"/>
        <v>-2.0961211178549322E-2</v>
      </c>
      <c r="G743" s="20">
        <f t="shared" si="37"/>
        <v>-2.7459716649522316E-2</v>
      </c>
      <c r="H743" s="20">
        <f t="shared" si="38"/>
        <v>-4.0783165467439216E-2</v>
      </c>
      <c r="I743" s="3"/>
    </row>
    <row r="744" spans="1:9" x14ac:dyDescent="0.3">
      <c r="A744" s="2">
        <v>43067</v>
      </c>
      <c r="B744" s="1">
        <v>43.267499999999998</v>
      </c>
      <c r="C744" s="1">
        <v>1193.5999999999999</v>
      </c>
      <c r="D744" s="1">
        <v>182.42</v>
      </c>
      <c r="E744" s="3"/>
      <c r="F744" s="20">
        <f t="shared" si="36"/>
        <v>-5.8762699337189415E-3</v>
      </c>
      <c r="G744" s="20">
        <f t="shared" si="37"/>
        <v>-1.8665544899395586E-3</v>
      </c>
      <c r="H744" s="20">
        <f t="shared" si="38"/>
        <v>-3.3383530798585166E-3</v>
      </c>
      <c r="I744" s="3"/>
    </row>
    <row r="745" spans="1:9" x14ac:dyDescent="0.3">
      <c r="A745" s="2">
        <v>43066</v>
      </c>
      <c r="B745" s="1">
        <v>43.522500000000001</v>
      </c>
      <c r="C745" s="1">
        <v>1195.83</v>
      </c>
      <c r="D745" s="1">
        <v>183.03</v>
      </c>
      <c r="E745" s="3"/>
      <c r="F745" s="20">
        <f t="shared" si="36"/>
        <v>-5.0421237859018418E-3</v>
      </c>
      <c r="G745" s="20">
        <f t="shared" si="37"/>
        <v>8.2542043817650738E-3</v>
      </c>
      <c r="H745" s="20">
        <f t="shared" si="38"/>
        <v>1.3668299878152664E-3</v>
      </c>
      <c r="I745" s="3"/>
    </row>
    <row r="746" spans="1:9" x14ac:dyDescent="0.3">
      <c r="A746" s="2">
        <v>43063</v>
      </c>
      <c r="B746" s="1">
        <v>43.7425</v>
      </c>
      <c r="C746" s="1">
        <v>1186</v>
      </c>
      <c r="D746" s="1">
        <v>182.78</v>
      </c>
      <c r="E746" s="3"/>
      <c r="F746" s="20">
        <f t="shared" si="36"/>
        <v>5.7154288015921329E-5</v>
      </c>
      <c r="G746" s="20">
        <f t="shared" si="37"/>
        <v>2.5482131598395377E-2</v>
      </c>
      <c r="H746" s="20">
        <f t="shared" si="38"/>
        <v>1.0504702674631777E-2</v>
      </c>
      <c r="I746" s="3"/>
    </row>
    <row r="747" spans="1:9" x14ac:dyDescent="0.3">
      <c r="A747" s="2">
        <v>43062</v>
      </c>
      <c r="B747" s="1">
        <v>43.74</v>
      </c>
      <c r="C747" s="1">
        <v>1156.1600000000001</v>
      </c>
      <c r="D747" s="1">
        <v>180.87</v>
      </c>
      <c r="E747" s="3"/>
      <c r="F747" s="20">
        <f t="shared" si="36"/>
        <v>0</v>
      </c>
      <c r="G747" s="20">
        <f t="shared" si="37"/>
        <v>0</v>
      </c>
      <c r="H747" s="20">
        <f t="shared" si="38"/>
        <v>0</v>
      </c>
      <c r="I747" s="3"/>
    </row>
    <row r="748" spans="1:9" x14ac:dyDescent="0.3">
      <c r="A748" s="2">
        <v>43061</v>
      </c>
      <c r="B748" s="1">
        <v>43.74</v>
      </c>
      <c r="C748" s="1">
        <v>1156.1600000000001</v>
      </c>
      <c r="D748" s="1">
        <v>180.87</v>
      </c>
      <c r="E748" s="3"/>
      <c r="F748" s="20">
        <f t="shared" si="36"/>
        <v>1.0456860580884804E-2</v>
      </c>
      <c r="G748" s="20">
        <f t="shared" si="37"/>
        <v>1.4523375090894301E-2</v>
      </c>
      <c r="H748" s="20">
        <f t="shared" si="38"/>
        <v>-5.4586191283429383E-3</v>
      </c>
      <c r="I748" s="3"/>
    </row>
    <row r="749" spans="1:9" x14ac:dyDescent="0.3">
      <c r="A749" s="2">
        <v>43060</v>
      </c>
      <c r="B749" s="1">
        <v>43.284999999999997</v>
      </c>
      <c r="C749" s="1">
        <v>1139.49</v>
      </c>
      <c r="D749" s="1">
        <v>181.86</v>
      </c>
      <c r="E749" s="3"/>
      <c r="F749" s="20">
        <f t="shared" si="36"/>
        <v>1.8419732717147565E-2</v>
      </c>
      <c r="G749" s="20">
        <f t="shared" si="37"/>
        <v>1.1633991225005472E-2</v>
      </c>
      <c r="H749" s="20">
        <f t="shared" si="38"/>
        <v>1.7304924344520918E-2</v>
      </c>
      <c r="I749" s="3"/>
    </row>
    <row r="750" spans="1:9" x14ac:dyDescent="0.3">
      <c r="A750" s="2">
        <v>43059</v>
      </c>
      <c r="B750" s="1">
        <v>42.494999999999997</v>
      </c>
      <c r="C750" s="1">
        <v>1126.31</v>
      </c>
      <c r="D750" s="1">
        <v>178.74</v>
      </c>
      <c r="E750" s="3"/>
      <c r="F750" s="20">
        <f t="shared" si="36"/>
        <v>-9.9961787643464812E-4</v>
      </c>
      <c r="G750" s="20">
        <f t="shared" si="37"/>
        <v>-3.1646297336899161E-3</v>
      </c>
      <c r="H750" s="20">
        <f t="shared" si="38"/>
        <v>-1.4535698875090171E-3</v>
      </c>
      <c r="I750" s="3"/>
    </row>
    <row r="751" spans="1:9" x14ac:dyDescent="0.3">
      <c r="A751" s="2">
        <v>43056</v>
      </c>
      <c r="B751" s="1">
        <v>42.537500000000001</v>
      </c>
      <c r="C751" s="1">
        <v>1129.8800000000001</v>
      </c>
      <c r="D751" s="1">
        <v>179</v>
      </c>
      <c r="E751" s="3"/>
      <c r="F751" s="20">
        <f t="shared" si="36"/>
        <v>-5.5677799512330178E-3</v>
      </c>
      <c r="G751" s="20">
        <f t="shared" si="37"/>
        <v>-6.5368070199066904E-3</v>
      </c>
      <c r="H751" s="20">
        <f t="shared" si="38"/>
        <v>-3.2906691898900776E-3</v>
      </c>
      <c r="I751" s="3"/>
    </row>
    <row r="752" spans="1:9" x14ac:dyDescent="0.3">
      <c r="A752" s="2">
        <v>43055</v>
      </c>
      <c r="B752" s="1">
        <v>42.774999999999999</v>
      </c>
      <c r="C752" s="1">
        <v>1137.29</v>
      </c>
      <c r="D752" s="1">
        <v>179.59</v>
      </c>
      <c r="E752" s="3"/>
      <c r="F752" s="20">
        <f t="shared" si="36"/>
        <v>1.1876205199558535E-2</v>
      </c>
      <c r="G752" s="20">
        <f t="shared" si="37"/>
        <v>9.364108743296096E-3</v>
      </c>
      <c r="H752" s="20">
        <f t="shared" si="38"/>
        <v>9.1738630744434523E-3</v>
      </c>
      <c r="I752" s="3"/>
    </row>
    <row r="753" spans="1:9" x14ac:dyDescent="0.3">
      <c r="A753" s="2">
        <v>43054</v>
      </c>
      <c r="B753" s="1">
        <v>42.27</v>
      </c>
      <c r="C753" s="1">
        <v>1126.69</v>
      </c>
      <c r="D753" s="1">
        <v>177.95</v>
      </c>
      <c r="E753" s="3"/>
      <c r="F753" s="20">
        <f t="shared" si="36"/>
        <v>-1.3277910837308645E-2</v>
      </c>
      <c r="G753" s="20">
        <f t="shared" si="37"/>
        <v>-8.96835299857319E-3</v>
      </c>
      <c r="H753" s="20">
        <f t="shared" si="38"/>
        <v>-6.7411945702135624E-4</v>
      </c>
      <c r="I753" s="3"/>
    </row>
    <row r="754" spans="1:9" x14ac:dyDescent="0.3">
      <c r="A754" s="2">
        <v>43053</v>
      </c>
      <c r="B754" s="1">
        <v>42.835000000000001</v>
      </c>
      <c r="C754" s="1">
        <v>1136.8399999999999</v>
      </c>
      <c r="D754" s="1">
        <v>178.07</v>
      </c>
      <c r="E754" s="3"/>
      <c r="F754" s="20">
        <f t="shared" si="36"/>
        <v>-1.5232984020560969E-2</v>
      </c>
      <c r="G754" s="20">
        <f t="shared" si="37"/>
        <v>6.7696341072394969E-3</v>
      </c>
      <c r="H754" s="20">
        <f t="shared" si="38"/>
        <v>-3.9233320137742993E-3</v>
      </c>
      <c r="I754" s="3"/>
    </row>
    <row r="755" spans="1:9" x14ac:dyDescent="0.3">
      <c r="A755" s="2">
        <v>43052</v>
      </c>
      <c r="B755" s="1">
        <v>43.4925</v>
      </c>
      <c r="C755" s="1">
        <v>1129.17</v>
      </c>
      <c r="D755" s="1">
        <v>178.77</v>
      </c>
      <c r="E755" s="3"/>
      <c r="F755" s="20">
        <f t="shared" si="36"/>
        <v>-4.0156088838425369E-3</v>
      </c>
      <c r="G755" s="20">
        <f t="shared" si="37"/>
        <v>3.3887511804048384E-3</v>
      </c>
      <c r="H755" s="20">
        <f t="shared" si="38"/>
        <v>1.7355769549918037E-3</v>
      </c>
      <c r="I755" s="3"/>
    </row>
    <row r="756" spans="1:9" x14ac:dyDescent="0.3">
      <c r="A756" s="2">
        <v>43049</v>
      </c>
      <c r="B756" s="1">
        <v>43.667499999999997</v>
      </c>
      <c r="C756" s="1">
        <v>1125.3499999999999</v>
      </c>
      <c r="D756" s="1">
        <v>178.46</v>
      </c>
      <c r="E756" s="3"/>
      <c r="F756" s="20">
        <f t="shared" si="36"/>
        <v>-6.9034648723079357E-3</v>
      </c>
      <c r="G756" s="20">
        <f t="shared" si="37"/>
        <v>-3.3533263032811604E-3</v>
      </c>
      <c r="H756" s="20">
        <f t="shared" si="38"/>
        <v>-4.6958941390817946E-3</v>
      </c>
      <c r="I756" s="3"/>
    </row>
    <row r="757" spans="1:9" x14ac:dyDescent="0.3">
      <c r="A757" s="2">
        <v>43048</v>
      </c>
      <c r="B757" s="1">
        <v>43.97</v>
      </c>
      <c r="C757" s="1">
        <v>1129.1300000000001</v>
      </c>
      <c r="D757" s="1">
        <v>179.3</v>
      </c>
      <c r="E757" s="3"/>
      <c r="F757" s="20">
        <f t="shared" si="36"/>
        <v>-2.0447581814783686E-3</v>
      </c>
      <c r="G757" s="20">
        <f t="shared" si="37"/>
        <v>-3.3156382469173018E-3</v>
      </c>
      <c r="H757" s="20">
        <f t="shared" si="38"/>
        <v>-1.4490333026441686E-3</v>
      </c>
      <c r="I757" s="3"/>
    </row>
    <row r="758" spans="1:9" x14ac:dyDescent="0.3">
      <c r="A758" s="2">
        <v>43047</v>
      </c>
      <c r="B758" s="1">
        <v>44.06</v>
      </c>
      <c r="C758" s="1">
        <v>1132.8800000000001</v>
      </c>
      <c r="D758" s="1">
        <v>179.56</v>
      </c>
      <c r="E758" s="3"/>
      <c r="F758" s="20">
        <f t="shared" si="36"/>
        <v>8.1470326709951035E-3</v>
      </c>
      <c r="G758" s="20">
        <f t="shared" si="37"/>
        <v>8.6080184016684887E-3</v>
      </c>
      <c r="H758" s="20">
        <f t="shared" si="38"/>
        <v>-3.8353622513270539E-3</v>
      </c>
      <c r="I758" s="3"/>
    </row>
    <row r="759" spans="1:9" x14ac:dyDescent="0.3">
      <c r="A759" s="2">
        <v>43046</v>
      </c>
      <c r="B759" s="1">
        <v>43.702500000000001</v>
      </c>
      <c r="C759" s="1">
        <v>1123.17</v>
      </c>
      <c r="D759" s="1">
        <v>180.25</v>
      </c>
      <c r="E759" s="3"/>
      <c r="F759" s="20">
        <f t="shared" si="36"/>
        <v>3.208620182459215E-3</v>
      </c>
      <c r="G759" s="20">
        <f t="shared" si="37"/>
        <v>2.2372470703543048E-3</v>
      </c>
      <c r="H759" s="20">
        <f t="shared" si="38"/>
        <v>4.4392653744981916E-4</v>
      </c>
      <c r="I759" s="3"/>
    </row>
    <row r="760" spans="1:9" x14ac:dyDescent="0.3">
      <c r="A760" s="2">
        <v>43045</v>
      </c>
      <c r="B760" s="1">
        <v>43.5625</v>
      </c>
      <c r="C760" s="1">
        <v>1120.6600000000001</v>
      </c>
      <c r="D760" s="1">
        <v>180.17</v>
      </c>
      <c r="E760" s="3"/>
      <c r="F760" s="20">
        <f t="shared" si="36"/>
        <v>1.0093813169218906E-2</v>
      </c>
      <c r="G760" s="20">
        <f t="shared" si="37"/>
        <v>8.1173785744320884E-3</v>
      </c>
      <c r="H760" s="20">
        <f t="shared" si="38"/>
        <v>6.9620710629613768E-3</v>
      </c>
      <c r="I760" s="3"/>
    </row>
    <row r="761" spans="1:9" x14ac:dyDescent="0.3">
      <c r="A761" s="2">
        <v>43042</v>
      </c>
      <c r="B761" s="1">
        <v>43.125</v>
      </c>
      <c r="C761" s="1">
        <v>1111.5999999999999</v>
      </c>
      <c r="D761" s="1">
        <v>178.92</v>
      </c>
      <c r="E761" s="3"/>
      <c r="F761" s="20">
        <f t="shared" si="36"/>
        <v>2.5778709426447093E-2</v>
      </c>
      <c r="G761" s="20">
        <f t="shared" si="37"/>
        <v>1.5758638211552732E-2</v>
      </c>
      <c r="H761" s="20">
        <f t="shared" si="38"/>
        <v>0</v>
      </c>
      <c r="I761" s="3"/>
    </row>
    <row r="762" spans="1:9" x14ac:dyDescent="0.3">
      <c r="A762" s="2">
        <v>43041</v>
      </c>
      <c r="B762" s="1">
        <v>42.027500000000003</v>
      </c>
      <c r="C762" s="1">
        <v>1094.22</v>
      </c>
      <c r="D762" s="1">
        <v>178.92</v>
      </c>
      <c r="E762" s="3"/>
      <c r="F762" s="20">
        <f t="shared" si="36"/>
        <v>7.2836142896558582E-3</v>
      </c>
      <c r="G762" s="20">
        <f t="shared" si="37"/>
        <v>-8.6082700916803503E-3</v>
      </c>
      <c r="H762" s="20">
        <f t="shared" si="38"/>
        <v>-2.0687722698885559E-2</v>
      </c>
      <c r="I762" s="3"/>
    </row>
    <row r="763" spans="1:9" x14ac:dyDescent="0.3">
      <c r="A763" s="2">
        <v>43040</v>
      </c>
      <c r="B763" s="1">
        <v>41.722499999999997</v>
      </c>
      <c r="C763" s="1">
        <v>1103.68</v>
      </c>
      <c r="D763" s="1">
        <v>182.66</v>
      </c>
      <c r="E763" s="3"/>
      <c r="F763" s="20">
        <f t="shared" si="36"/>
        <v>-1.2800460552489778E-2</v>
      </c>
      <c r="G763" s="20">
        <f t="shared" si="37"/>
        <v>-1.4486457697829532E-3</v>
      </c>
      <c r="H763" s="20">
        <f t="shared" si="38"/>
        <v>1.4336372583202165E-2</v>
      </c>
      <c r="I763" s="3"/>
    </row>
    <row r="764" spans="1:9" x14ac:dyDescent="0.3">
      <c r="A764" s="2">
        <v>43039</v>
      </c>
      <c r="B764" s="1">
        <v>42.26</v>
      </c>
      <c r="C764" s="1">
        <v>1105.28</v>
      </c>
      <c r="D764" s="1">
        <v>180.06</v>
      </c>
      <c r="E764" s="3"/>
      <c r="F764" s="20">
        <f t="shared" si="36"/>
        <v>1.3819614742799051E-2</v>
      </c>
      <c r="G764" s="20">
        <f t="shared" si="37"/>
        <v>-5.0267915048775253E-3</v>
      </c>
      <c r="H764" s="20">
        <f t="shared" si="38"/>
        <v>1.0557609404512891E-3</v>
      </c>
      <c r="I764" s="3"/>
    </row>
    <row r="765" spans="1:9" x14ac:dyDescent="0.3">
      <c r="A765" s="2">
        <v>43038</v>
      </c>
      <c r="B765" s="1">
        <v>41.68</v>
      </c>
      <c r="C765" s="1">
        <v>1110.8499999999999</v>
      </c>
      <c r="D765" s="1">
        <v>179.87</v>
      </c>
      <c r="E765" s="3"/>
      <c r="F765" s="20">
        <f t="shared" si="36"/>
        <v>2.2258856329673924E-2</v>
      </c>
      <c r="G765" s="20">
        <f t="shared" si="37"/>
        <v>8.9520445923419439E-3</v>
      </c>
      <c r="H765" s="20">
        <f t="shared" si="38"/>
        <v>1.1125202097383654E-2</v>
      </c>
      <c r="I765" s="3"/>
    </row>
    <row r="766" spans="1:9" x14ac:dyDescent="0.3">
      <c r="A766" s="2">
        <v>43035</v>
      </c>
      <c r="B766" s="1">
        <v>40.762500000000003</v>
      </c>
      <c r="C766" s="1">
        <v>1100.95</v>
      </c>
      <c r="D766" s="1">
        <v>177.88</v>
      </c>
      <c r="E766" s="3"/>
      <c r="F766" s="20">
        <f t="shared" si="36"/>
        <v>3.5203035868598229E-2</v>
      </c>
      <c r="G766" s="20">
        <f t="shared" si="37"/>
        <v>0.12413073179845519</v>
      </c>
      <c r="H766" s="20">
        <f t="shared" si="38"/>
        <v>4.1611696103322174E-2</v>
      </c>
      <c r="I766" s="3"/>
    </row>
    <row r="767" spans="1:9" x14ac:dyDescent="0.3">
      <c r="A767" s="2">
        <v>43034</v>
      </c>
      <c r="B767" s="1">
        <v>39.352499999999999</v>
      </c>
      <c r="C767" s="1">
        <v>972.42989999999998</v>
      </c>
      <c r="D767" s="1">
        <v>170.63</v>
      </c>
      <c r="E767" s="3"/>
      <c r="F767" s="20">
        <f t="shared" si="36"/>
        <v>6.3731016805799413E-3</v>
      </c>
      <c r="G767" s="20">
        <f t="shared" si="37"/>
        <v>-4.9348706045207079E-4</v>
      </c>
      <c r="H767" s="20">
        <f t="shared" si="38"/>
        <v>1.7583448159474348E-4</v>
      </c>
      <c r="I767" s="3"/>
    </row>
    <row r="768" spans="1:9" x14ac:dyDescent="0.3">
      <c r="A768" s="2">
        <v>43033</v>
      </c>
      <c r="B768" s="1">
        <v>39.102499999999999</v>
      </c>
      <c r="C768" s="1">
        <v>972.90989999999999</v>
      </c>
      <c r="D768" s="1">
        <v>170.6</v>
      </c>
      <c r="E768" s="3"/>
      <c r="F768" s="20">
        <f t="shared" si="36"/>
        <v>-4.4017805754252856E-3</v>
      </c>
      <c r="G768" s="20">
        <f t="shared" si="37"/>
        <v>-3.0685419851033723E-3</v>
      </c>
      <c r="H768" s="20">
        <f t="shared" si="38"/>
        <v>-7.0093744925763882E-3</v>
      </c>
      <c r="I768" s="3"/>
    </row>
    <row r="769" spans="1:9" x14ac:dyDescent="0.3">
      <c r="A769" s="2">
        <v>43032</v>
      </c>
      <c r="B769" s="1">
        <v>39.274999999999999</v>
      </c>
      <c r="C769" s="1">
        <v>975.8999</v>
      </c>
      <c r="D769" s="1">
        <v>171.8</v>
      </c>
      <c r="E769" s="3"/>
      <c r="F769" s="20">
        <f t="shared" si="36"/>
        <v>5.9373877618210304E-3</v>
      </c>
      <c r="G769" s="20">
        <f t="shared" si="37"/>
        <v>9.8856746726321432E-3</v>
      </c>
      <c r="H769" s="20">
        <f t="shared" si="38"/>
        <v>3.0897509058774521E-3</v>
      </c>
      <c r="I769" s="3"/>
    </row>
    <row r="770" spans="1:9" x14ac:dyDescent="0.3">
      <c r="A770" s="2">
        <v>43031</v>
      </c>
      <c r="B770" s="1">
        <v>39.042499999999997</v>
      </c>
      <c r="C770" s="1">
        <v>966.3</v>
      </c>
      <c r="D770" s="1">
        <v>171.27</v>
      </c>
      <c r="E770" s="3"/>
      <c r="F770" s="20">
        <f t="shared" si="36"/>
        <v>-5.1213111675649757E-4</v>
      </c>
      <c r="G770" s="20">
        <f t="shared" si="37"/>
        <v>-1.7043112751818593E-2</v>
      </c>
      <c r="H770" s="20">
        <f t="shared" si="38"/>
        <v>-2.1430423033840899E-2</v>
      </c>
      <c r="I770" s="3"/>
    </row>
    <row r="771" spans="1:9" x14ac:dyDescent="0.3">
      <c r="A771" s="2">
        <v>43028</v>
      </c>
      <c r="B771" s="1">
        <v>39.0625</v>
      </c>
      <c r="C771" s="1">
        <v>982.90989999999999</v>
      </c>
      <c r="D771" s="1">
        <v>174.98</v>
      </c>
      <c r="E771" s="3"/>
      <c r="F771" s="20">
        <f t="shared" si="36"/>
        <v>1.7294947141589226E-3</v>
      </c>
      <c r="G771" s="20">
        <f t="shared" si="37"/>
        <v>-3.7574681683446472E-3</v>
      </c>
      <c r="H771" s="20">
        <f t="shared" si="38"/>
        <v>2.4031595933577568E-3</v>
      </c>
      <c r="I771" s="3"/>
    </row>
    <row r="772" spans="1:9" x14ac:dyDescent="0.3">
      <c r="A772" s="2">
        <v>43027</v>
      </c>
      <c r="B772" s="1">
        <v>38.994999999999997</v>
      </c>
      <c r="C772" s="1">
        <v>986.61009999999999</v>
      </c>
      <c r="D772" s="1">
        <v>174.56</v>
      </c>
      <c r="E772" s="3"/>
      <c r="F772" s="20">
        <f t="shared" si="36"/>
        <v>-2.3944895205207848E-2</v>
      </c>
      <c r="G772" s="20">
        <f t="shared" si="37"/>
        <v>-1.0475844036412272E-2</v>
      </c>
      <c r="H772" s="20">
        <f t="shared" si="38"/>
        <v>-8.3859129731202083E-3</v>
      </c>
      <c r="I772" s="3"/>
    </row>
    <row r="773" spans="1:9" x14ac:dyDescent="0.3">
      <c r="A773" s="2">
        <v>43026</v>
      </c>
      <c r="B773" s="1">
        <v>39.94</v>
      </c>
      <c r="C773" s="1">
        <v>997</v>
      </c>
      <c r="D773" s="1">
        <v>176.03</v>
      </c>
      <c r="E773" s="3"/>
      <c r="F773" s="20">
        <f t="shared" si="36"/>
        <v>-4.4343201037087146E-3</v>
      </c>
      <c r="G773" s="20">
        <f t="shared" si="37"/>
        <v>-1.2093082528629832E-2</v>
      </c>
      <c r="H773" s="20">
        <f t="shared" si="38"/>
        <v>-4.5436474911296417E-4</v>
      </c>
      <c r="I773" s="3"/>
    </row>
    <row r="774" spans="1:9" x14ac:dyDescent="0.3">
      <c r="A774" s="2">
        <v>43025</v>
      </c>
      <c r="B774" s="1">
        <v>40.1175</v>
      </c>
      <c r="C774" s="1">
        <v>1009.13</v>
      </c>
      <c r="D774" s="1">
        <v>176.11</v>
      </c>
      <c r="E774" s="3"/>
      <c r="F774" s="20">
        <f t="shared" ref="F774:F837" si="39">LN(B774/B775)</f>
        <v>3.6834753681455868E-3</v>
      </c>
      <c r="G774" s="20">
        <f t="shared" ref="G774:G837" si="40">LN(C774/C775)</f>
        <v>2.768586763513345E-3</v>
      </c>
      <c r="H774" s="20">
        <f t="shared" ref="H774:H837" si="41">LN(D774/D775)</f>
        <v>9.0694515515850078E-3</v>
      </c>
      <c r="I774" s="3"/>
    </row>
    <row r="775" spans="1:9" x14ac:dyDescent="0.3">
      <c r="A775" s="2">
        <v>43024</v>
      </c>
      <c r="B775" s="1">
        <v>39.97</v>
      </c>
      <c r="C775" s="1">
        <v>1006.34</v>
      </c>
      <c r="D775" s="1">
        <v>174.52</v>
      </c>
      <c r="E775" s="3"/>
      <c r="F775" s="20">
        <f t="shared" si="39"/>
        <v>1.8241424790896469E-2</v>
      </c>
      <c r="G775" s="20">
        <f t="shared" si="40"/>
        <v>3.3843000927237308E-3</v>
      </c>
      <c r="H775" s="20">
        <f t="shared" si="41"/>
        <v>4.4794194236344809E-3</v>
      </c>
      <c r="I775" s="3"/>
    </row>
    <row r="776" spans="1:9" x14ac:dyDescent="0.3">
      <c r="A776" s="2">
        <v>43021</v>
      </c>
      <c r="B776" s="1">
        <v>39.247500000000002</v>
      </c>
      <c r="C776" s="1">
        <v>1002.94</v>
      </c>
      <c r="D776" s="1">
        <v>173.74</v>
      </c>
      <c r="E776" s="3"/>
      <c r="F776" s="20">
        <f t="shared" si="39"/>
        <v>6.3261018026892456E-3</v>
      </c>
      <c r="G776" s="20">
        <f t="shared" si="40"/>
        <v>2.0061188341619508E-3</v>
      </c>
      <c r="H776" s="20">
        <f t="shared" si="41"/>
        <v>6.8728792877620504E-3</v>
      </c>
      <c r="I776" s="3"/>
    </row>
    <row r="777" spans="1:9" x14ac:dyDescent="0.3">
      <c r="A777" s="2">
        <v>43020</v>
      </c>
      <c r="B777" s="1">
        <v>39</v>
      </c>
      <c r="C777" s="1">
        <v>1000.93</v>
      </c>
      <c r="D777" s="1">
        <v>172.55</v>
      </c>
      <c r="E777" s="3"/>
      <c r="F777" s="20">
        <f t="shared" si="39"/>
        <v>-3.5194405228776925E-3</v>
      </c>
      <c r="G777" s="20">
        <f t="shared" si="40"/>
        <v>5.9421096414764302E-3</v>
      </c>
      <c r="H777" s="20">
        <f t="shared" si="41"/>
        <v>-1.1005243081270786E-3</v>
      </c>
      <c r="I777" s="3"/>
    </row>
    <row r="778" spans="1:9" x14ac:dyDescent="0.3">
      <c r="A778" s="2">
        <v>43019</v>
      </c>
      <c r="B778" s="1">
        <v>39.137500000000003</v>
      </c>
      <c r="C778" s="1">
        <v>995</v>
      </c>
      <c r="D778" s="1">
        <v>172.74</v>
      </c>
      <c r="E778" s="3"/>
      <c r="F778" s="20">
        <f t="shared" si="39"/>
        <v>4.1606717086839096E-3</v>
      </c>
      <c r="G778" s="20">
        <f t="shared" si="40"/>
        <v>7.8700840074693527E-3</v>
      </c>
      <c r="H778" s="20">
        <f t="shared" si="41"/>
        <v>6.6796635546099437E-3</v>
      </c>
      <c r="I778" s="3"/>
    </row>
    <row r="779" spans="1:9" x14ac:dyDescent="0.3">
      <c r="A779" s="2">
        <v>43018</v>
      </c>
      <c r="B779" s="1">
        <v>38.975000000000001</v>
      </c>
      <c r="C779" s="1">
        <v>987.2</v>
      </c>
      <c r="D779" s="1">
        <v>171.59</v>
      </c>
      <c r="E779" s="3"/>
      <c r="F779" s="20">
        <f t="shared" si="39"/>
        <v>3.8493616950590253E-4</v>
      </c>
      <c r="G779" s="20">
        <f t="shared" si="40"/>
        <v>-3.8317903105957139E-3</v>
      </c>
      <c r="H779" s="20">
        <f t="shared" si="41"/>
        <v>-5.2893261738847126E-3</v>
      </c>
      <c r="I779" s="3"/>
    </row>
    <row r="780" spans="1:9" x14ac:dyDescent="0.3">
      <c r="A780" s="2">
        <v>43017</v>
      </c>
      <c r="B780" s="1">
        <v>38.96</v>
      </c>
      <c r="C780" s="1">
        <v>990.99</v>
      </c>
      <c r="D780" s="1">
        <v>172.5</v>
      </c>
      <c r="E780" s="3"/>
      <c r="F780" s="20">
        <f t="shared" si="39"/>
        <v>3.4711097395836001E-3</v>
      </c>
      <c r="G780" s="20">
        <f t="shared" si="40"/>
        <v>1.4237317206364077E-3</v>
      </c>
      <c r="H780" s="20">
        <f t="shared" si="41"/>
        <v>1.5664436237594254E-3</v>
      </c>
      <c r="I780" s="3"/>
    </row>
    <row r="781" spans="1:9" x14ac:dyDescent="0.3">
      <c r="A781" s="2">
        <v>43014</v>
      </c>
      <c r="B781" s="1">
        <v>38.825000000000003</v>
      </c>
      <c r="C781" s="1">
        <v>989.58010000000002</v>
      </c>
      <c r="D781" s="1">
        <v>172.23</v>
      </c>
      <c r="E781" s="3"/>
      <c r="F781" s="20">
        <f t="shared" si="39"/>
        <v>-5.7935564400123834E-4</v>
      </c>
      <c r="G781" s="20">
        <f t="shared" si="40"/>
        <v>8.8610671133051312E-3</v>
      </c>
      <c r="H781" s="20">
        <f t="shared" si="41"/>
        <v>5.7647115709095675E-3</v>
      </c>
      <c r="I781" s="3"/>
    </row>
    <row r="782" spans="1:9" x14ac:dyDescent="0.3">
      <c r="A782" s="2">
        <v>43013</v>
      </c>
      <c r="B782" s="1">
        <v>38.847499999999997</v>
      </c>
      <c r="C782" s="1">
        <v>980.8501</v>
      </c>
      <c r="D782" s="1">
        <v>171.24</v>
      </c>
      <c r="E782" s="3"/>
      <c r="F782" s="20">
        <f t="shared" si="39"/>
        <v>1.2367820419891035E-2</v>
      </c>
      <c r="G782" s="20">
        <f t="shared" si="40"/>
        <v>1.5825330739229891E-2</v>
      </c>
      <c r="H782" s="20">
        <f t="shared" si="41"/>
        <v>1.6605221674899348E-2</v>
      </c>
      <c r="I782" s="3"/>
    </row>
    <row r="783" spans="1:9" x14ac:dyDescent="0.3">
      <c r="A783" s="2">
        <v>43012</v>
      </c>
      <c r="B783" s="1">
        <v>38.369999999999997</v>
      </c>
      <c r="C783" s="1">
        <v>965.45</v>
      </c>
      <c r="D783" s="1">
        <v>168.42</v>
      </c>
      <c r="E783" s="3"/>
      <c r="F783" s="20">
        <f t="shared" si="39"/>
        <v>-6.4943727415074171E-3</v>
      </c>
      <c r="G783" s="20">
        <f t="shared" si="40"/>
        <v>8.6863302044020915E-3</v>
      </c>
      <c r="H783" s="20">
        <f t="shared" si="41"/>
        <v>-9.1022556447647625E-3</v>
      </c>
      <c r="I783" s="3"/>
    </row>
    <row r="784" spans="1:9" x14ac:dyDescent="0.3">
      <c r="A784" s="2">
        <v>43011</v>
      </c>
      <c r="B784" s="1">
        <v>38.619999999999997</v>
      </c>
      <c r="C784" s="1">
        <v>957.1001</v>
      </c>
      <c r="D784" s="1">
        <v>169.96</v>
      </c>
      <c r="E784" s="3"/>
      <c r="F784" s="20">
        <f t="shared" si="39"/>
        <v>4.3465636565400059E-3</v>
      </c>
      <c r="G784" s="20">
        <f t="shared" si="40"/>
        <v>-2.1810903657154823E-3</v>
      </c>
      <c r="H784" s="20">
        <f t="shared" si="41"/>
        <v>2.8871952413303398E-3</v>
      </c>
      <c r="I784" s="3"/>
    </row>
    <row r="785" spans="1:9" x14ac:dyDescent="0.3">
      <c r="A785" s="2">
        <v>43010</v>
      </c>
      <c r="B785" s="1">
        <v>38.452500000000001</v>
      </c>
      <c r="C785" s="1">
        <v>959.18989999999997</v>
      </c>
      <c r="D785" s="1">
        <v>169.47</v>
      </c>
      <c r="E785" s="3"/>
      <c r="F785" s="20">
        <f t="shared" si="39"/>
        <v>-2.0134452942379699E-3</v>
      </c>
      <c r="G785" s="20">
        <f t="shared" si="40"/>
        <v>-2.2495765888670225E-3</v>
      </c>
      <c r="H785" s="20">
        <f t="shared" si="41"/>
        <v>-8.2271134549016557E-3</v>
      </c>
      <c r="I785" s="3"/>
    </row>
    <row r="786" spans="1:9" x14ac:dyDescent="0.3">
      <c r="A786" s="2">
        <v>43007</v>
      </c>
      <c r="B786" s="1">
        <v>38.53</v>
      </c>
      <c r="C786" s="1">
        <v>961.3501</v>
      </c>
      <c r="D786" s="1">
        <v>170.87</v>
      </c>
      <c r="E786" s="3"/>
      <c r="F786" s="20">
        <f t="shared" si="39"/>
        <v>5.4652055354064899E-3</v>
      </c>
      <c r="G786" s="20">
        <f t="shared" si="40"/>
        <v>5.1625196133259169E-3</v>
      </c>
      <c r="H786" s="20">
        <f t="shared" si="41"/>
        <v>1.2603229249936019E-2</v>
      </c>
      <c r="I786" s="3"/>
    </row>
    <row r="787" spans="1:9" x14ac:dyDescent="0.3">
      <c r="A787" s="2">
        <v>43006</v>
      </c>
      <c r="B787" s="1">
        <v>38.32</v>
      </c>
      <c r="C787" s="1">
        <v>956.3999</v>
      </c>
      <c r="D787" s="1">
        <v>168.73</v>
      </c>
      <c r="E787" s="3"/>
      <c r="F787" s="20">
        <f t="shared" si="39"/>
        <v>-6.178680512972482E-3</v>
      </c>
      <c r="G787" s="20">
        <f t="shared" si="40"/>
        <v>5.7986708696305079E-3</v>
      </c>
      <c r="H787" s="20">
        <f t="shared" si="41"/>
        <v>6.2424030775686387E-3</v>
      </c>
      <c r="I787" s="3"/>
    </row>
    <row r="788" spans="1:9" x14ac:dyDescent="0.3">
      <c r="A788" s="2">
        <v>43005</v>
      </c>
      <c r="B788" s="1">
        <v>38.557499999999997</v>
      </c>
      <c r="C788" s="1">
        <v>950.87009999999998</v>
      </c>
      <c r="D788" s="1">
        <v>167.68</v>
      </c>
      <c r="E788" s="3"/>
      <c r="F788" s="20">
        <f t="shared" si="39"/>
        <v>7.0924590505456082E-3</v>
      </c>
      <c r="G788" s="20">
        <f t="shared" si="40"/>
        <v>1.2987950253802311E-2</v>
      </c>
      <c r="H788" s="20">
        <f t="shared" si="41"/>
        <v>2.091130462893126E-2</v>
      </c>
      <c r="I788" s="3"/>
    </row>
    <row r="789" spans="1:9" x14ac:dyDescent="0.3">
      <c r="A789" s="2">
        <v>43004</v>
      </c>
      <c r="B789" s="1">
        <v>38.284999999999997</v>
      </c>
      <c r="C789" s="1">
        <v>938.6001</v>
      </c>
      <c r="D789" s="1">
        <v>164.21</v>
      </c>
      <c r="E789" s="3"/>
      <c r="F789" s="20">
        <f t="shared" si="39"/>
        <v>1.7057280757234353E-2</v>
      </c>
      <c r="G789" s="20">
        <f t="shared" si="40"/>
        <v>-1.2669361483130237E-3</v>
      </c>
      <c r="H789" s="20">
        <f t="shared" si="41"/>
        <v>8.1937599182765296E-3</v>
      </c>
      <c r="I789" s="3"/>
    </row>
    <row r="790" spans="1:9" x14ac:dyDescent="0.3">
      <c r="A790" s="2">
        <v>43003</v>
      </c>
      <c r="B790" s="1">
        <v>37.637500000000003</v>
      </c>
      <c r="C790" s="1">
        <v>939.79</v>
      </c>
      <c r="D790" s="1">
        <v>162.87</v>
      </c>
      <c r="E790" s="3"/>
      <c r="F790" s="20">
        <f t="shared" si="39"/>
        <v>-8.8613197221845217E-3</v>
      </c>
      <c r="G790" s="20">
        <f t="shared" si="40"/>
        <v>-1.6159705691482361E-2</v>
      </c>
      <c r="H790" s="20">
        <f t="shared" si="41"/>
        <v>-4.601753672843404E-2</v>
      </c>
      <c r="I790" s="3"/>
    </row>
    <row r="791" spans="1:9" x14ac:dyDescent="0.3">
      <c r="A791" s="2">
        <v>43000</v>
      </c>
      <c r="B791" s="1">
        <v>37.972499999999997</v>
      </c>
      <c r="C791" s="1">
        <v>955.1001</v>
      </c>
      <c r="D791" s="1">
        <v>170.54</v>
      </c>
      <c r="E791" s="3"/>
      <c r="F791" s="20">
        <f t="shared" si="39"/>
        <v>-9.8271231100900656E-3</v>
      </c>
      <c r="G791" s="20">
        <f t="shared" si="40"/>
        <v>-9.949085842670076E-3</v>
      </c>
      <c r="H791" s="20">
        <f t="shared" si="41"/>
        <v>-3.3367512299756056E-3</v>
      </c>
      <c r="I791" s="3"/>
    </row>
    <row r="792" spans="1:9" x14ac:dyDescent="0.3">
      <c r="A792" s="2">
        <v>42999</v>
      </c>
      <c r="B792" s="1">
        <v>38.347499999999997</v>
      </c>
      <c r="C792" s="1">
        <v>964.6499</v>
      </c>
      <c r="D792" s="1">
        <v>171.11</v>
      </c>
      <c r="E792" s="3"/>
      <c r="F792" s="20">
        <f t="shared" si="39"/>
        <v>-1.7320926794444726E-2</v>
      </c>
      <c r="G792" s="20">
        <f t="shared" si="40"/>
        <v>-8.8346486523304089E-3</v>
      </c>
      <c r="H792" s="20">
        <f t="shared" si="41"/>
        <v>-6.1757362445016726E-3</v>
      </c>
      <c r="I792" s="3"/>
    </row>
    <row r="793" spans="1:9" x14ac:dyDescent="0.3">
      <c r="A793" s="2">
        <v>42998</v>
      </c>
      <c r="B793" s="1">
        <v>39.017499999999998</v>
      </c>
      <c r="C793" s="1">
        <v>973.21</v>
      </c>
      <c r="D793" s="1">
        <v>172.17</v>
      </c>
      <c r="E793" s="3"/>
      <c r="F793" s="20">
        <f t="shared" si="39"/>
        <v>-1.6900021029687743E-2</v>
      </c>
      <c r="G793" s="20">
        <f t="shared" si="40"/>
        <v>3.448051945146208E-3</v>
      </c>
      <c r="H793" s="20">
        <f t="shared" si="41"/>
        <v>-2.0308109912616609E-3</v>
      </c>
      <c r="I793" s="3"/>
    </row>
    <row r="794" spans="1:9" x14ac:dyDescent="0.3">
      <c r="A794" s="2">
        <v>42997</v>
      </c>
      <c r="B794" s="1">
        <v>39.682499999999997</v>
      </c>
      <c r="C794" s="1">
        <v>969.86009999999999</v>
      </c>
      <c r="D794" s="1">
        <v>172.52</v>
      </c>
      <c r="E794" s="3"/>
      <c r="F794" s="20">
        <f t="shared" si="39"/>
        <v>3.7807183815172522E-4</v>
      </c>
      <c r="G794" s="20">
        <f t="shared" si="40"/>
        <v>-4.454419546070368E-3</v>
      </c>
      <c r="H794" s="20">
        <f t="shared" si="41"/>
        <v>1.4655912930005021E-2</v>
      </c>
      <c r="I794" s="3"/>
    </row>
    <row r="795" spans="1:9" x14ac:dyDescent="0.3">
      <c r="A795" s="2">
        <v>42996</v>
      </c>
      <c r="B795" s="1">
        <v>39.667499999999997</v>
      </c>
      <c r="C795" s="1">
        <v>974.18989999999997</v>
      </c>
      <c r="D795" s="1">
        <v>170.01</v>
      </c>
      <c r="E795" s="3"/>
      <c r="F795" s="20">
        <f t="shared" si="39"/>
        <v>-7.5969600971246042E-3</v>
      </c>
      <c r="G795" s="20">
        <f t="shared" si="40"/>
        <v>-1.2850997000457817E-2</v>
      </c>
      <c r="H795" s="20">
        <f t="shared" si="41"/>
        <v>-9.5420012736863891E-3</v>
      </c>
      <c r="I795" s="3"/>
    </row>
    <row r="796" spans="1:9" x14ac:dyDescent="0.3">
      <c r="A796" s="2">
        <v>42993</v>
      </c>
      <c r="B796" s="1">
        <v>39.97</v>
      </c>
      <c r="C796" s="1">
        <v>986.79</v>
      </c>
      <c r="D796" s="1">
        <v>171.64</v>
      </c>
      <c r="E796" s="3"/>
      <c r="F796" s="20">
        <f t="shared" si="39"/>
        <v>1.00579173258993E-2</v>
      </c>
      <c r="G796" s="20">
        <f t="shared" si="40"/>
        <v>-5.477527591195238E-3</v>
      </c>
      <c r="H796" s="20">
        <f t="shared" si="41"/>
        <v>3.9696491124316521E-3</v>
      </c>
      <c r="I796" s="3"/>
    </row>
    <row r="797" spans="1:9" x14ac:dyDescent="0.3">
      <c r="A797" s="2">
        <v>42992</v>
      </c>
      <c r="B797" s="1">
        <v>39.57</v>
      </c>
      <c r="C797" s="1">
        <v>992.21</v>
      </c>
      <c r="D797" s="1">
        <v>170.96</v>
      </c>
      <c r="E797" s="3"/>
      <c r="F797" s="20">
        <f t="shared" si="39"/>
        <v>-8.6183026435675235E-3</v>
      </c>
      <c r="G797" s="20">
        <f t="shared" si="40"/>
        <v>-7.4205205714657748E-3</v>
      </c>
      <c r="H797" s="20">
        <f t="shared" si="41"/>
        <v>-1.2150959070461048E-2</v>
      </c>
      <c r="I797" s="3"/>
    </row>
    <row r="798" spans="1:9" x14ac:dyDescent="0.3">
      <c r="A798" s="2">
        <v>42991</v>
      </c>
      <c r="B798" s="1">
        <v>39.912500000000001</v>
      </c>
      <c r="C798" s="1">
        <v>999.6001</v>
      </c>
      <c r="D798" s="1">
        <v>173.05</v>
      </c>
      <c r="E798" s="3"/>
      <c r="F798" s="20">
        <f t="shared" si="39"/>
        <v>-7.5505023151319238E-3</v>
      </c>
      <c r="G798" s="20">
        <f t="shared" si="40"/>
        <v>1.7173431862956917E-2</v>
      </c>
      <c r="H798" s="20">
        <f t="shared" si="41"/>
        <v>5.2021619045517203E-4</v>
      </c>
      <c r="I798" s="3"/>
    </row>
    <row r="799" spans="1:9" x14ac:dyDescent="0.3">
      <c r="A799" s="2">
        <v>42990</v>
      </c>
      <c r="B799" s="1">
        <v>40.215000000000003</v>
      </c>
      <c r="C799" s="1">
        <v>982.58010000000002</v>
      </c>
      <c r="D799" s="1">
        <v>172.96</v>
      </c>
      <c r="E799" s="3"/>
      <c r="F799" s="20">
        <f t="shared" si="39"/>
        <v>-3.9707211867881752E-3</v>
      </c>
      <c r="G799" s="20">
        <f t="shared" si="40"/>
        <v>4.7130977349545064E-3</v>
      </c>
      <c r="H799" s="20">
        <f t="shared" si="41"/>
        <v>-3.1748807226821014E-3</v>
      </c>
      <c r="I799" s="3"/>
    </row>
    <row r="800" spans="1:9" x14ac:dyDescent="0.3">
      <c r="A800" s="2">
        <v>42989</v>
      </c>
      <c r="B800" s="1">
        <v>40.375</v>
      </c>
      <c r="C800" s="1">
        <v>977.96</v>
      </c>
      <c r="D800" s="1">
        <v>173.51</v>
      </c>
      <c r="E800" s="3"/>
      <c r="F800" s="20">
        <f t="shared" si="39"/>
        <v>1.7930696242347288E-2</v>
      </c>
      <c r="G800" s="20">
        <f t="shared" si="40"/>
        <v>1.2408563748038275E-2</v>
      </c>
      <c r="H800" s="20">
        <f t="shared" si="41"/>
        <v>1.4864118528270152E-2</v>
      </c>
      <c r="I800" s="3"/>
    </row>
    <row r="801" spans="1:9" x14ac:dyDescent="0.3">
      <c r="A801" s="2">
        <v>42986</v>
      </c>
      <c r="B801" s="1">
        <v>39.657499999999999</v>
      </c>
      <c r="C801" s="1">
        <v>965.8999</v>
      </c>
      <c r="D801" s="1">
        <v>170.95</v>
      </c>
      <c r="E801" s="3"/>
      <c r="F801" s="20">
        <f t="shared" si="39"/>
        <v>-1.6443522836512098E-2</v>
      </c>
      <c r="G801" s="20">
        <f t="shared" si="40"/>
        <v>-1.3951403389331032E-2</v>
      </c>
      <c r="H801" s="20">
        <f t="shared" si="41"/>
        <v>-1.3133615096878545E-2</v>
      </c>
      <c r="I801" s="3"/>
    </row>
    <row r="802" spans="1:9" x14ac:dyDescent="0.3">
      <c r="A802" s="2">
        <v>42985</v>
      </c>
      <c r="B802" s="1">
        <v>40.314999999999998</v>
      </c>
      <c r="C802" s="1">
        <v>979.47</v>
      </c>
      <c r="D802" s="1">
        <v>173.21</v>
      </c>
      <c r="E802" s="3"/>
      <c r="F802" s="20">
        <f t="shared" si="39"/>
        <v>-4.022656041785126E-3</v>
      </c>
      <c r="G802" s="20">
        <f t="shared" si="40"/>
        <v>1.1986154684971547E-2</v>
      </c>
      <c r="H802" s="20">
        <f t="shared" si="41"/>
        <v>6.4871354053691981E-3</v>
      </c>
      <c r="I802" s="3"/>
    </row>
    <row r="803" spans="1:9" x14ac:dyDescent="0.3">
      <c r="A803" s="2">
        <v>42984</v>
      </c>
      <c r="B803" s="1">
        <v>40.477499999999999</v>
      </c>
      <c r="C803" s="1">
        <v>967.8</v>
      </c>
      <c r="D803" s="1">
        <v>172.09</v>
      </c>
      <c r="E803" s="3"/>
      <c r="F803" s="20">
        <f t="shared" si="39"/>
        <v>-1.0494152017122579E-3</v>
      </c>
      <c r="G803" s="20">
        <f t="shared" si="40"/>
        <v>2.6175994088090968E-3</v>
      </c>
      <c r="H803" s="20">
        <f t="shared" si="41"/>
        <v>7.9928082233764446E-3</v>
      </c>
      <c r="I803" s="3"/>
    </row>
    <row r="804" spans="1:9" x14ac:dyDescent="0.3">
      <c r="A804" s="2">
        <v>42983</v>
      </c>
      <c r="B804" s="1">
        <v>40.520000000000003</v>
      </c>
      <c r="C804" s="1">
        <v>965.27</v>
      </c>
      <c r="D804" s="1">
        <v>170.72</v>
      </c>
      <c r="E804" s="3"/>
      <c r="F804" s="20">
        <f t="shared" si="39"/>
        <v>-1.208121890673741E-2</v>
      </c>
      <c r="G804" s="20">
        <f t="shared" si="40"/>
        <v>-1.3357406140112747E-2</v>
      </c>
      <c r="H804" s="20">
        <f t="shared" si="41"/>
        <v>-7.5859615698902604E-3</v>
      </c>
      <c r="I804" s="3"/>
    </row>
    <row r="805" spans="1:9" x14ac:dyDescent="0.3">
      <c r="A805" s="2">
        <v>42982</v>
      </c>
      <c r="B805" s="1">
        <v>41.012500000000003</v>
      </c>
      <c r="C805" s="1">
        <v>978.25</v>
      </c>
      <c r="D805" s="1">
        <v>172.02</v>
      </c>
      <c r="E805" s="3"/>
      <c r="F805" s="20">
        <f t="shared" si="39"/>
        <v>0</v>
      </c>
      <c r="G805" s="20">
        <f t="shared" si="40"/>
        <v>0</v>
      </c>
      <c r="H805" s="20">
        <f t="shared" si="41"/>
        <v>0</v>
      </c>
      <c r="I805" s="3"/>
    </row>
    <row r="806" spans="1:9" x14ac:dyDescent="0.3">
      <c r="A806" s="2">
        <v>42979</v>
      </c>
      <c r="B806" s="1">
        <v>41.012500000000003</v>
      </c>
      <c r="C806" s="1">
        <v>978.25</v>
      </c>
      <c r="D806" s="1">
        <v>172.02</v>
      </c>
      <c r="E806" s="3"/>
      <c r="F806" s="20">
        <f t="shared" si="39"/>
        <v>3.0483158291238273E-4</v>
      </c>
      <c r="G806" s="20">
        <f t="shared" si="40"/>
        <v>-2.399470104986381E-3</v>
      </c>
      <c r="H806" s="20">
        <f t="shared" si="41"/>
        <v>2.9070612722547403E-4</v>
      </c>
      <c r="I806" s="3"/>
    </row>
    <row r="807" spans="1:9" x14ac:dyDescent="0.3">
      <c r="A807" s="2">
        <v>42978</v>
      </c>
      <c r="B807" s="1">
        <v>41</v>
      </c>
      <c r="C807" s="1">
        <v>980.6001</v>
      </c>
      <c r="D807" s="1">
        <v>171.97</v>
      </c>
      <c r="E807" s="3"/>
      <c r="F807" s="20">
        <f t="shared" si="39"/>
        <v>3.9712897771193058E-3</v>
      </c>
      <c r="G807" s="20">
        <f t="shared" si="40"/>
        <v>1.3356184012598403E-2</v>
      </c>
      <c r="H807" s="20">
        <f t="shared" si="41"/>
        <v>1.1992304942534107E-2</v>
      </c>
      <c r="I807" s="3"/>
    </row>
    <row r="808" spans="1:9" x14ac:dyDescent="0.3">
      <c r="A808" s="2">
        <v>42977</v>
      </c>
      <c r="B808" s="1">
        <v>40.837499999999999</v>
      </c>
      <c r="C808" s="1">
        <v>967.59010000000001</v>
      </c>
      <c r="D808" s="1">
        <v>169.92</v>
      </c>
      <c r="E808" s="3"/>
      <c r="F808" s="20">
        <f t="shared" si="39"/>
        <v>2.6972369690011593E-3</v>
      </c>
      <c r="G808" s="20">
        <f t="shared" si="40"/>
        <v>1.4081879815344053E-2</v>
      </c>
      <c r="H808" s="20">
        <f t="shared" si="41"/>
        <v>1.1066183882459307E-2</v>
      </c>
      <c r="I808" s="3"/>
    </row>
    <row r="809" spans="1:9" x14ac:dyDescent="0.3">
      <c r="A809" s="2">
        <v>42976</v>
      </c>
      <c r="B809" s="1">
        <v>40.727499999999999</v>
      </c>
      <c r="C809" s="1">
        <v>954.06010000000003</v>
      </c>
      <c r="D809" s="1">
        <v>168.05</v>
      </c>
      <c r="E809" s="3"/>
      <c r="F809" s="20">
        <f t="shared" si="39"/>
        <v>8.878534184548318E-3</v>
      </c>
      <c r="G809" s="20">
        <f t="shared" si="40"/>
        <v>8.4629568901206428E-3</v>
      </c>
      <c r="H809" s="20">
        <f t="shared" si="41"/>
        <v>4.8316476827503846E-3</v>
      </c>
      <c r="I809" s="3"/>
    </row>
    <row r="810" spans="1:9" x14ac:dyDescent="0.3">
      <c r="A810" s="2">
        <v>42975</v>
      </c>
      <c r="B810" s="1">
        <v>40.3675</v>
      </c>
      <c r="C810" s="1">
        <v>946.02</v>
      </c>
      <c r="D810" s="1">
        <v>167.24</v>
      </c>
      <c r="E810" s="3"/>
      <c r="F810" s="20">
        <f t="shared" si="39"/>
        <v>1.0020934695656616E-2</v>
      </c>
      <c r="G810" s="20">
        <f t="shared" si="40"/>
        <v>8.036885505138346E-4</v>
      </c>
      <c r="H810" s="20">
        <f t="shared" si="41"/>
        <v>5.5162629386069683E-3</v>
      </c>
      <c r="I810" s="3"/>
    </row>
    <row r="811" spans="1:9" x14ac:dyDescent="0.3">
      <c r="A811" s="2">
        <v>42972</v>
      </c>
      <c r="B811" s="1">
        <v>39.965000000000003</v>
      </c>
      <c r="C811" s="1">
        <v>945.26</v>
      </c>
      <c r="D811" s="1">
        <v>166.32</v>
      </c>
      <c r="E811" s="3"/>
      <c r="F811" s="20">
        <f t="shared" si="39"/>
        <v>3.6975569341831244E-3</v>
      </c>
      <c r="G811" s="20">
        <f t="shared" si="40"/>
        <v>-7.5775902577756562E-3</v>
      </c>
      <c r="H811" s="20">
        <f t="shared" si="41"/>
        <v>-8.5015180065080524E-3</v>
      </c>
      <c r="I811" s="3"/>
    </row>
    <row r="812" spans="1:9" x14ac:dyDescent="0.3">
      <c r="A812" s="2">
        <v>42971</v>
      </c>
      <c r="B812" s="1">
        <v>39.817500000000003</v>
      </c>
      <c r="C812" s="1">
        <v>952.45</v>
      </c>
      <c r="D812" s="1">
        <v>167.74</v>
      </c>
      <c r="E812" s="3"/>
      <c r="F812" s="20">
        <f t="shared" si="39"/>
        <v>-4.4479321569858496E-3</v>
      </c>
      <c r="G812" s="20">
        <f t="shared" si="40"/>
        <v>-5.8101657861534296E-3</v>
      </c>
      <c r="H812" s="20">
        <f t="shared" si="41"/>
        <v>-5.7661030616179901E-3</v>
      </c>
      <c r="I812" s="3"/>
    </row>
    <row r="813" spans="1:9" x14ac:dyDescent="0.3">
      <c r="A813" s="2">
        <v>42970</v>
      </c>
      <c r="B813" s="1">
        <v>39.994999999999997</v>
      </c>
      <c r="C813" s="1">
        <v>958</v>
      </c>
      <c r="D813" s="1">
        <v>168.71</v>
      </c>
      <c r="E813" s="3"/>
      <c r="F813" s="20">
        <f t="shared" si="39"/>
        <v>1.2509383667799843E-3</v>
      </c>
      <c r="G813" s="20">
        <f t="shared" si="40"/>
        <v>-9.2471960953243743E-3</v>
      </c>
      <c r="H813" s="20">
        <f t="shared" si="41"/>
        <v>-5.4972799885063765E-3</v>
      </c>
      <c r="I813" s="3"/>
    </row>
    <row r="814" spans="1:9" x14ac:dyDescent="0.3">
      <c r="A814" s="2">
        <v>42969</v>
      </c>
      <c r="B814" s="1">
        <v>39.945</v>
      </c>
      <c r="C814" s="1">
        <v>966.8999</v>
      </c>
      <c r="D814" s="1">
        <v>169.64</v>
      </c>
      <c r="E814" s="3"/>
      <c r="F814" s="20">
        <f t="shared" si="39"/>
        <v>1.621537785047325E-2</v>
      </c>
      <c r="G814" s="20">
        <f t="shared" si="40"/>
        <v>1.4175814498940086E-2</v>
      </c>
      <c r="H814" s="20">
        <f t="shared" si="41"/>
        <v>1.1024947188241277E-2</v>
      </c>
      <c r="I814" s="3"/>
    </row>
    <row r="815" spans="1:9" x14ac:dyDescent="0.3">
      <c r="A815" s="2">
        <v>42968</v>
      </c>
      <c r="B815" s="1">
        <v>39.302500000000002</v>
      </c>
      <c r="C815" s="1">
        <v>953.29</v>
      </c>
      <c r="D815" s="1">
        <v>167.78</v>
      </c>
      <c r="E815" s="3"/>
      <c r="F815" s="20">
        <f t="shared" si="39"/>
        <v>-1.8429670622651449E-3</v>
      </c>
      <c r="G815" s="20">
        <f t="shared" si="40"/>
        <v>-5.4191035240950475E-3</v>
      </c>
      <c r="H815" s="20">
        <f t="shared" si="41"/>
        <v>2.2077039904552427E-3</v>
      </c>
      <c r="I815" s="3"/>
    </row>
    <row r="816" spans="1:9" x14ac:dyDescent="0.3">
      <c r="A816" s="2">
        <v>42965</v>
      </c>
      <c r="B816" s="1">
        <v>39.375</v>
      </c>
      <c r="C816" s="1">
        <v>958.47</v>
      </c>
      <c r="D816" s="1">
        <v>167.41</v>
      </c>
      <c r="E816" s="3"/>
      <c r="F816" s="20">
        <f t="shared" si="39"/>
        <v>-2.2831060145687434E-3</v>
      </c>
      <c r="G816" s="20">
        <f t="shared" si="40"/>
        <v>-2.1886992756020205E-3</v>
      </c>
      <c r="H816" s="20">
        <f t="shared" si="41"/>
        <v>2.9911484373672235E-3</v>
      </c>
      <c r="I816" s="3"/>
    </row>
    <row r="817" spans="1:9" x14ac:dyDescent="0.3">
      <c r="A817" s="2">
        <v>42964</v>
      </c>
      <c r="B817" s="1">
        <v>39.465000000000003</v>
      </c>
      <c r="C817" s="1">
        <v>960.57010000000002</v>
      </c>
      <c r="D817" s="1">
        <v>166.91</v>
      </c>
      <c r="E817" s="3"/>
      <c r="F817" s="20">
        <f t="shared" si="39"/>
        <v>-1.9385193464560663E-2</v>
      </c>
      <c r="G817" s="20">
        <f t="shared" si="40"/>
        <v>-1.8166637581997366E-2</v>
      </c>
      <c r="H817" s="20">
        <f t="shared" si="41"/>
        <v>-1.8343692059935707E-2</v>
      </c>
      <c r="I817" s="3"/>
    </row>
    <row r="818" spans="1:9" x14ac:dyDescent="0.3">
      <c r="A818" s="2">
        <v>42963</v>
      </c>
      <c r="B818" s="1">
        <v>40.237499999999997</v>
      </c>
      <c r="C818" s="1">
        <v>978.17989999999998</v>
      </c>
      <c r="D818" s="1">
        <v>170</v>
      </c>
      <c r="E818" s="3"/>
      <c r="F818" s="20">
        <f t="shared" si="39"/>
        <v>-4.0303883421779225E-3</v>
      </c>
      <c r="G818" s="20">
        <f t="shared" si="40"/>
        <v>-4.6509887734038228E-3</v>
      </c>
      <c r="H818" s="20">
        <f t="shared" si="41"/>
        <v>-5.8651194523981339E-3</v>
      </c>
      <c r="I818" s="3"/>
    </row>
    <row r="819" spans="1:9" x14ac:dyDescent="0.3">
      <c r="A819" s="2">
        <v>42962</v>
      </c>
      <c r="B819" s="1">
        <v>40.4</v>
      </c>
      <c r="C819" s="1">
        <v>982.74</v>
      </c>
      <c r="D819" s="1">
        <v>171</v>
      </c>
      <c r="E819" s="3"/>
      <c r="F819" s="20">
        <f t="shared" si="39"/>
        <v>1.0888270581144492E-2</v>
      </c>
      <c r="G819" s="20">
        <f t="shared" si="40"/>
        <v>-5.6967306376728944E-4</v>
      </c>
      <c r="H819" s="20">
        <f t="shared" si="41"/>
        <v>1.4630580517603152E-3</v>
      </c>
      <c r="I819" s="3"/>
    </row>
    <row r="820" spans="1:9" x14ac:dyDescent="0.3">
      <c r="A820" s="2">
        <v>42961</v>
      </c>
      <c r="B820" s="1">
        <v>39.962499999999999</v>
      </c>
      <c r="C820" s="1">
        <v>983.3</v>
      </c>
      <c r="D820" s="1">
        <v>170.75</v>
      </c>
      <c r="E820" s="3"/>
      <c r="F820" s="20">
        <f t="shared" si="39"/>
        <v>1.4937409430313778E-2</v>
      </c>
      <c r="G820" s="20">
        <f t="shared" si="40"/>
        <v>1.5692505141406559E-2</v>
      </c>
      <c r="H820" s="20">
        <f t="shared" si="41"/>
        <v>1.5760441914154315E-2</v>
      </c>
      <c r="I820" s="3"/>
    </row>
    <row r="821" spans="1:9" x14ac:dyDescent="0.3">
      <c r="A821" s="2">
        <v>42958</v>
      </c>
      <c r="B821" s="1">
        <v>39.369999999999997</v>
      </c>
      <c r="C821" s="1">
        <v>967.99</v>
      </c>
      <c r="D821" s="1">
        <v>168.08</v>
      </c>
      <c r="E821" s="3"/>
      <c r="F821" s="20">
        <f t="shared" si="39"/>
        <v>1.381096121207025E-2</v>
      </c>
      <c r="G821" s="20">
        <f t="shared" si="40"/>
        <v>1.1502067754272531E-2</v>
      </c>
      <c r="H821" s="20">
        <f t="shared" si="41"/>
        <v>4.0538984813700621E-3</v>
      </c>
      <c r="I821" s="3"/>
    </row>
    <row r="822" spans="1:9" x14ac:dyDescent="0.3">
      <c r="A822" s="2">
        <v>42957</v>
      </c>
      <c r="B822" s="1">
        <v>38.83</v>
      </c>
      <c r="C822" s="1">
        <v>956.91989999999998</v>
      </c>
      <c r="D822" s="1">
        <v>167.4</v>
      </c>
      <c r="E822" s="3"/>
      <c r="F822" s="20">
        <f t="shared" si="39"/>
        <v>-3.628946150393237E-2</v>
      </c>
      <c r="G822" s="20">
        <f t="shared" si="40"/>
        <v>-2.5881802711574118E-2</v>
      </c>
      <c r="H822" s="20">
        <f t="shared" si="41"/>
        <v>-2.2329476398088657E-2</v>
      </c>
      <c r="I822" s="3"/>
    </row>
    <row r="823" spans="1:9" x14ac:dyDescent="0.3">
      <c r="A823" s="2">
        <v>42956</v>
      </c>
      <c r="B823" s="1">
        <v>40.265000000000001</v>
      </c>
      <c r="C823" s="1">
        <v>982.01</v>
      </c>
      <c r="D823" s="1">
        <v>171.18</v>
      </c>
      <c r="E823" s="3"/>
      <c r="F823" s="20">
        <f t="shared" si="39"/>
        <v>6.1032760919208593E-3</v>
      </c>
      <c r="G823" s="20">
        <f t="shared" si="40"/>
        <v>-7.941923330138323E-3</v>
      </c>
      <c r="H823" s="20">
        <f t="shared" si="41"/>
        <v>-2.9204754741600069E-4</v>
      </c>
      <c r="I823" s="3"/>
    </row>
    <row r="824" spans="1:9" x14ac:dyDescent="0.3">
      <c r="A824" s="2">
        <v>42955</v>
      </c>
      <c r="B824" s="1">
        <v>40.020000000000003</v>
      </c>
      <c r="C824" s="1">
        <v>989.84010000000001</v>
      </c>
      <c r="D824" s="1">
        <v>171.23</v>
      </c>
      <c r="E824" s="3"/>
      <c r="F824" s="20">
        <f t="shared" si="39"/>
        <v>7.9651711529227162E-3</v>
      </c>
      <c r="G824" s="20">
        <f t="shared" si="40"/>
        <v>-2.4518327385297778E-3</v>
      </c>
      <c r="H824" s="20">
        <f t="shared" si="41"/>
        <v>-4.3705089818706607E-3</v>
      </c>
      <c r="I824" s="3"/>
    </row>
    <row r="825" spans="1:9" x14ac:dyDescent="0.3">
      <c r="A825" s="2">
        <v>42954</v>
      </c>
      <c r="B825" s="1">
        <v>39.702500000000001</v>
      </c>
      <c r="C825" s="1">
        <v>992.27</v>
      </c>
      <c r="D825" s="1">
        <v>171.98</v>
      </c>
      <c r="E825" s="3"/>
      <c r="F825" s="20">
        <f t="shared" si="39"/>
        <v>1.535563167443117E-2</v>
      </c>
      <c r="G825" s="20">
        <f t="shared" si="40"/>
        <v>4.7376402609024034E-3</v>
      </c>
      <c r="H825" s="20">
        <f t="shared" si="41"/>
        <v>1.3817550049196376E-2</v>
      </c>
      <c r="I825" s="3"/>
    </row>
    <row r="826" spans="1:9" x14ac:dyDescent="0.3">
      <c r="A826" s="2">
        <v>42951</v>
      </c>
      <c r="B826" s="1">
        <v>39.097499999999997</v>
      </c>
      <c r="C826" s="1">
        <v>987.58010000000002</v>
      </c>
      <c r="D826" s="1">
        <v>169.62</v>
      </c>
      <c r="E826" s="3"/>
      <c r="F826" s="20">
        <f t="shared" si="39"/>
        <v>5.2570963490941669E-3</v>
      </c>
      <c r="G826" s="20">
        <f t="shared" si="40"/>
        <v>6.6872628473350871E-4</v>
      </c>
      <c r="H826" s="20">
        <f t="shared" si="41"/>
        <v>6.0909091058441982E-3</v>
      </c>
      <c r="I826" s="3"/>
    </row>
    <row r="827" spans="1:9" x14ac:dyDescent="0.3">
      <c r="A827" s="2">
        <v>42950</v>
      </c>
      <c r="B827" s="1">
        <v>38.892499999999998</v>
      </c>
      <c r="C827" s="1">
        <v>986.91989999999998</v>
      </c>
      <c r="D827" s="1">
        <v>168.59</v>
      </c>
      <c r="E827" s="3"/>
      <c r="F827" s="20">
        <f t="shared" si="39"/>
        <v>-1.0041336648645385E-2</v>
      </c>
      <c r="G827" s="20">
        <f t="shared" si="40"/>
        <v>-9.0478281806501363E-3</v>
      </c>
      <c r="H827" s="20">
        <f t="shared" si="41"/>
        <v>-4.2025573113798967E-3</v>
      </c>
      <c r="I827" s="3"/>
    </row>
    <row r="828" spans="1:9" x14ac:dyDescent="0.3">
      <c r="A828" s="2">
        <v>42949</v>
      </c>
      <c r="B828" s="1">
        <v>39.284999999999997</v>
      </c>
      <c r="C828" s="1">
        <v>995.88990000000001</v>
      </c>
      <c r="D828" s="1">
        <v>169.3</v>
      </c>
      <c r="E828" s="3"/>
      <c r="F828" s="20">
        <f t="shared" si="39"/>
        <v>4.6168555861299192E-2</v>
      </c>
      <c r="G828" s="20">
        <f t="shared" si="40"/>
        <v>-3.0119275569977195E-4</v>
      </c>
      <c r="H828" s="20">
        <f t="shared" si="41"/>
        <v>-3.3022792127736168E-3</v>
      </c>
      <c r="I828" s="3"/>
    </row>
    <row r="829" spans="1:9" x14ac:dyDescent="0.3">
      <c r="A829" s="2">
        <v>42948</v>
      </c>
      <c r="B829" s="1">
        <v>37.512500000000003</v>
      </c>
      <c r="C829" s="1">
        <v>996.18989999999997</v>
      </c>
      <c r="D829" s="1">
        <v>169.86</v>
      </c>
      <c r="E829" s="3"/>
      <c r="F829" s="20">
        <f t="shared" si="39"/>
        <v>8.8359902818695938E-3</v>
      </c>
      <c r="G829" s="20">
        <f t="shared" si="40"/>
        <v>8.477901173402063E-3</v>
      </c>
      <c r="H829" s="20">
        <f t="shared" si="41"/>
        <v>3.5976565594789071E-3</v>
      </c>
      <c r="I829" s="3"/>
    </row>
    <row r="830" spans="1:9" x14ac:dyDescent="0.3">
      <c r="A830" s="2">
        <v>42947</v>
      </c>
      <c r="B830" s="1">
        <v>37.182499999999997</v>
      </c>
      <c r="C830" s="1">
        <v>987.78</v>
      </c>
      <c r="D830" s="1">
        <v>169.25</v>
      </c>
      <c r="E830" s="3"/>
      <c r="F830" s="20">
        <f t="shared" si="39"/>
        <v>-5.1638112262346004E-3</v>
      </c>
      <c r="G830" s="20">
        <f t="shared" si="40"/>
        <v>-3.2137120307690885E-2</v>
      </c>
      <c r="H830" s="20">
        <f t="shared" si="41"/>
        <v>-1.8730427590465514E-2</v>
      </c>
      <c r="I830" s="3"/>
    </row>
    <row r="831" spans="1:9" x14ac:dyDescent="0.3">
      <c r="A831" s="2">
        <v>42944</v>
      </c>
      <c r="B831" s="1">
        <v>37.375</v>
      </c>
      <c r="C831" s="1">
        <v>1020.04</v>
      </c>
      <c r="D831" s="1">
        <v>172.45</v>
      </c>
      <c r="E831" s="3"/>
      <c r="F831" s="20">
        <f t="shared" si="39"/>
        <v>-7.0652830063284164E-3</v>
      </c>
      <c r="G831" s="20">
        <f t="shared" si="40"/>
        <v>-2.5131523429191845E-2</v>
      </c>
      <c r="H831" s="20">
        <f t="shared" si="41"/>
        <v>1.1724010751138481E-2</v>
      </c>
      <c r="I831" s="3"/>
    </row>
    <row r="832" spans="1:9" x14ac:dyDescent="0.3">
      <c r="A832" s="2">
        <v>42943</v>
      </c>
      <c r="B832" s="1">
        <v>37.64</v>
      </c>
      <c r="C832" s="1">
        <v>1046</v>
      </c>
      <c r="D832" s="1">
        <v>170.44</v>
      </c>
      <c r="E832" s="3"/>
      <c r="F832" s="20">
        <f t="shared" si="39"/>
        <v>-1.9078270912449683E-2</v>
      </c>
      <c r="G832" s="20">
        <f t="shared" si="40"/>
        <v>-6.4799159461845007E-3</v>
      </c>
      <c r="H832" s="20">
        <f t="shared" si="41"/>
        <v>2.8747702030311517E-2</v>
      </c>
      <c r="I832" s="3"/>
    </row>
    <row r="833" spans="1:9" x14ac:dyDescent="0.3">
      <c r="A833" s="2">
        <v>42942</v>
      </c>
      <c r="B833" s="1">
        <v>38.365000000000002</v>
      </c>
      <c r="C833" s="1">
        <v>1052.8</v>
      </c>
      <c r="D833" s="1">
        <v>165.61</v>
      </c>
      <c r="E833" s="3"/>
      <c r="F833" s="20">
        <f t="shared" si="39"/>
        <v>4.7028172892811118E-3</v>
      </c>
      <c r="G833" s="20">
        <f t="shared" si="40"/>
        <v>1.2357576248785522E-2</v>
      </c>
      <c r="H833" s="20">
        <f t="shared" si="41"/>
        <v>1.9946212300712392E-3</v>
      </c>
      <c r="I833" s="3"/>
    </row>
    <row r="834" spans="1:9" x14ac:dyDescent="0.3">
      <c r="A834" s="2">
        <v>42941</v>
      </c>
      <c r="B834" s="1">
        <v>38.185000000000002</v>
      </c>
      <c r="C834" s="1">
        <v>1039.8699999999999</v>
      </c>
      <c r="D834" s="1">
        <v>165.28</v>
      </c>
      <c r="E834" s="3"/>
      <c r="F834" s="20">
        <f t="shared" si="39"/>
        <v>4.2646785759607713E-3</v>
      </c>
      <c r="G834" s="20">
        <f t="shared" si="40"/>
        <v>8.8511757637805427E-4</v>
      </c>
      <c r="H834" s="20">
        <f t="shared" si="41"/>
        <v>-4.3467829852147947E-3</v>
      </c>
      <c r="I834" s="3"/>
    </row>
    <row r="835" spans="1:9" x14ac:dyDescent="0.3">
      <c r="A835" s="2">
        <v>42940</v>
      </c>
      <c r="B835" s="1">
        <v>38.022500000000001</v>
      </c>
      <c r="C835" s="1">
        <v>1038.95</v>
      </c>
      <c r="D835" s="1">
        <v>166</v>
      </c>
      <c r="E835" s="3"/>
      <c r="F835" s="20">
        <f t="shared" si="39"/>
        <v>1.2038774846642139E-2</v>
      </c>
      <c r="G835" s="20">
        <f t="shared" si="40"/>
        <v>1.2864530178485982E-2</v>
      </c>
      <c r="H835" s="20">
        <f t="shared" si="41"/>
        <v>9.5028406304085693E-3</v>
      </c>
      <c r="I835" s="3"/>
    </row>
    <row r="836" spans="1:9" x14ac:dyDescent="0.3">
      <c r="A836" s="2">
        <v>42937</v>
      </c>
      <c r="B836" s="1">
        <v>37.567500000000003</v>
      </c>
      <c r="C836" s="1">
        <v>1025.67</v>
      </c>
      <c r="D836" s="1">
        <v>164.43</v>
      </c>
      <c r="E836" s="3"/>
      <c r="F836" s="20">
        <f t="shared" si="39"/>
        <v>-4.6571971168764259E-4</v>
      </c>
      <c r="G836" s="20">
        <f t="shared" si="40"/>
        <v>-2.9498115695811662E-3</v>
      </c>
      <c r="H836" s="20">
        <f t="shared" si="41"/>
        <v>-6.079766724239996E-4</v>
      </c>
      <c r="I836" s="3"/>
    </row>
    <row r="837" spans="1:9" x14ac:dyDescent="0.3">
      <c r="A837" s="2">
        <v>42936</v>
      </c>
      <c r="B837" s="1">
        <v>37.585000000000001</v>
      </c>
      <c r="C837" s="1">
        <v>1028.7</v>
      </c>
      <c r="D837" s="1">
        <v>164.53</v>
      </c>
      <c r="E837" s="3"/>
      <c r="F837" s="20">
        <f t="shared" si="39"/>
        <v>-4.5128826259567597E-3</v>
      </c>
      <c r="G837" s="20">
        <f t="shared" si="40"/>
        <v>1.7805284991199619E-3</v>
      </c>
      <c r="H837" s="20">
        <f t="shared" si="41"/>
        <v>2.3732021969931683E-3</v>
      </c>
      <c r="I837" s="3"/>
    </row>
    <row r="838" spans="1:9" x14ac:dyDescent="0.3">
      <c r="A838" s="2">
        <v>42935</v>
      </c>
      <c r="B838" s="1">
        <v>37.755000000000003</v>
      </c>
      <c r="C838" s="1">
        <v>1026.8699999999999</v>
      </c>
      <c r="D838" s="1">
        <v>164.14</v>
      </c>
      <c r="E838" s="3"/>
      <c r="F838" s="20">
        <f t="shared" ref="F838:F901" si="42">LN(B838/B839)</f>
        <v>6.2437931173649416E-3</v>
      </c>
      <c r="G838" s="20">
        <f t="shared" ref="G838:G901" si="43">LN(C838/C839)</f>
        <v>2.3594574446560465E-3</v>
      </c>
      <c r="H838" s="20">
        <f t="shared" ref="H838:H901" si="44">LN(D838/D839)</f>
        <v>7.8287861625802226E-3</v>
      </c>
      <c r="I838" s="3"/>
    </row>
    <row r="839" spans="1:9" x14ac:dyDescent="0.3">
      <c r="A839" s="2">
        <v>42934</v>
      </c>
      <c r="B839" s="1">
        <v>37.520000000000003</v>
      </c>
      <c r="C839" s="1">
        <v>1024.45</v>
      </c>
      <c r="D839" s="1">
        <v>162.86000000000001</v>
      </c>
      <c r="E839" s="3"/>
      <c r="F839" s="20">
        <f t="shared" si="42"/>
        <v>3.4708351490016173E-3</v>
      </c>
      <c r="G839" s="20">
        <f t="shared" si="43"/>
        <v>1.4165949181723174E-2</v>
      </c>
      <c r="H839" s="20">
        <f t="shared" si="44"/>
        <v>1.9406046237120108E-2</v>
      </c>
      <c r="I839" s="3"/>
    </row>
    <row r="840" spans="1:9" x14ac:dyDescent="0.3">
      <c r="A840" s="2">
        <v>42933</v>
      </c>
      <c r="B840" s="1">
        <v>37.39</v>
      </c>
      <c r="C840" s="1">
        <v>1010.04</v>
      </c>
      <c r="D840" s="1">
        <v>159.72999999999999</v>
      </c>
      <c r="E840" s="3"/>
      <c r="F840" s="20">
        <f t="shared" si="42"/>
        <v>3.4829238155799683E-3</v>
      </c>
      <c r="G840" s="20">
        <f t="shared" si="43"/>
        <v>8.181570105446942E-3</v>
      </c>
      <c r="H840" s="20">
        <f t="shared" si="44"/>
        <v>-1.5014078516390949E-3</v>
      </c>
      <c r="I840" s="3"/>
    </row>
    <row r="841" spans="1:9" x14ac:dyDescent="0.3">
      <c r="A841" s="2">
        <v>42930</v>
      </c>
      <c r="B841" s="1">
        <v>37.26</v>
      </c>
      <c r="C841" s="1">
        <v>1001.81</v>
      </c>
      <c r="D841" s="1">
        <v>159.97</v>
      </c>
      <c r="E841" s="3"/>
      <c r="F841" s="20">
        <f t="shared" si="42"/>
        <v>8.557715377790362E-3</v>
      </c>
      <c r="G841" s="20">
        <f t="shared" si="43"/>
        <v>1.1785622905913498E-3</v>
      </c>
      <c r="H841" s="20">
        <f t="shared" si="44"/>
        <v>4.4482108242055755E-3</v>
      </c>
      <c r="I841" s="3"/>
    </row>
    <row r="842" spans="1:9" x14ac:dyDescent="0.3">
      <c r="A842" s="2">
        <v>42929</v>
      </c>
      <c r="B842" s="1">
        <v>36.942500000000003</v>
      </c>
      <c r="C842" s="1">
        <v>1000.63</v>
      </c>
      <c r="D842" s="1">
        <v>159.26</v>
      </c>
      <c r="E842" s="3"/>
      <c r="F842" s="20">
        <f t="shared" si="42"/>
        <v>1.3832798673406475E-2</v>
      </c>
      <c r="G842" s="20">
        <f t="shared" si="43"/>
        <v>-5.8590998348149702E-3</v>
      </c>
      <c r="H842" s="20">
        <f t="shared" si="44"/>
        <v>2.2630132866283919E-3</v>
      </c>
      <c r="I842" s="3"/>
    </row>
    <row r="843" spans="1:9" x14ac:dyDescent="0.3">
      <c r="A843" s="2">
        <v>42928</v>
      </c>
      <c r="B843" s="1">
        <v>36.435000000000002</v>
      </c>
      <c r="C843" s="1">
        <v>1006.51</v>
      </c>
      <c r="D843" s="1">
        <v>158.9</v>
      </c>
      <c r="E843" s="3"/>
      <c r="F843" s="20">
        <f t="shared" si="42"/>
        <v>1.4419613169014058E-3</v>
      </c>
      <c r="G843" s="20">
        <f t="shared" si="43"/>
        <v>1.2376298227483628E-2</v>
      </c>
      <c r="H843" s="20">
        <f t="shared" si="44"/>
        <v>2.31095365495919E-2</v>
      </c>
      <c r="I843" s="3"/>
    </row>
    <row r="844" spans="1:9" x14ac:dyDescent="0.3">
      <c r="A844" s="2">
        <v>42927</v>
      </c>
      <c r="B844" s="1">
        <v>36.3825</v>
      </c>
      <c r="C844" s="1">
        <v>994.12990000000002</v>
      </c>
      <c r="D844" s="1">
        <v>155.27000000000001</v>
      </c>
      <c r="E844" s="3"/>
      <c r="F844" s="20">
        <f t="shared" si="42"/>
        <v>3.2348009899685797E-3</v>
      </c>
      <c r="G844" s="20">
        <f t="shared" si="43"/>
        <v>-2.3511516081048661E-3</v>
      </c>
      <c r="H844" s="20">
        <f t="shared" si="44"/>
        <v>1.1464969965826651E-2</v>
      </c>
      <c r="I844" s="3"/>
    </row>
    <row r="845" spans="1:9" x14ac:dyDescent="0.3">
      <c r="A845" s="2">
        <v>42926</v>
      </c>
      <c r="B845" s="1">
        <v>36.265000000000001</v>
      </c>
      <c r="C845" s="1">
        <v>996.47</v>
      </c>
      <c r="D845" s="1">
        <v>153.5</v>
      </c>
      <c r="E845" s="3"/>
      <c r="F845" s="20">
        <f t="shared" si="42"/>
        <v>6.0849309588338184E-3</v>
      </c>
      <c r="G845" s="20">
        <f t="shared" si="43"/>
        <v>1.7932569464399147E-2</v>
      </c>
      <c r="H845" s="20">
        <f t="shared" si="44"/>
        <v>1.3511060126184346E-2</v>
      </c>
      <c r="I845" s="3"/>
    </row>
    <row r="846" spans="1:9" x14ac:dyDescent="0.3">
      <c r="A846" s="2">
        <v>42923</v>
      </c>
      <c r="B846" s="1">
        <v>36.045000000000002</v>
      </c>
      <c r="C846" s="1">
        <v>978.76</v>
      </c>
      <c r="D846" s="1">
        <v>151.44</v>
      </c>
      <c r="E846" s="3"/>
      <c r="F846" s="20">
        <f t="shared" si="42"/>
        <v>1.010778533475562E-2</v>
      </c>
      <c r="G846" s="20">
        <f t="shared" si="43"/>
        <v>1.4013399441961996E-2</v>
      </c>
      <c r="H846" s="20">
        <f t="shared" si="44"/>
        <v>1.7451984931952276E-2</v>
      </c>
      <c r="I846" s="3"/>
    </row>
    <row r="847" spans="1:9" x14ac:dyDescent="0.3">
      <c r="A847" s="2">
        <v>42922</v>
      </c>
      <c r="B847" s="1">
        <v>35.682499999999997</v>
      </c>
      <c r="C847" s="1">
        <v>965.13990000000001</v>
      </c>
      <c r="D847" s="1">
        <v>148.82</v>
      </c>
      <c r="E847" s="3"/>
      <c r="F847" s="20">
        <f t="shared" si="42"/>
        <v>-9.4833707031657041E-3</v>
      </c>
      <c r="G847" s="20">
        <f t="shared" si="43"/>
        <v>-6.4651620429130299E-3</v>
      </c>
      <c r="H847" s="20">
        <f t="shared" si="44"/>
        <v>-1.0161873780207708E-2</v>
      </c>
      <c r="I847" s="3"/>
    </row>
    <row r="848" spans="1:9" x14ac:dyDescent="0.3">
      <c r="A848" s="2">
        <v>42921</v>
      </c>
      <c r="B848" s="1">
        <v>36.022500000000001</v>
      </c>
      <c r="C848" s="1">
        <v>971.3999</v>
      </c>
      <c r="D848" s="1">
        <v>150.34</v>
      </c>
      <c r="E848" s="3"/>
      <c r="F848" s="20">
        <f t="shared" si="42"/>
        <v>4.1030691451670312E-3</v>
      </c>
      <c r="G848" s="20">
        <f t="shared" si="43"/>
        <v>1.8431118031788457E-2</v>
      </c>
      <c r="H848" s="20">
        <f t="shared" si="44"/>
        <v>1.2785929112649235E-2</v>
      </c>
      <c r="I848" s="3"/>
    </row>
    <row r="849" spans="1:9" x14ac:dyDescent="0.3">
      <c r="A849" s="2">
        <v>42920</v>
      </c>
      <c r="B849" s="1">
        <v>35.875</v>
      </c>
      <c r="C849" s="1">
        <v>953.65989999999999</v>
      </c>
      <c r="D849" s="1">
        <v>148.43</v>
      </c>
      <c r="E849" s="3"/>
      <c r="F849" s="20">
        <f t="shared" si="42"/>
        <v>0</v>
      </c>
      <c r="G849" s="20">
        <f t="shared" si="43"/>
        <v>0</v>
      </c>
      <c r="H849" s="20">
        <f t="shared" si="44"/>
        <v>0</v>
      </c>
      <c r="I849" s="3"/>
    </row>
    <row r="850" spans="1:9" x14ac:dyDescent="0.3">
      <c r="A850" s="2">
        <v>42919</v>
      </c>
      <c r="B850" s="1">
        <v>35.875</v>
      </c>
      <c r="C850" s="1">
        <v>953.65989999999999</v>
      </c>
      <c r="D850" s="1">
        <v>148.43</v>
      </c>
      <c r="E850" s="3"/>
      <c r="F850" s="20">
        <f t="shared" si="42"/>
        <v>-3.6171436210450537E-3</v>
      </c>
      <c r="G850" s="20">
        <f t="shared" si="43"/>
        <v>-1.4924978340930426E-2</v>
      </c>
      <c r="H850" s="20">
        <f t="shared" si="44"/>
        <v>-1.7033911074805119E-2</v>
      </c>
      <c r="I850" s="3"/>
    </row>
    <row r="851" spans="1:9" x14ac:dyDescent="0.3">
      <c r="A851" s="2">
        <v>42916</v>
      </c>
      <c r="B851" s="1">
        <v>36.005000000000003</v>
      </c>
      <c r="C851" s="1">
        <v>968</v>
      </c>
      <c r="D851" s="1">
        <v>150.97999999999999</v>
      </c>
      <c r="E851" s="3"/>
      <c r="F851" s="20">
        <f t="shared" si="42"/>
        <v>2.3635742668312349E-3</v>
      </c>
      <c r="G851" s="20">
        <f t="shared" si="43"/>
        <v>-8.1586727865731404E-3</v>
      </c>
      <c r="H851" s="20">
        <f t="shared" si="44"/>
        <v>-3.9732468571173518E-4</v>
      </c>
      <c r="I851" s="3"/>
    </row>
    <row r="852" spans="1:9" x14ac:dyDescent="0.3">
      <c r="A852" s="2">
        <v>42915</v>
      </c>
      <c r="B852" s="1">
        <v>35.92</v>
      </c>
      <c r="C852" s="1">
        <v>975.92989999999998</v>
      </c>
      <c r="D852" s="1">
        <v>151.04</v>
      </c>
      <c r="E852" s="3"/>
      <c r="F852" s="20">
        <f t="shared" si="42"/>
        <v>-1.4852955171584368E-2</v>
      </c>
      <c r="G852" s="20">
        <f t="shared" si="43"/>
        <v>-1.4647561832042933E-2</v>
      </c>
      <c r="H852" s="20">
        <f t="shared" si="44"/>
        <v>-1.4460617435257795E-2</v>
      </c>
      <c r="I852" s="3"/>
    </row>
    <row r="853" spans="1:9" x14ac:dyDescent="0.3">
      <c r="A853" s="2">
        <v>42914</v>
      </c>
      <c r="B853" s="1">
        <v>36.457500000000003</v>
      </c>
      <c r="C853" s="1">
        <v>990.33010000000002</v>
      </c>
      <c r="D853" s="1">
        <v>153.24</v>
      </c>
      <c r="E853" s="3"/>
      <c r="F853" s="20">
        <f t="shared" si="42"/>
        <v>1.4505020162333486E-2</v>
      </c>
      <c r="G853" s="20">
        <f t="shared" si="43"/>
        <v>1.3776874328789357E-2</v>
      </c>
      <c r="H853" s="20">
        <f t="shared" si="44"/>
        <v>1.7510815410472017E-2</v>
      </c>
      <c r="I853" s="3"/>
    </row>
    <row r="854" spans="1:9" x14ac:dyDescent="0.3">
      <c r="A854" s="2">
        <v>42913</v>
      </c>
      <c r="B854" s="1">
        <v>35.932499999999997</v>
      </c>
      <c r="C854" s="1">
        <v>976.78</v>
      </c>
      <c r="D854" s="1">
        <v>150.58000000000001</v>
      </c>
      <c r="E854" s="3"/>
      <c r="F854" s="20">
        <f t="shared" si="42"/>
        <v>-1.4436444815143772E-2</v>
      </c>
      <c r="G854" s="20">
        <f t="shared" si="43"/>
        <v>-1.745563816339972E-2</v>
      </c>
      <c r="H854" s="20">
        <f t="shared" si="44"/>
        <v>-1.9792210005560588E-2</v>
      </c>
      <c r="I854" s="3"/>
    </row>
    <row r="855" spans="1:9" x14ac:dyDescent="0.3">
      <c r="A855" s="2">
        <v>42912</v>
      </c>
      <c r="B855" s="1">
        <v>36.454999999999998</v>
      </c>
      <c r="C855" s="1">
        <v>993.98</v>
      </c>
      <c r="D855" s="1">
        <v>153.59</v>
      </c>
      <c r="E855" s="3"/>
      <c r="F855" s="20">
        <f t="shared" si="42"/>
        <v>-3.14960890289622E-3</v>
      </c>
      <c r="G855" s="20">
        <f t="shared" si="43"/>
        <v>-9.7712168414409058E-3</v>
      </c>
      <c r="H855" s="20">
        <f t="shared" si="44"/>
        <v>-9.589913448520648E-3</v>
      </c>
      <c r="I855" s="3"/>
    </row>
    <row r="856" spans="1:9" x14ac:dyDescent="0.3">
      <c r="A856" s="2">
        <v>42909</v>
      </c>
      <c r="B856" s="1">
        <v>36.57</v>
      </c>
      <c r="C856" s="1">
        <v>1003.74</v>
      </c>
      <c r="D856" s="1">
        <v>155.07</v>
      </c>
      <c r="E856" s="3"/>
      <c r="F856" s="20">
        <f t="shared" si="42"/>
        <v>4.4534347866914481E-3</v>
      </c>
      <c r="G856" s="20">
        <f t="shared" si="43"/>
        <v>2.4338678574874041E-3</v>
      </c>
      <c r="H856" s="20">
        <f t="shared" si="44"/>
        <v>1.0827738942901854E-2</v>
      </c>
      <c r="I856" s="3"/>
    </row>
    <row r="857" spans="1:9" x14ac:dyDescent="0.3">
      <c r="A857" s="2">
        <v>42908</v>
      </c>
      <c r="B857" s="1">
        <v>36.407499999999999</v>
      </c>
      <c r="C857" s="1">
        <v>1001.3</v>
      </c>
      <c r="D857" s="1">
        <v>153.4</v>
      </c>
      <c r="E857" s="3"/>
      <c r="F857" s="20">
        <f t="shared" si="42"/>
        <v>-1.6466556036329122E-3</v>
      </c>
      <c r="G857" s="20">
        <f t="shared" si="43"/>
        <v>-9.2836150873090576E-4</v>
      </c>
      <c r="H857" s="20">
        <f t="shared" si="44"/>
        <v>-3.3191270587067979E-3</v>
      </c>
      <c r="I857" s="3"/>
    </row>
    <row r="858" spans="1:9" x14ac:dyDescent="0.3">
      <c r="A858" s="2">
        <v>42907</v>
      </c>
      <c r="B858" s="1">
        <v>36.467500000000001</v>
      </c>
      <c r="C858" s="1">
        <v>1002.23</v>
      </c>
      <c r="D858" s="1">
        <v>153.91</v>
      </c>
      <c r="E858" s="3"/>
      <c r="F858" s="20">
        <f t="shared" si="42"/>
        <v>5.9131085383181889E-3</v>
      </c>
      <c r="G858" s="20">
        <f t="shared" si="43"/>
        <v>9.6650069250518583E-3</v>
      </c>
      <c r="H858" s="20">
        <f t="shared" si="44"/>
        <v>1.0844109401856279E-2</v>
      </c>
      <c r="I858" s="3"/>
    </row>
    <row r="859" spans="1:9" x14ac:dyDescent="0.3">
      <c r="A859" s="2">
        <v>42906</v>
      </c>
      <c r="B859" s="1">
        <v>36.252499999999998</v>
      </c>
      <c r="C859" s="1">
        <v>992.59010000000001</v>
      </c>
      <c r="D859" s="1">
        <v>152.25</v>
      </c>
      <c r="E859" s="3"/>
      <c r="F859" s="20">
        <f t="shared" si="42"/>
        <v>-9.129975896080186E-3</v>
      </c>
      <c r="G859" s="20">
        <f t="shared" si="43"/>
        <v>-2.5956870532354865E-3</v>
      </c>
      <c r="H859" s="20">
        <f t="shared" si="44"/>
        <v>-4.0639804229364099E-3</v>
      </c>
      <c r="I859" s="3"/>
    </row>
    <row r="860" spans="1:9" x14ac:dyDescent="0.3">
      <c r="A860" s="2">
        <v>42905</v>
      </c>
      <c r="B860" s="1">
        <v>36.585000000000001</v>
      </c>
      <c r="C860" s="1">
        <v>995.16989999999998</v>
      </c>
      <c r="D860" s="1">
        <v>152.87</v>
      </c>
      <c r="E860" s="3"/>
      <c r="F860" s="20">
        <f t="shared" si="42"/>
        <v>2.8206020792808203E-2</v>
      </c>
      <c r="G860" s="20">
        <f t="shared" si="43"/>
        <v>7.5243439561021846E-3</v>
      </c>
      <c r="H860" s="20">
        <f t="shared" si="44"/>
        <v>1.4695002664045994E-2</v>
      </c>
      <c r="I860" s="3"/>
    </row>
    <row r="861" spans="1:9" x14ac:dyDescent="0.3">
      <c r="A861" s="2">
        <v>42902</v>
      </c>
      <c r="B861" s="1">
        <v>35.567500000000003</v>
      </c>
      <c r="C861" s="1">
        <v>987.71</v>
      </c>
      <c r="D861" s="1">
        <v>150.63999999999999</v>
      </c>
      <c r="E861" s="3"/>
      <c r="F861" s="20">
        <f t="shared" si="42"/>
        <v>-1.4098502646088614E-2</v>
      </c>
      <c r="G861" s="20">
        <f t="shared" si="43"/>
        <v>2.4121608500038132E-2</v>
      </c>
      <c r="H861" s="20">
        <f t="shared" si="44"/>
        <v>5.5918132657777134E-3</v>
      </c>
      <c r="I861" s="3"/>
    </row>
    <row r="862" spans="1:9" x14ac:dyDescent="0.3">
      <c r="A862" s="2">
        <v>42901</v>
      </c>
      <c r="B862" s="1">
        <v>36.072499999999998</v>
      </c>
      <c r="C862" s="1">
        <v>964.16989999999998</v>
      </c>
      <c r="D862" s="1">
        <v>149.80000000000001</v>
      </c>
      <c r="E862" s="3"/>
      <c r="F862" s="20">
        <f t="shared" si="42"/>
        <v>-6.0114190357052092E-3</v>
      </c>
      <c r="G862" s="20">
        <f t="shared" si="43"/>
        <v>-1.2676503984067429E-2</v>
      </c>
      <c r="H862" s="20">
        <f t="shared" si="44"/>
        <v>-2.9995023321978316E-3</v>
      </c>
      <c r="I862" s="3"/>
    </row>
    <row r="863" spans="1:9" x14ac:dyDescent="0.3">
      <c r="A863" s="2">
        <v>42900</v>
      </c>
      <c r="B863" s="1">
        <v>36.29</v>
      </c>
      <c r="C863" s="1">
        <v>976.47</v>
      </c>
      <c r="D863" s="1">
        <v>150.25</v>
      </c>
      <c r="E863" s="3"/>
      <c r="F863" s="20">
        <f t="shared" si="42"/>
        <v>-9.8029919570702291E-3</v>
      </c>
      <c r="G863" s="20">
        <f t="shared" si="43"/>
        <v>-4.4143414928068808E-3</v>
      </c>
      <c r="H863" s="20">
        <f t="shared" si="44"/>
        <v>-2.8578094085233595E-3</v>
      </c>
      <c r="I863" s="3"/>
    </row>
    <row r="864" spans="1:9" x14ac:dyDescent="0.3">
      <c r="A864" s="2">
        <v>42899</v>
      </c>
      <c r="B864" s="1">
        <v>36.647500000000001</v>
      </c>
      <c r="C864" s="1">
        <v>980.79</v>
      </c>
      <c r="D864" s="1">
        <v>150.68</v>
      </c>
      <c r="E864" s="3"/>
      <c r="F864" s="20">
        <f t="shared" si="42"/>
        <v>8.0134670800289676E-3</v>
      </c>
      <c r="G864" s="20">
        <f t="shared" si="43"/>
        <v>1.632364026711864E-2</v>
      </c>
      <c r="H864" s="20">
        <f t="shared" si="44"/>
        <v>1.4977546631443529E-2</v>
      </c>
      <c r="I864" s="3"/>
    </row>
    <row r="865" spans="1:9" x14ac:dyDescent="0.3">
      <c r="A865" s="2">
        <v>42898</v>
      </c>
      <c r="B865" s="1">
        <v>36.354999999999997</v>
      </c>
      <c r="C865" s="1">
        <v>964.90989999999999</v>
      </c>
      <c r="D865" s="1">
        <v>148.44</v>
      </c>
      <c r="E865" s="3"/>
      <c r="F865" s="20">
        <f t="shared" si="42"/>
        <v>-2.4185961526219508E-2</v>
      </c>
      <c r="G865" s="20">
        <f t="shared" si="43"/>
        <v>-1.3791966337287132E-2</v>
      </c>
      <c r="H865" s="20">
        <f t="shared" si="44"/>
        <v>-7.7842293479799688E-3</v>
      </c>
      <c r="I865" s="3"/>
    </row>
    <row r="866" spans="1:9" x14ac:dyDescent="0.3">
      <c r="A866" s="2">
        <v>42895</v>
      </c>
      <c r="B866" s="1">
        <v>37.244999999999997</v>
      </c>
      <c r="C866" s="1">
        <v>978.31010000000003</v>
      </c>
      <c r="D866" s="1">
        <v>149.6</v>
      </c>
      <c r="E866" s="3"/>
      <c r="F866" s="20">
        <f t="shared" si="42"/>
        <v>-3.9548529960829276E-2</v>
      </c>
      <c r="G866" s="20">
        <f t="shared" si="43"/>
        <v>-3.2146205400980253E-2</v>
      </c>
      <c r="H866" s="20">
        <f t="shared" si="44"/>
        <v>-3.3587331190600471E-2</v>
      </c>
      <c r="I866" s="3"/>
    </row>
    <row r="867" spans="1:9" x14ac:dyDescent="0.3">
      <c r="A867" s="2">
        <v>42894</v>
      </c>
      <c r="B867" s="1">
        <v>38.747500000000002</v>
      </c>
      <c r="C867" s="1">
        <v>1010.27</v>
      </c>
      <c r="D867" s="1">
        <v>154.71</v>
      </c>
      <c r="E867" s="3"/>
      <c r="F867" s="20">
        <f t="shared" si="42"/>
        <v>-2.4487703949503327E-3</v>
      </c>
      <c r="G867" s="20">
        <f t="shared" si="43"/>
        <v>1.9798647817020556E-4</v>
      </c>
      <c r="H867" s="20">
        <f t="shared" si="44"/>
        <v>1.0330469026333158E-2</v>
      </c>
      <c r="I867" s="3"/>
    </row>
    <row r="868" spans="1:9" x14ac:dyDescent="0.3">
      <c r="A868" s="2">
        <v>42893</v>
      </c>
      <c r="B868" s="1">
        <v>38.842500000000001</v>
      </c>
      <c r="C868" s="1">
        <v>1010.07</v>
      </c>
      <c r="D868" s="1">
        <v>153.12</v>
      </c>
      <c r="E868" s="3"/>
      <c r="F868" s="20">
        <f t="shared" si="42"/>
        <v>5.9389497393191742E-3</v>
      </c>
      <c r="G868" s="20">
        <f t="shared" si="43"/>
        <v>7.0241264024484499E-3</v>
      </c>
      <c r="H868" s="20">
        <f t="shared" si="44"/>
        <v>2.0266080874782135E-3</v>
      </c>
      <c r="I868" s="3"/>
    </row>
    <row r="869" spans="1:9" x14ac:dyDescent="0.3">
      <c r="A869" s="2">
        <v>42892</v>
      </c>
      <c r="B869" s="1">
        <v>38.612499999999997</v>
      </c>
      <c r="C869" s="1">
        <v>1003</v>
      </c>
      <c r="D869" s="1">
        <v>152.81</v>
      </c>
      <c r="E869" s="3"/>
      <c r="F869" s="20">
        <f t="shared" si="42"/>
        <v>3.3724657426073769E-3</v>
      </c>
      <c r="G869" s="20">
        <f t="shared" si="43"/>
        <v>-8.2806752145169488E-3</v>
      </c>
      <c r="H869" s="20">
        <f t="shared" si="44"/>
        <v>-5.3517945254028063E-3</v>
      </c>
      <c r="I869" s="3"/>
    </row>
    <row r="870" spans="1:9" x14ac:dyDescent="0.3">
      <c r="A870" s="2">
        <v>42891</v>
      </c>
      <c r="B870" s="1">
        <v>38.482500000000002</v>
      </c>
      <c r="C870" s="1">
        <v>1011.34</v>
      </c>
      <c r="D870" s="1">
        <v>153.63</v>
      </c>
      <c r="E870" s="3"/>
      <c r="F870" s="20">
        <f t="shared" si="42"/>
        <v>-9.8261828827795952E-3</v>
      </c>
      <c r="G870" s="20">
        <f t="shared" si="43"/>
        <v>4.5687295473589972E-3</v>
      </c>
      <c r="H870" s="20">
        <f t="shared" si="44"/>
        <v>1.3019138151426933E-4</v>
      </c>
      <c r="I870" s="3"/>
    </row>
    <row r="871" spans="1:9" x14ac:dyDescent="0.3">
      <c r="A871" s="2">
        <v>42888</v>
      </c>
      <c r="B871" s="1">
        <v>38.862499999999997</v>
      </c>
      <c r="C871" s="1">
        <v>1006.73</v>
      </c>
      <c r="D871" s="1">
        <v>153.61000000000001</v>
      </c>
      <c r="E871" s="3"/>
      <c r="F871" s="20">
        <f t="shared" si="42"/>
        <v>1.471043602331527E-2</v>
      </c>
      <c r="G871" s="20">
        <f t="shared" si="43"/>
        <v>1.0765678107810529E-2</v>
      </c>
      <c r="H871" s="20">
        <f t="shared" si="44"/>
        <v>1.3633297612983456E-2</v>
      </c>
      <c r="I871" s="3"/>
    </row>
    <row r="872" spans="1:9" x14ac:dyDescent="0.3">
      <c r="A872" s="2">
        <v>42887</v>
      </c>
      <c r="B872" s="1">
        <v>38.295000000000002</v>
      </c>
      <c r="C872" s="1">
        <v>995.95</v>
      </c>
      <c r="D872" s="1">
        <v>151.53</v>
      </c>
      <c r="E872" s="3"/>
      <c r="F872" s="20">
        <f t="shared" si="42"/>
        <v>2.7456381241321975E-3</v>
      </c>
      <c r="G872" s="20">
        <f t="shared" si="43"/>
        <v>1.3362003155483718E-3</v>
      </c>
      <c r="H872" s="20">
        <f t="shared" si="44"/>
        <v>4.6206146239423081E-4</v>
      </c>
      <c r="I872" s="3"/>
    </row>
    <row r="873" spans="1:9" x14ac:dyDescent="0.3">
      <c r="A873" s="2">
        <v>42886</v>
      </c>
      <c r="B873" s="1">
        <v>38.19</v>
      </c>
      <c r="C873" s="1">
        <v>994.62009999999998</v>
      </c>
      <c r="D873" s="1">
        <v>151.46</v>
      </c>
      <c r="E873" s="3"/>
      <c r="F873" s="20">
        <f t="shared" si="42"/>
        <v>-5.9393837099254738E-3</v>
      </c>
      <c r="G873" s="20">
        <f t="shared" si="43"/>
        <v>-2.0889667676759764E-3</v>
      </c>
      <c r="H873" s="20">
        <f t="shared" si="44"/>
        <v>-6.0558373591869238E-3</v>
      </c>
      <c r="I873" s="3"/>
    </row>
    <row r="874" spans="1:9" x14ac:dyDescent="0.3">
      <c r="A874" s="2">
        <v>42885</v>
      </c>
      <c r="B874" s="1">
        <v>38.417499999999997</v>
      </c>
      <c r="C874" s="1">
        <v>996.7</v>
      </c>
      <c r="D874" s="1">
        <v>152.38</v>
      </c>
      <c r="E874" s="3"/>
      <c r="F874" s="20">
        <f t="shared" si="42"/>
        <v>3.9052330618671995E-4</v>
      </c>
      <c r="G874" s="20">
        <f t="shared" si="43"/>
        <v>9.2347232130956039E-4</v>
      </c>
      <c r="H874" s="20">
        <f t="shared" si="44"/>
        <v>1.6419825698262664E-3</v>
      </c>
      <c r="I874" s="3"/>
    </row>
    <row r="875" spans="1:9" x14ac:dyDescent="0.3">
      <c r="A875" s="2">
        <v>42884</v>
      </c>
      <c r="B875" s="1">
        <v>38.402500000000003</v>
      </c>
      <c r="C875" s="1">
        <v>995.78</v>
      </c>
      <c r="D875" s="1">
        <v>152.13</v>
      </c>
      <c r="E875" s="3"/>
      <c r="F875" s="20">
        <f t="shared" si="42"/>
        <v>0</v>
      </c>
      <c r="G875" s="20">
        <f t="shared" si="43"/>
        <v>0</v>
      </c>
      <c r="H875" s="20">
        <f t="shared" si="44"/>
        <v>0</v>
      </c>
      <c r="I875" s="3"/>
    </row>
    <row r="876" spans="1:9" x14ac:dyDescent="0.3">
      <c r="A876" s="2">
        <v>42881</v>
      </c>
      <c r="B876" s="1">
        <v>38.402500000000003</v>
      </c>
      <c r="C876" s="1">
        <v>995.78</v>
      </c>
      <c r="D876" s="1">
        <v>152.13</v>
      </c>
      <c r="E876" s="3"/>
      <c r="F876" s="20">
        <f t="shared" si="42"/>
        <v>-1.6911673082325529E-3</v>
      </c>
      <c r="G876" s="20">
        <f t="shared" si="43"/>
        <v>2.4131807249247977E-3</v>
      </c>
      <c r="H876" s="20">
        <f t="shared" si="44"/>
        <v>1.1180901556124691E-3</v>
      </c>
      <c r="I876" s="3"/>
    </row>
    <row r="877" spans="1:9" x14ac:dyDescent="0.3">
      <c r="A877" s="2">
        <v>42880</v>
      </c>
      <c r="B877" s="1">
        <v>38.467500000000001</v>
      </c>
      <c r="C877" s="1">
        <v>993.37990000000002</v>
      </c>
      <c r="D877" s="1">
        <v>151.96</v>
      </c>
      <c r="E877" s="3"/>
      <c r="F877" s="20">
        <f t="shared" si="42"/>
        <v>3.4504119385383686E-3</v>
      </c>
      <c r="G877" s="20">
        <f t="shared" si="43"/>
        <v>1.3203416161364457E-2</v>
      </c>
      <c r="H877" s="20">
        <f t="shared" si="44"/>
        <v>1.2715403105738265E-2</v>
      </c>
      <c r="I877" s="3"/>
    </row>
    <row r="878" spans="1:9" x14ac:dyDescent="0.3">
      <c r="A878" s="2">
        <v>42879</v>
      </c>
      <c r="B878" s="1">
        <v>38.335000000000001</v>
      </c>
      <c r="C878" s="1">
        <v>980.3501</v>
      </c>
      <c r="D878" s="1">
        <v>150.04</v>
      </c>
      <c r="E878" s="3"/>
      <c r="F878" s="20">
        <f t="shared" si="42"/>
        <v>-2.9953789407952572E-3</v>
      </c>
      <c r="G878" s="20">
        <f t="shared" si="43"/>
        <v>9.0273113527908622E-3</v>
      </c>
      <c r="H878" s="20">
        <f t="shared" si="44"/>
        <v>1.3216790293059099E-2</v>
      </c>
      <c r="I878" s="3"/>
    </row>
    <row r="879" spans="1:9" x14ac:dyDescent="0.3">
      <c r="A879" s="2">
        <v>42878</v>
      </c>
      <c r="B879" s="1">
        <v>38.450000000000003</v>
      </c>
      <c r="C879" s="1">
        <v>971.54</v>
      </c>
      <c r="D879" s="1">
        <v>148.07</v>
      </c>
      <c r="E879" s="3"/>
      <c r="F879" s="20">
        <f t="shared" si="42"/>
        <v>-1.2346081687778711E-3</v>
      </c>
      <c r="G879" s="20">
        <f t="shared" si="43"/>
        <v>8.9598972614592196E-4</v>
      </c>
      <c r="H879" s="20">
        <f t="shared" si="44"/>
        <v>-1.1474470564769093E-3</v>
      </c>
      <c r="I879" s="3"/>
    </row>
    <row r="880" spans="1:9" x14ac:dyDescent="0.3">
      <c r="A880" s="2">
        <v>42877</v>
      </c>
      <c r="B880" s="1">
        <v>38.497500000000002</v>
      </c>
      <c r="C880" s="1">
        <v>970.66989999999998</v>
      </c>
      <c r="D880" s="1">
        <v>148.24</v>
      </c>
      <c r="E880" s="3"/>
      <c r="F880" s="20">
        <f t="shared" si="42"/>
        <v>6.0576638585464375E-3</v>
      </c>
      <c r="G880" s="20">
        <f t="shared" si="43"/>
        <v>1.1219743598066888E-2</v>
      </c>
      <c r="H880" s="20">
        <f t="shared" si="44"/>
        <v>1.2149849621520264E-3</v>
      </c>
      <c r="I880" s="3"/>
    </row>
    <row r="881" spans="1:9" x14ac:dyDescent="0.3">
      <c r="A881" s="2">
        <v>42874</v>
      </c>
      <c r="B881" s="1">
        <v>38.265000000000001</v>
      </c>
      <c r="C881" s="1">
        <v>959.84010000000001</v>
      </c>
      <c r="D881" s="1">
        <v>148.06</v>
      </c>
      <c r="E881" s="3"/>
      <c r="F881" s="20">
        <f t="shared" si="42"/>
        <v>3.4031446456825984E-3</v>
      </c>
      <c r="G881" s="20">
        <f t="shared" si="43"/>
        <v>1.4075786257122917E-3</v>
      </c>
      <c r="H881" s="20">
        <f t="shared" si="44"/>
        <v>2.7052633839328029E-3</v>
      </c>
      <c r="I881" s="3"/>
    </row>
    <row r="882" spans="1:9" x14ac:dyDescent="0.3">
      <c r="A882" s="2">
        <v>42873</v>
      </c>
      <c r="B882" s="1">
        <v>38.134999999999998</v>
      </c>
      <c r="C882" s="1">
        <v>958.49</v>
      </c>
      <c r="D882" s="1">
        <v>147.66</v>
      </c>
      <c r="E882" s="3"/>
      <c r="F882" s="20">
        <f t="shared" si="42"/>
        <v>1.5126283320775607E-2</v>
      </c>
      <c r="G882" s="20">
        <f t="shared" si="43"/>
        <v>1.4428202478719744E-2</v>
      </c>
      <c r="H882" s="20">
        <f t="shared" si="44"/>
        <v>1.9213609415660162E-2</v>
      </c>
      <c r="I882" s="3"/>
    </row>
    <row r="883" spans="1:9" x14ac:dyDescent="0.3">
      <c r="A883" s="2">
        <v>42872</v>
      </c>
      <c r="B883" s="1">
        <v>37.5625</v>
      </c>
      <c r="C883" s="1">
        <v>944.76</v>
      </c>
      <c r="D883" s="1">
        <v>144.85</v>
      </c>
      <c r="E883" s="3"/>
      <c r="F883" s="20">
        <f t="shared" si="42"/>
        <v>-3.4152213546332452E-2</v>
      </c>
      <c r="G883" s="20">
        <f t="shared" si="43"/>
        <v>-2.2305471883048295E-2</v>
      </c>
      <c r="H883" s="20">
        <f t="shared" si="44"/>
        <v>-3.3468826605861722E-2</v>
      </c>
      <c r="I883" s="3"/>
    </row>
    <row r="884" spans="1:9" x14ac:dyDescent="0.3">
      <c r="A884" s="2">
        <v>42871</v>
      </c>
      <c r="B884" s="1">
        <v>38.8675</v>
      </c>
      <c r="C884" s="1">
        <v>966.07010000000002</v>
      </c>
      <c r="D884" s="1">
        <v>149.78</v>
      </c>
      <c r="E884" s="3"/>
      <c r="F884" s="20">
        <f t="shared" si="42"/>
        <v>-1.4782918783032496E-3</v>
      </c>
      <c r="G884" s="20">
        <f t="shared" si="43"/>
        <v>8.419936626979688E-3</v>
      </c>
      <c r="H884" s="20">
        <f t="shared" si="44"/>
        <v>-2.7336083962683213E-3</v>
      </c>
      <c r="I884" s="3"/>
    </row>
    <row r="885" spans="1:9" x14ac:dyDescent="0.3">
      <c r="A885" s="2">
        <v>42870</v>
      </c>
      <c r="B885" s="1">
        <v>38.924999999999997</v>
      </c>
      <c r="C885" s="1">
        <v>957.97</v>
      </c>
      <c r="D885" s="1">
        <v>150.19</v>
      </c>
      <c r="E885" s="3"/>
      <c r="F885" s="20">
        <f t="shared" si="42"/>
        <v>-2.5657486814337572E-3</v>
      </c>
      <c r="G885" s="20">
        <f t="shared" si="43"/>
        <v>-3.5221883982834486E-3</v>
      </c>
      <c r="H885" s="20">
        <f t="shared" si="44"/>
        <v>-9.3171842225365674E-4</v>
      </c>
      <c r="I885" s="3"/>
    </row>
    <row r="886" spans="1:9" x14ac:dyDescent="0.3">
      <c r="A886" s="2">
        <v>42867</v>
      </c>
      <c r="B886" s="1">
        <v>39.024999999999999</v>
      </c>
      <c r="C886" s="1">
        <v>961.3501</v>
      </c>
      <c r="D886" s="1">
        <v>150.33000000000001</v>
      </c>
      <c r="E886" s="3"/>
      <c r="F886" s="20">
        <f t="shared" si="42"/>
        <v>1.3868953150877047E-2</v>
      </c>
      <c r="G886" s="20">
        <f t="shared" si="43"/>
        <v>1.4384967097420263E-2</v>
      </c>
      <c r="H886" s="20">
        <f t="shared" si="44"/>
        <v>1.930952426056486E-3</v>
      </c>
      <c r="I886" s="3"/>
    </row>
    <row r="887" spans="1:9" x14ac:dyDescent="0.3">
      <c r="A887" s="2">
        <v>42866</v>
      </c>
      <c r="B887" s="1">
        <v>38.487499999999997</v>
      </c>
      <c r="C887" s="1">
        <v>947.62009999999998</v>
      </c>
      <c r="D887" s="1">
        <v>150.04</v>
      </c>
      <c r="E887" s="3"/>
      <c r="F887" s="20">
        <f t="shared" si="42"/>
        <v>4.4920488282511736E-3</v>
      </c>
      <c r="G887" s="20">
        <f t="shared" si="43"/>
        <v>-1.4024266416207789E-3</v>
      </c>
      <c r="H887" s="20">
        <f t="shared" si="44"/>
        <v>-1.664835732316329E-3</v>
      </c>
      <c r="I887" s="3"/>
    </row>
    <row r="888" spans="1:9" x14ac:dyDescent="0.3">
      <c r="A888" s="2">
        <v>42865</v>
      </c>
      <c r="B888" s="1">
        <v>38.314999999999998</v>
      </c>
      <c r="C888" s="1">
        <v>948.95</v>
      </c>
      <c r="D888" s="1">
        <v>150.29</v>
      </c>
      <c r="E888" s="3"/>
      <c r="F888" s="20">
        <f t="shared" si="42"/>
        <v>-4.7518396980633926E-3</v>
      </c>
      <c r="G888" s="20">
        <f t="shared" si="43"/>
        <v>-4.070003353534221E-3</v>
      </c>
      <c r="H888" s="20">
        <f t="shared" si="44"/>
        <v>-1.2634240467720174E-3</v>
      </c>
      <c r="I888" s="3"/>
    </row>
    <row r="889" spans="1:9" x14ac:dyDescent="0.3">
      <c r="A889" s="2">
        <v>42864</v>
      </c>
      <c r="B889" s="1">
        <v>38.497500000000002</v>
      </c>
      <c r="C889" s="1">
        <v>952.82010000000002</v>
      </c>
      <c r="D889" s="1">
        <v>150.47999999999999</v>
      </c>
      <c r="E889" s="3"/>
      <c r="F889" s="20">
        <f t="shared" si="42"/>
        <v>6.384386506599499E-3</v>
      </c>
      <c r="G889" s="20">
        <f t="shared" si="43"/>
        <v>3.9751661836151036E-3</v>
      </c>
      <c r="H889" s="20">
        <f t="shared" si="44"/>
        <v>-3.8469238925270891E-3</v>
      </c>
      <c r="I889" s="3"/>
    </row>
    <row r="890" spans="1:9" x14ac:dyDescent="0.3">
      <c r="A890" s="2">
        <v>42863</v>
      </c>
      <c r="B890" s="1">
        <v>38.252499999999998</v>
      </c>
      <c r="C890" s="1">
        <v>949.04</v>
      </c>
      <c r="D890" s="1">
        <v>151.06</v>
      </c>
      <c r="E890" s="3"/>
      <c r="F890" s="20">
        <f t="shared" si="42"/>
        <v>2.6825465204965E-2</v>
      </c>
      <c r="G890" s="20">
        <f t="shared" si="43"/>
        <v>1.5814029496196157E-2</v>
      </c>
      <c r="H890" s="20">
        <f t="shared" si="44"/>
        <v>5.443093425349029E-3</v>
      </c>
      <c r="I890" s="3"/>
    </row>
    <row r="891" spans="1:9" x14ac:dyDescent="0.3">
      <c r="A891" s="2">
        <v>42860</v>
      </c>
      <c r="B891" s="1">
        <v>37.24</v>
      </c>
      <c r="C891" s="1">
        <v>934.1499</v>
      </c>
      <c r="D891" s="1">
        <v>150.24</v>
      </c>
      <c r="E891" s="3"/>
      <c r="F891" s="20">
        <f t="shared" si="42"/>
        <v>1.644762787882318E-2</v>
      </c>
      <c r="G891" s="20">
        <f t="shared" si="43"/>
        <v>-3.6118394759251612E-3</v>
      </c>
      <c r="H891" s="20">
        <f t="shared" si="44"/>
        <v>-4.0519501451172649E-3</v>
      </c>
      <c r="I891" s="3"/>
    </row>
    <row r="892" spans="1:9" x14ac:dyDescent="0.3">
      <c r="A892" s="2">
        <v>42859</v>
      </c>
      <c r="B892" s="1">
        <v>36.6325</v>
      </c>
      <c r="C892" s="1">
        <v>937.53</v>
      </c>
      <c r="D892" s="1">
        <v>150.85</v>
      </c>
      <c r="E892" s="3"/>
      <c r="F892" s="20">
        <f t="shared" si="42"/>
        <v>-3.6104811181424407E-3</v>
      </c>
      <c r="G892" s="20">
        <f t="shared" si="43"/>
        <v>-3.7262627222985891E-3</v>
      </c>
      <c r="H892" s="20">
        <f t="shared" si="44"/>
        <v>-6.2778993564596023E-3</v>
      </c>
      <c r="I892" s="3"/>
    </row>
    <row r="893" spans="1:9" x14ac:dyDescent="0.3">
      <c r="A893" s="2">
        <v>42858</v>
      </c>
      <c r="B893" s="1">
        <v>36.765000000000001</v>
      </c>
      <c r="C893" s="1">
        <v>941.03</v>
      </c>
      <c r="D893" s="1">
        <v>151.80000000000001</v>
      </c>
      <c r="E893" s="3"/>
      <c r="F893" s="20">
        <f t="shared" si="42"/>
        <v>-3.055303323881437E-3</v>
      </c>
      <c r="G893" s="20">
        <f t="shared" si="43"/>
        <v>-6.2606075481396097E-3</v>
      </c>
      <c r="H893" s="20">
        <f t="shared" si="44"/>
        <v>-6.4351131516840448E-3</v>
      </c>
      <c r="I893" s="3"/>
    </row>
    <row r="894" spans="1:9" x14ac:dyDescent="0.3">
      <c r="A894" s="2">
        <v>42857</v>
      </c>
      <c r="B894" s="1">
        <v>36.877499999999998</v>
      </c>
      <c r="C894" s="1">
        <v>946.93989999999997</v>
      </c>
      <c r="D894" s="1">
        <v>152.78</v>
      </c>
      <c r="E894" s="3"/>
      <c r="F894" s="20">
        <f t="shared" si="42"/>
        <v>6.3246155942534759E-3</v>
      </c>
      <c r="G894" s="20">
        <f t="shared" si="43"/>
        <v>-1.361461259251775E-3</v>
      </c>
      <c r="H894" s="20">
        <f t="shared" si="44"/>
        <v>2.0967115530858395E-3</v>
      </c>
      <c r="I894" s="3"/>
    </row>
    <row r="895" spans="1:9" x14ac:dyDescent="0.3">
      <c r="A895" s="2">
        <v>42856</v>
      </c>
      <c r="B895" s="1">
        <v>36.645000000000003</v>
      </c>
      <c r="C895" s="1">
        <v>948.23</v>
      </c>
      <c r="D895" s="1">
        <v>152.46</v>
      </c>
      <c r="E895" s="3"/>
      <c r="F895" s="20">
        <f t="shared" si="42"/>
        <v>2.0191569072405522E-2</v>
      </c>
      <c r="G895" s="20">
        <f t="shared" si="43"/>
        <v>2.4814162219089522E-2</v>
      </c>
      <c r="H895" s="20">
        <f t="shared" si="44"/>
        <v>1.4601693144810902E-2</v>
      </c>
      <c r="I895" s="3"/>
    </row>
    <row r="896" spans="1:9" x14ac:dyDescent="0.3">
      <c r="A896" s="2">
        <v>42853</v>
      </c>
      <c r="B896" s="1">
        <v>35.912500000000001</v>
      </c>
      <c r="C896" s="1">
        <v>924.99</v>
      </c>
      <c r="D896" s="1">
        <v>150.25</v>
      </c>
      <c r="E896" s="3"/>
      <c r="F896" s="20">
        <f t="shared" si="42"/>
        <v>-9.7411641435093705E-4</v>
      </c>
      <c r="G896" s="20">
        <f t="shared" si="43"/>
        <v>7.1717872058764155E-3</v>
      </c>
      <c r="H896" s="20">
        <f t="shared" si="44"/>
        <v>1.7117383877982981E-2</v>
      </c>
      <c r="I896" s="3"/>
    </row>
    <row r="897" spans="1:9" x14ac:dyDescent="0.3">
      <c r="A897" s="2">
        <v>42852</v>
      </c>
      <c r="B897" s="1">
        <v>35.947499999999998</v>
      </c>
      <c r="C897" s="1">
        <v>918.37990000000002</v>
      </c>
      <c r="D897" s="1">
        <v>147.69999999999999</v>
      </c>
      <c r="E897" s="3"/>
      <c r="F897" s="20">
        <f t="shared" si="42"/>
        <v>7.6529728576000828E-4</v>
      </c>
      <c r="G897" s="20">
        <f t="shared" si="43"/>
        <v>9.9470642364880273E-3</v>
      </c>
      <c r="H897" s="20">
        <f t="shared" si="44"/>
        <v>7.7482886115138568E-3</v>
      </c>
      <c r="I897" s="3"/>
    </row>
    <row r="898" spans="1:9" x14ac:dyDescent="0.3">
      <c r="A898" s="2">
        <v>42851</v>
      </c>
      <c r="B898" s="1">
        <v>35.92</v>
      </c>
      <c r="C898" s="1">
        <v>909.29</v>
      </c>
      <c r="D898" s="1">
        <v>146.56</v>
      </c>
      <c r="E898" s="3"/>
      <c r="F898" s="20">
        <f t="shared" si="42"/>
        <v>-5.8984939068610935E-3</v>
      </c>
      <c r="G898" s="20">
        <f t="shared" si="43"/>
        <v>1.8381762203874541E-3</v>
      </c>
      <c r="H898" s="20">
        <f t="shared" si="44"/>
        <v>4.7773418414141333E-4</v>
      </c>
      <c r="I898" s="3"/>
    </row>
    <row r="899" spans="1:9" x14ac:dyDescent="0.3">
      <c r="A899" s="2">
        <v>42850</v>
      </c>
      <c r="B899" s="1">
        <v>36.1325</v>
      </c>
      <c r="C899" s="1">
        <v>907.62009999999998</v>
      </c>
      <c r="D899" s="1">
        <v>146.49</v>
      </c>
      <c r="E899" s="3"/>
      <c r="F899" s="20">
        <f t="shared" si="42"/>
        <v>6.1769291028687112E-3</v>
      </c>
      <c r="G899" s="20">
        <f t="shared" si="43"/>
        <v>2.3162151693335511E-4</v>
      </c>
      <c r="H899" s="20">
        <f t="shared" si="44"/>
        <v>6.9872869563079682E-3</v>
      </c>
      <c r="I899" s="3"/>
    </row>
    <row r="900" spans="1:9" x14ac:dyDescent="0.3">
      <c r="A900" s="2">
        <v>42849</v>
      </c>
      <c r="B900" s="1">
        <v>35.909999999999997</v>
      </c>
      <c r="C900" s="1">
        <v>907.40989999999999</v>
      </c>
      <c r="D900" s="1">
        <v>145.47</v>
      </c>
      <c r="E900" s="3"/>
      <c r="F900" s="20">
        <f t="shared" si="42"/>
        <v>9.5835086948062049E-3</v>
      </c>
      <c r="G900" s="20">
        <f t="shared" si="43"/>
        <v>9.8341828156418409E-3</v>
      </c>
      <c r="H900" s="20">
        <f t="shared" si="44"/>
        <v>1.2381275231481019E-2</v>
      </c>
      <c r="I900" s="3"/>
    </row>
    <row r="901" spans="1:9" x14ac:dyDescent="0.3">
      <c r="A901" s="2">
        <v>42846</v>
      </c>
      <c r="B901" s="1">
        <v>35.567500000000003</v>
      </c>
      <c r="C901" s="1">
        <v>898.53</v>
      </c>
      <c r="D901" s="1">
        <v>143.68</v>
      </c>
      <c r="E901" s="3"/>
      <c r="F901" s="20">
        <f t="shared" si="42"/>
        <v>-1.1941977465013051E-3</v>
      </c>
      <c r="G901" s="20">
        <f t="shared" si="43"/>
        <v>-3.9210529068646081E-3</v>
      </c>
      <c r="H901" s="20">
        <f t="shared" si="44"/>
        <v>-8.3484073305688071E-4</v>
      </c>
      <c r="I901" s="3"/>
    </row>
    <row r="902" spans="1:9" x14ac:dyDescent="0.3">
      <c r="A902" s="2">
        <v>42845</v>
      </c>
      <c r="B902" s="1">
        <v>35.61</v>
      </c>
      <c r="C902" s="1">
        <v>902.06010000000003</v>
      </c>
      <c r="D902" s="1">
        <v>143.80000000000001</v>
      </c>
      <c r="E902" s="3"/>
      <c r="F902" s="20">
        <f t="shared" ref="F902:F965" si="45">LN(B902/B903)</f>
        <v>1.2433050803795163E-2</v>
      </c>
      <c r="G902" s="20">
        <f t="shared" ref="G902:G965" si="46">LN(C902/C903)</f>
        <v>3.1756684152880886E-3</v>
      </c>
      <c r="H902" s="20">
        <f t="shared" ref="H902:H965" si="47">LN(D902/D903)</f>
        <v>1.0696784623870781E-2</v>
      </c>
      <c r="I902" s="3"/>
    </row>
    <row r="903" spans="1:9" x14ac:dyDescent="0.3">
      <c r="A903" s="2">
        <v>42844</v>
      </c>
      <c r="B903" s="1">
        <v>35.17</v>
      </c>
      <c r="C903" s="1">
        <v>899.2</v>
      </c>
      <c r="D903" s="1">
        <v>142.27000000000001</v>
      </c>
      <c r="E903" s="3"/>
      <c r="F903" s="20">
        <f t="shared" si="45"/>
        <v>-3.6895174533598273E-3</v>
      </c>
      <c r="G903" s="20">
        <f t="shared" si="46"/>
        <v>-5.0804888033521159E-3</v>
      </c>
      <c r="H903" s="20">
        <f t="shared" si="47"/>
        <v>9.2504984752063372E-3</v>
      </c>
      <c r="I903" s="3"/>
    </row>
    <row r="904" spans="1:9" x14ac:dyDescent="0.3">
      <c r="A904" s="2">
        <v>42843</v>
      </c>
      <c r="B904" s="1">
        <v>35.299999999999997</v>
      </c>
      <c r="C904" s="1">
        <v>903.78</v>
      </c>
      <c r="D904" s="1">
        <v>140.96</v>
      </c>
      <c r="E904" s="3"/>
      <c r="F904" s="20">
        <f t="shared" si="45"/>
        <v>-4.4518322473746808E-3</v>
      </c>
      <c r="G904" s="20">
        <f t="shared" si="46"/>
        <v>1.9825344161115508E-3</v>
      </c>
      <c r="H904" s="20">
        <f t="shared" si="47"/>
        <v>-3.2580239882251715E-3</v>
      </c>
      <c r="I904" s="3"/>
    </row>
    <row r="905" spans="1:9" x14ac:dyDescent="0.3">
      <c r="A905" s="2">
        <v>42842</v>
      </c>
      <c r="B905" s="1">
        <v>35.457500000000003</v>
      </c>
      <c r="C905" s="1">
        <v>901.99</v>
      </c>
      <c r="D905" s="1">
        <v>141.41999999999999</v>
      </c>
      <c r="E905" s="3"/>
      <c r="F905" s="20">
        <f t="shared" si="45"/>
        <v>5.5147198585110014E-3</v>
      </c>
      <c r="G905" s="20">
        <f t="shared" si="46"/>
        <v>1.9388852448715289E-2</v>
      </c>
      <c r="H905" s="20">
        <f t="shared" si="47"/>
        <v>1.445842643429983E-2</v>
      </c>
      <c r="I905" s="3"/>
    </row>
    <row r="906" spans="1:9" x14ac:dyDescent="0.3">
      <c r="A906" s="2">
        <v>42839</v>
      </c>
      <c r="B906" s="1">
        <v>35.262500000000003</v>
      </c>
      <c r="C906" s="1">
        <v>884.66989999999998</v>
      </c>
      <c r="D906" s="1">
        <v>139.38999999999999</v>
      </c>
      <c r="E906" s="3"/>
      <c r="F906" s="20">
        <f t="shared" si="45"/>
        <v>0</v>
      </c>
      <c r="G906" s="20">
        <f t="shared" si="46"/>
        <v>0</v>
      </c>
      <c r="H906" s="20">
        <f t="shared" si="47"/>
        <v>0</v>
      </c>
      <c r="I906" s="3"/>
    </row>
    <row r="907" spans="1:9" x14ac:dyDescent="0.3">
      <c r="A907" s="2">
        <v>42838</v>
      </c>
      <c r="B907" s="1">
        <v>35.262500000000003</v>
      </c>
      <c r="C907" s="1">
        <v>884.66989999999998</v>
      </c>
      <c r="D907" s="1">
        <v>139.38999999999999</v>
      </c>
      <c r="E907" s="3"/>
      <c r="F907" s="20">
        <f t="shared" si="45"/>
        <v>-5.3031766500218781E-3</v>
      </c>
      <c r="G907" s="20">
        <f t="shared" si="46"/>
        <v>-1.2982495384658836E-2</v>
      </c>
      <c r="H907" s="20">
        <f t="shared" si="47"/>
        <v>-1.362153847210745E-3</v>
      </c>
      <c r="I907" s="3"/>
    </row>
    <row r="908" spans="1:9" x14ac:dyDescent="0.3">
      <c r="A908" s="2">
        <v>42837</v>
      </c>
      <c r="B908" s="1">
        <v>35.450000000000003</v>
      </c>
      <c r="C908" s="1">
        <v>896.23</v>
      </c>
      <c r="D908" s="1">
        <v>139.58000000000001</v>
      </c>
      <c r="E908" s="3"/>
      <c r="F908" s="20">
        <f t="shared" si="45"/>
        <v>1.1995908717221987E-3</v>
      </c>
      <c r="G908" s="20">
        <f t="shared" si="46"/>
        <v>-6.8165878781209915E-3</v>
      </c>
      <c r="H908" s="20">
        <f t="shared" si="47"/>
        <v>-2.4329171213408451E-3</v>
      </c>
      <c r="I908" s="3"/>
    </row>
    <row r="909" spans="1:9" x14ac:dyDescent="0.3">
      <c r="A909" s="2">
        <v>42836</v>
      </c>
      <c r="B909" s="1">
        <v>35.407499999999999</v>
      </c>
      <c r="C909" s="1">
        <v>902.36009999999999</v>
      </c>
      <c r="D909" s="1">
        <v>139.91999999999999</v>
      </c>
      <c r="E909" s="3"/>
      <c r="F909" s="20">
        <f t="shared" si="45"/>
        <v>-1.0814712145931032E-2</v>
      </c>
      <c r="G909" s="20">
        <f t="shared" si="46"/>
        <v>-5.1728862352617248E-3</v>
      </c>
      <c r="H909" s="20">
        <f t="shared" si="47"/>
        <v>-7.9727073792682426E-3</v>
      </c>
      <c r="I909" s="3"/>
    </row>
    <row r="910" spans="1:9" x14ac:dyDescent="0.3">
      <c r="A910" s="2">
        <v>42835</v>
      </c>
      <c r="B910" s="1">
        <v>35.792499999999997</v>
      </c>
      <c r="C910" s="1">
        <v>907.04</v>
      </c>
      <c r="D910" s="1">
        <v>141.04</v>
      </c>
      <c r="E910" s="3"/>
      <c r="F910" s="20">
        <f t="shared" si="45"/>
        <v>-1.1866951935371264E-3</v>
      </c>
      <c r="G910" s="20">
        <f t="shared" si="46"/>
        <v>1.3497031249548309E-2</v>
      </c>
      <c r="H910" s="20">
        <f t="shared" si="47"/>
        <v>1.8451499096292074E-3</v>
      </c>
      <c r="I910" s="3"/>
    </row>
    <row r="911" spans="1:9" x14ac:dyDescent="0.3">
      <c r="A911" s="2">
        <v>42832</v>
      </c>
      <c r="B911" s="1">
        <v>35.835000000000001</v>
      </c>
      <c r="C911" s="1">
        <v>894.87990000000002</v>
      </c>
      <c r="D911" s="1">
        <v>140.78</v>
      </c>
      <c r="E911" s="3"/>
      <c r="F911" s="20">
        <f t="shared" si="45"/>
        <v>-2.2299660808823615E-3</v>
      </c>
      <c r="G911" s="20">
        <f t="shared" si="46"/>
        <v>-3.7923043838954057E-3</v>
      </c>
      <c r="H911" s="20">
        <f t="shared" si="47"/>
        <v>-2.7664497161225651E-3</v>
      </c>
      <c r="I911" s="3"/>
    </row>
    <row r="912" spans="1:9" x14ac:dyDescent="0.3">
      <c r="A912" s="2">
        <v>42831</v>
      </c>
      <c r="B912" s="1">
        <v>35.914999999999999</v>
      </c>
      <c r="C912" s="1">
        <v>898.28</v>
      </c>
      <c r="D912" s="1">
        <v>141.16999999999999</v>
      </c>
      <c r="E912" s="3"/>
      <c r="F912" s="20">
        <f t="shared" si="45"/>
        <v>-2.5027821740653254E-3</v>
      </c>
      <c r="G912" s="20">
        <f t="shared" si="46"/>
        <v>-1.2171253838470657E-2</v>
      </c>
      <c r="H912" s="20">
        <f t="shared" si="47"/>
        <v>-4.8053233587521376E-3</v>
      </c>
      <c r="I912" s="3"/>
    </row>
    <row r="913" spans="1:9" x14ac:dyDescent="0.3">
      <c r="A913" s="2">
        <v>42830</v>
      </c>
      <c r="B913" s="1">
        <v>36.005000000000003</v>
      </c>
      <c r="C913" s="1">
        <v>909.28</v>
      </c>
      <c r="D913" s="1">
        <v>141.85</v>
      </c>
      <c r="E913" s="3"/>
      <c r="F913" s="20">
        <f t="shared" si="45"/>
        <v>-5.1940973452314866E-3</v>
      </c>
      <c r="G913" s="20">
        <f t="shared" si="46"/>
        <v>2.6979658183413995E-3</v>
      </c>
      <c r="H913" s="20">
        <f t="shared" si="47"/>
        <v>8.4632207604640652E-4</v>
      </c>
      <c r="I913" s="3"/>
    </row>
    <row r="914" spans="1:9" x14ac:dyDescent="0.3">
      <c r="A914" s="2">
        <v>42829</v>
      </c>
      <c r="B914" s="1">
        <v>36.192500000000003</v>
      </c>
      <c r="C914" s="1">
        <v>906.83010000000002</v>
      </c>
      <c r="D914" s="1">
        <v>141.72999999999999</v>
      </c>
      <c r="E914" s="3"/>
      <c r="F914" s="20">
        <f t="shared" si="45"/>
        <v>7.4184830809730347E-3</v>
      </c>
      <c r="G914" s="20">
        <f t="shared" si="46"/>
        <v>1.7038457440269588E-2</v>
      </c>
      <c r="H914" s="20">
        <f t="shared" si="47"/>
        <v>-3.8731079014404837E-3</v>
      </c>
      <c r="I914" s="3"/>
    </row>
    <row r="915" spans="1:9" x14ac:dyDescent="0.3">
      <c r="A915" s="2">
        <v>42828</v>
      </c>
      <c r="B915" s="1">
        <v>35.924999999999997</v>
      </c>
      <c r="C915" s="1">
        <v>891.51</v>
      </c>
      <c r="D915" s="1">
        <v>142.28</v>
      </c>
      <c r="E915" s="3"/>
      <c r="F915" s="20">
        <f t="shared" si="45"/>
        <v>2.7839643832359615E-4</v>
      </c>
      <c r="G915" s="20">
        <f t="shared" si="46"/>
        <v>5.5904085304760145E-3</v>
      </c>
      <c r="H915" s="20">
        <f t="shared" si="47"/>
        <v>1.6178387800573353E-3</v>
      </c>
      <c r="I915" s="3"/>
    </row>
    <row r="916" spans="1:9" x14ac:dyDescent="0.3">
      <c r="A916" s="2">
        <v>42825</v>
      </c>
      <c r="B916" s="1">
        <v>35.914999999999999</v>
      </c>
      <c r="C916" s="1">
        <v>886.54</v>
      </c>
      <c r="D916" s="1">
        <v>142.05000000000001</v>
      </c>
      <c r="E916" s="3"/>
      <c r="F916" s="20">
        <f t="shared" si="45"/>
        <v>-1.877673627923934E-3</v>
      </c>
      <c r="G916" s="20">
        <f t="shared" si="46"/>
        <v>1.1571988160628164E-2</v>
      </c>
      <c r="H916" s="20">
        <f t="shared" si="47"/>
        <v>-2.5311129311393621E-3</v>
      </c>
      <c r="I916" s="3"/>
    </row>
    <row r="917" spans="1:9" x14ac:dyDescent="0.3">
      <c r="A917" s="2">
        <v>42824</v>
      </c>
      <c r="B917" s="1">
        <v>35.982500000000002</v>
      </c>
      <c r="C917" s="1">
        <v>876.34010000000001</v>
      </c>
      <c r="D917" s="1">
        <v>142.41</v>
      </c>
      <c r="E917" s="3"/>
      <c r="F917" s="20">
        <f t="shared" si="45"/>
        <v>-1.3192156053131116E-3</v>
      </c>
      <c r="G917" s="20">
        <f t="shared" si="46"/>
        <v>2.3077018560850272E-3</v>
      </c>
      <c r="H917" s="20">
        <f t="shared" si="47"/>
        <v>-1.6838564281726764E-3</v>
      </c>
      <c r="I917" s="3"/>
    </row>
    <row r="918" spans="1:9" x14ac:dyDescent="0.3">
      <c r="A918" s="2">
        <v>42823</v>
      </c>
      <c r="B918" s="1">
        <v>36.03</v>
      </c>
      <c r="C918" s="1">
        <v>874.32010000000002</v>
      </c>
      <c r="D918" s="1">
        <v>142.65</v>
      </c>
      <c r="E918" s="3"/>
      <c r="F918" s="20">
        <f t="shared" si="45"/>
        <v>2.2228405929461993E-3</v>
      </c>
      <c r="G918" s="20">
        <f t="shared" si="46"/>
        <v>2.1176179601269066E-2</v>
      </c>
      <c r="H918" s="20">
        <f t="shared" si="47"/>
        <v>6.2585908027382106E-3</v>
      </c>
      <c r="I918" s="3"/>
    </row>
    <row r="919" spans="1:9" x14ac:dyDescent="0.3">
      <c r="A919" s="2">
        <v>42822</v>
      </c>
      <c r="B919" s="1">
        <v>35.950000000000003</v>
      </c>
      <c r="C919" s="1">
        <v>856</v>
      </c>
      <c r="D919" s="1">
        <v>141.76</v>
      </c>
      <c r="E919" s="3"/>
      <c r="F919" s="20">
        <f t="shared" si="45"/>
        <v>2.0514981098995685E-2</v>
      </c>
      <c r="G919" s="20">
        <f t="shared" si="46"/>
        <v>1.0782100743274936E-2</v>
      </c>
      <c r="H919" s="20">
        <f t="shared" si="47"/>
        <v>1.0209958232897946E-2</v>
      </c>
      <c r="I919" s="3"/>
    </row>
    <row r="920" spans="1:9" x14ac:dyDescent="0.3">
      <c r="A920" s="2">
        <v>42821</v>
      </c>
      <c r="B920" s="1">
        <v>35.22</v>
      </c>
      <c r="C920" s="1">
        <v>846.82010000000002</v>
      </c>
      <c r="D920" s="1">
        <v>140.32</v>
      </c>
      <c r="E920" s="3"/>
      <c r="F920" s="20">
        <f t="shared" si="45"/>
        <v>1.7050302510839691E-3</v>
      </c>
      <c r="G920" s="20">
        <f t="shared" si="46"/>
        <v>1.4298967321243565E-3</v>
      </c>
      <c r="H920" s="20">
        <f t="shared" si="47"/>
        <v>-1.4252120026984454E-4</v>
      </c>
      <c r="I920" s="3"/>
    </row>
    <row r="921" spans="1:9" x14ac:dyDescent="0.3">
      <c r="A921" s="2">
        <v>42818</v>
      </c>
      <c r="B921" s="1">
        <v>35.159999999999997</v>
      </c>
      <c r="C921" s="1">
        <v>845.61009999999999</v>
      </c>
      <c r="D921" s="1">
        <v>140.34</v>
      </c>
      <c r="E921" s="3"/>
      <c r="F921" s="20">
        <f t="shared" si="45"/>
        <v>-1.9889195361700784E-3</v>
      </c>
      <c r="G921" s="20">
        <f t="shared" si="46"/>
        <v>-2.0907396318678327E-3</v>
      </c>
      <c r="H921" s="20">
        <f t="shared" si="47"/>
        <v>5.7884179200273648E-3</v>
      </c>
      <c r="I921" s="3"/>
    </row>
    <row r="922" spans="1:9" x14ac:dyDescent="0.3">
      <c r="A922" s="2">
        <v>42817</v>
      </c>
      <c r="B922" s="1">
        <v>35.229999999999997</v>
      </c>
      <c r="C922" s="1">
        <v>847.37990000000002</v>
      </c>
      <c r="D922" s="1">
        <v>139.53</v>
      </c>
      <c r="E922" s="3"/>
      <c r="F922" s="20">
        <f t="shared" si="45"/>
        <v>-3.5418327030578875E-3</v>
      </c>
      <c r="G922" s="20">
        <f t="shared" si="46"/>
        <v>-8.0238762385478717E-4</v>
      </c>
      <c r="H922" s="20">
        <f t="shared" si="47"/>
        <v>-4.2992262055157097E-4</v>
      </c>
      <c r="I922" s="3"/>
    </row>
    <row r="923" spans="1:9" x14ac:dyDescent="0.3">
      <c r="A923" s="2">
        <v>42816</v>
      </c>
      <c r="B923" s="1">
        <v>35.354999999999997</v>
      </c>
      <c r="C923" s="1">
        <v>848.06010000000003</v>
      </c>
      <c r="D923" s="1">
        <v>139.59</v>
      </c>
      <c r="E923" s="3"/>
      <c r="F923" s="20">
        <f t="shared" si="45"/>
        <v>1.123527426886921E-2</v>
      </c>
      <c r="G923" s="20">
        <f t="shared" si="46"/>
        <v>5.7473281349676676E-3</v>
      </c>
      <c r="H923" s="20">
        <f t="shared" si="47"/>
        <v>7.7670293376595964E-3</v>
      </c>
      <c r="I923" s="3"/>
    </row>
    <row r="924" spans="1:9" x14ac:dyDescent="0.3">
      <c r="A924" s="2">
        <v>42815</v>
      </c>
      <c r="B924" s="1">
        <v>34.96</v>
      </c>
      <c r="C924" s="1">
        <v>843.2</v>
      </c>
      <c r="D924" s="1">
        <v>138.51</v>
      </c>
      <c r="E924" s="3"/>
      <c r="F924" s="20">
        <f t="shared" si="45"/>
        <v>-1.1518079700618624E-2</v>
      </c>
      <c r="G924" s="20">
        <f t="shared" si="46"/>
        <v>-1.6198734363657687E-2</v>
      </c>
      <c r="H924" s="20">
        <f t="shared" si="47"/>
        <v>-1.027123413074345E-2</v>
      </c>
      <c r="I924" s="3"/>
    </row>
    <row r="925" spans="1:9" x14ac:dyDescent="0.3">
      <c r="A925" s="2">
        <v>42814</v>
      </c>
      <c r="B925" s="1">
        <v>35.365000000000002</v>
      </c>
      <c r="C925" s="1">
        <v>856.97</v>
      </c>
      <c r="D925" s="1">
        <v>139.94</v>
      </c>
      <c r="E925" s="3"/>
      <c r="F925" s="20">
        <f t="shared" si="45"/>
        <v>1.0446000121109985E-2</v>
      </c>
      <c r="G925" s="20">
        <f t="shared" si="46"/>
        <v>5.4524844052602182E-3</v>
      </c>
      <c r="H925" s="20">
        <f t="shared" si="47"/>
        <v>7.1484741052520824E-4</v>
      </c>
      <c r="I925" s="3"/>
    </row>
    <row r="926" spans="1:9" x14ac:dyDescent="0.3">
      <c r="A926" s="2">
        <v>42811</v>
      </c>
      <c r="B926" s="1">
        <v>34.997500000000002</v>
      </c>
      <c r="C926" s="1">
        <v>852.31010000000003</v>
      </c>
      <c r="D926" s="1">
        <v>139.84</v>
      </c>
      <c r="E926" s="3"/>
      <c r="F926" s="20">
        <f t="shared" si="45"/>
        <v>-4.9878969023879095E-3</v>
      </c>
      <c r="G926" s="20">
        <f t="shared" si="46"/>
        <v>-1.3012612272753771E-3</v>
      </c>
      <c r="H926" s="20">
        <f t="shared" si="47"/>
        <v>-1.0720795795085794E-3</v>
      </c>
      <c r="I926" s="3"/>
    </row>
    <row r="927" spans="1:9" x14ac:dyDescent="0.3">
      <c r="A927" s="2">
        <v>42810</v>
      </c>
      <c r="B927" s="1">
        <v>35.172499999999999</v>
      </c>
      <c r="C927" s="1">
        <v>853.41989999999998</v>
      </c>
      <c r="D927" s="1">
        <v>139.99</v>
      </c>
      <c r="E927" s="3"/>
      <c r="F927" s="20">
        <f t="shared" si="45"/>
        <v>1.6361376582474541E-3</v>
      </c>
      <c r="G927" s="20">
        <f t="shared" si="46"/>
        <v>5.2731208784681266E-4</v>
      </c>
      <c r="H927" s="20">
        <f t="shared" si="47"/>
        <v>1.9305715481027386E-3</v>
      </c>
      <c r="I927" s="3"/>
    </row>
    <row r="928" spans="1:9" x14ac:dyDescent="0.3">
      <c r="A928" s="2">
        <v>42809</v>
      </c>
      <c r="B928" s="1">
        <v>35.115000000000002</v>
      </c>
      <c r="C928" s="1">
        <v>852.97</v>
      </c>
      <c r="D928" s="1">
        <v>139.72</v>
      </c>
      <c r="E928" s="3"/>
      <c r="F928" s="20">
        <f t="shared" si="45"/>
        <v>1.0520762634207644E-2</v>
      </c>
      <c r="G928" s="20">
        <f t="shared" si="46"/>
        <v>5.1597773059145998E-4</v>
      </c>
      <c r="H928" s="20">
        <f t="shared" si="47"/>
        <v>2.8669744408309178E-3</v>
      </c>
      <c r="I928" s="3"/>
    </row>
    <row r="929" spans="1:9" x14ac:dyDescent="0.3">
      <c r="A929" s="2">
        <v>42808</v>
      </c>
      <c r="B929" s="1">
        <v>34.747500000000002</v>
      </c>
      <c r="C929" s="1">
        <v>852.53</v>
      </c>
      <c r="D929" s="1">
        <v>139.32</v>
      </c>
      <c r="E929" s="3"/>
      <c r="F929" s="20">
        <f t="shared" si="45"/>
        <v>-1.5097598036524751E-3</v>
      </c>
      <c r="G929" s="20">
        <f t="shared" si="46"/>
        <v>-2.413539621537572E-3</v>
      </c>
      <c r="H929" s="20">
        <f t="shared" si="47"/>
        <v>-2.0077448304716321E-3</v>
      </c>
      <c r="I929" s="3"/>
    </row>
    <row r="930" spans="1:9" x14ac:dyDescent="0.3">
      <c r="A930" s="2">
        <v>42807</v>
      </c>
      <c r="B930" s="1">
        <v>34.799999999999997</v>
      </c>
      <c r="C930" s="1">
        <v>854.59010000000001</v>
      </c>
      <c r="D930" s="1">
        <v>139.6</v>
      </c>
      <c r="E930" s="3"/>
      <c r="F930" s="20">
        <f t="shared" si="45"/>
        <v>4.3112740482406615E-4</v>
      </c>
      <c r="G930" s="20">
        <f t="shared" si="46"/>
        <v>2.4956515401285324E-3</v>
      </c>
      <c r="H930" s="20">
        <f t="shared" si="47"/>
        <v>5.8191909605235775E-3</v>
      </c>
      <c r="I930" s="3"/>
    </row>
    <row r="931" spans="1:9" x14ac:dyDescent="0.3">
      <c r="A931" s="2">
        <v>42804</v>
      </c>
      <c r="B931" s="1">
        <v>34.784999999999997</v>
      </c>
      <c r="C931" s="1">
        <v>852.46</v>
      </c>
      <c r="D931" s="1">
        <v>138.79</v>
      </c>
      <c r="E931" s="3"/>
      <c r="F931" s="20">
        <f t="shared" si="45"/>
        <v>3.3114996786725269E-3</v>
      </c>
      <c r="G931" s="20">
        <f t="shared" si="46"/>
        <v>-6.3326025593770697E-4</v>
      </c>
      <c r="H931" s="20">
        <f t="shared" si="47"/>
        <v>3.9706943120027764E-3</v>
      </c>
      <c r="I931" s="3"/>
    </row>
    <row r="932" spans="1:9" x14ac:dyDescent="0.3">
      <c r="A932" s="2">
        <v>42803</v>
      </c>
      <c r="B932" s="1">
        <v>34.67</v>
      </c>
      <c r="C932" s="1">
        <v>853</v>
      </c>
      <c r="D932" s="1">
        <v>138.24</v>
      </c>
      <c r="E932" s="3"/>
      <c r="F932" s="20">
        <f t="shared" si="45"/>
        <v>-2.3048123138689836E-3</v>
      </c>
      <c r="G932" s="20">
        <f t="shared" si="46"/>
        <v>2.9351356557625729E-3</v>
      </c>
      <c r="H932" s="20">
        <f t="shared" si="47"/>
        <v>3.7686665854225784E-3</v>
      </c>
      <c r="I932" s="3"/>
    </row>
    <row r="933" spans="1:9" x14ac:dyDescent="0.3">
      <c r="A933" s="2">
        <v>42802</v>
      </c>
      <c r="B933" s="1">
        <v>34.75</v>
      </c>
      <c r="C933" s="1">
        <v>850.5</v>
      </c>
      <c r="D933" s="1">
        <v>137.72</v>
      </c>
      <c r="E933" s="3"/>
      <c r="F933" s="20">
        <f t="shared" si="45"/>
        <v>-3.7340270299777954E-3</v>
      </c>
      <c r="G933" s="20">
        <f t="shared" si="46"/>
        <v>5.2814118471907843E-3</v>
      </c>
      <c r="H933" s="20">
        <f t="shared" si="47"/>
        <v>3.0543256963975322E-3</v>
      </c>
      <c r="I933" s="3"/>
    </row>
    <row r="934" spans="1:9" x14ac:dyDescent="0.3">
      <c r="A934" s="2">
        <v>42801</v>
      </c>
      <c r="B934" s="1">
        <v>34.880000000000003</v>
      </c>
      <c r="C934" s="1">
        <v>846.02</v>
      </c>
      <c r="D934" s="1">
        <v>137.30000000000001</v>
      </c>
      <c r="E934" s="3"/>
      <c r="F934" s="20">
        <f t="shared" si="45"/>
        <v>1.2909705586968097E-3</v>
      </c>
      <c r="G934" s="20">
        <f t="shared" si="46"/>
        <v>-6.9725810016896825E-4</v>
      </c>
      <c r="H934" s="20">
        <f t="shared" si="47"/>
        <v>-8.7361682900431118E-4</v>
      </c>
      <c r="I934" s="3"/>
    </row>
    <row r="935" spans="1:9" x14ac:dyDescent="0.3">
      <c r="A935" s="2">
        <v>42800</v>
      </c>
      <c r="B935" s="1">
        <v>34.835000000000001</v>
      </c>
      <c r="C935" s="1">
        <v>846.61009999999999</v>
      </c>
      <c r="D935" s="1">
        <v>137.41999999999999</v>
      </c>
      <c r="E935" s="3"/>
      <c r="F935" s="20">
        <f t="shared" si="45"/>
        <v>-3.1527684470101171E-3</v>
      </c>
      <c r="G935" s="20">
        <f t="shared" si="46"/>
        <v>-3.8547872948662418E-3</v>
      </c>
      <c r="H935" s="20">
        <f t="shared" si="47"/>
        <v>1.8208971126143676E-3</v>
      </c>
      <c r="I935" s="3"/>
    </row>
    <row r="936" spans="1:9" x14ac:dyDescent="0.3">
      <c r="A936" s="2">
        <v>42797</v>
      </c>
      <c r="B936" s="1">
        <v>34.945</v>
      </c>
      <c r="C936" s="1">
        <v>849.87990000000002</v>
      </c>
      <c r="D936" s="1">
        <v>137.16999999999999</v>
      </c>
      <c r="E936" s="3"/>
      <c r="F936" s="20">
        <f t="shared" si="45"/>
        <v>5.8836361161334651E-3</v>
      </c>
      <c r="G936" s="20">
        <f t="shared" si="46"/>
        <v>1.1419895568221909E-3</v>
      </c>
      <c r="H936" s="20">
        <f t="shared" si="47"/>
        <v>2.9934677192150058E-3</v>
      </c>
      <c r="I936" s="3"/>
    </row>
    <row r="937" spans="1:9" x14ac:dyDescent="0.3">
      <c r="A937" s="2">
        <v>42796</v>
      </c>
      <c r="B937" s="1">
        <v>34.74</v>
      </c>
      <c r="C937" s="1">
        <v>848.90989999999999</v>
      </c>
      <c r="D937" s="1">
        <v>136.76</v>
      </c>
      <c r="E937" s="3"/>
      <c r="F937" s="20">
        <f t="shared" si="45"/>
        <v>-5.9551745501874942E-3</v>
      </c>
      <c r="G937" s="20">
        <f t="shared" si="46"/>
        <v>-4.900391124746893E-3</v>
      </c>
      <c r="H937" s="20">
        <f t="shared" si="47"/>
        <v>-4.814364831829389E-3</v>
      </c>
      <c r="I937" s="3"/>
    </row>
    <row r="938" spans="1:9" x14ac:dyDescent="0.3">
      <c r="A938" s="2">
        <v>42795</v>
      </c>
      <c r="B938" s="1">
        <v>34.947499999999998</v>
      </c>
      <c r="C938" s="1">
        <v>853.08010000000002</v>
      </c>
      <c r="D938" s="1">
        <v>137.41999999999999</v>
      </c>
      <c r="E938" s="3"/>
      <c r="F938" s="20">
        <f t="shared" si="45"/>
        <v>2.0233366019738803E-2</v>
      </c>
      <c r="G938" s="20">
        <f t="shared" si="46"/>
        <v>9.4694834367788604E-3</v>
      </c>
      <c r="H938" s="20">
        <f t="shared" si="47"/>
        <v>1.377512989496287E-2</v>
      </c>
      <c r="I938" s="3"/>
    </row>
    <row r="939" spans="1:9" x14ac:dyDescent="0.3">
      <c r="A939" s="2">
        <v>42794</v>
      </c>
      <c r="B939" s="1">
        <v>34.247500000000002</v>
      </c>
      <c r="C939" s="1">
        <v>845.04</v>
      </c>
      <c r="D939" s="1">
        <v>135.54</v>
      </c>
      <c r="E939" s="3"/>
      <c r="F939" s="20">
        <f t="shared" si="45"/>
        <v>4.3808411915595798E-4</v>
      </c>
      <c r="G939" s="20">
        <f t="shared" si="46"/>
        <v>-4.2509867668788712E-3</v>
      </c>
      <c r="H939" s="20">
        <f t="shared" si="47"/>
        <v>-6.3982567970619899E-3</v>
      </c>
      <c r="I939" s="3"/>
    </row>
    <row r="940" spans="1:9" x14ac:dyDescent="0.3">
      <c r="A940" s="2">
        <v>42793</v>
      </c>
      <c r="B940" s="1">
        <v>34.232500000000002</v>
      </c>
      <c r="C940" s="1">
        <v>848.63990000000001</v>
      </c>
      <c r="D940" s="1">
        <v>136.41</v>
      </c>
      <c r="E940" s="3"/>
      <c r="F940" s="20">
        <f t="shared" si="45"/>
        <v>1.9737569915101072E-3</v>
      </c>
      <c r="G940" s="20">
        <f t="shared" si="46"/>
        <v>4.0143395830591231E-3</v>
      </c>
      <c r="H940" s="20">
        <f t="shared" si="47"/>
        <v>7.1363186801489684E-3</v>
      </c>
      <c r="I940" s="3"/>
    </row>
    <row r="941" spans="1:9" x14ac:dyDescent="0.3">
      <c r="A941" s="2">
        <v>42790</v>
      </c>
      <c r="B941" s="1">
        <v>34.164999999999999</v>
      </c>
      <c r="C941" s="1">
        <v>845.24</v>
      </c>
      <c r="D941" s="1">
        <v>135.44</v>
      </c>
      <c r="E941" s="3"/>
      <c r="F941" s="20">
        <f t="shared" si="45"/>
        <v>9.5171865597192136E-4</v>
      </c>
      <c r="G941" s="20">
        <f t="shared" si="46"/>
        <v>-8.1887786188435917E-3</v>
      </c>
      <c r="H941" s="20">
        <f t="shared" si="47"/>
        <v>5.9084196696664471E-4</v>
      </c>
      <c r="I941" s="3"/>
    </row>
    <row r="942" spans="1:9" x14ac:dyDescent="0.3">
      <c r="A942" s="2">
        <v>42789</v>
      </c>
      <c r="B942" s="1">
        <v>34.1325</v>
      </c>
      <c r="C942" s="1">
        <v>852.18989999999997</v>
      </c>
      <c r="D942" s="1">
        <v>135.36000000000001</v>
      </c>
      <c r="E942" s="3"/>
      <c r="F942" s="20">
        <f t="shared" si="45"/>
        <v>-4.2391526719033979E-3</v>
      </c>
      <c r="G942" s="20">
        <f t="shared" si="46"/>
        <v>-4.005392402587106E-3</v>
      </c>
      <c r="H942" s="20">
        <f t="shared" si="47"/>
        <v>-5.5989537747917657E-3</v>
      </c>
      <c r="I942" s="3"/>
    </row>
    <row r="943" spans="1:9" x14ac:dyDescent="0.3">
      <c r="A943" s="2">
        <v>42788</v>
      </c>
      <c r="B943" s="1">
        <v>34.277500000000003</v>
      </c>
      <c r="C943" s="1">
        <v>855.61009999999999</v>
      </c>
      <c r="D943" s="1">
        <v>136.12</v>
      </c>
      <c r="E943" s="3"/>
      <c r="F943" s="20">
        <f t="shared" si="45"/>
        <v>2.9947796386600037E-3</v>
      </c>
      <c r="G943" s="20">
        <f t="shared" si="46"/>
        <v>-9.6936428840039375E-4</v>
      </c>
      <c r="H943" s="20">
        <f t="shared" si="47"/>
        <v>1.7788788080807222E-2</v>
      </c>
      <c r="I943" s="3"/>
    </row>
    <row r="944" spans="1:9" x14ac:dyDescent="0.3">
      <c r="A944" s="2">
        <v>42787</v>
      </c>
      <c r="B944" s="1">
        <v>34.174999999999997</v>
      </c>
      <c r="C944" s="1">
        <v>856.43989999999997</v>
      </c>
      <c r="D944" s="1">
        <v>133.72</v>
      </c>
      <c r="E944" s="3"/>
      <c r="F944" s="20">
        <f t="shared" si="45"/>
        <v>7.1948038138743703E-3</v>
      </c>
      <c r="G944" s="20">
        <f t="shared" si="46"/>
        <v>1.3364563512374862E-2</v>
      </c>
      <c r="H944" s="20">
        <f t="shared" si="47"/>
        <v>1.4218898560251817E-3</v>
      </c>
      <c r="I944" s="3"/>
    </row>
    <row r="945" spans="1:9" x14ac:dyDescent="0.3">
      <c r="A945" s="2">
        <v>42786</v>
      </c>
      <c r="B945" s="1">
        <v>33.93</v>
      </c>
      <c r="C945" s="1">
        <v>845.07010000000002</v>
      </c>
      <c r="D945" s="1">
        <v>133.53</v>
      </c>
      <c r="E945" s="3"/>
      <c r="F945" s="20">
        <f t="shared" si="45"/>
        <v>0</v>
      </c>
      <c r="G945" s="20">
        <f t="shared" si="46"/>
        <v>0</v>
      </c>
      <c r="H945" s="20">
        <f t="shared" si="47"/>
        <v>0</v>
      </c>
      <c r="I945" s="3"/>
    </row>
    <row r="946" spans="1:9" x14ac:dyDescent="0.3">
      <c r="A946" s="2">
        <v>42783</v>
      </c>
      <c r="B946" s="1">
        <v>33.93</v>
      </c>
      <c r="C946" s="1">
        <v>845.07010000000002</v>
      </c>
      <c r="D946" s="1">
        <v>133.53</v>
      </c>
      <c r="E946" s="3"/>
      <c r="F946" s="20">
        <f t="shared" si="45"/>
        <v>2.7683435076714829E-3</v>
      </c>
      <c r="G946" s="20">
        <f t="shared" si="46"/>
        <v>1.1013433427748474E-3</v>
      </c>
      <c r="H946" s="20">
        <f t="shared" si="47"/>
        <v>-2.3188849826959097E-3</v>
      </c>
      <c r="I946" s="3"/>
    </row>
    <row r="947" spans="1:9" x14ac:dyDescent="0.3">
      <c r="A947" s="2">
        <v>42782</v>
      </c>
      <c r="B947" s="1">
        <v>33.836199999999998</v>
      </c>
      <c r="C947" s="1">
        <v>844.13990000000001</v>
      </c>
      <c r="D947" s="1">
        <v>133.84</v>
      </c>
      <c r="E947" s="3"/>
      <c r="F947" s="20">
        <f t="shared" si="45"/>
        <v>-1.2198419262644939E-3</v>
      </c>
      <c r="G947" s="20">
        <f t="shared" si="46"/>
        <v>1.7072163751001104E-3</v>
      </c>
      <c r="H947" s="20">
        <f t="shared" si="47"/>
        <v>2.9931180681318859E-3</v>
      </c>
      <c r="I947" s="3"/>
    </row>
    <row r="948" spans="1:9" x14ac:dyDescent="0.3">
      <c r="A948" s="2">
        <v>42781</v>
      </c>
      <c r="B948" s="1">
        <v>33.877499999999998</v>
      </c>
      <c r="C948" s="1">
        <v>842.7</v>
      </c>
      <c r="D948" s="1">
        <v>133.44</v>
      </c>
      <c r="E948" s="3"/>
      <c r="F948" s="20">
        <f t="shared" si="45"/>
        <v>3.6225227208978531E-3</v>
      </c>
      <c r="G948" s="20">
        <f t="shared" si="46"/>
        <v>7.5161308586714987E-3</v>
      </c>
      <c r="H948" s="20">
        <f t="shared" si="47"/>
        <v>-3.0678313559249076E-3</v>
      </c>
      <c r="I948" s="3"/>
    </row>
    <row r="949" spans="1:9" x14ac:dyDescent="0.3">
      <c r="A949" s="2">
        <v>42780</v>
      </c>
      <c r="B949" s="1">
        <v>33.755000000000003</v>
      </c>
      <c r="C949" s="1">
        <v>836.38990000000001</v>
      </c>
      <c r="D949" s="1">
        <v>133.85</v>
      </c>
      <c r="E949" s="3"/>
      <c r="F949" s="20">
        <f t="shared" si="45"/>
        <v>1.2895709997797765E-2</v>
      </c>
      <c r="G949" s="20">
        <f t="shared" si="46"/>
        <v>-1.6749158202674711E-4</v>
      </c>
      <c r="H949" s="20">
        <f t="shared" si="47"/>
        <v>-1.4930947156069057E-3</v>
      </c>
      <c r="I949" s="3"/>
    </row>
    <row r="950" spans="1:9" x14ac:dyDescent="0.3">
      <c r="A950" s="2">
        <v>42779</v>
      </c>
      <c r="B950" s="1">
        <v>33.322499999999998</v>
      </c>
      <c r="C950" s="1">
        <v>836.53</v>
      </c>
      <c r="D950" s="1">
        <v>134.05000000000001</v>
      </c>
      <c r="E950" s="3"/>
      <c r="F950" s="20">
        <f t="shared" si="45"/>
        <v>8.8166050933378287E-3</v>
      </c>
      <c r="G950" s="20">
        <f t="shared" si="46"/>
        <v>1.0901615787361667E-2</v>
      </c>
      <c r="H950" s="20">
        <f t="shared" si="47"/>
        <v>-1.0438414308979978E-3</v>
      </c>
      <c r="I950" s="3"/>
    </row>
    <row r="951" spans="1:9" x14ac:dyDescent="0.3">
      <c r="A951" s="2">
        <v>42776</v>
      </c>
      <c r="B951" s="1">
        <v>33.03</v>
      </c>
      <c r="C951" s="1">
        <v>827.46</v>
      </c>
      <c r="D951" s="1">
        <v>134.19</v>
      </c>
      <c r="E951" s="3"/>
      <c r="F951" s="20">
        <f t="shared" si="45"/>
        <v>-2.2680889741110437E-3</v>
      </c>
      <c r="G951" s="20">
        <f t="shared" si="46"/>
        <v>7.3991429743055417E-3</v>
      </c>
      <c r="H951" s="20">
        <f t="shared" si="47"/>
        <v>3.7267544127530833E-4</v>
      </c>
      <c r="I951" s="3"/>
    </row>
    <row r="952" spans="1:9" x14ac:dyDescent="0.3">
      <c r="A952" s="2">
        <v>42775</v>
      </c>
      <c r="B952" s="1">
        <v>33.104999999999997</v>
      </c>
      <c r="C952" s="1">
        <v>821.36009999999999</v>
      </c>
      <c r="D952" s="1">
        <v>134.13999999999999</v>
      </c>
      <c r="E952" s="3"/>
      <c r="F952" s="20">
        <f t="shared" si="45"/>
        <v>2.8737825117077787E-3</v>
      </c>
      <c r="G952" s="20">
        <f t="shared" si="46"/>
        <v>2.0110055702109533E-3</v>
      </c>
      <c r="H952" s="20">
        <f t="shared" si="47"/>
        <v>-4.4719386599027415E-4</v>
      </c>
      <c r="I952" s="3"/>
    </row>
    <row r="953" spans="1:9" x14ac:dyDescent="0.3">
      <c r="A953" s="2">
        <v>42774</v>
      </c>
      <c r="B953" s="1">
        <v>33.01</v>
      </c>
      <c r="C953" s="1">
        <v>819.71</v>
      </c>
      <c r="D953" s="1">
        <v>134.19999999999999</v>
      </c>
      <c r="E953" s="3"/>
      <c r="F953" s="20">
        <f t="shared" si="45"/>
        <v>3.8699445043049257E-3</v>
      </c>
      <c r="G953" s="20">
        <f t="shared" si="46"/>
        <v>8.8347049658922591E-3</v>
      </c>
      <c r="H953" s="20">
        <f t="shared" si="47"/>
        <v>1.7742158376419803E-2</v>
      </c>
      <c r="I953" s="3"/>
    </row>
    <row r="954" spans="1:9" x14ac:dyDescent="0.3">
      <c r="A954" s="2">
        <v>42773</v>
      </c>
      <c r="B954" s="1">
        <v>32.8825</v>
      </c>
      <c r="C954" s="1">
        <v>812.5</v>
      </c>
      <c r="D954" s="1">
        <v>131.84</v>
      </c>
      <c r="E954" s="3"/>
      <c r="F954" s="20">
        <f t="shared" si="45"/>
        <v>9.4722272658471583E-3</v>
      </c>
      <c r="G954" s="20">
        <f t="shared" si="46"/>
        <v>5.9996233392693304E-3</v>
      </c>
      <c r="H954" s="20">
        <f t="shared" si="47"/>
        <v>-1.6672986052637267E-3</v>
      </c>
      <c r="I954" s="3"/>
    </row>
    <row r="955" spans="1:9" x14ac:dyDescent="0.3">
      <c r="A955" s="2">
        <v>42772</v>
      </c>
      <c r="B955" s="1">
        <v>32.572499999999998</v>
      </c>
      <c r="C955" s="1">
        <v>807.63990000000001</v>
      </c>
      <c r="D955" s="1">
        <v>132.06</v>
      </c>
      <c r="E955" s="3"/>
      <c r="F955" s="20">
        <f t="shared" si="45"/>
        <v>9.3303680310790529E-3</v>
      </c>
      <c r="G955" s="20">
        <f t="shared" si="46"/>
        <v>-3.1648399039669044E-3</v>
      </c>
      <c r="H955" s="20">
        <f t="shared" si="47"/>
        <v>8.2117249765179048E-3</v>
      </c>
      <c r="I955" s="3"/>
    </row>
    <row r="956" spans="1:9" x14ac:dyDescent="0.3">
      <c r="A956" s="2">
        <v>42769</v>
      </c>
      <c r="B956" s="1">
        <v>32.270000000000003</v>
      </c>
      <c r="C956" s="1">
        <v>810.2</v>
      </c>
      <c r="D956" s="1">
        <v>130.97999999999999</v>
      </c>
      <c r="E956" s="3"/>
      <c r="F956" s="20">
        <f t="shared" si="45"/>
        <v>4.2700270617207076E-3</v>
      </c>
      <c r="G956" s="20">
        <f t="shared" si="46"/>
        <v>-3.606123548763307E-2</v>
      </c>
      <c r="H956" s="20">
        <f t="shared" si="47"/>
        <v>1.0694371197241964E-3</v>
      </c>
      <c r="I956" s="3"/>
    </row>
    <row r="957" spans="1:9" x14ac:dyDescent="0.3">
      <c r="A957" s="2">
        <v>42768</v>
      </c>
      <c r="B957" s="1">
        <v>32.1325</v>
      </c>
      <c r="C957" s="1">
        <v>839.95</v>
      </c>
      <c r="D957" s="1">
        <v>130.84</v>
      </c>
      <c r="E957" s="3"/>
      <c r="F957" s="20">
        <f t="shared" si="45"/>
        <v>-1.7101994218050403E-3</v>
      </c>
      <c r="G957" s="20">
        <f t="shared" si="46"/>
        <v>9.0892206744433574E-3</v>
      </c>
      <c r="H957" s="20">
        <f t="shared" si="47"/>
        <v>-1.8101755301937361E-2</v>
      </c>
      <c r="I957" s="3"/>
    </row>
    <row r="958" spans="1:9" x14ac:dyDescent="0.3">
      <c r="A958" s="2">
        <v>42767</v>
      </c>
      <c r="B958" s="1">
        <v>32.1875</v>
      </c>
      <c r="C958" s="1">
        <v>832.3501</v>
      </c>
      <c r="D958" s="1">
        <v>133.22999999999999</v>
      </c>
      <c r="E958" s="3"/>
      <c r="F958" s="20">
        <f t="shared" si="45"/>
        <v>5.9193607371235211E-2</v>
      </c>
      <c r="G958" s="20">
        <f t="shared" si="46"/>
        <v>1.0713882840672397E-2</v>
      </c>
      <c r="H958" s="20">
        <f t="shared" si="47"/>
        <v>2.2083993678330971E-2</v>
      </c>
      <c r="I958" s="3"/>
    </row>
    <row r="959" spans="1:9" x14ac:dyDescent="0.3">
      <c r="A959" s="2">
        <v>42766</v>
      </c>
      <c r="B959" s="1">
        <v>30.337499999999999</v>
      </c>
      <c r="C959" s="1">
        <v>823.48</v>
      </c>
      <c r="D959" s="1">
        <v>130.32</v>
      </c>
      <c r="E959" s="3"/>
      <c r="F959" s="20">
        <f t="shared" si="45"/>
        <v>-2.3047174577346796E-3</v>
      </c>
      <c r="G959" s="20">
        <f t="shared" si="46"/>
        <v>-8.3440441752538619E-3</v>
      </c>
      <c r="H959" s="20">
        <f t="shared" si="47"/>
        <v>-5.0516754961178337E-3</v>
      </c>
      <c r="I959" s="3"/>
    </row>
    <row r="960" spans="1:9" x14ac:dyDescent="0.3">
      <c r="A960" s="2">
        <v>42765</v>
      </c>
      <c r="B960" s="1">
        <v>30.407499999999999</v>
      </c>
      <c r="C960" s="1">
        <v>830.37990000000002</v>
      </c>
      <c r="D960" s="1">
        <v>130.97999999999999</v>
      </c>
      <c r="E960" s="3"/>
      <c r="F960" s="20">
        <f t="shared" si="45"/>
        <v>-2.6274750315843321E-3</v>
      </c>
      <c r="G960" s="20">
        <f t="shared" si="46"/>
        <v>-6.4701486987706345E-3</v>
      </c>
      <c r="H960" s="20">
        <f t="shared" si="47"/>
        <v>-9.1199902523993372E-3</v>
      </c>
      <c r="I960" s="3"/>
    </row>
    <row r="961" spans="1:9" x14ac:dyDescent="0.3">
      <c r="A961" s="2">
        <v>42762</v>
      </c>
      <c r="B961" s="1">
        <v>30.487500000000001</v>
      </c>
      <c r="C961" s="1">
        <v>835.77</v>
      </c>
      <c r="D961" s="1">
        <v>132.18</v>
      </c>
      <c r="E961" s="3"/>
      <c r="F961" s="20">
        <f t="shared" si="45"/>
        <v>8.2004182259253584E-5</v>
      </c>
      <c r="G961" s="20">
        <f t="shared" si="46"/>
        <v>-4.0358999708431306E-3</v>
      </c>
      <c r="H961" s="20">
        <f t="shared" si="47"/>
        <v>-4.5289932487064481E-3</v>
      </c>
      <c r="I961" s="3"/>
    </row>
    <row r="962" spans="1:9" x14ac:dyDescent="0.3">
      <c r="A962" s="2">
        <v>42761</v>
      </c>
      <c r="B962" s="1">
        <v>30.484999999999999</v>
      </c>
      <c r="C962" s="1">
        <v>839.1499</v>
      </c>
      <c r="D962" s="1">
        <v>132.78</v>
      </c>
      <c r="E962" s="3"/>
      <c r="F962" s="20">
        <f t="shared" si="45"/>
        <v>4.9216636216183518E-4</v>
      </c>
      <c r="G962" s="20">
        <f t="shared" si="46"/>
        <v>3.1389262996676598E-3</v>
      </c>
      <c r="H962" s="20">
        <f t="shared" si="47"/>
        <v>9.8388744949946469E-3</v>
      </c>
      <c r="I962" s="3"/>
    </row>
    <row r="963" spans="1:9" x14ac:dyDescent="0.3">
      <c r="A963" s="2">
        <v>42760</v>
      </c>
      <c r="B963" s="1">
        <v>30.47</v>
      </c>
      <c r="C963" s="1">
        <v>836.52</v>
      </c>
      <c r="D963" s="1">
        <v>131.47999999999999</v>
      </c>
      <c r="E963" s="3"/>
      <c r="F963" s="20">
        <f t="shared" si="45"/>
        <v>1.5795242590671537E-2</v>
      </c>
      <c r="G963" s="20">
        <f t="shared" si="46"/>
        <v>1.6975019225331119E-2</v>
      </c>
      <c r="H963" s="20">
        <f t="shared" si="47"/>
        <v>1.6178232866207926E-2</v>
      </c>
      <c r="I963" s="3"/>
    </row>
    <row r="964" spans="1:9" x14ac:dyDescent="0.3">
      <c r="A964" s="2">
        <v>42759</v>
      </c>
      <c r="B964" s="1">
        <v>29.9925</v>
      </c>
      <c r="C964" s="1">
        <v>822.43989999999997</v>
      </c>
      <c r="D964" s="1">
        <v>129.37</v>
      </c>
      <c r="E964" s="3"/>
      <c r="F964" s="20">
        <f t="shared" si="45"/>
        <v>-9.1647579836979999E-4</v>
      </c>
      <c r="G964" s="20">
        <f t="shared" si="46"/>
        <v>5.5599057534557956E-3</v>
      </c>
      <c r="H964" s="20">
        <f t="shared" si="47"/>
        <v>3.406894507064398E-3</v>
      </c>
      <c r="I964" s="3"/>
    </row>
    <row r="965" spans="1:9" x14ac:dyDescent="0.3">
      <c r="A965" s="2">
        <v>42758</v>
      </c>
      <c r="B965" s="1">
        <v>30.02</v>
      </c>
      <c r="C965" s="1">
        <v>817.87990000000002</v>
      </c>
      <c r="D965" s="1">
        <v>128.93</v>
      </c>
      <c r="E965" s="3"/>
      <c r="F965" s="20">
        <f t="shared" si="45"/>
        <v>6.6644454316044683E-4</v>
      </c>
      <c r="G965" s="20">
        <f t="shared" si="46"/>
        <v>1.1744989612046973E-2</v>
      </c>
      <c r="H965" s="20">
        <f t="shared" si="47"/>
        <v>1.4767623923920673E-2</v>
      </c>
      <c r="I965" s="3"/>
    </row>
    <row r="966" spans="1:9" x14ac:dyDescent="0.3">
      <c r="A966" s="2">
        <v>42755</v>
      </c>
      <c r="B966" s="1">
        <v>30</v>
      </c>
      <c r="C966" s="1">
        <v>808.33010000000002</v>
      </c>
      <c r="D966" s="1">
        <v>127.04</v>
      </c>
      <c r="E966" s="3"/>
      <c r="F966" s="20">
        <f t="shared" ref="F966:F1029" si="48">LN(B966/B967)</f>
        <v>1.8350159457296321E-3</v>
      </c>
      <c r="G966" s="20">
        <f t="shared" ref="G966:G1029" si="49">LN(C966/C967)</f>
        <v>-8.7784489844105378E-4</v>
      </c>
      <c r="H966" s="20">
        <f t="shared" ref="H966:H1029" si="50">LN(D966/D967)</f>
        <v>-4.0064470889947731E-3</v>
      </c>
      <c r="I966" s="3"/>
    </row>
    <row r="967" spans="1:9" x14ac:dyDescent="0.3">
      <c r="A967" s="2">
        <v>42754</v>
      </c>
      <c r="B967" s="1">
        <v>29.945</v>
      </c>
      <c r="C967" s="1">
        <v>809.04</v>
      </c>
      <c r="D967" s="1">
        <v>127.55</v>
      </c>
      <c r="E967" s="3"/>
      <c r="F967" s="20">
        <f t="shared" si="48"/>
        <v>-1.7516791399811071E-3</v>
      </c>
      <c r="G967" s="20">
        <f t="shared" si="49"/>
        <v>1.9300726056880146E-3</v>
      </c>
      <c r="H967" s="20">
        <f t="shared" si="50"/>
        <v>-2.896623937878407E-3</v>
      </c>
      <c r="I967" s="3"/>
    </row>
    <row r="968" spans="1:9" x14ac:dyDescent="0.3">
      <c r="A968" s="2">
        <v>42753</v>
      </c>
      <c r="B968" s="1">
        <v>29.997499999999999</v>
      </c>
      <c r="C968" s="1">
        <v>807.48</v>
      </c>
      <c r="D968" s="1">
        <v>127.92</v>
      </c>
      <c r="E968" s="3"/>
      <c r="F968" s="20">
        <f t="shared" si="48"/>
        <v>-8.3336805748459669E-5</v>
      </c>
      <c r="G968" s="20">
        <f t="shared" si="49"/>
        <v>-2.7702219051496352E-3</v>
      </c>
      <c r="H968" s="20">
        <f t="shared" si="50"/>
        <v>3.9094570262183519E-4</v>
      </c>
      <c r="I968" s="3"/>
    </row>
    <row r="969" spans="1:9" x14ac:dyDescent="0.3">
      <c r="A969" s="2">
        <v>42752</v>
      </c>
      <c r="B969" s="1">
        <v>30</v>
      </c>
      <c r="C969" s="1">
        <v>809.72</v>
      </c>
      <c r="D969" s="1">
        <v>127.87</v>
      </c>
      <c r="E969" s="3"/>
      <c r="F969" s="20">
        <f t="shared" si="48"/>
        <v>8.0321716972642527E-3</v>
      </c>
      <c r="G969" s="20">
        <f t="shared" si="49"/>
        <v>-9.1218075374866793E-3</v>
      </c>
      <c r="H969" s="20">
        <f t="shared" si="50"/>
        <v>-3.6688694992923626E-3</v>
      </c>
      <c r="I969" s="3"/>
    </row>
    <row r="970" spans="1:9" x14ac:dyDescent="0.3">
      <c r="A970" s="2">
        <v>42751</v>
      </c>
      <c r="B970" s="1">
        <v>29.76</v>
      </c>
      <c r="C970" s="1">
        <v>817.13990000000001</v>
      </c>
      <c r="D970" s="1">
        <v>128.34</v>
      </c>
      <c r="E970" s="3"/>
      <c r="F970" s="20">
        <f t="shared" si="48"/>
        <v>0</v>
      </c>
      <c r="G970" s="20">
        <f t="shared" si="49"/>
        <v>0</v>
      </c>
      <c r="H970" s="20">
        <f t="shared" si="50"/>
        <v>0</v>
      </c>
      <c r="I970" s="3"/>
    </row>
    <row r="971" spans="1:9" x14ac:dyDescent="0.3">
      <c r="A971" s="2">
        <v>42748</v>
      </c>
      <c r="B971" s="1">
        <v>29.76</v>
      </c>
      <c r="C971" s="1">
        <v>817.13990000000001</v>
      </c>
      <c r="D971" s="1">
        <v>128.34</v>
      </c>
      <c r="E971" s="3"/>
      <c r="F971" s="20">
        <f t="shared" si="48"/>
        <v>-1.7625586836687735E-3</v>
      </c>
      <c r="G971" s="20">
        <f t="shared" si="49"/>
        <v>4.2924316010630867E-3</v>
      </c>
      <c r="H971" s="20">
        <f t="shared" si="50"/>
        <v>1.3492517206388848E-2</v>
      </c>
      <c r="I971" s="3"/>
    </row>
    <row r="972" spans="1:9" x14ac:dyDescent="0.3">
      <c r="A972" s="2">
        <v>42747</v>
      </c>
      <c r="B972" s="1">
        <v>29.8125</v>
      </c>
      <c r="C972" s="1">
        <v>813.63990000000001</v>
      </c>
      <c r="D972" s="1">
        <v>126.62</v>
      </c>
      <c r="E972" s="3"/>
      <c r="F972" s="20">
        <f t="shared" si="48"/>
        <v>-4.1841065225739849E-3</v>
      </c>
      <c r="G972" s="20">
        <f t="shared" si="49"/>
        <v>1.8131908087691578E-2</v>
      </c>
      <c r="H972" s="20">
        <f t="shared" si="50"/>
        <v>4.1945374308454408E-3</v>
      </c>
      <c r="I972" s="3"/>
    </row>
    <row r="973" spans="1:9" x14ac:dyDescent="0.3">
      <c r="A973" s="2">
        <v>42746</v>
      </c>
      <c r="B973" s="1">
        <v>29.9375</v>
      </c>
      <c r="C973" s="1">
        <v>799.02</v>
      </c>
      <c r="D973" s="1">
        <v>126.09</v>
      </c>
      <c r="E973" s="3"/>
      <c r="F973" s="20">
        <f t="shared" si="48"/>
        <v>5.3588003982151678E-3</v>
      </c>
      <c r="G973" s="20">
        <f t="shared" si="49"/>
        <v>3.9125525742379806E-3</v>
      </c>
      <c r="H973" s="20">
        <f t="shared" si="50"/>
        <v>1.3895767435721379E-2</v>
      </c>
      <c r="I973" s="3"/>
    </row>
    <row r="974" spans="1:9" x14ac:dyDescent="0.3">
      <c r="A974" s="2">
        <v>42745</v>
      </c>
      <c r="B974" s="1">
        <v>29.7775</v>
      </c>
      <c r="C974" s="1">
        <v>795.8999</v>
      </c>
      <c r="D974" s="1">
        <v>124.35</v>
      </c>
      <c r="E974" s="3"/>
      <c r="F974" s="20">
        <f t="shared" si="48"/>
        <v>1.0079799257474574E-3</v>
      </c>
      <c r="G974" s="20">
        <f t="shared" si="49"/>
        <v>-1.2807476896341285E-3</v>
      </c>
      <c r="H974" s="20">
        <f t="shared" si="50"/>
        <v>-4.4132468821184503E-3</v>
      </c>
      <c r="I974" s="3"/>
    </row>
    <row r="975" spans="1:9" x14ac:dyDescent="0.3">
      <c r="A975" s="2">
        <v>42744</v>
      </c>
      <c r="B975" s="1">
        <v>29.747499999999999</v>
      </c>
      <c r="C975" s="1">
        <v>796.91989999999998</v>
      </c>
      <c r="D975" s="1">
        <v>124.9</v>
      </c>
      <c r="E975" s="3"/>
      <c r="F975" s="20">
        <f t="shared" si="48"/>
        <v>9.1178343784800442E-3</v>
      </c>
      <c r="G975" s="20">
        <f t="shared" si="49"/>
        <v>1.167548906104953E-3</v>
      </c>
      <c r="H975" s="20">
        <f t="shared" si="50"/>
        <v>1.2001271666439902E-2</v>
      </c>
      <c r="I975" s="3"/>
    </row>
    <row r="976" spans="1:9" x14ac:dyDescent="0.3">
      <c r="A976" s="2">
        <v>42741</v>
      </c>
      <c r="B976" s="1">
        <v>29.477499999999999</v>
      </c>
      <c r="C976" s="1">
        <v>795.99</v>
      </c>
      <c r="D976" s="1">
        <v>123.41</v>
      </c>
      <c r="E976" s="3"/>
      <c r="F976" s="20">
        <f t="shared" si="48"/>
        <v>1.108658805634055E-2</v>
      </c>
      <c r="G976" s="20">
        <f t="shared" si="49"/>
        <v>1.9715946546977541E-2</v>
      </c>
      <c r="H976" s="20">
        <f t="shared" si="50"/>
        <v>2.2452598379582772E-2</v>
      </c>
      <c r="I976" s="3"/>
    </row>
    <row r="977" spans="1:9" x14ac:dyDescent="0.3">
      <c r="A977" s="2">
        <v>42740</v>
      </c>
      <c r="B977" s="1">
        <v>29.1525</v>
      </c>
      <c r="C977" s="1">
        <v>780.45</v>
      </c>
      <c r="D977" s="1">
        <v>120.67</v>
      </c>
      <c r="E977" s="3"/>
      <c r="F977" s="20">
        <f t="shared" si="48"/>
        <v>5.0724434943232788E-3</v>
      </c>
      <c r="G977" s="20">
        <f t="shared" si="49"/>
        <v>3.0269802587986113E-2</v>
      </c>
      <c r="H977" s="20">
        <f t="shared" si="50"/>
        <v>1.6544495017095671E-2</v>
      </c>
      <c r="I977" s="3"/>
    </row>
    <row r="978" spans="1:9" x14ac:dyDescent="0.3">
      <c r="A978" s="2">
        <v>42739</v>
      </c>
      <c r="B978" s="1">
        <v>29.004999999999999</v>
      </c>
      <c r="C978" s="1">
        <v>757.17989999999998</v>
      </c>
      <c r="D978" s="1">
        <v>118.69</v>
      </c>
      <c r="E978" s="3"/>
      <c r="F978" s="20">
        <f t="shared" si="48"/>
        <v>-1.1198691784999829E-3</v>
      </c>
      <c r="G978" s="20">
        <f t="shared" si="49"/>
        <v>4.6464000786709944E-3</v>
      </c>
      <c r="H978" s="20">
        <f t="shared" si="50"/>
        <v>1.5538414942122956E-2</v>
      </c>
      <c r="I978" s="3"/>
    </row>
    <row r="979" spans="1:9" x14ac:dyDescent="0.3">
      <c r="A979" s="2">
        <v>42738</v>
      </c>
      <c r="B979" s="1">
        <v>29.037500000000001</v>
      </c>
      <c r="C979" s="1">
        <v>753.66989999999998</v>
      </c>
      <c r="D979" s="1">
        <v>116.86</v>
      </c>
      <c r="E979" s="3"/>
      <c r="F979" s="20">
        <f t="shared" si="48"/>
        <v>2.8451974187745023E-3</v>
      </c>
      <c r="G979" s="20">
        <f t="shared" si="49"/>
        <v>5.0544822082609813E-3</v>
      </c>
      <c r="H979" s="20">
        <f t="shared" si="50"/>
        <v>1.5609820644916084E-2</v>
      </c>
      <c r="I979" s="3"/>
    </row>
    <row r="980" spans="1:9" x14ac:dyDescent="0.3">
      <c r="A980" s="2">
        <v>42737</v>
      </c>
      <c r="B980" s="1">
        <v>28.954999999999998</v>
      </c>
      <c r="C980" s="1">
        <v>749.87009999999998</v>
      </c>
      <c r="D980" s="1">
        <v>115.05</v>
      </c>
      <c r="E980" s="3"/>
      <c r="F980" s="20">
        <f t="shared" si="48"/>
        <v>0</v>
      </c>
      <c r="G980" s="20">
        <f t="shared" si="49"/>
        <v>0</v>
      </c>
      <c r="H980" s="20">
        <f t="shared" si="50"/>
        <v>0</v>
      </c>
      <c r="I980" s="3"/>
    </row>
    <row r="981" spans="1:9" x14ac:dyDescent="0.3">
      <c r="A981" s="2">
        <v>42734</v>
      </c>
      <c r="B981" s="1">
        <v>28.954999999999998</v>
      </c>
      <c r="C981" s="1">
        <v>749.87009999999998</v>
      </c>
      <c r="D981" s="1">
        <v>115.05</v>
      </c>
      <c r="E981" s="3"/>
      <c r="F981" s="20">
        <f t="shared" si="48"/>
        <v>-7.8263138669282771E-3</v>
      </c>
      <c r="G981" s="20">
        <f t="shared" si="49"/>
        <v>-2.0171770814204619E-2</v>
      </c>
      <c r="H981" s="20">
        <f t="shared" si="50"/>
        <v>-1.1236073266925842E-2</v>
      </c>
      <c r="I981" s="3"/>
    </row>
    <row r="982" spans="1:9" x14ac:dyDescent="0.3">
      <c r="A982" s="2">
        <v>42733</v>
      </c>
      <c r="B982" s="1">
        <v>29.182500000000001</v>
      </c>
      <c r="C982" s="1">
        <v>765.1499</v>
      </c>
      <c r="D982" s="1">
        <v>116.35</v>
      </c>
      <c r="E982" s="3"/>
      <c r="F982" s="20">
        <f t="shared" si="48"/>
        <v>-2.5697032134212199E-4</v>
      </c>
      <c r="G982" s="20">
        <f t="shared" si="49"/>
        <v>-9.0810377749314143E-3</v>
      </c>
      <c r="H982" s="20">
        <f t="shared" si="50"/>
        <v>-4.887050494744501E-3</v>
      </c>
      <c r="I982" s="3"/>
    </row>
    <row r="983" spans="1:9" x14ac:dyDescent="0.3">
      <c r="A983" s="2">
        <v>42732</v>
      </c>
      <c r="B983" s="1">
        <v>29.19</v>
      </c>
      <c r="C983" s="1">
        <v>772.12990000000002</v>
      </c>
      <c r="D983" s="1">
        <v>116.92</v>
      </c>
      <c r="E983" s="3"/>
      <c r="F983" s="20">
        <f t="shared" si="48"/>
        <v>-4.2731455501550204E-3</v>
      </c>
      <c r="G983" s="20">
        <f t="shared" si="49"/>
        <v>9.4588397895179778E-4</v>
      </c>
      <c r="H983" s="20">
        <f t="shared" si="50"/>
        <v>-9.2794263946121558E-3</v>
      </c>
      <c r="I983" s="3"/>
    </row>
    <row r="984" spans="1:9" x14ac:dyDescent="0.3">
      <c r="A984" s="2">
        <v>42731</v>
      </c>
      <c r="B984" s="1">
        <v>29.315000000000001</v>
      </c>
      <c r="C984" s="1">
        <v>771.3999</v>
      </c>
      <c r="D984" s="1">
        <v>118.01</v>
      </c>
      <c r="E984" s="3"/>
      <c r="F984" s="20">
        <f t="shared" si="48"/>
        <v>6.3307594448351514E-3</v>
      </c>
      <c r="G984" s="20">
        <f t="shared" si="49"/>
        <v>1.4112336770206586E-2</v>
      </c>
      <c r="H984" s="20">
        <f t="shared" si="50"/>
        <v>6.2903981646843452E-3</v>
      </c>
      <c r="I984" s="3"/>
    </row>
    <row r="985" spans="1:9" x14ac:dyDescent="0.3">
      <c r="A985" s="2">
        <v>42730</v>
      </c>
      <c r="B985" s="1">
        <v>29.13</v>
      </c>
      <c r="C985" s="1">
        <v>760.59010000000001</v>
      </c>
      <c r="D985" s="1">
        <v>117.27</v>
      </c>
      <c r="E985" s="3"/>
      <c r="F985" s="20">
        <f t="shared" si="48"/>
        <v>0</v>
      </c>
      <c r="G985" s="20">
        <f t="shared" si="49"/>
        <v>0</v>
      </c>
      <c r="H985" s="20">
        <f t="shared" si="50"/>
        <v>0</v>
      </c>
      <c r="I985" s="3"/>
    </row>
    <row r="986" spans="1:9" x14ac:dyDescent="0.3">
      <c r="A986" s="2">
        <v>42727</v>
      </c>
      <c r="B986" s="1">
        <v>29.13</v>
      </c>
      <c r="C986" s="1">
        <v>760.59010000000001</v>
      </c>
      <c r="D986" s="1">
        <v>117.27</v>
      </c>
      <c r="E986" s="3"/>
      <c r="F986" s="20">
        <f t="shared" si="48"/>
        <v>1.9758607862818589E-3</v>
      </c>
      <c r="G986" s="20">
        <f t="shared" si="49"/>
        <v>-7.5314866126616796E-3</v>
      </c>
      <c r="H986" s="20">
        <f t="shared" si="50"/>
        <v>-1.1079389210230477E-3</v>
      </c>
      <c r="I986" s="3"/>
    </row>
    <row r="987" spans="1:9" x14ac:dyDescent="0.3">
      <c r="A987" s="2">
        <v>42726</v>
      </c>
      <c r="B987" s="1">
        <v>29.072500000000002</v>
      </c>
      <c r="C987" s="1">
        <v>766.34010000000001</v>
      </c>
      <c r="D987" s="1">
        <v>117.4</v>
      </c>
      <c r="E987" s="3"/>
      <c r="F987" s="20">
        <f t="shared" si="48"/>
        <v>-6.5995525581229991E-3</v>
      </c>
      <c r="G987" s="20">
        <f t="shared" si="49"/>
        <v>-5.5434959789168034E-3</v>
      </c>
      <c r="H987" s="20">
        <f t="shared" si="50"/>
        <v>-1.3872663690785677E-2</v>
      </c>
      <c r="I987" s="3"/>
    </row>
    <row r="988" spans="1:9" x14ac:dyDescent="0.3">
      <c r="A988" s="2">
        <v>42725</v>
      </c>
      <c r="B988" s="1">
        <v>29.265000000000001</v>
      </c>
      <c r="C988" s="1">
        <v>770.6001</v>
      </c>
      <c r="D988" s="1">
        <v>119.04</v>
      </c>
      <c r="E988" s="3"/>
      <c r="F988" s="20">
        <f t="shared" si="48"/>
        <v>9.4013083288691185E-4</v>
      </c>
      <c r="G988" s="20">
        <f t="shared" si="49"/>
        <v>-8.0411460896419274E-4</v>
      </c>
      <c r="H988" s="20">
        <f t="shared" si="50"/>
        <v>-4.1993869512267472E-4</v>
      </c>
      <c r="I988" s="3"/>
    </row>
    <row r="989" spans="1:9" x14ac:dyDescent="0.3">
      <c r="A989" s="2">
        <v>42724</v>
      </c>
      <c r="B989" s="1">
        <v>29.237500000000001</v>
      </c>
      <c r="C989" s="1">
        <v>771.22</v>
      </c>
      <c r="D989" s="1">
        <v>119.09</v>
      </c>
      <c r="E989" s="3"/>
      <c r="F989" s="20">
        <f t="shared" si="48"/>
        <v>2.6542247698399584E-3</v>
      </c>
      <c r="G989" s="20">
        <f t="shared" si="49"/>
        <v>6.791506829432763E-3</v>
      </c>
      <c r="H989" s="20">
        <f t="shared" si="50"/>
        <v>-1.2587590299661673E-3</v>
      </c>
      <c r="I989" s="3"/>
    </row>
    <row r="990" spans="1:9" x14ac:dyDescent="0.3">
      <c r="A990" s="2">
        <v>42723</v>
      </c>
      <c r="B990" s="1">
        <v>29.16</v>
      </c>
      <c r="C990" s="1">
        <v>766</v>
      </c>
      <c r="D990" s="1">
        <v>119.24</v>
      </c>
      <c r="E990" s="3"/>
      <c r="F990" s="20">
        <f t="shared" si="48"/>
        <v>5.7607312917360935E-3</v>
      </c>
      <c r="G990" s="20">
        <f t="shared" si="49"/>
        <v>1.0802260221596208E-2</v>
      </c>
      <c r="H990" s="20">
        <f t="shared" si="50"/>
        <v>-5.2695534091378778E-3</v>
      </c>
      <c r="I990" s="3"/>
    </row>
    <row r="991" spans="1:9" x14ac:dyDescent="0.3">
      <c r="A991" s="2">
        <v>42720</v>
      </c>
      <c r="B991" s="1">
        <v>28.9925</v>
      </c>
      <c r="C991" s="1">
        <v>757.77</v>
      </c>
      <c r="D991" s="1">
        <v>119.87</v>
      </c>
      <c r="E991" s="3"/>
      <c r="F991" s="20">
        <f t="shared" si="48"/>
        <v>1.2942751709681189E-3</v>
      </c>
      <c r="G991" s="20">
        <f t="shared" si="49"/>
        <v>-4.2534483426906588E-3</v>
      </c>
      <c r="H991" s="20">
        <f t="shared" si="50"/>
        <v>-5.8226749102108328E-3</v>
      </c>
      <c r="I991" s="3"/>
    </row>
    <row r="992" spans="1:9" x14ac:dyDescent="0.3">
      <c r="A992" s="2">
        <v>42719</v>
      </c>
      <c r="B992" s="1">
        <v>28.954999999999998</v>
      </c>
      <c r="C992" s="1">
        <v>761</v>
      </c>
      <c r="D992" s="1">
        <v>120.57</v>
      </c>
      <c r="E992" s="3"/>
      <c r="F992" s="20">
        <f t="shared" si="48"/>
        <v>5.4543228592287716E-3</v>
      </c>
      <c r="G992" s="20">
        <f t="shared" si="49"/>
        <v>-1.0223644093630692E-2</v>
      </c>
      <c r="H992" s="20">
        <f t="shared" si="50"/>
        <v>2.9902838130564592E-3</v>
      </c>
      <c r="I992" s="3"/>
    </row>
    <row r="993" spans="1:9" x14ac:dyDescent="0.3">
      <c r="A993" s="2">
        <v>42718</v>
      </c>
      <c r="B993" s="1">
        <v>28.797499999999999</v>
      </c>
      <c r="C993" s="1">
        <v>768.82010000000002</v>
      </c>
      <c r="D993" s="1">
        <v>120.21</v>
      </c>
      <c r="E993" s="3"/>
      <c r="F993" s="20">
        <f t="shared" si="48"/>
        <v>0</v>
      </c>
      <c r="G993" s="20">
        <f t="shared" si="49"/>
        <v>-7.1541808087576576E-3</v>
      </c>
      <c r="H993" s="20">
        <f t="shared" si="50"/>
        <v>-8.3153172927027919E-4</v>
      </c>
      <c r="I993" s="3"/>
    </row>
    <row r="994" spans="1:9" x14ac:dyDescent="0.3">
      <c r="A994" s="2">
        <v>42717</v>
      </c>
      <c r="B994" s="1">
        <v>28.797499999999999</v>
      </c>
      <c r="C994" s="1">
        <v>774.34010000000001</v>
      </c>
      <c r="D994" s="1">
        <v>120.31</v>
      </c>
      <c r="E994" s="3"/>
      <c r="F994" s="20">
        <f t="shared" si="48"/>
        <v>1.6543770904454361E-2</v>
      </c>
      <c r="G994" s="20">
        <f t="shared" si="49"/>
        <v>1.8534735652750881E-2</v>
      </c>
      <c r="H994" s="20">
        <f t="shared" si="50"/>
        <v>2.1338175191976054E-2</v>
      </c>
      <c r="I994" s="3"/>
    </row>
    <row r="995" spans="1:9" x14ac:dyDescent="0.3">
      <c r="A995" s="2">
        <v>42716</v>
      </c>
      <c r="B995" s="1">
        <v>28.324999999999999</v>
      </c>
      <c r="C995" s="1">
        <v>760.12009999999998</v>
      </c>
      <c r="D995" s="1">
        <v>117.77</v>
      </c>
      <c r="E995" s="3"/>
      <c r="F995" s="20">
        <f t="shared" si="48"/>
        <v>-5.7205876577327156E-3</v>
      </c>
      <c r="G995" s="20">
        <f t="shared" si="49"/>
        <v>-1.1172161888534047E-2</v>
      </c>
      <c r="H995" s="20">
        <f t="shared" si="50"/>
        <v>-1.6087944372710147E-2</v>
      </c>
      <c r="I995" s="3"/>
    </row>
    <row r="996" spans="1:9" x14ac:dyDescent="0.3">
      <c r="A996" s="2">
        <v>42713</v>
      </c>
      <c r="B996" s="1">
        <v>28.487500000000001</v>
      </c>
      <c r="C996" s="1">
        <v>768.65989999999999</v>
      </c>
      <c r="D996" s="1">
        <v>119.68</v>
      </c>
      <c r="E996" s="3"/>
      <c r="F996" s="20">
        <f t="shared" si="48"/>
        <v>1.6190029395105703E-2</v>
      </c>
      <c r="G996" s="20">
        <f t="shared" si="49"/>
        <v>1.7315221222104279E-3</v>
      </c>
      <c r="H996" s="20">
        <f t="shared" si="50"/>
        <v>6.4546097766796928E-3</v>
      </c>
      <c r="I996" s="3"/>
    </row>
    <row r="997" spans="1:9" x14ac:dyDescent="0.3">
      <c r="A997" s="2">
        <v>42712</v>
      </c>
      <c r="B997" s="1">
        <v>28.03</v>
      </c>
      <c r="C997" s="1">
        <v>767.33010000000002</v>
      </c>
      <c r="D997" s="1">
        <v>118.91</v>
      </c>
      <c r="E997" s="3"/>
      <c r="F997" s="20">
        <f t="shared" si="48"/>
        <v>9.7692912304132417E-3</v>
      </c>
      <c r="G997" s="20">
        <f t="shared" si="49"/>
        <v>-4.0186040099406137E-3</v>
      </c>
      <c r="H997" s="20">
        <f t="shared" si="50"/>
        <v>8.1060985958034317E-3</v>
      </c>
      <c r="I997" s="3"/>
    </row>
    <row r="998" spans="1:9" x14ac:dyDescent="0.3">
      <c r="A998" s="2">
        <v>42711</v>
      </c>
      <c r="B998" s="1">
        <v>27.7575</v>
      </c>
      <c r="C998" s="1">
        <v>770.41989999999998</v>
      </c>
      <c r="D998" s="1">
        <v>117.95</v>
      </c>
      <c r="E998" s="3"/>
      <c r="F998" s="20">
        <f t="shared" si="48"/>
        <v>9.7747180654041942E-3</v>
      </c>
      <c r="G998" s="20">
        <f t="shared" si="49"/>
        <v>7.4259371320800844E-3</v>
      </c>
      <c r="H998" s="20">
        <f t="shared" si="50"/>
        <v>5.4408023360551809E-3</v>
      </c>
      <c r="I998" s="3"/>
    </row>
    <row r="999" spans="1:9" x14ac:dyDescent="0.3">
      <c r="A999" s="2">
        <v>42710</v>
      </c>
      <c r="B999" s="1">
        <v>27.487500000000001</v>
      </c>
      <c r="C999" s="1">
        <v>764.72</v>
      </c>
      <c r="D999" s="1">
        <v>117.31</v>
      </c>
      <c r="E999" s="3"/>
      <c r="F999" s="20">
        <f t="shared" si="48"/>
        <v>7.6691693337627865E-3</v>
      </c>
      <c r="G999" s="20">
        <f t="shared" si="49"/>
        <v>7.0336488182730743E-3</v>
      </c>
      <c r="H999" s="20">
        <f t="shared" si="50"/>
        <v>-1.0224078593608682E-3</v>
      </c>
      <c r="I999" s="3"/>
    </row>
    <row r="1000" spans="1:9" x14ac:dyDescent="0.3">
      <c r="A1000" s="2">
        <v>42709</v>
      </c>
      <c r="B1000" s="1">
        <v>27.2775</v>
      </c>
      <c r="C1000" s="1">
        <v>759.36009999999999</v>
      </c>
      <c r="D1000" s="1">
        <v>117.43</v>
      </c>
      <c r="E1000" s="3"/>
      <c r="F1000" s="20">
        <f t="shared" si="48"/>
        <v>-7.2143137425683991E-3</v>
      </c>
      <c r="G1000" s="20">
        <f t="shared" si="49"/>
        <v>2.5366429725671307E-2</v>
      </c>
      <c r="H1000" s="20">
        <f t="shared" si="50"/>
        <v>1.7438057302990639E-2</v>
      </c>
      <c r="I1000" s="3"/>
    </row>
    <row r="1001" spans="1:9" x14ac:dyDescent="0.3">
      <c r="A1001" s="2">
        <v>42706</v>
      </c>
      <c r="B1001" s="1">
        <v>27.475000000000001</v>
      </c>
      <c r="C1001" s="1">
        <v>740.34010000000001</v>
      </c>
      <c r="D1001" s="1">
        <v>115.4</v>
      </c>
      <c r="E1001" s="3"/>
      <c r="F1001" s="20">
        <f t="shared" si="48"/>
        <v>3.7376405242421679E-3</v>
      </c>
      <c r="G1001" s="20">
        <f t="shared" si="49"/>
        <v>-4.4606843551733113E-3</v>
      </c>
      <c r="H1001" s="20">
        <f t="shared" si="50"/>
        <v>2.6030383461624297E-3</v>
      </c>
      <c r="I1001" s="3"/>
    </row>
    <row r="1002" spans="1:9" x14ac:dyDescent="0.3">
      <c r="A1002" s="2">
        <v>42705</v>
      </c>
      <c r="B1002" s="1">
        <v>27.372499999999999</v>
      </c>
      <c r="C1002" s="1">
        <v>743.6499</v>
      </c>
      <c r="D1002" s="1">
        <v>115.1</v>
      </c>
      <c r="E1002" s="3"/>
      <c r="F1002" s="20">
        <f t="shared" si="48"/>
        <v>-9.3632791698822597E-3</v>
      </c>
      <c r="G1002" s="20">
        <f t="shared" si="49"/>
        <v>-9.2626915419300616E-3</v>
      </c>
      <c r="H1002" s="20">
        <f t="shared" si="50"/>
        <v>-2.8436311375793159E-2</v>
      </c>
      <c r="I1002" s="3"/>
    </row>
    <row r="1003" spans="1:9" x14ac:dyDescent="0.3">
      <c r="A1003" s="2">
        <v>42704</v>
      </c>
      <c r="B1003" s="1">
        <v>27.63</v>
      </c>
      <c r="C1003" s="1">
        <v>750.57010000000002</v>
      </c>
      <c r="D1003" s="1">
        <v>118.42</v>
      </c>
      <c r="E1003" s="3"/>
      <c r="F1003" s="20">
        <f t="shared" si="48"/>
        <v>-8.4692820861744476E-3</v>
      </c>
      <c r="G1003" s="20">
        <f t="shared" si="49"/>
        <v>-1.5795686537109624E-2</v>
      </c>
      <c r="H1003" s="20">
        <f t="shared" si="50"/>
        <v>-2.04779607677355E-2</v>
      </c>
      <c r="I1003" s="3"/>
    </row>
    <row r="1004" spans="1:9" x14ac:dyDescent="0.3">
      <c r="A1004" s="2">
        <v>42703</v>
      </c>
      <c r="B1004" s="1">
        <v>27.864999999999998</v>
      </c>
      <c r="C1004" s="1">
        <v>762.52</v>
      </c>
      <c r="D1004" s="1">
        <v>120.87</v>
      </c>
      <c r="E1004" s="3"/>
      <c r="F1004" s="20">
        <f t="shared" si="48"/>
        <v>-9.8641446369802759E-4</v>
      </c>
      <c r="G1004" s="20">
        <f t="shared" si="49"/>
        <v>-5.5581491296913775E-3</v>
      </c>
      <c r="H1004" s="20">
        <f t="shared" si="50"/>
        <v>3.8130019672379593E-3</v>
      </c>
      <c r="I1004" s="3"/>
    </row>
    <row r="1005" spans="1:9" x14ac:dyDescent="0.3">
      <c r="A1005" s="2">
        <v>42702</v>
      </c>
      <c r="B1005" s="1">
        <v>27.892499999999998</v>
      </c>
      <c r="C1005" s="1">
        <v>766.77</v>
      </c>
      <c r="D1005" s="1">
        <v>120.41</v>
      </c>
      <c r="E1005" s="3"/>
      <c r="F1005" s="20">
        <f t="shared" si="48"/>
        <v>-1.9699146771461227E-3</v>
      </c>
      <c r="G1005" s="20">
        <f t="shared" si="49"/>
        <v>-1.7581407554211299E-2</v>
      </c>
      <c r="H1005" s="20">
        <f t="shared" si="50"/>
        <v>2.4917978450289524E-4</v>
      </c>
      <c r="I1005" s="3"/>
    </row>
    <row r="1006" spans="1:9" x14ac:dyDescent="0.3">
      <c r="A1006" s="2">
        <v>42699</v>
      </c>
      <c r="B1006" s="1">
        <v>27.947500000000002</v>
      </c>
      <c r="C1006" s="1">
        <v>780.37009999999998</v>
      </c>
      <c r="D1006" s="1">
        <v>120.38</v>
      </c>
      <c r="E1006" s="3"/>
      <c r="F1006" s="20">
        <f t="shared" si="48"/>
        <v>5.0219816782963982E-3</v>
      </c>
      <c r="G1006" s="20">
        <f t="shared" si="49"/>
        <v>3.2041213990177182E-4</v>
      </c>
      <c r="H1006" s="20">
        <f t="shared" si="50"/>
        <v>-3.813950398846566E-3</v>
      </c>
      <c r="I1006" s="3"/>
    </row>
    <row r="1007" spans="1:9" x14ac:dyDescent="0.3">
      <c r="A1007" s="2">
        <v>42698</v>
      </c>
      <c r="B1007" s="1">
        <v>27.807500000000001</v>
      </c>
      <c r="C1007" s="1">
        <v>780.12009999999998</v>
      </c>
      <c r="D1007" s="1">
        <v>120.84</v>
      </c>
      <c r="E1007" s="3"/>
      <c r="F1007" s="20">
        <f t="shared" si="48"/>
        <v>0</v>
      </c>
      <c r="G1007" s="20">
        <f t="shared" si="49"/>
        <v>0</v>
      </c>
      <c r="H1007" s="20">
        <f t="shared" si="50"/>
        <v>0</v>
      </c>
      <c r="I1007" s="3"/>
    </row>
    <row r="1008" spans="1:9" x14ac:dyDescent="0.3">
      <c r="A1008" s="2">
        <v>42697</v>
      </c>
      <c r="B1008" s="1">
        <v>27.807500000000001</v>
      </c>
      <c r="C1008" s="1">
        <v>780.12009999999998</v>
      </c>
      <c r="D1008" s="1">
        <v>120.84</v>
      </c>
      <c r="E1008" s="3"/>
      <c r="F1008" s="20">
        <f t="shared" si="48"/>
        <v>-5.1114311170608285E-3</v>
      </c>
      <c r="G1008" s="20">
        <f t="shared" si="49"/>
        <v>-6.6562567574073887E-3</v>
      </c>
      <c r="H1008" s="20">
        <f t="shared" si="50"/>
        <v>-5.1999621937081474E-3</v>
      </c>
      <c r="I1008" s="3"/>
    </row>
    <row r="1009" spans="1:9" x14ac:dyDescent="0.3">
      <c r="A1009" s="2">
        <v>42696</v>
      </c>
      <c r="B1009" s="1">
        <v>27.95</v>
      </c>
      <c r="C1009" s="1">
        <v>785.33010000000002</v>
      </c>
      <c r="D1009" s="1">
        <v>121.47</v>
      </c>
      <c r="E1009" s="3"/>
      <c r="F1009" s="20">
        <f t="shared" si="48"/>
        <v>6.2631416175222608E-4</v>
      </c>
      <c r="G1009" s="20">
        <f t="shared" si="49"/>
        <v>6.8102192635467566E-3</v>
      </c>
      <c r="H1009" s="20">
        <f t="shared" si="50"/>
        <v>-2.4667008067365509E-3</v>
      </c>
      <c r="I1009" s="3"/>
    </row>
    <row r="1010" spans="1:9" x14ac:dyDescent="0.3">
      <c r="A1010" s="2">
        <v>42695</v>
      </c>
      <c r="B1010" s="1">
        <v>27.932500000000001</v>
      </c>
      <c r="C1010" s="1">
        <v>780</v>
      </c>
      <c r="D1010" s="1">
        <v>121.77</v>
      </c>
      <c r="E1010" s="3"/>
      <c r="F1010" s="20">
        <f t="shared" si="48"/>
        <v>1.5059574927633901E-2</v>
      </c>
      <c r="G1010" s="20">
        <f t="shared" si="49"/>
        <v>2.5765113796287344E-2</v>
      </c>
      <c r="H1010" s="20">
        <f t="shared" si="50"/>
        <v>3.9789159158825964E-2</v>
      </c>
      <c r="I1010" s="3"/>
    </row>
    <row r="1011" spans="1:9" x14ac:dyDescent="0.3">
      <c r="A1011" s="2">
        <v>42692</v>
      </c>
      <c r="B1011" s="1">
        <v>27.515000000000001</v>
      </c>
      <c r="C1011" s="1">
        <v>760.15989999999999</v>
      </c>
      <c r="D1011" s="1">
        <v>117.02</v>
      </c>
      <c r="E1011" s="3"/>
      <c r="F1011" s="20">
        <f t="shared" si="48"/>
        <v>9.9995463084251814E-4</v>
      </c>
      <c r="G1011" s="20">
        <f t="shared" si="49"/>
        <v>4.9586013082388337E-3</v>
      </c>
      <c r="H1011" s="20">
        <f t="shared" si="50"/>
        <v>-6.5585176106031616E-3</v>
      </c>
      <c r="I1011" s="3"/>
    </row>
    <row r="1012" spans="1:9" x14ac:dyDescent="0.3">
      <c r="A1012" s="2">
        <v>42691</v>
      </c>
      <c r="B1012" s="1">
        <v>27.487500000000001</v>
      </c>
      <c r="C1012" s="1">
        <v>756.3999</v>
      </c>
      <c r="D1012" s="1">
        <v>117.79</v>
      </c>
      <c r="E1012" s="3"/>
      <c r="F1012" s="20">
        <f t="shared" si="48"/>
        <v>-3.6373556825501359E-4</v>
      </c>
      <c r="G1012" s="20">
        <f t="shared" si="49"/>
        <v>1.3187983536878667E-2</v>
      </c>
      <c r="H1012" s="20">
        <f t="shared" si="50"/>
        <v>1.2386439488077633E-2</v>
      </c>
      <c r="I1012" s="3"/>
    </row>
    <row r="1013" spans="1:9" x14ac:dyDescent="0.3">
      <c r="A1013" s="2">
        <v>42690</v>
      </c>
      <c r="B1013" s="1">
        <v>27.497499999999999</v>
      </c>
      <c r="C1013" s="1">
        <v>746.49</v>
      </c>
      <c r="D1013" s="1">
        <v>116.34</v>
      </c>
      <c r="E1013" s="3"/>
      <c r="F1013" s="20">
        <f t="shared" si="48"/>
        <v>2.6533108792486944E-2</v>
      </c>
      <c r="G1013" s="20">
        <f t="shared" si="49"/>
        <v>4.3632136776787676E-3</v>
      </c>
      <c r="H1013" s="20">
        <f t="shared" si="50"/>
        <v>-7.3649386602967675E-3</v>
      </c>
      <c r="I1013" s="3"/>
    </row>
    <row r="1014" spans="1:9" x14ac:dyDescent="0.3">
      <c r="A1014" s="2">
        <v>42689</v>
      </c>
      <c r="B1014" s="1">
        <v>26.7775</v>
      </c>
      <c r="C1014" s="1">
        <v>743.24</v>
      </c>
      <c r="D1014" s="1">
        <v>117.2</v>
      </c>
      <c r="E1014" s="3"/>
      <c r="F1014" s="20">
        <f t="shared" si="48"/>
        <v>1.3156847995966614E-2</v>
      </c>
      <c r="G1014" s="20">
        <f t="shared" si="49"/>
        <v>3.3060157873035706E-2</v>
      </c>
      <c r="H1014" s="20">
        <f t="shared" si="50"/>
        <v>1.8254338459565166E-2</v>
      </c>
      <c r="I1014" s="3"/>
    </row>
    <row r="1015" spans="1:9" x14ac:dyDescent="0.3">
      <c r="A1015" s="2">
        <v>42688</v>
      </c>
      <c r="B1015" s="1">
        <v>26.427499999999998</v>
      </c>
      <c r="C1015" s="1">
        <v>719.07010000000002</v>
      </c>
      <c r="D1015" s="1">
        <v>115.08</v>
      </c>
      <c r="E1015" s="3"/>
      <c r="F1015" s="20">
        <f t="shared" si="48"/>
        <v>-2.5405307703519071E-2</v>
      </c>
      <c r="G1015" s="20">
        <f t="shared" si="49"/>
        <v>-2.7352603164859008E-2</v>
      </c>
      <c r="H1015" s="20">
        <f t="shared" si="50"/>
        <v>-3.3664007533358881E-2</v>
      </c>
      <c r="I1015" s="3"/>
    </row>
    <row r="1016" spans="1:9" x14ac:dyDescent="0.3">
      <c r="A1016" s="2">
        <v>42685</v>
      </c>
      <c r="B1016" s="1">
        <v>27.107500000000002</v>
      </c>
      <c r="C1016" s="1">
        <v>739.01</v>
      </c>
      <c r="D1016" s="1">
        <v>119.02</v>
      </c>
      <c r="E1016" s="3"/>
      <c r="F1016" s="20">
        <f t="shared" si="48"/>
        <v>5.919913690553503E-3</v>
      </c>
      <c r="G1016" s="20">
        <f t="shared" si="49"/>
        <v>-4.5496540956484937E-3</v>
      </c>
      <c r="H1016" s="20">
        <f t="shared" si="50"/>
        <v>-1.4844739284008524E-2</v>
      </c>
      <c r="I1016" s="3"/>
    </row>
    <row r="1017" spans="1:9" x14ac:dyDescent="0.3">
      <c r="A1017" s="2">
        <v>42684</v>
      </c>
      <c r="B1017" s="1">
        <v>26.947500000000002</v>
      </c>
      <c r="C1017" s="1">
        <v>742.37990000000002</v>
      </c>
      <c r="D1017" s="1">
        <v>120.8</v>
      </c>
      <c r="E1017" s="3"/>
      <c r="F1017" s="20">
        <f t="shared" si="48"/>
        <v>-2.8263645648055998E-2</v>
      </c>
      <c r="G1017" s="20">
        <f t="shared" si="49"/>
        <v>-3.8967861222304473E-2</v>
      </c>
      <c r="H1017" s="20">
        <f t="shared" si="50"/>
        <v>-1.9510414758182763E-2</v>
      </c>
      <c r="I1017" s="3"/>
    </row>
    <row r="1018" spans="1:9" x14ac:dyDescent="0.3">
      <c r="A1018" s="2">
        <v>42683</v>
      </c>
      <c r="B1018" s="1">
        <v>27.72</v>
      </c>
      <c r="C1018" s="1">
        <v>771.87990000000002</v>
      </c>
      <c r="D1018" s="1">
        <v>123.18</v>
      </c>
      <c r="E1018" s="3"/>
      <c r="F1018" s="20">
        <f t="shared" si="48"/>
        <v>-1.6220603718680551E-3</v>
      </c>
      <c r="G1018" s="20">
        <f t="shared" si="49"/>
        <v>-2.0351812663053886E-2</v>
      </c>
      <c r="H1018" s="20">
        <f t="shared" si="50"/>
        <v>-8.407486872259666E-3</v>
      </c>
      <c r="I1018" s="3"/>
    </row>
    <row r="1019" spans="1:9" x14ac:dyDescent="0.3">
      <c r="A1019" s="2">
        <v>42682</v>
      </c>
      <c r="B1019" s="1">
        <v>27.765000000000001</v>
      </c>
      <c r="C1019" s="1">
        <v>787.75</v>
      </c>
      <c r="D1019" s="1">
        <v>124.22</v>
      </c>
      <c r="E1019" s="3"/>
      <c r="F1019" s="20">
        <f t="shared" si="48"/>
        <v>5.8698863624154869E-3</v>
      </c>
      <c r="G1019" s="20">
        <f t="shared" si="49"/>
        <v>3.5863662054584607E-3</v>
      </c>
      <c r="H1019" s="20">
        <f t="shared" si="50"/>
        <v>1.6804389427407279E-2</v>
      </c>
      <c r="I1019" s="3"/>
    </row>
    <row r="1020" spans="1:9" x14ac:dyDescent="0.3">
      <c r="A1020" s="2">
        <v>42681</v>
      </c>
      <c r="B1020" s="1">
        <v>27.602499999999999</v>
      </c>
      <c r="C1020" s="1">
        <v>784.92989999999998</v>
      </c>
      <c r="D1020" s="1">
        <v>122.15</v>
      </c>
      <c r="E1020" s="3"/>
      <c r="F1020" s="20">
        <f t="shared" si="48"/>
        <v>1.4321795536000046E-2</v>
      </c>
      <c r="G1020" s="20">
        <f t="shared" si="49"/>
        <v>3.8810442210127569E-2</v>
      </c>
      <c r="H1020" s="20">
        <f t="shared" si="50"/>
        <v>1.1527505171067414E-2</v>
      </c>
      <c r="I1020" s="3"/>
    </row>
    <row r="1021" spans="1:9" x14ac:dyDescent="0.3">
      <c r="A1021" s="2">
        <v>42678</v>
      </c>
      <c r="B1021" s="1">
        <v>27.21</v>
      </c>
      <c r="C1021" s="1">
        <v>755.05</v>
      </c>
      <c r="D1021" s="1">
        <v>120.75</v>
      </c>
      <c r="E1021" s="3"/>
      <c r="F1021" s="20">
        <f t="shared" si="48"/>
        <v>-9.0548018852088866E-3</v>
      </c>
      <c r="G1021" s="20">
        <f t="shared" si="49"/>
        <v>-1.5741941809491792E-2</v>
      </c>
      <c r="H1021" s="20">
        <f t="shared" si="50"/>
        <v>6.2305497506361628E-3</v>
      </c>
      <c r="I1021" s="3"/>
    </row>
    <row r="1022" spans="1:9" x14ac:dyDescent="0.3">
      <c r="A1022" s="2">
        <v>42677</v>
      </c>
      <c r="B1022" s="1">
        <v>27.4575</v>
      </c>
      <c r="C1022" s="1">
        <v>767.03</v>
      </c>
      <c r="D1022" s="1">
        <v>120</v>
      </c>
      <c r="E1022" s="3"/>
      <c r="F1022" s="20">
        <f t="shared" si="48"/>
        <v>-1.5897724397355366E-2</v>
      </c>
      <c r="G1022" s="20">
        <f t="shared" si="49"/>
        <v>1.9181912380912853E-3</v>
      </c>
      <c r="H1022" s="20">
        <f t="shared" si="50"/>
        <v>-5.8033031250609497E-2</v>
      </c>
      <c r="I1022" s="3"/>
    </row>
    <row r="1023" spans="1:9" x14ac:dyDescent="0.3">
      <c r="A1023" s="2">
        <v>42676</v>
      </c>
      <c r="B1023" s="1">
        <v>27.897500000000001</v>
      </c>
      <c r="C1023" s="1">
        <v>765.56010000000003</v>
      </c>
      <c r="D1023" s="1">
        <v>127.17</v>
      </c>
      <c r="E1023" s="3"/>
      <c r="F1023" s="20">
        <f t="shared" si="48"/>
        <v>8.9653941812972823E-4</v>
      </c>
      <c r="G1023" s="20">
        <f t="shared" si="49"/>
        <v>-2.559802431328467E-2</v>
      </c>
      <c r="H1023" s="20">
        <f t="shared" si="50"/>
        <v>-1.8156107106936974E-2</v>
      </c>
      <c r="I1023" s="3"/>
    </row>
    <row r="1024" spans="1:9" x14ac:dyDescent="0.3">
      <c r="A1024" s="2">
        <v>42675</v>
      </c>
      <c r="B1024" s="1">
        <v>27.872499999999999</v>
      </c>
      <c r="C1024" s="1">
        <v>785.40989999999999</v>
      </c>
      <c r="D1024" s="1">
        <v>129.5</v>
      </c>
      <c r="E1024" s="3"/>
      <c r="F1024" s="20">
        <f t="shared" si="48"/>
        <v>-1.8220296963100194E-2</v>
      </c>
      <c r="G1024" s="20">
        <f t="shared" si="49"/>
        <v>-5.5994509031145898E-3</v>
      </c>
      <c r="H1024" s="20">
        <f t="shared" si="50"/>
        <v>-1.1440103269965208E-2</v>
      </c>
      <c r="I1024" s="3"/>
    </row>
    <row r="1025" spans="1:9" x14ac:dyDescent="0.3">
      <c r="A1025" s="2">
        <v>42674</v>
      </c>
      <c r="B1025" s="1">
        <v>28.385000000000002</v>
      </c>
      <c r="C1025" s="1">
        <v>789.82010000000002</v>
      </c>
      <c r="D1025" s="1">
        <v>130.99</v>
      </c>
      <c r="E1025" s="3"/>
      <c r="F1025" s="20">
        <f t="shared" si="48"/>
        <v>-1.5840890402188459E-3</v>
      </c>
      <c r="G1025" s="20">
        <f t="shared" si="49"/>
        <v>1.724026288111466E-2</v>
      </c>
      <c r="H1025" s="20">
        <f t="shared" si="50"/>
        <v>-2.2876325364613649E-3</v>
      </c>
      <c r="I1025" s="3"/>
    </row>
    <row r="1026" spans="1:9" x14ac:dyDescent="0.3">
      <c r="A1026" s="2">
        <v>42671</v>
      </c>
      <c r="B1026" s="1">
        <v>28.43</v>
      </c>
      <c r="C1026" s="1">
        <v>776.32010000000002</v>
      </c>
      <c r="D1026" s="1">
        <v>131.29</v>
      </c>
      <c r="E1026" s="3"/>
      <c r="F1026" s="20">
        <f t="shared" si="48"/>
        <v>-6.6608484653964579E-3</v>
      </c>
      <c r="G1026" s="20">
        <f t="shared" si="49"/>
        <v>-5.2737524654745925E-2</v>
      </c>
      <c r="H1026" s="20">
        <f t="shared" si="50"/>
        <v>1.2261629598368816E-2</v>
      </c>
      <c r="I1026" s="3"/>
    </row>
    <row r="1027" spans="1:9" x14ac:dyDescent="0.3">
      <c r="A1027" s="2">
        <v>42670</v>
      </c>
      <c r="B1027" s="1">
        <v>28.62</v>
      </c>
      <c r="C1027" s="1">
        <v>818.36009999999999</v>
      </c>
      <c r="D1027" s="1">
        <v>129.69</v>
      </c>
      <c r="E1027" s="3"/>
      <c r="F1027" s="20">
        <f t="shared" si="48"/>
        <v>-9.649312057980421E-3</v>
      </c>
      <c r="G1027" s="20">
        <f t="shared" si="49"/>
        <v>-5.1555609297324837E-3</v>
      </c>
      <c r="H1027" s="20">
        <f t="shared" si="50"/>
        <v>-1.0355632757109153E-2</v>
      </c>
      <c r="I1027" s="3"/>
    </row>
    <row r="1028" spans="1:9" x14ac:dyDescent="0.3">
      <c r="A1028" s="2">
        <v>42669</v>
      </c>
      <c r="B1028" s="1">
        <v>28.897500000000001</v>
      </c>
      <c r="C1028" s="1">
        <v>822.59010000000001</v>
      </c>
      <c r="D1028" s="1">
        <v>131.04</v>
      </c>
      <c r="E1028" s="3"/>
      <c r="F1028" s="20">
        <f t="shared" si="48"/>
        <v>-2.2751580065866368E-2</v>
      </c>
      <c r="G1028" s="20">
        <f t="shared" si="49"/>
        <v>-1.5189130033865716E-2</v>
      </c>
      <c r="H1028" s="20">
        <f t="shared" si="50"/>
        <v>-9.4938623695294422E-3</v>
      </c>
      <c r="I1028" s="3"/>
    </row>
    <row r="1029" spans="1:9" x14ac:dyDescent="0.3">
      <c r="A1029" s="2">
        <v>42668</v>
      </c>
      <c r="B1029" s="1">
        <v>29.5625</v>
      </c>
      <c r="C1029" s="1">
        <v>835.17989999999998</v>
      </c>
      <c r="D1029" s="1">
        <v>132.29</v>
      </c>
      <c r="E1029" s="3"/>
      <c r="F1029" s="20">
        <f t="shared" si="48"/>
        <v>5.08691219867088E-3</v>
      </c>
      <c r="G1029" s="20">
        <f t="shared" si="49"/>
        <v>-3.4784618553821405E-3</v>
      </c>
      <c r="H1029" s="20">
        <f t="shared" si="50"/>
        <v>-7.4556959442439348E-3</v>
      </c>
      <c r="I1029" s="3"/>
    </row>
    <row r="1030" spans="1:9" x14ac:dyDescent="0.3">
      <c r="A1030" s="2">
        <v>42667</v>
      </c>
      <c r="B1030" s="1">
        <v>29.412500000000001</v>
      </c>
      <c r="C1030" s="1">
        <v>838.09010000000001</v>
      </c>
      <c r="D1030" s="1">
        <v>133.28</v>
      </c>
      <c r="E1030" s="3"/>
      <c r="F1030" s="20">
        <f t="shared" ref="F1030:F1093" si="51">LN(B1030/B1031)</f>
        <v>8.9648412569796696E-3</v>
      </c>
      <c r="G1030" s="20">
        <f t="shared" ref="G1030:G1093" si="52">LN(C1030/C1031)</f>
        <v>2.3053738835892689E-2</v>
      </c>
      <c r="H1030" s="20">
        <f t="shared" ref="H1030:H1093" si="53">LN(D1030/D1031)</f>
        <v>9.1200933628196434E-3</v>
      </c>
      <c r="I1030" s="3"/>
    </row>
    <row r="1031" spans="1:9" x14ac:dyDescent="0.3">
      <c r="A1031" s="2">
        <v>42664</v>
      </c>
      <c r="B1031" s="1">
        <v>29.15</v>
      </c>
      <c r="C1031" s="1">
        <v>818.99</v>
      </c>
      <c r="D1031" s="1">
        <v>132.07</v>
      </c>
      <c r="E1031" s="3"/>
      <c r="F1031" s="20">
        <f t="shared" si="51"/>
        <v>-3.9373499466828664E-3</v>
      </c>
      <c r="G1031" s="20">
        <f t="shared" si="52"/>
        <v>1.064251897974608E-2</v>
      </c>
      <c r="H1031" s="20">
        <f t="shared" si="53"/>
        <v>1.5797634600130568E-2</v>
      </c>
      <c r="I1031" s="3"/>
    </row>
    <row r="1032" spans="1:9" x14ac:dyDescent="0.3">
      <c r="A1032" s="2">
        <v>42663</v>
      </c>
      <c r="B1032" s="1">
        <v>29.265000000000001</v>
      </c>
      <c r="C1032" s="1">
        <v>810.32010000000002</v>
      </c>
      <c r="D1032" s="1">
        <v>130</v>
      </c>
      <c r="E1032" s="3"/>
      <c r="F1032" s="20">
        <f t="shared" si="51"/>
        <v>-5.1242634992663396E-4</v>
      </c>
      <c r="G1032" s="20">
        <f t="shared" si="52"/>
        <v>-9.0538145868438637E-3</v>
      </c>
      <c r="H1032" s="20">
        <f t="shared" si="53"/>
        <v>-8.4579605980223348E-4</v>
      </c>
      <c r="I1032" s="3"/>
    </row>
    <row r="1033" spans="1:9" x14ac:dyDescent="0.3">
      <c r="A1033" s="2">
        <v>42662</v>
      </c>
      <c r="B1033" s="1">
        <v>29.28</v>
      </c>
      <c r="C1033" s="1">
        <v>817.68989999999997</v>
      </c>
      <c r="D1033" s="1">
        <v>130.11000000000001</v>
      </c>
      <c r="E1033" s="3"/>
      <c r="F1033" s="20">
        <f t="shared" si="51"/>
        <v>-2.9839316227930884E-3</v>
      </c>
      <c r="G1033" s="20">
        <f t="shared" si="52"/>
        <v>4.8919496740651004E-5</v>
      </c>
      <c r="H1033" s="20">
        <f t="shared" si="53"/>
        <v>1.1906743419227135E-2</v>
      </c>
      <c r="I1033" s="3"/>
    </row>
    <row r="1034" spans="1:9" x14ac:dyDescent="0.3">
      <c r="A1034" s="2">
        <v>42661</v>
      </c>
      <c r="B1034" s="1">
        <v>29.3675</v>
      </c>
      <c r="C1034" s="1">
        <v>817.6499</v>
      </c>
      <c r="D1034" s="1">
        <v>128.57</v>
      </c>
      <c r="E1034" s="3"/>
      <c r="F1034" s="20">
        <f t="shared" si="51"/>
        <v>-6.8079315028392567E-4</v>
      </c>
      <c r="G1034" s="20">
        <f t="shared" si="52"/>
        <v>5.7646428351097161E-3</v>
      </c>
      <c r="H1034" s="20">
        <f t="shared" si="53"/>
        <v>8.043462209031781E-3</v>
      </c>
      <c r="I1034" s="3"/>
    </row>
    <row r="1035" spans="1:9" x14ac:dyDescent="0.3">
      <c r="A1035" s="2">
        <v>42660</v>
      </c>
      <c r="B1035" s="1">
        <v>29.387499999999999</v>
      </c>
      <c r="C1035" s="1">
        <v>812.95</v>
      </c>
      <c r="D1035" s="1">
        <v>127.54</v>
      </c>
      <c r="E1035" s="3"/>
      <c r="F1035" s="20">
        <f t="shared" si="51"/>
        <v>-6.8032998627144583E-4</v>
      </c>
      <c r="G1035" s="20">
        <f t="shared" si="52"/>
        <v>-1.2237989781210471E-2</v>
      </c>
      <c r="H1035" s="20">
        <f t="shared" si="53"/>
        <v>-2.6622833045150565E-3</v>
      </c>
      <c r="I1035" s="3"/>
    </row>
    <row r="1036" spans="1:9" x14ac:dyDescent="0.3">
      <c r="A1036" s="2">
        <v>42657</v>
      </c>
      <c r="B1036" s="1">
        <v>29.407499999999999</v>
      </c>
      <c r="C1036" s="1">
        <v>822.96</v>
      </c>
      <c r="D1036" s="1">
        <v>127.88</v>
      </c>
      <c r="E1036" s="3"/>
      <c r="F1036" s="20">
        <f t="shared" si="51"/>
        <v>5.5411249574702287E-3</v>
      </c>
      <c r="G1036" s="20">
        <f t="shared" si="52"/>
        <v>-7.6502576186217005E-3</v>
      </c>
      <c r="H1036" s="20">
        <f t="shared" si="53"/>
        <v>4.6929996950496753E-4</v>
      </c>
      <c r="I1036" s="3"/>
    </row>
    <row r="1037" spans="1:9" x14ac:dyDescent="0.3">
      <c r="A1037" s="2">
        <v>42656</v>
      </c>
      <c r="B1037" s="1">
        <v>29.245000000000001</v>
      </c>
      <c r="C1037" s="1">
        <v>829.28</v>
      </c>
      <c r="D1037" s="1">
        <v>127.82</v>
      </c>
      <c r="E1037" s="3"/>
      <c r="F1037" s="20">
        <f t="shared" si="51"/>
        <v>-3.0727234828341367E-3</v>
      </c>
      <c r="G1037" s="20">
        <f t="shared" si="52"/>
        <v>-5.7835756552856174E-3</v>
      </c>
      <c r="H1037" s="20">
        <f t="shared" si="53"/>
        <v>-9.5769019424872606E-3</v>
      </c>
      <c r="I1037" s="3"/>
    </row>
    <row r="1038" spans="1:9" x14ac:dyDescent="0.3">
      <c r="A1038" s="2">
        <v>42655</v>
      </c>
      <c r="B1038" s="1">
        <v>29.335000000000001</v>
      </c>
      <c r="C1038" s="1">
        <v>834.09010000000001</v>
      </c>
      <c r="D1038" s="1">
        <v>129.05000000000001</v>
      </c>
      <c r="E1038" s="3"/>
      <c r="F1038" s="20">
        <f t="shared" si="51"/>
        <v>8.9026439730950733E-3</v>
      </c>
      <c r="G1038" s="20">
        <f t="shared" si="52"/>
        <v>3.7116352412338957E-3</v>
      </c>
      <c r="H1038" s="20">
        <f t="shared" si="53"/>
        <v>1.3181872959039938E-3</v>
      </c>
      <c r="I1038" s="3"/>
    </row>
    <row r="1039" spans="1:9" x14ac:dyDescent="0.3">
      <c r="A1039" s="2">
        <v>42654</v>
      </c>
      <c r="B1039" s="1">
        <v>29.074999999999999</v>
      </c>
      <c r="C1039" s="1">
        <v>831</v>
      </c>
      <c r="D1039" s="1">
        <v>128.88</v>
      </c>
      <c r="E1039" s="3"/>
      <c r="F1039" s="20">
        <f t="shared" si="51"/>
        <v>2.1519268041726661E-3</v>
      </c>
      <c r="G1039" s="20">
        <f t="shared" si="52"/>
        <v>-1.280574200910242E-2</v>
      </c>
      <c r="H1039" s="20">
        <f t="shared" si="53"/>
        <v>-1.0497163385511385E-2</v>
      </c>
      <c r="I1039" s="3"/>
    </row>
    <row r="1040" spans="1:9" x14ac:dyDescent="0.3">
      <c r="A1040" s="2">
        <v>42653</v>
      </c>
      <c r="B1040" s="1">
        <v>29.012499999999999</v>
      </c>
      <c r="C1040" s="1">
        <v>841.71</v>
      </c>
      <c r="D1040" s="1">
        <v>130.24</v>
      </c>
      <c r="E1040" s="3"/>
      <c r="F1040" s="20">
        <f t="shared" si="51"/>
        <v>1.7296506992053193E-2</v>
      </c>
      <c r="G1040" s="20">
        <f t="shared" si="52"/>
        <v>2.7125659180223661E-3</v>
      </c>
      <c r="H1040" s="20">
        <f t="shared" si="53"/>
        <v>9.6440202771853611E-3</v>
      </c>
      <c r="I1040" s="3"/>
    </row>
    <row r="1041" spans="1:9" x14ac:dyDescent="0.3">
      <c r="A1041" s="2">
        <v>42650</v>
      </c>
      <c r="B1041" s="1">
        <v>28.515000000000001</v>
      </c>
      <c r="C1041" s="1">
        <v>839.42989999999998</v>
      </c>
      <c r="D1041" s="1">
        <v>128.99</v>
      </c>
      <c r="E1041" s="3"/>
      <c r="F1041" s="20">
        <f t="shared" si="51"/>
        <v>1.4915554421331136E-3</v>
      </c>
      <c r="G1041" s="20">
        <f t="shared" si="52"/>
        <v>-2.6530424585441566E-3</v>
      </c>
      <c r="H1041" s="20">
        <f t="shared" si="53"/>
        <v>1.9400153525750163E-3</v>
      </c>
      <c r="I1041" s="3"/>
    </row>
    <row r="1042" spans="1:9" x14ac:dyDescent="0.3">
      <c r="A1042" s="2">
        <v>42649</v>
      </c>
      <c r="B1042" s="1">
        <v>28.4725</v>
      </c>
      <c r="C1042" s="1">
        <v>841.65989999999999</v>
      </c>
      <c r="D1042" s="1">
        <v>128.74</v>
      </c>
      <c r="E1042" s="3"/>
      <c r="F1042" s="20">
        <f t="shared" si="51"/>
        <v>7.4028715622808808E-3</v>
      </c>
      <c r="G1042" s="20">
        <f t="shared" si="52"/>
        <v>-3.2030489656862337E-3</v>
      </c>
      <c r="H1042" s="20">
        <f t="shared" si="53"/>
        <v>2.0994525809515507E-3</v>
      </c>
      <c r="I1042" s="3"/>
    </row>
    <row r="1043" spans="1:9" x14ac:dyDescent="0.3">
      <c r="A1043" s="2">
        <v>42648</v>
      </c>
      <c r="B1043" s="1">
        <v>28.262499999999999</v>
      </c>
      <c r="C1043" s="1">
        <v>844.36009999999999</v>
      </c>
      <c r="D1043" s="1">
        <v>128.47</v>
      </c>
      <c r="E1043" s="3"/>
      <c r="F1043" s="20">
        <f t="shared" si="51"/>
        <v>4.4238001163816198E-4</v>
      </c>
      <c r="G1043" s="20">
        <f t="shared" si="52"/>
        <v>1.2309689435939127E-2</v>
      </c>
      <c r="H1043" s="20">
        <f t="shared" si="53"/>
        <v>2.1818757194750167E-3</v>
      </c>
      <c r="I1043" s="3"/>
    </row>
    <row r="1044" spans="1:9" x14ac:dyDescent="0.3">
      <c r="A1044" s="2">
        <v>42647</v>
      </c>
      <c r="B1044" s="1">
        <v>28.25</v>
      </c>
      <c r="C1044" s="1">
        <v>834.03</v>
      </c>
      <c r="D1044" s="1">
        <v>128.19</v>
      </c>
      <c r="E1044" s="3"/>
      <c r="F1044" s="20">
        <f t="shared" si="51"/>
        <v>4.2568350906844613E-3</v>
      </c>
      <c r="G1044" s="20">
        <f t="shared" si="52"/>
        <v>-3.2440160843065311E-3</v>
      </c>
      <c r="H1044" s="20">
        <f t="shared" si="53"/>
        <v>-4.5143289616492365E-3</v>
      </c>
      <c r="I1044" s="3"/>
    </row>
    <row r="1045" spans="1:9" x14ac:dyDescent="0.3">
      <c r="A1045" s="2">
        <v>42646</v>
      </c>
      <c r="B1045" s="1">
        <v>28.13</v>
      </c>
      <c r="C1045" s="1">
        <v>836.74</v>
      </c>
      <c r="D1045" s="1">
        <v>128.77000000000001</v>
      </c>
      <c r="E1045" s="3"/>
      <c r="F1045" s="20">
        <f t="shared" si="51"/>
        <v>-4.6992151023227237E-3</v>
      </c>
      <c r="G1045" s="20">
        <f t="shared" si="52"/>
        <v>-6.8110270061708632E-4</v>
      </c>
      <c r="H1045" s="20">
        <f t="shared" si="53"/>
        <v>3.8904499739330798E-3</v>
      </c>
      <c r="I1045" s="3"/>
    </row>
    <row r="1046" spans="1:9" x14ac:dyDescent="0.3">
      <c r="A1046" s="2">
        <v>42643</v>
      </c>
      <c r="B1046" s="1">
        <v>28.262499999999999</v>
      </c>
      <c r="C1046" s="1">
        <v>837.31010000000003</v>
      </c>
      <c r="D1046" s="1">
        <v>128.27000000000001</v>
      </c>
      <c r="E1046" s="3"/>
      <c r="F1046" s="20">
        <f t="shared" si="51"/>
        <v>7.7254746437879426E-3</v>
      </c>
      <c r="G1046" s="20">
        <f t="shared" si="52"/>
        <v>9.9140247723615207E-3</v>
      </c>
      <c r="H1046" s="20">
        <f t="shared" si="53"/>
        <v>1.404275468714761E-3</v>
      </c>
      <c r="I1046" s="3"/>
    </row>
    <row r="1047" spans="1:9" x14ac:dyDescent="0.3">
      <c r="A1047" s="2">
        <v>42642</v>
      </c>
      <c r="B1047" s="1">
        <v>28.045000000000002</v>
      </c>
      <c r="C1047" s="1">
        <v>829.05</v>
      </c>
      <c r="D1047" s="1">
        <v>128.09</v>
      </c>
      <c r="E1047" s="3"/>
      <c r="F1047" s="20">
        <f t="shared" si="51"/>
        <v>-1.5655031611502342E-2</v>
      </c>
      <c r="G1047" s="20">
        <f t="shared" si="52"/>
        <v>3.9812519753491869E-4</v>
      </c>
      <c r="H1047" s="20">
        <f t="shared" si="53"/>
        <v>-8.8606206940551498E-3</v>
      </c>
      <c r="I1047" s="3"/>
    </row>
    <row r="1048" spans="1:9" x14ac:dyDescent="0.3">
      <c r="A1048" s="2">
        <v>42641</v>
      </c>
      <c r="B1048" s="1">
        <v>28.487500000000001</v>
      </c>
      <c r="C1048" s="1">
        <v>828.72</v>
      </c>
      <c r="D1048" s="1">
        <v>129.22999999999999</v>
      </c>
      <c r="E1048" s="3"/>
      <c r="F1048" s="20">
        <f t="shared" si="51"/>
        <v>7.5757938084577226E-3</v>
      </c>
      <c r="G1048" s="20">
        <f t="shared" si="52"/>
        <v>1.533306941690895E-2</v>
      </c>
      <c r="H1048" s="20">
        <f t="shared" si="53"/>
        <v>4.1873510315263863E-3</v>
      </c>
      <c r="I1048" s="3"/>
    </row>
    <row r="1049" spans="1:9" x14ac:dyDescent="0.3">
      <c r="A1049" s="2">
        <v>42640</v>
      </c>
      <c r="B1049" s="1">
        <v>28.272500000000001</v>
      </c>
      <c r="C1049" s="1">
        <v>816.11009999999999</v>
      </c>
      <c r="D1049" s="1">
        <v>128.69</v>
      </c>
      <c r="E1049" s="3"/>
      <c r="F1049" s="20">
        <f t="shared" si="51"/>
        <v>1.8586543386770787E-3</v>
      </c>
      <c r="G1049" s="20">
        <f t="shared" si="52"/>
        <v>2.0988221432585254E-2</v>
      </c>
      <c r="H1049" s="20">
        <f t="shared" si="53"/>
        <v>1.0781354432019536E-2</v>
      </c>
      <c r="I1049" s="3"/>
    </row>
    <row r="1050" spans="1:9" x14ac:dyDescent="0.3">
      <c r="A1050" s="2">
        <v>42639</v>
      </c>
      <c r="B1050" s="1">
        <v>28.22</v>
      </c>
      <c r="C1050" s="1">
        <v>799.15989999999999</v>
      </c>
      <c r="D1050" s="1">
        <v>127.31</v>
      </c>
      <c r="E1050" s="3"/>
      <c r="F1050" s="20">
        <f t="shared" si="51"/>
        <v>1.5071592905713386E-3</v>
      </c>
      <c r="G1050" s="20">
        <f t="shared" si="52"/>
        <v>-8.2124697951949099E-3</v>
      </c>
      <c r="H1050" s="20">
        <f t="shared" si="53"/>
        <v>-5.0926580077631373E-3</v>
      </c>
      <c r="I1050" s="3"/>
    </row>
    <row r="1051" spans="1:9" x14ac:dyDescent="0.3">
      <c r="A1051" s="2">
        <v>42636</v>
      </c>
      <c r="B1051" s="1">
        <v>28.177499999999998</v>
      </c>
      <c r="C1051" s="1">
        <v>805.75</v>
      </c>
      <c r="D1051" s="1">
        <v>127.96</v>
      </c>
      <c r="E1051" s="3"/>
      <c r="F1051" s="20">
        <f t="shared" si="51"/>
        <v>-1.6804160869604234E-2</v>
      </c>
      <c r="G1051" s="20">
        <f t="shared" si="52"/>
        <v>1.303983543460026E-3</v>
      </c>
      <c r="H1051" s="20">
        <f t="shared" si="53"/>
        <v>-1.6431930718183378E-2</v>
      </c>
      <c r="I1051" s="3"/>
    </row>
    <row r="1052" spans="1:9" x14ac:dyDescent="0.3">
      <c r="A1052" s="2">
        <v>42635</v>
      </c>
      <c r="B1052" s="1">
        <v>28.655000000000001</v>
      </c>
      <c r="C1052" s="1">
        <v>804.7</v>
      </c>
      <c r="D1052" s="1">
        <v>130.08000000000001</v>
      </c>
      <c r="E1052" s="3"/>
      <c r="F1052" s="20">
        <f t="shared" si="51"/>
        <v>9.3790405720239837E-3</v>
      </c>
      <c r="G1052" s="20">
        <f t="shared" si="52"/>
        <v>1.8765759784943808E-2</v>
      </c>
      <c r="H1052" s="20">
        <f t="shared" si="53"/>
        <v>1.0768403471156612E-3</v>
      </c>
      <c r="I1052" s="3"/>
    </row>
    <row r="1053" spans="1:9" x14ac:dyDescent="0.3">
      <c r="A1053" s="2">
        <v>42634</v>
      </c>
      <c r="B1053" s="1">
        <v>28.387499999999999</v>
      </c>
      <c r="C1053" s="1">
        <v>789.74</v>
      </c>
      <c r="D1053" s="1">
        <v>129.94</v>
      </c>
      <c r="E1053" s="3"/>
      <c r="F1053" s="20">
        <f t="shared" si="51"/>
        <v>-1.7611835198741793E-4</v>
      </c>
      <c r="G1053" s="20">
        <f t="shared" si="52"/>
        <v>1.2127846170439731E-2</v>
      </c>
      <c r="H1053" s="20">
        <f t="shared" si="53"/>
        <v>1.0055000021728737E-2</v>
      </c>
      <c r="I1053" s="3"/>
    </row>
    <row r="1054" spans="1:9" x14ac:dyDescent="0.3">
      <c r="A1054" s="2">
        <v>42633</v>
      </c>
      <c r="B1054" s="1">
        <v>28.392499999999998</v>
      </c>
      <c r="C1054" s="1">
        <v>780.22</v>
      </c>
      <c r="D1054" s="1">
        <v>128.63999999999999</v>
      </c>
      <c r="E1054" s="3"/>
      <c r="F1054" s="20">
        <f t="shared" si="51"/>
        <v>-8.8047545731592599E-5</v>
      </c>
      <c r="G1054" s="20">
        <f t="shared" si="52"/>
        <v>6.5837488936353735E-3</v>
      </c>
      <c r="H1054" s="20">
        <f t="shared" si="53"/>
        <v>-7.7733297097057035E-5</v>
      </c>
      <c r="I1054" s="3"/>
    </row>
    <row r="1055" spans="1:9" x14ac:dyDescent="0.3">
      <c r="A1055" s="2">
        <v>42632</v>
      </c>
      <c r="B1055" s="1">
        <v>28.395</v>
      </c>
      <c r="C1055" s="1">
        <v>775.1001</v>
      </c>
      <c r="D1055" s="1">
        <v>128.65</v>
      </c>
      <c r="E1055" s="3"/>
      <c r="F1055" s="20">
        <f t="shared" si="51"/>
        <v>-1.1728799661802349E-2</v>
      </c>
      <c r="G1055" s="20">
        <f t="shared" si="52"/>
        <v>-4.4024990713059835E-3</v>
      </c>
      <c r="H1055" s="20">
        <f t="shared" si="53"/>
        <v>-3.2593541193430171E-3</v>
      </c>
      <c r="I1055" s="3"/>
    </row>
    <row r="1056" spans="1:9" x14ac:dyDescent="0.3">
      <c r="A1056" s="2">
        <v>42629</v>
      </c>
      <c r="B1056" s="1">
        <v>28.73</v>
      </c>
      <c r="C1056" s="1">
        <v>778.52</v>
      </c>
      <c r="D1056" s="1">
        <v>129.07</v>
      </c>
      <c r="E1056" s="3"/>
      <c r="F1056" s="20">
        <f t="shared" si="51"/>
        <v>-5.6401728762610851E-3</v>
      </c>
      <c r="G1056" s="20">
        <f t="shared" si="52"/>
        <v>1.1406974915779491E-2</v>
      </c>
      <c r="H1056" s="20">
        <f t="shared" si="53"/>
        <v>5.5939855299470126E-3</v>
      </c>
      <c r="I1056" s="3"/>
    </row>
    <row r="1057" spans="1:9" x14ac:dyDescent="0.3">
      <c r="A1057" s="2">
        <v>42628</v>
      </c>
      <c r="B1057" s="1">
        <v>28.892499999999998</v>
      </c>
      <c r="C1057" s="1">
        <v>769.68989999999997</v>
      </c>
      <c r="D1057" s="1">
        <v>128.35</v>
      </c>
      <c r="E1057" s="3"/>
      <c r="F1057" s="20">
        <f t="shared" si="51"/>
        <v>3.3433218589829811E-2</v>
      </c>
      <c r="G1057" s="20">
        <f t="shared" si="52"/>
        <v>1.1235958759007521E-2</v>
      </c>
      <c r="H1057" s="20">
        <f t="shared" si="53"/>
        <v>4.5291347139176565E-3</v>
      </c>
      <c r="I1057" s="3"/>
    </row>
    <row r="1058" spans="1:9" x14ac:dyDescent="0.3">
      <c r="A1058" s="2">
        <v>42627</v>
      </c>
      <c r="B1058" s="1">
        <v>27.942499999999999</v>
      </c>
      <c r="C1058" s="1">
        <v>761.09010000000001</v>
      </c>
      <c r="D1058" s="1">
        <v>127.77</v>
      </c>
      <c r="E1058" s="3"/>
      <c r="F1058" s="20">
        <f t="shared" si="51"/>
        <v>3.4775031436703706E-2</v>
      </c>
      <c r="G1058" s="20">
        <f t="shared" si="52"/>
        <v>1.0524931977065412E-4</v>
      </c>
      <c r="H1058" s="20">
        <f t="shared" si="53"/>
        <v>4.3925084351121961E-3</v>
      </c>
      <c r="I1058" s="3"/>
    </row>
    <row r="1059" spans="1:9" x14ac:dyDescent="0.3">
      <c r="A1059" s="2">
        <v>42626</v>
      </c>
      <c r="B1059" s="1">
        <v>26.987500000000001</v>
      </c>
      <c r="C1059" s="1">
        <v>761.01</v>
      </c>
      <c r="D1059" s="1">
        <v>127.21</v>
      </c>
      <c r="E1059" s="3"/>
      <c r="F1059" s="20">
        <f t="shared" si="51"/>
        <v>2.3526086206619421E-2</v>
      </c>
      <c r="G1059" s="20">
        <f t="shared" si="52"/>
        <v>-1.3677211576594791E-2</v>
      </c>
      <c r="H1059" s="20">
        <f t="shared" si="53"/>
        <v>-1.1567147337454007E-2</v>
      </c>
      <c r="I1059" s="3"/>
    </row>
    <row r="1060" spans="1:9" x14ac:dyDescent="0.3">
      <c r="A1060" s="2">
        <v>42625</v>
      </c>
      <c r="B1060" s="1">
        <v>26.36</v>
      </c>
      <c r="C1060" s="1">
        <v>771.49</v>
      </c>
      <c r="D1060" s="1">
        <v>128.69</v>
      </c>
      <c r="E1060" s="3"/>
      <c r="F1060" s="20">
        <f t="shared" si="51"/>
        <v>2.215174242621944E-2</v>
      </c>
      <c r="G1060" s="20">
        <f t="shared" si="52"/>
        <v>1.4821214669116867E-2</v>
      </c>
      <c r="H1060" s="20">
        <f t="shared" si="53"/>
        <v>1.243223331016507E-2</v>
      </c>
      <c r="I1060" s="3"/>
    </row>
    <row r="1061" spans="1:9" x14ac:dyDescent="0.3">
      <c r="A1061" s="2">
        <v>42622</v>
      </c>
      <c r="B1061" s="1">
        <v>25.782499999999999</v>
      </c>
      <c r="C1061" s="1">
        <v>760.13990000000001</v>
      </c>
      <c r="D1061" s="1">
        <v>127.1</v>
      </c>
      <c r="E1061" s="3"/>
      <c r="F1061" s="20">
        <f t="shared" si="51"/>
        <v>-2.291018008108156E-2</v>
      </c>
      <c r="G1061" s="20">
        <f t="shared" si="52"/>
        <v>-3.098318028829174E-2</v>
      </c>
      <c r="H1061" s="20">
        <f t="shared" si="53"/>
        <v>-2.4635041514064444E-2</v>
      </c>
      <c r="I1061" s="3"/>
    </row>
    <row r="1062" spans="1:9" x14ac:dyDescent="0.3">
      <c r="A1062" s="2">
        <v>42621</v>
      </c>
      <c r="B1062" s="1">
        <v>26.38</v>
      </c>
      <c r="C1062" s="1">
        <v>784.06010000000003</v>
      </c>
      <c r="D1062" s="1">
        <v>130.27000000000001</v>
      </c>
      <c r="E1062" s="3"/>
      <c r="F1062" s="20">
        <f t="shared" si="51"/>
        <v>-2.6558508807835241E-2</v>
      </c>
      <c r="G1062" s="20">
        <f t="shared" si="52"/>
        <v>-5.3540232733679681E-4</v>
      </c>
      <c r="H1062" s="20">
        <f t="shared" si="53"/>
        <v>-5.9697100599427093E-3</v>
      </c>
      <c r="I1062" s="3"/>
    </row>
    <row r="1063" spans="1:9" x14ac:dyDescent="0.3">
      <c r="A1063" s="2">
        <v>42620</v>
      </c>
      <c r="B1063" s="1">
        <v>27.09</v>
      </c>
      <c r="C1063" s="1">
        <v>784.48</v>
      </c>
      <c r="D1063" s="1">
        <v>131.05000000000001</v>
      </c>
      <c r="E1063" s="3"/>
      <c r="F1063" s="20">
        <f t="shared" si="51"/>
        <v>6.1094330545515222E-3</v>
      </c>
      <c r="G1063" s="20">
        <f t="shared" si="52"/>
        <v>-5.5805906052289172E-3</v>
      </c>
      <c r="H1063" s="20">
        <f t="shared" si="53"/>
        <v>1.01235621864945E-2</v>
      </c>
      <c r="I1063" s="3"/>
    </row>
    <row r="1064" spans="1:9" x14ac:dyDescent="0.3">
      <c r="A1064" s="2">
        <v>42619</v>
      </c>
      <c r="B1064" s="1">
        <v>26.925000000000001</v>
      </c>
      <c r="C1064" s="1">
        <v>788.87009999999998</v>
      </c>
      <c r="D1064" s="1">
        <v>129.72999999999999</v>
      </c>
      <c r="E1064" s="3"/>
      <c r="F1064" s="20">
        <f t="shared" si="51"/>
        <v>-2.7851274375833776E-4</v>
      </c>
      <c r="G1064" s="20">
        <f t="shared" si="52"/>
        <v>2.1047462115528909E-2</v>
      </c>
      <c r="H1064" s="20">
        <f t="shared" si="53"/>
        <v>2.5134011156342815E-2</v>
      </c>
      <c r="I1064" s="3"/>
    </row>
    <row r="1065" spans="1:9" x14ac:dyDescent="0.3">
      <c r="A1065" s="2">
        <v>42618</v>
      </c>
      <c r="B1065" s="1">
        <v>26.932500000000001</v>
      </c>
      <c r="C1065" s="1">
        <v>772.43989999999997</v>
      </c>
      <c r="D1065" s="1">
        <v>126.51</v>
      </c>
      <c r="E1065" s="3"/>
      <c r="F1065" s="20">
        <f t="shared" si="51"/>
        <v>0</v>
      </c>
      <c r="G1065" s="20">
        <f t="shared" si="52"/>
        <v>0</v>
      </c>
      <c r="H1065" s="20">
        <f t="shared" si="53"/>
        <v>0</v>
      </c>
      <c r="I1065" s="3"/>
    </row>
    <row r="1066" spans="1:9" x14ac:dyDescent="0.3">
      <c r="A1066" s="2">
        <v>42615</v>
      </c>
      <c r="B1066" s="1">
        <v>26.932500000000001</v>
      </c>
      <c r="C1066" s="1">
        <v>772.43989999999997</v>
      </c>
      <c r="D1066" s="1">
        <v>126.51</v>
      </c>
      <c r="E1066" s="3"/>
      <c r="F1066" s="20">
        <f t="shared" si="51"/>
        <v>9.3258159802275167E-3</v>
      </c>
      <c r="G1066" s="20">
        <f t="shared" si="52"/>
        <v>2.358690969493074E-3</v>
      </c>
      <c r="H1066" s="20">
        <f t="shared" si="53"/>
        <v>2.691152486928243E-3</v>
      </c>
      <c r="I1066" s="3"/>
    </row>
    <row r="1067" spans="1:9" x14ac:dyDescent="0.3">
      <c r="A1067" s="2">
        <v>42614</v>
      </c>
      <c r="B1067" s="1">
        <v>26.682500000000001</v>
      </c>
      <c r="C1067" s="1">
        <v>770.62009999999998</v>
      </c>
      <c r="D1067" s="1">
        <v>126.17</v>
      </c>
      <c r="E1067" s="3"/>
      <c r="F1067" s="20">
        <f t="shared" si="51"/>
        <v>5.9202353059362436E-3</v>
      </c>
      <c r="G1067" s="20">
        <f t="shared" si="52"/>
        <v>1.896635152713007E-3</v>
      </c>
      <c r="H1067" s="20">
        <f t="shared" si="53"/>
        <v>3.963692627897331E-4</v>
      </c>
      <c r="I1067" s="3"/>
    </row>
    <row r="1068" spans="1:9" x14ac:dyDescent="0.3">
      <c r="A1068" s="2">
        <v>42613</v>
      </c>
      <c r="B1068" s="1">
        <v>26.524999999999999</v>
      </c>
      <c r="C1068" s="1">
        <v>769.15989999999999</v>
      </c>
      <c r="D1068" s="1">
        <v>126.12</v>
      </c>
      <c r="E1068" s="3"/>
      <c r="F1068" s="20">
        <f t="shared" si="51"/>
        <v>9.4295150787036277E-4</v>
      </c>
      <c r="G1068" s="20">
        <f t="shared" si="52"/>
        <v>2.0560414338467313E-3</v>
      </c>
      <c r="H1068" s="20">
        <f t="shared" si="53"/>
        <v>2.2225759268376336E-3</v>
      </c>
      <c r="I1068" s="3"/>
    </row>
    <row r="1069" spans="1:9" x14ac:dyDescent="0.3">
      <c r="A1069" s="2">
        <v>42612</v>
      </c>
      <c r="B1069" s="1">
        <v>26.5</v>
      </c>
      <c r="C1069" s="1">
        <v>767.58010000000002</v>
      </c>
      <c r="D1069" s="1">
        <v>125.84</v>
      </c>
      <c r="E1069" s="3"/>
      <c r="F1069" s="20">
        <f t="shared" si="51"/>
        <v>-7.7060807995570574E-3</v>
      </c>
      <c r="G1069" s="20">
        <f t="shared" si="52"/>
        <v>-4.8215988955184041E-3</v>
      </c>
      <c r="H1069" s="20">
        <f t="shared" si="53"/>
        <v>-5.5472049687158367E-3</v>
      </c>
      <c r="I1069" s="3"/>
    </row>
    <row r="1070" spans="1:9" x14ac:dyDescent="0.3">
      <c r="A1070" s="2">
        <v>42611</v>
      </c>
      <c r="B1070" s="1">
        <v>26.704999999999998</v>
      </c>
      <c r="C1070" s="1">
        <v>771.29</v>
      </c>
      <c r="D1070" s="1">
        <v>126.54</v>
      </c>
      <c r="E1070" s="3"/>
      <c r="F1070" s="20">
        <f t="shared" si="51"/>
        <v>-1.1227546089612784E-3</v>
      </c>
      <c r="G1070" s="20">
        <f t="shared" si="52"/>
        <v>2.9734682264446984E-3</v>
      </c>
      <c r="H1070" s="20">
        <f t="shared" si="53"/>
        <v>1.2564777627362411E-2</v>
      </c>
      <c r="I1070" s="3"/>
    </row>
    <row r="1071" spans="1:9" x14ac:dyDescent="0.3">
      <c r="A1071" s="2">
        <v>42608</v>
      </c>
      <c r="B1071" s="1">
        <v>26.734999999999999</v>
      </c>
      <c r="C1071" s="1">
        <v>769</v>
      </c>
      <c r="D1071" s="1">
        <v>124.96</v>
      </c>
      <c r="E1071" s="3"/>
      <c r="F1071" s="20">
        <f t="shared" si="51"/>
        <v>-5.8738689233285308E-3</v>
      </c>
      <c r="G1071" s="20">
        <f t="shared" si="52"/>
        <v>1.2799379037416101E-2</v>
      </c>
      <c r="H1071" s="20">
        <f t="shared" si="53"/>
        <v>8.5996109637282315E-3</v>
      </c>
      <c r="I1071" s="3"/>
    </row>
    <row r="1072" spans="1:9" x14ac:dyDescent="0.3">
      <c r="A1072" s="2">
        <v>42607</v>
      </c>
      <c r="B1072" s="1">
        <v>26.892499999999998</v>
      </c>
      <c r="C1072" s="1">
        <v>759.22</v>
      </c>
      <c r="D1072" s="1">
        <v>123.89</v>
      </c>
      <c r="E1072" s="3"/>
      <c r="F1072" s="20">
        <f t="shared" si="51"/>
        <v>-4.2671678849795294E-3</v>
      </c>
      <c r="G1072" s="20">
        <f t="shared" si="52"/>
        <v>2.5981405608812456E-3</v>
      </c>
      <c r="H1072" s="20">
        <f t="shared" si="53"/>
        <v>3.3148754936889692E-3</v>
      </c>
      <c r="I1072" s="3"/>
    </row>
    <row r="1073" spans="1:9" x14ac:dyDescent="0.3">
      <c r="A1073" s="2">
        <v>42606</v>
      </c>
      <c r="B1073" s="1">
        <v>27.0075</v>
      </c>
      <c r="C1073" s="1">
        <v>757.25</v>
      </c>
      <c r="D1073" s="1">
        <v>123.48</v>
      </c>
      <c r="E1073" s="3"/>
      <c r="F1073" s="20">
        <f t="shared" si="51"/>
        <v>-7.5618213516628141E-3</v>
      </c>
      <c r="G1073" s="20">
        <f t="shared" si="52"/>
        <v>-6.8434826536745664E-3</v>
      </c>
      <c r="H1073" s="20">
        <f t="shared" si="53"/>
        <v>-7.1817940316910691E-3</v>
      </c>
      <c r="I1073" s="3"/>
    </row>
    <row r="1074" spans="1:9" x14ac:dyDescent="0.3">
      <c r="A1074" s="2">
        <v>42605</v>
      </c>
      <c r="B1074" s="1">
        <v>27.212499999999999</v>
      </c>
      <c r="C1074" s="1">
        <v>762.45</v>
      </c>
      <c r="D1074" s="1">
        <v>124.37</v>
      </c>
      <c r="E1074" s="3"/>
      <c r="F1074" s="20">
        <f t="shared" si="51"/>
        <v>3.1284530484400911E-3</v>
      </c>
      <c r="G1074" s="20">
        <f t="shared" si="52"/>
        <v>3.9029439858069797E-3</v>
      </c>
      <c r="H1074" s="20">
        <f t="shared" si="53"/>
        <v>1.7704817114740717E-3</v>
      </c>
      <c r="I1074" s="3"/>
    </row>
    <row r="1075" spans="1:9" x14ac:dyDescent="0.3">
      <c r="A1075" s="2">
        <v>42604</v>
      </c>
      <c r="B1075" s="1">
        <v>27.127500000000001</v>
      </c>
      <c r="C1075" s="1">
        <v>759.48</v>
      </c>
      <c r="D1075" s="1">
        <v>124.15</v>
      </c>
      <c r="E1075" s="3"/>
      <c r="F1075" s="20">
        <f t="shared" si="51"/>
        <v>-7.8028577835777997E-3</v>
      </c>
      <c r="G1075" s="20">
        <f t="shared" si="52"/>
        <v>2.8611756897572805E-3</v>
      </c>
      <c r="H1075" s="20">
        <f t="shared" si="53"/>
        <v>4.7636439037946586E-3</v>
      </c>
      <c r="I1075" s="3"/>
    </row>
    <row r="1076" spans="1:9" x14ac:dyDescent="0.3">
      <c r="A1076" s="2">
        <v>42601</v>
      </c>
      <c r="B1076" s="1">
        <v>27.34</v>
      </c>
      <c r="C1076" s="1">
        <v>757.31010000000003</v>
      </c>
      <c r="D1076" s="1">
        <v>123.56</v>
      </c>
      <c r="E1076" s="3"/>
      <c r="F1076" s="20">
        <f t="shared" si="51"/>
        <v>2.5636344383064371E-3</v>
      </c>
      <c r="G1076" s="20">
        <f t="shared" si="52"/>
        <v>-9.3968893358874293E-3</v>
      </c>
      <c r="H1076" s="20">
        <f t="shared" si="53"/>
        <v>-2.8286275780205158E-3</v>
      </c>
      <c r="I1076" s="3"/>
    </row>
    <row r="1077" spans="1:9" x14ac:dyDescent="0.3">
      <c r="A1077" s="2">
        <v>42600</v>
      </c>
      <c r="B1077" s="1">
        <v>27.27</v>
      </c>
      <c r="C1077" s="1">
        <v>764.46</v>
      </c>
      <c r="D1077" s="1">
        <v>123.91</v>
      </c>
      <c r="E1077" s="3"/>
      <c r="F1077" s="20">
        <f t="shared" si="51"/>
        <v>-1.2826387466199037E-3</v>
      </c>
      <c r="G1077" s="20">
        <f t="shared" si="52"/>
        <v>-2.2222369096702314E-4</v>
      </c>
      <c r="H1077" s="20">
        <f t="shared" si="53"/>
        <v>-3.7054980372482186E-3</v>
      </c>
      <c r="I1077" s="3"/>
    </row>
    <row r="1078" spans="1:9" x14ac:dyDescent="0.3">
      <c r="A1078" s="2">
        <v>42599</v>
      </c>
      <c r="B1078" s="1">
        <v>27.305</v>
      </c>
      <c r="C1078" s="1">
        <v>764.62990000000002</v>
      </c>
      <c r="D1078" s="1">
        <v>124.37</v>
      </c>
      <c r="E1078" s="3"/>
      <c r="F1078" s="20">
        <f t="shared" si="51"/>
        <v>-1.4638611946190139E-3</v>
      </c>
      <c r="G1078" s="20">
        <f t="shared" si="52"/>
        <v>7.7178209537723046E-4</v>
      </c>
      <c r="H1078" s="20">
        <f t="shared" si="53"/>
        <v>8.6405834953511163E-3</v>
      </c>
      <c r="I1078" s="3"/>
    </row>
    <row r="1079" spans="1:9" x14ac:dyDescent="0.3">
      <c r="A1079" s="2">
        <v>42598</v>
      </c>
      <c r="B1079" s="1">
        <v>27.344999999999999</v>
      </c>
      <c r="C1079" s="1">
        <v>764.04</v>
      </c>
      <c r="D1079" s="1">
        <v>123.3</v>
      </c>
      <c r="E1079" s="3"/>
      <c r="F1079" s="20">
        <f t="shared" si="51"/>
        <v>-9.1382625385175945E-4</v>
      </c>
      <c r="G1079" s="20">
        <f t="shared" si="52"/>
        <v>-5.8074067153111517E-3</v>
      </c>
      <c r="H1079" s="20">
        <f t="shared" si="53"/>
        <v>-4.8543784647981994E-3</v>
      </c>
      <c r="I1079" s="3"/>
    </row>
    <row r="1080" spans="1:9" x14ac:dyDescent="0.3">
      <c r="A1080" s="2">
        <v>42597</v>
      </c>
      <c r="B1080" s="1">
        <v>27.37</v>
      </c>
      <c r="C1080" s="1">
        <v>768.49</v>
      </c>
      <c r="D1080" s="1">
        <v>123.9</v>
      </c>
      <c r="E1080" s="3"/>
      <c r="F1080" s="20">
        <f t="shared" si="51"/>
        <v>1.1945377729197485E-2</v>
      </c>
      <c r="G1080" s="20">
        <f t="shared" si="52"/>
        <v>-5.2822545661932643E-3</v>
      </c>
      <c r="H1080" s="20">
        <f t="shared" si="53"/>
        <v>-7.8784875720798279E-3</v>
      </c>
      <c r="I1080" s="3"/>
    </row>
    <row r="1081" spans="1:9" x14ac:dyDescent="0.3">
      <c r="A1081" s="2">
        <v>42594</v>
      </c>
      <c r="B1081" s="1">
        <v>27.045000000000002</v>
      </c>
      <c r="C1081" s="1">
        <v>772.56010000000003</v>
      </c>
      <c r="D1081" s="1">
        <v>124.88</v>
      </c>
      <c r="E1081" s="3"/>
      <c r="F1081" s="20">
        <f t="shared" si="51"/>
        <v>2.313637606025929E-3</v>
      </c>
      <c r="G1081" s="20">
        <f t="shared" si="52"/>
        <v>1.7101959272434555E-3</v>
      </c>
      <c r="H1081" s="20">
        <f t="shared" si="53"/>
        <v>-1.6014092435549755E-4</v>
      </c>
      <c r="I1081" s="3"/>
    </row>
    <row r="1082" spans="1:9" x14ac:dyDescent="0.3">
      <c r="A1082" s="2">
        <v>42593</v>
      </c>
      <c r="B1082" s="1">
        <v>26.982500000000002</v>
      </c>
      <c r="C1082" s="1">
        <v>771.24</v>
      </c>
      <c r="D1082" s="1">
        <v>124.9</v>
      </c>
      <c r="E1082" s="3"/>
      <c r="F1082" s="20">
        <f t="shared" si="51"/>
        <v>-6.4835828696466755E-4</v>
      </c>
      <c r="G1082" s="20">
        <f t="shared" si="52"/>
        <v>3.4808449562616574E-3</v>
      </c>
      <c r="H1082" s="20">
        <f t="shared" si="53"/>
        <v>1.6014092435537598E-4</v>
      </c>
      <c r="I1082" s="3"/>
    </row>
    <row r="1083" spans="1:9" x14ac:dyDescent="0.3">
      <c r="A1083" s="2">
        <v>42592</v>
      </c>
      <c r="B1083" s="1">
        <v>27</v>
      </c>
      <c r="C1083" s="1">
        <v>768.56010000000003</v>
      </c>
      <c r="D1083" s="1">
        <v>124.88</v>
      </c>
      <c r="E1083" s="3"/>
      <c r="F1083" s="20">
        <f t="shared" si="51"/>
        <v>-7.472014838701066E-3</v>
      </c>
      <c r="G1083" s="20">
        <f t="shared" si="52"/>
        <v>3.2533652120410192E-4</v>
      </c>
      <c r="H1083" s="20">
        <f t="shared" si="53"/>
        <v>-1.4403459319752383E-3</v>
      </c>
      <c r="I1083" s="3"/>
    </row>
    <row r="1084" spans="1:9" x14ac:dyDescent="0.3">
      <c r="A1084" s="2">
        <v>42591</v>
      </c>
      <c r="B1084" s="1">
        <v>27.202500000000001</v>
      </c>
      <c r="C1084" s="1">
        <v>768.31010000000003</v>
      </c>
      <c r="D1084" s="1">
        <v>125.06</v>
      </c>
      <c r="E1084" s="3"/>
      <c r="F1084" s="20">
        <f t="shared" si="51"/>
        <v>4.0519440280167721E-3</v>
      </c>
      <c r="G1084" s="20">
        <f t="shared" si="52"/>
        <v>2.2803241059934955E-3</v>
      </c>
      <c r="H1084" s="20">
        <f t="shared" si="53"/>
        <v>-1.5979549581149404E-3</v>
      </c>
      <c r="I1084" s="3"/>
    </row>
    <row r="1085" spans="1:9" x14ac:dyDescent="0.3">
      <c r="A1085" s="2">
        <v>42590</v>
      </c>
      <c r="B1085" s="1">
        <v>27.092500000000001</v>
      </c>
      <c r="C1085" s="1">
        <v>766.56010000000003</v>
      </c>
      <c r="D1085" s="1">
        <v>125.26</v>
      </c>
      <c r="E1085" s="3"/>
      <c r="F1085" s="20">
        <f t="shared" si="51"/>
        <v>8.2465141876132825E-3</v>
      </c>
      <c r="G1085" s="20">
        <f t="shared" si="52"/>
        <v>7.5704384858232973E-4</v>
      </c>
      <c r="H1085" s="20">
        <f t="shared" si="53"/>
        <v>8.7855921948361152E-4</v>
      </c>
      <c r="I1085" s="3"/>
    </row>
    <row r="1086" spans="1:9" x14ac:dyDescent="0.3">
      <c r="A1086" s="2">
        <v>42587</v>
      </c>
      <c r="B1086" s="1">
        <v>26.87</v>
      </c>
      <c r="C1086" s="1">
        <v>765.98</v>
      </c>
      <c r="D1086" s="1">
        <v>125.15</v>
      </c>
      <c r="E1086" s="3"/>
      <c r="F1086" s="20">
        <f t="shared" si="51"/>
        <v>1.5092857392002005E-2</v>
      </c>
      <c r="G1086" s="20">
        <f t="shared" si="52"/>
        <v>6.8249814620980993E-3</v>
      </c>
      <c r="H1086" s="20">
        <f t="shared" si="53"/>
        <v>6.3324326872301953E-3</v>
      </c>
      <c r="I1086" s="3"/>
    </row>
    <row r="1087" spans="1:9" x14ac:dyDescent="0.3">
      <c r="A1087" s="2">
        <v>42586</v>
      </c>
      <c r="B1087" s="1">
        <v>26.467500000000001</v>
      </c>
      <c r="C1087" s="1">
        <v>760.77</v>
      </c>
      <c r="D1087" s="1">
        <v>124.36</v>
      </c>
      <c r="E1087" s="3"/>
      <c r="F1087" s="20">
        <f t="shared" si="51"/>
        <v>7.5592935660507004E-4</v>
      </c>
      <c r="G1087" s="20">
        <f t="shared" si="52"/>
        <v>8.0903964489830657E-3</v>
      </c>
      <c r="H1087" s="20">
        <f t="shared" si="53"/>
        <v>1.4987925884473768E-2</v>
      </c>
      <c r="I1087" s="3"/>
    </row>
    <row r="1088" spans="1:9" x14ac:dyDescent="0.3">
      <c r="A1088" s="2">
        <v>42585</v>
      </c>
      <c r="B1088" s="1">
        <v>26.447500000000002</v>
      </c>
      <c r="C1088" s="1">
        <v>754.63990000000001</v>
      </c>
      <c r="D1088" s="1">
        <v>122.51</v>
      </c>
      <c r="E1088" s="3"/>
      <c r="F1088" s="20">
        <f t="shared" si="51"/>
        <v>1.2460331470562304E-2</v>
      </c>
      <c r="G1088" s="20">
        <f t="shared" si="52"/>
        <v>-7.8407497687268297E-3</v>
      </c>
      <c r="H1088" s="20">
        <f t="shared" si="53"/>
        <v>-4.7231358161252089E-3</v>
      </c>
      <c r="I1088" s="3"/>
    </row>
    <row r="1089" spans="1:9" x14ac:dyDescent="0.3">
      <c r="A1089" s="2">
        <v>42584</v>
      </c>
      <c r="B1089" s="1">
        <v>26.12</v>
      </c>
      <c r="C1089" s="1">
        <v>760.58010000000002</v>
      </c>
      <c r="D1089" s="1">
        <v>123.09</v>
      </c>
      <c r="E1089" s="3"/>
      <c r="F1089" s="20">
        <f t="shared" si="51"/>
        <v>-1.4915015482570418E-2</v>
      </c>
      <c r="G1089" s="20">
        <f t="shared" si="52"/>
        <v>-9.3697025660393288E-3</v>
      </c>
      <c r="H1089" s="20">
        <f t="shared" si="53"/>
        <v>-9.8626506814196921E-3</v>
      </c>
      <c r="I1089" s="3"/>
    </row>
    <row r="1090" spans="1:9" x14ac:dyDescent="0.3">
      <c r="A1090" s="2">
        <v>42583</v>
      </c>
      <c r="B1090" s="1">
        <v>26.512499999999999</v>
      </c>
      <c r="C1090" s="1">
        <v>767.74</v>
      </c>
      <c r="D1090" s="1">
        <v>124.31</v>
      </c>
      <c r="E1090" s="3"/>
      <c r="F1090" s="20">
        <f t="shared" si="51"/>
        <v>1.7502587006355461E-2</v>
      </c>
      <c r="G1090" s="20">
        <f t="shared" si="52"/>
        <v>1.169958570031563E-2</v>
      </c>
      <c r="H1090" s="20">
        <f t="shared" si="53"/>
        <v>2.9808682696626436E-3</v>
      </c>
      <c r="I1090" s="3"/>
    </row>
    <row r="1091" spans="1:9" x14ac:dyDescent="0.3">
      <c r="A1091" s="2">
        <v>42580</v>
      </c>
      <c r="B1091" s="1">
        <v>26.052499999999998</v>
      </c>
      <c r="C1091" s="1">
        <v>758.81010000000003</v>
      </c>
      <c r="D1091" s="1">
        <v>123.94</v>
      </c>
      <c r="E1091" s="3"/>
      <c r="F1091" s="20">
        <f t="shared" si="51"/>
        <v>-1.2467035899106247E-3</v>
      </c>
      <c r="G1091" s="20">
        <f t="shared" si="52"/>
        <v>8.2042502497330048E-3</v>
      </c>
      <c r="H1091" s="20">
        <f t="shared" si="53"/>
        <v>-8.5161597683397414E-3</v>
      </c>
      <c r="I1091" s="3"/>
    </row>
    <row r="1092" spans="1:9" x14ac:dyDescent="0.3">
      <c r="A1092" s="2">
        <v>42579</v>
      </c>
      <c r="B1092" s="1">
        <v>26.085000000000001</v>
      </c>
      <c r="C1092" s="1">
        <v>752.61009999999999</v>
      </c>
      <c r="D1092" s="1">
        <v>125</v>
      </c>
      <c r="E1092" s="3"/>
      <c r="F1092" s="20">
        <f t="shared" si="51"/>
        <v>1.3411364120448282E-2</v>
      </c>
      <c r="G1092" s="20">
        <f t="shared" si="52"/>
        <v>2.1407403238462075E-2</v>
      </c>
      <c r="H1092" s="20">
        <f t="shared" si="53"/>
        <v>1.3368967738954254E-2</v>
      </c>
      <c r="I1092" s="3"/>
    </row>
    <row r="1093" spans="1:9" x14ac:dyDescent="0.3">
      <c r="A1093" s="2">
        <v>42578</v>
      </c>
      <c r="B1093" s="1">
        <v>25.737500000000001</v>
      </c>
      <c r="C1093" s="1">
        <v>736.66989999999998</v>
      </c>
      <c r="D1093" s="1">
        <v>123.34</v>
      </c>
      <c r="E1093" s="3"/>
      <c r="F1093" s="20">
        <f t="shared" si="51"/>
        <v>6.2940316997284321E-2</v>
      </c>
      <c r="G1093" s="20">
        <f t="shared" si="52"/>
        <v>1.4668607360320571E-3</v>
      </c>
      <c r="H1093" s="20">
        <f t="shared" si="53"/>
        <v>1.7337693040207873E-2</v>
      </c>
      <c r="I1093" s="3"/>
    </row>
    <row r="1094" spans="1:9" x14ac:dyDescent="0.3">
      <c r="A1094" s="2">
        <v>42577</v>
      </c>
      <c r="B1094" s="1">
        <v>24.1675</v>
      </c>
      <c r="C1094" s="1">
        <v>735.59010000000001</v>
      </c>
      <c r="D1094" s="1">
        <v>121.22</v>
      </c>
      <c r="E1094" s="3"/>
      <c r="F1094" s="20">
        <f t="shared" ref="F1094:F1157" si="54">LN(B1094/B1095)</f>
        <v>-6.9068879287942165E-3</v>
      </c>
      <c r="G1094" s="20">
        <f t="shared" ref="G1094:G1157" si="55">LN(C1094/C1095)</f>
        <v>-5.4501212117177627E-3</v>
      </c>
      <c r="H1094" s="20">
        <f t="shared" ref="H1094:H1157" si="56">LN(D1094/D1095)</f>
        <v>-3.3765731072060269E-3</v>
      </c>
      <c r="I1094" s="3"/>
    </row>
    <row r="1095" spans="1:9" x14ac:dyDescent="0.3">
      <c r="A1095" s="2">
        <v>42576</v>
      </c>
      <c r="B1095" s="1">
        <v>24.335000000000001</v>
      </c>
      <c r="C1095" s="1">
        <v>739.61009999999999</v>
      </c>
      <c r="D1095" s="1">
        <v>121.63</v>
      </c>
      <c r="E1095" s="3"/>
      <c r="F1095" s="20">
        <f t="shared" si="54"/>
        <v>-1.3469591400283898E-2</v>
      </c>
      <c r="G1095" s="20">
        <f t="shared" si="55"/>
        <v>-7.0732600607916161E-3</v>
      </c>
      <c r="H1095" s="20">
        <f t="shared" si="56"/>
        <v>5.1931040336038329E-3</v>
      </c>
      <c r="I1095" s="3"/>
    </row>
    <row r="1096" spans="1:9" x14ac:dyDescent="0.3">
      <c r="A1096" s="2">
        <v>42573</v>
      </c>
      <c r="B1096" s="1">
        <v>24.664999999999999</v>
      </c>
      <c r="C1096" s="1">
        <v>744.86009999999999</v>
      </c>
      <c r="D1096" s="1">
        <v>121</v>
      </c>
      <c r="E1096" s="3"/>
      <c r="F1096" s="20">
        <f t="shared" si="54"/>
        <v>-7.7742831863901784E-3</v>
      </c>
      <c r="G1096" s="20">
        <f t="shared" si="55"/>
        <v>5.777249722559956E-4</v>
      </c>
      <c r="H1096" s="20">
        <f t="shared" si="56"/>
        <v>3.2283460015896043E-3</v>
      </c>
      <c r="I1096" s="3"/>
    </row>
    <row r="1097" spans="1:9" x14ac:dyDescent="0.3">
      <c r="A1097" s="2">
        <v>42572</v>
      </c>
      <c r="B1097" s="1">
        <v>24.857500000000002</v>
      </c>
      <c r="C1097" s="1">
        <v>744.42989999999998</v>
      </c>
      <c r="D1097" s="1">
        <v>120.61</v>
      </c>
      <c r="E1097" s="3"/>
      <c r="F1097" s="20">
        <f t="shared" si="54"/>
        <v>-5.316226974769335E-3</v>
      </c>
      <c r="G1097" s="20">
        <f t="shared" si="55"/>
        <v>-1.7315040887114302E-3</v>
      </c>
      <c r="H1097" s="20">
        <f t="shared" si="56"/>
        <v>-1.0802892343184585E-2</v>
      </c>
      <c r="I1097" s="3"/>
    </row>
    <row r="1098" spans="1:9" x14ac:dyDescent="0.3">
      <c r="A1098" s="2">
        <v>42571</v>
      </c>
      <c r="B1098" s="1">
        <v>24.99</v>
      </c>
      <c r="C1098" s="1">
        <v>745.72</v>
      </c>
      <c r="D1098" s="1">
        <v>121.92</v>
      </c>
      <c r="E1098" s="3"/>
      <c r="F1098" s="20">
        <f t="shared" si="54"/>
        <v>9.007657117083525E-4</v>
      </c>
      <c r="G1098" s="20">
        <f t="shared" si="55"/>
        <v>7.7675782794038853E-3</v>
      </c>
      <c r="H1098" s="20">
        <f t="shared" si="56"/>
        <v>1.0802892343184524E-2</v>
      </c>
      <c r="I1098" s="3"/>
    </row>
    <row r="1099" spans="1:9" x14ac:dyDescent="0.3">
      <c r="A1099" s="2">
        <v>42570</v>
      </c>
      <c r="B1099" s="1">
        <v>24.967500000000001</v>
      </c>
      <c r="C1099" s="1">
        <v>739.95</v>
      </c>
      <c r="D1099" s="1">
        <v>120.61</v>
      </c>
      <c r="E1099" s="3"/>
      <c r="F1099" s="20">
        <f t="shared" si="54"/>
        <v>4.0060090670953914E-4</v>
      </c>
      <c r="G1099" s="20">
        <f t="shared" si="55"/>
        <v>5.2572575892390521E-3</v>
      </c>
      <c r="H1099" s="20">
        <f t="shared" si="56"/>
        <v>1.0334286488204586E-2</v>
      </c>
      <c r="I1099" s="3"/>
    </row>
    <row r="1100" spans="1:9" x14ac:dyDescent="0.3">
      <c r="A1100" s="2">
        <v>42569</v>
      </c>
      <c r="B1100" s="1">
        <v>24.9575</v>
      </c>
      <c r="C1100" s="1">
        <v>736.07010000000002</v>
      </c>
      <c r="D1100" s="1">
        <v>119.37</v>
      </c>
      <c r="E1100" s="3"/>
      <c r="F1100" s="20">
        <f t="shared" si="54"/>
        <v>1.0573584235855006E-2</v>
      </c>
      <c r="G1100" s="20">
        <f t="shared" si="55"/>
        <v>8.565351761510979E-4</v>
      </c>
      <c r="H1100" s="20">
        <f t="shared" si="56"/>
        <v>2.1251275980655935E-2</v>
      </c>
      <c r="I1100" s="3"/>
    </row>
    <row r="1101" spans="1:9" x14ac:dyDescent="0.3">
      <c r="A1101" s="2">
        <v>42566</v>
      </c>
      <c r="B1101" s="1">
        <v>24.695</v>
      </c>
      <c r="C1101" s="1">
        <v>735.43989999999997</v>
      </c>
      <c r="D1101" s="1">
        <v>116.86</v>
      </c>
      <c r="E1101" s="3"/>
      <c r="F1101" s="20">
        <f t="shared" si="54"/>
        <v>-1.0122994390392363E-4</v>
      </c>
      <c r="G1101" s="20">
        <f t="shared" si="55"/>
        <v>-7.8016708287378684E-3</v>
      </c>
      <c r="H1101" s="20">
        <f t="shared" si="56"/>
        <v>-3.6728634071227918E-3</v>
      </c>
      <c r="I1101" s="3"/>
    </row>
    <row r="1102" spans="1:9" x14ac:dyDescent="0.3">
      <c r="A1102" s="2">
        <v>42565</v>
      </c>
      <c r="B1102" s="1">
        <v>24.697500000000002</v>
      </c>
      <c r="C1102" s="1">
        <v>741.2</v>
      </c>
      <c r="D1102" s="1">
        <v>117.29</v>
      </c>
      <c r="E1102" s="3"/>
      <c r="F1102" s="20">
        <f t="shared" si="54"/>
        <v>1.9626511618089013E-2</v>
      </c>
      <c r="G1102" s="20">
        <f t="shared" si="55"/>
        <v>-1.9273104587212559E-3</v>
      </c>
      <c r="H1102" s="20">
        <f t="shared" si="56"/>
        <v>4.357677678022134E-3</v>
      </c>
      <c r="I1102" s="3"/>
    </row>
    <row r="1103" spans="1:9" x14ac:dyDescent="0.3">
      <c r="A1103" s="2">
        <v>42564</v>
      </c>
      <c r="B1103" s="1">
        <v>24.217500000000001</v>
      </c>
      <c r="C1103" s="1">
        <v>742.62990000000002</v>
      </c>
      <c r="D1103" s="1">
        <v>116.78</v>
      </c>
      <c r="E1103" s="3"/>
      <c r="F1103" s="20">
        <f t="shared" si="54"/>
        <v>-5.6616549401030556E-3</v>
      </c>
      <c r="G1103" s="20">
        <f t="shared" si="55"/>
        <v>-7.4858823651216648E-3</v>
      </c>
      <c r="H1103" s="20">
        <f t="shared" si="56"/>
        <v>-9.7994052464871421E-3</v>
      </c>
      <c r="I1103" s="3"/>
    </row>
    <row r="1104" spans="1:9" x14ac:dyDescent="0.3">
      <c r="A1104" s="2">
        <v>42563</v>
      </c>
      <c r="B1104" s="1">
        <v>24.355</v>
      </c>
      <c r="C1104" s="1">
        <v>748.21</v>
      </c>
      <c r="D1104" s="1">
        <v>117.93</v>
      </c>
      <c r="E1104" s="3"/>
      <c r="F1104" s="20">
        <f t="shared" si="54"/>
        <v>4.5267567011902836E-3</v>
      </c>
      <c r="G1104" s="20">
        <f t="shared" si="55"/>
        <v>-7.4168610093338768E-3</v>
      </c>
      <c r="H1104" s="20">
        <f t="shared" si="56"/>
        <v>5.0890586340066805E-4</v>
      </c>
      <c r="I1104" s="3"/>
    </row>
    <row r="1105" spans="1:9" x14ac:dyDescent="0.3">
      <c r="A1105" s="2">
        <v>42562</v>
      </c>
      <c r="B1105" s="1">
        <v>24.245000000000001</v>
      </c>
      <c r="C1105" s="1">
        <v>753.78</v>
      </c>
      <c r="D1105" s="1">
        <v>117.87</v>
      </c>
      <c r="E1105" s="3"/>
      <c r="F1105" s="20">
        <f t="shared" si="54"/>
        <v>3.0982158419239209E-3</v>
      </c>
      <c r="G1105" s="20">
        <f t="shared" si="55"/>
        <v>1.0629538086666817E-2</v>
      </c>
      <c r="H1105" s="20">
        <f t="shared" si="56"/>
        <v>5.3592063957865026E-3</v>
      </c>
      <c r="I1105" s="3"/>
    </row>
    <row r="1106" spans="1:9" x14ac:dyDescent="0.3">
      <c r="A1106" s="2">
        <v>42559</v>
      </c>
      <c r="B1106" s="1">
        <v>24.17</v>
      </c>
      <c r="C1106" s="1">
        <v>745.81010000000003</v>
      </c>
      <c r="D1106" s="1">
        <v>117.24</v>
      </c>
      <c r="E1106" s="3"/>
      <c r="F1106" s="20">
        <f t="shared" si="54"/>
        <v>7.6835597613645161E-3</v>
      </c>
      <c r="G1106" s="20">
        <f t="shared" si="55"/>
        <v>1.2466598879393368E-2</v>
      </c>
      <c r="H1106" s="20">
        <f t="shared" si="56"/>
        <v>1.1926864964306425E-2</v>
      </c>
      <c r="I1106" s="3"/>
    </row>
    <row r="1107" spans="1:9" x14ac:dyDescent="0.3">
      <c r="A1107" s="2">
        <v>42558</v>
      </c>
      <c r="B1107" s="1">
        <v>23.984999999999999</v>
      </c>
      <c r="C1107" s="1">
        <v>736.57010000000002</v>
      </c>
      <c r="D1107" s="1">
        <v>115.85</v>
      </c>
      <c r="E1107" s="3"/>
      <c r="F1107" s="20">
        <f t="shared" si="54"/>
        <v>4.2826617920007281E-3</v>
      </c>
      <c r="G1107" s="20">
        <f t="shared" si="55"/>
        <v>-1.410953928882158E-3</v>
      </c>
      <c r="H1107" s="20">
        <f t="shared" si="56"/>
        <v>-7.310288414125142E-3</v>
      </c>
      <c r="I1107" s="3"/>
    </row>
    <row r="1108" spans="1:9" x14ac:dyDescent="0.3">
      <c r="A1108" s="2">
        <v>42557</v>
      </c>
      <c r="B1108" s="1">
        <v>23.8825</v>
      </c>
      <c r="C1108" s="1">
        <v>737.61009999999999</v>
      </c>
      <c r="D1108" s="1">
        <v>116.7</v>
      </c>
      <c r="E1108" s="3"/>
      <c r="F1108" s="20">
        <f t="shared" si="54"/>
        <v>5.6687113798260681E-3</v>
      </c>
      <c r="G1108" s="20">
        <f t="shared" si="55"/>
        <v>1.2976826462775906E-2</v>
      </c>
      <c r="H1108" s="20">
        <f t="shared" si="56"/>
        <v>2.3408090898014804E-2</v>
      </c>
      <c r="I1108" s="3"/>
    </row>
    <row r="1109" spans="1:9" x14ac:dyDescent="0.3">
      <c r="A1109" s="2">
        <v>42556</v>
      </c>
      <c r="B1109" s="1">
        <v>23.747499999999999</v>
      </c>
      <c r="C1109" s="1">
        <v>728.1001</v>
      </c>
      <c r="D1109" s="1">
        <v>114</v>
      </c>
      <c r="E1109" s="3"/>
      <c r="F1109" s="20">
        <f t="shared" si="54"/>
        <v>-9.4300782634987503E-3</v>
      </c>
      <c r="G1109" s="20">
        <f t="shared" si="55"/>
        <v>3.329530239534259E-3</v>
      </c>
      <c r="H1109" s="20">
        <f t="shared" si="56"/>
        <v>-1.6652793190612089E-3</v>
      </c>
      <c r="I1109" s="3"/>
    </row>
    <row r="1110" spans="1:9" x14ac:dyDescent="0.3">
      <c r="A1110" s="2">
        <v>42555</v>
      </c>
      <c r="B1110" s="1">
        <v>23.9725</v>
      </c>
      <c r="C1110" s="1">
        <v>725.67989999999998</v>
      </c>
      <c r="D1110" s="1">
        <v>114.19</v>
      </c>
      <c r="E1110" s="3"/>
      <c r="F1110" s="20">
        <f t="shared" si="54"/>
        <v>0</v>
      </c>
      <c r="G1110" s="20">
        <f t="shared" si="55"/>
        <v>0</v>
      </c>
      <c r="H1110" s="20">
        <f t="shared" si="56"/>
        <v>0</v>
      </c>
      <c r="I1110" s="3"/>
    </row>
    <row r="1111" spans="1:9" x14ac:dyDescent="0.3">
      <c r="A1111" s="2">
        <v>42552</v>
      </c>
      <c r="B1111" s="1">
        <v>23.9725</v>
      </c>
      <c r="C1111" s="1">
        <v>725.67989999999998</v>
      </c>
      <c r="D1111" s="1">
        <v>114.19</v>
      </c>
      <c r="E1111" s="3"/>
      <c r="F1111" s="20">
        <f t="shared" si="54"/>
        <v>3.028881108234357E-3</v>
      </c>
      <c r="G1111" s="20">
        <f t="shared" si="55"/>
        <v>1.3959568947302738E-2</v>
      </c>
      <c r="H1111" s="20">
        <f t="shared" si="56"/>
        <v>-7.8784964901565206E-4</v>
      </c>
      <c r="I1111" s="3"/>
    </row>
    <row r="1112" spans="1:9" x14ac:dyDescent="0.3">
      <c r="A1112" s="2">
        <v>42551</v>
      </c>
      <c r="B1112" s="1">
        <v>23.9</v>
      </c>
      <c r="C1112" s="1">
        <v>715.62009999999998</v>
      </c>
      <c r="D1112" s="1">
        <v>114.28</v>
      </c>
      <c r="E1112" s="3"/>
      <c r="F1112" s="20">
        <f t="shared" si="54"/>
        <v>1.2631746905900564E-2</v>
      </c>
      <c r="G1112" s="20">
        <f t="shared" si="55"/>
        <v>2.7948180163058935E-5</v>
      </c>
      <c r="H1112" s="20">
        <f t="shared" si="56"/>
        <v>1.0506041939913687E-3</v>
      </c>
      <c r="I1112" s="3"/>
    </row>
    <row r="1113" spans="1:9" x14ac:dyDescent="0.3">
      <c r="A1113" s="2">
        <v>42550</v>
      </c>
      <c r="B1113" s="1">
        <v>23.6</v>
      </c>
      <c r="C1113" s="1">
        <v>715.6001</v>
      </c>
      <c r="D1113" s="1">
        <v>114.16</v>
      </c>
      <c r="E1113" s="3"/>
      <c r="F1113" s="20">
        <f t="shared" si="54"/>
        <v>8.6175329822899237E-3</v>
      </c>
      <c r="G1113" s="20">
        <f t="shared" si="55"/>
        <v>1.0748021646447618E-2</v>
      </c>
      <c r="H1113" s="20">
        <f t="shared" si="56"/>
        <v>1.2871552122850237E-2</v>
      </c>
      <c r="I1113" s="3"/>
    </row>
    <row r="1114" spans="1:9" x14ac:dyDescent="0.3">
      <c r="A1114" s="2">
        <v>42549</v>
      </c>
      <c r="B1114" s="1">
        <v>23.397500000000001</v>
      </c>
      <c r="C1114" s="1">
        <v>707.95</v>
      </c>
      <c r="D1114" s="1">
        <v>112.7</v>
      </c>
      <c r="E1114" s="3"/>
      <c r="F1114" s="20">
        <f t="shared" si="54"/>
        <v>1.6700275001999953E-2</v>
      </c>
      <c r="G1114" s="20">
        <f t="shared" si="55"/>
        <v>2.3712652904923408E-2</v>
      </c>
      <c r="H1114" s="20">
        <f t="shared" si="56"/>
        <v>3.3656806056935898E-2</v>
      </c>
      <c r="I1114" s="3"/>
    </row>
    <row r="1115" spans="1:9" x14ac:dyDescent="0.3">
      <c r="A1115" s="2">
        <v>42548</v>
      </c>
      <c r="B1115" s="1">
        <v>23.01</v>
      </c>
      <c r="C1115" s="1">
        <v>691.36009999999999</v>
      </c>
      <c r="D1115" s="1">
        <v>108.97</v>
      </c>
      <c r="E1115" s="3"/>
      <c r="F1115" s="20">
        <f t="shared" si="54"/>
        <v>-1.4668080067631806E-2</v>
      </c>
      <c r="G1115" s="20">
        <f t="shared" si="55"/>
        <v>-1.0932699163782773E-2</v>
      </c>
      <c r="H1115" s="20">
        <f t="shared" si="56"/>
        <v>-2.8140287039956777E-2</v>
      </c>
      <c r="I1115" s="3"/>
    </row>
    <row r="1116" spans="1:9" x14ac:dyDescent="0.3">
      <c r="A1116" s="2">
        <v>42545</v>
      </c>
      <c r="B1116" s="1">
        <v>23.35</v>
      </c>
      <c r="C1116" s="1">
        <v>698.96</v>
      </c>
      <c r="D1116" s="1">
        <v>112.08</v>
      </c>
      <c r="E1116" s="3"/>
      <c r="F1116" s="20">
        <f t="shared" si="54"/>
        <v>-2.8497970741449767E-2</v>
      </c>
      <c r="G1116" s="20">
        <f t="shared" si="55"/>
        <v>-3.2542558577652356E-2</v>
      </c>
      <c r="H1116" s="20">
        <f t="shared" si="56"/>
        <v>-2.6414636654595567E-2</v>
      </c>
      <c r="I1116" s="3"/>
    </row>
    <row r="1117" spans="1:9" x14ac:dyDescent="0.3">
      <c r="A1117" s="2">
        <v>42544</v>
      </c>
      <c r="B1117" s="1">
        <v>24.024999999999999</v>
      </c>
      <c r="C1117" s="1">
        <v>722.08010000000002</v>
      </c>
      <c r="D1117" s="1">
        <v>115.08</v>
      </c>
      <c r="E1117" s="3"/>
      <c r="F1117" s="20">
        <f t="shared" si="54"/>
        <v>5.7396452899648375E-3</v>
      </c>
      <c r="G1117" s="20">
        <f t="shared" si="55"/>
        <v>1.6026250254427919E-2</v>
      </c>
      <c r="H1117" s="20">
        <f t="shared" si="56"/>
        <v>1.0218875771526598E-2</v>
      </c>
      <c r="I1117" s="3"/>
    </row>
    <row r="1118" spans="1:9" x14ac:dyDescent="0.3">
      <c r="A1118" s="2">
        <v>42543</v>
      </c>
      <c r="B1118" s="1">
        <v>23.887499999999999</v>
      </c>
      <c r="C1118" s="1">
        <v>710.6001</v>
      </c>
      <c r="D1118" s="1">
        <v>113.91</v>
      </c>
      <c r="E1118" s="3"/>
      <c r="F1118" s="20">
        <f t="shared" si="54"/>
        <v>-3.7605810535777133E-3</v>
      </c>
      <c r="G1118" s="20">
        <f t="shared" si="55"/>
        <v>-7.3190540940175726E-3</v>
      </c>
      <c r="H1118" s="20">
        <f t="shared" si="56"/>
        <v>-4.117575575349447E-3</v>
      </c>
      <c r="I1118" s="3"/>
    </row>
    <row r="1119" spans="1:9" x14ac:dyDescent="0.3">
      <c r="A1119" s="2">
        <v>42542</v>
      </c>
      <c r="B1119" s="1">
        <v>23.977499999999999</v>
      </c>
      <c r="C1119" s="1">
        <v>715.82010000000002</v>
      </c>
      <c r="D1119" s="1">
        <v>114.38</v>
      </c>
      <c r="E1119" s="3"/>
      <c r="F1119" s="20">
        <f t="shared" si="54"/>
        <v>8.4812821885151407E-3</v>
      </c>
      <c r="G1119" s="20">
        <f t="shared" si="55"/>
        <v>2.5319105633335101E-3</v>
      </c>
      <c r="H1119" s="20">
        <f t="shared" si="56"/>
        <v>8.8694324576627757E-3</v>
      </c>
      <c r="I1119" s="3"/>
    </row>
    <row r="1120" spans="1:9" x14ac:dyDescent="0.3">
      <c r="A1120" s="2">
        <v>42541</v>
      </c>
      <c r="B1120" s="1">
        <v>23.774999999999999</v>
      </c>
      <c r="C1120" s="1">
        <v>714.01</v>
      </c>
      <c r="D1120" s="1">
        <v>113.37</v>
      </c>
      <c r="E1120" s="3"/>
      <c r="F1120" s="20">
        <f t="shared" si="54"/>
        <v>-2.4155869541422023E-3</v>
      </c>
      <c r="G1120" s="20">
        <f t="shared" si="55"/>
        <v>1.0729616504457333E-2</v>
      </c>
      <c r="H1120" s="20">
        <f t="shared" si="56"/>
        <v>3.092011827810162E-3</v>
      </c>
      <c r="I1120" s="3"/>
    </row>
    <row r="1121" spans="1:9" x14ac:dyDescent="0.3">
      <c r="A1121" s="2">
        <v>42538</v>
      </c>
      <c r="B1121" s="1">
        <v>23.8325</v>
      </c>
      <c r="C1121" s="1">
        <v>706.38990000000001</v>
      </c>
      <c r="D1121" s="1">
        <v>113.02</v>
      </c>
      <c r="E1121" s="3"/>
      <c r="F1121" s="20">
        <f t="shared" si="54"/>
        <v>-2.3020510563633398E-2</v>
      </c>
      <c r="G1121" s="20">
        <f t="shared" si="55"/>
        <v>-1.5619533479592718E-2</v>
      </c>
      <c r="H1121" s="20">
        <f t="shared" si="56"/>
        <v>-1.2048868335884859E-2</v>
      </c>
      <c r="I1121" s="3"/>
    </row>
    <row r="1122" spans="1:9" x14ac:dyDescent="0.3">
      <c r="A1122" s="2">
        <v>42537</v>
      </c>
      <c r="B1122" s="1">
        <v>24.387499999999999</v>
      </c>
      <c r="C1122" s="1">
        <v>717.51</v>
      </c>
      <c r="D1122" s="1">
        <v>114.39</v>
      </c>
      <c r="E1122" s="3"/>
      <c r="F1122" s="20">
        <f t="shared" si="54"/>
        <v>4.2118301515214254E-3</v>
      </c>
      <c r="G1122" s="20">
        <f t="shared" si="55"/>
        <v>4.5398431059746648E-3</v>
      </c>
      <c r="H1122" s="20">
        <f t="shared" si="56"/>
        <v>-1.8341417430570964E-3</v>
      </c>
      <c r="I1122" s="3"/>
    </row>
    <row r="1123" spans="1:9" x14ac:dyDescent="0.3">
      <c r="A1123" s="2">
        <v>42536</v>
      </c>
      <c r="B1123" s="1">
        <v>24.285</v>
      </c>
      <c r="C1123" s="1">
        <v>714.26</v>
      </c>
      <c r="D1123" s="1">
        <v>114.6</v>
      </c>
      <c r="E1123" s="3"/>
      <c r="F1123" s="20">
        <f t="shared" si="54"/>
        <v>-3.2888004977613215E-3</v>
      </c>
      <c r="G1123" s="20">
        <f t="shared" si="55"/>
        <v>-7.0314751604019319E-3</v>
      </c>
      <c r="H1123" s="20">
        <f t="shared" si="56"/>
        <v>-2.962448798956257E-3</v>
      </c>
      <c r="I1123" s="3"/>
    </row>
    <row r="1124" spans="1:9" x14ac:dyDescent="0.3">
      <c r="A1124" s="2">
        <v>42535</v>
      </c>
      <c r="B1124" s="1">
        <v>24.364999999999998</v>
      </c>
      <c r="C1124" s="1">
        <v>719.3</v>
      </c>
      <c r="D1124" s="1">
        <v>114.94</v>
      </c>
      <c r="E1124" s="3"/>
      <c r="F1124" s="20">
        <f t="shared" si="54"/>
        <v>1.2320330100518142E-3</v>
      </c>
      <c r="G1124" s="20">
        <f t="shared" si="55"/>
        <v>5.6603661663082597E-3</v>
      </c>
      <c r="H1124" s="20">
        <f t="shared" si="56"/>
        <v>8.6504973879021306E-3</v>
      </c>
      <c r="I1124" s="3"/>
    </row>
    <row r="1125" spans="1:9" x14ac:dyDescent="0.3">
      <c r="A1125" s="2">
        <v>42534</v>
      </c>
      <c r="B1125" s="1">
        <v>24.335000000000001</v>
      </c>
      <c r="C1125" s="1">
        <v>715.24</v>
      </c>
      <c r="D1125" s="1">
        <v>113.95</v>
      </c>
      <c r="E1125" s="3"/>
      <c r="F1125" s="20">
        <f t="shared" si="54"/>
        <v>-1.5191197982784177E-2</v>
      </c>
      <c r="G1125" s="20">
        <f t="shared" si="55"/>
        <v>-3.7259230018301857E-3</v>
      </c>
      <c r="H1125" s="20">
        <f t="shared" si="56"/>
        <v>-2.316103010231672E-2</v>
      </c>
      <c r="I1125" s="3"/>
    </row>
    <row r="1126" spans="1:9" x14ac:dyDescent="0.3">
      <c r="A1126" s="2">
        <v>42531</v>
      </c>
      <c r="B1126" s="1">
        <v>24.7075</v>
      </c>
      <c r="C1126" s="1">
        <v>717.90989999999999</v>
      </c>
      <c r="D1126" s="1">
        <v>116.62</v>
      </c>
      <c r="E1126" s="3"/>
      <c r="F1126" s="20">
        <f t="shared" si="54"/>
        <v>-8.2628442707112226E-3</v>
      </c>
      <c r="G1126" s="20">
        <f t="shared" si="55"/>
        <v>-1.3475952221784507E-2</v>
      </c>
      <c r="H1126" s="20">
        <f t="shared" si="56"/>
        <v>-1.649837575376685E-2</v>
      </c>
      <c r="I1126" s="3"/>
    </row>
    <row r="1127" spans="1:9" x14ac:dyDescent="0.3">
      <c r="A1127" s="2">
        <v>42530</v>
      </c>
      <c r="B1127" s="1">
        <v>24.912500000000001</v>
      </c>
      <c r="C1127" s="1">
        <v>727.6499</v>
      </c>
      <c r="D1127" s="1">
        <v>118.56</v>
      </c>
      <c r="E1127" s="3"/>
      <c r="F1127" s="20">
        <f t="shared" si="54"/>
        <v>7.1504408592411653E-3</v>
      </c>
      <c r="G1127" s="20">
        <f t="shared" si="55"/>
        <v>1.3889943563974135E-3</v>
      </c>
      <c r="H1127" s="20">
        <f t="shared" si="56"/>
        <v>1.4349021242318772E-3</v>
      </c>
      <c r="I1127" s="3"/>
    </row>
    <row r="1128" spans="1:9" x14ac:dyDescent="0.3">
      <c r="A1128" s="2">
        <v>42529</v>
      </c>
      <c r="B1128" s="1">
        <v>24.734999999999999</v>
      </c>
      <c r="C1128" s="1">
        <v>726.63990000000001</v>
      </c>
      <c r="D1128" s="1">
        <v>118.39</v>
      </c>
      <c r="E1128" s="3"/>
      <c r="F1128" s="20">
        <f t="shared" si="54"/>
        <v>-9.0922873364883351E-4</v>
      </c>
      <c r="G1128" s="20">
        <f t="shared" si="55"/>
        <v>3.998819708203186E-3</v>
      </c>
      <c r="H1128" s="20">
        <f t="shared" si="56"/>
        <v>5.3356044429787829E-3</v>
      </c>
      <c r="I1128" s="3"/>
    </row>
    <row r="1129" spans="1:9" x14ac:dyDescent="0.3">
      <c r="A1129" s="2">
        <v>42528</v>
      </c>
      <c r="B1129" s="1">
        <v>24.7575</v>
      </c>
      <c r="C1129" s="1">
        <v>723.74</v>
      </c>
      <c r="D1129" s="1">
        <v>117.76</v>
      </c>
      <c r="E1129" s="3"/>
      <c r="F1129" s="20">
        <f t="shared" si="54"/>
        <v>4.047359567309298E-3</v>
      </c>
      <c r="G1129" s="20">
        <f t="shared" si="55"/>
        <v>-4.1228074144510672E-3</v>
      </c>
      <c r="H1129" s="20">
        <f t="shared" si="56"/>
        <v>-8.708573320882193E-3</v>
      </c>
      <c r="I1129" s="3"/>
    </row>
    <row r="1130" spans="1:9" x14ac:dyDescent="0.3">
      <c r="A1130" s="2">
        <v>42527</v>
      </c>
      <c r="B1130" s="1">
        <v>24.657499999999999</v>
      </c>
      <c r="C1130" s="1">
        <v>726.73</v>
      </c>
      <c r="D1130" s="1">
        <v>118.79</v>
      </c>
      <c r="E1130" s="3"/>
      <c r="F1130" s="20">
        <f t="shared" si="54"/>
        <v>7.2246562018861218E-3</v>
      </c>
      <c r="G1130" s="20">
        <f t="shared" si="55"/>
        <v>1.638814085993853E-3</v>
      </c>
      <c r="H1130" s="20">
        <f t="shared" si="56"/>
        <v>2.6974643347805788E-3</v>
      </c>
      <c r="I1130" s="3"/>
    </row>
    <row r="1131" spans="1:9" x14ac:dyDescent="0.3">
      <c r="A1131" s="2">
        <v>42524</v>
      </c>
      <c r="B1131" s="1">
        <v>24.48</v>
      </c>
      <c r="C1131" s="1">
        <v>725.54</v>
      </c>
      <c r="D1131" s="1">
        <v>118.47</v>
      </c>
      <c r="E1131" s="3"/>
      <c r="F1131" s="20">
        <f t="shared" si="54"/>
        <v>2.0445723744762284E-3</v>
      </c>
      <c r="G1131" s="20">
        <f t="shared" si="55"/>
        <v>-3.7144590025596316E-3</v>
      </c>
      <c r="H1131" s="20">
        <f t="shared" si="56"/>
        <v>-3.8753207724862692E-3</v>
      </c>
      <c r="I1131" s="3"/>
    </row>
    <row r="1132" spans="1:9" x14ac:dyDescent="0.3">
      <c r="A1132" s="2">
        <v>42523</v>
      </c>
      <c r="B1132" s="1">
        <v>24.43</v>
      </c>
      <c r="C1132" s="1">
        <v>728.24</v>
      </c>
      <c r="D1132" s="1">
        <v>118.93</v>
      </c>
      <c r="E1132" s="3"/>
      <c r="F1132" s="20">
        <f t="shared" si="54"/>
        <v>-7.544127940514813E-3</v>
      </c>
      <c r="G1132" s="20">
        <f t="shared" si="55"/>
        <v>1.2157671587780696E-2</v>
      </c>
      <c r="H1132" s="20">
        <f t="shared" si="56"/>
        <v>1.2620421514398389E-3</v>
      </c>
      <c r="I1132" s="3"/>
    </row>
    <row r="1133" spans="1:9" x14ac:dyDescent="0.3">
      <c r="A1133" s="2">
        <v>42522</v>
      </c>
      <c r="B1133" s="1">
        <v>24.614999999999998</v>
      </c>
      <c r="C1133" s="1">
        <v>719.43989999999997</v>
      </c>
      <c r="D1133" s="1">
        <v>118.78</v>
      </c>
      <c r="E1133" s="3"/>
      <c r="F1133" s="20">
        <f t="shared" si="54"/>
        <v>-1.4118830742408803E-2</v>
      </c>
      <c r="G1133" s="20">
        <f t="shared" si="55"/>
        <v>-4.6457309273375078E-3</v>
      </c>
      <c r="H1133" s="20">
        <f t="shared" si="56"/>
        <v>-2.5253588248185627E-4</v>
      </c>
      <c r="I1133" s="3"/>
    </row>
    <row r="1134" spans="1:9" x14ac:dyDescent="0.3">
      <c r="A1134" s="2">
        <v>42521</v>
      </c>
      <c r="B1134" s="1">
        <v>24.965</v>
      </c>
      <c r="C1134" s="1">
        <v>722.79</v>
      </c>
      <c r="D1134" s="1">
        <v>118.81</v>
      </c>
      <c r="E1134" s="3"/>
      <c r="F1134" s="20">
        <f t="shared" si="54"/>
        <v>-4.8948701698838908E-3</v>
      </c>
      <c r="G1134" s="20">
        <f t="shared" si="55"/>
        <v>1.4703790271174312E-2</v>
      </c>
      <c r="H1134" s="20">
        <f t="shared" si="56"/>
        <v>-4.7861042703077434E-3</v>
      </c>
      <c r="I1134" s="3"/>
    </row>
    <row r="1135" spans="1:9" x14ac:dyDescent="0.3">
      <c r="A1135" s="2">
        <v>42520</v>
      </c>
      <c r="B1135" s="1">
        <v>25.087499999999999</v>
      </c>
      <c r="C1135" s="1">
        <v>712.24</v>
      </c>
      <c r="D1135" s="1">
        <v>119.38</v>
      </c>
      <c r="E1135" s="3"/>
      <c r="F1135" s="20">
        <f t="shared" si="54"/>
        <v>0</v>
      </c>
      <c r="G1135" s="20">
        <f t="shared" si="55"/>
        <v>0</v>
      </c>
      <c r="H1135" s="20">
        <f t="shared" si="56"/>
        <v>0</v>
      </c>
      <c r="I1135" s="3"/>
    </row>
    <row r="1136" spans="1:9" x14ac:dyDescent="0.3">
      <c r="A1136" s="2">
        <v>42517</v>
      </c>
      <c r="B1136" s="1">
        <v>25.087499999999999</v>
      </c>
      <c r="C1136" s="1">
        <v>712.24</v>
      </c>
      <c r="D1136" s="1">
        <v>119.38</v>
      </c>
      <c r="E1136" s="3"/>
      <c r="F1136" s="20">
        <f t="shared" si="54"/>
        <v>-5.977286489978514E-4</v>
      </c>
      <c r="G1136" s="20">
        <f t="shared" si="55"/>
        <v>-3.7415875021484541E-3</v>
      </c>
      <c r="H1136" s="20">
        <f t="shared" si="56"/>
        <v>-7.5361108862865873E-4</v>
      </c>
      <c r="I1136" s="3"/>
    </row>
    <row r="1137" spans="1:9" x14ac:dyDescent="0.3">
      <c r="A1137" s="2">
        <v>42516</v>
      </c>
      <c r="B1137" s="1">
        <v>25.102499999999999</v>
      </c>
      <c r="C1137" s="1">
        <v>714.90989999999999</v>
      </c>
      <c r="D1137" s="1">
        <v>119.47</v>
      </c>
      <c r="E1137" s="3"/>
      <c r="F1137" s="20">
        <f t="shared" si="54"/>
        <v>7.8988562462074825E-3</v>
      </c>
      <c r="G1137" s="20">
        <f t="shared" si="55"/>
        <v>9.2180577690655022E-3</v>
      </c>
      <c r="H1137" s="20">
        <f t="shared" si="56"/>
        <v>1.3313307525096315E-2</v>
      </c>
      <c r="I1137" s="3"/>
    </row>
    <row r="1138" spans="1:9" x14ac:dyDescent="0.3">
      <c r="A1138" s="2">
        <v>42515</v>
      </c>
      <c r="B1138" s="1">
        <v>24.905000000000001</v>
      </c>
      <c r="C1138" s="1">
        <v>708.3501</v>
      </c>
      <c r="D1138" s="1">
        <v>117.89</v>
      </c>
      <c r="E1138" s="3"/>
      <c r="F1138" s="20">
        <f t="shared" si="54"/>
        <v>1.7416398108672661E-2</v>
      </c>
      <c r="G1138" s="20">
        <f t="shared" si="55"/>
        <v>5.8760562775466941E-3</v>
      </c>
      <c r="H1138" s="20">
        <f t="shared" si="56"/>
        <v>1.6129720378051293E-3</v>
      </c>
      <c r="I1138" s="3"/>
    </row>
    <row r="1139" spans="1:9" x14ac:dyDescent="0.3">
      <c r="A1139" s="2">
        <v>42514</v>
      </c>
      <c r="B1139" s="1">
        <v>24.475000000000001</v>
      </c>
      <c r="C1139" s="1">
        <v>704.2</v>
      </c>
      <c r="D1139" s="1">
        <v>117.7</v>
      </c>
      <c r="E1139" s="3"/>
      <c r="F1139" s="20">
        <f t="shared" si="54"/>
        <v>1.5129193014171627E-2</v>
      </c>
      <c r="G1139" s="20">
        <f t="shared" si="55"/>
        <v>1.0635740358894665E-2</v>
      </c>
      <c r="H1139" s="20">
        <f t="shared" si="56"/>
        <v>1.4807477297619259E-2</v>
      </c>
      <c r="I1139" s="3"/>
    </row>
    <row r="1140" spans="1:9" x14ac:dyDescent="0.3">
      <c r="A1140" s="2">
        <v>42513</v>
      </c>
      <c r="B1140" s="1">
        <v>24.107500000000002</v>
      </c>
      <c r="C1140" s="1">
        <v>696.75</v>
      </c>
      <c r="D1140" s="1">
        <v>115.97</v>
      </c>
      <c r="E1140" s="3"/>
      <c r="F1140" s="20">
        <f t="shared" si="54"/>
        <v>1.2627352755920473E-2</v>
      </c>
      <c r="G1140" s="20">
        <f t="shared" si="55"/>
        <v>-8.6456899508845133E-3</v>
      </c>
      <c r="H1140" s="20">
        <f t="shared" si="56"/>
        <v>-1.1829385328420575E-2</v>
      </c>
      <c r="I1140" s="3"/>
    </row>
    <row r="1141" spans="1:9" x14ac:dyDescent="0.3">
      <c r="A1141" s="2">
        <v>42510</v>
      </c>
      <c r="B1141" s="1">
        <v>23.805</v>
      </c>
      <c r="C1141" s="1">
        <v>702.8</v>
      </c>
      <c r="D1141" s="1">
        <v>117.35</v>
      </c>
      <c r="E1141" s="3"/>
      <c r="F1141" s="20">
        <f t="shared" si="54"/>
        <v>1.0769822184055219E-2</v>
      </c>
      <c r="G1141" s="20">
        <f t="shared" si="55"/>
        <v>6.1085452412977101E-3</v>
      </c>
      <c r="H1141" s="20">
        <f t="shared" si="56"/>
        <v>4.6122391294276003E-3</v>
      </c>
      <c r="I1141" s="3"/>
    </row>
    <row r="1142" spans="1:9" x14ac:dyDescent="0.3">
      <c r="A1142" s="2">
        <v>42509</v>
      </c>
      <c r="B1142" s="1">
        <v>23.55</v>
      </c>
      <c r="C1142" s="1">
        <v>698.52</v>
      </c>
      <c r="D1142" s="1">
        <v>116.81</v>
      </c>
      <c r="E1142" s="3"/>
      <c r="F1142" s="20">
        <f t="shared" si="54"/>
        <v>-3.8143720754706774E-3</v>
      </c>
      <c r="G1142" s="20">
        <f t="shared" si="55"/>
        <v>1.53298453340018E-3</v>
      </c>
      <c r="H1142" s="20">
        <f t="shared" si="56"/>
        <v>-7.1654320057667944E-3</v>
      </c>
      <c r="I1142" s="3"/>
    </row>
    <row r="1143" spans="1:9" x14ac:dyDescent="0.3">
      <c r="A1143" s="2">
        <v>42508</v>
      </c>
      <c r="B1143" s="1">
        <v>23.64</v>
      </c>
      <c r="C1143" s="1">
        <v>697.45</v>
      </c>
      <c r="D1143" s="1">
        <v>117.65</v>
      </c>
      <c r="E1143" s="3"/>
      <c r="F1143" s="20">
        <f t="shared" si="54"/>
        <v>1.1380074954563803E-2</v>
      </c>
      <c r="G1143" s="20">
        <f t="shared" si="55"/>
        <v>3.1305672072132998E-3</v>
      </c>
      <c r="H1143" s="20">
        <f t="shared" si="56"/>
        <v>2.5531928763391758E-3</v>
      </c>
      <c r="I1143" s="3"/>
    </row>
    <row r="1144" spans="1:9" x14ac:dyDescent="0.3">
      <c r="A1144" s="2">
        <v>42507</v>
      </c>
      <c r="B1144" s="1">
        <v>23.372499999999999</v>
      </c>
      <c r="C1144" s="1">
        <v>695.27</v>
      </c>
      <c r="D1144" s="1">
        <v>117.35</v>
      </c>
      <c r="E1144" s="3"/>
      <c r="F1144" s="20">
        <f t="shared" si="54"/>
        <v>-4.1628922795984343E-3</v>
      </c>
      <c r="G1144" s="20">
        <f t="shared" si="55"/>
        <v>-2.1893715665278996E-2</v>
      </c>
      <c r="H1144" s="20">
        <f t="shared" si="56"/>
        <v>-1.11856093800153E-2</v>
      </c>
      <c r="I1144" s="3"/>
    </row>
    <row r="1145" spans="1:9" x14ac:dyDescent="0.3">
      <c r="A1145" s="2">
        <v>42506</v>
      </c>
      <c r="B1145" s="1">
        <v>23.47</v>
      </c>
      <c r="C1145" s="1">
        <v>710.65989999999999</v>
      </c>
      <c r="D1145" s="1">
        <v>118.67</v>
      </c>
      <c r="E1145" s="3"/>
      <c r="F1145" s="20">
        <f t="shared" si="54"/>
        <v>3.644655021748619E-2</v>
      </c>
      <c r="G1145" s="20">
        <f t="shared" si="55"/>
        <v>1.0418282266625647E-3</v>
      </c>
      <c r="H1145" s="20">
        <f t="shared" si="56"/>
        <v>-9.5606229747599268E-3</v>
      </c>
      <c r="I1145" s="3"/>
    </row>
    <row r="1146" spans="1:9" x14ac:dyDescent="0.3">
      <c r="A1146" s="2">
        <v>42503</v>
      </c>
      <c r="B1146" s="1">
        <v>22.63</v>
      </c>
      <c r="C1146" s="1">
        <v>709.91989999999998</v>
      </c>
      <c r="D1146" s="1">
        <v>119.81</v>
      </c>
      <c r="E1146" s="3"/>
      <c r="F1146" s="20">
        <f t="shared" si="54"/>
        <v>1.9904905388783605E-3</v>
      </c>
      <c r="G1146" s="20">
        <f t="shared" si="55"/>
        <v>-1.121978520025471E-2</v>
      </c>
      <c r="H1146" s="20">
        <f t="shared" si="56"/>
        <v>-3.9152034685205946E-3</v>
      </c>
      <c r="I1146" s="3"/>
    </row>
    <row r="1147" spans="1:9" x14ac:dyDescent="0.3">
      <c r="A1147" s="2">
        <v>42502</v>
      </c>
      <c r="B1147" s="1">
        <v>22.585000000000001</v>
      </c>
      <c r="C1147" s="1">
        <v>717.92989999999998</v>
      </c>
      <c r="D1147" s="1">
        <v>120.28</v>
      </c>
      <c r="E1147" s="3"/>
      <c r="F1147" s="20">
        <f t="shared" si="54"/>
        <v>-2.3736416556769113E-2</v>
      </c>
      <c r="G1147" s="20">
        <f t="shared" si="55"/>
        <v>6.5679829283948393E-3</v>
      </c>
      <c r="H1147" s="20">
        <f t="shared" si="56"/>
        <v>6.3386367358212216E-3</v>
      </c>
      <c r="I1147" s="3"/>
    </row>
    <row r="1148" spans="1:9" x14ac:dyDescent="0.3">
      <c r="A1148" s="2">
        <v>42501</v>
      </c>
      <c r="B1148" s="1">
        <v>23.127500000000001</v>
      </c>
      <c r="C1148" s="1">
        <v>713.23</v>
      </c>
      <c r="D1148" s="1">
        <v>119.52</v>
      </c>
      <c r="E1148" s="3"/>
      <c r="F1148" s="20">
        <f t="shared" si="54"/>
        <v>-9.7887082907347212E-3</v>
      </c>
      <c r="G1148" s="20">
        <f t="shared" si="55"/>
        <v>1.4347346697124166E-2</v>
      </c>
      <c r="H1148" s="20">
        <f t="shared" si="56"/>
        <v>-8.1660315462025266E-3</v>
      </c>
      <c r="I1148" s="3"/>
    </row>
    <row r="1149" spans="1:9" x14ac:dyDescent="0.3">
      <c r="A1149" s="2">
        <v>42500</v>
      </c>
      <c r="B1149" s="1">
        <v>23.355</v>
      </c>
      <c r="C1149" s="1">
        <v>703.07010000000002</v>
      </c>
      <c r="D1149" s="1">
        <v>120.5</v>
      </c>
      <c r="E1149" s="3"/>
      <c r="F1149" s="20">
        <f t="shared" si="54"/>
        <v>6.7665797088739005E-3</v>
      </c>
      <c r="G1149" s="20">
        <f t="shared" si="55"/>
        <v>3.3731518831802997E-2</v>
      </c>
      <c r="H1149" s="20">
        <f t="shared" si="56"/>
        <v>1.0511484120839139E-2</v>
      </c>
      <c r="I1149" s="3"/>
    </row>
    <row r="1150" spans="1:9" x14ac:dyDescent="0.3">
      <c r="A1150" s="2">
        <v>42499</v>
      </c>
      <c r="B1150" s="1">
        <v>23.197500000000002</v>
      </c>
      <c r="C1150" s="1">
        <v>679.75</v>
      </c>
      <c r="D1150" s="1">
        <v>119.24</v>
      </c>
      <c r="E1150" s="3"/>
      <c r="F1150" s="20">
        <f t="shared" si="54"/>
        <v>7.5467633359174344E-4</v>
      </c>
      <c r="G1150" s="20">
        <f t="shared" si="55"/>
        <v>8.5691593283012697E-3</v>
      </c>
      <c r="H1150" s="20">
        <f t="shared" si="56"/>
        <v>-2.0944170517918554E-3</v>
      </c>
      <c r="I1150" s="3"/>
    </row>
    <row r="1151" spans="1:9" x14ac:dyDescent="0.3">
      <c r="A1151" s="2">
        <v>42496</v>
      </c>
      <c r="B1151" s="1">
        <v>23.18</v>
      </c>
      <c r="C1151" s="1">
        <v>673.95</v>
      </c>
      <c r="D1151" s="1">
        <v>119.49</v>
      </c>
      <c r="E1151" s="3"/>
      <c r="F1151" s="20">
        <f t="shared" si="54"/>
        <v>-5.592615136060115E-3</v>
      </c>
      <c r="G1151" s="20">
        <f t="shared" si="55"/>
        <v>2.2295676720889179E-2</v>
      </c>
      <c r="H1151" s="20">
        <f t="shared" si="56"/>
        <v>1.4159528603634515E-2</v>
      </c>
      <c r="I1151" s="3"/>
    </row>
    <row r="1152" spans="1:9" x14ac:dyDescent="0.3">
      <c r="A1152" s="2">
        <v>42495</v>
      </c>
      <c r="B1152" s="1">
        <v>23.31</v>
      </c>
      <c r="C1152" s="1">
        <v>659.09010000000001</v>
      </c>
      <c r="D1152" s="1">
        <v>117.81</v>
      </c>
      <c r="E1152" s="3"/>
      <c r="F1152" s="20">
        <f t="shared" si="54"/>
        <v>-1.0137204667169365E-2</v>
      </c>
      <c r="G1152" s="20">
        <f t="shared" si="55"/>
        <v>-1.7759698051931453E-2</v>
      </c>
      <c r="H1152" s="20">
        <f t="shared" si="56"/>
        <v>-2.1198125545153186E-3</v>
      </c>
      <c r="I1152" s="3"/>
    </row>
    <row r="1153" spans="1:9" x14ac:dyDescent="0.3">
      <c r="A1153" s="2">
        <v>42494</v>
      </c>
      <c r="B1153" s="1">
        <v>23.547499999999999</v>
      </c>
      <c r="C1153" s="1">
        <v>670.8999</v>
      </c>
      <c r="D1153" s="1">
        <v>118.06</v>
      </c>
      <c r="E1153" s="3"/>
      <c r="F1153" s="20">
        <f t="shared" si="54"/>
        <v>-1.045581685823873E-2</v>
      </c>
      <c r="G1153" s="20">
        <f t="shared" si="55"/>
        <v>-6.2612688490373825E-4</v>
      </c>
      <c r="H1153" s="20">
        <f t="shared" si="56"/>
        <v>5.3505584355534258E-3</v>
      </c>
      <c r="I1153" s="3"/>
    </row>
    <row r="1154" spans="1:9" x14ac:dyDescent="0.3">
      <c r="A1154" s="2">
        <v>42493</v>
      </c>
      <c r="B1154" s="1">
        <v>23.795000000000002</v>
      </c>
      <c r="C1154" s="1">
        <v>671.32010000000002</v>
      </c>
      <c r="D1154" s="1">
        <v>117.43</v>
      </c>
      <c r="E1154" s="3"/>
      <c r="F1154" s="20">
        <f t="shared" si="54"/>
        <v>1.6312193070254537E-2</v>
      </c>
      <c r="G1154" s="20">
        <f t="shared" si="55"/>
        <v>-1.8492669158223143E-2</v>
      </c>
      <c r="H1154" s="20">
        <f t="shared" si="56"/>
        <v>-9.6610920929892964E-3</v>
      </c>
      <c r="I1154" s="3"/>
    </row>
    <row r="1155" spans="1:9" x14ac:dyDescent="0.3">
      <c r="A1155" s="2">
        <v>42492</v>
      </c>
      <c r="B1155" s="1">
        <v>23.41</v>
      </c>
      <c r="C1155" s="1">
        <v>683.8501</v>
      </c>
      <c r="D1155" s="1">
        <v>118.57</v>
      </c>
      <c r="E1155" s="3"/>
      <c r="F1155" s="20">
        <f t="shared" si="54"/>
        <v>-1.0673498718499414E-3</v>
      </c>
      <c r="G1155" s="20">
        <f t="shared" si="55"/>
        <v>3.6120160082063812E-2</v>
      </c>
      <c r="H1155" s="20">
        <f t="shared" si="56"/>
        <v>8.3845504958702712E-3</v>
      </c>
      <c r="I1155" s="3"/>
    </row>
    <row r="1156" spans="1:9" x14ac:dyDescent="0.3">
      <c r="A1156" s="2">
        <v>42489</v>
      </c>
      <c r="B1156" s="1">
        <v>23.434999999999999</v>
      </c>
      <c r="C1156" s="1">
        <v>659.59010000000001</v>
      </c>
      <c r="D1156" s="1">
        <v>117.58</v>
      </c>
      <c r="E1156" s="3"/>
      <c r="F1156" s="20">
        <f t="shared" si="54"/>
        <v>-1.1560822401075971E-2</v>
      </c>
      <c r="G1156" s="20">
        <f t="shared" si="55"/>
        <v>9.1361136167563195E-2</v>
      </c>
      <c r="H1156" s="20">
        <f t="shared" si="56"/>
        <v>7.2553773095369607E-3</v>
      </c>
      <c r="I1156" s="3"/>
    </row>
    <row r="1157" spans="1:9" x14ac:dyDescent="0.3">
      <c r="A1157" s="2">
        <v>42488</v>
      </c>
      <c r="B1157" s="1">
        <v>23.7075</v>
      </c>
      <c r="C1157" s="1">
        <v>602</v>
      </c>
      <c r="D1157" s="1">
        <v>116.73</v>
      </c>
      <c r="E1157" s="3"/>
      <c r="F1157" s="20">
        <f t="shared" si="54"/>
        <v>-3.1043240215575026E-2</v>
      </c>
      <c r="G1157" s="20">
        <f t="shared" si="55"/>
        <v>-7.5628575999185481E-3</v>
      </c>
      <c r="H1157" s="20">
        <f t="shared" si="56"/>
        <v>6.9525377306602285E-2</v>
      </c>
      <c r="I1157" s="3"/>
    </row>
    <row r="1158" spans="1:9" x14ac:dyDescent="0.3">
      <c r="A1158" s="2">
        <v>42487</v>
      </c>
      <c r="B1158" s="1">
        <v>24.454999999999998</v>
      </c>
      <c r="C1158" s="1">
        <v>606.57010000000002</v>
      </c>
      <c r="D1158" s="1">
        <v>108.89</v>
      </c>
      <c r="E1158" s="3"/>
      <c r="F1158" s="20">
        <f t="shared" ref="F1158:F1221" si="57">LN(B1158/B1159)</f>
        <v>-6.4621578411998601E-2</v>
      </c>
      <c r="G1158" s="20">
        <f t="shared" ref="G1158:G1221" si="58">LN(C1158/C1159)</f>
        <v>-1.6854050509870318E-2</v>
      </c>
      <c r="H1158" s="20">
        <f t="shared" ref="H1158:H1221" si="59">LN(D1158/D1159)</f>
        <v>1.1945785936996374E-3</v>
      </c>
      <c r="I1158" s="3"/>
    </row>
    <row r="1159" spans="1:9" x14ac:dyDescent="0.3">
      <c r="A1159" s="2">
        <v>42486</v>
      </c>
      <c r="B1159" s="1">
        <v>26.087499999999999</v>
      </c>
      <c r="C1159" s="1">
        <v>616.87990000000002</v>
      </c>
      <c r="D1159" s="1">
        <v>108.76</v>
      </c>
      <c r="E1159" s="3"/>
      <c r="F1159" s="20">
        <f t="shared" si="57"/>
        <v>-6.9713312941294065E-3</v>
      </c>
      <c r="G1159" s="20">
        <f t="shared" si="58"/>
        <v>-1.4995455473695563E-2</v>
      </c>
      <c r="H1159" s="20">
        <f t="shared" si="59"/>
        <v>-1.2245423964364273E-2</v>
      </c>
      <c r="I1159" s="3"/>
    </row>
    <row r="1160" spans="1:9" x14ac:dyDescent="0.3">
      <c r="A1160" s="2">
        <v>42485</v>
      </c>
      <c r="B1160" s="1">
        <v>26.27</v>
      </c>
      <c r="C1160" s="1">
        <v>626.20000000000005</v>
      </c>
      <c r="D1160" s="1">
        <v>110.1</v>
      </c>
      <c r="E1160" s="3"/>
      <c r="F1160" s="20">
        <f t="shared" si="57"/>
        <v>-5.6936953967308144E-3</v>
      </c>
      <c r="G1160" s="20">
        <f t="shared" si="58"/>
        <v>9.1442042476435458E-3</v>
      </c>
      <c r="H1160" s="20">
        <f t="shared" si="59"/>
        <v>-4.1693162907255592E-3</v>
      </c>
      <c r="I1160" s="3"/>
    </row>
    <row r="1161" spans="1:9" x14ac:dyDescent="0.3">
      <c r="A1161" s="2">
        <v>42482</v>
      </c>
      <c r="B1161" s="1">
        <v>26.42</v>
      </c>
      <c r="C1161" s="1">
        <v>620.5</v>
      </c>
      <c r="D1161" s="1">
        <v>110.56</v>
      </c>
      <c r="E1161" s="3"/>
      <c r="F1161" s="20">
        <f t="shared" si="57"/>
        <v>-2.7403749726747071E-3</v>
      </c>
      <c r="G1161" s="20">
        <f t="shared" si="58"/>
        <v>-1.6780257896551229E-2</v>
      </c>
      <c r="H1161" s="20">
        <f t="shared" si="59"/>
        <v>-2.5715702764457563E-2</v>
      </c>
      <c r="I1161" s="3"/>
    </row>
    <row r="1162" spans="1:9" x14ac:dyDescent="0.3">
      <c r="A1162" s="2">
        <v>42481</v>
      </c>
      <c r="B1162" s="1">
        <v>26.4925</v>
      </c>
      <c r="C1162" s="1">
        <v>631</v>
      </c>
      <c r="D1162" s="1">
        <v>113.44</v>
      </c>
      <c r="E1162" s="3"/>
      <c r="F1162" s="20">
        <f t="shared" si="57"/>
        <v>-1.0887015087722151E-2</v>
      </c>
      <c r="G1162" s="20">
        <f t="shared" si="58"/>
        <v>-3.1487616898670384E-3</v>
      </c>
      <c r="H1162" s="20">
        <f t="shared" si="59"/>
        <v>9.0322052098884536E-3</v>
      </c>
      <c r="I1162" s="3"/>
    </row>
    <row r="1163" spans="1:9" x14ac:dyDescent="0.3">
      <c r="A1163" s="2">
        <v>42480</v>
      </c>
      <c r="B1163" s="1">
        <v>26.782499999999999</v>
      </c>
      <c r="C1163" s="1">
        <v>632.99</v>
      </c>
      <c r="D1163" s="1">
        <v>112.42</v>
      </c>
      <c r="E1163" s="3"/>
      <c r="F1163" s="20">
        <f t="shared" si="57"/>
        <v>2.0556912490581592E-3</v>
      </c>
      <c r="G1163" s="20">
        <f t="shared" si="58"/>
        <v>8.0738653720579482E-3</v>
      </c>
      <c r="H1163" s="20">
        <f t="shared" si="59"/>
        <v>1.1570469894816894E-3</v>
      </c>
      <c r="I1163" s="3"/>
    </row>
    <row r="1164" spans="1:9" x14ac:dyDescent="0.3">
      <c r="A1164" s="2">
        <v>42479</v>
      </c>
      <c r="B1164" s="1">
        <v>26.727499999999999</v>
      </c>
      <c r="C1164" s="1">
        <v>627.8999</v>
      </c>
      <c r="D1164" s="1">
        <v>112.29</v>
      </c>
      <c r="E1164" s="3"/>
      <c r="F1164" s="20">
        <f t="shared" si="57"/>
        <v>-5.3174247218820058E-3</v>
      </c>
      <c r="G1164" s="20">
        <f t="shared" si="58"/>
        <v>-1.1795426685071348E-2</v>
      </c>
      <c r="H1164" s="20">
        <f t="shared" si="59"/>
        <v>1.6521880718321124E-2</v>
      </c>
      <c r="I1164" s="3"/>
    </row>
    <row r="1165" spans="1:9" x14ac:dyDescent="0.3">
      <c r="A1165" s="2">
        <v>42478</v>
      </c>
      <c r="B1165" s="1">
        <v>26.87</v>
      </c>
      <c r="C1165" s="1">
        <v>635.3501</v>
      </c>
      <c r="D1165" s="1">
        <v>110.45</v>
      </c>
      <c r="E1165" s="3"/>
      <c r="F1165" s="20">
        <f t="shared" si="57"/>
        <v>-2.1811015083328677E-2</v>
      </c>
      <c r="G1165" s="20">
        <f t="shared" si="58"/>
        <v>1.5001708506697837E-2</v>
      </c>
      <c r="H1165" s="20">
        <f t="shared" si="59"/>
        <v>7.3606584315412367E-3</v>
      </c>
      <c r="I1165" s="3"/>
    </row>
    <row r="1166" spans="1:9" x14ac:dyDescent="0.3">
      <c r="A1166" s="2">
        <v>42475</v>
      </c>
      <c r="B1166" s="1">
        <v>27.462499999999999</v>
      </c>
      <c r="C1166" s="1">
        <v>625.88990000000001</v>
      </c>
      <c r="D1166" s="1">
        <v>109.64</v>
      </c>
      <c r="E1166" s="3"/>
      <c r="F1166" s="20">
        <f t="shared" si="57"/>
        <v>-2.0275531247495048E-2</v>
      </c>
      <c r="G1166" s="20">
        <f t="shared" si="58"/>
        <v>8.2460526491197252E-3</v>
      </c>
      <c r="H1166" s="20">
        <f t="shared" si="59"/>
        <v>-1.0885448560192619E-2</v>
      </c>
      <c r="I1166" s="3"/>
    </row>
    <row r="1167" spans="1:9" x14ac:dyDescent="0.3">
      <c r="A1167" s="2">
        <v>42474</v>
      </c>
      <c r="B1167" s="1">
        <v>28.024999999999999</v>
      </c>
      <c r="C1167" s="1">
        <v>620.75</v>
      </c>
      <c r="D1167" s="1">
        <v>110.84</v>
      </c>
      <c r="E1167" s="3"/>
      <c r="F1167" s="20">
        <f t="shared" si="57"/>
        <v>5.3537968620642859E-4</v>
      </c>
      <c r="G1167" s="20">
        <f t="shared" si="58"/>
        <v>9.5987196993769872E-3</v>
      </c>
      <c r="H1167" s="20">
        <f t="shared" si="59"/>
        <v>2.981705394086708E-3</v>
      </c>
      <c r="I1167" s="3"/>
    </row>
    <row r="1168" spans="1:9" x14ac:dyDescent="0.3">
      <c r="A1168" s="2">
        <v>42473</v>
      </c>
      <c r="B1168" s="1">
        <v>28.01</v>
      </c>
      <c r="C1168" s="1">
        <v>614.82010000000002</v>
      </c>
      <c r="D1168" s="1">
        <v>110.51</v>
      </c>
      <c r="E1168" s="3"/>
      <c r="F1168" s="20">
        <f t="shared" si="57"/>
        <v>1.4383563329954082E-2</v>
      </c>
      <c r="G1168" s="20">
        <f t="shared" si="58"/>
        <v>1.9130789770729604E-2</v>
      </c>
      <c r="H1168" s="20">
        <f t="shared" si="59"/>
        <v>-9.044863134719084E-4</v>
      </c>
      <c r="I1168" s="3"/>
    </row>
    <row r="1169" spans="1:9" x14ac:dyDescent="0.3">
      <c r="A1169" s="2">
        <v>42472</v>
      </c>
      <c r="B1169" s="1">
        <v>27.61</v>
      </c>
      <c r="C1169" s="1">
        <v>603.16989999999998</v>
      </c>
      <c r="D1169" s="1">
        <v>110.61</v>
      </c>
      <c r="E1169" s="3"/>
      <c r="F1169" s="20">
        <f t="shared" si="57"/>
        <v>1.2941035425818974E-2</v>
      </c>
      <c r="G1169" s="20">
        <f t="shared" si="58"/>
        <v>1.207587221995887E-2</v>
      </c>
      <c r="H1169" s="20">
        <f t="shared" si="59"/>
        <v>1.4754366012942546E-2</v>
      </c>
      <c r="I1169" s="3"/>
    </row>
    <row r="1170" spans="1:9" x14ac:dyDescent="0.3">
      <c r="A1170" s="2">
        <v>42471</v>
      </c>
      <c r="B1170" s="1">
        <v>27.254999999999999</v>
      </c>
      <c r="C1170" s="1">
        <v>595.92989999999998</v>
      </c>
      <c r="D1170" s="1">
        <v>108.99</v>
      </c>
      <c r="E1170" s="3"/>
      <c r="F1170" s="20">
        <f t="shared" si="57"/>
        <v>3.307610512757814E-3</v>
      </c>
      <c r="G1170" s="20">
        <f t="shared" si="58"/>
        <v>2.2339639539381197E-3</v>
      </c>
      <c r="H1170" s="20">
        <f t="shared" si="59"/>
        <v>-1.4935165145599257E-2</v>
      </c>
      <c r="I1170" s="3"/>
    </row>
    <row r="1171" spans="1:9" x14ac:dyDescent="0.3">
      <c r="A1171" s="2">
        <v>42468</v>
      </c>
      <c r="B1171" s="1">
        <v>27.164999999999999</v>
      </c>
      <c r="C1171" s="1">
        <v>594.6001</v>
      </c>
      <c r="D1171" s="1">
        <v>110.63</v>
      </c>
      <c r="E1171" s="3"/>
      <c r="F1171" s="20">
        <f t="shared" si="57"/>
        <v>1.1049724881182432E-3</v>
      </c>
      <c r="G1171" s="20">
        <f t="shared" si="58"/>
        <v>5.3459146059372537E-3</v>
      </c>
      <c r="H1171" s="20">
        <f t="shared" si="59"/>
        <v>-2.6844256939167713E-2</v>
      </c>
      <c r="I1171" s="3"/>
    </row>
    <row r="1172" spans="1:9" x14ac:dyDescent="0.3">
      <c r="A1172" s="2">
        <v>42467</v>
      </c>
      <c r="B1172" s="1">
        <v>27.135000000000002</v>
      </c>
      <c r="C1172" s="1">
        <v>591.42989999999998</v>
      </c>
      <c r="D1172" s="1">
        <v>113.64</v>
      </c>
      <c r="E1172" s="3"/>
      <c r="F1172" s="20">
        <f t="shared" si="57"/>
        <v>-2.2051007371317311E-2</v>
      </c>
      <c r="G1172" s="20">
        <f t="shared" si="58"/>
        <v>-1.7847328797663046E-2</v>
      </c>
      <c r="H1172" s="20">
        <f t="shared" si="59"/>
        <v>-6.1579065064422498E-4</v>
      </c>
      <c r="I1172" s="3"/>
    </row>
    <row r="1173" spans="1:9" x14ac:dyDescent="0.3">
      <c r="A1173" s="2">
        <v>42466</v>
      </c>
      <c r="B1173" s="1">
        <v>27.74</v>
      </c>
      <c r="C1173" s="1">
        <v>602.08010000000002</v>
      </c>
      <c r="D1173" s="1">
        <v>113.71</v>
      </c>
      <c r="E1173" s="3"/>
      <c r="F1173" s="20">
        <f t="shared" si="57"/>
        <v>1.0418176396954113E-2</v>
      </c>
      <c r="G1173" s="20">
        <f t="shared" si="58"/>
        <v>2.6831994650811271E-2</v>
      </c>
      <c r="H1173" s="20">
        <f t="shared" si="59"/>
        <v>1.3190117313805479E-2</v>
      </c>
      <c r="I1173" s="3"/>
    </row>
    <row r="1174" spans="1:9" x14ac:dyDescent="0.3">
      <c r="A1174" s="2">
        <v>42465</v>
      </c>
      <c r="B1174" s="1">
        <v>27.452500000000001</v>
      </c>
      <c r="C1174" s="1">
        <v>586.13990000000001</v>
      </c>
      <c r="D1174" s="1">
        <v>112.22</v>
      </c>
      <c r="E1174" s="3"/>
      <c r="F1174" s="20">
        <f t="shared" si="57"/>
        <v>-1.1859098836466433E-2</v>
      </c>
      <c r="G1174" s="20">
        <f t="shared" si="58"/>
        <v>-1.195608553559644E-2</v>
      </c>
      <c r="H1174" s="20">
        <f t="shared" si="59"/>
        <v>-2.9363370299152901E-3</v>
      </c>
      <c r="I1174" s="3"/>
    </row>
    <row r="1175" spans="1:9" x14ac:dyDescent="0.3">
      <c r="A1175" s="2">
        <v>42464</v>
      </c>
      <c r="B1175" s="1">
        <v>27.78</v>
      </c>
      <c r="C1175" s="1">
        <v>593.18989999999997</v>
      </c>
      <c r="D1175" s="1">
        <v>112.55</v>
      </c>
      <c r="E1175" s="3"/>
      <c r="F1175" s="20">
        <f t="shared" si="57"/>
        <v>1.022124587706315E-2</v>
      </c>
      <c r="G1175" s="20">
        <f t="shared" si="58"/>
        <v>-8.9119411772444167E-3</v>
      </c>
      <c r="H1175" s="20">
        <f t="shared" si="59"/>
        <v>-3.0709731409721042E-2</v>
      </c>
      <c r="I1175" s="3"/>
    </row>
    <row r="1176" spans="1:9" x14ac:dyDescent="0.3">
      <c r="A1176" s="2">
        <v>42461</v>
      </c>
      <c r="B1176" s="1">
        <v>27.497499999999999</v>
      </c>
      <c r="C1176" s="1">
        <v>598.5</v>
      </c>
      <c r="D1176" s="1">
        <v>116.06</v>
      </c>
      <c r="E1176" s="3"/>
      <c r="F1176" s="20">
        <f t="shared" si="57"/>
        <v>9.1333176678050718E-3</v>
      </c>
      <c r="G1176" s="20">
        <f t="shared" si="58"/>
        <v>8.153618422685022E-3</v>
      </c>
      <c r="H1176" s="20">
        <f t="shared" si="59"/>
        <v>1.7032041894432387E-2</v>
      </c>
      <c r="I1176" s="3"/>
    </row>
    <row r="1177" spans="1:9" x14ac:dyDescent="0.3">
      <c r="A1177" s="2">
        <v>42460</v>
      </c>
      <c r="B1177" s="1">
        <v>27.247499999999999</v>
      </c>
      <c r="C1177" s="1">
        <v>593.63990000000001</v>
      </c>
      <c r="D1177" s="1">
        <v>114.1</v>
      </c>
      <c r="E1177" s="3"/>
      <c r="F1177" s="20">
        <f t="shared" si="57"/>
        <v>-5.2162094936572482E-3</v>
      </c>
      <c r="G1177" s="20">
        <f t="shared" si="58"/>
        <v>-8.4708613289151916E-3</v>
      </c>
      <c r="H1177" s="20">
        <f t="shared" si="59"/>
        <v>-5.2447672672950767E-3</v>
      </c>
      <c r="I1177" s="3"/>
    </row>
    <row r="1178" spans="1:9" x14ac:dyDescent="0.3">
      <c r="A1178" s="2">
        <v>42459</v>
      </c>
      <c r="B1178" s="1">
        <v>27.39</v>
      </c>
      <c r="C1178" s="1">
        <v>598.68989999999997</v>
      </c>
      <c r="D1178" s="1">
        <v>114.7</v>
      </c>
      <c r="E1178" s="3"/>
      <c r="F1178" s="20">
        <f t="shared" si="57"/>
        <v>1.7308478498459675E-2</v>
      </c>
      <c r="G1178" s="20">
        <f t="shared" si="58"/>
        <v>8.0999981667697098E-3</v>
      </c>
      <c r="H1178" s="20">
        <f t="shared" si="59"/>
        <v>-1.2476335808578837E-2</v>
      </c>
      <c r="I1178" s="3"/>
    </row>
    <row r="1179" spans="1:9" x14ac:dyDescent="0.3">
      <c r="A1179" s="2">
        <v>42458</v>
      </c>
      <c r="B1179" s="1">
        <v>26.92</v>
      </c>
      <c r="C1179" s="1">
        <v>593.86009999999999</v>
      </c>
      <c r="D1179" s="1">
        <v>116.14</v>
      </c>
      <c r="E1179" s="3"/>
      <c r="F1179" s="20">
        <f t="shared" si="57"/>
        <v>2.339562714523493E-2</v>
      </c>
      <c r="G1179" s="20">
        <f t="shared" si="58"/>
        <v>2.383965679828625E-2</v>
      </c>
      <c r="H1179" s="20">
        <f t="shared" si="59"/>
        <v>2.1320913802888603E-2</v>
      </c>
      <c r="I1179" s="3"/>
    </row>
    <row r="1180" spans="1:9" x14ac:dyDescent="0.3">
      <c r="A1180" s="2">
        <v>42457</v>
      </c>
      <c r="B1180" s="1">
        <v>26.297499999999999</v>
      </c>
      <c r="C1180" s="1">
        <v>579.87009999999998</v>
      </c>
      <c r="D1180" s="1">
        <v>113.69</v>
      </c>
      <c r="E1180" s="3"/>
      <c r="F1180" s="20">
        <f t="shared" si="57"/>
        <v>-4.5527917017567539E-3</v>
      </c>
      <c r="G1180" s="20">
        <f t="shared" si="58"/>
        <v>-5.2973064400987204E-3</v>
      </c>
      <c r="H1180" s="20">
        <f t="shared" si="59"/>
        <v>5.645247417036303E-3</v>
      </c>
      <c r="I1180" s="3"/>
    </row>
    <row r="1181" spans="1:9" x14ac:dyDescent="0.3">
      <c r="A1181" s="2">
        <v>42454</v>
      </c>
      <c r="B1181" s="1">
        <v>26.4175</v>
      </c>
      <c r="C1181" s="1">
        <v>582.95000000000005</v>
      </c>
      <c r="D1181" s="1">
        <v>113.05</v>
      </c>
      <c r="E1181" s="3"/>
      <c r="F1181" s="20">
        <f t="shared" si="57"/>
        <v>0</v>
      </c>
      <c r="G1181" s="20">
        <f t="shared" si="58"/>
        <v>0</v>
      </c>
      <c r="H1181" s="20">
        <f t="shared" si="59"/>
        <v>0</v>
      </c>
      <c r="I1181" s="3"/>
    </row>
    <row r="1182" spans="1:9" x14ac:dyDescent="0.3">
      <c r="A1182" s="2">
        <v>42453</v>
      </c>
      <c r="B1182" s="1">
        <v>26.4175</v>
      </c>
      <c r="C1182" s="1">
        <v>582.95000000000005</v>
      </c>
      <c r="D1182" s="1">
        <v>113.05</v>
      </c>
      <c r="E1182" s="3"/>
      <c r="F1182" s="20">
        <f t="shared" si="57"/>
        <v>-4.343727320791608E-3</v>
      </c>
      <c r="G1182" s="20">
        <f t="shared" si="58"/>
        <v>2.311456768171443E-2</v>
      </c>
      <c r="H1182" s="20">
        <f t="shared" si="59"/>
        <v>4.5214847188458371E-3</v>
      </c>
      <c r="I1182" s="3"/>
    </row>
    <row r="1183" spans="1:9" x14ac:dyDescent="0.3">
      <c r="A1183" s="2">
        <v>42452</v>
      </c>
      <c r="B1183" s="1">
        <v>26.532499999999999</v>
      </c>
      <c r="C1183" s="1">
        <v>569.62990000000002</v>
      </c>
      <c r="D1183" s="1">
        <v>112.54</v>
      </c>
      <c r="E1183" s="3"/>
      <c r="F1183" s="20">
        <f t="shared" si="57"/>
        <v>-5.5438243935825304E-3</v>
      </c>
      <c r="G1183" s="20">
        <f t="shared" si="58"/>
        <v>1.6193292248409395E-2</v>
      </c>
      <c r="H1183" s="20">
        <f t="shared" si="59"/>
        <v>2.5801873827693261E-3</v>
      </c>
      <c r="I1183" s="3"/>
    </row>
    <row r="1184" spans="1:9" x14ac:dyDescent="0.3">
      <c r="A1184" s="2">
        <v>42451</v>
      </c>
      <c r="B1184" s="1">
        <v>26.68</v>
      </c>
      <c r="C1184" s="1">
        <v>560.48</v>
      </c>
      <c r="D1184" s="1">
        <v>112.25</v>
      </c>
      <c r="E1184" s="3"/>
      <c r="F1184" s="20">
        <f t="shared" si="57"/>
        <v>7.6189053117358633E-3</v>
      </c>
      <c r="G1184" s="20">
        <f t="shared" si="58"/>
        <v>1.1664974436585202E-2</v>
      </c>
      <c r="H1184" s="20">
        <f t="shared" si="59"/>
        <v>3.5698386862250387E-3</v>
      </c>
      <c r="I1184" s="3"/>
    </row>
    <row r="1185" spans="1:9" x14ac:dyDescent="0.3">
      <c r="A1185" s="2">
        <v>42450</v>
      </c>
      <c r="B1185" s="1">
        <v>26.477499999999999</v>
      </c>
      <c r="C1185" s="1">
        <v>553.98</v>
      </c>
      <c r="D1185" s="1">
        <v>111.85</v>
      </c>
      <c r="E1185" s="3"/>
      <c r="F1185" s="20">
        <f t="shared" si="57"/>
        <v>-9.4415333120226888E-5</v>
      </c>
      <c r="G1185" s="20">
        <f t="shared" si="58"/>
        <v>3.4354405670925315E-3</v>
      </c>
      <c r="H1185" s="20">
        <f t="shared" si="59"/>
        <v>3.5826281042605902E-3</v>
      </c>
      <c r="I1185" s="3"/>
    </row>
    <row r="1186" spans="1:9" x14ac:dyDescent="0.3">
      <c r="A1186" s="2">
        <v>42447</v>
      </c>
      <c r="B1186" s="1">
        <v>26.48</v>
      </c>
      <c r="C1186" s="1">
        <v>552.08010000000002</v>
      </c>
      <c r="D1186" s="1">
        <v>111.45</v>
      </c>
      <c r="E1186" s="3"/>
      <c r="F1186" s="20">
        <f t="shared" si="57"/>
        <v>1.1335727644991723E-3</v>
      </c>
      <c r="G1186" s="20">
        <f t="shared" si="58"/>
        <v>-1.324296019991753E-2</v>
      </c>
      <c r="H1186" s="20">
        <f t="shared" si="59"/>
        <v>3.8656945698626612E-3</v>
      </c>
      <c r="I1186" s="3"/>
    </row>
    <row r="1187" spans="1:9" x14ac:dyDescent="0.3">
      <c r="A1187" s="2">
        <v>42446</v>
      </c>
      <c r="B1187" s="1">
        <v>26.45</v>
      </c>
      <c r="C1187" s="1">
        <v>559.43989999999997</v>
      </c>
      <c r="D1187" s="1">
        <v>111.02</v>
      </c>
      <c r="E1187" s="3"/>
      <c r="F1187" s="20">
        <f t="shared" si="57"/>
        <v>-1.605515762545627E-3</v>
      </c>
      <c r="G1187" s="20">
        <f t="shared" si="58"/>
        <v>-2.6163564353878413E-2</v>
      </c>
      <c r="H1187" s="20">
        <f t="shared" si="59"/>
        <v>-1.0394358818175667E-2</v>
      </c>
      <c r="I1187" s="3"/>
    </row>
    <row r="1188" spans="1:9" x14ac:dyDescent="0.3">
      <c r="A1188" s="2">
        <v>42445</v>
      </c>
      <c r="B1188" s="1">
        <v>26.4925</v>
      </c>
      <c r="C1188" s="1">
        <v>574.27</v>
      </c>
      <c r="D1188" s="1">
        <v>112.18</v>
      </c>
      <c r="E1188" s="3"/>
      <c r="F1188" s="20">
        <f t="shared" si="57"/>
        <v>1.3203706426760121E-2</v>
      </c>
      <c r="G1188" s="20">
        <f t="shared" si="58"/>
        <v>-4.777258953150316E-3</v>
      </c>
      <c r="H1188" s="20">
        <f t="shared" si="59"/>
        <v>1.3551923803497052E-2</v>
      </c>
      <c r="I1188" s="3"/>
    </row>
    <row r="1189" spans="1:9" x14ac:dyDescent="0.3">
      <c r="A1189" s="2">
        <v>42444</v>
      </c>
      <c r="B1189" s="1">
        <v>26.145</v>
      </c>
      <c r="C1189" s="1">
        <v>577.02</v>
      </c>
      <c r="D1189" s="1">
        <v>110.67</v>
      </c>
      <c r="E1189" s="3"/>
      <c r="F1189" s="20">
        <f t="shared" si="57"/>
        <v>1.9894427264114126E-2</v>
      </c>
      <c r="G1189" s="20">
        <f t="shared" si="58"/>
        <v>6.3455209621859979E-3</v>
      </c>
      <c r="H1189" s="20">
        <f t="shared" si="59"/>
        <v>7.0729348178612816E-3</v>
      </c>
      <c r="I1189" s="3"/>
    </row>
    <row r="1190" spans="1:9" x14ac:dyDescent="0.3">
      <c r="A1190" s="2">
        <v>42443</v>
      </c>
      <c r="B1190" s="1">
        <v>25.63</v>
      </c>
      <c r="C1190" s="1">
        <v>573.37009999999998</v>
      </c>
      <c r="D1190" s="1">
        <v>109.89</v>
      </c>
      <c r="E1190" s="3"/>
      <c r="F1190" s="20">
        <f t="shared" si="57"/>
        <v>2.5393118440170601E-3</v>
      </c>
      <c r="G1190" s="20">
        <f t="shared" si="58"/>
        <v>6.5793153081259211E-3</v>
      </c>
      <c r="H1190" s="20">
        <f t="shared" si="59"/>
        <v>4.3775719701341746E-3</v>
      </c>
      <c r="I1190" s="3"/>
    </row>
    <row r="1191" spans="1:9" x14ac:dyDescent="0.3">
      <c r="A1191" s="2">
        <v>42440</v>
      </c>
      <c r="B1191" s="1">
        <v>25.565000000000001</v>
      </c>
      <c r="C1191" s="1">
        <v>569.61009999999999</v>
      </c>
      <c r="D1191" s="1">
        <v>109.41</v>
      </c>
      <c r="E1191" s="3"/>
      <c r="F1191" s="20">
        <f t="shared" si="57"/>
        <v>1.0716319434054199E-2</v>
      </c>
      <c r="G1191" s="20">
        <f t="shared" si="58"/>
        <v>1.8928028895058228E-2</v>
      </c>
      <c r="H1191" s="20">
        <f t="shared" si="59"/>
        <v>1.9287267931275085E-2</v>
      </c>
      <c r="I1191" s="3"/>
    </row>
    <row r="1192" spans="1:9" x14ac:dyDescent="0.3">
      <c r="A1192" s="2">
        <v>42439</v>
      </c>
      <c r="B1192" s="1">
        <v>25.2925</v>
      </c>
      <c r="C1192" s="1">
        <v>558.92989999999998</v>
      </c>
      <c r="D1192" s="1">
        <v>107.32</v>
      </c>
      <c r="E1192" s="3"/>
      <c r="F1192" s="20">
        <f t="shared" si="57"/>
        <v>4.9433981925171714E-4</v>
      </c>
      <c r="G1192" s="20">
        <f t="shared" si="58"/>
        <v>-9.6584422438928948E-4</v>
      </c>
      <c r="H1192" s="20">
        <f t="shared" si="59"/>
        <v>-1.7688409397134492E-3</v>
      </c>
      <c r="I1192" s="3"/>
    </row>
    <row r="1193" spans="1:9" x14ac:dyDescent="0.3">
      <c r="A1193" s="2">
        <v>42438</v>
      </c>
      <c r="B1193" s="1">
        <v>25.28</v>
      </c>
      <c r="C1193" s="1">
        <v>559.47</v>
      </c>
      <c r="D1193" s="1">
        <v>107.51</v>
      </c>
      <c r="E1193" s="3"/>
      <c r="F1193" s="20">
        <f t="shared" si="57"/>
        <v>8.9042795890644552E-4</v>
      </c>
      <c r="G1193" s="20">
        <f t="shared" si="58"/>
        <v>-1.4110546847527173E-3</v>
      </c>
      <c r="H1193" s="20">
        <f t="shared" si="59"/>
        <v>1.4805367888731965E-2</v>
      </c>
      <c r="I1193" s="3"/>
    </row>
    <row r="1194" spans="1:9" x14ac:dyDescent="0.3">
      <c r="A1194" s="2">
        <v>42437</v>
      </c>
      <c r="B1194" s="1">
        <v>25.2575</v>
      </c>
      <c r="C1194" s="1">
        <v>560.26</v>
      </c>
      <c r="D1194" s="1">
        <v>105.93</v>
      </c>
      <c r="E1194" s="3"/>
      <c r="F1194" s="20">
        <f t="shared" si="57"/>
        <v>-8.2799881623341638E-3</v>
      </c>
      <c r="G1194" s="20">
        <f t="shared" si="58"/>
        <v>-4.5233635440164845E-3</v>
      </c>
      <c r="H1194" s="20">
        <f t="shared" si="59"/>
        <v>1.8898238639695343E-3</v>
      </c>
      <c r="I1194" s="3"/>
    </row>
    <row r="1195" spans="1:9" x14ac:dyDescent="0.3">
      <c r="A1195" s="2">
        <v>42436</v>
      </c>
      <c r="B1195" s="1">
        <v>25.467500000000001</v>
      </c>
      <c r="C1195" s="1">
        <v>562.79999999999995</v>
      </c>
      <c r="D1195" s="1">
        <v>105.73</v>
      </c>
      <c r="E1195" s="3"/>
      <c r="F1195" s="20">
        <f t="shared" si="57"/>
        <v>-1.1128580293627087E-2</v>
      </c>
      <c r="G1195" s="20">
        <f t="shared" si="58"/>
        <v>-2.1688990311239855E-2</v>
      </c>
      <c r="H1195" s="20">
        <f t="shared" si="59"/>
        <v>-2.4847159083223408E-2</v>
      </c>
      <c r="I1195" s="3"/>
    </row>
    <row r="1196" spans="1:9" x14ac:dyDescent="0.3">
      <c r="A1196" s="2">
        <v>42433</v>
      </c>
      <c r="B1196" s="1">
        <v>25.752500000000001</v>
      </c>
      <c r="C1196" s="1">
        <v>575.13990000000001</v>
      </c>
      <c r="D1196" s="1">
        <v>108.39</v>
      </c>
      <c r="E1196" s="3"/>
      <c r="F1196" s="20">
        <f t="shared" si="57"/>
        <v>1.4767272413760036E-2</v>
      </c>
      <c r="G1196" s="20">
        <f t="shared" si="58"/>
        <v>-4.0778106772348856E-3</v>
      </c>
      <c r="H1196" s="20">
        <f t="shared" si="59"/>
        <v>-1.0919042282611129E-2</v>
      </c>
      <c r="I1196" s="3"/>
    </row>
    <row r="1197" spans="1:9" x14ac:dyDescent="0.3">
      <c r="A1197" s="2">
        <v>42432</v>
      </c>
      <c r="B1197" s="1">
        <v>25.375</v>
      </c>
      <c r="C1197" s="1">
        <v>577.49</v>
      </c>
      <c r="D1197" s="1">
        <v>109.58</v>
      </c>
      <c r="E1197" s="3"/>
      <c r="F1197" s="20">
        <f t="shared" si="57"/>
        <v>7.4165976550496192E-3</v>
      </c>
      <c r="G1197" s="20">
        <f t="shared" si="58"/>
        <v>-4.6989807461231157E-3</v>
      </c>
      <c r="H1197" s="20">
        <f t="shared" si="59"/>
        <v>-3.3708408905006059E-3</v>
      </c>
      <c r="I1197" s="3"/>
    </row>
    <row r="1198" spans="1:9" x14ac:dyDescent="0.3">
      <c r="A1198" s="2">
        <v>42431</v>
      </c>
      <c r="B1198" s="1">
        <v>25.1875</v>
      </c>
      <c r="C1198" s="1">
        <v>580.21</v>
      </c>
      <c r="D1198" s="1">
        <v>109.95</v>
      </c>
      <c r="E1198" s="3"/>
      <c r="F1198" s="20">
        <f t="shared" si="57"/>
        <v>2.1860104094636292E-3</v>
      </c>
      <c r="G1198" s="20">
        <f t="shared" si="58"/>
        <v>2.0185471593994679E-3</v>
      </c>
      <c r="H1198" s="20">
        <f t="shared" si="59"/>
        <v>1.1830551500436289E-3</v>
      </c>
      <c r="I1198" s="3"/>
    </row>
    <row r="1199" spans="1:9" x14ac:dyDescent="0.3">
      <c r="A1199" s="2">
        <v>42430</v>
      </c>
      <c r="B1199" s="1">
        <v>25.1325</v>
      </c>
      <c r="C1199" s="1">
        <v>579.04</v>
      </c>
      <c r="D1199" s="1">
        <v>109.82</v>
      </c>
      <c r="E1199" s="3"/>
      <c r="F1199" s="20">
        <f t="shared" si="57"/>
        <v>3.8946205921872597E-2</v>
      </c>
      <c r="G1199" s="20">
        <f t="shared" si="58"/>
        <v>4.6881927983673272E-2</v>
      </c>
      <c r="H1199" s="20">
        <f t="shared" si="59"/>
        <v>2.6761770580008244E-2</v>
      </c>
      <c r="I1199" s="3"/>
    </row>
    <row r="1200" spans="1:9" x14ac:dyDescent="0.3">
      <c r="A1200" s="2">
        <v>42429</v>
      </c>
      <c r="B1200" s="1">
        <v>24.172499999999999</v>
      </c>
      <c r="C1200" s="1">
        <v>552.52</v>
      </c>
      <c r="D1200" s="1">
        <v>106.92</v>
      </c>
      <c r="E1200" s="3"/>
      <c r="F1200" s="20">
        <f t="shared" si="57"/>
        <v>-2.2727282510024553E-3</v>
      </c>
      <c r="G1200" s="20">
        <f t="shared" si="58"/>
        <v>-4.8928104831528945E-3</v>
      </c>
      <c r="H1200" s="20">
        <f t="shared" si="59"/>
        <v>-9.3093206287821473E-3</v>
      </c>
      <c r="I1200" s="3"/>
    </row>
    <row r="1201" spans="1:9" x14ac:dyDescent="0.3">
      <c r="A1201" s="2">
        <v>42426</v>
      </c>
      <c r="B1201" s="1">
        <v>24.227499999999999</v>
      </c>
      <c r="C1201" s="1">
        <v>555.23</v>
      </c>
      <c r="D1201" s="1">
        <v>107.92</v>
      </c>
      <c r="E1201" s="3"/>
      <c r="F1201" s="20">
        <f t="shared" si="57"/>
        <v>1.5490270046320453E-3</v>
      </c>
      <c r="G1201" s="20">
        <f t="shared" si="58"/>
        <v>1.4427494614954563E-4</v>
      </c>
      <c r="H1201" s="20">
        <f t="shared" si="59"/>
        <v>-1.3889534155737784E-3</v>
      </c>
      <c r="I1201" s="3"/>
    </row>
    <row r="1202" spans="1:9" x14ac:dyDescent="0.3">
      <c r="A1202" s="2">
        <v>42425</v>
      </c>
      <c r="B1202" s="1">
        <v>24.19</v>
      </c>
      <c r="C1202" s="1">
        <v>555.1499</v>
      </c>
      <c r="D1202" s="1">
        <v>108.07</v>
      </c>
      <c r="E1202" s="3"/>
      <c r="F1202" s="20">
        <f t="shared" si="57"/>
        <v>6.8443697655797536E-3</v>
      </c>
      <c r="G1202" s="20">
        <f t="shared" si="58"/>
        <v>2.0012810618646646E-3</v>
      </c>
      <c r="H1202" s="20">
        <f t="shared" si="59"/>
        <v>1.1072455526738708E-2</v>
      </c>
      <c r="I1202" s="3"/>
    </row>
    <row r="1203" spans="1:9" x14ac:dyDescent="0.3">
      <c r="A1203" s="2">
        <v>42424</v>
      </c>
      <c r="B1203" s="1">
        <v>24.024999999999999</v>
      </c>
      <c r="C1203" s="1">
        <v>554.04</v>
      </c>
      <c r="D1203" s="1">
        <v>106.88</v>
      </c>
      <c r="E1203" s="3"/>
      <c r="F1203" s="20">
        <f t="shared" si="57"/>
        <v>1.4780917980837959E-2</v>
      </c>
      <c r="G1203" s="20">
        <f t="shared" si="58"/>
        <v>1.9875706183215842E-3</v>
      </c>
      <c r="H1203" s="20">
        <f t="shared" si="59"/>
        <v>1.3374975686011851E-2</v>
      </c>
      <c r="I1203" s="3"/>
    </row>
    <row r="1204" spans="1:9" x14ac:dyDescent="0.3">
      <c r="A1204" s="2">
        <v>42423</v>
      </c>
      <c r="B1204" s="1">
        <v>23.672499999999999</v>
      </c>
      <c r="C1204" s="1">
        <v>552.93989999999997</v>
      </c>
      <c r="D1204" s="1">
        <v>105.46</v>
      </c>
      <c r="E1204" s="3"/>
      <c r="F1204" s="20">
        <f t="shared" si="57"/>
        <v>-2.2864701249428066E-2</v>
      </c>
      <c r="G1204" s="20">
        <f t="shared" si="58"/>
        <v>-1.1794212063403744E-2</v>
      </c>
      <c r="H1204" s="20">
        <f t="shared" si="59"/>
        <v>-1.5991310574084303E-2</v>
      </c>
      <c r="I1204" s="3"/>
    </row>
    <row r="1205" spans="1:9" x14ac:dyDescent="0.3">
      <c r="A1205" s="2">
        <v>42422</v>
      </c>
      <c r="B1205" s="1">
        <v>24.22</v>
      </c>
      <c r="C1205" s="1">
        <v>559.5</v>
      </c>
      <c r="D1205" s="1">
        <v>107.16</v>
      </c>
      <c r="E1205" s="3"/>
      <c r="F1205" s="20">
        <f t="shared" si="57"/>
        <v>8.7083278917841934E-3</v>
      </c>
      <c r="G1205" s="20">
        <f t="shared" si="58"/>
        <v>4.4963901165625007E-2</v>
      </c>
      <c r="H1205" s="20">
        <f t="shared" si="59"/>
        <v>2.4466341065910592E-2</v>
      </c>
      <c r="I1205" s="3"/>
    </row>
    <row r="1206" spans="1:9" x14ac:dyDescent="0.3">
      <c r="A1206" s="2">
        <v>42419</v>
      </c>
      <c r="B1206" s="1">
        <v>24.01</v>
      </c>
      <c r="C1206" s="1">
        <v>534.8999</v>
      </c>
      <c r="D1206" s="1">
        <v>104.57</v>
      </c>
      <c r="E1206" s="3"/>
      <c r="F1206" s="20">
        <f t="shared" si="57"/>
        <v>-2.2880925219108225E-3</v>
      </c>
      <c r="G1206" s="20">
        <f t="shared" si="58"/>
        <v>1.8681363994731193E-2</v>
      </c>
      <c r="H1206" s="20">
        <f t="shared" si="59"/>
        <v>1.0574987993638174E-2</v>
      </c>
      <c r="I1206" s="3"/>
    </row>
    <row r="1207" spans="1:9" x14ac:dyDescent="0.3">
      <c r="A1207" s="2">
        <v>42418</v>
      </c>
      <c r="B1207" s="1">
        <v>24.065000000000001</v>
      </c>
      <c r="C1207" s="1">
        <v>525</v>
      </c>
      <c r="D1207" s="1">
        <v>103.47</v>
      </c>
      <c r="E1207" s="3"/>
      <c r="F1207" s="20">
        <f t="shared" si="57"/>
        <v>-1.9138355515325198E-2</v>
      </c>
      <c r="G1207" s="20">
        <f t="shared" si="58"/>
        <v>-1.7185011984938971E-2</v>
      </c>
      <c r="H1207" s="20">
        <f t="shared" si="59"/>
        <v>-1.6581584686750288E-2</v>
      </c>
      <c r="I1207" s="3"/>
    </row>
    <row r="1208" spans="1:9" x14ac:dyDescent="0.3">
      <c r="A1208" s="2">
        <v>42417</v>
      </c>
      <c r="B1208" s="1">
        <v>24.53</v>
      </c>
      <c r="C1208" s="1">
        <v>534.1001</v>
      </c>
      <c r="D1208" s="1">
        <v>105.2</v>
      </c>
      <c r="E1208" s="3"/>
      <c r="F1208" s="20">
        <f t="shared" si="57"/>
        <v>1.5198485203783745E-2</v>
      </c>
      <c r="G1208" s="20">
        <f t="shared" si="58"/>
        <v>2.4641120759665895E-2</v>
      </c>
      <c r="H1208" s="20">
        <f t="shared" si="59"/>
        <v>3.472134480581951E-2</v>
      </c>
      <c r="I1208" s="3"/>
    </row>
    <row r="1209" spans="1:9" x14ac:dyDescent="0.3">
      <c r="A1209" s="2">
        <v>42416</v>
      </c>
      <c r="B1209" s="1">
        <v>24.16</v>
      </c>
      <c r="C1209" s="1">
        <v>521.1001</v>
      </c>
      <c r="D1209" s="1">
        <v>101.61</v>
      </c>
      <c r="E1209" s="3"/>
      <c r="F1209" s="20">
        <f t="shared" si="57"/>
        <v>2.7804340554294881E-2</v>
      </c>
      <c r="G1209" s="20">
        <f t="shared" si="58"/>
        <v>2.7273174538849181E-2</v>
      </c>
      <c r="H1209" s="20">
        <f t="shared" si="59"/>
        <v>-3.928892196637588E-3</v>
      </c>
      <c r="I1209" s="3"/>
    </row>
    <row r="1210" spans="1:9" x14ac:dyDescent="0.3">
      <c r="A1210" s="2">
        <v>42415</v>
      </c>
      <c r="B1210" s="1">
        <v>23.497499999999999</v>
      </c>
      <c r="C1210" s="1">
        <v>507.08010000000002</v>
      </c>
      <c r="D1210" s="1">
        <v>102.01</v>
      </c>
      <c r="E1210" s="3"/>
      <c r="F1210" s="20">
        <f t="shared" si="57"/>
        <v>0</v>
      </c>
      <c r="G1210" s="20">
        <f t="shared" si="58"/>
        <v>0</v>
      </c>
      <c r="H1210" s="20">
        <f t="shared" si="59"/>
        <v>0</v>
      </c>
      <c r="I1210" s="3"/>
    </row>
    <row r="1211" spans="1:9" x14ac:dyDescent="0.3">
      <c r="A1211" s="2">
        <v>42412</v>
      </c>
      <c r="B1211" s="1">
        <v>23.497499999999999</v>
      </c>
      <c r="C1211" s="1">
        <v>507.08010000000002</v>
      </c>
      <c r="D1211" s="1">
        <v>102.01</v>
      </c>
      <c r="E1211" s="3"/>
      <c r="F1211" s="20">
        <f t="shared" si="57"/>
        <v>3.0902043878334577E-3</v>
      </c>
      <c r="G1211" s="20">
        <f t="shared" si="58"/>
        <v>6.449719370955077E-3</v>
      </c>
      <c r="H1211" s="20">
        <f t="shared" si="59"/>
        <v>9.8077685382534792E-4</v>
      </c>
      <c r="I1211" s="3"/>
    </row>
    <row r="1212" spans="1:9" x14ac:dyDescent="0.3">
      <c r="A1212" s="2">
        <v>42411</v>
      </c>
      <c r="B1212" s="1">
        <v>23.425000000000001</v>
      </c>
      <c r="C1212" s="1">
        <v>503.82010000000002</v>
      </c>
      <c r="D1212" s="1">
        <v>101.91</v>
      </c>
      <c r="E1212" s="3"/>
      <c r="F1212" s="20">
        <f t="shared" si="57"/>
        <v>-6.0648161636824398E-3</v>
      </c>
      <c r="G1212" s="20">
        <f t="shared" si="58"/>
        <v>2.6834756452660053E-2</v>
      </c>
      <c r="H1212" s="20">
        <f t="shared" si="59"/>
        <v>8.9695539993427977E-3</v>
      </c>
      <c r="I1212" s="3"/>
    </row>
    <row r="1213" spans="1:9" x14ac:dyDescent="0.3">
      <c r="A1213" s="2">
        <v>42410</v>
      </c>
      <c r="B1213" s="1">
        <v>23.567499999999999</v>
      </c>
      <c r="C1213" s="1">
        <v>490.48</v>
      </c>
      <c r="D1213" s="1">
        <v>101</v>
      </c>
      <c r="E1213" s="3"/>
      <c r="F1213" s="20">
        <f t="shared" si="57"/>
        <v>-7.6086174940320859E-3</v>
      </c>
      <c r="G1213" s="20">
        <f t="shared" si="58"/>
        <v>1.7294964293928662E-2</v>
      </c>
      <c r="H1213" s="20">
        <f t="shared" si="59"/>
        <v>1.4560943410851318E-2</v>
      </c>
      <c r="I1213" s="3"/>
    </row>
    <row r="1214" spans="1:9" x14ac:dyDescent="0.3">
      <c r="A1214" s="2">
        <v>42409</v>
      </c>
      <c r="B1214" s="1">
        <v>23.747499999999999</v>
      </c>
      <c r="C1214" s="1">
        <v>482.07010000000002</v>
      </c>
      <c r="D1214" s="1">
        <v>99.54</v>
      </c>
      <c r="E1214" s="3"/>
      <c r="F1214" s="20">
        <f t="shared" si="57"/>
        <v>-2.1052631656720084E-4</v>
      </c>
      <c r="G1214" s="20">
        <f t="shared" si="58"/>
        <v>-1.2430968608627082E-2</v>
      </c>
      <c r="H1214" s="20">
        <f t="shared" si="59"/>
        <v>-2.1074823395646983E-3</v>
      </c>
      <c r="I1214" s="3"/>
    </row>
    <row r="1215" spans="1:9" x14ac:dyDescent="0.3">
      <c r="A1215" s="2">
        <v>42408</v>
      </c>
      <c r="B1215" s="1">
        <v>23.752500000000001</v>
      </c>
      <c r="C1215" s="1">
        <v>488.1001</v>
      </c>
      <c r="D1215" s="1">
        <v>99.75</v>
      </c>
      <c r="E1215" s="3"/>
      <c r="F1215" s="20">
        <f t="shared" si="57"/>
        <v>1.0474623622673842E-2</v>
      </c>
      <c r="G1215" s="20">
        <f t="shared" si="58"/>
        <v>-2.8338343388964727E-2</v>
      </c>
      <c r="H1215" s="20">
        <f t="shared" si="59"/>
        <v>-4.2396693879795132E-2</v>
      </c>
      <c r="I1215" s="3"/>
    </row>
    <row r="1216" spans="1:9" x14ac:dyDescent="0.3">
      <c r="A1216" s="2">
        <v>42405</v>
      </c>
      <c r="B1216" s="1">
        <v>23.504999999999999</v>
      </c>
      <c r="C1216" s="1">
        <v>502.12990000000002</v>
      </c>
      <c r="D1216" s="1">
        <v>104.07</v>
      </c>
      <c r="E1216" s="3"/>
      <c r="F1216" s="20">
        <f t="shared" si="57"/>
        <v>-2.7071215622487824E-2</v>
      </c>
      <c r="G1216" s="20">
        <f t="shared" si="58"/>
        <v>-6.5760266928907032E-2</v>
      </c>
      <c r="H1216" s="20">
        <f t="shared" si="59"/>
        <v>-5.9861269475315622E-2</v>
      </c>
      <c r="I1216" s="3"/>
    </row>
    <row r="1217" spans="1:9" x14ac:dyDescent="0.3">
      <c r="A1217" s="2">
        <v>42404</v>
      </c>
      <c r="B1217" s="1">
        <v>24.15</v>
      </c>
      <c r="C1217" s="1">
        <v>536.26</v>
      </c>
      <c r="D1217" s="1">
        <v>110.49</v>
      </c>
      <c r="E1217" s="3"/>
      <c r="F1217" s="20">
        <f t="shared" si="57"/>
        <v>2.5913463580968894E-3</v>
      </c>
      <c r="G1217" s="20">
        <f t="shared" si="58"/>
        <v>9.7250904923724176E-3</v>
      </c>
      <c r="H1217" s="20">
        <f t="shared" si="59"/>
        <v>-1.9715666839174379E-2</v>
      </c>
      <c r="I1217" s="3"/>
    </row>
    <row r="1218" spans="1:9" x14ac:dyDescent="0.3">
      <c r="A1218" s="2">
        <v>42403</v>
      </c>
      <c r="B1218" s="1">
        <v>24.087499999999999</v>
      </c>
      <c r="C1218" s="1">
        <v>531.07010000000002</v>
      </c>
      <c r="D1218" s="1">
        <v>112.69</v>
      </c>
      <c r="E1218" s="3"/>
      <c r="F1218" s="20">
        <f t="shared" si="57"/>
        <v>1.9599222971268371E-2</v>
      </c>
      <c r="G1218" s="20">
        <f t="shared" si="58"/>
        <v>-3.8835342821959773E-2</v>
      </c>
      <c r="H1218" s="20">
        <f t="shared" si="59"/>
        <v>-1.689437454434985E-2</v>
      </c>
      <c r="I1218" s="3"/>
    </row>
    <row r="1219" spans="1:9" x14ac:dyDescent="0.3">
      <c r="A1219" s="2">
        <v>42402</v>
      </c>
      <c r="B1219" s="1">
        <v>23.62</v>
      </c>
      <c r="C1219" s="1">
        <v>552.1001</v>
      </c>
      <c r="D1219" s="1">
        <v>114.61</v>
      </c>
      <c r="E1219" s="3"/>
      <c r="F1219" s="20">
        <f t="shared" si="57"/>
        <v>-2.0429184633186166E-2</v>
      </c>
      <c r="G1219" s="20">
        <f t="shared" si="58"/>
        <v>-4.0310354963063913E-2</v>
      </c>
      <c r="H1219" s="20">
        <f t="shared" si="59"/>
        <v>-4.1793704717919631E-3</v>
      </c>
      <c r="I1219" s="3"/>
    </row>
    <row r="1220" spans="1:9" x14ac:dyDescent="0.3">
      <c r="A1220" s="2">
        <v>42401</v>
      </c>
      <c r="B1220" s="1">
        <v>24.107500000000002</v>
      </c>
      <c r="C1220" s="1">
        <v>574.81010000000003</v>
      </c>
      <c r="D1220" s="1">
        <v>115.09</v>
      </c>
      <c r="E1220" s="3"/>
      <c r="F1220" s="20">
        <f t="shared" si="57"/>
        <v>-9.3926478830152049E-3</v>
      </c>
      <c r="G1220" s="20">
        <f t="shared" si="58"/>
        <v>-2.0985094448442598E-2</v>
      </c>
      <c r="H1220" s="20">
        <f t="shared" si="59"/>
        <v>2.5342315303624876E-2</v>
      </c>
      <c r="I1220" s="3"/>
    </row>
    <row r="1221" spans="1:9" x14ac:dyDescent="0.3">
      <c r="A1221" s="2">
        <v>42398</v>
      </c>
      <c r="B1221" s="1">
        <v>24.335000000000001</v>
      </c>
      <c r="C1221" s="1">
        <v>587</v>
      </c>
      <c r="D1221" s="1">
        <v>112.21</v>
      </c>
      <c r="E1221" s="3"/>
      <c r="F1221" s="20">
        <f t="shared" si="57"/>
        <v>3.3958233386633882E-2</v>
      </c>
      <c r="G1221" s="20">
        <f t="shared" si="58"/>
        <v>-7.9151365715997082E-2</v>
      </c>
      <c r="H1221" s="20">
        <f t="shared" si="59"/>
        <v>2.8015568009767452E-2</v>
      </c>
      <c r="I1221" s="3"/>
    </row>
    <row r="1222" spans="1:9" x14ac:dyDescent="0.3">
      <c r="A1222" s="2">
        <v>42397</v>
      </c>
      <c r="B1222" s="1">
        <v>23.522500000000001</v>
      </c>
      <c r="C1222" s="1">
        <v>635.3501</v>
      </c>
      <c r="D1222" s="1">
        <v>109.11</v>
      </c>
      <c r="E1222" s="3"/>
      <c r="F1222" s="20">
        <f t="shared" ref="F1222:F1285" si="60">LN(B1222/B1223)</f>
        <v>7.1463159447123174E-3</v>
      </c>
      <c r="G1222" s="20">
        <f t="shared" ref="G1222:G1285" si="61">LN(C1222/C1223)</f>
        <v>8.538866485056873E-2</v>
      </c>
      <c r="H1222" s="20">
        <f t="shared" ref="H1222:H1285" si="62">LN(D1222/D1223)</f>
        <v>0.14428595371948885</v>
      </c>
      <c r="I1222" s="3"/>
    </row>
    <row r="1223" spans="1:9" x14ac:dyDescent="0.3">
      <c r="A1223" s="2">
        <v>42396</v>
      </c>
      <c r="B1223" s="1">
        <v>23.355</v>
      </c>
      <c r="C1223" s="1">
        <v>583.3501</v>
      </c>
      <c r="D1223" s="1">
        <v>94.45</v>
      </c>
      <c r="E1223" s="3"/>
      <c r="F1223" s="20">
        <f t="shared" si="60"/>
        <v>-6.7964725913795987E-2</v>
      </c>
      <c r="G1223" s="20">
        <f t="shared" si="61"/>
        <v>-3.0223300726445981E-2</v>
      </c>
      <c r="H1223" s="20">
        <f t="shared" si="62"/>
        <v>-3.0139410457789739E-2</v>
      </c>
      <c r="I1223" s="3"/>
    </row>
    <row r="1224" spans="1:9" x14ac:dyDescent="0.3">
      <c r="A1224" s="2">
        <v>42395</v>
      </c>
      <c r="B1224" s="1">
        <v>24.997499999999999</v>
      </c>
      <c r="C1224" s="1">
        <v>601.25</v>
      </c>
      <c r="D1224" s="1">
        <v>97.34</v>
      </c>
      <c r="E1224" s="3"/>
      <c r="F1224" s="20">
        <f t="shared" si="60"/>
        <v>5.5157337853022625E-3</v>
      </c>
      <c r="G1224" s="20">
        <f t="shared" si="61"/>
        <v>7.8812877686310536E-3</v>
      </c>
      <c r="H1224" s="20">
        <f t="shared" si="62"/>
        <v>3.3959384321161435E-3</v>
      </c>
      <c r="I1224" s="3"/>
    </row>
    <row r="1225" spans="1:9" x14ac:dyDescent="0.3">
      <c r="A1225" s="2">
        <v>42394</v>
      </c>
      <c r="B1225" s="1">
        <v>24.86</v>
      </c>
      <c r="C1225" s="1">
        <v>596.53</v>
      </c>
      <c r="D1225" s="1">
        <v>97.01</v>
      </c>
      <c r="E1225" s="3"/>
      <c r="F1225" s="20">
        <f t="shared" si="60"/>
        <v>-1.9715863164417317E-2</v>
      </c>
      <c r="G1225" s="20">
        <f t="shared" si="61"/>
        <v>2.5165354196851917E-4</v>
      </c>
      <c r="H1225" s="20">
        <f t="shared" si="62"/>
        <v>-9.540980300979043E-3</v>
      </c>
      <c r="I1225" s="3"/>
    </row>
    <row r="1226" spans="1:9" x14ac:dyDescent="0.3">
      <c r="A1226" s="2">
        <v>42391</v>
      </c>
      <c r="B1226" s="1">
        <v>25.355</v>
      </c>
      <c r="C1226" s="1">
        <v>596.37990000000002</v>
      </c>
      <c r="D1226" s="1">
        <v>97.94</v>
      </c>
      <c r="E1226" s="3"/>
      <c r="F1226" s="20">
        <f t="shared" si="60"/>
        <v>5.1801991562793151E-2</v>
      </c>
      <c r="G1226" s="20">
        <f t="shared" si="61"/>
        <v>3.6473057308226281E-2</v>
      </c>
      <c r="H1226" s="20">
        <f t="shared" si="62"/>
        <v>3.9359583322150081E-2</v>
      </c>
      <c r="I1226" s="3"/>
    </row>
    <row r="1227" spans="1:9" x14ac:dyDescent="0.3">
      <c r="A1227" s="2">
        <v>42390</v>
      </c>
      <c r="B1227" s="1">
        <v>24.074999999999999</v>
      </c>
      <c r="C1227" s="1">
        <v>575.02</v>
      </c>
      <c r="D1227" s="1">
        <v>94.16</v>
      </c>
      <c r="E1227" s="3"/>
      <c r="F1227" s="20">
        <f t="shared" si="60"/>
        <v>-5.0753643569174979E-3</v>
      </c>
      <c r="G1227" s="20">
        <f t="shared" si="61"/>
        <v>5.6680101864840073E-3</v>
      </c>
      <c r="H1227" s="20">
        <f t="shared" si="62"/>
        <v>-2.0158088625379048E-3</v>
      </c>
      <c r="I1227" s="3"/>
    </row>
    <row r="1228" spans="1:9" x14ac:dyDescent="0.3">
      <c r="A1228" s="2">
        <v>42389</v>
      </c>
      <c r="B1228" s="1">
        <v>24.197500000000002</v>
      </c>
      <c r="C1228" s="1">
        <v>571.77</v>
      </c>
      <c r="D1228" s="1">
        <v>94.35</v>
      </c>
      <c r="E1228" s="3"/>
      <c r="F1228" s="20">
        <f t="shared" si="60"/>
        <v>1.3440167440593278E-3</v>
      </c>
      <c r="G1228" s="20">
        <f t="shared" si="61"/>
        <v>-4.7284711874008845E-3</v>
      </c>
      <c r="H1228" s="20">
        <f t="shared" si="62"/>
        <v>-9.5987235581552737E-3</v>
      </c>
      <c r="I1228" s="3"/>
    </row>
    <row r="1229" spans="1:9" x14ac:dyDescent="0.3">
      <c r="A1229" s="2">
        <v>42388</v>
      </c>
      <c r="B1229" s="1">
        <v>24.164999999999999</v>
      </c>
      <c r="C1229" s="1">
        <v>574.48</v>
      </c>
      <c r="D1229" s="1">
        <v>95.26</v>
      </c>
      <c r="E1229" s="3"/>
      <c r="F1229" s="20">
        <f t="shared" si="60"/>
        <v>-4.8506209973011123E-3</v>
      </c>
      <c r="G1229" s="20">
        <f t="shared" si="61"/>
        <v>7.5133587340110598E-3</v>
      </c>
      <c r="H1229" s="20">
        <f t="shared" si="62"/>
        <v>3.0489431178531883E-3</v>
      </c>
      <c r="I1229" s="3"/>
    </row>
    <row r="1230" spans="1:9" x14ac:dyDescent="0.3">
      <c r="A1230" s="2">
        <v>42387</v>
      </c>
      <c r="B1230" s="1">
        <v>24.282499999999999</v>
      </c>
      <c r="C1230" s="1">
        <v>570.17989999999998</v>
      </c>
      <c r="D1230" s="1">
        <v>94.97</v>
      </c>
      <c r="E1230" s="3"/>
      <c r="F1230" s="20">
        <f t="shared" si="60"/>
        <v>0</v>
      </c>
      <c r="G1230" s="20">
        <f t="shared" si="61"/>
        <v>0</v>
      </c>
      <c r="H1230" s="20">
        <f t="shared" si="62"/>
        <v>0</v>
      </c>
      <c r="I1230" s="3"/>
    </row>
    <row r="1231" spans="1:9" x14ac:dyDescent="0.3">
      <c r="A1231" s="2">
        <v>42384</v>
      </c>
      <c r="B1231" s="1">
        <v>24.282499999999999</v>
      </c>
      <c r="C1231" s="1">
        <v>570.17989999999998</v>
      </c>
      <c r="D1231" s="1">
        <v>94.97</v>
      </c>
      <c r="E1231" s="3"/>
      <c r="F1231" s="20">
        <f t="shared" si="60"/>
        <v>-2.430834157663014E-2</v>
      </c>
      <c r="G1231" s="20">
        <f t="shared" si="61"/>
        <v>-3.9242473929674331E-2</v>
      </c>
      <c r="H1231" s="20">
        <f t="shared" si="62"/>
        <v>-3.5174827269805545E-2</v>
      </c>
      <c r="I1231" s="3"/>
    </row>
    <row r="1232" spans="1:9" x14ac:dyDescent="0.3">
      <c r="A1232" s="2">
        <v>42383</v>
      </c>
      <c r="B1232" s="1">
        <v>24.88</v>
      </c>
      <c r="C1232" s="1">
        <v>593</v>
      </c>
      <c r="D1232" s="1">
        <v>98.37</v>
      </c>
      <c r="E1232" s="3"/>
      <c r="F1232" s="20">
        <f t="shared" si="60"/>
        <v>2.1635093017761481E-2</v>
      </c>
      <c r="G1232" s="20">
        <f t="shared" si="61"/>
        <v>1.9050293169808358E-2</v>
      </c>
      <c r="H1232" s="20">
        <f t="shared" si="62"/>
        <v>3.0238101735005924E-2</v>
      </c>
      <c r="I1232" s="3"/>
    </row>
    <row r="1233" spans="1:9" x14ac:dyDescent="0.3">
      <c r="A1233" s="2">
        <v>42382</v>
      </c>
      <c r="B1233" s="1">
        <v>24.3475</v>
      </c>
      <c r="C1233" s="1">
        <v>581.81010000000003</v>
      </c>
      <c r="D1233" s="1">
        <v>95.44</v>
      </c>
      <c r="E1233" s="3"/>
      <c r="F1233" s="20">
        <f t="shared" si="60"/>
        <v>-2.6046569993643694E-2</v>
      </c>
      <c r="G1233" s="20">
        <f t="shared" si="61"/>
        <v>-6.0166180418420236E-2</v>
      </c>
      <c r="H1233" s="20">
        <f t="shared" si="62"/>
        <v>-4.0352479453611395E-2</v>
      </c>
      <c r="I1233" s="3"/>
    </row>
    <row r="1234" spans="1:9" x14ac:dyDescent="0.3">
      <c r="A1234" s="2">
        <v>42381</v>
      </c>
      <c r="B1234" s="1">
        <v>24.99</v>
      </c>
      <c r="C1234" s="1">
        <v>617.88990000000001</v>
      </c>
      <c r="D1234" s="1">
        <v>99.37</v>
      </c>
      <c r="E1234" s="3"/>
      <c r="F1234" s="20">
        <f t="shared" si="60"/>
        <v>1.4409035632368394E-2</v>
      </c>
      <c r="G1234" s="20">
        <f t="shared" si="61"/>
        <v>2.4262928686884385E-4</v>
      </c>
      <c r="H1234" s="20">
        <f t="shared" si="62"/>
        <v>1.889532039624436E-2</v>
      </c>
      <c r="I1234" s="3"/>
    </row>
    <row r="1235" spans="1:9" x14ac:dyDescent="0.3">
      <c r="A1235" s="2">
        <v>42380</v>
      </c>
      <c r="B1235" s="1">
        <v>24.6325</v>
      </c>
      <c r="C1235" s="1">
        <v>617.74</v>
      </c>
      <c r="D1235" s="1">
        <v>97.51</v>
      </c>
      <c r="E1235" s="3"/>
      <c r="F1235" s="20">
        <f t="shared" si="60"/>
        <v>1.6062548013378874E-2</v>
      </c>
      <c r="G1235" s="20">
        <f t="shared" si="61"/>
        <v>1.7456496969484439E-2</v>
      </c>
      <c r="H1235" s="20">
        <f t="shared" si="62"/>
        <v>1.8476704086253797E-3</v>
      </c>
      <c r="I1235" s="3"/>
    </row>
    <row r="1236" spans="1:9" x14ac:dyDescent="0.3">
      <c r="A1236" s="2">
        <v>42377</v>
      </c>
      <c r="B1236" s="1">
        <v>24.24</v>
      </c>
      <c r="C1236" s="1">
        <v>607.04999999999995</v>
      </c>
      <c r="D1236" s="1">
        <v>97.33</v>
      </c>
      <c r="E1236" s="3"/>
      <c r="F1236" s="20">
        <f t="shared" si="60"/>
        <v>5.2737829692661537E-3</v>
      </c>
      <c r="G1236" s="20">
        <f t="shared" si="61"/>
        <v>-1.4648684061190744E-3</v>
      </c>
      <c r="H1236" s="20">
        <f t="shared" si="62"/>
        <v>-6.0435523256137449E-3</v>
      </c>
      <c r="I1236" s="3"/>
    </row>
    <row r="1237" spans="1:9" x14ac:dyDescent="0.3">
      <c r="A1237" s="2">
        <v>42376</v>
      </c>
      <c r="B1237" s="1">
        <v>24.112500000000001</v>
      </c>
      <c r="C1237" s="1">
        <v>607.93989999999997</v>
      </c>
      <c r="D1237" s="1">
        <v>97.92</v>
      </c>
      <c r="E1237" s="3"/>
      <c r="F1237" s="20">
        <f t="shared" si="60"/>
        <v>-4.3121060372778568E-2</v>
      </c>
      <c r="G1237" s="20">
        <f t="shared" si="61"/>
        <v>-3.9841160173875928E-2</v>
      </c>
      <c r="H1237" s="20">
        <f t="shared" si="62"/>
        <v>-5.0286864904643486E-2</v>
      </c>
      <c r="I1237" s="3"/>
    </row>
    <row r="1238" spans="1:9" x14ac:dyDescent="0.3">
      <c r="A1238" s="2">
        <v>42375</v>
      </c>
      <c r="B1238" s="1">
        <v>25.175000000000001</v>
      </c>
      <c r="C1238" s="1">
        <v>632.6499</v>
      </c>
      <c r="D1238" s="1">
        <v>102.97</v>
      </c>
      <c r="E1238" s="3"/>
      <c r="F1238" s="20">
        <f t="shared" si="60"/>
        <v>-1.9763683453196328E-2</v>
      </c>
      <c r="G1238" s="20">
        <f t="shared" si="61"/>
        <v>-1.8004807144680072E-3</v>
      </c>
      <c r="H1238" s="20">
        <f t="shared" si="62"/>
        <v>2.3334964404870639E-3</v>
      </c>
      <c r="I1238" s="3"/>
    </row>
    <row r="1239" spans="1:9" x14ac:dyDescent="0.3">
      <c r="A1239" s="2">
        <v>42374</v>
      </c>
      <c r="B1239" s="1">
        <v>25.677499999999998</v>
      </c>
      <c r="C1239" s="1">
        <v>633.79</v>
      </c>
      <c r="D1239" s="1">
        <v>102.73</v>
      </c>
      <c r="E1239" s="3"/>
      <c r="F1239" s="20">
        <f t="shared" si="60"/>
        <v>-2.5378657072485072E-2</v>
      </c>
      <c r="G1239" s="20">
        <f t="shared" si="61"/>
        <v>-5.0362875773648629E-3</v>
      </c>
      <c r="H1239" s="20">
        <f t="shared" si="62"/>
        <v>4.9768338880388794E-3</v>
      </c>
      <c r="I1239" s="3"/>
    </row>
    <row r="1240" spans="1:9" x14ac:dyDescent="0.3">
      <c r="A1240" s="2">
        <v>42373</v>
      </c>
      <c r="B1240" s="1">
        <v>26.337499999999999</v>
      </c>
      <c r="C1240" s="1">
        <v>636.99</v>
      </c>
      <c r="D1240" s="1">
        <v>102.22</v>
      </c>
      <c r="E1240" s="3"/>
      <c r="F1240" s="20">
        <f t="shared" si="60"/>
        <v>8.5466032456495264E-4</v>
      </c>
      <c r="G1240" s="20">
        <f t="shared" si="61"/>
        <v>-5.9276236093936993E-2</v>
      </c>
      <c r="H1240" s="20">
        <f t="shared" si="62"/>
        <v>-2.3589647603928184E-2</v>
      </c>
      <c r="I1240" s="3"/>
    </row>
    <row r="1241" spans="1:9" x14ac:dyDescent="0.3">
      <c r="A1241" s="2">
        <v>42370</v>
      </c>
      <c r="B1241" s="1">
        <v>26.315000000000001</v>
      </c>
      <c r="C1241" s="1">
        <v>675.88990000000001</v>
      </c>
      <c r="D1241" s="1">
        <v>104.66</v>
      </c>
      <c r="E1241" s="3"/>
      <c r="F1241" s="20">
        <f t="shared" si="60"/>
        <v>0</v>
      </c>
      <c r="G1241" s="20">
        <f t="shared" si="61"/>
        <v>0</v>
      </c>
      <c r="H1241" s="20">
        <f t="shared" si="62"/>
        <v>0</v>
      </c>
      <c r="I1241" s="3"/>
    </row>
    <row r="1242" spans="1:9" x14ac:dyDescent="0.3">
      <c r="A1242" s="2">
        <v>42369</v>
      </c>
      <c r="B1242" s="1">
        <v>26.315000000000001</v>
      </c>
      <c r="C1242" s="1">
        <v>675.88990000000001</v>
      </c>
      <c r="D1242" s="1">
        <v>104.66</v>
      </c>
      <c r="E1242" s="3"/>
      <c r="F1242" s="20">
        <f t="shared" si="60"/>
        <v>-1.9381545631790353E-2</v>
      </c>
      <c r="G1242" s="20">
        <f t="shared" si="61"/>
        <v>-1.9312814537150232E-2</v>
      </c>
      <c r="H1242" s="20">
        <f t="shared" si="62"/>
        <v>-1.479541405019133E-2</v>
      </c>
      <c r="I1242" s="3"/>
    </row>
    <row r="1243" spans="1:9" x14ac:dyDescent="0.3">
      <c r="A1243" s="2">
        <v>42368</v>
      </c>
      <c r="B1243" s="1">
        <v>26.83</v>
      </c>
      <c r="C1243" s="1">
        <v>689.07010000000002</v>
      </c>
      <c r="D1243" s="1">
        <v>106.22</v>
      </c>
      <c r="E1243" s="3"/>
      <c r="F1243" s="20">
        <f t="shared" si="60"/>
        <v>-1.3144686160351211E-2</v>
      </c>
      <c r="G1243" s="20">
        <f t="shared" si="61"/>
        <v>-7.0857244138566909E-3</v>
      </c>
      <c r="H1243" s="20">
        <f t="shared" si="62"/>
        <v>-9.7433785605260826E-3</v>
      </c>
      <c r="I1243" s="3"/>
    </row>
    <row r="1244" spans="1:9" x14ac:dyDescent="0.3">
      <c r="A1244" s="2">
        <v>42367</v>
      </c>
      <c r="B1244" s="1">
        <v>27.184999999999999</v>
      </c>
      <c r="C1244" s="1">
        <v>693.97</v>
      </c>
      <c r="D1244" s="1">
        <v>107.26</v>
      </c>
      <c r="E1244" s="3"/>
      <c r="F1244" s="20">
        <f t="shared" si="60"/>
        <v>1.7814536806150302E-2</v>
      </c>
      <c r="G1244" s="20">
        <f t="shared" si="61"/>
        <v>2.7419788625008688E-2</v>
      </c>
      <c r="H1244" s="20">
        <f t="shared" si="62"/>
        <v>1.247729494637448E-2</v>
      </c>
      <c r="I1244" s="3"/>
    </row>
    <row r="1245" spans="1:9" x14ac:dyDescent="0.3">
      <c r="A1245" s="2">
        <v>42366</v>
      </c>
      <c r="B1245" s="1">
        <v>26.704999999999998</v>
      </c>
      <c r="C1245" s="1">
        <v>675.2</v>
      </c>
      <c r="D1245" s="1">
        <v>105.93</v>
      </c>
      <c r="E1245" s="3"/>
      <c r="F1245" s="20">
        <f t="shared" si="60"/>
        <v>-1.1263791417269345E-2</v>
      </c>
      <c r="G1245" s="20">
        <f t="shared" si="61"/>
        <v>1.8550745350700993E-2</v>
      </c>
      <c r="H1245" s="20">
        <f t="shared" si="62"/>
        <v>8.6276903986915281E-3</v>
      </c>
      <c r="I1245" s="3"/>
    </row>
    <row r="1246" spans="1:9" x14ac:dyDescent="0.3">
      <c r="A1246" s="2">
        <v>42363</v>
      </c>
      <c r="B1246" s="1">
        <v>27.0075</v>
      </c>
      <c r="C1246" s="1">
        <v>662.79</v>
      </c>
      <c r="D1246" s="1">
        <v>105.02</v>
      </c>
      <c r="E1246" s="3"/>
      <c r="F1246" s="20">
        <f t="shared" si="60"/>
        <v>0</v>
      </c>
      <c r="G1246" s="20">
        <f t="shared" si="61"/>
        <v>0</v>
      </c>
      <c r="H1246" s="20">
        <f t="shared" si="62"/>
        <v>0</v>
      </c>
      <c r="I1246" s="3"/>
    </row>
    <row r="1247" spans="1:9" x14ac:dyDescent="0.3">
      <c r="A1247" s="2">
        <v>42362</v>
      </c>
      <c r="B1247" s="1">
        <v>27.0075</v>
      </c>
      <c r="C1247" s="1">
        <v>662.79</v>
      </c>
      <c r="D1247" s="1">
        <v>105.02</v>
      </c>
      <c r="E1247" s="3"/>
      <c r="F1247" s="20">
        <f t="shared" si="60"/>
        <v>-5.3545179630511315E-3</v>
      </c>
      <c r="G1247" s="20">
        <f t="shared" si="61"/>
        <v>-1.3720422208329198E-3</v>
      </c>
      <c r="H1247" s="20">
        <f t="shared" si="62"/>
        <v>3.7204908167572724E-3</v>
      </c>
      <c r="I1247" s="3"/>
    </row>
    <row r="1248" spans="1:9" x14ac:dyDescent="0.3">
      <c r="A1248" s="2">
        <v>42361</v>
      </c>
      <c r="B1248" s="1">
        <v>27.1525</v>
      </c>
      <c r="C1248" s="1">
        <v>663.7</v>
      </c>
      <c r="D1248" s="1">
        <v>104.63</v>
      </c>
      <c r="E1248" s="3"/>
      <c r="F1248" s="20">
        <f t="shared" si="60"/>
        <v>1.2787424059890272E-2</v>
      </c>
      <c r="G1248" s="20">
        <f t="shared" si="61"/>
        <v>8.2918200697483144E-4</v>
      </c>
      <c r="H1248" s="20">
        <f t="shared" si="62"/>
        <v>-8.3754177610448812E-3</v>
      </c>
      <c r="I1248" s="3"/>
    </row>
    <row r="1249" spans="1:9" x14ac:dyDescent="0.3">
      <c r="A1249" s="2">
        <v>42360</v>
      </c>
      <c r="B1249" s="1">
        <v>26.807500000000001</v>
      </c>
      <c r="C1249" s="1">
        <v>663.1499</v>
      </c>
      <c r="D1249" s="1">
        <v>105.51</v>
      </c>
      <c r="E1249" s="3"/>
      <c r="F1249" s="20">
        <f t="shared" si="60"/>
        <v>-9.3214026137874116E-4</v>
      </c>
      <c r="G1249" s="20">
        <f t="shared" si="61"/>
        <v>-2.0488688041158066E-3</v>
      </c>
      <c r="H1249" s="20">
        <f t="shared" si="62"/>
        <v>7.0382637891273966E-3</v>
      </c>
      <c r="I1249" s="3"/>
    </row>
    <row r="1250" spans="1:9" x14ac:dyDescent="0.3">
      <c r="A1250" s="2">
        <v>42359</v>
      </c>
      <c r="B1250" s="1">
        <v>26.8325</v>
      </c>
      <c r="C1250" s="1">
        <v>664.51</v>
      </c>
      <c r="D1250" s="1">
        <v>104.77</v>
      </c>
      <c r="E1250" s="3"/>
      <c r="F1250" s="20">
        <f t="shared" si="60"/>
        <v>1.2186127555726241E-2</v>
      </c>
      <c r="G1250" s="20">
        <f t="shared" si="61"/>
        <v>5.5710689410693088E-4</v>
      </c>
      <c r="H1250" s="20">
        <f t="shared" si="62"/>
        <v>6.9920307844225666E-3</v>
      </c>
      <c r="I1250" s="3"/>
    </row>
    <row r="1251" spans="1:9" x14ac:dyDescent="0.3">
      <c r="A1251" s="2">
        <v>42356</v>
      </c>
      <c r="B1251" s="1">
        <v>26.5075</v>
      </c>
      <c r="C1251" s="1">
        <v>664.13990000000001</v>
      </c>
      <c r="D1251" s="1">
        <v>104.04</v>
      </c>
      <c r="E1251" s="3"/>
      <c r="F1251" s="20">
        <f t="shared" si="60"/>
        <v>-2.7442306217245496E-2</v>
      </c>
      <c r="G1251" s="20">
        <f t="shared" si="61"/>
        <v>-9.7544221841014776E-3</v>
      </c>
      <c r="H1251" s="20">
        <f t="shared" si="62"/>
        <v>-2.0736974413802269E-2</v>
      </c>
      <c r="I1251" s="3"/>
    </row>
    <row r="1252" spans="1:9" x14ac:dyDescent="0.3">
      <c r="A1252" s="2">
        <v>42355</v>
      </c>
      <c r="B1252" s="1">
        <v>27.245000000000001</v>
      </c>
      <c r="C1252" s="1">
        <v>670.6499</v>
      </c>
      <c r="D1252" s="1">
        <v>106.22</v>
      </c>
      <c r="E1252" s="3"/>
      <c r="F1252" s="20">
        <f t="shared" si="60"/>
        <v>-2.1424203600409426E-2</v>
      </c>
      <c r="G1252" s="20">
        <f t="shared" si="61"/>
        <v>-7.6055392239251932E-3</v>
      </c>
      <c r="H1252" s="20">
        <f t="shared" si="62"/>
        <v>-5.3518741892007761E-3</v>
      </c>
      <c r="I1252" s="3"/>
    </row>
    <row r="1253" spans="1:9" x14ac:dyDescent="0.3">
      <c r="A1253" s="2">
        <v>42354</v>
      </c>
      <c r="B1253" s="1">
        <v>27.835000000000001</v>
      </c>
      <c r="C1253" s="1">
        <v>675.77</v>
      </c>
      <c r="D1253" s="1">
        <v>106.79</v>
      </c>
      <c r="E1253" s="3"/>
      <c r="F1253" s="20">
        <f t="shared" si="60"/>
        <v>7.6635636302782627E-3</v>
      </c>
      <c r="G1253" s="20">
        <f t="shared" si="61"/>
        <v>2.567583030079024E-2</v>
      </c>
      <c r="H1253" s="20">
        <f t="shared" si="62"/>
        <v>2.1198863308811301E-2</v>
      </c>
      <c r="I1253" s="3"/>
    </row>
    <row r="1254" spans="1:9" x14ac:dyDescent="0.3">
      <c r="A1254" s="2">
        <v>42353</v>
      </c>
      <c r="B1254" s="1">
        <v>27.622499999999999</v>
      </c>
      <c r="C1254" s="1">
        <v>658.63990000000001</v>
      </c>
      <c r="D1254" s="1">
        <v>104.55</v>
      </c>
      <c r="E1254" s="3"/>
      <c r="F1254" s="20">
        <f t="shared" si="60"/>
        <v>-1.7850408937271273E-2</v>
      </c>
      <c r="G1254" s="20">
        <f t="shared" si="61"/>
        <v>1.1089593037988412E-3</v>
      </c>
      <c r="H1254" s="20">
        <f t="shared" si="62"/>
        <v>-1.0515750694191333E-3</v>
      </c>
      <c r="I1254" s="3"/>
    </row>
    <row r="1255" spans="1:9" x14ac:dyDescent="0.3">
      <c r="A1255" s="2">
        <v>42352</v>
      </c>
      <c r="B1255" s="1">
        <v>28.12</v>
      </c>
      <c r="C1255" s="1">
        <v>657.90989999999999</v>
      </c>
      <c r="D1255" s="1">
        <v>104.66</v>
      </c>
      <c r="E1255" s="3"/>
      <c r="F1255" s="20">
        <f t="shared" si="60"/>
        <v>-6.204043652023046E-3</v>
      </c>
      <c r="G1255" s="20">
        <f t="shared" si="61"/>
        <v>2.7365624179562696E-2</v>
      </c>
      <c r="H1255" s="20">
        <f t="shared" si="62"/>
        <v>2.4568408570778581E-2</v>
      </c>
      <c r="I1255" s="3"/>
    </row>
    <row r="1256" spans="1:9" x14ac:dyDescent="0.3">
      <c r="A1256" s="2">
        <v>42349</v>
      </c>
      <c r="B1256" s="1">
        <v>28.295000000000002</v>
      </c>
      <c r="C1256" s="1">
        <v>640.1499</v>
      </c>
      <c r="D1256" s="1">
        <v>102.12</v>
      </c>
      <c r="E1256" s="3"/>
      <c r="F1256" s="20">
        <f t="shared" si="60"/>
        <v>-2.607516381100564E-2</v>
      </c>
      <c r="G1256" s="20">
        <f t="shared" si="61"/>
        <v>-3.4046606136169159E-2</v>
      </c>
      <c r="H1256" s="20">
        <f t="shared" si="62"/>
        <v>-3.1803779053777667E-2</v>
      </c>
      <c r="I1256" s="3"/>
    </row>
    <row r="1257" spans="1:9" x14ac:dyDescent="0.3">
      <c r="A1257" s="2">
        <v>42348</v>
      </c>
      <c r="B1257" s="1">
        <v>29.0425</v>
      </c>
      <c r="C1257" s="1">
        <v>662.32010000000002</v>
      </c>
      <c r="D1257" s="1">
        <v>105.42</v>
      </c>
      <c r="E1257" s="3"/>
      <c r="F1257" s="20">
        <f t="shared" si="60"/>
        <v>4.7456838710532908E-3</v>
      </c>
      <c r="G1257" s="20">
        <f t="shared" si="61"/>
        <v>-3.7222274952169385E-3</v>
      </c>
      <c r="H1257" s="20">
        <f t="shared" si="62"/>
        <v>7.8088197962384049E-3</v>
      </c>
      <c r="I1257" s="3"/>
    </row>
    <row r="1258" spans="1:9" x14ac:dyDescent="0.3">
      <c r="A1258" s="2">
        <v>42347</v>
      </c>
      <c r="B1258" s="1">
        <v>28.905000000000001</v>
      </c>
      <c r="C1258" s="1">
        <v>664.79</v>
      </c>
      <c r="D1258" s="1">
        <v>104.6</v>
      </c>
      <c r="E1258" s="3"/>
      <c r="F1258" s="20">
        <f t="shared" si="60"/>
        <v>-2.2322928220692005E-2</v>
      </c>
      <c r="G1258" s="20">
        <f t="shared" si="61"/>
        <v>-1.8687545086647488E-2</v>
      </c>
      <c r="H1258" s="20">
        <f t="shared" si="62"/>
        <v>-1.7907532396469909E-2</v>
      </c>
      <c r="I1258" s="3"/>
    </row>
    <row r="1259" spans="1:9" x14ac:dyDescent="0.3">
      <c r="A1259" s="2">
        <v>42346</v>
      </c>
      <c r="B1259" s="1">
        <v>29.557500000000001</v>
      </c>
      <c r="C1259" s="1">
        <v>677.33010000000002</v>
      </c>
      <c r="D1259" s="1">
        <v>106.49</v>
      </c>
      <c r="E1259" s="3"/>
      <c r="F1259" s="20">
        <f t="shared" si="60"/>
        <v>-4.2281510925448393E-4</v>
      </c>
      <c r="G1259" s="20">
        <f t="shared" si="61"/>
        <v>1.1134648258736951E-2</v>
      </c>
      <c r="H1259" s="20">
        <f t="shared" si="62"/>
        <v>8.2980202689092192E-3</v>
      </c>
      <c r="I1259" s="3"/>
    </row>
    <row r="1260" spans="1:9" x14ac:dyDescent="0.3">
      <c r="A1260" s="2">
        <v>42345</v>
      </c>
      <c r="B1260" s="1">
        <v>29.57</v>
      </c>
      <c r="C1260" s="1">
        <v>669.83010000000002</v>
      </c>
      <c r="D1260" s="1">
        <v>105.61</v>
      </c>
      <c r="E1260" s="3"/>
      <c r="F1260" s="20">
        <f t="shared" si="60"/>
        <v>-6.3208671955119781E-3</v>
      </c>
      <c r="G1260" s="20">
        <f t="shared" si="61"/>
        <v>-4.186021442500347E-3</v>
      </c>
      <c r="H1260" s="20">
        <f t="shared" si="62"/>
        <v>-5.3827033971424517E-3</v>
      </c>
      <c r="I1260" s="3"/>
    </row>
    <row r="1261" spans="1:9" x14ac:dyDescent="0.3">
      <c r="A1261" s="2">
        <v>42342</v>
      </c>
      <c r="B1261" s="1">
        <v>29.7575</v>
      </c>
      <c r="C1261" s="1">
        <v>672.63990000000001</v>
      </c>
      <c r="D1261" s="1">
        <v>106.18</v>
      </c>
      <c r="E1261" s="3"/>
      <c r="F1261" s="20">
        <f t="shared" si="60"/>
        <v>3.2705813917997574E-2</v>
      </c>
      <c r="G1261" s="20">
        <f t="shared" si="61"/>
        <v>9.5451441005309605E-3</v>
      </c>
      <c r="H1261" s="20">
        <f t="shared" si="62"/>
        <v>1.7097680940258413E-2</v>
      </c>
      <c r="I1261" s="3"/>
    </row>
    <row r="1262" spans="1:9" x14ac:dyDescent="0.3">
      <c r="A1262" s="2">
        <v>42341</v>
      </c>
      <c r="B1262" s="1">
        <v>28.8</v>
      </c>
      <c r="C1262" s="1">
        <v>666.25</v>
      </c>
      <c r="D1262" s="1">
        <v>104.38</v>
      </c>
      <c r="E1262" s="3"/>
      <c r="F1262" s="20">
        <f t="shared" si="60"/>
        <v>-9.3313274288843052E-3</v>
      </c>
      <c r="G1262" s="20">
        <f t="shared" si="61"/>
        <v>-1.4542893352904247E-2</v>
      </c>
      <c r="H1262" s="20">
        <f t="shared" si="62"/>
        <v>-1.6061167302111625E-2</v>
      </c>
      <c r="I1262" s="3"/>
    </row>
    <row r="1263" spans="1:9" x14ac:dyDescent="0.3">
      <c r="A1263" s="2">
        <v>42340</v>
      </c>
      <c r="B1263" s="1">
        <v>29.07</v>
      </c>
      <c r="C1263" s="1">
        <v>676.01</v>
      </c>
      <c r="D1263" s="1">
        <v>106.07</v>
      </c>
      <c r="E1263" s="3"/>
      <c r="F1263" s="20">
        <f t="shared" si="60"/>
        <v>-9.0746278070386668E-3</v>
      </c>
      <c r="G1263" s="20">
        <f t="shared" si="61"/>
        <v>-4.5017673271452487E-3</v>
      </c>
      <c r="H1263" s="20">
        <f t="shared" si="62"/>
        <v>-9.8504478655383476E-3</v>
      </c>
      <c r="I1263" s="3"/>
    </row>
    <row r="1264" spans="1:9" x14ac:dyDescent="0.3">
      <c r="A1264" s="2">
        <v>42339</v>
      </c>
      <c r="B1264" s="1">
        <v>29.335000000000001</v>
      </c>
      <c r="C1264" s="1">
        <v>679.06010000000003</v>
      </c>
      <c r="D1264" s="1">
        <v>107.12</v>
      </c>
      <c r="E1264" s="3"/>
      <c r="F1264" s="20">
        <f t="shared" si="60"/>
        <v>-8.1480674866271745E-3</v>
      </c>
      <c r="G1264" s="20">
        <f t="shared" si="61"/>
        <v>2.1223392618865508E-2</v>
      </c>
      <c r="H1264" s="20">
        <f t="shared" si="62"/>
        <v>2.7253768566327431E-2</v>
      </c>
      <c r="I1264" s="3"/>
    </row>
    <row r="1265" spans="1:9" x14ac:dyDescent="0.3">
      <c r="A1265" s="2">
        <v>42338</v>
      </c>
      <c r="B1265" s="1">
        <v>29.574999999999999</v>
      </c>
      <c r="C1265" s="1">
        <v>664.8</v>
      </c>
      <c r="D1265" s="1">
        <v>104.24</v>
      </c>
      <c r="E1265" s="3"/>
      <c r="F1265" s="20">
        <f t="shared" si="60"/>
        <v>4.1506137263132145E-3</v>
      </c>
      <c r="G1265" s="20">
        <f t="shared" si="61"/>
        <v>-1.2645341363591489E-2</v>
      </c>
      <c r="H1265" s="20">
        <f t="shared" si="62"/>
        <v>-1.1540974108194036E-2</v>
      </c>
      <c r="I1265" s="3"/>
    </row>
    <row r="1266" spans="1:9" x14ac:dyDescent="0.3">
      <c r="A1266" s="2">
        <v>42335</v>
      </c>
      <c r="B1266" s="1">
        <v>29.452500000000001</v>
      </c>
      <c r="C1266" s="1">
        <v>673.26</v>
      </c>
      <c r="D1266" s="1">
        <v>105.45</v>
      </c>
      <c r="E1266" s="3"/>
      <c r="F1266" s="20">
        <f t="shared" si="60"/>
        <v>-1.8656721829497342E-3</v>
      </c>
      <c r="G1266" s="20">
        <f t="shared" si="61"/>
        <v>-3.0848309288285052E-3</v>
      </c>
      <c r="H1266" s="20">
        <f t="shared" si="62"/>
        <v>3.7939865768586944E-4</v>
      </c>
      <c r="I1266" s="3"/>
    </row>
    <row r="1267" spans="1:9" x14ac:dyDescent="0.3">
      <c r="A1267" s="2">
        <v>42334</v>
      </c>
      <c r="B1267" s="1">
        <v>29.5075</v>
      </c>
      <c r="C1267" s="1">
        <v>675.34010000000001</v>
      </c>
      <c r="D1267" s="1">
        <v>105.41</v>
      </c>
      <c r="E1267" s="3"/>
      <c r="F1267" s="20">
        <f t="shared" si="60"/>
        <v>0</v>
      </c>
      <c r="G1267" s="20">
        <f t="shared" si="61"/>
        <v>0</v>
      </c>
      <c r="H1267" s="20">
        <f t="shared" si="62"/>
        <v>0</v>
      </c>
      <c r="I1267" s="3"/>
    </row>
    <row r="1268" spans="1:9" x14ac:dyDescent="0.3">
      <c r="A1268" s="2">
        <v>42333</v>
      </c>
      <c r="B1268" s="1">
        <v>29.5075</v>
      </c>
      <c r="C1268" s="1">
        <v>675.34010000000001</v>
      </c>
      <c r="D1268" s="1">
        <v>105.41</v>
      </c>
      <c r="E1268" s="3"/>
      <c r="F1268" s="20">
        <f t="shared" si="60"/>
        <v>-7.1757515284713606E-3</v>
      </c>
      <c r="G1268" s="20">
        <f t="shared" si="61"/>
        <v>6.2239058980127831E-3</v>
      </c>
      <c r="H1268" s="20">
        <f t="shared" si="62"/>
        <v>-3.1257425402063028E-3</v>
      </c>
      <c r="I1268" s="3"/>
    </row>
    <row r="1269" spans="1:9" x14ac:dyDescent="0.3">
      <c r="A1269" s="2">
        <v>42332</v>
      </c>
      <c r="B1269" s="1">
        <v>29.72</v>
      </c>
      <c r="C1269" s="1">
        <v>671.1499</v>
      </c>
      <c r="D1269" s="1">
        <v>105.74</v>
      </c>
      <c r="E1269" s="3"/>
      <c r="F1269" s="20">
        <f t="shared" si="60"/>
        <v>9.5508480729218151E-3</v>
      </c>
      <c r="G1269" s="20">
        <f t="shared" si="61"/>
        <v>-1.1613889974098658E-2</v>
      </c>
      <c r="H1269" s="20">
        <f t="shared" si="62"/>
        <v>-1.1378184721110593E-2</v>
      </c>
      <c r="I1269" s="3"/>
    </row>
    <row r="1270" spans="1:9" x14ac:dyDescent="0.3">
      <c r="A1270" s="2">
        <v>42331</v>
      </c>
      <c r="B1270" s="1">
        <v>29.4375</v>
      </c>
      <c r="C1270" s="1">
        <v>678.99</v>
      </c>
      <c r="D1270" s="1">
        <v>106.95</v>
      </c>
      <c r="E1270" s="3"/>
      <c r="F1270" s="20">
        <f t="shared" si="60"/>
        <v>-1.3077596207343322E-2</v>
      </c>
      <c r="G1270" s="20">
        <f t="shared" si="61"/>
        <v>1.5644800480612585E-2</v>
      </c>
      <c r="H1270" s="20">
        <f t="shared" si="62"/>
        <v>-3.4535900290086239E-3</v>
      </c>
      <c r="I1270" s="3"/>
    </row>
    <row r="1271" spans="1:9" x14ac:dyDescent="0.3">
      <c r="A1271" s="2">
        <v>42328</v>
      </c>
      <c r="B1271" s="1">
        <v>29.824999999999999</v>
      </c>
      <c r="C1271" s="1">
        <v>668.45</v>
      </c>
      <c r="D1271" s="1">
        <v>107.32</v>
      </c>
      <c r="E1271" s="3"/>
      <c r="F1271" s="20">
        <f t="shared" si="60"/>
        <v>4.3682865161562296E-3</v>
      </c>
      <c r="G1271" s="20">
        <f t="shared" si="61"/>
        <v>1.0799370967324095E-2</v>
      </c>
      <c r="H1271" s="20">
        <f t="shared" si="62"/>
        <v>9.9261045346262129E-3</v>
      </c>
      <c r="I1271" s="3"/>
    </row>
    <row r="1272" spans="1:9" x14ac:dyDescent="0.3">
      <c r="A1272" s="2">
        <v>42327</v>
      </c>
      <c r="B1272" s="1">
        <v>29.695</v>
      </c>
      <c r="C1272" s="1">
        <v>661.27</v>
      </c>
      <c r="D1272" s="1">
        <v>106.26</v>
      </c>
      <c r="E1272" s="3"/>
      <c r="F1272" s="20">
        <f t="shared" si="60"/>
        <v>1.2623542054300465E-2</v>
      </c>
      <c r="G1272" s="20">
        <f t="shared" si="61"/>
        <v>-3.4269098535159971E-3</v>
      </c>
      <c r="H1272" s="20">
        <f t="shared" si="62"/>
        <v>-1.4110405585943099E-2</v>
      </c>
      <c r="I1272" s="3"/>
    </row>
    <row r="1273" spans="1:9" x14ac:dyDescent="0.3">
      <c r="A1273" s="2">
        <v>42326</v>
      </c>
      <c r="B1273" s="1">
        <v>29.322500000000002</v>
      </c>
      <c r="C1273" s="1">
        <v>663.54</v>
      </c>
      <c r="D1273" s="1">
        <v>107.77</v>
      </c>
      <c r="E1273" s="3"/>
      <c r="F1273" s="20">
        <f t="shared" si="60"/>
        <v>3.1174054392398474E-2</v>
      </c>
      <c r="G1273" s="20">
        <f t="shared" si="61"/>
        <v>3.0977959898369069E-2</v>
      </c>
      <c r="H1273" s="20">
        <f t="shared" si="62"/>
        <v>2.4801647021000878E-2</v>
      </c>
      <c r="I1273" s="3"/>
    </row>
    <row r="1274" spans="1:9" x14ac:dyDescent="0.3">
      <c r="A1274" s="2">
        <v>42325</v>
      </c>
      <c r="B1274" s="1">
        <v>28.422499999999999</v>
      </c>
      <c r="C1274" s="1">
        <v>643.29999999999995</v>
      </c>
      <c r="D1274" s="1">
        <v>105.13</v>
      </c>
      <c r="E1274" s="3"/>
      <c r="F1274" s="20">
        <f t="shared" si="60"/>
        <v>-4.2551612315568539E-3</v>
      </c>
      <c r="G1274" s="20">
        <f t="shared" si="61"/>
        <v>-6.9864194305940715E-3</v>
      </c>
      <c r="H1274" s="20">
        <f t="shared" si="62"/>
        <v>1.0422239007288597E-2</v>
      </c>
      <c r="I1274" s="3"/>
    </row>
    <row r="1275" spans="1:9" x14ac:dyDescent="0.3">
      <c r="A1275" s="2">
        <v>42324</v>
      </c>
      <c r="B1275" s="1">
        <v>28.543700000000001</v>
      </c>
      <c r="C1275" s="1">
        <v>647.81010000000003</v>
      </c>
      <c r="D1275" s="1">
        <v>104.04</v>
      </c>
      <c r="E1275" s="3"/>
      <c r="F1275" s="20">
        <f t="shared" si="60"/>
        <v>1.6200620268285306E-2</v>
      </c>
      <c r="G1275" s="20">
        <f t="shared" si="61"/>
        <v>8.4641156915736659E-3</v>
      </c>
      <c r="H1275" s="20">
        <f t="shared" si="62"/>
        <v>8.6542627642890145E-4</v>
      </c>
      <c r="I1275" s="3"/>
    </row>
    <row r="1276" spans="1:9" x14ac:dyDescent="0.3">
      <c r="A1276" s="2">
        <v>42321</v>
      </c>
      <c r="B1276" s="1">
        <v>28.085000000000001</v>
      </c>
      <c r="C1276" s="1">
        <v>642.3501</v>
      </c>
      <c r="D1276" s="1">
        <v>103.95</v>
      </c>
      <c r="E1276" s="3"/>
      <c r="F1276" s="20">
        <f t="shared" si="60"/>
        <v>-2.9643493003647593E-2</v>
      </c>
      <c r="G1276" s="20">
        <f t="shared" si="61"/>
        <v>-3.5555557591397086E-2</v>
      </c>
      <c r="H1276" s="20">
        <f t="shared" si="62"/>
        <v>-3.8406380860723122E-2</v>
      </c>
      <c r="I1276" s="3"/>
    </row>
    <row r="1277" spans="1:9" x14ac:dyDescent="0.3">
      <c r="A1277" s="2">
        <v>42320</v>
      </c>
      <c r="B1277" s="1">
        <v>28.93</v>
      </c>
      <c r="C1277" s="1">
        <v>665.6001</v>
      </c>
      <c r="D1277" s="1">
        <v>108.02</v>
      </c>
      <c r="E1277" s="3"/>
      <c r="F1277" s="20">
        <f t="shared" si="60"/>
        <v>-3.3645375309804674E-3</v>
      </c>
      <c r="G1277" s="20">
        <f t="shared" si="61"/>
        <v>-1.1427691944336096E-2</v>
      </c>
      <c r="H1277" s="20">
        <f t="shared" si="62"/>
        <v>-9.1232259755221756E-3</v>
      </c>
      <c r="I1277" s="3"/>
    </row>
    <row r="1278" spans="1:9" x14ac:dyDescent="0.3">
      <c r="A1278" s="2">
        <v>42319</v>
      </c>
      <c r="B1278" s="1">
        <v>29.0275</v>
      </c>
      <c r="C1278" s="1">
        <v>673.25</v>
      </c>
      <c r="D1278" s="1">
        <v>109.01</v>
      </c>
      <c r="E1278" s="3"/>
      <c r="F1278" s="20">
        <f t="shared" si="60"/>
        <v>-5.6681704487087283E-3</v>
      </c>
      <c r="G1278" s="20">
        <f t="shared" si="61"/>
        <v>2.0362014321778928E-2</v>
      </c>
      <c r="H1278" s="20">
        <f t="shared" si="62"/>
        <v>1.0142074764624896E-2</v>
      </c>
      <c r="I1278" s="3"/>
    </row>
    <row r="1279" spans="1:9" x14ac:dyDescent="0.3">
      <c r="A1279" s="2">
        <v>42318</v>
      </c>
      <c r="B1279" s="1">
        <v>29.192499999999999</v>
      </c>
      <c r="C1279" s="1">
        <v>659.67989999999998</v>
      </c>
      <c r="D1279" s="1">
        <v>107.91</v>
      </c>
      <c r="E1279" s="3"/>
      <c r="F1279" s="20">
        <f t="shared" si="60"/>
        <v>-3.2024309041595929E-2</v>
      </c>
      <c r="G1279" s="20">
        <f t="shared" si="61"/>
        <v>6.3716698126713182E-3</v>
      </c>
      <c r="H1279" s="20">
        <f t="shared" si="62"/>
        <v>1.3246462348349931E-2</v>
      </c>
      <c r="I1279" s="3"/>
    </row>
    <row r="1280" spans="1:9" x14ac:dyDescent="0.3">
      <c r="A1280" s="2">
        <v>42317</v>
      </c>
      <c r="B1280" s="1">
        <v>30.142499999999998</v>
      </c>
      <c r="C1280" s="1">
        <v>655.49</v>
      </c>
      <c r="D1280" s="1">
        <v>106.49</v>
      </c>
      <c r="E1280" s="3"/>
      <c r="F1280" s="20">
        <f t="shared" si="60"/>
        <v>-4.0557933343218378E-3</v>
      </c>
      <c r="G1280" s="20">
        <f t="shared" si="61"/>
        <v>-5.9019377999402906E-3</v>
      </c>
      <c r="H1280" s="20">
        <f t="shared" si="62"/>
        <v>-5.6652069958132859E-3</v>
      </c>
      <c r="I1280" s="3"/>
    </row>
    <row r="1281" spans="1:9" x14ac:dyDescent="0.3">
      <c r="A1281" s="2">
        <v>42314</v>
      </c>
      <c r="B1281" s="1">
        <v>30.265000000000001</v>
      </c>
      <c r="C1281" s="1">
        <v>659.37009999999998</v>
      </c>
      <c r="D1281" s="1">
        <v>107.095</v>
      </c>
      <c r="E1281" s="3"/>
      <c r="F1281" s="20">
        <f t="shared" si="60"/>
        <v>1.1571205522838241E-3</v>
      </c>
      <c r="G1281" s="20">
        <f t="shared" si="61"/>
        <v>5.6580279001762534E-3</v>
      </c>
      <c r="H1281" s="20">
        <f t="shared" si="62"/>
        <v>-1.54273287411644E-2</v>
      </c>
      <c r="I1281" s="3"/>
    </row>
    <row r="1282" spans="1:9" x14ac:dyDescent="0.3">
      <c r="A1282" s="2">
        <v>42313</v>
      </c>
      <c r="B1282" s="1">
        <v>30.23</v>
      </c>
      <c r="C1282" s="1">
        <v>655.6499</v>
      </c>
      <c r="D1282" s="1">
        <v>108.76</v>
      </c>
      <c r="E1282" s="3"/>
      <c r="F1282" s="20">
        <f t="shared" si="60"/>
        <v>-8.8918748219992336E-3</v>
      </c>
      <c r="G1282" s="20">
        <f t="shared" si="61"/>
        <v>2.2675506698878359E-2</v>
      </c>
      <c r="H1282" s="20">
        <f t="shared" si="62"/>
        <v>4.5329810183974292E-2</v>
      </c>
      <c r="I1282" s="3"/>
    </row>
    <row r="1283" spans="1:9" x14ac:dyDescent="0.3">
      <c r="A1283" s="2">
        <v>42312</v>
      </c>
      <c r="B1283" s="1">
        <v>30.5</v>
      </c>
      <c r="C1283" s="1">
        <v>640.95000000000005</v>
      </c>
      <c r="D1283" s="1">
        <v>103.94</v>
      </c>
      <c r="E1283" s="3"/>
      <c r="F1283" s="20">
        <f t="shared" si="60"/>
        <v>-4.6612506198171815E-3</v>
      </c>
      <c r="G1283" s="20">
        <f t="shared" si="61"/>
        <v>2.4703764068416078E-2</v>
      </c>
      <c r="H1283" s="20">
        <f t="shared" si="62"/>
        <v>1.3170827619173455E-2</v>
      </c>
      <c r="I1283" s="3"/>
    </row>
    <row r="1284" spans="1:9" x14ac:dyDescent="0.3">
      <c r="A1284" s="2">
        <v>42311</v>
      </c>
      <c r="B1284" s="1">
        <v>30.642499999999998</v>
      </c>
      <c r="C1284" s="1">
        <v>625.31010000000003</v>
      </c>
      <c r="D1284" s="1">
        <v>102.58</v>
      </c>
      <c r="E1284" s="3"/>
      <c r="F1284" s="20">
        <f t="shared" si="60"/>
        <v>1.1405251836230734E-2</v>
      </c>
      <c r="G1284" s="20">
        <f t="shared" si="61"/>
        <v>-4.8498085183855452E-3</v>
      </c>
      <c r="H1284" s="20">
        <f t="shared" si="62"/>
        <v>-7.0911949002317167E-3</v>
      </c>
      <c r="I1284" s="3"/>
    </row>
    <row r="1285" spans="1:9" x14ac:dyDescent="0.3">
      <c r="A1285" s="2">
        <v>42310</v>
      </c>
      <c r="B1285" s="1">
        <v>30.295000000000002</v>
      </c>
      <c r="C1285" s="1">
        <v>628.3501</v>
      </c>
      <c r="D1285" s="1">
        <v>103.31</v>
      </c>
      <c r="E1285" s="3"/>
      <c r="F1285" s="20">
        <f t="shared" si="60"/>
        <v>1.3960672145277594E-2</v>
      </c>
      <c r="G1285" s="20">
        <f t="shared" si="61"/>
        <v>3.907041047401417E-3</v>
      </c>
      <c r="H1285" s="20">
        <f t="shared" si="62"/>
        <v>1.3055524485219705E-2</v>
      </c>
      <c r="I1285" s="3"/>
    </row>
    <row r="1286" spans="1:9" x14ac:dyDescent="0.3">
      <c r="A1286" s="2">
        <v>42307</v>
      </c>
      <c r="B1286" s="1">
        <v>29.875</v>
      </c>
      <c r="C1286" s="1">
        <v>625.8999</v>
      </c>
      <c r="D1286" s="1">
        <v>101.97</v>
      </c>
      <c r="E1286" s="3"/>
      <c r="F1286" s="20">
        <f t="shared" ref="F1286:F1303" si="63">LN(B1286/B1287)</f>
        <v>-8.5823132286868865E-3</v>
      </c>
      <c r="G1286" s="20">
        <f t="shared" ref="G1286:G1303" si="64">LN(C1286/C1287)</f>
        <v>-1.0381254505822789E-3</v>
      </c>
      <c r="H1286" s="20">
        <f t="shared" ref="H1286:H1303" si="65">LN(D1286/D1287)</f>
        <v>-2.8138187079309995E-2</v>
      </c>
      <c r="I1286" s="3"/>
    </row>
    <row r="1287" spans="1:9" x14ac:dyDescent="0.3">
      <c r="A1287" s="2">
        <v>42306</v>
      </c>
      <c r="B1287" s="1">
        <v>30.1325</v>
      </c>
      <c r="C1287" s="1">
        <v>626.54999999999995</v>
      </c>
      <c r="D1287" s="1">
        <v>104.88</v>
      </c>
      <c r="E1287" s="3"/>
      <c r="F1287" s="20">
        <f t="shared" si="63"/>
        <v>1.0508854009674704E-2</v>
      </c>
      <c r="G1287" s="20">
        <f t="shared" si="64"/>
        <v>1.5197332235995452E-2</v>
      </c>
      <c r="H1287" s="20">
        <f t="shared" si="65"/>
        <v>6.50471013617773E-3</v>
      </c>
      <c r="I1287" s="3"/>
    </row>
    <row r="1288" spans="1:9" x14ac:dyDescent="0.3">
      <c r="A1288" s="2">
        <v>42305</v>
      </c>
      <c r="B1288" s="1">
        <v>29.817499999999999</v>
      </c>
      <c r="C1288" s="1">
        <v>617.1001</v>
      </c>
      <c r="D1288" s="1">
        <v>104.2</v>
      </c>
      <c r="E1288" s="3"/>
      <c r="F1288" s="20">
        <f t="shared" si="63"/>
        <v>4.0378421691073148E-2</v>
      </c>
      <c r="G1288" s="20">
        <f t="shared" si="64"/>
        <v>9.9179217255232748E-3</v>
      </c>
      <c r="H1288" s="20">
        <f t="shared" si="65"/>
        <v>4.810014083784878E-3</v>
      </c>
      <c r="I1288" s="3"/>
    </row>
    <row r="1289" spans="1:9" x14ac:dyDescent="0.3">
      <c r="A1289" s="2">
        <v>42304</v>
      </c>
      <c r="B1289" s="1">
        <v>28.637499999999999</v>
      </c>
      <c r="C1289" s="1">
        <v>611.01</v>
      </c>
      <c r="D1289" s="1">
        <v>103.7</v>
      </c>
      <c r="E1289" s="3"/>
      <c r="F1289" s="20">
        <f t="shared" si="63"/>
        <v>-6.3525427917621958E-3</v>
      </c>
      <c r="G1289" s="20">
        <f t="shared" si="64"/>
        <v>3.9354928596059911E-3</v>
      </c>
      <c r="H1289" s="20">
        <f t="shared" si="65"/>
        <v>-6.747963817053652E-4</v>
      </c>
      <c r="I1289" s="3"/>
    </row>
    <row r="1290" spans="1:9" x14ac:dyDescent="0.3">
      <c r="A1290" s="2">
        <v>42303</v>
      </c>
      <c r="B1290" s="1">
        <v>28.82</v>
      </c>
      <c r="C1290" s="1">
        <v>608.61009999999999</v>
      </c>
      <c r="D1290" s="1">
        <v>103.77</v>
      </c>
      <c r="E1290" s="3"/>
      <c r="F1290" s="20">
        <f t="shared" si="63"/>
        <v>-3.2431584456309004E-2</v>
      </c>
      <c r="G1290" s="20">
        <f t="shared" si="64"/>
        <v>1.5866152456401023E-2</v>
      </c>
      <c r="H1290" s="20">
        <f t="shared" si="65"/>
        <v>1.5343085993069234E-2</v>
      </c>
      <c r="I1290" s="3"/>
    </row>
    <row r="1291" spans="1:9" x14ac:dyDescent="0.3">
      <c r="A1291" s="2">
        <v>42300</v>
      </c>
      <c r="B1291" s="1">
        <v>29.77</v>
      </c>
      <c r="C1291" s="1">
        <v>599.03</v>
      </c>
      <c r="D1291" s="1">
        <v>102.19</v>
      </c>
      <c r="E1291" s="3"/>
      <c r="F1291" s="20">
        <f t="shared" si="63"/>
        <v>3.0525006185727319E-2</v>
      </c>
      <c r="G1291" s="20">
        <f t="shared" si="64"/>
        <v>6.0417193370432484E-2</v>
      </c>
      <c r="H1291" s="20">
        <f t="shared" si="65"/>
        <v>2.496909664475273E-2</v>
      </c>
      <c r="I1291" s="3"/>
    </row>
    <row r="1292" spans="1:9" x14ac:dyDescent="0.3">
      <c r="A1292" s="2">
        <v>42299</v>
      </c>
      <c r="B1292" s="1">
        <v>28.875</v>
      </c>
      <c r="C1292" s="1">
        <v>563.90989999999999</v>
      </c>
      <c r="D1292" s="1">
        <v>99.67</v>
      </c>
      <c r="E1292" s="3"/>
      <c r="F1292" s="20">
        <f t="shared" si="63"/>
        <v>1.5179563906917493E-2</v>
      </c>
      <c r="G1292" s="20">
        <f t="shared" si="64"/>
        <v>1.4539947362152247E-2</v>
      </c>
      <c r="H1292" s="20">
        <f t="shared" si="65"/>
        <v>2.6020372373102219E-2</v>
      </c>
      <c r="I1292" s="3"/>
    </row>
    <row r="1293" spans="1:9" x14ac:dyDescent="0.3">
      <c r="A1293" s="2">
        <v>42298</v>
      </c>
      <c r="B1293" s="1">
        <v>28.44</v>
      </c>
      <c r="C1293" s="1">
        <v>555.77</v>
      </c>
      <c r="D1293" s="1">
        <v>97.11</v>
      </c>
      <c r="E1293" s="3"/>
      <c r="F1293" s="20">
        <f t="shared" si="63"/>
        <v>-8.7900496694371974E-5</v>
      </c>
      <c r="G1293" s="20">
        <f t="shared" si="64"/>
        <v>-9.1522610062564937E-3</v>
      </c>
      <c r="H1293" s="20">
        <f t="shared" si="65"/>
        <v>1.1333781028797594E-3</v>
      </c>
      <c r="I1293" s="3"/>
    </row>
    <row r="1294" spans="1:9" x14ac:dyDescent="0.3">
      <c r="A1294" s="2">
        <v>42297</v>
      </c>
      <c r="B1294" s="1">
        <v>28.442499999999999</v>
      </c>
      <c r="C1294" s="1">
        <v>560.87990000000002</v>
      </c>
      <c r="D1294" s="1">
        <v>97</v>
      </c>
      <c r="E1294" s="3"/>
      <c r="F1294" s="20">
        <f t="shared" si="63"/>
        <v>1.8093619992378587E-2</v>
      </c>
      <c r="G1294" s="20">
        <f t="shared" si="64"/>
        <v>-2.1640487479167782E-2</v>
      </c>
      <c r="H1294" s="20">
        <f t="shared" si="65"/>
        <v>-1.5040954756327836E-2</v>
      </c>
      <c r="I1294" s="3"/>
    </row>
    <row r="1295" spans="1:9" x14ac:dyDescent="0.3">
      <c r="A1295" s="2">
        <v>42296</v>
      </c>
      <c r="B1295" s="1">
        <v>27.932500000000001</v>
      </c>
      <c r="C1295" s="1">
        <v>573.1499</v>
      </c>
      <c r="D1295" s="1">
        <v>98.47</v>
      </c>
      <c r="E1295" s="3"/>
      <c r="F1295" s="20">
        <f t="shared" si="63"/>
        <v>6.1947498007521714E-3</v>
      </c>
      <c r="G1295" s="20">
        <f t="shared" si="64"/>
        <v>4.1784820242330885E-3</v>
      </c>
      <c r="H1295" s="20">
        <f t="shared" si="65"/>
        <v>9.4893829778040315E-3</v>
      </c>
      <c r="I1295" s="3"/>
    </row>
    <row r="1296" spans="1:9" x14ac:dyDescent="0.3">
      <c r="A1296" s="2">
        <v>42293</v>
      </c>
      <c r="B1296" s="1">
        <v>27.76</v>
      </c>
      <c r="C1296" s="1">
        <v>570.76</v>
      </c>
      <c r="D1296" s="1">
        <v>97.54</v>
      </c>
      <c r="E1296" s="3"/>
      <c r="F1296" s="20">
        <f t="shared" si="63"/>
        <v>-7.3575926349475351E-3</v>
      </c>
      <c r="G1296" s="20">
        <f t="shared" si="64"/>
        <v>1.4684522136517927E-2</v>
      </c>
      <c r="H1296" s="20">
        <f t="shared" si="65"/>
        <v>1.6331112310412843E-2</v>
      </c>
      <c r="I1296" s="3"/>
    </row>
    <row r="1297" spans="1:9" x14ac:dyDescent="0.3">
      <c r="A1297" s="2">
        <v>42292</v>
      </c>
      <c r="B1297" s="1">
        <v>27.965</v>
      </c>
      <c r="C1297" s="1">
        <v>562.43989999999997</v>
      </c>
      <c r="D1297" s="1">
        <v>95.96</v>
      </c>
      <c r="E1297" s="3"/>
      <c r="F1297" s="20">
        <f t="shared" si="63"/>
        <v>1.4860452689991421E-2</v>
      </c>
      <c r="G1297" s="20">
        <f t="shared" si="64"/>
        <v>3.1810280983865714E-2</v>
      </c>
      <c r="H1297" s="20">
        <f t="shared" si="65"/>
        <v>1.9892251987633745E-2</v>
      </c>
      <c r="I1297" s="3"/>
    </row>
    <row r="1298" spans="1:9" x14ac:dyDescent="0.3">
      <c r="A1298" s="2">
        <v>42291</v>
      </c>
      <c r="B1298" s="1">
        <v>27.552499999999998</v>
      </c>
      <c r="C1298" s="1">
        <v>544.83010000000002</v>
      </c>
      <c r="D1298" s="1">
        <v>94.07</v>
      </c>
      <c r="E1298" s="3"/>
      <c r="F1298" s="20">
        <f t="shared" si="63"/>
        <v>-1.4234474578783943E-2</v>
      </c>
      <c r="G1298" s="20">
        <f t="shared" si="64"/>
        <v>-7.4420904312893447E-3</v>
      </c>
      <c r="H1298" s="20">
        <f t="shared" si="65"/>
        <v>-5.3137787530181549E-4</v>
      </c>
      <c r="I1298" s="3"/>
    </row>
    <row r="1299" spans="1:9" x14ac:dyDescent="0.3">
      <c r="A1299" s="2">
        <v>42290</v>
      </c>
      <c r="B1299" s="1">
        <v>27.947500000000002</v>
      </c>
      <c r="C1299" s="1">
        <v>548.8999</v>
      </c>
      <c r="D1299" s="1">
        <v>94.12</v>
      </c>
      <c r="E1299" s="3"/>
      <c r="F1299" s="20">
        <f t="shared" si="63"/>
        <v>1.7010613350238871E-3</v>
      </c>
      <c r="G1299" s="20">
        <f t="shared" si="64"/>
        <v>-2.3473979875979546E-3</v>
      </c>
      <c r="H1299" s="20">
        <f t="shared" si="65"/>
        <v>-1.486357636423013E-3</v>
      </c>
      <c r="I1299" s="3"/>
    </row>
    <row r="1300" spans="1:9" x14ac:dyDescent="0.3">
      <c r="A1300" s="2">
        <v>42289</v>
      </c>
      <c r="B1300" s="1">
        <v>27.9</v>
      </c>
      <c r="C1300" s="1">
        <v>550.18989999999997</v>
      </c>
      <c r="D1300" s="1">
        <v>94.26</v>
      </c>
      <c r="E1300" s="3"/>
      <c r="F1300" s="20">
        <f t="shared" si="63"/>
        <v>-4.6486763493771115E-3</v>
      </c>
      <c r="G1300" s="20">
        <f t="shared" si="64"/>
        <v>1.9064790776973706E-2</v>
      </c>
      <c r="H1300" s="20">
        <f t="shared" si="65"/>
        <v>1.0880107328028422E-2</v>
      </c>
      <c r="I1300" s="3"/>
    </row>
    <row r="1301" spans="1:9" x14ac:dyDescent="0.3">
      <c r="A1301" s="2">
        <v>42286</v>
      </c>
      <c r="B1301" s="1">
        <v>28.03</v>
      </c>
      <c r="C1301" s="1">
        <v>539.79999999999995</v>
      </c>
      <c r="D1301" s="1">
        <v>93.24</v>
      </c>
      <c r="E1301" s="3"/>
      <c r="F1301" s="20">
        <f t="shared" si="63"/>
        <v>2.3645177040032089E-2</v>
      </c>
      <c r="G1301" s="20">
        <f t="shared" si="64"/>
        <v>1.2377321409061622E-2</v>
      </c>
      <c r="H1301" s="20">
        <f t="shared" si="65"/>
        <v>8.2925465780091436E-3</v>
      </c>
      <c r="I1301" s="3"/>
    </row>
    <row r="1302" spans="1:9" x14ac:dyDescent="0.3">
      <c r="A1302" s="2">
        <v>42285</v>
      </c>
      <c r="B1302" s="1">
        <v>27.375</v>
      </c>
      <c r="C1302" s="1">
        <v>533.15989999999999</v>
      </c>
      <c r="D1302" s="1">
        <v>92.47</v>
      </c>
      <c r="E1302" s="3"/>
      <c r="F1302" s="20">
        <f t="shared" si="63"/>
        <v>-1.1621703348402354E-2</v>
      </c>
      <c r="G1302" s="20">
        <f t="shared" si="64"/>
        <v>-1.6333730507683882E-2</v>
      </c>
      <c r="H1302" s="20">
        <f t="shared" si="65"/>
        <v>7.5728894190875765E-4</v>
      </c>
      <c r="I1302" s="3"/>
    </row>
    <row r="1303" spans="1:9" x14ac:dyDescent="0.3">
      <c r="A1303" s="2">
        <v>42284</v>
      </c>
      <c r="B1303" s="1">
        <v>27.695</v>
      </c>
      <c r="C1303" s="1">
        <v>541.93989999999997</v>
      </c>
      <c r="D1303" s="1">
        <v>92.4</v>
      </c>
      <c r="E1303" s="3"/>
      <c r="F1303" s="20">
        <f t="shared" si="63"/>
        <v>-4.7728489001765736E-3</v>
      </c>
      <c r="G1303" s="20">
        <f t="shared" si="64"/>
        <v>8.2635596753173057E-3</v>
      </c>
      <c r="H1303" s="20">
        <f t="shared" si="65"/>
        <v>-4.3196611445162842E-3</v>
      </c>
      <c r="I1303" s="3"/>
    </row>
    <row r="1304" spans="1:9" x14ac:dyDescent="0.3">
      <c r="A1304" s="2"/>
      <c r="B1304" s="1">
        <v>27.827500000000001</v>
      </c>
      <c r="C1304" s="1">
        <v>537.48</v>
      </c>
      <c r="D1304" s="1">
        <v>92.8</v>
      </c>
      <c r="E1304" s="3"/>
      <c r="F1304" s="3"/>
      <c r="G1304" s="3"/>
      <c r="H1304" s="3"/>
      <c r="I1304" s="3"/>
    </row>
    <row r="1305" spans="1:9" x14ac:dyDescent="0.3">
      <c r="E1305" s="3"/>
      <c r="F1305" s="3"/>
      <c r="G1305" s="3"/>
      <c r="H1305" s="3"/>
      <c r="I1305" s="3"/>
    </row>
  </sheetData>
  <mergeCells count="2">
    <mergeCell ref="F3:H3"/>
    <mergeCell ref="S29:T30"/>
  </mergeCells>
  <dataValidations count="1">
    <dataValidation allowBlank="1" showErrorMessage="1" promptTitle="TRAFO" prompt="$A$1:$D$1310" sqref="A1" xr:uid="{7C2695FF-56A3-438F-85ED-912F0F3B4324}"/>
  </dataValidation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30A5-E476-4987-AE21-6250E9E828B9}">
  <dimension ref="A1:S35"/>
  <sheetViews>
    <sheetView topLeftCell="B1" zoomScale="85" zoomScaleNormal="85" workbookViewId="0">
      <selection activeCell="L31" sqref="L31"/>
    </sheetView>
  </sheetViews>
  <sheetFormatPr defaultRowHeight="14.4" x14ac:dyDescent="0.3"/>
  <cols>
    <col min="1" max="1" width="17.33203125" bestFit="1" customWidth="1"/>
    <col min="2" max="2" width="35.77734375" bestFit="1" customWidth="1"/>
    <col min="3" max="3" width="32.6640625" bestFit="1" customWidth="1"/>
    <col min="4" max="4" width="18.109375" bestFit="1" customWidth="1"/>
    <col min="6" max="6" width="8.88671875" bestFit="1" customWidth="1"/>
    <col min="11" max="11" width="15.21875" bestFit="1" customWidth="1"/>
  </cols>
  <sheetData>
    <row r="1" spans="1:19" x14ac:dyDescent="0.3">
      <c r="A1" t="s">
        <v>29</v>
      </c>
    </row>
    <row r="4" spans="1:19" x14ac:dyDescent="0.3">
      <c r="C4" t="s">
        <v>30</v>
      </c>
      <c r="F4" t="s">
        <v>33</v>
      </c>
      <c r="K4" t="s">
        <v>34</v>
      </c>
      <c r="N4" t="s">
        <v>36</v>
      </c>
      <c r="O4">
        <f>D5</f>
        <v>1.3489245089738104E-3</v>
      </c>
      <c r="P4">
        <f>D6</f>
        <v>7.8912042462430049E-4</v>
      </c>
    </row>
    <row r="5" spans="1:19" x14ac:dyDescent="0.3">
      <c r="C5" t="s">
        <v>31</v>
      </c>
      <c r="D5">
        <f>'PORTAFOGLIO A 3'!L5</f>
        <v>1.3489245089738104E-3</v>
      </c>
      <c r="F5">
        <f t="array" ref="F5:G6">'PORTAFOGLIO A 3'!L8:M9</f>
        <v>3.4761111787093838E-4</v>
      </c>
      <c r="G5">
        <v>2.3309145417437012E-4</v>
      </c>
      <c r="K5" cm="1">
        <f t="array" ref="K5:L6">MINVERSE(F5:G6)</f>
        <v>4671.3672499002414</v>
      </c>
      <c r="L5">
        <v>-2676.2851256522258</v>
      </c>
      <c r="R5" t="s">
        <v>54</v>
      </c>
      <c r="S5">
        <f>G5/((F5^0.5)*(G6^0.5))</f>
        <v>0.61981278580250709</v>
      </c>
    </row>
    <row r="6" spans="1:19" x14ac:dyDescent="0.3">
      <c r="C6" t="s">
        <v>32</v>
      </c>
      <c r="D6">
        <f>'PORTAFOGLIO A 3'!M5</f>
        <v>7.8912042462430049E-4</v>
      </c>
      <c r="F6">
        <v>2.3309145417437012E-4</v>
      </c>
      <c r="G6">
        <v>4.0685343083406156E-4</v>
      </c>
      <c r="K6">
        <v>-2676.2851256522258</v>
      </c>
      <c r="L6">
        <v>3991.1650453447987</v>
      </c>
    </row>
    <row r="9" spans="1:19" x14ac:dyDescent="0.3">
      <c r="C9" t="s">
        <v>12</v>
      </c>
      <c r="D9">
        <v>1</v>
      </c>
      <c r="F9" t="s">
        <v>35</v>
      </c>
      <c r="G9">
        <v>1</v>
      </c>
      <c r="H9">
        <v>1</v>
      </c>
    </row>
    <row r="10" spans="1:19" x14ac:dyDescent="0.3">
      <c r="D10">
        <v>1</v>
      </c>
    </row>
    <row r="12" spans="1:19" ht="15" thickBot="1" x14ac:dyDescent="0.35"/>
    <row r="13" spans="1:19" x14ac:dyDescent="0.3">
      <c r="B13" t="s">
        <v>42</v>
      </c>
      <c r="C13" s="15" t="s">
        <v>23</v>
      </c>
      <c r="D13" s="16"/>
      <c r="E13" s="16"/>
      <c r="F13" s="16" t="s">
        <v>13</v>
      </c>
      <c r="G13" s="25" cm="1">
        <f t="array" ref="G13">MMULT(MMULT(G9:H9,K5:L6),D5:D6)</f>
        <v>3.7288137753714503</v>
      </c>
      <c r="H13" s="14"/>
      <c r="I13" s="14"/>
      <c r="J13" s="14"/>
    </row>
    <row r="14" spans="1:19" x14ac:dyDescent="0.3">
      <c r="C14" s="17" t="s">
        <v>24</v>
      </c>
      <c r="D14" s="14"/>
      <c r="E14" s="14"/>
      <c r="F14" s="14" t="s">
        <v>14</v>
      </c>
      <c r="G14" s="27" cm="1">
        <f t="array" ref="G14">MMULT(MMULT(O4:P4,K5:L6),D5:D6)</f>
        <v>5.2877322293401301E-3</v>
      </c>
      <c r="H14" s="14"/>
      <c r="I14" s="14"/>
      <c r="J14" s="14"/>
    </row>
    <row r="15" spans="1:19" x14ac:dyDescent="0.3">
      <c r="C15" s="17" t="s">
        <v>25</v>
      </c>
      <c r="D15" s="14"/>
      <c r="E15" s="14"/>
      <c r="F15" s="14" t="s">
        <v>15</v>
      </c>
      <c r="G15" s="27" cm="1">
        <f t="array" ref="G15">MMULT(MMULT(G9:H9,K5:L6),D9:D10)</f>
        <v>3309.9620439405885</v>
      </c>
      <c r="H15" s="14"/>
      <c r="I15" s="14"/>
      <c r="J15" s="14"/>
    </row>
    <row r="16" spans="1:19" ht="15" thickBot="1" x14ac:dyDescent="0.35">
      <c r="C16" s="18" t="s">
        <v>16</v>
      </c>
      <c r="D16" s="19"/>
      <c r="E16" s="19"/>
      <c r="F16" s="19" t="s">
        <v>2</v>
      </c>
      <c r="G16" s="30">
        <f>G14*G15-G13*G13</f>
        <v>3.5981408062372946</v>
      </c>
      <c r="H16" s="14"/>
      <c r="I16" s="14"/>
      <c r="J16" s="14"/>
    </row>
    <row r="17" spans="2:12" x14ac:dyDescent="0.3">
      <c r="C17" s="15" t="s">
        <v>26</v>
      </c>
      <c r="D17" s="16"/>
      <c r="E17" s="16"/>
      <c r="F17" s="16" t="s">
        <v>17</v>
      </c>
      <c r="G17" s="47" cm="1">
        <f t="array" ref="G17:G18">(G14*(MMULT(K5:L6,D9:D10))-G13*(MMULT(K5:L6,D5:D6)))/G16</f>
        <v>-1.4096367759468118</v>
      </c>
      <c r="H17" s="14"/>
      <c r="I17" s="14"/>
      <c r="J17" s="14"/>
    </row>
    <row r="18" spans="2:12" x14ac:dyDescent="0.3">
      <c r="C18" s="17"/>
      <c r="D18" s="14"/>
      <c r="E18" s="14"/>
      <c r="F18" s="14"/>
      <c r="G18" s="48">
        <v>2.4096367759468111</v>
      </c>
      <c r="H18" s="14"/>
      <c r="I18" s="14"/>
      <c r="J18" s="14"/>
    </row>
    <row r="19" spans="2:12" ht="15" thickBot="1" x14ac:dyDescent="0.35">
      <c r="C19" s="17"/>
      <c r="D19" s="14"/>
      <c r="E19" s="14"/>
      <c r="F19" s="14"/>
      <c r="G19" s="49"/>
      <c r="H19" s="14"/>
      <c r="I19" s="64" t="s">
        <v>28</v>
      </c>
      <c r="J19" s="64"/>
    </row>
    <row r="20" spans="2:12" x14ac:dyDescent="0.3">
      <c r="C20" s="17" t="s">
        <v>27</v>
      </c>
      <c r="D20" s="14"/>
      <c r="E20" s="14"/>
      <c r="F20" s="14" t="s">
        <v>18</v>
      </c>
      <c r="G20" s="47" cm="1">
        <f t="array" ref="G20:G21">(-G13*(MMULT(K5:L6,D9:D10))+G15*(MMULT(K5:L6,D5:D6)))/G16</f>
        <v>1786.3392353808845</v>
      </c>
      <c r="H20" s="14"/>
      <c r="I20" s="64"/>
      <c r="J20" s="64"/>
    </row>
    <row r="21" spans="2:12" x14ac:dyDescent="0.3">
      <c r="C21" s="17"/>
      <c r="D21" s="14"/>
      <c r="E21" s="14"/>
      <c r="F21" s="14"/>
      <c r="G21" s="48">
        <v>-1786.3392353808842</v>
      </c>
      <c r="H21" s="14"/>
      <c r="I21" s="14"/>
      <c r="J21" s="14"/>
    </row>
    <row r="22" spans="2:12" ht="15" thickBot="1" x14ac:dyDescent="0.35">
      <c r="C22" s="18"/>
      <c r="D22" s="19"/>
      <c r="E22" s="19"/>
      <c r="F22" s="19"/>
      <c r="G22" s="49"/>
      <c r="H22" s="14"/>
      <c r="I22" s="14"/>
      <c r="J22" s="14"/>
    </row>
    <row r="23" spans="2:12" ht="15" thickBot="1" x14ac:dyDescent="0.35">
      <c r="C23" s="14"/>
      <c r="D23" s="14"/>
      <c r="E23" s="14"/>
      <c r="F23" s="14"/>
      <c r="G23" s="14"/>
      <c r="H23" s="14"/>
      <c r="I23" s="14"/>
      <c r="J23" s="14"/>
    </row>
    <row r="24" spans="2:12" x14ac:dyDescent="0.3">
      <c r="C24" s="43" t="s">
        <v>22</v>
      </c>
      <c r="D24" s="44" t="s">
        <v>21</v>
      </c>
      <c r="E24" s="14"/>
      <c r="F24" s="14"/>
      <c r="G24" s="14"/>
      <c r="H24" s="14"/>
      <c r="I24" s="14"/>
      <c r="J24" s="14"/>
    </row>
    <row r="25" spans="2:12" x14ac:dyDescent="0.3">
      <c r="C25" s="45" t="s">
        <v>19</v>
      </c>
      <c r="D25" s="46" t="s">
        <v>20</v>
      </c>
      <c r="E25" s="14"/>
      <c r="F25" s="14"/>
      <c r="G25" s="14"/>
      <c r="H25" s="14"/>
      <c r="I25" s="14"/>
      <c r="J25" s="14"/>
    </row>
    <row r="26" spans="2:12" x14ac:dyDescent="0.3">
      <c r="C26" s="17">
        <v>0.999</v>
      </c>
      <c r="D26" s="27">
        <f>($G$15*C26*C26-2*$G$13*C26+$G$14)/$G$16</f>
        <v>916.00099193183883</v>
      </c>
      <c r="E26" s="14"/>
      <c r="F26" s="14"/>
      <c r="G26" s="14"/>
      <c r="H26" s="14"/>
      <c r="I26" s="14"/>
      <c r="J26" s="14"/>
    </row>
    <row r="27" spans="2:12" x14ac:dyDescent="0.3">
      <c r="C27" s="17">
        <v>1</v>
      </c>
      <c r="D27" s="27">
        <f t="shared" ref="D27:D28" si="0">($G$15*C27*C27-2*$G$13*C27+$G$14)/$G$16</f>
        <v>917.83781735201967</v>
      </c>
      <c r="E27" s="14"/>
      <c r="F27" s="14"/>
      <c r="G27" s="14"/>
      <c r="H27" s="14"/>
      <c r="I27" s="14"/>
      <c r="J27" s="14"/>
    </row>
    <row r="28" spans="2:12" ht="15" thickBot="1" x14ac:dyDescent="0.35">
      <c r="C28" s="18">
        <v>1.0009999999999999</v>
      </c>
      <c r="D28" s="27">
        <f t="shared" si="0"/>
        <v>919.67648259016312</v>
      </c>
      <c r="E28" s="14"/>
      <c r="F28" s="14"/>
      <c r="G28" s="14"/>
      <c r="H28" s="14"/>
      <c r="I28" s="14"/>
      <c r="J28" s="14"/>
    </row>
    <row r="31" spans="2:12" x14ac:dyDescent="0.3">
      <c r="B31" t="s">
        <v>40</v>
      </c>
      <c r="C31" s="59" t="s">
        <v>39</v>
      </c>
      <c r="D31" s="60">
        <f>G13/G15</f>
        <v>1.1265427596662736E-3</v>
      </c>
      <c r="E31" s="59"/>
      <c r="F31" s="59"/>
      <c r="G31" s="59"/>
      <c r="H31" s="59"/>
      <c r="I31" s="59"/>
      <c r="J31" s="59"/>
      <c r="L31">
        <f>(1+D31)^365</f>
        <v>1.5082600031184037</v>
      </c>
    </row>
    <row r="32" spans="2:12" x14ac:dyDescent="0.3">
      <c r="C32" s="59"/>
      <c r="D32" s="59"/>
      <c r="E32" s="59"/>
      <c r="F32" s="59"/>
      <c r="G32" s="59"/>
      <c r="H32" s="59"/>
      <c r="I32" s="59"/>
      <c r="J32" s="59"/>
    </row>
    <row r="33" spans="3:10" x14ac:dyDescent="0.3">
      <c r="C33" s="59" t="s">
        <v>41</v>
      </c>
      <c r="D33" s="60" cm="1">
        <f t="array" ref="D33:D34">MMULT(_xlfn.ANCHORARRAY(K5),D9:D10)/G15</f>
        <v>0.60275075597931116</v>
      </c>
      <c r="E33" s="59"/>
      <c r="F33" s="59"/>
      <c r="G33" s="59"/>
      <c r="H33" s="59"/>
      <c r="I33" s="59"/>
      <c r="J33" s="59"/>
    </row>
    <row r="34" spans="3:10" x14ac:dyDescent="0.3">
      <c r="C34" s="59"/>
      <c r="D34" s="60">
        <v>0.39724924402068884</v>
      </c>
      <c r="E34" s="59"/>
      <c r="F34" s="59"/>
      <c r="G34" s="59"/>
      <c r="H34" s="59"/>
      <c r="I34" s="59"/>
      <c r="J34" s="59"/>
    </row>
    <row r="35" spans="3:10" x14ac:dyDescent="0.3">
      <c r="C35" s="59"/>
      <c r="D35" s="59"/>
      <c r="E35" s="59"/>
      <c r="F35" s="59"/>
      <c r="G35" s="59"/>
      <c r="H35" s="59"/>
      <c r="I35" s="59"/>
      <c r="J35" s="59"/>
    </row>
  </sheetData>
  <mergeCells count="1">
    <mergeCell ref="I19:J2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170C-D2A3-42E2-916D-C78AFA9FF08F}">
  <dimension ref="A1:P35"/>
  <sheetViews>
    <sheetView zoomScale="70" zoomScaleNormal="70" workbookViewId="0">
      <selection activeCell="L32" sqref="L32"/>
    </sheetView>
  </sheetViews>
  <sheetFormatPr defaultRowHeight="14.4" x14ac:dyDescent="0.3"/>
  <cols>
    <col min="1" max="1" width="17.33203125" bestFit="1" customWidth="1"/>
    <col min="2" max="2" width="34.44140625" bestFit="1" customWidth="1"/>
    <col min="3" max="3" width="32.6640625" bestFit="1" customWidth="1"/>
    <col min="4" max="4" width="18.109375" bestFit="1" customWidth="1"/>
    <col min="6" max="6" width="8.88671875" bestFit="1" customWidth="1"/>
    <col min="11" max="11" width="15.21875" bestFit="1" customWidth="1"/>
  </cols>
  <sheetData>
    <row r="1" spans="1:16" x14ac:dyDescent="0.3">
      <c r="A1" t="s">
        <v>38</v>
      </c>
    </row>
    <row r="4" spans="1:16" x14ac:dyDescent="0.3">
      <c r="C4" t="s">
        <v>30</v>
      </c>
      <c r="F4" t="s">
        <v>33</v>
      </c>
      <c r="K4" t="s">
        <v>34</v>
      </c>
      <c r="N4" t="s">
        <v>36</v>
      </c>
      <c r="O4">
        <f>D5</f>
        <v>7.8912042462430049E-4</v>
      </c>
      <c r="P4">
        <f>D6</f>
        <v>1.0798906897984005E-3</v>
      </c>
    </row>
    <row r="5" spans="1:16" x14ac:dyDescent="0.3">
      <c r="C5" t="s">
        <v>32</v>
      </c>
      <c r="D5">
        <f>'PORTAFOGLIO A 3'!M5</f>
        <v>7.8912042462430049E-4</v>
      </c>
      <c r="F5">
        <f>'PORTAFOGLIO A 3'!M9</f>
        <v>4.0685343083406156E-4</v>
      </c>
      <c r="G5">
        <f>'PORTAFOGLIO A 3'!K9</f>
        <v>2.1196761323349865E-4</v>
      </c>
      <c r="K5" cm="1">
        <f t="array" ref="K5:L6">MINVERSE(F5:G6)</f>
        <v>3627.0269854155385</v>
      </c>
      <c r="L5">
        <v>-2244.0615596310472</v>
      </c>
    </row>
    <row r="6" spans="1:16" x14ac:dyDescent="0.3">
      <c r="C6" t="s">
        <v>37</v>
      </c>
      <c r="D6">
        <f>'PORTAFOGLIO A 3'!K5</f>
        <v>1.0798906897984005E-3</v>
      </c>
      <c r="F6">
        <f>'PORTAFOGLIO A 3'!M7</f>
        <v>2.1196761323349865E-4</v>
      </c>
      <c r="G6">
        <f>'PORTAFOGLIO A 3'!K7</f>
        <v>3.4259855748272166E-4</v>
      </c>
      <c r="K6">
        <v>-2244.0615596310477</v>
      </c>
      <c r="L6">
        <v>4307.281337045496</v>
      </c>
    </row>
    <row r="9" spans="1:16" x14ac:dyDescent="0.3">
      <c r="C9" t="s">
        <v>12</v>
      </c>
      <c r="D9">
        <v>1</v>
      </c>
      <c r="F9" t="s">
        <v>35</v>
      </c>
      <c r="G9">
        <v>1</v>
      </c>
      <c r="H9">
        <v>1</v>
      </c>
    </row>
    <row r="10" spans="1:16" x14ac:dyDescent="0.3">
      <c r="D10">
        <v>1</v>
      </c>
    </row>
    <row r="12" spans="1:16" ht="15" thickBot="1" x14ac:dyDescent="0.35"/>
    <row r="13" spans="1:16" x14ac:dyDescent="0.3">
      <c r="B13" t="s">
        <v>42</v>
      </c>
      <c r="C13" s="15" t="s">
        <v>23</v>
      </c>
      <c r="D13" s="16"/>
      <c r="E13" s="16"/>
      <c r="F13" s="16" t="s">
        <v>13</v>
      </c>
      <c r="G13" s="25" cm="1">
        <f t="array" ref="G13">MMULT(MMULT(G9:H9,K5:L6),D5:D6)</f>
        <v>3.3193780926735754</v>
      </c>
      <c r="H13" s="14"/>
      <c r="I13" s="14"/>
      <c r="J13" s="14"/>
    </row>
    <row r="14" spans="1:16" x14ac:dyDescent="0.3">
      <c r="C14" s="17" t="s">
        <v>24</v>
      </c>
      <c r="D14" s="14"/>
      <c r="E14" s="14"/>
      <c r="F14" s="14" t="s">
        <v>14</v>
      </c>
      <c r="G14" s="27" cm="1">
        <f t="array" ref="G14">MMULT(MMULT(O4:P4,K5:L6),D5:D6)</f>
        <v>3.4569697226308456E-3</v>
      </c>
      <c r="H14" s="14"/>
      <c r="I14" s="14"/>
      <c r="J14" s="14"/>
    </row>
    <row r="15" spans="1:16" x14ac:dyDescent="0.3">
      <c r="C15" s="17" t="s">
        <v>25</v>
      </c>
      <c r="D15" s="14"/>
      <c r="E15" s="14"/>
      <c r="F15" s="14" t="s">
        <v>15</v>
      </c>
      <c r="G15" s="27" cm="1">
        <f t="array" ref="G15">MMULT(MMULT(G9:H9,K5:L6),D9:D10)</f>
        <v>3446.1852031989397</v>
      </c>
      <c r="H15" s="14"/>
      <c r="I15" s="14"/>
      <c r="J15" s="14"/>
    </row>
    <row r="16" spans="1:16" ht="15" thickBot="1" x14ac:dyDescent="0.35">
      <c r="C16" s="18" t="s">
        <v>16</v>
      </c>
      <c r="D16" s="19"/>
      <c r="E16" s="19"/>
      <c r="F16" s="19" t="s">
        <v>2</v>
      </c>
      <c r="G16" s="30">
        <f>G14*G15-G13*G13</f>
        <v>0.89508698391589903</v>
      </c>
      <c r="H16" s="14"/>
      <c r="I16" s="14"/>
      <c r="J16" s="14"/>
    </row>
    <row r="17" spans="2:12" x14ac:dyDescent="0.3">
      <c r="C17" s="15" t="s">
        <v>26</v>
      </c>
      <c r="D17" s="16"/>
      <c r="E17" s="16"/>
      <c r="F17" s="16" t="s">
        <v>17</v>
      </c>
      <c r="G17" s="47" cm="1">
        <f t="array" ref="G17:G18">(G14*(MMULT(K5:L6,D9:D10))-G13*(MMULT(K5:L6,D5:D6)))/G16</f>
        <v>3.7138965676281024</v>
      </c>
      <c r="H17" s="14"/>
      <c r="I17" s="14"/>
      <c r="J17" s="14"/>
    </row>
    <row r="18" spans="2:12" x14ac:dyDescent="0.3">
      <c r="C18" s="17"/>
      <c r="D18" s="14"/>
      <c r="E18" s="14"/>
      <c r="F18" s="14"/>
      <c r="G18" s="48">
        <v>-2.7138965676281002</v>
      </c>
      <c r="H18" s="14"/>
      <c r="I18" s="14"/>
      <c r="J18" s="14"/>
    </row>
    <row r="19" spans="2:12" ht="15" thickBot="1" x14ac:dyDescent="0.35">
      <c r="C19" s="17"/>
      <c r="D19" s="14"/>
      <c r="E19" s="14"/>
      <c r="F19" s="14"/>
      <c r="G19" s="58"/>
      <c r="H19" s="14"/>
      <c r="I19" s="64" t="s">
        <v>28</v>
      </c>
      <c r="J19" s="64"/>
    </row>
    <row r="20" spans="2:12" x14ac:dyDescent="0.3">
      <c r="C20" s="17" t="s">
        <v>27</v>
      </c>
      <c r="D20" s="14"/>
      <c r="E20" s="14"/>
      <c r="F20" s="14" t="s">
        <v>18</v>
      </c>
      <c r="G20" s="47" cm="1">
        <f t="array" ref="G20:G21">(-G13*(MMULT(K5:L6,D9:D10))+G15*(MMULT(K5:L6,D5:D6)))/G16</f>
        <v>-3439.141204487496</v>
      </c>
      <c r="H20" s="14"/>
      <c r="I20" s="64"/>
      <c r="J20" s="64"/>
    </row>
    <row r="21" spans="2:12" x14ac:dyDescent="0.3">
      <c r="C21" s="17"/>
      <c r="D21" s="14"/>
      <c r="E21" s="14"/>
      <c r="F21" s="14"/>
      <c r="G21" s="48">
        <v>3439.1412044874928</v>
      </c>
      <c r="H21" s="14"/>
      <c r="I21" s="14"/>
      <c r="J21" s="14"/>
    </row>
    <row r="22" spans="2:12" ht="15" thickBot="1" x14ac:dyDescent="0.35">
      <c r="C22" s="18"/>
      <c r="D22" s="19"/>
      <c r="E22" s="19"/>
      <c r="F22" s="19"/>
      <c r="G22" s="58"/>
      <c r="H22" s="14"/>
      <c r="I22" s="14"/>
      <c r="J22" s="14"/>
    </row>
    <row r="23" spans="2:12" ht="15" thickBot="1" x14ac:dyDescent="0.35">
      <c r="C23" s="14"/>
      <c r="D23" s="14"/>
      <c r="E23" s="14"/>
      <c r="F23" s="14"/>
      <c r="G23" s="14"/>
      <c r="H23" s="14"/>
      <c r="I23" s="14"/>
      <c r="J23" s="14"/>
    </row>
    <row r="24" spans="2:12" x14ac:dyDescent="0.3">
      <c r="C24" s="43" t="s">
        <v>22</v>
      </c>
      <c r="D24" s="44" t="s">
        <v>21</v>
      </c>
      <c r="E24" s="14"/>
      <c r="F24" s="14"/>
      <c r="G24" s="14"/>
      <c r="H24" s="14"/>
      <c r="I24" s="14"/>
      <c r="J24" s="14"/>
    </row>
    <row r="25" spans="2:12" x14ac:dyDescent="0.3">
      <c r="C25" s="45" t="s">
        <v>19</v>
      </c>
      <c r="D25" s="46" t="s">
        <v>20</v>
      </c>
      <c r="E25" s="14"/>
      <c r="F25" s="14"/>
      <c r="G25" s="14"/>
      <c r="H25" s="14"/>
      <c r="I25" s="14"/>
      <c r="J25" s="14"/>
    </row>
    <row r="26" spans="2:12" x14ac:dyDescent="0.3">
      <c r="C26" s="17">
        <v>0.999</v>
      </c>
      <c r="D26" s="27">
        <f>($G$15*C26*C26-2*$G$13*C26+$G$14)/$G$16</f>
        <v>3835.0100942154172</v>
      </c>
      <c r="E26" s="14"/>
      <c r="F26" s="14"/>
      <c r="G26" s="14"/>
      <c r="H26" s="14"/>
      <c r="I26" s="14"/>
      <c r="J26" s="14"/>
    </row>
    <row r="27" spans="2:12" x14ac:dyDescent="0.3">
      <c r="C27" s="17">
        <v>1</v>
      </c>
      <c r="D27" s="27">
        <f t="shared" ref="D27:D28" si="0">($G$15*C27*C27-2*$G$13*C27+$G$14)/$G$16</f>
        <v>3842.6990513655933</v>
      </c>
      <c r="E27" s="14"/>
      <c r="F27" s="14"/>
      <c r="G27" s="14"/>
      <c r="H27" s="14"/>
      <c r="I27" s="14"/>
      <c r="J27" s="14"/>
    </row>
    <row r="28" spans="2:12" ht="15" thickBot="1" x14ac:dyDescent="0.35">
      <c r="C28" s="18">
        <v>1.0009999999999999</v>
      </c>
      <c r="D28" s="27">
        <f t="shared" si="0"/>
        <v>3850.3957087399144</v>
      </c>
      <c r="E28" s="14"/>
      <c r="F28" s="14"/>
      <c r="G28" s="14"/>
      <c r="H28" s="14"/>
      <c r="I28" s="14"/>
      <c r="J28" s="14"/>
    </row>
    <row r="31" spans="2:12" x14ac:dyDescent="0.3">
      <c r="B31" t="s">
        <v>40</v>
      </c>
      <c r="C31" s="59" t="s">
        <v>39</v>
      </c>
      <c r="D31" s="60">
        <f>G13/G15</f>
        <v>9.6320362863619316E-4</v>
      </c>
      <c r="E31" s="59"/>
      <c r="F31" s="59"/>
      <c r="G31" s="59"/>
      <c r="H31" s="59"/>
      <c r="I31" s="59"/>
      <c r="J31" s="59"/>
      <c r="L31">
        <f>(1+D31)^365</f>
        <v>1.4210558002960541</v>
      </c>
    </row>
    <row r="32" spans="2:12" x14ac:dyDescent="0.3">
      <c r="C32" s="59"/>
      <c r="D32" s="59"/>
      <c r="E32" s="59"/>
      <c r="F32" s="59"/>
      <c r="G32" s="59"/>
      <c r="H32" s="59"/>
      <c r="I32" s="59"/>
      <c r="J32" s="59"/>
    </row>
    <row r="33" spans="3:10" x14ac:dyDescent="0.3">
      <c r="C33" s="59" t="s">
        <v>41</v>
      </c>
      <c r="D33" s="60" cm="1">
        <f t="array" ref="D33:D34">MMULT(_xlfn.ANCHORARRAY(K5),D9:D10)/G15</f>
        <v>0.40130328007349875</v>
      </c>
      <c r="E33" s="59"/>
      <c r="F33" s="59"/>
      <c r="G33" s="59"/>
      <c r="H33" s="59"/>
      <c r="I33" s="59"/>
      <c r="J33" s="59"/>
    </row>
    <row r="34" spans="3:10" x14ac:dyDescent="0.3">
      <c r="C34" s="59"/>
      <c r="D34" s="60">
        <v>0.5986967199265012</v>
      </c>
      <c r="E34" s="59"/>
      <c r="F34" s="59"/>
      <c r="G34" s="59"/>
      <c r="H34" s="59"/>
      <c r="I34" s="59"/>
      <c r="J34" s="59"/>
    </row>
    <row r="35" spans="3:10" x14ac:dyDescent="0.3">
      <c r="C35" s="59"/>
      <c r="D35" s="59"/>
      <c r="E35" s="59"/>
      <c r="F35" s="59"/>
      <c r="G35" s="59"/>
      <c r="H35" s="59"/>
      <c r="I35" s="59"/>
      <c r="J35" s="59"/>
    </row>
  </sheetData>
  <mergeCells count="1">
    <mergeCell ref="I19:J20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25C0-DA7C-407A-9477-9E54CBB466C9}">
  <dimension ref="B2:O20"/>
  <sheetViews>
    <sheetView workbookViewId="0">
      <selection activeCell="D16" sqref="D16"/>
    </sheetView>
  </sheetViews>
  <sheetFormatPr defaultRowHeight="14.4" x14ac:dyDescent="0.3"/>
  <cols>
    <col min="2" max="2" width="28.44140625" bestFit="1" customWidth="1"/>
    <col min="3" max="3" width="13.21875" bestFit="1" customWidth="1"/>
    <col min="4" max="4" width="12.6640625" bestFit="1" customWidth="1"/>
    <col min="5" max="5" width="21.33203125" bestFit="1" customWidth="1"/>
    <col min="8" max="8" width="12" bestFit="1" customWidth="1"/>
    <col min="10" max="10" width="19.6640625" bestFit="1" customWidth="1"/>
    <col min="14" max="14" width="39.88671875" bestFit="1" customWidth="1"/>
    <col min="15" max="15" width="9.21875" bestFit="1" customWidth="1"/>
  </cols>
  <sheetData>
    <row r="2" spans="2:15" x14ac:dyDescent="0.3">
      <c r="E2" t="s">
        <v>70</v>
      </c>
      <c r="G2" t="s">
        <v>44</v>
      </c>
      <c r="M2" t="s">
        <v>55</v>
      </c>
    </row>
    <row r="3" spans="2:15" x14ac:dyDescent="0.3">
      <c r="B3" s="59" t="s">
        <v>43</v>
      </c>
      <c r="D3" t="s">
        <v>4</v>
      </c>
      <c r="E3" cm="1">
        <f t="array" ref="E3:E5">(1+'PORTAFOGLIO A 3'!Q14:Q16)^365</f>
        <v>1.4828225945807898</v>
      </c>
      <c r="G3" cm="1">
        <f t="array" ref="G3:I5">'PORTAFOGLIO A 3'!K7:M9</f>
        <v>3.4259855748272166E-4</v>
      </c>
      <c r="H3">
        <v>2.0087002937785027E-4</v>
      </c>
      <c r="I3">
        <v>2.1196761323349865E-4</v>
      </c>
      <c r="K3">
        <v>1</v>
      </c>
      <c r="M3">
        <f>E3-$D$8</f>
        <v>0.47282259458078979</v>
      </c>
    </row>
    <row r="4" spans="2:15" x14ac:dyDescent="0.3">
      <c r="D4" t="s">
        <v>45</v>
      </c>
      <c r="E4">
        <v>1.6356261012490214</v>
      </c>
      <c r="G4">
        <v>2.0087002937785027E-4</v>
      </c>
      <c r="H4">
        <v>3.4761111787093838E-4</v>
      </c>
      <c r="I4">
        <v>2.3309145417437012E-4</v>
      </c>
      <c r="K4">
        <v>1</v>
      </c>
      <c r="M4">
        <f t="shared" ref="M4:M5" si="0">E4-$D$8</f>
        <v>0.6256261012490214</v>
      </c>
    </row>
    <row r="5" spans="2:15" x14ac:dyDescent="0.3">
      <c r="D5" t="s">
        <v>46</v>
      </c>
      <c r="E5">
        <v>1.3336444329830779</v>
      </c>
      <c r="G5">
        <v>2.1196761323349865E-4</v>
      </c>
      <c r="H5">
        <v>2.3309145417437012E-4</v>
      </c>
      <c r="I5">
        <v>4.0685343083406156E-4</v>
      </c>
      <c r="K5">
        <v>1</v>
      </c>
      <c r="M5">
        <f t="shared" si="0"/>
        <v>0.32364443298307788</v>
      </c>
    </row>
    <row r="8" spans="2:15" x14ac:dyDescent="0.3">
      <c r="B8" s="59" t="s">
        <v>47</v>
      </c>
      <c r="D8">
        <v>1.01</v>
      </c>
      <c r="N8" t="s">
        <v>57</v>
      </c>
      <c r="O8" cm="1">
        <f t="array" ref="O8:O10">MMULT(MINVERSE(_xlfn.ANCHORARRAY(G3)),M3:M5)/(MMULT(MMULT(TRANSPOSE(K3:K5),MINVERSE(_xlfn.ANCHORARRAY(G3))),M3:M5))</f>
        <v>0.366455147211669</v>
      </c>
    </row>
    <row r="9" spans="2:15" x14ac:dyDescent="0.3">
      <c r="N9" t="s">
        <v>56</v>
      </c>
      <c r="O9">
        <v>0.9483233845499246</v>
      </c>
    </row>
    <row r="10" spans="2:15" x14ac:dyDescent="0.3">
      <c r="B10" s="59" t="s">
        <v>48</v>
      </c>
      <c r="D10">
        <v>1E-3</v>
      </c>
      <c r="O10">
        <v>-0.31477853176159387</v>
      </c>
    </row>
    <row r="12" spans="2:15" x14ac:dyDescent="0.3">
      <c r="B12" s="59" t="s">
        <v>49</v>
      </c>
      <c r="D12" t="s">
        <v>53</v>
      </c>
    </row>
    <row r="13" spans="2:15" x14ac:dyDescent="0.3">
      <c r="N13" t="s">
        <v>58</v>
      </c>
      <c r="O13" cm="1">
        <f t="array" ref="O13">MMULT(TRANSPOSE(_xlfn.ANCHORARRAY(O8)),_xlfn.ANCHORARRAY(E3))</f>
        <v>1.6746878158741252</v>
      </c>
    </row>
    <row r="14" spans="2:15" x14ac:dyDescent="0.3">
      <c r="N14" t="s">
        <v>59</v>
      </c>
      <c r="O14" cm="1">
        <f t="array" ref="O14">MMULT(MMULT(TRANSPOSE(_xlfn.ANCHORARRAY(O8)),_xlfn.ANCHORARRAY(G3)),_xlfn.ANCHORARRAY(O8))</f>
        <v>3.5048221355727391E-4</v>
      </c>
    </row>
    <row r="16" spans="2:15" x14ac:dyDescent="0.3">
      <c r="B16" s="59" t="s">
        <v>50</v>
      </c>
      <c r="D16" s="14">
        <f>(1-D10*D8)*(O13-D8)/(D10*(O14+(O13-D8)^2))</f>
        <v>1501.7548361335212</v>
      </c>
      <c r="E16" s="14" t="s">
        <v>60</v>
      </c>
      <c r="F16" s="14" t="s">
        <v>62</v>
      </c>
      <c r="G16" s="61">
        <f>O8*$D$16</f>
        <v>550.32578955114536</v>
      </c>
    </row>
    <row r="17" spans="2:7" x14ac:dyDescent="0.3">
      <c r="B17" t="s">
        <v>63</v>
      </c>
      <c r="D17" s="14"/>
      <c r="E17" s="14"/>
      <c r="F17" s="14"/>
      <c r="G17" s="61">
        <f t="shared" ref="G17:G18" si="1">O9*$D$16</f>
        <v>1424.1492289663581</v>
      </c>
    </row>
    <row r="18" spans="2:7" x14ac:dyDescent="0.3">
      <c r="D18" s="14"/>
      <c r="E18" s="14"/>
      <c r="F18" s="14"/>
      <c r="G18" s="61">
        <f t="shared" si="1"/>
        <v>-472.72018238398277</v>
      </c>
    </row>
    <row r="19" spans="2:7" x14ac:dyDescent="0.3">
      <c r="D19" s="14"/>
      <c r="E19" s="14"/>
      <c r="F19" s="14"/>
      <c r="G19" s="14"/>
    </row>
    <row r="20" spans="2:7" x14ac:dyDescent="0.3">
      <c r="D20" s="61">
        <f>(1-D16)</f>
        <v>-1500.7548361335212</v>
      </c>
      <c r="E20" s="14" t="s">
        <v>61</v>
      </c>
      <c r="F20" s="14"/>
      <c r="G2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41DF-ACC1-42F9-9A56-77394FFBF5FA}">
  <dimension ref="C2:J21"/>
  <sheetViews>
    <sheetView tabSelected="1" workbookViewId="0">
      <selection activeCell="D18" sqref="D18"/>
    </sheetView>
  </sheetViews>
  <sheetFormatPr defaultRowHeight="14.4" x14ac:dyDescent="0.3"/>
  <cols>
    <col min="3" max="3" width="16.21875" bestFit="1" customWidth="1"/>
    <col min="4" max="4" width="22.21875" bestFit="1" customWidth="1"/>
    <col min="5" max="5" width="29.33203125" bestFit="1" customWidth="1"/>
    <col min="6" max="6" width="12.6640625" bestFit="1" customWidth="1"/>
    <col min="7" max="7" width="9.21875" bestFit="1" customWidth="1"/>
    <col min="8" max="8" width="12" bestFit="1" customWidth="1"/>
    <col min="9" max="9" width="11.6640625" bestFit="1" customWidth="1"/>
    <col min="10" max="10" width="20.109375" bestFit="1" customWidth="1"/>
  </cols>
  <sheetData>
    <row r="2" spans="3:10" x14ac:dyDescent="0.3">
      <c r="D2" s="59" t="str" cm="1">
        <f t="array" ref="D2:D5">QUADRATICA!E2:E5</f>
        <v>MEDIA rendimento annua</v>
      </c>
      <c r="F2" s="59" t="s">
        <v>44</v>
      </c>
      <c r="J2" s="59" t="s">
        <v>68</v>
      </c>
    </row>
    <row r="3" spans="3:10" x14ac:dyDescent="0.3">
      <c r="C3" s="59" t="str" cm="1">
        <f t="array" ref="C3:C5">QUADRATICA!D3:D5</f>
        <v>APPLE</v>
      </c>
      <c r="D3">
        <v>1.4828225945807898</v>
      </c>
      <c r="F3" cm="1">
        <f t="array" ref="F3:H5">QUADRATICA!G3:I5</f>
        <v>3.4259855748272166E-4</v>
      </c>
      <c r="G3">
        <v>2.0087002937785027E-4</v>
      </c>
      <c r="H3">
        <v>2.1196761323349865E-4</v>
      </c>
      <c r="J3">
        <f>D3-$G$8</f>
        <v>0.47282259458078979</v>
      </c>
    </row>
    <row r="4" spans="3:10" x14ac:dyDescent="0.3">
      <c r="C4" s="59" t="str">
        <v>AMAZON</v>
      </c>
      <c r="D4">
        <v>1.6356261012490214</v>
      </c>
      <c r="F4">
        <v>2.0087002937785027E-4</v>
      </c>
      <c r="G4">
        <v>3.4761111787093838E-4</v>
      </c>
      <c r="H4">
        <v>2.3309145417437012E-4</v>
      </c>
      <c r="J4">
        <f t="shared" ref="J4:J5" si="0">D4-$G$8</f>
        <v>0.6256261012490214</v>
      </c>
    </row>
    <row r="5" spans="3:10" x14ac:dyDescent="0.3">
      <c r="C5" s="59" t="str">
        <v>FACEBOOK</v>
      </c>
      <c r="D5">
        <v>1.3336444329830779</v>
      </c>
      <c r="F5">
        <v>2.1196761323349865E-4</v>
      </c>
      <c r="G5">
        <v>2.3309145417437012E-4</v>
      </c>
      <c r="H5">
        <v>4.0685343083406156E-4</v>
      </c>
      <c r="J5">
        <f t="shared" si="0"/>
        <v>0.32364443298307788</v>
      </c>
    </row>
    <row r="8" spans="3:10" x14ac:dyDescent="0.3">
      <c r="C8" s="59" t="s">
        <v>64</v>
      </c>
      <c r="D8">
        <v>0.15</v>
      </c>
      <c r="F8" s="59" t="s">
        <v>66</v>
      </c>
      <c r="G8">
        <f>QUADRATICA!D8</f>
        <v>1.01</v>
      </c>
    </row>
    <row r="10" spans="3:10" x14ac:dyDescent="0.3">
      <c r="C10" s="59" t="s">
        <v>52</v>
      </c>
      <c r="D10">
        <v>1</v>
      </c>
    </row>
    <row r="12" spans="3:10" x14ac:dyDescent="0.3">
      <c r="C12" s="59" t="s">
        <v>49</v>
      </c>
      <c r="D12" t="s">
        <v>65</v>
      </c>
    </row>
    <row r="15" spans="3:10" x14ac:dyDescent="0.3">
      <c r="C15" s="59" t="s">
        <v>50</v>
      </c>
      <c r="D15">
        <f>(1/$D$8)*J3</f>
        <v>3.1521506305385989</v>
      </c>
    </row>
    <row r="16" spans="3:10" x14ac:dyDescent="0.3">
      <c r="C16" t="s">
        <v>67</v>
      </c>
      <c r="D16">
        <f t="shared" ref="D16:D17" si="1">(1/$D$8)*J4</f>
        <v>4.1708406749934763</v>
      </c>
    </row>
    <row r="17" spans="3:9" x14ac:dyDescent="0.3">
      <c r="D17">
        <f t="shared" si="1"/>
        <v>2.1576295532205192</v>
      </c>
    </row>
    <row r="19" spans="3:9" x14ac:dyDescent="0.3">
      <c r="C19" s="59" t="s">
        <v>51</v>
      </c>
      <c r="D19" s="62">
        <f>1-EXP(I19)</f>
        <v>0.31272646687605576</v>
      </c>
      <c r="H19" t="s">
        <v>69</v>
      </c>
      <c r="I19">
        <f>-D8*(D15*D3+G8*(1-D15))+D8^2*0.5*D15^2*F3</f>
        <v>-0.37502291007277677</v>
      </c>
    </row>
    <row r="20" spans="3:9" x14ac:dyDescent="0.3">
      <c r="D20" s="62">
        <f t="shared" ref="D20:D21" si="2">1-EXP(I20)</f>
        <v>0.41890439877875241</v>
      </c>
      <c r="E20" t="s">
        <v>83</v>
      </c>
      <c r="I20">
        <f>-D8*(D16*D4+G8*(1-D16))+D8^2*0.5*D16^2*G4</f>
        <v>-0.54283998967461244</v>
      </c>
    </row>
    <row r="21" spans="3:9" x14ac:dyDescent="0.3">
      <c r="D21" s="62">
        <f t="shared" si="2"/>
        <v>0.22603173763024764</v>
      </c>
      <c r="I21">
        <f>-D8*(D17*D5+G8*(1-D17))+D8^2*0.5*D17^2*H5</f>
        <v>-0.25622441092336762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EFFD-1528-426A-8C59-CB54B85C7DF5}">
  <dimension ref="C2:N19"/>
  <sheetViews>
    <sheetView workbookViewId="0">
      <selection activeCell="B19" sqref="B19"/>
    </sheetView>
  </sheetViews>
  <sheetFormatPr defaultRowHeight="14.4" x14ac:dyDescent="0.3"/>
  <cols>
    <col min="5" max="5" width="20.77734375" bestFit="1" customWidth="1"/>
    <col min="12" max="12" width="9.21875" bestFit="1" customWidth="1"/>
  </cols>
  <sheetData>
    <row r="2" spans="3:14" x14ac:dyDescent="0.3">
      <c r="C2" t="s">
        <v>79</v>
      </c>
      <c r="E2" t="s">
        <v>80</v>
      </c>
      <c r="M2" t="s">
        <v>78</v>
      </c>
    </row>
    <row r="3" spans="3:14" x14ac:dyDescent="0.3">
      <c r="C3">
        <v>1.1599999999999999</v>
      </c>
      <c r="E3">
        <v>2</v>
      </c>
      <c r="F3">
        <f>-0.5*E3^0.5*F4^0.5</f>
        <v>-1.4142135623730951</v>
      </c>
      <c r="H3">
        <v>1</v>
      </c>
      <c r="J3">
        <v>1</v>
      </c>
      <c r="K3">
        <v>1</v>
      </c>
      <c r="M3" cm="1">
        <f t="array" ref="M3:N4">MINVERSE(E3:F4)</f>
        <v>0.66666666666666674</v>
      </c>
      <c r="N3">
        <v>0.23570226039551584</v>
      </c>
    </row>
    <row r="4" spans="3:14" x14ac:dyDescent="0.3">
      <c r="C4">
        <v>1.25</v>
      </c>
      <c r="E4">
        <f>F3</f>
        <v>-1.4142135623730951</v>
      </c>
      <c r="F4">
        <v>4</v>
      </c>
      <c r="H4">
        <v>1</v>
      </c>
      <c r="M4">
        <v>0.23570226039551587</v>
      </c>
      <c r="N4">
        <v>0.33333333333333331</v>
      </c>
    </row>
    <row r="7" spans="3:14" x14ac:dyDescent="0.3">
      <c r="C7">
        <v>1.1299999999999999</v>
      </c>
      <c r="D7" t="s">
        <v>66</v>
      </c>
    </row>
    <row r="9" spans="3:14" x14ac:dyDescent="0.3">
      <c r="C9" t="s">
        <v>71</v>
      </c>
      <c r="D9" cm="1">
        <f t="array" ref="D9:D10">MMULT(_xlfn.ANCHORARRAY(M3),H3:H4)/(MMULT(MMULT(J3:K3,_xlfn.ANCHORARRAY(M3)),H3:H4))</f>
        <v>0.61327045983049322</v>
      </c>
      <c r="H9" t="s">
        <v>55</v>
      </c>
      <c r="I9">
        <f>C3-C7</f>
        <v>3.0000000000000027E-2</v>
      </c>
      <c r="K9">
        <v>0.01</v>
      </c>
    </row>
    <row r="10" spans="3:14" x14ac:dyDescent="0.3">
      <c r="D10">
        <v>0.38672954016950672</v>
      </c>
      <c r="I10">
        <f>C4-C7</f>
        <v>0.12000000000000011</v>
      </c>
    </row>
    <row r="13" spans="3:14" x14ac:dyDescent="0.3">
      <c r="C13" t="s">
        <v>72</v>
      </c>
      <c r="D13" cm="1">
        <f t="array" ref="D13:D14">MMULT(_xlfn.ANCHORARRAY(M3),I9:I10)/(MMULT(MMULT(J3:K3,_xlfn.ANCHORARRAY(M3)),I9:I10))</f>
        <v>0.50636148666432612</v>
      </c>
      <c r="F13" cm="1">
        <f t="array" ref="F13:G13">TRANSPOSE(_xlfn.ANCHORARRAY(D13))</f>
        <v>0.50636148666432612</v>
      </c>
      <c r="G13">
        <v>0.49363851333567382</v>
      </c>
      <c r="K13" t="s">
        <v>74</v>
      </c>
      <c r="L13" cm="1">
        <f t="array" ref="L13">MMULT(_xlfn.ANCHORARRAY(F13),C3:C4)</f>
        <v>1.2044274662002106</v>
      </c>
    </row>
    <row r="14" spans="3:14" x14ac:dyDescent="0.3">
      <c r="D14">
        <v>0.49363851333567382</v>
      </c>
      <c r="M14" t="s">
        <v>81</v>
      </c>
    </row>
    <row r="15" spans="3:14" x14ac:dyDescent="0.3">
      <c r="K15" t="s">
        <v>75</v>
      </c>
      <c r="L15" cm="1">
        <f t="array" ref="L15">MMULT(MMULT(_xlfn.ANCHORARRAY(F13),E3:F4),_xlfn.ANCHORARRAY(D13))</f>
        <v>0.78052751879896298</v>
      </c>
    </row>
    <row r="16" spans="3:14" x14ac:dyDescent="0.3">
      <c r="C16" t="s">
        <v>73</v>
      </c>
      <c r="D16">
        <f>(1-K9*C7)*(L13-C7)/(K9*(L15+(L13-C7)^2))</f>
        <v>9.3613443848879232</v>
      </c>
      <c r="E16" t="s">
        <v>76</v>
      </c>
      <c r="F16">
        <f>$D$16*D13</f>
        <v>4.7402242599085902</v>
      </c>
    </row>
    <row r="17" spans="4:6" x14ac:dyDescent="0.3">
      <c r="F17">
        <f>$D$16*D14</f>
        <v>4.6211201249793321</v>
      </c>
    </row>
    <row r="19" spans="4:6" x14ac:dyDescent="0.3">
      <c r="D19">
        <f>1-D16</f>
        <v>-8.3613443848879232</v>
      </c>
      <c r="E19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C27D-3F51-428D-A328-B50C04B21DE8}">
  <dimension ref="B2:M16"/>
  <sheetViews>
    <sheetView workbookViewId="0">
      <selection activeCell="F6" sqref="F6"/>
    </sheetView>
  </sheetViews>
  <sheetFormatPr defaultRowHeight="14.4" x14ac:dyDescent="0.3"/>
  <cols>
    <col min="6" max="6" width="9.21875" bestFit="1" customWidth="1"/>
    <col min="7" max="7" width="9.5546875" bestFit="1" customWidth="1"/>
    <col min="8" max="8" width="9.21875" bestFit="1" customWidth="1"/>
    <col min="11" max="11" width="9.21875" bestFit="1" customWidth="1"/>
    <col min="13" max="13" width="9.21875" bestFit="1" customWidth="1"/>
  </cols>
  <sheetData>
    <row r="2" spans="2:13" x14ac:dyDescent="0.3">
      <c r="B2">
        <v>1.1000000000000001</v>
      </c>
      <c r="D2">
        <v>0.1</v>
      </c>
      <c r="E2">
        <v>0</v>
      </c>
      <c r="F2">
        <v>0</v>
      </c>
      <c r="H2" cm="1">
        <f t="array" ref="H2:J4">MINVERSE(D2:F4)</f>
        <v>10</v>
      </c>
      <c r="I2">
        <v>0</v>
      </c>
      <c r="J2">
        <v>0</v>
      </c>
      <c r="K2">
        <v>1</v>
      </c>
      <c r="L2">
        <v>1</v>
      </c>
      <c r="M2">
        <v>1</v>
      </c>
    </row>
    <row r="3" spans="2:13" x14ac:dyDescent="0.3">
      <c r="B3">
        <v>1.1299999999999999</v>
      </c>
      <c r="D3">
        <v>0</v>
      </c>
      <c r="E3">
        <v>0.15</v>
      </c>
      <c r="F3">
        <v>0</v>
      </c>
      <c r="H3">
        <v>0</v>
      </c>
      <c r="I3">
        <v>6.666666666666667</v>
      </c>
      <c r="J3">
        <v>0</v>
      </c>
      <c r="K3">
        <v>1</v>
      </c>
    </row>
    <row r="4" spans="2:13" x14ac:dyDescent="0.3">
      <c r="B4">
        <v>1.18</v>
      </c>
      <c r="D4">
        <v>0</v>
      </c>
      <c r="E4">
        <v>0</v>
      </c>
      <c r="F4">
        <v>0.3</v>
      </c>
      <c r="H4">
        <v>0</v>
      </c>
      <c r="I4">
        <v>0</v>
      </c>
      <c r="J4">
        <v>3.3333333333333335</v>
      </c>
    </row>
    <row r="6" spans="2:13" x14ac:dyDescent="0.3">
      <c r="B6">
        <v>0.1</v>
      </c>
      <c r="C6" t="s">
        <v>64</v>
      </c>
      <c r="E6" t="s">
        <v>55</v>
      </c>
      <c r="F6">
        <f>B2-$B$8</f>
        <v>5.0000000000000044E-2</v>
      </c>
    </row>
    <row r="7" spans="2:13" x14ac:dyDescent="0.3">
      <c r="F7">
        <f t="shared" ref="F7:F8" si="0">B3-$B$8</f>
        <v>7.9999999999999849E-2</v>
      </c>
    </row>
    <row r="8" spans="2:13" x14ac:dyDescent="0.3">
      <c r="B8">
        <v>1.05</v>
      </c>
      <c r="C8" t="s">
        <v>66</v>
      </c>
      <c r="F8">
        <f t="shared" si="0"/>
        <v>0.12999999999999989</v>
      </c>
    </row>
    <row r="11" spans="2:13" x14ac:dyDescent="0.3">
      <c r="B11" t="s">
        <v>73</v>
      </c>
      <c r="C11" cm="1">
        <f t="array" ref="C11:C13">1/B6*MMULT(_xlfn.ANCHORARRAY(H2),F6:F8)</f>
        <v>5.0000000000000044</v>
      </c>
      <c r="H11" t="s">
        <v>69</v>
      </c>
      <c r="I11">
        <f>-B6*(C11*B2+B8*(1-C11))+B6^2/2*C11^2*D2</f>
        <v>-0.11750000000000006</v>
      </c>
      <c r="K11" t="s">
        <v>82</v>
      </c>
      <c r="L11">
        <f>1-EXP(I11)</f>
        <v>0.11085948825355196</v>
      </c>
    </row>
    <row r="12" spans="2:13" x14ac:dyDescent="0.3">
      <c r="C12">
        <v>5.3333333333333233</v>
      </c>
    </row>
    <row r="13" spans="2:13" x14ac:dyDescent="0.3">
      <c r="C13">
        <v>4.3333333333333304</v>
      </c>
    </row>
    <row r="16" spans="2:13" x14ac:dyDescent="0.3">
      <c r="C16">
        <f>1-EXP(H16)</f>
        <v>0.15380038866281165</v>
      </c>
      <c r="G16" t="s">
        <v>69</v>
      </c>
      <c r="H16" cm="1">
        <f t="array" ref="H16">-B6*(MMULT(TRANSPOSE(B2:B4),_xlfn.ANCHORARRAY(C11))+B8*(1-SUM(_xlfn.ANCHORARRAY(C11))))+B6^2*0.5*MMULT(MMULT(TRANSPOSE(_xlfn.ANCHORARRAY(C11)),D2:F4),_xlfn.ANCHORARRAY(C11))</f>
        <v>-0.16699999999999984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PORTAFOGLIO A 3</vt:lpstr>
      <vt:lpstr>PORTAFOGLIO A</vt:lpstr>
      <vt:lpstr>PORTAFOGLIO B</vt:lpstr>
      <vt:lpstr>QUADRATICA</vt:lpstr>
      <vt:lpstr>ESPONENZIALE</vt:lpstr>
      <vt:lpstr>Esercizio 3.21</vt:lpstr>
      <vt:lpstr>Esercizio 3.19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Francesco Biancini</cp:lastModifiedBy>
  <dcterms:created xsi:type="dcterms:W3CDTF">2020-05-12T13:28:52Z</dcterms:created>
  <dcterms:modified xsi:type="dcterms:W3CDTF">2024-05-12T15:01:11Z</dcterms:modified>
</cp:coreProperties>
</file>