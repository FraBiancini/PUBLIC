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bo\Desktop\Nuova cartella\"/>
    </mc:Choice>
  </mc:AlternateContent>
  <xr:revisionPtr revIDLastSave="0" documentId="13_ncr:1_{850C36C9-FBC2-48F5-9163-E1939513C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voro fin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W9" i="1"/>
  <c r="V9" i="1"/>
  <c r="U7" i="1"/>
  <c r="V7" i="1"/>
  <c r="W7" i="1"/>
  <c r="I2" i="1" l="1"/>
  <c r="J2" i="1"/>
  <c r="K2" i="1"/>
  <c r="O2" i="1"/>
  <c r="P2" i="1"/>
  <c r="Q2" i="1"/>
  <c r="U20" i="1"/>
  <c r="U21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4" i="1"/>
  <c r="N8" i="1"/>
  <c r="N16" i="1"/>
  <c r="N24" i="1"/>
  <c r="N32" i="1"/>
  <c r="N40" i="1"/>
  <c r="N48" i="1"/>
  <c r="N56" i="1"/>
  <c r="N64" i="1"/>
  <c r="N71" i="1"/>
  <c r="N72" i="1"/>
  <c r="N80" i="1"/>
  <c r="N88" i="1"/>
  <c r="N95" i="1"/>
  <c r="N96" i="1"/>
  <c r="N104" i="1"/>
  <c r="M8" i="1"/>
  <c r="M15" i="1"/>
  <c r="M16" i="1"/>
  <c r="M23" i="1"/>
  <c r="M24" i="1"/>
  <c r="M31" i="1"/>
  <c r="M32" i="1"/>
  <c r="M39" i="1"/>
  <c r="M40" i="1"/>
  <c r="M47" i="1"/>
  <c r="M48" i="1"/>
  <c r="M55" i="1"/>
  <c r="M56" i="1"/>
  <c r="M63" i="1"/>
  <c r="M64" i="1"/>
  <c r="M71" i="1"/>
  <c r="M72" i="1"/>
  <c r="M79" i="1"/>
  <c r="M80" i="1"/>
  <c r="M87" i="1"/>
  <c r="M88" i="1"/>
  <c r="M95" i="1"/>
  <c r="M96" i="1"/>
  <c r="M103" i="1"/>
  <c r="M104" i="1"/>
  <c r="L7" i="1"/>
  <c r="L8" i="1"/>
  <c r="L15" i="1"/>
  <c r="L16" i="1"/>
  <c r="L23" i="1"/>
  <c r="L24" i="1"/>
  <c r="L31" i="1"/>
  <c r="L32" i="1"/>
  <c r="L39" i="1"/>
  <c r="L40" i="1"/>
  <c r="L47" i="1"/>
  <c r="L48" i="1"/>
  <c r="L55" i="1"/>
  <c r="L56" i="1"/>
  <c r="L63" i="1"/>
  <c r="L64" i="1"/>
  <c r="L71" i="1"/>
  <c r="L72" i="1"/>
  <c r="L79" i="1"/>
  <c r="L80" i="1"/>
  <c r="L87" i="1"/>
  <c r="L88" i="1"/>
  <c r="L95" i="1"/>
  <c r="L96" i="1"/>
  <c r="L103" i="1"/>
  <c r="L10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4" i="1"/>
  <c r="H7" i="1"/>
  <c r="H8" i="1"/>
  <c r="H15" i="1"/>
  <c r="H16" i="1"/>
  <c r="H23" i="1"/>
  <c r="H24" i="1"/>
  <c r="H31" i="1"/>
  <c r="H32" i="1"/>
  <c r="H39" i="1"/>
  <c r="H40" i="1"/>
  <c r="H47" i="1"/>
  <c r="H48" i="1"/>
  <c r="H55" i="1"/>
  <c r="H56" i="1"/>
  <c r="H63" i="1"/>
  <c r="H64" i="1"/>
  <c r="H71" i="1"/>
  <c r="H72" i="1"/>
  <c r="H79" i="1"/>
  <c r="H80" i="1"/>
  <c r="H87" i="1"/>
  <c r="H88" i="1"/>
  <c r="H95" i="1"/>
  <c r="H96" i="1"/>
  <c r="H103" i="1"/>
  <c r="H104" i="1"/>
  <c r="B2" i="1"/>
  <c r="C2" i="1"/>
  <c r="N9" i="1" s="1"/>
  <c r="D2" i="1"/>
  <c r="F2" i="1"/>
  <c r="E2" i="1"/>
  <c r="H102" i="1" l="1"/>
  <c r="H70" i="1"/>
  <c r="H46" i="1"/>
  <c r="H22" i="1"/>
  <c r="L86" i="1"/>
  <c r="M102" i="1"/>
  <c r="M78" i="1"/>
  <c r="M54" i="1"/>
  <c r="M38" i="1"/>
  <c r="M14" i="1"/>
  <c r="N78" i="1"/>
  <c r="N22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M101" i="1"/>
  <c r="M93" i="1"/>
  <c r="M85" i="1"/>
  <c r="M77" i="1"/>
  <c r="M69" i="1"/>
  <c r="M61" i="1"/>
  <c r="M53" i="1"/>
  <c r="M45" i="1"/>
  <c r="M37" i="1"/>
  <c r="M29" i="1"/>
  <c r="M21" i="1"/>
  <c r="M13" i="1"/>
  <c r="M5" i="1"/>
  <c r="N101" i="1"/>
  <c r="N93" i="1"/>
  <c r="N85" i="1"/>
  <c r="N77" i="1"/>
  <c r="N69" i="1"/>
  <c r="N61" i="1"/>
  <c r="N53" i="1"/>
  <c r="N45" i="1"/>
  <c r="N37" i="1"/>
  <c r="N29" i="1"/>
  <c r="N21" i="1"/>
  <c r="N13" i="1"/>
  <c r="N5" i="1"/>
  <c r="L6" i="1"/>
  <c r="H4" i="1"/>
  <c r="H100" i="1"/>
  <c r="H92" i="1"/>
  <c r="H84" i="1"/>
  <c r="H76" i="1"/>
  <c r="H68" i="1"/>
  <c r="H60" i="1"/>
  <c r="H52" i="1"/>
  <c r="H44" i="1"/>
  <c r="H36" i="1"/>
  <c r="H28" i="1"/>
  <c r="H20" i="1"/>
  <c r="H12" i="1"/>
  <c r="L4" i="1"/>
  <c r="L100" i="1"/>
  <c r="L92" i="1"/>
  <c r="L84" i="1"/>
  <c r="L76" i="1"/>
  <c r="L68" i="1"/>
  <c r="L60" i="1"/>
  <c r="L52" i="1"/>
  <c r="L44" i="1"/>
  <c r="L36" i="1"/>
  <c r="L28" i="1"/>
  <c r="L20" i="1"/>
  <c r="L12" i="1"/>
  <c r="M4" i="1"/>
  <c r="M100" i="1"/>
  <c r="M92" i="1"/>
  <c r="M84" i="1"/>
  <c r="M76" i="1"/>
  <c r="M68" i="1"/>
  <c r="M60" i="1"/>
  <c r="M52" i="1"/>
  <c r="M44" i="1"/>
  <c r="M36" i="1"/>
  <c r="M28" i="1"/>
  <c r="M20" i="1"/>
  <c r="M12" i="1"/>
  <c r="N4" i="1"/>
  <c r="N100" i="1"/>
  <c r="N92" i="1"/>
  <c r="N84" i="1"/>
  <c r="N76" i="1"/>
  <c r="N68" i="1"/>
  <c r="N60" i="1"/>
  <c r="N52" i="1"/>
  <c r="N44" i="1"/>
  <c r="N36" i="1"/>
  <c r="N28" i="1"/>
  <c r="N20" i="1"/>
  <c r="N12" i="1"/>
  <c r="H30" i="1"/>
  <c r="L102" i="1"/>
  <c r="L62" i="1"/>
  <c r="M86" i="1"/>
  <c r="M62" i="1"/>
  <c r="M30" i="1"/>
  <c r="N94" i="1"/>
  <c r="N30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L107" i="1"/>
  <c r="L99" i="1"/>
  <c r="L91" i="1"/>
  <c r="L83" i="1"/>
  <c r="L75" i="1"/>
  <c r="L67" i="1"/>
  <c r="L59" i="1"/>
  <c r="L51" i="1"/>
  <c r="L43" i="1"/>
  <c r="L35" i="1"/>
  <c r="L27" i="1"/>
  <c r="L19" i="1"/>
  <c r="L11" i="1"/>
  <c r="M107" i="1"/>
  <c r="M99" i="1"/>
  <c r="M91" i="1"/>
  <c r="M83" i="1"/>
  <c r="M75" i="1"/>
  <c r="M67" i="1"/>
  <c r="M59" i="1"/>
  <c r="M51" i="1"/>
  <c r="M43" i="1"/>
  <c r="M35" i="1"/>
  <c r="M27" i="1"/>
  <c r="M19" i="1"/>
  <c r="M11" i="1"/>
  <c r="N107" i="1"/>
  <c r="N99" i="1"/>
  <c r="N91" i="1"/>
  <c r="N83" i="1"/>
  <c r="N75" i="1"/>
  <c r="N67" i="1"/>
  <c r="N59" i="1"/>
  <c r="N51" i="1"/>
  <c r="N43" i="1"/>
  <c r="N35" i="1"/>
  <c r="N27" i="1"/>
  <c r="N19" i="1"/>
  <c r="N11" i="1"/>
  <c r="M7" i="1"/>
  <c r="N103" i="1"/>
  <c r="N87" i="1"/>
  <c r="N55" i="1"/>
  <c r="N31" i="1"/>
  <c r="N7" i="1"/>
  <c r="H94" i="1"/>
  <c r="H78" i="1"/>
  <c r="H54" i="1"/>
  <c r="H6" i="1"/>
  <c r="L94" i="1"/>
  <c r="L70" i="1"/>
  <c r="L54" i="1"/>
  <c r="L46" i="1"/>
  <c r="L38" i="1"/>
  <c r="L30" i="1"/>
  <c r="L22" i="1"/>
  <c r="L14" i="1"/>
  <c r="M94" i="1"/>
  <c r="M70" i="1"/>
  <c r="M46" i="1"/>
  <c r="M22" i="1"/>
  <c r="M6" i="1"/>
  <c r="N86" i="1"/>
  <c r="N62" i="1"/>
  <c r="N54" i="1"/>
  <c r="N38" i="1"/>
  <c r="N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M106" i="1"/>
  <c r="M98" i="1"/>
  <c r="M90" i="1"/>
  <c r="M82" i="1"/>
  <c r="M74" i="1"/>
  <c r="M66" i="1"/>
  <c r="M58" i="1"/>
  <c r="M50" i="1"/>
  <c r="M42" i="1"/>
  <c r="M34" i="1"/>
  <c r="M26" i="1"/>
  <c r="M18" i="1"/>
  <c r="M10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N79" i="1"/>
  <c r="N63" i="1"/>
  <c r="N47" i="1"/>
  <c r="N39" i="1"/>
  <c r="N23" i="1"/>
  <c r="N15" i="1"/>
  <c r="H86" i="1"/>
  <c r="H62" i="1"/>
  <c r="H38" i="1"/>
  <c r="H14" i="1"/>
  <c r="L78" i="1"/>
  <c r="N102" i="1"/>
  <c r="N70" i="1"/>
  <c r="N46" i="1"/>
  <c r="N6" i="1"/>
  <c r="H105" i="1"/>
  <c r="H97" i="1"/>
  <c r="H89" i="1"/>
  <c r="H81" i="1"/>
  <c r="H73" i="1"/>
  <c r="H65" i="1"/>
  <c r="H57" i="1"/>
  <c r="H49" i="1"/>
  <c r="H41" i="1"/>
  <c r="H33" i="1"/>
  <c r="H25" i="1"/>
  <c r="H17" i="1"/>
  <c r="H9" i="1"/>
  <c r="L105" i="1"/>
  <c r="L97" i="1"/>
  <c r="L89" i="1"/>
  <c r="L81" i="1"/>
  <c r="L73" i="1"/>
  <c r="L65" i="1"/>
  <c r="L57" i="1"/>
  <c r="L49" i="1"/>
  <c r="L41" i="1"/>
  <c r="L33" i="1"/>
  <c r="L25" i="1"/>
  <c r="L17" i="1"/>
  <c r="L9" i="1"/>
  <c r="M105" i="1"/>
  <c r="M97" i="1"/>
  <c r="M89" i="1"/>
  <c r="M81" i="1"/>
  <c r="M73" i="1"/>
  <c r="M65" i="1"/>
  <c r="M57" i="1"/>
  <c r="M49" i="1"/>
  <c r="M41" i="1"/>
  <c r="M33" i="1"/>
  <c r="M25" i="1"/>
  <c r="M17" i="1"/>
  <c r="M9" i="1"/>
  <c r="N105" i="1"/>
  <c r="N97" i="1"/>
  <c r="N89" i="1"/>
  <c r="N81" i="1"/>
  <c r="N73" i="1"/>
  <c r="N65" i="1"/>
  <c r="N57" i="1"/>
  <c r="N49" i="1"/>
  <c r="N41" i="1"/>
  <c r="N33" i="1"/>
  <c r="N25" i="1"/>
  <c r="N17" i="1"/>
  <c r="L2" i="1" l="1"/>
  <c r="U8" i="1" s="1"/>
  <c r="M2" i="1"/>
  <c r="V8" i="1" s="1"/>
  <c r="H2" i="1"/>
  <c r="T7" i="1" s="1"/>
  <c r="N2" i="1"/>
  <c r="W8" i="1" s="1"/>
</calcChain>
</file>

<file path=xl/sharedStrings.xml><?xml version="1.0" encoding="utf-8"?>
<sst xmlns="http://schemas.openxmlformats.org/spreadsheetml/2006/main" count="35" uniqueCount="30">
  <si>
    <t>Medie titoli--------------------------------------------------|</t>
  </si>
  <si>
    <t>Medie</t>
  </si>
  <si>
    <t>DJI</t>
  </si>
  <si>
    <t>HSI</t>
  </si>
  <si>
    <t>N225</t>
  </si>
  <si>
    <t>STOXX</t>
  </si>
  <si>
    <t>IXIC</t>
  </si>
  <si>
    <t>DH</t>
  </si>
  <si>
    <t>DN</t>
  </si>
  <si>
    <t>DS</t>
  </si>
  <si>
    <t>DI</t>
  </si>
  <si>
    <t>HN</t>
  </si>
  <si>
    <t>HS</t>
  </si>
  <si>
    <t>HI</t>
  </si>
  <si>
    <t>NS</t>
  </si>
  <si>
    <t>NI</t>
  </si>
  <si>
    <t>SI</t>
  </si>
  <si>
    <t>Rendimenti</t>
  </si>
  <si>
    <t>MATRICE COVARIANZA</t>
  </si>
  <si>
    <t>Settimanali</t>
  </si>
  <si>
    <t>Titoli</t>
  </si>
  <si>
    <t>D</t>
  </si>
  <si>
    <t>H</t>
  </si>
  <si>
    <t>N</t>
  </si>
  <si>
    <t>S</t>
  </si>
  <si>
    <t>I</t>
  </si>
  <si>
    <t>Lambda^s</t>
  </si>
  <si>
    <t>1-L</t>
  </si>
  <si>
    <t>Lambda</t>
  </si>
  <si>
    <t>Covarianze     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</si>
</sst>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B1" workbookViewId="0">
      <selection activeCell="W15" sqref="W15"/>
    </sheetView>
  </sheetViews>
  <sheetFormatPr defaultRowHeight="14.4" x14ac:dyDescent="0.3"/>
  <cols>
    <col min="20" max="20" width="12" bestFit="1" customWidth="1"/>
    <col min="22" max="22" width="11.5546875" customWidth="1"/>
  </cols>
  <sheetData>
    <row r="1" spans="1:23" x14ac:dyDescent="0.3">
      <c r="B1" t="s">
        <v>0</v>
      </c>
      <c r="H1" t="s">
        <v>29</v>
      </c>
    </row>
    <row r="2" spans="1:23" x14ac:dyDescent="0.3">
      <c r="A2" t="s">
        <v>1</v>
      </c>
      <c r="B2">
        <f t="shared" ref="B2:D2" si="0">AVERAGE(B4:B107)</f>
        <v>1.2875944424106586E-3</v>
      </c>
      <c r="C2">
        <f t="shared" si="0"/>
        <v>-2.7593371963064053E-3</v>
      </c>
      <c r="D2">
        <f t="shared" si="0"/>
        <v>3.6333613597544388E-3</v>
      </c>
      <c r="E2">
        <f>AVERAGE(E4:E107)</f>
        <v>1.0771256933943994E-3</v>
      </c>
      <c r="F2">
        <f>AVERAGE(F4:F107)</f>
        <v>1.3313895160821892E-3</v>
      </c>
      <c r="H2" s="1">
        <f>SUM(H4:H107)*$U$20</f>
        <v>1.1640541204100065E-4</v>
      </c>
      <c r="I2" s="1">
        <f t="shared" ref="I2:Q2" si="1">SUM(I4:I107)*$U$20</f>
        <v>1.7144763469738829E-4</v>
      </c>
      <c r="J2" s="1">
        <f t="shared" si="1"/>
        <v>2.0073291215861482E-4</v>
      </c>
      <c r="K2" s="1">
        <f t="shared" si="1"/>
        <v>3.2540476209147722E-4</v>
      </c>
      <c r="L2" s="1">
        <f t="shared" si="1"/>
        <v>1.7113469930568043E-4</v>
      </c>
      <c r="M2" s="1">
        <f t="shared" si="1"/>
        <v>2.1781617439072394E-4</v>
      </c>
      <c r="N2" s="1">
        <f t="shared" si="1"/>
        <v>1.6471366002985773E-4</v>
      </c>
      <c r="O2" s="1">
        <f t="shared" si="1"/>
        <v>1.6268079109715952E-4</v>
      </c>
      <c r="P2" s="1">
        <f t="shared" si="1"/>
        <v>2.7984751333738248E-4</v>
      </c>
      <c r="Q2" s="1">
        <f t="shared" si="1"/>
        <v>2.2916519473997667E-4</v>
      </c>
    </row>
    <row r="3" spans="1:23" x14ac:dyDescent="0.3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26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23" x14ac:dyDescent="0.3">
      <c r="A4" t="s">
        <v>17</v>
      </c>
      <c r="B4">
        <v>-2.7941016797585032E-3</v>
      </c>
      <c r="C4">
        <v>-7.6308756012587525E-3</v>
      </c>
      <c r="D4">
        <v>-2.4892685823603693E-2</v>
      </c>
      <c r="E4">
        <v>5.721709072371026E-3</v>
      </c>
      <c r="F4">
        <v>-3.936516842043461E-2</v>
      </c>
      <c r="G4">
        <v>0.13795464900000001</v>
      </c>
      <c r="H4" s="1">
        <f>(B4-$B$2)*(C4-$C$2)*G4</f>
        <v>2.7431094738692388E-6</v>
      </c>
      <c r="I4" s="1">
        <f>(B4-$B$2)*(D4-$D$2)*G4</f>
        <v>1.6062702123247661E-5</v>
      </c>
      <c r="J4" s="1">
        <f>(B4-$B$2)*(E4-$E$2)*G4</f>
        <v>-2.6153136052657294E-6</v>
      </c>
      <c r="K4" s="1">
        <f>(B4-$B$2)*(F4-$F$2)*G4</f>
        <v>2.2915782315508517E-5</v>
      </c>
      <c r="L4" s="1">
        <f>(C4-$C$2)*(D4-$D$2)*G4</f>
        <v>1.9170969111518686E-5</v>
      </c>
      <c r="M4" s="1">
        <f>(C4-$C$2)*(E4-$E$2)*G4</f>
        <v>-3.1213986263817126E-6</v>
      </c>
      <c r="N4" s="1">
        <f>(C4-$C$2)*(F4-$F$2)*G4</f>
        <v>2.7350177545848416E-5</v>
      </c>
      <c r="O4" s="1">
        <f>(D4-$D$2)*(E4-$E$2)*G4</f>
        <v>-1.8277832810209566E-5</v>
      </c>
      <c r="P4" s="1">
        <f>(D4-$D$2)*(F4-$F$2)*G4</f>
        <v>1.6015319808481031E-4</v>
      </c>
      <c r="Q4" s="1">
        <f>(E4-$E$2)*(F4-$F$2)*G4</f>
        <v>-2.6075988626584562E-5</v>
      </c>
      <c r="S4" t="s">
        <v>18</v>
      </c>
    </row>
    <row r="5" spans="1:23" x14ac:dyDescent="0.3">
      <c r="A5" t="s">
        <v>19</v>
      </c>
      <c r="B5">
        <v>-7.8034465953647231E-3</v>
      </c>
      <c r="C5">
        <v>-1.6314210881137506E-2</v>
      </c>
      <c r="D5">
        <v>3.9715539321612883E-3</v>
      </c>
      <c r="E5">
        <v>-2.4978433474100205E-3</v>
      </c>
      <c r="F5">
        <v>-2.6601144081768547E-2</v>
      </c>
      <c r="G5">
        <v>0.14063338</v>
      </c>
      <c r="H5" s="1">
        <f t="shared" ref="H5:H68" si="2">(B5-$B$2)*(C5-$C$2)*G5</f>
        <v>1.7329957905784583E-5</v>
      </c>
      <c r="I5" s="1">
        <f t="shared" ref="I5:I68" si="3">(B5-$B$2)*(D5-$D$2)*G5</f>
        <v>-4.3238049871452821E-7</v>
      </c>
      <c r="J5" s="1">
        <f t="shared" ref="J5:J68" si="4">(B5-$B$2)*(E5-$E$2)*G5</f>
        <v>4.5706116067282E-6</v>
      </c>
      <c r="K5" s="1">
        <f t="shared" ref="K5:K68" si="5">(B5-$B$2)*(F5-$F$2)*G5</f>
        <v>3.571185115464235E-5</v>
      </c>
      <c r="L5" s="1">
        <f t="shared" ref="L5:L68" si="6">(C5-$C$2)*(D5-$D$2)*G5</f>
        <v>-6.4468557775797763E-7</v>
      </c>
      <c r="M5" s="1">
        <f t="shared" ref="M5:M68" si="7">(C5-$C$2)*(E5-$E$2)*G5</f>
        <v>6.8148480173161893E-6</v>
      </c>
      <c r="N5" s="1">
        <f t="shared" ref="N5:N68" si="8">(C5-$C$2)*(F5-$F$2)*G5</f>
        <v>5.3246886626212042E-5</v>
      </c>
      <c r="O5" s="1">
        <f t="shared" ref="O5:O68" si="9">(D5-$D$2)*(E5-$E$2)*G5</f>
        <v>-1.7002969080538493E-7</v>
      </c>
      <c r="P5" s="1">
        <f t="shared" ref="P5:P68" si="10">(D5-$D$2)*(F5-$F$2)*G5</f>
        <v>-1.3285038267030452E-6</v>
      </c>
      <c r="Q5" s="1">
        <f t="shared" ref="Q5:Q68" si="11">(E5-$E$2)*(F5-$F$2)*G5</f>
        <v>1.4043360021934639E-5</v>
      </c>
    </row>
    <row r="6" spans="1:23" x14ac:dyDescent="0.3">
      <c r="A6" t="s">
        <v>20</v>
      </c>
      <c r="B6">
        <v>-1.8746677011013294E-2</v>
      </c>
      <c r="C6">
        <v>-4.1734305715755628E-2</v>
      </c>
      <c r="D6">
        <v>4.4541175526186411E-4</v>
      </c>
      <c r="E6">
        <v>-1.4258910042033786E-2</v>
      </c>
      <c r="F6">
        <v>-3.9087282472416329E-2</v>
      </c>
      <c r="G6">
        <v>0.14336412500000001</v>
      </c>
      <c r="H6" s="1">
        <f t="shared" si="2"/>
        <v>1.119437407671426E-4</v>
      </c>
      <c r="I6" s="1">
        <f t="shared" si="3"/>
        <v>9.1564154548565304E-6</v>
      </c>
      <c r="J6" s="1">
        <f t="shared" si="4"/>
        <v>4.4048097380905046E-5</v>
      </c>
      <c r="K6" s="1">
        <f t="shared" si="5"/>
        <v>1.16090339802963E-4</v>
      </c>
      <c r="L6" s="1">
        <f t="shared" si="6"/>
        <v>1.7813026290159435E-5</v>
      </c>
      <c r="M6" s="1">
        <f t="shared" si="7"/>
        <v>8.5691821275038336E-5</v>
      </c>
      <c r="N6" s="1">
        <f t="shared" si="8"/>
        <v>2.258438670830412E-4</v>
      </c>
      <c r="O6" s="1">
        <f t="shared" si="9"/>
        <v>7.009145051796114E-6</v>
      </c>
      <c r="P6" s="1">
        <f t="shared" si="10"/>
        <v>1.847285306683884E-5</v>
      </c>
      <c r="Q6" s="1">
        <f t="shared" si="11"/>
        <v>8.8866001636009998E-5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</row>
    <row r="7" spans="1:23" x14ac:dyDescent="0.3">
      <c r="B7">
        <v>-2.4981306902347386E-2</v>
      </c>
      <c r="C7">
        <v>2.161089015608789E-2</v>
      </c>
      <c r="D7">
        <v>-9.5401761902709544E-3</v>
      </c>
      <c r="E7">
        <v>-6.4623063403125456E-3</v>
      </c>
      <c r="F7">
        <v>-4.0098468047665266E-2</v>
      </c>
      <c r="G7">
        <v>0.146147895</v>
      </c>
      <c r="H7" s="1">
        <f t="shared" si="2"/>
        <v>-9.3560827605836962E-5</v>
      </c>
      <c r="I7" s="1">
        <f t="shared" si="3"/>
        <v>5.0575116015725384E-5</v>
      </c>
      <c r="J7" s="1">
        <f t="shared" si="4"/>
        <v>2.8944970046915769E-5</v>
      </c>
      <c r="K7" s="1">
        <f t="shared" si="5"/>
        <v>1.590552154153511E-4</v>
      </c>
      <c r="L7" s="1">
        <f t="shared" si="6"/>
        <v>-4.6919627871033752E-5</v>
      </c>
      <c r="M7" s="1">
        <f t="shared" si="7"/>
        <v>-2.6852874107441187E-5</v>
      </c>
      <c r="N7" s="1">
        <f t="shared" si="8"/>
        <v>-1.4755895994217715E-4</v>
      </c>
      <c r="O7" s="1">
        <f t="shared" si="9"/>
        <v>1.4515553764242028E-5</v>
      </c>
      <c r="P7" s="1">
        <f t="shared" si="10"/>
        <v>7.9764274314411928E-5</v>
      </c>
      <c r="Q7" s="1">
        <f t="shared" si="11"/>
        <v>4.5650405035685057E-5</v>
      </c>
      <c r="R7" t="s">
        <v>21</v>
      </c>
      <c r="S7">
        <v>2.9089037709550302E-4</v>
      </c>
      <c r="T7" s="1">
        <f>H2</f>
        <v>1.1640541204100065E-4</v>
      </c>
      <c r="U7" s="1">
        <f t="shared" ref="U7:W7" si="12">I2</f>
        <v>1.7144763469738829E-4</v>
      </c>
      <c r="V7" s="1">
        <f t="shared" si="12"/>
        <v>2.0073291215861482E-4</v>
      </c>
      <c r="W7" s="1">
        <f t="shared" si="12"/>
        <v>3.2540476209147722E-4</v>
      </c>
    </row>
    <row r="8" spans="1:23" x14ac:dyDescent="0.3">
      <c r="B8">
        <v>-2.3632081758470729E-3</v>
      </c>
      <c r="C8">
        <v>-5.2939784399930391E-2</v>
      </c>
      <c r="D8">
        <v>5.781109251924977E-3</v>
      </c>
      <c r="E8">
        <v>-4.6538013637281092E-2</v>
      </c>
      <c r="F8">
        <v>-1.5521955924944757E-2</v>
      </c>
      <c r="G8">
        <v>0.14898571799999999</v>
      </c>
      <c r="H8" s="1">
        <f t="shared" si="2"/>
        <v>2.7294020850609233E-5</v>
      </c>
      <c r="I8" s="1">
        <f t="shared" si="3"/>
        <v>-1.1681975553721484E-6</v>
      </c>
      <c r="J8" s="1">
        <f t="shared" si="4"/>
        <v>2.5898705135538614E-5</v>
      </c>
      <c r="K8" s="1">
        <f t="shared" si="5"/>
        <v>9.1668286654226764E-6</v>
      </c>
      <c r="L8" s="1">
        <f t="shared" si="6"/>
        <v>-1.6056928264922245E-5</v>
      </c>
      <c r="M8" s="1">
        <f t="shared" si="7"/>
        <v>3.5597887412394034E-4</v>
      </c>
      <c r="N8" s="1">
        <f t="shared" si="8"/>
        <v>1.259984748475481E-4</v>
      </c>
      <c r="O8" s="1">
        <f t="shared" si="9"/>
        <v>-1.5236071401566125E-5</v>
      </c>
      <c r="P8" s="1">
        <f t="shared" si="10"/>
        <v>-5.3927968731012148E-6</v>
      </c>
      <c r="Q8" s="1">
        <f t="shared" si="11"/>
        <v>1.1955722337375545E-4</v>
      </c>
      <c r="R8" t="s">
        <v>22</v>
      </c>
      <c r="T8">
        <v>8.0944473767910181E-4</v>
      </c>
      <c r="U8" s="1">
        <f>L2</f>
        <v>1.7113469930568043E-4</v>
      </c>
      <c r="V8" s="1">
        <f t="shared" ref="V8:W8" si="13">M2</f>
        <v>2.1781617439072394E-4</v>
      </c>
      <c r="W8" s="1">
        <f t="shared" si="13"/>
        <v>1.6471366002985773E-4</v>
      </c>
    </row>
    <row r="9" spans="1:23" x14ac:dyDescent="0.3">
      <c r="B9">
        <v>-2.1590788189511812E-2</v>
      </c>
      <c r="C9">
        <v>-5.1724184420412767E-3</v>
      </c>
      <c r="D9">
        <v>-2.1557904075614261E-2</v>
      </c>
      <c r="E9">
        <v>8.2697906713096233E-3</v>
      </c>
      <c r="F9">
        <v>-2.8366409310246792E-2</v>
      </c>
      <c r="G9">
        <v>0.15187864400000001</v>
      </c>
      <c r="H9" s="1">
        <f t="shared" si="2"/>
        <v>8.3848244526429742E-6</v>
      </c>
      <c r="I9" s="1">
        <f t="shared" si="3"/>
        <v>8.753304050115964E-5</v>
      </c>
      <c r="J9" s="1">
        <f t="shared" si="4"/>
        <v>-2.499262438556061E-5</v>
      </c>
      <c r="K9" s="1">
        <f t="shared" si="5"/>
        <v>1.0319206211096394E-4</v>
      </c>
      <c r="L9" s="1">
        <f t="shared" si="6"/>
        <v>9.2324856093968586E-6</v>
      </c>
      <c r="M9" s="1">
        <f t="shared" si="7"/>
        <v>-2.6360794010998904E-6</v>
      </c>
      <c r="N9" s="1">
        <f t="shared" si="8"/>
        <v>1.0884109851420503E-5</v>
      </c>
      <c r="O9" s="1">
        <f t="shared" si="9"/>
        <v>-2.751924578552347E-5</v>
      </c>
      <c r="P9" s="1">
        <f t="shared" si="10"/>
        <v>1.1362423075454555E-4</v>
      </c>
      <c r="Q9" s="1">
        <f t="shared" si="11"/>
        <v>-3.2442237857703564E-5</v>
      </c>
      <c r="R9" t="s">
        <v>23</v>
      </c>
      <c r="U9">
        <v>4.9269310855958666E-4</v>
      </c>
      <c r="V9" s="1">
        <f>O2</f>
        <v>1.6268079109715952E-4</v>
      </c>
      <c r="W9" s="1">
        <f>P2</f>
        <v>2.7984751333738248E-4</v>
      </c>
    </row>
    <row r="10" spans="1:23" x14ac:dyDescent="0.3">
      <c r="B10">
        <v>-2.9462616765809364E-2</v>
      </c>
      <c r="C10">
        <v>4.030831797482675E-2</v>
      </c>
      <c r="D10">
        <v>1.17134441361337E-2</v>
      </c>
      <c r="E10">
        <v>-5.5055887598473808E-3</v>
      </c>
      <c r="F10">
        <v>-3.8898450669488556E-2</v>
      </c>
      <c r="G10">
        <v>0.15482774399999999</v>
      </c>
      <c r="H10" s="1">
        <f t="shared" si="2"/>
        <v>-2.0504449595338167E-4</v>
      </c>
      <c r="I10" s="1">
        <f t="shared" si="3"/>
        <v>-3.8469159594617775E-5</v>
      </c>
      <c r="J10" s="1">
        <f t="shared" si="4"/>
        <v>3.1340210227528116E-5</v>
      </c>
      <c r="K10" s="1">
        <f t="shared" si="5"/>
        <v>1.9153369902210108E-4</v>
      </c>
      <c r="L10" s="1">
        <f t="shared" si="6"/>
        <v>5.3878540505809721E-5</v>
      </c>
      <c r="M10" s="1">
        <f t="shared" si="7"/>
        <v>-4.3893986871517544E-5</v>
      </c>
      <c r="N10" s="1">
        <f t="shared" si="8"/>
        <v>-2.6825530554178394E-4</v>
      </c>
      <c r="O10" s="1">
        <f t="shared" si="9"/>
        <v>-8.2351139363837041E-6</v>
      </c>
      <c r="P10" s="1">
        <f t="shared" si="10"/>
        <v>-5.0328374399945193E-5</v>
      </c>
      <c r="Q10" s="1">
        <f t="shared" si="11"/>
        <v>4.100172321738755E-5</v>
      </c>
      <c r="R10" t="s">
        <v>24</v>
      </c>
      <c r="V10">
        <v>2.5441705145140368E-4</v>
      </c>
      <c r="W10" s="1">
        <f>Q2</f>
        <v>2.2916519473997667E-4</v>
      </c>
    </row>
    <row r="11" spans="1:23" x14ac:dyDescent="0.3">
      <c r="B11">
        <v>6.0540057500527336E-2</v>
      </c>
      <c r="C11">
        <v>-9.6008947157925082E-4</v>
      </c>
      <c r="D11">
        <v>1.5937905471400966E-3</v>
      </c>
      <c r="E11">
        <v>2.9326780906067003E-2</v>
      </c>
      <c r="F11">
        <v>6.615014656531655E-2</v>
      </c>
      <c r="G11">
        <v>0.157834108</v>
      </c>
      <c r="H11" s="1">
        <f t="shared" si="2"/>
        <v>1.682667205321787E-5</v>
      </c>
      <c r="I11" s="1">
        <f t="shared" si="3"/>
        <v>-1.9074187907271592E-5</v>
      </c>
      <c r="J11" s="1">
        <f t="shared" si="4"/>
        <v>2.6419246074200391E-4</v>
      </c>
      <c r="K11" s="1">
        <f t="shared" si="5"/>
        <v>6.0618888259540054E-4</v>
      </c>
      <c r="L11" s="1">
        <f t="shared" si="6"/>
        <v>-5.7920274401952337E-7</v>
      </c>
      <c r="M11" s="1">
        <f t="shared" si="7"/>
        <v>8.0224122229970875E-6</v>
      </c>
      <c r="N11" s="1">
        <f t="shared" si="8"/>
        <v>1.8407403025506189E-5</v>
      </c>
      <c r="O11" s="1">
        <f t="shared" si="9"/>
        <v>-9.0939549856963951E-6</v>
      </c>
      <c r="P11" s="1">
        <f t="shared" si="10"/>
        <v>-2.0866054980030372E-5</v>
      </c>
      <c r="Q11" s="1">
        <f t="shared" si="11"/>
        <v>2.8901122490518187E-4</v>
      </c>
      <c r="R11" t="s">
        <v>25</v>
      </c>
      <c r="W11">
        <v>5.9856305382316997E-4</v>
      </c>
    </row>
    <row r="12" spans="1:23" x14ac:dyDescent="0.3">
      <c r="B12">
        <v>-9.4766220083004442E-3</v>
      </c>
      <c r="C12">
        <v>1.8419677248353833E-2</v>
      </c>
      <c r="D12">
        <v>3.5934641481169108E-2</v>
      </c>
      <c r="E12">
        <v>-8.6876342158073178E-3</v>
      </c>
      <c r="F12">
        <v>-9.8079065561095021E-3</v>
      </c>
      <c r="G12">
        <v>0.16089884800000001</v>
      </c>
      <c r="H12" s="1">
        <f t="shared" si="2"/>
        <v>-3.6680994629564082E-5</v>
      </c>
      <c r="I12" s="1">
        <f t="shared" si="3"/>
        <v>-5.594420296362682E-5</v>
      </c>
      <c r="J12" s="1">
        <f t="shared" si="4"/>
        <v>1.691207618391881E-5</v>
      </c>
      <c r="K12" s="1">
        <f t="shared" si="5"/>
        <v>1.9292704127892326E-5</v>
      </c>
      <c r="L12" s="1">
        <f t="shared" si="6"/>
        <v>1.1007239478014992E-4</v>
      </c>
      <c r="M12" s="1">
        <f t="shared" si="7"/>
        <v>-3.3275167535742816E-5</v>
      </c>
      <c r="N12" s="1">
        <f t="shared" si="8"/>
        <v>-3.7959145588733947E-5</v>
      </c>
      <c r="O12" s="1">
        <f t="shared" si="9"/>
        <v>-5.0749788686698027E-5</v>
      </c>
      <c r="P12" s="1">
        <f t="shared" si="10"/>
        <v>-5.7893581310644758E-5</v>
      </c>
      <c r="Q12" s="1">
        <f t="shared" si="11"/>
        <v>1.7501378262947153E-5</v>
      </c>
    </row>
    <row r="13" spans="1:23" x14ac:dyDescent="0.3">
      <c r="B13">
        <v>-4.6885290475116803E-2</v>
      </c>
      <c r="C13">
        <v>3.3767598593805591E-2</v>
      </c>
      <c r="D13">
        <v>2.2566450287919006E-3</v>
      </c>
      <c r="E13">
        <v>-4.0292898919249392E-2</v>
      </c>
      <c r="F13">
        <v>-5.7628939268666281E-2</v>
      </c>
      <c r="G13">
        <v>0.16402309800000001</v>
      </c>
      <c r="H13" s="1">
        <f t="shared" si="2"/>
        <v>-2.8861633479262315E-4</v>
      </c>
      <c r="I13" s="1">
        <f t="shared" si="3"/>
        <v>1.0878077038126978E-5</v>
      </c>
      <c r="J13" s="1">
        <f t="shared" si="4"/>
        <v>3.2688383560534228E-4</v>
      </c>
      <c r="K13" s="1">
        <f t="shared" si="5"/>
        <v>4.6587302285095198E-4</v>
      </c>
      <c r="L13" s="1">
        <f t="shared" si="6"/>
        <v>-8.2482670940677776E-6</v>
      </c>
      <c r="M13" s="1">
        <f t="shared" si="7"/>
        <v>-2.4785862201160243E-4</v>
      </c>
      <c r="N13" s="1">
        <f t="shared" si="8"/>
        <v>-3.5324672834428027E-4</v>
      </c>
      <c r="O13" s="1">
        <f t="shared" si="9"/>
        <v>9.3419008551387081E-6</v>
      </c>
      <c r="P13" s="1">
        <f t="shared" si="10"/>
        <v>1.3314025095483297E-5</v>
      </c>
      <c r="Q13" s="1">
        <f t="shared" si="11"/>
        <v>4.0008354190758041E-4</v>
      </c>
    </row>
    <row r="14" spans="1:23" x14ac:dyDescent="0.3">
      <c r="B14">
        <v>-4.9095089577294734E-2</v>
      </c>
      <c r="C14">
        <v>-3.410589766315434E-2</v>
      </c>
      <c r="D14">
        <v>-6.9236898975931077E-2</v>
      </c>
      <c r="E14">
        <v>-4.7129626436665364E-2</v>
      </c>
      <c r="F14">
        <v>-4.8944712137082014E-2</v>
      </c>
      <c r="G14">
        <v>0.16720801199999999</v>
      </c>
      <c r="H14" s="1">
        <f t="shared" si="2"/>
        <v>2.6407560144758288E-4</v>
      </c>
      <c r="I14" s="1">
        <f t="shared" si="3"/>
        <v>6.1388737836611212E-4</v>
      </c>
      <c r="J14" s="1">
        <f t="shared" si="4"/>
        <v>4.0611240509285041E-4</v>
      </c>
      <c r="K14" s="1">
        <f t="shared" si="5"/>
        <v>4.2354540928152409E-4</v>
      </c>
      <c r="L14" s="1">
        <f t="shared" si="6"/>
        <v>3.8194189531986388E-4</v>
      </c>
      <c r="M14" s="1">
        <f t="shared" si="7"/>
        <v>2.5267068061719588E-4</v>
      </c>
      <c r="N14" s="1">
        <f t="shared" si="8"/>
        <v>2.63516961051667E-4</v>
      </c>
      <c r="O14" s="1">
        <f t="shared" si="9"/>
        <v>5.8737475504665323E-4</v>
      </c>
      <c r="P14" s="1">
        <f t="shared" si="10"/>
        <v>6.1258872644136676E-4</v>
      </c>
      <c r="Q14" s="1">
        <f t="shared" si="11"/>
        <v>4.0525329204520882E-4</v>
      </c>
      <c r="S14">
        <v>2.9089037709550302E-4</v>
      </c>
      <c r="T14">
        <v>1.16405412041001E-4</v>
      </c>
      <c r="U14">
        <v>1.7144763469738829E-4</v>
      </c>
      <c r="V14">
        <v>2.0073291215861482E-4</v>
      </c>
      <c r="W14">
        <v>3.2540476209147722E-4</v>
      </c>
    </row>
    <row r="15" spans="1:23" x14ac:dyDescent="0.3">
      <c r="B15">
        <v>5.2525973763865294E-2</v>
      </c>
      <c r="C15">
        <v>3.0102737341829285E-2</v>
      </c>
      <c r="D15">
        <v>2.0169247178333842E-2</v>
      </c>
      <c r="E15">
        <v>2.3721353112953064E-2</v>
      </c>
      <c r="F15">
        <v>7.2268480610082314E-2</v>
      </c>
      <c r="G15">
        <v>0.17045477000000001</v>
      </c>
      <c r="H15" s="1">
        <f t="shared" si="2"/>
        <v>2.8701164635227991E-4</v>
      </c>
      <c r="I15" s="1">
        <f t="shared" si="3"/>
        <v>1.4442155218095487E-4</v>
      </c>
      <c r="J15" s="1">
        <f t="shared" si="4"/>
        <v>1.9777074586453295E-4</v>
      </c>
      <c r="K15" s="1">
        <f t="shared" si="5"/>
        <v>6.195522220821323E-4</v>
      </c>
      <c r="L15" s="1">
        <f t="shared" si="6"/>
        <v>9.2625720710423417E-5</v>
      </c>
      <c r="M15" s="1">
        <f t="shared" si="7"/>
        <v>1.2684158004469965E-4</v>
      </c>
      <c r="N15" s="1">
        <f t="shared" si="8"/>
        <v>3.9735392828487733E-4</v>
      </c>
      <c r="O15" s="1">
        <f t="shared" si="9"/>
        <v>6.382548619179E-5</v>
      </c>
      <c r="P15" s="1">
        <f t="shared" si="10"/>
        <v>1.9994474725135473E-4</v>
      </c>
      <c r="Q15" s="1">
        <f t="shared" si="11"/>
        <v>2.7380416010243228E-4</v>
      </c>
      <c r="T15">
        <v>8.0944473767910203E-4</v>
      </c>
      <c r="U15">
        <v>1.7113469930567999E-4</v>
      </c>
      <c r="V15">
        <v>2.1781617439072399E-4</v>
      </c>
      <c r="W15">
        <v>1.64713660029858E-4</v>
      </c>
    </row>
    <row r="16" spans="1:23" x14ac:dyDescent="0.3">
      <c r="B16">
        <v>-1.2889420490162434E-2</v>
      </c>
      <c r="C16">
        <v>6.4585920210356463E-3</v>
      </c>
      <c r="D16">
        <v>-2.1224414425309954E-2</v>
      </c>
      <c r="E16">
        <v>-1.4145513075792799E-2</v>
      </c>
      <c r="F16">
        <v>-4.2210849199446204E-2</v>
      </c>
      <c r="G16">
        <v>0.17376457100000001</v>
      </c>
      <c r="H16" s="1">
        <f t="shared" si="2"/>
        <v>-2.2708026806003913E-5</v>
      </c>
      <c r="I16" s="1">
        <f t="shared" si="3"/>
        <v>6.1236208865969125E-5</v>
      </c>
      <c r="J16" s="1">
        <f t="shared" si="4"/>
        <v>3.7500406119248924E-5</v>
      </c>
      <c r="K16" s="1">
        <f t="shared" si="5"/>
        <v>1.0726469043453385E-4</v>
      </c>
      <c r="L16" s="1">
        <f t="shared" si="6"/>
        <v>-3.9815930331564313E-5</v>
      </c>
      <c r="M16" s="1">
        <f t="shared" si="7"/>
        <v>-2.4382854280176595E-5</v>
      </c>
      <c r="N16" s="1">
        <f t="shared" si="8"/>
        <v>-6.9743759786403985E-5</v>
      </c>
      <c r="O16" s="1">
        <f t="shared" si="9"/>
        <v>6.5752677245149707E-5</v>
      </c>
      <c r="P16" s="1">
        <f t="shared" si="10"/>
        <v>1.8807637836014085E-4</v>
      </c>
      <c r="Q16" s="1">
        <f t="shared" si="11"/>
        <v>1.1517598330392954E-4</v>
      </c>
      <c r="U16">
        <v>4.9269310855958666E-4</v>
      </c>
      <c r="V16">
        <v>1.6268079109715952E-4</v>
      </c>
      <c r="W16">
        <v>2.7984751333738248E-4</v>
      </c>
    </row>
    <row r="17" spans="2:23" x14ac:dyDescent="0.3">
      <c r="B17">
        <v>7.7164927819081061E-3</v>
      </c>
      <c r="C17">
        <v>-6.1492917645407279E-3</v>
      </c>
      <c r="D17">
        <v>2.2175900992099033E-2</v>
      </c>
      <c r="E17">
        <v>2.4241381155754745E-2</v>
      </c>
      <c r="F17">
        <v>4.4593463308076231E-2</v>
      </c>
      <c r="G17">
        <v>0.17713864000000001</v>
      </c>
      <c r="H17" s="1">
        <f t="shared" si="2"/>
        <v>-3.860501648026312E-6</v>
      </c>
      <c r="I17" s="1">
        <f t="shared" si="3"/>
        <v>2.1116361109979181E-5</v>
      </c>
      <c r="J17" s="1">
        <f t="shared" si="4"/>
        <v>2.6379600253558117E-5</v>
      </c>
      <c r="K17" s="1">
        <f t="shared" si="5"/>
        <v>4.9267122555574184E-5</v>
      </c>
      <c r="L17" s="1">
        <f t="shared" si="6"/>
        <v>-1.1134645631191495E-5</v>
      </c>
      <c r="M17" s="1">
        <f t="shared" si="7"/>
        <v>-1.3909948744769716E-5</v>
      </c>
      <c r="N17" s="1">
        <f t="shared" si="8"/>
        <v>-2.5978526701059104E-5</v>
      </c>
      <c r="O17" s="1">
        <f t="shared" si="9"/>
        <v>7.6085319343414235E-5</v>
      </c>
      <c r="P17" s="1">
        <f t="shared" si="10"/>
        <v>1.4209861850603237E-4</v>
      </c>
      <c r="Q17" s="1">
        <f t="shared" si="11"/>
        <v>1.7751660587962375E-4</v>
      </c>
      <c r="V17">
        <v>2.5441705145140368E-4</v>
      </c>
      <c r="W17">
        <v>2.2916519473997667E-4</v>
      </c>
    </row>
    <row r="18" spans="2:23" x14ac:dyDescent="0.3">
      <c r="B18">
        <v>-1.5932578780643856E-3</v>
      </c>
      <c r="C18">
        <v>-6.7990942382838773E-2</v>
      </c>
      <c r="D18">
        <v>1.0178415998111269E-2</v>
      </c>
      <c r="E18">
        <v>-8.0395089993793405E-3</v>
      </c>
      <c r="F18">
        <v>-1.5843348620956592E-2</v>
      </c>
      <c r="G18">
        <v>0.18057822600000001</v>
      </c>
      <c r="H18" s="1">
        <f t="shared" si="2"/>
        <v>3.3934733556136675E-5</v>
      </c>
      <c r="I18" s="1">
        <f t="shared" si="3"/>
        <v>-3.4048630970812127E-6</v>
      </c>
      <c r="J18" s="1">
        <f t="shared" si="4"/>
        <v>4.7426484193245183E-6</v>
      </c>
      <c r="K18" s="1">
        <f t="shared" si="5"/>
        <v>8.9346285578935657E-6</v>
      </c>
      <c r="L18" s="1">
        <f t="shared" si="6"/>
        <v>-7.7096865981096546E-5</v>
      </c>
      <c r="M18" s="1">
        <f t="shared" si="7"/>
        <v>1.0738855547336576E-4</v>
      </c>
      <c r="N18" s="1">
        <f t="shared" si="8"/>
        <v>2.0230823997278863E-4</v>
      </c>
      <c r="O18" s="1">
        <f t="shared" si="9"/>
        <v>-1.0774899086072234E-5</v>
      </c>
      <c r="P18" s="1">
        <f t="shared" si="10"/>
        <v>-2.0298726064234314E-5</v>
      </c>
      <c r="Q18" s="1">
        <f t="shared" si="11"/>
        <v>2.8274182643457406E-5</v>
      </c>
      <c r="W18">
        <v>5.9856305382316997E-4</v>
      </c>
    </row>
    <row r="19" spans="2:23" x14ac:dyDescent="0.3">
      <c r="B19">
        <v>1.934080517596205E-2</v>
      </c>
      <c r="C19">
        <v>1.522609793786784E-2</v>
      </c>
      <c r="D19">
        <v>4.1180407138977568E-2</v>
      </c>
      <c r="E19">
        <v>2.8423912939362556E-2</v>
      </c>
      <c r="F19">
        <v>3.2785014637597532E-2</v>
      </c>
      <c r="G19">
        <v>0.18408459899999999</v>
      </c>
      <c r="H19" s="1">
        <f t="shared" si="2"/>
        <v>5.97713213722504E-5</v>
      </c>
      <c r="I19" s="1">
        <f t="shared" si="3"/>
        <v>1.2478077528323207E-4</v>
      </c>
      <c r="J19" s="1">
        <f t="shared" si="4"/>
        <v>9.0882071897804403E-5</v>
      </c>
      <c r="K19" s="1">
        <f t="shared" si="5"/>
        <v>1.0453040037314052E-4</v>
      </c>
      <c r="L19" s="1">
        <f t="shared" si="6"/>
        <v>1.2431232166795086E-4</v>
      </c>
      <c r="M19" s="1">
        <f t="shared" si="7"/>
        <v>9.0540881237238791E-5</v>
      </c>
      <c r="N19" s="1">
        <f t="shared" si="8"/>
        <v>1.041379709796667E-4</v>
      </c>
      <c r="O19" s="1">
        <f t="shared" si="9"/>
        <v>1.8901642286353785E-4</v>
      </c>
      <c r="P19" s="1">
        <f t="shared" si="10"/>
        <v>2.1740219986667988E-4</v>
      </c>
      <c r="Q19" s="1">
        <f t="shared" si="11"/>
        <v>1.5834139765662681E-4</v>
      </c>
    </row>
    <row r="20" spans="2:23" x14ac:dyDescent="0.3">
      <c r="B20">
        <v>2.9219731831260413E-2</v>
      </c>
      <c r="C20">
        <v>-2.220739551276717E-2</v>
      </c>
      <c r="D20">
        <v>-4.0569702019511399E-3</v>
      </c>
      <c r="E20">
        <v>2.9122470137394284E-2</v>
      </c>
      <c r="F20">
        <v>4.5959349659730503E-2</v>
      </c>
      <c r="G20">
        <v>0.18765905699999999</v>
      </c>
      <c r="H20" s="1">
        <f t="shared" si="2"/>
        <v>-1.0194124827975756E-4</v>
      </c>
      <c r="I20" s="1">
        <f t="shared" si="3"/>
        <v>-4.0310553697894946E-5</v>
      </c>
      <c r="J20" s="1">
        <f t="shared" si="4"/>
        <v>1.470058025606229E-4</v>
      </c>
      <c r="K20" s="1">
        <f t="shared" si="5"/>
        <v>2.3392720708638337E-4</v>
      </c>
      <c r="L20" s="1">
        <f t="shared" si="6"/>
        <v>2.8066667014119521E-5</v>
      </c>
      <c r="M20" s="1">
        <f t="shared" si="7"/>
        <v>-1.0235440923322926E-4</v>
      </c>
      <c r="N20" s="1">
        <f t="shared" si="8"/>
        <v>-1.6287439453304664E-4</v>
      </c>
      <c r="O20" s="1">
        <f t="shared" si="9"/>
        <v>-4.0473929633366025E-5</v>
      </c>
      <c r="P20" s="1">
        <f t="shared" si="10"/>
        <v>-6.4405303423582108E-5</v>
      </c>
      <c r="Q20" s="1">
        <f t="shared" si="11"/>
        <v>2.3487529816387879E-4</v>
      </c>
      <c r="T20" t="s">
        <v>27</v>
      </c>
      <c r="U20">
        <f>1-U21</f>
        <v>1.9047619047619091E-2</v>
      </c>
    </row>
    <row r="21" spans="2:23" x14ac:dyDescent="0.3">
      <c r="B21">
        <v>-1.2691818437021798E-3</v>
      </c>
      <c r="C21">
        <v>2.2513107944988264E-3</v>
      </c>
      <c r="D21">
        <v>1.3370873157334708E-2</v>
      </c>
      <c r="E21">
        <v>-5.8809747663142254E-3</v>
      </c>
      <c r="F21">
        <v>2.1308440808907869E-2</v>
      </c>
      <c r="G21">
        <v>0.19130292199999999</v>
      </c>
      <c r="H21" s="1">
        <f t="shared" si="2"/>
        <v>-2.4508020043813058E-6</v>
      </c>
      <c r="I21" s="1">
        <f t="shared" si="3"/>
        <v>-4.7627998364660979E-6</v>
      </c>
      <c r="J21" s="1">
        <f t="shared" si="4"/>
        <v>3.403337569239205E-6</v>
      </c>
      <c r="K21" s="1">
        <f t="shared" si="5"/>
        <v>-9.7711508451459379E-6</v>
      </c>
      <c r="L21" s="1">
        <f t="shared" si="6"/>
        <v>9.3339075306736137E-6</v>
      </c>
      <c r="M21" s="1">
        <f t="shared" si="7"/>
        <v>-6.6696983408222151E-6</v>
      </c>
      <c r="N21" s="1">
        <f t="shared" si="8"/>
        <v>1.9149034515069255E-5</v>
      </c>
      <c r="O21" s="1">
        <f t="shared" si="9"/>
        <v>-1.296165014968867E-5</v>
      </c>
      <c r="P21" s="1">
        <f t="shared" si="10"/>
        <v>3.7213540014171534E-5</v>
      </c>
      <c r="Q21" s="1">
        <f t="shared" si="11"/>
        <v>-2.6591551852531425E-5</v>
      </c>
      <c r="T21" t="s">
        <v>28</v>
      </c>
      <c r="U21">
        <f>1-(2/(104+1))</f>
        <v>0.98095238095238091</v>
      </c>
    </row>
    <row r="22" spans="2:23" x14ac:dyDescent="0.3">
      <c r="B22">
        <v>2.8773468662463532E-2</v>
      </c>
      <c r="C22">
        <v>-1.3037101124720033E-3</v>
      </c>
      <c r="D22">
        <v>1.3085260201185825E-2</v>
      </c>
      <c r="E22">
        <v>1.1750198558323805E-2</v>
      </c>
      <c r="F22">
        <v>3.0318958194153308E-2</v>
      </c>
      <c r="G22">
        <v>0.19501754199999999</v>
      </c>
      <c r="H22" s="1">
        <f t="shared" si="2"/>
        <v>7.8024925139141625E-6</v>
      </c>
      <c r="I22" s="1">
        <f t="shared" si="3"/>
        <v>5.0664329326900766E-5</v>
      </c>
      <c r="J22" s="1">
        <f t="shared" si="4"/>
        <v>5.721010006883463E-5</v>
      </c>
      <c r="K22" s="1">
        <f t="shared" si="5"/>
        <v>1.553799665580784E-4</v>
      </c>
      <c r="L22" s="1">
        <f t="shared" si="6"/>
        <v>2.6831371402674081E-6</v>
      </c>
      <c r="M22" s="1">
        <f t="shared" si="7"/>
        <v>3.0297952490925678E-6</v>
      </c>
      <c r="N22" s="1">
        <f t="shared" si="8"/>
        <v>8.2287827484203439E-6</v>
      </c>
      <c r="O22" s="1">
        <f t="shared" si="9"/>
        <v>1.9673526635157236E-5</v>
      </c>
      <c r="P22" s="1">
        <f t="shared" si="10"/>
        <v>5.343238181671064E-5</v>
      </c>
      <c r="Q22" s="1">
        <f t="shared" si="11"/>
        <v>6.0335781629050733E-5</v>
      </c>
    </row>
    <row r="23" spans="2:23" x14ac:dyDescent="0.3">
      <c r="B23">
        <v>-1.6099537788548412E-3</v>
      </c>
      <c r="C23">
        <v>-2.0156049806017606E-2</v>
      </c>
      <c r="D23">
        <v>1.3339360861676908E-2</v>
      </c>
      <c r="E23">
        <v>-7.9934157775662391E-3</v>
      </c>
      <c r="F23">
        <v>-2.6559906717299884E-2</v>
      </c>
      <c r="G23">
        <v>0.19880429099999999</v>
      </c>
      <c r="H23" s="1">
        <f t="shared" si="2"/>
        <v>1.0021289659141885E-5</v>
      </c>
      <c r="I23" s="1">
        <f t="shared" si="3"/>
        <v>-5.5910926749434084E-6</v>
      </c>
      <c r="J23" s="1">
        <f t="shared" si="4"/>
        <v>5.2250402409369034E-6</v>
      </c>
      <c r="K23" s="1">
        <f t="shared" si="5"/>
        <v>1.6066642290085794E-5</v>
      </c>
      <c r="L23" s="1">
        <f t="shared" si="6"/>
        <v>-3.3568598350287633E-5</v>
      </c>
      <c r="M23" s="1">
        <f t="shared" si="7"/>
        <v>3.1370840622647398E-5</v>
      </c>
      <c r="N23" s="1">
        <f t="shared" si="8"/>
        <v>9.6463194804599536E-5</v>
      </c>
      <c r="O23" s="1">
        <f t="shared" si="9"/>
        <v>-1.7502465568600293E-5</v>
      </c>
      <c r="P23" s="1">
        <f t="shared" si="10"/>
        <v>-5.3818887610102103E-5</v>
      </c>
      <c r="Q23" s="1">
        <f t="shared" si="11"/>
        <v>5.0295330418233551E-5</v>
      </c>
    </row>
    <row r="24" spans="2:23" x14ac:dyDescent="0.3">
      <c r="B24">
        <v>-4.3144651129174282E-2</v>
      </c>
      <c r="C24">
        <v>1.9879436247881251E-2</v>
      </c>
      <c r="D24">
        <v>-1.0037973182495937E-2</v>
      </c>
      <c r="E24">
        <v>-2.610603811659569E-2</v>
      </c>
      <c r="F24">
        <v>-4.5366281980218831E-2</v>
      </c>
      <c r="G24">
        <v>0.20266456799999999</v>
      </c>
      <c r="H24" s="1">
        <f t="shared" si="2"/>
        <v>-2.0385857463424105E-4</v>
      </c>
      <c r="I24" s="1">
        <f t="shared" si="3"/>
        <v>1.2310820548657299E-4</v>
      </c>
      <c r="J24" s="1">
        <f t="shared" si="4"/>
        <v>2.4478009120129299E-4</v>
      </c>
      <c r="K24" s="1">
        <f t="shared" si="5"/>
        <v>4.2050514677587677E-4</v>
      </c>
      <c r="L24" s="1">
        <f t="shared" si="6"/>
        <v>-6.2725138855312888E-5</v>
      </c>
      <c r="M24" s="1">
        <f t="shared" si="7"/>
        <v>-1.247184551909649E-4</v>
      </c>
      <c r="N24" s="1">
        <f t="shared" si="8"/>
        <v>-2.142525237586E-4</v>
      </c>
      <c r="O24" s="1">
        <f t="shared" si="9"/>
        <v>7.5316259015176815E-5</v>
      </c>
      <c r="P24" s="1">
        <f t="shared" si="10"/>
        <v>1.2938501001595991E-4</v>
      </c>
      <c r="Q24" s="1">
        <f t="shared" si="11"/>
        <v>2.5726046794858948E-4</v>
      </c>
    </row>
    <row r="25" spans="2:23" x14ac:dyDescent="0.3">
      <c r="B25">
        <v>-3.034610477880537E-2</v>
      </c>
      <c r="C25">
        <v>-3.6243777367667179E-2</v>
      </c>
      <c r="D25">
        <v>-3.5196453668786605E-2</v>
      </c>
      <c r="E25">
        <v>-2.4037437493230254E-2</v>
      </c>
      <c r="F25">
        <v>-4.2984688421511735E-2</v>
      </c>
      <c r="G25">
        <v>0.206599803</v>
      </c>
      <c r="H25" s="1">
        <f t="shared" si="2"/>
        <v>2.1883809540390709E-4</v>
      </c>
      <c r="I25" s="1">
        <f t="shared" si="3"/>
        <v>2.5377287845474529E-4</v>
      </c>
      <c r="J25" s="1">
        <f t="shared" si="4"/>
        <v>1.6413663022393202E-4</v>
      </c>
      <c r="K25" s="1">
        <f t="shared" si="5"/>
        <v>2.8962843762664705E-4</v>
      </c>
      <c r="L25" s="1">
        <f t="shared" si="6"/>
        <v>2.6861995197933987E-4</v>
      </c>
      <c r="M25" s="1">
        <f t="shared" si="7"/>
        <v>1.7373950280768799E-4</v>
      </c>
      <c r="N25" s="1">
        <f t="shared" si="8"/>
        <v>3.0657325353621289E-4</v>
      </c>
      <c r="O25" s="1">
        <f t="shared" si="9"/>
        <v>2.014748558628522E-4</v>
      </c>
      <c r="P25" s="1">
        <f t="shared" si="10"/>
        <v>3.5551386454687702E-4</v>
      </c>
      <c r="Q25" s="1">
        <f t="shared" si="11"/>
        <v>2.2994122965357673E-4</v>
      </c>
    </row>
    <row r="26" spans="2:23" x14ac:dyDescent="0.3">
      <c r="B26">
        <v>2.6258575996588995E-2</v>
      </c>
      <c r="C26">
        <v>-4.6292171809389198E-3</v>
      </c>
      <c r="D26">
        <v>2.0188789234729811E-2</v>
      </c>
      <c r="E26">
        <v>1.0522119273051017E-2</v>
      </c>
      <c r="F26">
        <v>4.0560314567709525E-2</v>
      </c>
      <c r="G26">
        <v>0.21061144900000001</v>
      </c>
      <c r="H26" s="1">
        <f t="shared" si="2"/>
        <v>-9.8340253353321728E-6</v>
      </c>
      <c r="I26" s="1">
        <f t="shared" si="3"/>
        <v>8.7067885905933409E-5</v>
      </c>
      <c r="J26" s="1">
        <f t="shared" si="4"/>
        <v>4.9672870407587661E-5</v>
      </c>
      <c r="K26" s="1">
        <f t="shared" si="5"/>
        <v>2.0631176653370447E-4</v>
      </c>
      <c r="L26" s="1">
        <f t="shared" si="6"/>
        <v>-6.5198276970626438E-6</v>
      </c>
      <c r="M26" s="1">
        <f t="shared" si="7"/>
        <v>-3.7196097379220216E-6</v>
      </c>
      <c r="N26" s="1">
        <f t="shared" si="8"/>
        <v>-1.5449062024195798E-5</v>
      </c>
      <c r="O26" s="1">
        <f t="shared" si="9"/>
        <v>3.2932450876694239E-5</v>
      </c>
      <c r="P26" s="1">
        <f t="shared" si="10"/>
        <v>1.367819508094579E-4</v>
      </c>
      <c r="Q26" s="1">
        <f t="shared" si="11"/>
        <v>7.8035110718040524E-5</v>
      </c>
    </row>
    <row r="27" spans="2:23" x14ac:dyDescent="0.3">
      <c r="B27">
        <v>-4.2223290198918517E-2</v>
      </c>
      <c r="C27">
        <v>-3.1508298450456954E-2</v>
      </c>
      <c r="D27">
        <v>-2.3201892837681391E-2</v>
      </c>
      <c r="E27">
        <v>-2.9280051692958324E-2</v>
      </c>
      <c r="F27">
        <v>-5.6372238920307363E-2</v>
      </c>
      <c r="G27">
        <v>0.21470099200000001</v>
      </c>
      <c r="H27" s="1">
        <f t="shared" si="2"/>
        <v>2.6856791145237673E-4</v>
      </c>
      <c r="I27" s="1">
        <f t="shared" si="3"/>
        <v>2.5069038527638857E-4</v>
      </c>
      <c r="J27" s="1">
        <f t="shared" si="4"/>
        <v>2.8359159331591536E-4</v>
      </c>
      <c r="K27" s="1">
        <f t="shared" si="5"/>
        <v>5.390574927345499E-4</v>
      </c>
      <c r="L27" s="1">
        <f t="shared" si="6"/>
        <v>1.6563874148983065E-4</v>
      </c>
      <c r="M27" s="1">
        <f t="shared" si="7"/>
        <v>1.8737756760058862E-4</v>
      </c>
      <c r="N27" s="1">
        <f t="shared" si="8"/>
        <v>3.5617163613503816E-4</v>
      </c>
      <c r="O27" s="1">
        <f t="shared" si="9"/>
        <v>1.7490456830794408E-4</v>
      </c>
      <c r="P27" s="1">
        <f t="shared" si="10"/>
        <v>3.3246266914149699E-4</v>
      </c>
      <c r="Q27" s="1">
        <f t="shared" si="11"/>
        <v>3.7609586804037407E-4</v>
      </c>
    </row>
    <row r="28" spans="2:23" x14ac:dyDescent="0.3">
      <c r="B28">
        <v>-4.0792024902105345E-2</v>
      </c>
      <c r="C28">
        <v>-4.5159374910961926E-2</v>
      </c>
      <c r="D28">
        <v>-1.5124890565734827E-2</v>
      </c>
      <c r="E28">
        <v>-4.4683373090235977E-2</v>
      </c>
      <c r="F28">
        <v>-5.2033794490417513E-2</v>
      </c>
      <c r="G28">
        <v>0.21886994300000001</v>
      </c>
      <c r="H28" s="1">
        <f t="shared" si="2"/>
        <v>3.9050281617620223E-4</v>
      </c>
      <c r="I28" s="1">
        <f t="shared" si="3"/>
        <v>1.7276282282443104E-4</v>
      </c>
      <c r="J28" s="1">
        <f t="shared" si="4"/>
        <v>4.2145254126646053E-4</v>
      </c>
      <c r="K28" s="1">
        <f t="shared" si="5"/>
        <v>4.9149141754410036E-4</v>
      </c>
      <c r="L28" s="1">
        <f t="shared" si="6"/>
        <v>1.7407833810171742E-4</v>
      </c>
      <c r="M28" s="1">
        <f t="shared" si="7"/>
        <v>4.2466172277682884E-4</v>
      </c>
      <c r="N28" s="1">
        <f t="shared" si="8"/>
        <v>4.952339152520214E-4</v>
      </c>
      <c r="O28" s="1">
        <f t="shared" si="9"/>
        <v>1.8787510597441354E-4</v>
      </c>
      <c r="P28" s="1">
        <f t="shared" si="10"/>
        <v>2.1909703493336365E-4</v>
      </c>
      <c r="Q28" s="1">
        <f t="shared" si="11"/>
        <v>5.3448421742015317E-4</v>
      </c>
    </row>
    <row r="29" spans="2:23" x14ac:dyDescent="0.3">
      <c r="B29">
        <v>-2.9664744202168299E-2</v>
      </c>
      <c r="C29">
        <v>-4.0421786930579282E-2</v>
      </c>
      <c r="D29">
        <v>-4.5839454073476303E-2</v>
      </c>
      <c r="E29">
        <v>-6.5531567633061675E-3</v>
      </c>
      <c r="F29">
        <v>-2.72648587890186E-2</v>
      </c>
      <c r="G29">
        <v>0.22311984500000001</v>
      </c>
      <c r="H29" s="1">
        <f t="shared" si="2"/>
        <v>2.6009992855216524E-4</v>
      </c>
      <c r="I29" s="1">
        <f t="shared" si="3"/>
        <v>3.4166327071783614E-4</v>
      </c>
      <c r="J29" s="1">
        <f t="shared" si="4"/>
        <v>5.2695348704697661E-5</v>
      </c>
      <c r="K29" s="1">
        <f t="shared" si="5"/>
        <v>1.9748800711304255E-4</v>
      </c>
      <c r="L29" s="1">
        <f t="shared" si="6"/>
        <v>4.1573193894062899E-4</v>
      </c>
      <c r="M29" s="1">
        <f t="shared" si="7"/>
        <v>6.4119094347277997E-5</v>
      </c>
      <c r="N29" s="1">
        <f t="shared" si="8"/>
        <v>2.4030113609264781E-4</v>
      </c>
      <c r="O29" s="1">
        <f t="shared" si="9"/>
        <v>8.4225857392970641E-5</v>
      </c>
      <c r="P29" s="1">
        <f t="shared" si="10"/>
        <v>3.1565588107479881E-4</v>
      </c>
      <c r="Q29" s="1">
        <f t="shared" si="11"/>
        <v>4.8684181618287002E-5</v>
      </c>
    </row>
    <row r="30" spans="2:23" x14ac:dyDescent="0.3">
      <c r="B30">
        <v>1.9692375560897726E-2</v>
      </c>
      <c r="C30">
        <v>2.9589005579637468E-2</v>
      </c>
      <c r="D30">
        <v>4.4449339787205076E-2</v>
      </c>
      <c r="E30">
        <v>9.8009992966598489E-3</v>
      </c>
      <c r="F30">
        <v>7.2338924669527321E-3</v>
      </c>
      <c r="G30">
        <v>0.22745226900000001</v>
      </c>
      <c r="H30" s="1">
        <f t="shared" si="2"/>
        <v>1.3541693096955757E-4</v>
      </c>
      <c r="I30" s="1">
        <f t="shared" si="3"/>
        <v>1.7086422545501667E-4</v>
      </c>
      <c r="J30" s="1">
        <f t="shared" si="4"/>
        <v>3.6519960163123767E-5</v>
      </c>
      <c r="K30" s="1">
        <f t="shared" si="5"/>
        <v>2.4709112308530734E-5</v>
      </c>
      <c r="L30" s="1">
        <f t="shared" si="6"/>
        <v>3.0031188622032281E-4</v>
      </c>
      <c r="M30" s="1">
        <f t="shared" si="7"/>
        <v>6.4187679381522272E-5</v>
      </c>
      <c r="N30" s="1">
        <f t="shared" si="8"/>
        <v>4.3428869351930171E-5</v>
      </c>
      <c r="O30" s="1">
        <f t="shared" si="9"/>
        <v>8.0989711129580034E-5</v>
      </c>
      <c r="P30" s="1">
        <f t="shared" si="10"/>
        <v>5.4796989350414495E-5</v>
      </c>
      <c r="Q30" s="1">
        <f t="shared" si="11"/>
        <v>1.1712129106060912E-5</v>
      </c>
    </row>
    <row r="31" spans="2:23" x14ac:dyDescent="0.3">
      <c r="B31">
        <v>1.1472405055784328E-2</v>
      </c>
      <c r="C31">
        <v>-6.716401836652601E-2</v>
      </c>
      <c r="D31">
        <v>-9.3529145843066657E-4</v>
      </c>
      <c r="E31">
        <v>-9.1960208514466914E-4</v>
      </c>
      <c r="F31">
        <v>-3.1566848783389778E-2</v>
      </c>
      <c r="G31">
        <v>0.231868818</v>
      </c>
      <c r="H31" s="1">
        <f t="shared" si="2"/>
        <v>-1.5209423067261973E-4</v>
      </c>
      <c r="I31" s="1">
        <f t="shared" si="3"/>
        <v>-1.0789056369297918E-5</v>
      </c>
      <c r="J31" s="1">
        <f t="shared" si="4"/>
        <v>-4.715352515089752E-6</v>
      </c>
      <c r="K31" s="1">
        <f t="shared" si="5"/>
        <v>-7.7690505623624685E-5</v>
      </c>
      <c r="L31" s="1">
        <f t="shared" si="6"/>
        <v>6.8225690390328095E-5</v>
      </c>
      <c r="M31" s="1">
        <f t="shared" si="7"/>
        <v>2.9818009079203929E-5</v>
      </c>
      <c r="N31" s="1">
        <f t="shared" si="8"/>
        <v>4.9128377881395595E-4</v>
      </c>
      <c r="O31" s="1">
        <f t="shared" si="9"/>
        <v>2.1151899013726545E-6</v>
      </c>
      <c r="P31" s="1">
        <f t="shared" si="10"/>
        <v>3.485002921875895E-5</v>
      </c>
      <c r="Q31" s="1">
        <f t="shared" si="11"/>
        <v>1.5231190504783683E-5</v>
      </c>
    </row>
    <row r="32" spans="2:23" x14ac:dyDescent="0.3">
      <c r="B32">
        <v>4.76965314266692E-2</v>
      </c>
      <c r="C32">
        <v>-2.2963387294496842E-2</v>
      </c>
      <c r="D32">
        <v>-7.4166593931139927E-3</v>
      </c>
      <c r="E32">
        <v>1.2646209561335008E-2</v>
      </c>
      <c r="F32">
        <v>5.0842099543784131E-2</v>
      </c>
      <c r="G32">
        <v>0.23637112499999999</v>
      </c>
      <c r="H32" s="1">
        <f t="shared" si="2"/>
        <v>-2.2163302792380579E-4</v>
      </c>
      <c r="I32" s="1">
        <f t="shared" si="3"/>
        <v>-1.2121577338092576E-4</v>
      </c>
      <c r="J32" s="1">
        <f t="shared" si="4"/>
        <v>1.2690975697916051E-4</v>
      </c>
      <c r="K32" s="1">
        <f t="shared" si="5"/>
        <v>5.4311925206916437E-4</v>
      </c>
      <c r="L32" s="1">
        <f t="shared" si="6"/>
        <v>5.2771076375005455E-5</v>
      </c>
      <c r="M32" s="1">
        <f t="shared" si="7"/>
        <v>-5.5249942243362455E-5</v>
      </c>
      <c r="N32" s="1">
        <f t="shared" si="8"/>
        <v>-2.3644602292483281E-4</v>
      </c>
      <c r="O32" s="1">
        <f t="shared" si="9"/>
        <v>-3.021735767912284E-5</v>
      </c>
      <c r="P32" s="1">
        <f t="shared" si="10"/>
        <v>-1.2931731249699364E-4</v>
      </c>
      <c r="Q32" s="1">
        <f t="shared" si="11"/>
        <v>1.3539185738325796E-4</v>
      </c>
    </row>
    <row r="33" spans="2:17" x14ac:dyDescent="0.3">
      <c r="B33">
        <v>5.5663998764524956E-2</v>
      </c>
      <c r="C33">
        <v>-8.6818522632502046E-2</v>
      </c>
      <c r="D33">
        <v>7.9495202783937072E-3</v>
      </c>
      <c r="E33">
        <v>3.5862837495581487E-2</v>
      </c>
      <c r="F33">
        <v>2.2105315901591382E-2</v>
      </c>
      <c r="G33">
        <v>0.240960856</v>
      </c>
      <c r="H33" s="1">
        <f t="shared" si="2"/>
        <v>-1.1013926164638065E-3</v>
      </c>
      <c r="I33" s="1">
        <f t="shared" si="3"/>
        <v>5.6552838810007452E-5</v>
      </c>
      <c r="J33" s="1">
        <f t="shared" si="4"/>
        <v>4.5578274329636083E-4</v>
      </c>
      <c r="K33" s="1">
        <f t="shared" si="5"/>
        <v>2.7219213483016107E-4</v>
      </c>
      <c r="L33" s="1">
        <f t="shared" si="6"/>
        <v>-8.7423683557913824E-5</v>
      </c>
      <c r="M33" s="1">
        <f t="shared" si="7"/>
        <v>-7.0458366298753927E-4</v>
      </c>
      <c r="N33" s="1">
        <f t="shared" si="8"/>
        <v>-4.2077532380450775E-4</v>
      </c>
      <c r="O33" s="1">
        <f t="shared" si="9"/>
        <v>3.6178022010925944E-5</v>
      </c>
      <c r="P33" s="1">
        <f t="shared" si="10"/>
        <v>2.1605410011505183E-5</v>
      </c>
      <c r="Q33" s="1">
        <f t="shared" si="11"/>
        <v>1.7412694485893649E-4</v>
      </c>
    </row>
    <row r="34" spans="2:17" x14ac:dyDescent="0.3">
      <c r="B34">
        <v>-1.4053088378077326E-2</v>
      </c>
      <c r="C34">
        <v>8.3730662280708745E-2</v>
      </c>
      <c r="D34">
        <v>3.4818604519259175E-3</v>
      </c>
      <c r="E34">
        <v>1.5029158722861638E-2</v>
      </c>
      <c r="F34">
        <v>-5.8150490375612061E-2</v>
      </c>
      <c r="G34">
        <v>0.24563970700000001</v>
      </c>
      <c r="H34" s="1">
        <f t="shared" si="2"/>
        <v>-3.2591860729311225E-4</v>
      </c>
      <c r="I34" s="1">
        <f t="shared" si="3"/>
        <v>5.7089796718331386E-7</v>
      </c>
      <c r="J34" s="1">
        <f t="shared" si="4"/>
        <v>-5.2575178649178937E-5</v>
      </c>
      <c r="K34" s="1">
        <f t="shared" si="5"/>
        <v>2.2414442791884967E-4</v>
      </c>
      <c r="L34" s="1">
        <f t="shared" si="6"/>
        <v>-3.2186940738497813E-6</v>
      </c>
      <c r="M34" s="1">
        <f t="shared" si="7"/>
        <v>2.9641621739278078E-4</v>
      </c>
      <c r="N34" s="1">
        <f t="shared" si="8"/>
        <v>-1.2637150301801558E-3</v>
      </c>
      <c r="O34" s="1">
        <f t="shared" si="9"/>
        <v>-5.1921986705569136E-7</v>
      </c>
      <c r="P34" s="1">
        <f t="shared" si="10"/>
        <v>2.2135966639671436E-6</v>
      </c>
      <c r="Q34" s="1">
        <f t="shared" si="11"/>
        <v>-2.0385471092057632E-4</v>
      </c>
    </row>
    <row r="35" spans="2:17" x14ac:dyDescent="0.3">
      <c r="B35">
        <v>4.0659207324598635E-2</v>
      </c>
      <c r="C35">
        <v>6.9579075213830152E-2</v>
      </c>
      <c r="D35">
        <v>3.8366284280275505E-2</v>
      </c>
      <c r="E35">
        <v>3.5988996791924834E-2</v>
      </c>
      <c r="F35">
        <v>7.7849874143527259E-2</v>
      </c>
      <c r="G35">
        <v>0.25040941</v>
      </c>
      <c r="H35" s="1">
        <f t="shared" si="2"/>
        <v>7.1318602490147627E-4</v>
      </c>
      <c r="I35" s="1">
        <f t="shared" si="3"/>
        <v>3.4243266344375435E-4</v>
      </c>
      <c r="J35" s="1">
        <f t="shared" si="4"/>
        <v>3.441969175307016E-4</v>
      </c>
      <c r="K35" s="1">
        <f t="shared" si="5"/>
        <v>7.5439745032730731E-4</v>
      </c>
      <c r="L35" s="1">
        <f t="shared" si="6"/>
        <v>6.2915977826507599E-4</v>
      </c>
      <c r="M35" s="1">
        <f t="shared" si="7"/>
        <v>6.3240128478196027E-4</v>
      </c>
      <c r="N35" s="1">
        <f t="shared" si="8"/>
        <v>1.3860726012477132E-3</v>
      </c>
      <c r="O35" s="1">
        <f t="shared" si="9"/>
        <v>3.0364427898465205E-4</v>
      </c>
      <c r="P35" s="1">
        <f t="shared" si="10"/>
        <v>6.6551575044847017E-4</v>
      </c>
      <c r="Q35" s="1">
        <f t="shared" si="11"/>
        <v>6.6894456728751968E-4</v>
      </c>
    </row>
    <row r="36" spans="2:17" x14ac:dyDescent="0.3">
      <c r="B36">
        <v>-6.4302440773836438E-5</v>
      </c>
      <c r="C36">
        <v>3.7768526876302257E-2</v>
      </c>
      <c r="D36">
        <v>-1.2955279060468268E-2</v>
      </c>
      <c r="E36">
        <v>2.4722502540120653E-3</v>
      </c>
      <c r="F36">
        <v>-1.577917236410515E-2</v>
      </c>
      <c r="G36">
        <v>0.255271729</v>
      </c>
      <c r="H36" s="1">
        <f t="shared" si="2"/>
        <v>-1.398620864025707E-5</v>
      </c>
      <c r="I36" s="1">
        <f t="shared" si="3"/>
        <v>5.7247573067203725E-6</v>
      </c>
      <c r="J36" s="1">
        <f t="shared" si="4"/>
        <v>-4.8145895744684593E-7</v>
      </c>
      <c r="K36" s="1">
        <f t="shared" si="5"/>
        <v>5.9048729530770373E-6</v>
      </c>
      <c r="L36" s="1">
        <f t="shared" si="6"/>
        <v>-1.7161973584029153E-4</v>
      </c>
      <c r="M36" s="1">
        <f t="shared" si="7"/>
        <v>1.443342567517611E-5</v>
      </c>
      <c r="N36" s="1">
        <f t="shared" si="8"/>
        <v>-1.7701933585689779E-4</v>
      </c>
      <c r="O36" s="1">
        <f t="shared" si="9"/>
        <v>-5.907809701704202E-6</v>
      </c>
      <c r="P36" s="1">
        <f t="shared" si="10"/>
        <v>7.2456572216481445E-5</v>
      </c>
      <c r="Q36" s="1">
        <f t="shared" si="11"/>
        <v>-6.0936846490535819E-6</v>
      </c>
    </row>
    <row r="37" spans="2:17" x14ac:dyDescent="0.3">
      <c r="B37">
        <v>1.7662846588108915E-2</v>
      </c>
      <c r="C37">
        <v>-2.3560533183815398E-2</v>
      </c>
      <c r="D37">
        <v>1.3643525034667273E-2</v>
      </c>
      <c r="E37">
        <v>1.6932935565027639E-2</v>
      </c>
      <c r="F37">
        <v>7.1785821219401752E-3</v>
      </c>
      <c r="G37">
        <v>0.26022846199999999</v>
      </c>
      <c r="H37" s="1">
        <f t="shared" si="2"/>
        <v>-8.8640275428897088E-5</v>
      </c>
      <c r="I37" s="1">
        <f t="shared" si="3"/>
        <v>4.2656377343179462E-5</v>
      </c>
      <c r="J37" s="1">
        <f t="shared" si="4"/>
        <v>6.7566468534490472E-5</v>
      </c>
      <c r="K37" s="1">
        <f t="shared" si="5"/>
        <v>2.4916680914900127E-5</v>
      </c>
      <c r="L37" s="1">
        <f t="shared" si="6"/>
        <v>-5.4185649010950163E-5</v>
      </c>
      <c r="M37" s="1">
        <f t="shared" si="7"/>
        <v>-8.5828501550066702E-5</v>
      </c>
      <c r="N37" s="1">
        <f t="shared" si="8"/>
        <v>-3.1651223349572539E-5</v>
      </c>
      <c r="O37" s="1">
        <f t="shared" si="9"/>
        <v>4.1303266841223787E-5</v>
      </c>
      <c r="P37" s="1">
        <f t="shared" si="10"/>
        <v>1.5231524496509767E-5</v>
      </c>
      <c r="Q37" s="1">
        <f t="shared" si="11"/>
        <v>2.4126294465798142E-5</v>
      </c>
    </row>
    <row r="38" spans="2:17" x14ac:dyDescent="0.3">
      <c r="B38">
        <v>2.409239963667991E-3</v>
      </c>
      <c r="C38">
        <v>6.0807809254839015E-2</v>
      </c>
      <c r="D38">
        <v>-1.8021198697949384E-2</v>
      </c>
      <c r="E38">
        <v>5.7917357031958662E-3</v>
      </c>
      <c r="F38">
        <v>2.0728977000378263E-2</v>
      </c>
      <c r="G38">
        <v>0.26528144199999998</v>
      </c>
      <c r="H38" s="1">
        <f t="shared" si="2"/>
        <v>1.8914515115501055E-5</v>
      </c>
      <c r="I38" s="1">
        <f t="shared" si="3"/>
        <v>-6.4433520520816778E-6</v>
      </c>
      <c r="J38" s="1">
        <f t="shared" si="4"/>
        <v>1.4028404179290574E-6</v>
      </c>
      <c r="K38" s="1">
        <f t="shared" si="5"/>
        <v>5.7717859328159457E-6</v>
      </c>
      <c r="L38" s="1">
        <f t="shared" si="6"/>
        <v>-3.6516483663379752E-4</v>
      </c>
      <c r="M38" s="1">
        <f t="shared" si="7"/>
        <v>7.9503337377142392E-5</v>
      </c>
      <c r="N38" s="1">
        <f t="shared" si="8"/>
        <v>3.2710509222618953E-4</v>
      </c>
      <c r="O38" s="1">
        <f t="shared" si="9"/>
        <v>-2.7083326688958168E-5</v>
      </c>
      <c r="P38" s="1">
        <f t="shared" si="10"/>
        <v>-1.1143046778474883E-4</v>
      </c>
      <c r="Q38" s="1">
        <f t="shared" si="11"/>
        <v>2.4260534382361547E-5</v>
      </c>
    </row>
    <row r="39" spans="2:17" x14ac:dyDescent="0.3">
      <c r="B39">
        <v>-2.8082286747864841E-2</v>
      </c>
      <c r="C39">
        <v>6.3558954664069883E-2</v>
      </c>
      <c r="D39">
        <v>4.422125909857493E-3</v>
      </c>
      <c r="E39">
        <v>-9.4286955253814111E-3</v>
      </c>
      <c r="F39">
        <v>-4.0678397518637124E-2</v>
      </c>
      <c r="G39">
        <v>0.27043253699999997</v>
      </c>
      <c r="H39" s="1">
        <f t="shared" si="2"/>
        <v>-5.2673777364360957E-4</v>
      </c>
      <c r="I39" s="1">
        <f t="shared" si="3"/>
        <v>-6.2648188214045583E-6</v>
      </c>
      <c r="J39" s="1">
        <f t="shared" si="4"/>
        <v>8.3443236003822557E-5</v>
      </c>
      <c r="K39" s="1">
        <f t="shared" si="5"/>
        <v>3.3366573645319262E-4</v>
      </c>
      <c r="L39" s="1">
        <f t="shared" si="6"/>
        <v>1.4146195565402927E-5</v>
      </c>
      <c r="M39" s="1">
        <f t="shared" si="7"/>
        <v>-1.884179525012186E-4</v>
      </c>
      <c r="N39" s="1">
        <f t="shared" si="8"/>
        <v>-7.534297313138927E-4</v>
      </c>
      <c r="O39" s="1">
        <f t="shared" si="9"/>
        <v>-2.2409714931870541E-6</v>
      </c>
      <c r="P39" s="1">
        <f t="shared" si="10"/>
        <v>-8.9610067808326053E-6</v>
      </c>
      <c r="Q39" s="1">
        <f t="shared" si="11"/>
        <v>1.1935467328921551E-4</v>
      </c>
    </row>
    <row r="40" spans="2:17" x14ac:dyDescent="0.3">
      <c r="B40">
        <v>-1.6748156284161309E-2</v>
      </c>
      <c r="C40">
        <v>-2.2881893442051437E-2</v>
      </c>
      <c r="D40">
        <v>-1.3491211174845081E-2</v>
      </c>
      <c r="E40">
        <v>-3.331831471651335E-2</v>
      </c>
      <c r="F40">
        <v>-2.7565959514781819E-2</v>
      </c>
      <c r="G40">
        <v>0.27568365500000003</v>
      </c>
      <c r="H40" s="1">
        <f t="shared" si="2"/>
        <v>1.0005260308826235E-4</v>
      </c>
      <c r="I40" s="1">
        <f t="shared" si="3"/>
        <v>8.5146143359531604E-5</v>
      </c>
      <c r="J40" s="1">
        <f t="shared" si="4"/>
        <v>1.7101969080623956E-4</v>
      </c>
      <c r="K40" s="1">
        <f t="shared" si="5"/>
        <v>1.436822915328853E-4</v>
      </c>
      <c r="L40" s="1">
        <f t="shared" si="6"/>
        <v>9.4997878648664391E-5</v>
      </c>
      <c r="M40" s="1">
        <f t="shared" si="7"/>
        <v>1.9080732482670398E-4</v>
      </c>
      <c r="N40" s="1">
        <f t="shared" si="8"/>
        <v>1.6030688362909948E-4</v>
      </c>
      <c r="O40" s="1">
        <f t="shared" si="9"/>
        <v>1.6237966162071008E-4</v>
      </c>
      <c r="P40" s="1">
        <f t="shared" si="10"/>
        <v>1.3642336604637869E-4</v>
      </c>
      <c r="Q40" s="1">
        <f t="shared" si="11"/>
        <v>2.7401219784532207E-4</v>
      </c>
    </row>
    <row r="41" spans="2:17" x14ac:dyDescent="0.3">
      <c r="B41">
        <v>8.5738934310559695E-3</v>
      </c>
      <c r="C41">
        <v>7.2939370583766337E-3</v>
      </c>
      <c r="D41">
        <v>-4.806774297921311E-2</v>
      </c>
      <c r="E41">
        <v>6.3601570753635418E-3</v>
      </c>
      <c r="F41">
        <v>-1.9577775341847611E-2</v>
      </c>
      <c r="G41">
        <v>0.28103673499999998</v>
      </c>
      <c r="H41" s="1">
        <f t="shared" si="2"/>
        <v>2.0586267413123677E-5</v>
      </c>
      <c r="I41" s="1">
        <f t="shared" si="3"/>
        <v>-1.0586926532716491E-4</v>
      </c>
      <c r="J41" s="1">
        <f t="shared" si="4"/>
        <v>1.0818156754301141E-5</v>
      </c>
      <c r="K41" s="1">
        <f t="shared" si="5"/>
        <v>-4.2816066511855253E-5</v>
      </c>
      <c r="L41" s="1">
        <f t="shared" si="6"/>
        <v>-1.4607316569556231E-4</v>
      </c>
      <c r="M41" s="1">
        <f t="shared" si="7"/>
        <v>1.4926356570135984E-5</v>
      </c>
      <c r="N41" s="1">
        <f t="shared" si="8"/>
        <v>-5.907548672120302E-5</v>
      </c>
      <c r="O41" s="1">
        <f t="shared" si="9"/>
        <v>-7.6761968179049213E-5</v>
      </c>
      <c r="P41" s="1">
        <f t="shared" si="10"/>
        <v>3.0380827434658546E-4</v>
      </c>
      <c r="Q41" s="1">
        <f t="shared" si="11"/>
        <v>-3.104437841311599E-5</v>
      </c>
    </row>
    <row r="42" spans="2:17" x14ac:dyDescent="0.3">
      <c r="B42">
        <v>-1.7084854794456701E-3</v>
      </c>
      <c r="C42">
        <v>9.5671658453810142E-3</v>
      </c>
      <c r="D42">
        <v>-5.3793621950434462E-3</v>
      </c>
      <c r="E42">
        <v>-6.0070033480320723E-3</v>
      </c>
      <c r="F42">
        <v>-2.9936458964534723E-3</v>
      </c>
      <c r="G42">
        <v>0.28649375900000001</v>
      </c>
      <c r="H42" s="1">
        <f t="shared" si="2"/>
        <v>-1.0580554951780542E-5</v>
      </c>
      <c r="I42" s="1">
        <f t="shared" si="3"/>
        <v>7.7361451592755842E-6</v>
      </c>
      <c r="J42" s="1">
        <f t="shared" si="4"/>
        <v>6.0807202460282257E-6</v>
      </c>
      <c r="K42" s="1">
        <f t="shared" si="5"/>
        <v>3.7124296076485589E-6</v>
      </c>
      <c r="L42" s="1">
        <f t="shared" si="6"/>
        <v>-3.1828128529249121E-5</v>
      </c>
      <c r="M42" s="1">
        <f t="shared" si="7"/>
        <v>-2.5017362207706646E-5</v>
      </c>
      <c r="N42" s="1">
        <f t="shared" si="8"/>
        <v>-1.5273716337439142E-5</v>
      </c>
      <c r="O42" s="1">
        <f t="shared" si="9"/>
        <v>1.8291852026951032E-5</v>
      </c>
      <c r="P42" s="1">
        <f t="shared" si="10"/>
        <v>1.1167626579751734E-5</v>
      </c>
      <c r="Q42" s="1">
        <f t="shared" si="11"/>
        <v>8.7779135015530363E-6</v>
      </c>
    </row>
    <row r="43" spans="2:17" x14ac:dyDescent="0.3">
      <c r="B43">
        <v>1.4476907223048509E-2</v>
      </c>
      <c r="C43">
        <v>5.9381677332594481E-2</v>
      </c>
      <c r="D43">
        <v>-4.6343165411948028E-3</v>
      </c>
      <c r="E43">
        <v>4.4939743307192068E-2</v>
      </c>
      <c r="F43">
        <v>9.7748155747622908E-3</v>
      </c>
      <c r="G43">
        <v>0.29205674500000001</v>
      </c>
      <c r="H43" s="1">
        <f t="shared" si="2"/>
        <v>2.3936891296881839E-4</v>
      </c>
      <c r="I43" s="1">
        <f t="shared" si="3"/>
        <v>-3.184732478106109E-5</v>
      </c>
      <c r="J43" s="1">
        <f t="shared" si="4"/>
        <v>1.689600206526818E-4</v>
      </c>
      <c r="K43" s="1">
        <f t="shared" si="5"/>
        <v>3.2524311563321342E-5</v>
      </c>
      <c r="L43" s="1">
        <f t="shared" si="6"/>
        <v>-1.5004762604703612E-4</v>
      </c>
      <c r="M43" s="1">
        <f t="shared" si="7"/>
        <v>7.960495950626727E-4</v>
      </c>
      <c r="N43" s="1">
        <f t="shared" si="8"/>
        <v>1.5323722706507139E-4</v>
      </c>
      <c r="O43" s="1">
        <f t="shared" si="9"/>
        <v>-1.059120404623954E-4</v>
      </c>
      <c r="P43" s="1">
        <f t="shared" si="10"/>
        <v>-2.0387759121946865E-5</v>
      </c>
      <c r="Q43" s="1">
        <f t="shared" si="11"/>
        <v>1.0816343997454198E-4</v>
      </c>
    </row>
    <row r="44" spans="2:17" x14ac:dyDescent="0.3">
      <c r="B44">
        <v>1.9784780416974679E-2</v>
      </c>
      <c r="C44">
        <v>3.4967956436909968E-2</v>
      </c>
      <c r="D44">
        <v>5.5926619487928443E-3</v>
      </c>
      <c r="E44">
        <v>1.8106086406065036E-2</v>
      </c>
      <c r="F44">
        <v>4.7113250174727089E-2</v>
      </c>
      <c r="G44">
        <v>0.29772775000000001</v>
      </c>
      <c r="H44" s="1">
        <f t="shared" si="2"/>
        <v>2.0776894313515468E-4</v>
      </c>
      <c r="I44" s="1">
        <f t="shared" si="3"/>
        <v>1.0790114356630849E-5</v>
      </c>
      <c r="J44" s="1">
        <f t="shared" si="4"/>
        <v>9.3780624827183388E-5</v>
      </c>
      <c r="K44" s="1">
        <f t="shared" si="5"/>
        <v>2.5212645508801732E-4</v>
      </c>
      <c r="L44" s="1">
        <f t="shared" si="6"/>
        <v>2.2007769896912144E-5</v>
      </c>
      <c r="M44" s="1">
        <f t="shared" si="7"/>
        <v>1.9127715831083556E-4</v>
      </c>
      <c r="N44" s="1">
        <f t="shared" si="8"/>
        <v>5.142430214459564E-4</v>
      </c>
      <c r="O44" s="1">
        <f t="shared" si="9"/>
        <v>9.9336425398415775E-6</v>
      </c>
      <c r="P44" s="1">
        <f t="shared" si="10"/>
        <v>2.6706306172485831E-5</v>
      </c>
      <c r="Q44" s="1">
        <f t="shared" si="11"/>
        <v>2.3211376607354254E-4</v>
      </c>
    </row>
    <row r="45" spans="2:17" x14ac:dyDescent="0.3">
      <c r="B45">
        <v>-2.7399646310827769E-2</v>
      </c>
      <c r="C45">
        <v>1.3977710369533828E-2</v>
      </c>
      <c r="D45">
        <v>1.6479759500028359E-2</v>
      </c>
      <c r="E45">
        <v>-9.2855664740673258E-4</v>
      </c>
      <c r="F45">
        <v>5.5149251376602993E-3</v>
      </c>
      <c r="G45">
        <v>0.30350887100000001</v>
      </c>
      <c r="H45" s="1">
        <f t="shared" si="2"/>
        <v>-1.4572666222086164E-4</v>
      </c>
      <c r="I45" s="1">
        <f t="shared" si="3"/>
        <v>-1.1185143109488566E-4</v>
      </c>
      <c r="J45" s="1">
        <f t="shared" si="4"/>
        <v>1.7463139293265221E-5</v>
      </c>
      <c r="K45" s="1">
        <f t="shared" si="5"/>
        <v>-3.6425342045328047E-5</v>
      </c>
      <c r="L45" s="1">
        <f t="shared" si="6"/>
        <v>6.5257678096178345E-5</v>
      </c>
      <c r="M45" s="1">
        <f t="shared" si="7"/>
        <v>-1.0188550216955905E-5</v>
      </c>
      <c r="N45" s="1">
        <f t="shared" si="8"/>
        <v>2.1251701676670787E-5</v>
      </c>
      <c r="O45" s="1">
        <f t="shared" si="9"/>
        <v>-7.820147014836963E-6</v>
      </c>
      <c r="P45" s="1">
        <f t="shared" si="10"/>
        <v>1.6311587800828133E-5</v>
      </c>
      <c r="Q45" s="1">
        <f t="shared" si="11"/>
        <v>-2.5466954429804532E-6</v>
      </c>
    </row>
    <row r="46" spans="2:17" x14ac:dyDescent="0.3">
      <c r="B46">
        <v>1.7893812561025582E-2</v>
      </c>
      <c r="C46">
        <v>2.8805875538703871E-2</v>
      </c>
      <c r="D46">
        <v>3.0743665309413578E-2</v>
      </c>
      <c r="E46">
        <v>6.7233838408617989E-3</v>
      </c>
      <c r="F46">
        <v>4.2294091920818955E-2</v>
      </c>
      <c r="G46">
        <v>0.30940224700000002</v>
      </c>
      <c r="H46" s="1">
        <f t="shared" si="2"/>
        <v>1.621821009129972E-4</v>
      </c>
      <c r="I46" s="1">
        <f t="shared" si="3"/>
        <v>1.3929277422765368E-4</v>
      </c>
      <c r="J46" s="1">
        <f t="shared" si="4"/>
        <v>2.9010481137601381E-5</v>
      </c>
      <c r="K46" s="1">
        <f t="shared" si="5"/>
        <v>2.104664141137121E-4</v>
      </c>
      <c r="L46" s="1">
        <f t="shared" si="6"/>
        <v>2.6476865590588605E-4</v>
      </c>
      <c r="M46" s="1">
        <f t="shared" si="7"/>
        <v>5.5143320538883078E-5</v>
      </c>
      <c r="N46" s="1">
        <f t="shared" si="8"/>
        <v>4.0005599635157635E-4</v>
      </c>
      <c r="O46" s="1">
        <f t="shared" si="9"/>
        <v>4.7360750999928742E-5</v>
      </c>
      <c r="P46" s="1">
        <f t="shared" si="10"/>
        <v>3.4359469549671736E-4</v>
      </c>
      <c r="Q46" s="1">
        <f t="shared" si="11"/>
        <v>7.1560405684765958E-5</v>
      </c>
    </row>
    <row r="47" spans="2:17" x14ac:dyDescent="0.3">
      <c r="B47">
        <v>-1.5336339889354118E-3</v>
      </c>
      <c r="C47">
        <v>-4.6386862566123455E-2</v>
      </c>
      <c r="D47">
        <v>4.6236452453714966E-3</v>
      </c>
      <c r="E47">
        <v>1.2227975118183212E-2</v>
      </c>
      <c r="F47">
        <v>3.2610767733133442E-2</v>
      </c>
      <c r="G47">
        <v>0.31541005799999999</v>
      </c>
      <c r="H47" s="1">
        <f t="shared" si="2"/>
        <v>3.8821683970180087E-5</v>
      </c>
      <c r="I47" s="1">
        <f t="shared" si="3"/>
        <v>-8.8119799879331535E-7</v>
      </c>
      <c r="J47" s="1">
        <f t="shared" si="4"/>
        <v>-9.922514483659125E-6</v>
      </c>
      <c r="K47" s="1">
        <f t="shared" si="5"/>
        <v>-2.7833761498794607E-5</v>
      </c>
      <c r="L47" s="1">
        <f t="shared" si="6"/>
        <v>-1.362686112937146E-5</v>
      </c>
      <c r="M47" s="1">
        <f t="shared" si="7"/>
        <v>-1.5344193598732168E-4</v>
      </c>
      <c r="N47" s="1">
        <f t="shared" si="8"/>
        <v>-4.3042177033028156E-4</v>
      </c>
      <c r="O47" s="1">
        <f t="shared" si="9"/>
        <v>3.4829176144667032E-6</v>
      </c>
      <c r="P47" s="1">
        <f t="shared" si="10"/>
        <v>9.7699729600462427E-6</v>
      </c>
      <c r="Q47" s="1">
        <f t="shared" si="11"/>
        <v>1.1001239032971833E-4</v>
      </c>
    </row>
    <row r="48" spans="2:17" x14ac:dyDescent="0.3">
      <c r="B48">
        <v>-1.6738632320107169E-3</v>
      </c>
      <c r="C48">
        <v>-2.1939783704163853E-2</v>
      </c>
      <c r="D48">
        <v>5.8542479249531591E-3</v>
      </c>
      <c r="E48">
        <v>-6.2699658684648588E-3</v>
      </c>
      <c r="F48">
        <v>-2.4349293332875874E-2</v>
      </c>
      <c r="G48">
        <v>0.32153452500000002</v>
      </c>
      <c r="H48" s="1">
        <f t="shared" si="2"/>
        <v>1.8263829975641269E-5</v>
      </c>
      <c r="I48" s="1">
        <f t="shared" si="3"/>
        <v>-2.1147523654029022E-6</v>
      </c>
      <c r="J48" s="1">
        <f t="shared" si="4"/>
        <v>6.9959805704364389E-6</v>
      </c>
      <c r="K48" s="1">
        <f t="shared" si="5"/>
        <v>2.445342578545267E-5</v>
      </c>
      <c r="L48" s="1">
        <f t="shared" si="6"/>
        <v>-1.3696597784366633E-5</v>
      </c>
      <c r="M48" s="1">
        <f t="shared" si="7"/>
        <v>4.5310804966167248E-5</v>
      </c>
      <c r="N48" s="1">
        <f t="shared" si="8"/>
        <v>1.5837728469422676E-4</v>
      </c>
      <c r="O48" s="1">
        <f t="shared" si="9"/>
        <v>-5.2464971535712795E-6</v>
      </c>
      <c r="P48" s="1">
        <f t="shared" si="10"/>
        <v>-1.8338362647916904E-5</v>
      </c>
      <c r="Q48" s="1">
        <f t="shared" si="11"/>
        <v>6.0666596655633149E-5</v>
      </c>
    </row>
    <row r="49" spans="2:17" x14ac:dyDescent="0.3">
      <c r="B49">
        <v>-1.2579777468333618E-3</v>
      </c>
      <c r="C49">
        <v>-2.2458915208075213E-2</v>
      </c>
      <c r="D49">
        <v>-5.7208510461225787E-3</v>
      </c>
      <c r="E49">
        <v>1.3901855826417781E-2</v>
      </c>
      <c r="F49">
        <v>5.8837240753000491E-3</v>
      </c>
      <c r="G49">
        <v>0.327777914</v>
      </c>
      <c r="H49" s="1">
        <f t="shared" si="2"/>
        <v>1.6436980040369628E-5</v>
      </c>
      <c r="I49" s="1">
        <f t="shared" si="3"/>
        <v>7.804989655967404E-6</v>
      </c>
      <c r="J49" s="1">
        <f t="shared" si="4"/>
        <v>-1.070072836553643E-5</v>
      </c>
      <c r="K49" s="1">
        <f t="shared" si="5"/>
        <v>-3.7983875716650545E-6</v>
      </c>
      <c r="L49" s="1">
        <f t="shared" si="6"/>
        <v>6.0400959461471947E-5</v>
      </c>
      <c r="M49" s="1">
        <f t="shared" si="7"/>
        <v>-8.2810392928685792E-5</v>
      </c>
      <c r="N49" s="1">
        <f t="shared" si="8"/>
        <v>-2.9394818423582282E-5</v>
      </c>
      <c r="O49" s="1">
        <f t="shared" si="9"/>
        <v>-3.9321959303203882E-5</v>
      </c>
      <c r="P49" s="1">
        <f t="shared" si="10"/>
        <v>-1.3957932246168291E-5</v>
      </c>
      <c r="Q49" s="1">
        <f t="shared" si="11"/>
        <v>1.9136481673183711E-5</v>
      </c>
    </row>
    <row r="50" spans="2:17" x14ac:dyDescent="0.3">
      <c r="B50">
        <v>-3.0305899811950015E-2</v>
      </c>
      <c r="C50">
        <v>-3.4856173097274769E-2</v>
      </c>
      <c r="D50">
        <v>-2.1704235344069517E-3</v>
      </c>
      <c r="E50">
        <v>-1.4316895302874322E-2</v>
      </c>
      <c r="F50">
        <v>-3.3850660832878715E-2</v>
      </c>
      <c r="G50">
        <v>0.33414253399999999</v>
      </c>
      <c r="H50" s="1">
        <f t="shared" si="2"/>
        <v>3.3883763778104329E-4</v>
      </c>
      <c r="I50" s="1">
        <f t="shared" si="3"/>
        <v>6.1268991429389361E-5</v>
      </c>
      <c r="J50" s="1">
        <f t="shared" si="4"/>
        <v>1.6251052678280061E-4</v>
      </c>
      <c r="K50" s="1">
        <f t="shared" si="5"/>
        <v>3.7140741440423362E-4</v>
      </c>
      <c r="L50" s="1">
        <f t="shared" si="6"/>
        <v>6.2245117551551526E-5</v>
      </c>
      <c r="M50" s="1">
        <f t="shared" si="7"/>
        <v>1.6509961412728289E-4</v>
      </c>
      <c r="N50" s="1">
        <f t="shared" si="8"/>
        <v>3.7732460792589447E-4</v>
      </c>
      <c r="O50" s="1">
        <f t="shared" si="9"/>
        <v>2.9853492395955759E-5</v>
      </c>
      <c r="P50" s="1">
        <f t="shared" si="10"/>
        <v>6.8228247370938076E-5</v>
      </c>
      <c r="Q50" s="1">
        <f t="shared" si="11"/>
        <v>1.8096933151734245E-4</v>
      </c>
    </row>
    <row r="51" spans="2:17" x14ac:dyDescent="0.3">
      <c r="B51">
        <v>1.7341268105683014E-2</v>
      </c>
      <c r="C51">
        <v>2.7479958550034132E-2</v>
      </c>
      <c r="D51">
        <v>1.7117864464753677E-2</v>
      </c>
      <c r="E51">
        <v>1.4230787781312317E-2</v>
      </c>
      <c r="F51">
        <v>2.5479629159117112E-2</v>
      </c>
      <c r="G51">
        <v>0.34063073799999999</v>
      </c>
      <c r="H51" s="1">
        <f t="shared" si="2"/>
        <v>1.6535980003285725E-4</v>
      </c>
      <c r="I51" s="1">
        <f t="shared" si="3"/>
        <v>7.3738315723009495E-5</v>
      </c>
      <c r="J51" s="1">
        <f t="shared" si="4"/>
        <v>7.1929153072987983E-5</v>
      </c>
      <c r="K51" s="1">
        <f t="shared" si="5"/>
        <v>1.3205162289538471E-4</v>
      </c>
      <c r="L51" s="1">
        <f t="shared" si="6"/>
        <v>1.3889622922175427E-4</v>
      </c>
      <c r="M51" s="1">
        <f t="shared" si="7"/>
        <v>1.3548842328432609E-4</v>
      </c>
      <c r="N51" s="1">
        <f t="shared" si="8"/>
        <v>2.4873733964415309E-4</v>
      </c>
      <c r="O51" s="1">
        <f t="shared" si="9"/>
        <v>6.0417877446436338E-5</v>
      </c>
      <c r="P51" s="1">
        <f t="shared" si="10"/>
        <v>1.1091856956247846E-4</v>
      </c>
      <c r="Q51" s="1">
        <f t="shared" si="11"/>
        <v>1.0819719287684809E-4</v>
      </c>
    </row>
    <row r="52" spans="2:17" x14ac:dyDescent="0.3">
      <c r="B52">
        <v>-4.5377345650910852E-2</v>
      </c>
      <c r="C52">
        <v>-6.2577375365918148E-2</v>
      </c>
      <c r="D52">
        <v>7.7223296021519099E-3</v>
      </c>
      <c r="E52">
        <v>-2.2876315717165557E-2</v>
      </c>
      <c r="F52">
        <v>-4.8206507111556086E-2</v>
      </c>
      <c r="G52">
        <v>0.34724492699999998</v>
      </c>
      <c r="H52" s="1">
        <f t="shared" si="2"/>
        <v>9.6930128368018372E-4</v>
      </c>
      <c r="I52" s="1">
        <f t="shared" si="3"/>
        <v>-6.6258310830007256E-5</v>
      </c>
      <c r="J52" s="1">
        <f t="shared" si="4"/>
        <v>3.8814548618227505E-4</v>
      </c>
      <c r="K52" s="1">
        <f t="shared" si="5"/>
        <v>8.0272018710869869E-4</v>
      </c>
      <c r="L52" s="1">
        <f t="shared" si="6"/>
        <v>-8.4934045953068821E-5</v>
      </c>
      <c r="M52" s="1">
        <f t="shared" si="7"/>
        <v>4.975491549197705E-4</v>
      </c>
      <c r="N52" s="1">
        <f t="shared" si="8"/>
        <v>1.0289769299169857E-3</v>
      </c>
      <c r="O52" s="1">
        <f t="shared" si="9"/>
        <v>-3.4010856185721111E-5</v>
      </c>
      <c r="P52" s="1">
        <f t="shared" si="10"/>
        <v>-7.0337545618934027E-5</v>
      </c>
      <c r="Q52" s="1">
        <f t="shared" si="11"/>
        <v>4.1204190839052977E-4</v>
      </c>
    </row>
    <row r="53" spans="2:17" x14ac:dyDescent="0.3">
      <c r="B53">
        <v>-1.4947090531279574E-3</v>
      </c>
      <c r="C53">
        <v>1.0230652825270177E-2</v>
      </c>
      <c r="D53">
        <v>-2.920951553304579E-2</v>
      </c>
      <c r="E53">
        <v>-3.9215450649613751E-2</v>
      </c>
      <c r="F53">
        <v>4.3189240556139256E-2</v>
      </c>
      <c r="G53">
        <v>0.35398754700000001</v>
      </c>
      <c r="H53" s="1">
        <f t="shared" si="2"/>
        <v>-1.279385142648707E-5</v>
      </c>
      <c r="I53" s="1">
        <f t="shared" si="3"/>
        <v>3.2346975377729639E-5</v>
      </c>
      <c r="J53" s="1">
        <f t="shared" si="4"/>
        <v>3.9684190246996713E-5</v>
      </c>
      <c r="K53" s="1">
        <f t="shared" si="5"/>
        <v>-4.1225830531740589E-5</v>
      </c>
      <c r="L53" s="1">
        <f t="shared" si="6"/>
        <v>-1.5102122685704673E-4</v>
      </c>
      <c r="M53" s="1">
        <f t="shared" si="7"/>
        <v>-1.8527714038005791E-4</v>
      </c>
      <c r="N53" s="1">
        <f t="shared" si="8"/>
        <v>1.9247473472869551E-4</v>
      </c>
      <c r="O53" s="1">
        <f t="shared" si="9"/>
        <v>4.6844026072729602E-4</v>
      </c>
      <c r="P53" s="1">
        <f t="shared" si="10"/>
        <v>-4.8663809650114747E-4</v>
      </c>
      <c r="Q53" s="1">
        <f t="shared" si="11"/>
        <v>-5.9702147039947869E-4</v>
      </c>
    </row>
    <row r="54" spans="2:17" x14ac:dyDescent="0.3">
      <c r="B54">
        <v>1.1717852356763724E-2</v>
      </c>
      <c r="C54">
        <v>2.0140008724338455E-2</v>
      </c>
      <c r="D54">
        <v>1.8809157855452488E-3</v>
      </c>
      <c r="E54">
        <v>8.6716662929494318E-3</v>
      </c>
      <c r="F54">
        <v>1.6496180395582098E-2</v>
      </c>
      <c r="G54">
        <v>0.36086109199999999</v>
      </c>
      <c r="H54" s="1">
        <f t="shared" si="2"/>
        <v>8.619025870021621E-5</v>
      </c>
      <c r="I54" s="1">
        <f t="shared" si="3"/>
        <v>-6.5959847902452899E-6</v>
      </c>
      <c r="J54" s="1">
        <f t="shared" si="4"/>
        <v>2.8584895885380383E-5</v>
      </c>
      <c r="K54" s="1">
        <f t="shared" si="5"/>
        <v>5.7078366061993128E-5</v>
      </c>
      <c r="L54" s="1">
        <f t="shared" si="6"/>
        <v>-1.4481304167108652E-5</v>
      </c>
      <c r="M54" s="1">
        <f t="shared" si="7"/>
        <v>6.2757356947442587E-5</v>
      </c>
      <c r="N54" s="1">
        <f t="shared" si="8"/>
        <v>1.2531399125232908E-4</v>
      </c>
      <c r="O54" s="1">
        <f t="shared" si="9"/>
        <v>-4.802707152105201E-6</v>
      </c>
      <c r="P54" s="1">
        <f t="shared" si="10"/>
        <v>-9.590053362993567E-6</v>
      </c>
      <c r="Q54" s="1">
        <f t="shared" si="11"/>
        <v>4.1560234844965261E-5</v>
      </c>
    </row>
    <row r="55" spans="2:17" x14ac:dyDescent="0.3">
      <c r="B55">
        <v>3.1649517451389823E-2</v>
      </c>
      <c r="C55">
        <v>2.4032916854031399E-2</v>
      </c>
      <c r="D55">
        <v>2.3680311959795464E-2</v>
      </c>
      <c r="E55">
        <v>3.9495107779045045E-2</v>
      </c>
      <c r="F55">
        <v>3.3102277487518955E-2</v>
      </c>
      <c r="G55">
        <v>0.367868103</v>
      </c>
      <c r="H55" s="1">
        <f t="shared" si="2"/>
        <v>2.992475890265253E-4</v>
      </c>
      <c r="I55" s="1">
        <f t="shared" si="3"/>
        <v>2.2390806025969633E-4</v>
      </c>
      <c r="J55" s="1">
        <f t="shared" si="4"/>
        <v>4.2909747320234312E-4</v>
      </c>
      <c r="K55" s="1">
        <f t="shared" si="5"/>
        <v>3.5485486248457002E-4</v>
      </c>
      <c r="L55" s="1">
        <f t="shared" si="6"/>
        <v>1.9758305930167865E-4</v>
      </c>
      <c r="M55" s="1">
        <f t="shared" si="7"/>
        <v>3.7864823354552508E-4</v>
      </c>
      <c r="N55" s="1">
        <f t="shared" si="8"/>
        <v>3.1313436977864023E-4</v>
      </c>
      <c r="O55" s="1">
        <f t="shared" si="9"/>
        <v>2.8331854492042005E-4</v>
      </c>
      <c r="P55" s="1">
        <f t="shared" si="10"/>
        <v>2.3429866073728994E-4</v>
      </c>
      <c r="Q55" s="1">
        <f t="shared" si="11"/>
        <v>4.490100230445383E-4</v>
      </c>
    </row>
    <row r="56" spans="2:17" x14ac:dyDescent="0.3">
      <c r="B56">
        <v>6.3254186671335404E-3</v>
      </c>
      <c r="C56">
        <v>-3.3836488011398957E-3</v>
      </c>
      <c r="D56">
        <v>-1.883323806564394E-2</v>
      </c>
      <c r="E56">
        <v>2.3997175555275935E-3</v>
      </c>
      <c r="F56">
        <v>-1.1020342767553624E-2</v>
      </c>
      <c r="G56">
        <v>0.37501117299999998</v>
      </c>
      <c r="H56" s="1">
        <f t="shared" si="2"/>
        <v>-1.1794746884853367E-6</v>
      </c>
      <c r="I56" s="1">
        <f t="shared" si="3"/>
        <v>-4.2444806653344316E-5</v>
      </c>
      <c r="J56" s="1">
        <f t="shared" si="4"/>
        <v>2.4986939414634895E-6</v>
      </c>
      <c r="K56" s="1">
        <f t="shared" si="5"/>
        <v>-2.3335391292912449E-5</v>
      </c>
      <c r="L56" s="1">
        <f t="shared" si="6"/>
        <v>5.259966242679742E-6</v>
      </c>
      <c r="M56" s="1">
        <f t="shared" si="7"/>
        <v>-3.0965026864719568E-7</v>
      </c>
      <c r="N56" s="1">
        <f t="shared" si="8"/>
        <v>2.8918348353642702E-6</v>
      </c>
      <c r="O56" s="1">
        <f t="shared" si="9"/>
        <v>-1.1143135084793081E-5</v>
      </c>
      <c r="P56" s="1">
        <f t="shared" si="10"/>
        <v>1.0406613355820921E-4</v>
      </c>
      <c r="Q56" s="1">
        <f t="shared" si="11"/>
        <v>-6.1262952510808399E-6</v>
      </c>
    </row>
    <row r="57" spans="2:17" x14ac:dyDescent="0.3">
      <c r="B57">
        <v>1.1909581755742301E-2</v>
      </c>
      <c r="C57">
        <v>5.278957671163877E-3</v>
      </c>
      <c r="D57">
        <v>3.482334171383427E-2</v>
      </c>
      <c r="E57">
        <v>1.7217041257293307E-2</v>
      </c>
      <c r="F57">
        <v>2.9333081043930228E-3</v>
      </c>
      <c r="G57">
        <v>0.38229294400000002</v>
      </c>
      <c r="H57" s="1">
        <f t="shared" si="2"/>
        <v>3.2641190791118596E-5</v>
      </c>
      <c r="I57" s="1">
        <f t="shared" si="3"/>
        <v>1.266534901112875E-4</v>
      </c>
      <c r="J57" s="1">
        <f t="shared" si="4"/>
        <v>6.5539529459879745E-5</v>
      </c>
      <c r="K57" s="1">
        <f t="shared" si="5"/>
        <v>6.5049281141074786E-6</v>
      </c>
      <c r="L57" s="1">
        <f t="shared" si="6"/>
        <v>9.5846292174626497E-5</v>
      </c>
      <c r="M57" s="1">
        <f t="shared" si="7"/>
        <v>4.9597692760614579E-5</v>
      </c>
      <c r="N57" s="1">
        <f t="shared" si="8"/>
        <v>4.9226692454495801E-6</v>
      </c>
      <c r="O57" s="1">
        <f t="shared" si="9"/>
        <v>1.9244766313208095E-4</v>
      </c>
      <c r="P57" s="1">
        <f t="shared" si="10"/>
        <v>1.9100811750082642E-5</v>
      </c>
      <c r="Q57" s="1">
        <f t="shared" si="11"/>
        <v>9.8841193661712736E-6</v>
      </c>
    </row>
    <row r="58" spans="2:17" x14ac:dyDescent="0.3">
      <c r="B58">
        <v>-2.2899635579960243E-3</v>
      </c>
      <c r="C58">
        <v>-1.7923925055840249E-2</v>
      </c>
      <c r="D58">
        <v>2.4851440111489597E-3</v>
      </c>
      <c r="E58">
        <v>4.4662402692883076E-3</v>
      </c>
      <c r="F58">
        <v>-4.2163985619709963E-3</v>
      </c>
      <c r="G58">
        <v>0.38971610699999998</v>
      </c>
      <c r="H58" s="1">
        <f t="shared" si="2"/>
        <v>2.1142953303981292E-5</v>
      </c>
      <c r="I58" s="1">
        <f t="shared" si="3"/>
        <v>1.6008813433808097E-6</v>
      </c>
      <c r="J58" s="1">
        <f t="shared" si="4"/>
        <v>-4.7252119136833536E-6</v>
      </c>
      <c r="K58" s="1">
        <f t="shared" si="5"/>
        <v>7.7349035371851028E-6</v>
      </c>
      <c r="L58" s="1">
        <f t="shared" si="6"/>
        <v>6.7858315033962191E-6</v>
      </c>
      <c r="M58" s="1">
        <f t="shared" si="7"/>
        <v>-2.0029274497246921E-5</v>
      </c>
      <c r="N58" s="1">
        <f t="shared" si="8"/>
        <v>3.278678480162412E-5</v>
      </c>
      <c r="O58" s="1">
        <f t="shared" si="9"/>
        <v>-1.5165569068375032E-6</v>
      </c>
      <c r="P58" s="1">
        <f t="shared" si="10"/>
        <v>2.4825175245729695E-6</v>
      </c>
      <c r="Q58" s="1">
        <f t="shared" si="11"/>
        <v>-7.3274770997500042E-6</v>
      </c>
    </row>
    <row r="59" spans="2:17" x14ac:dyDescent="0.3">
      <c r="B59">
        <v>8.5175677728003482E-3</v>
      </c>
      <c r="C59">
        <v>-9.0648002620569608E-3</v>
      </c>
      <c r="D59">
        <v>1.0173065759302487E-2</v>
      </c>
      <c r="E59">
        <v>-5.0446538562037256E-3</v>
      </c>
      <c r="F59">
        <v>1.2685454528868319E-2</v>
      </c>
      <c r="G59">
        <v>0.39728341099999998</v>
      </c>
      <c r="H59" s="1">
        <f t="shared" si="2"/>
        <v>-1.8111487165187354E-5</v>
      </c>
      <c r="I59" s="1">
        <f t="shared" si="3"/>
        <v>1.8784309901026294E-5</v>
      </c>
      <c r="J59" s="1">
        <f t="shared" si="4"/>
        <v>-1.758388409931241E-5</v>
      </c>
      <c r="K59" s="1">
        <f t="shared" si="5"/>
        <v>3.2612831223887449E-5</v>
      </c>
      <c r="L59" s="1">
        <f t="shared" si="6"/>
        <v>-1.6382324924862447E-5</v>
      </c>
      <c r="M59" s="1">
        <f t="shared" si="7"/>
        <v>1.5335399824313988E-5</v>
      </c>
      <c r="N59" s="1">
        <f t="shared" si="8"/>
        <v>-2.8442567261959045E-5</v>
      </c>
      <c r="O59" s="1">
        <f t="shared" si="9"/>
        <v>-1.5905093829608679E-5</v>
      </c>
      <c r="P59" s="1">
        <f t="shared" si="10"/>
        <v>2.9499178778447751E-5</v>
      </c>
      <c r="Q59" s="1">
        <f t="shared" si="11"/>
        <v>-2.761401102293257E-5</v>
      </c>
    </row>
    <row r="60" spans="2:17" x14ac:dyDescent="0.3">
      <c r="B60">
        <v>-1.250611304675122E-2</v>
      </c>
      <c r="C60">
        <v>7.7479205705185787E-3</v>
      </c>
      <c r="D60">
        <v>1.0394403443040608E-2</v>
      </c>
      <c r="E60">
        <v>-2.8542687577686075E-3</v>
      </c>
      <c r="F60">
        <v>7.2194276091624033E-4</v>
      </c>
      <c r="G60">
        <v>0.40499765199999999</v>
      </c>
      <c r="H60" s="1">
        <f t="shared" si="2"/>
        <v>-5.8697945955141011E-5</v>
      </c>
      <c r="I60" s="1">
        <f t="shared" si="3"/>
        <v>-3.7770014937502189E-5</v>
      </c>
      <c r="J60" s="1">
        <f t="shared" si="4"/>
        <v>2.1962417230431994E-5</v>
      </c>
      <c r="K60" s="1">
        <f t="shared" si="5"/>
        <v>3.4046250212129953E-6</v>
      </c>
      <c r="L60" s="1">
        <f t="shared" si="6"/>
        <v>2.8771038034334823E-5</v>
      </c>
      <c r="M60" s="1">
        <f t="shared" si="7"/>
        <v>-1.6729713835386613E-5</v>
      </c>
      <c r="N60" s="1">
        <f t="shared" si="8"/>
        <v>-2.5934486957458707E-6</v>
      </c>
      <c r="O60" s="1">
        <f t="shared" si="9"/>
        <v>-1.0764968538176702E-5</v>
      </c>
      <c r="P60" s="1">
        <f t="shared" si="10"/>
        <v>-1.6687908645530351E-6</v>
      </c>
      <c r="Q60" s="1">
        <f t="shared" si="11"/>
        <v>9.7036448882248889E-7</v>
      </c>
    </row>
    <row r="61" spans="2:17" x14ac:dyDescent="0.3">
      <c r="B61">
        <v>-1.116129541090981E-2</v>
      </c>
      <c r="C61">
        <v>-2.1276357273472973E-2</v>
      </c>
      <c r="D61">
        <v>7.8690864286347535E-3</v>
      </c>
      <c r="E61">
        <v>3.8674689420707014E-4</v>
      </c>
      <c r="F61">
        <v>4.0236412720632084E-3</v>
      </c>
      <c r="G61">
        <v>0.41286168400000001</v>
      </c>
      <c r="H61" s="1">
        <f t="shared" si="2"/>
        <v>9.5171365705981788E-5</v>
      </c>
      <c r="I61" s="1">
        <f t="shared" si="3"/>
        <v>-2.1770227492354043E-5</v>
      </c>
      <c r="J61" s="1">
        <f t="shared" si="4"/>
        <v>3.5483189465314766E-6</v>
      </c>
      <c r="K61" s="1">
        <f t="shared" si="5"/>
        <v>-1.3837284583224809E-5</v>
      </c>
      <c r="L61" s="1">
        <f t="shared" si="6"/>
        <v>-3.2381982996891887E-5</v>
      </c>
      <c r="M61" s="1">
        <f t="shared" si="7"/>
        <v>5.2779238909876531E-6</v>
      </c>
      <c r="N61" s="1">
        <f t="shared" si="8"/>
        <v>-2.0582178769354182E-5</v>
      </c>
      <c r="O61" s="1">
        <f t="shared" si="9"/>
        <v>-1.2073127556990572E-6</v>
      </c>
      <c r="P61" s="1">
        <f t="shared" si="10"/>
        <v>4.7081252934986212E-6</v>
      </c>
      <c r="Q61" s="1">
        <f t="shared" si="11"/>
        <v>-7.673750854203312E-7</v>
      </c>
    </row>
    <row r="62" spans="2:17" x14ac:dyDescent="0.3">
      <c r="B62">
        <v>3.7768722610887753E-3</v>
      </c>
      <c r="C62">
        <v>-9.0420175648628105E-3</v>
      </c>
      <c r="D62">
        <v>4.7189081912854224E-2</v>
      </c>
      <c r="E62">
        <v>7.1923079363898045E-3</v>
      </c>
      <c r="F62">
        <v>2.992369629346487E-2</v>
      </c>
      <c r="G62">
        <v>0.42087841500000001</v>
      </c>
      <c r="H62" s="1">
        <f t="shared" si="2"/>
        <v>-6.5822593190909391E-6</v>
      </c>
      <c r="I62" s="1">
        <f t="shared" si="3"/>
        <v>4.563260116577232E-5</v>
      </c>
      <c r="J62" s="1">
        <f t="shared" si="4"/>
        <v>6.4067743296870493E-6</v>
      </c>
      <c r="K62" s="1">
        <f t="shared" si="5"/>
        <v>2.9955682399768186E-5</v>
      </c>
      <c r="L62" s="1">
        <f t="shared" si="6"/>
        <v>-1.1517197693209102E-4</v>
      </c>
      <c r="M62" s="1">
        <f t="shared" si="7"/>
        <v>-1.6170037351745194E-5</v>
      </c>
      <c r="N62" s="1">
        <f t="shared" si="8"/>
        <v>-7.5605051524411709E-5</v>
      </c>
      <c r="O62" s="1">
        <f t="shared" si="9"/>
        <v>1.1210145780305366E-4</v>
      </c>
      <c r="P62" s="1">
        <f t="shared" si="10"/>
        <v>5.2414452167278401E-4</v>
      </c>
      <c r="Q62" s="1">
        <f t="shared" si="11"/>
        <v>7.3589398384286825E-5</v>
      </c>
    </row>
    <row r="63" spans="2:17" x14ac:dyDescent="0.3">
      <c r="B63">
        <v>-1.0020834014116436E-2</v>
      </c>
      <c r="C63">
        <v>-3.6846923543892018E-2</v>
      </c>
      <c r="D63">
        <v>3.4981496154289585E-3</v>
      </c>
      <c r="E63">
        <v>-1.5995873320413623E-2</v>
      </c>
      <c r="F63">
        <v>2.4796082898128735E-2</v>
      </c>
      <c r="G63">
        <v>0.429050812</v>
      </c>
      <c r="H63" s="1">
        <f t="shared" si="2"/>
        <v>1.6538923335842107E-4</v>
      </c>
      <c r="I63" s="1">
        <f t="shared" si="3"/>
        <v>6.560325658443088E-7</v>
      </c>
      <c r="J63" s="1">
        <f t="shared" si="4"/>
        <v>8.2836320214346498E-5</v>
      </c>
      <c r="K63" s="1">
        <f t="shared" si="5"/>
        <v>-1.138481208342276E-4</v>
      </c>
      <c r="L63" s="1">
        <f t="shared" si="6"/>
        <v>1.9775132168907701E-6</v>
      </c>
      <c r="M63" s="1">
        <f t="shared" si="7"/>
        <v>2.4969784518493257E-4</v>
      </c>
      <c r="N63" s="1">
        <f t="shared" si="8"/>
        <v>-3.4317833502383238E-4</v>
      </c>
      <c r="O63" s="1">
        <f t="shared" si="9"/>
        <v>9.9045091833437422E-7</v>
      </c>
      <c r="P63" s="1">
        <f t="shared" si="10"/>
        <v>-1.3612504217850852E-6</v>
      </c>
      <c r="Q63" s="1">
        <f t="shared" si="11"/>
        <v>-1.7188319864240435E-4</v>
      </c>
    </row>
    <row r="64" spans="2:17" x14ac:dyDescent="0.3">
      <c r="B64">
        <v>2.0026366261954223E-2</v>
      </c>
      <c r="C64">
        <v>1.0771268335159588E-2</v>
      </c>
      <c r="D64">
        <v>1.9472267519484329E-2</v>
      </c>
      <c r="E64">
        <v>1.6024733854984958E-3</v>
      </c>
      <c r="F64">
        <v>2.0223030528967192E-2</v>
      </c>
      <c r="G64">
        <v>0.43738189500000002</v>
      </c>
      <c r="H64" s="1">
        <f t="shared" si="2"/>
        <v>1.1089683655492345E-4</v>
      </c>
      <c r="I64" s="1">
        <f t="shared" si="3"/>
        <v>1.2981566741559027E-4</v>
      </c>
      <c r="J64" s="1">
        <f t="shared" si="4"/>
        <v>4.3057494367336003E-6</v>
      </c>
      <c r="K64" s="1">
        <f t="shared" si="5"/>
        <v>1.5483588083239376E-4</v>
      </c>
      <c r="L64" s="1">
        <f t="shared" si="6"/>
        <v>9.3735310111008104E-5</v>
      </c>
      <c r="M64" s="1">
        <f t="shared" si="7"/>
        <v>3.109029647557409E-6</v>
      </c>
      <c r="N64" s="1">
        <f t="shared" si="8"/>
        <v>1.1180152284447995E-4</v>
      </c>
      <c r="O64" s="1">
        <f t="shared" si="9"/>
        <v>3.6394253546865847E-6</v>
      </c>
      <c r="P64" s="1">
        <f t="shared" si="10"/>
        <v>1.3087469180374174E-4</v>
      </c>
      <c r="Q64" s="1">
        <f t="shared" si="11"/>
        <v>4.3408753483708464E-6</v>
      </c>
    </row>
    <row r="65" spans="2:17" x14ac:dyDescent="0.3">
      <c r="B65">
        <v>3.37140400420784E-3</v>
      </c>
      <c r="C65">
        <v>2.2954113892866099E-2</v>
      </c>
      <c r="D65">
        <v>2.3232156246487917E-2</v>
      </c>
      <c r="E65">
        <v>-4.6412506120470792E-3</v>
      </c>
      <c r="F65">
        <v>1.3864288981881897E-3</v>
      </c>
      <c r="G65">
        <v>0.44587474799999999</v>
      </c>
      <c r="H65" s="1">
        <f t="shared" si="2"/>
        <v>2.3890831875350644E-5</v>
      </c>
      <c r="I65" s="1">
        <f t="shared" si="3"/>
        <v>1.8209594347123466E-5</v>
      </c>
      <c r="J65" s="1">
        <f t="shared" si="4"/>
        <v>-5.313046717825369E-6</v>
      </c>
      <c r="K65" s="1">
        <f t="shared" si="5"/>
        <v>5.1138084104600706E-8</v>
      </c>
      <c r="L65" s="1">
        <f t="shared" si="6"/>
        <v>2.2469976248434389E-4</v>
      </c>
      <c r="M65" s="1">
        <f t="shared" si="7"/>
        <v>-6.5561061537440106E-5</v>
      </c>
      <c r="N65" s="1">
        <f t="shared" si="8"/>
        <v>6.3102533385228028E-7</v>
      </c>
      <c r="O65" s="1">
        <f t="shared" si="9"/>
        <v>-4.9970647392790341E-5</v>
      </c>
      <c r="P65" s="1">
        <f t="shared" si="10"/>
        <v>4.8096756999339656E-7</v>
      </c>
      <c r="Q65" s="1">
        <f t="shared" si="11"/>
        <v>-1.4033278943072834E-7</v>
      </c>
    </row>
    <row r="66" spans="2:17" x14ac:dyDescent="0.3">
      <c r="B66">
        <v>1.2389873921270755E-2</v>
      </c>
      <c r="C66">
        <v>3.2993845932746055E-2</v>
      </c>
      <c r="D66">
        <v>4.3689863064080396E-2</v>
      </c>
      <c r="E66">
        <v>1.465262458951812E-2</v>
      </c>
      <c r="F66">
        <v>3.1947152488226868E-2</v>
      </c>
      <c r="G66">
        <v>0.45453251</v>
      </c>
      <c r="H66" s="1">
        <f t="shared" si="2"/>
        <v>1.8042296693096942E-4</v>
      </c>
      <c r="I66" s="1">
        <f t="shared" si="3"/>
        <v>2.0213900553367199E-4</v>
      </c>
      <c r="J66" s="1">
        <f t="shared" si="4"/>
        <v>6.8506677561149925E-5</v>
      </c>
      <c r="K66" s="1">
        <f t="shared" si="5"/>
        <v>1.5449776234891706E-4</v>
      </c>
      <c r="L66" s="1">
        <f t="shared" si="6"/>
        <v>6.5095757102233854E-4</v>
      </c>
      <c r="M66" s="1">
        <f t="shared" si="7"/>
        <v>2.206152162779298E-4</v>
      </c>
      <c r="N66" s="1">
        <f t="shared" si="8"/>
        <v>4.9753627629420835E-4</v>
      </c>
      <c r="O66" s="1">
        <f t="shared" si="9"/>
        <v>2.471688675925549E-4</v>
      </c>
      <c r="P66" s="1">
        <f t="shared" si="10"/>
        <v>5.5742065335571511E-4</v>
      </c>
      <c r="Q66" s="1">
        <f t="shared" si="11"/>
        <v>1.8891473649307314E-4</v>
      </c>
    </row>
    <row r="67" spans="2:17" x14ac:dyDescent="0.3">
      <c r="B67">
        <v>-1.6808244995128941E-2</v>
      </c>
      <c r="C67">
        <v>-5.9117565670795534E-2</v>
      </c>
      <c r="D67">
        <v>-2.7812657392953168E-2</v>
      </c>
      <c r="E67">
        <v>-2.9699713093799807E-2</v>
      </c>
      <c r="F67">
        <v>-1.4498828828469638E-2</v>
      </c>
      <c r="G67">
        <v>0.46335838400000001</v>
      </c>
      <c r="H67" s="1">
        <f t="shared" si="2"/>
        <v>4.7255579467782657E-4</v>
      </c>
      <c r="I67" s="1">
        <f t="shared" si="3"/>
        <v>2.636704308025942E-4</v>
      </c>
      <c r="J67" s="1">
        <f t="shared" si="4"/>
        <v>2.5805945120040879E-4</v>
      </c>
      <c r="K67" s="1">
        <f t="shared" si="5"/>
        <v>1.3273414747447859E-4</v>
      </c>
      <c r="L67" s="1">
        <f t="shared" si="6"/>
        <v>8.2118314723287678E-4</v>
      </c>
      <c r="M67" s="1">
        <f t="shared" si="7"/>
        <v>8.0370814302115404E-4</v>
      </c>
      <c r="N67" s="1">
        <f t="shared" si="8"/>
        <v>4.1339123479481455E-4</v>
      </c>
      <c r="O67" s="1">
        <f t="shared" si="9"/>
        <v>4.4844243726694088E-4</v>
      </c>
      <c r="P67" s="1">
        <f t="shared" si="10"/>
        <v>2.306585723759396E-4</v>
      </c>
      <c r="Q67" s="1">
        <f t="shared" si="11"/>
        <v>2.2575009424006712E-4</v>
      </c>
    </row>
    <row r="68" spans="2:17" x14ac:dyDescent="0.3">
      <c r="B68">
        <v>1.9966017339452038E-2</v>
      </c>
      <c r="C68">
        <v>1.399709522525145E-3</v>
      </c>
      <c r="D68">
        <v>1.2354149211765905E-2</v>
      </c>
      <c r="E68">
        <v>1.921218768517232E-2</v>
      </c>
      <c r="F68">
        <v>2.1657417779320589E-2</v>
      </c>
      <c r="G68">
        <v>0.47235563400000002</v>
      </c>
      <c r="H68" s="1">
        <f t="shared" si="2"/>
        <v>3.6694679820293298E-5</v>
      </c>
      <c r="I68" s="1">
        <f t="shared" si="3"/>
        <v>7.6942275392416672E-5</v>
      </c>
      <c r="J68" s="1">
        <f t="shared" si="4"/>
        <v>1.6000308202751253E-4</v>
      </c>
      <c r="K68" s="1">
        <f t="shared" si="5"/>
        <v>1.7933366695801572E-4</v>
      </c>
      <c r="L68" s="1">
        <f t="shared" si="6"/>
        <v>1.7132416359464289E-5</v>
      </c>
      <c r="M68" s="1">
        <f t="shared" si="7"/>
        <v>3.5627220615872701E-5</v>
      </c>
      <c r="N68" s="1">
        <f t="shared" si="8"/>
        <v>3.9931481541512131E-5</v>
      </c>
      <c r="O68" s="1">
        <f t="shared" si="9"/>
        <v>7.470400160234866E-5</v>
      </c>
      <c r="P68" s="1">
        <f t="shared" si="10"/>
        <v>8.3729278049050754E-5</v>
      </c>
      <c r="Q68" s="1">
        <f t="shared" si="11"/>
        <v>1.7411679698137777E-4</v>
      </c>
    </row>
    <row r="69" spans="2:17" x14ac:dyDescent="0.3">
      <c r="B69">
        <v>-1.974515327386404E-2</v>
      </c>
      <c r="C69">
        <v>-2.9546088106528038E-2</v>
      </c>
      <c r="D69">
        <v>-2.4418723609183578E-2</v>
      </c>
      <c r="E69">
        <v>-3.1401685619995866E-2</v>
      </c>
      <c r="F69">
        <v>-9.268299426219E-3</v>
      </c>
      <c r="G69">
        <v>0.48152758800000001</v>
      </c>
      <c r="H69" s="1">
        <f t="shared" ref="H69:H107" si="14">(B69-$B$2)*(C69-$C$2)*G69</f>
        <v>2.7129214904796968E-4</v>
      </c>
      <c r="I69" s="1">
        <f t="shared" ref="I69:I107" si="15">(B69-$B$2)*(D69-$D$2)*G69</f>
        <v>2.8410726041415505E-4</v>
      </c>
      <c r="J69" s="1">
        <f t="shared" ref="J69:J107" si="16">(B69-$B$2)*(E69-$E$2)*G69</f>
        <v>3.2894047319381492E-4</v>
      </c>
      <c r="K69" s="1">
        <f t="shared" ref="K69:K107" si="17">(B69-$B$2)*(F69-$F$2)*G69</f>
        <v>1.0735204138922192E-4</v>
      </c>
      <c r="L69" s="1">
        <f t="shared" ref="L69:L107" si="18">(C69-$C$2)*(D69-$D$2)*G69</f>
        <v>3.6183148864619069E-4</v>
      </c>
      <c r="M69" s="1">
        <f t="shared" ref="M69:M107" si="19">(C69-$C$2)*(E69-$E$2)*G69</f>
        <v>4.1892988203891203E-4</v>
      </c>
      <c r="N69" s="1">
        <f t="shared" ref="N69:N107" si="20">(C69-$C$2)*(F69-$F$2)*G69</f>
        <v>1.3672071909899826E-4</v>
      </c>
      <c r="O69" s="1">
        <f t="shared" ref="O69:O107" si="21">(D69-$D$2)*(E69-$E$2)*G69</f>
        <v>4.3871900277753798E-4</v>
      </c>
      <c r="P69" s="1">
        <f t="shared" ref="P69:P107" si="22">(D69-$D$2)*(F69-$F$2)*G69</f>
        <v>1.4317903810110404E-4</v>
      </c>
      <c r="Q69" s="1">
        <f t="shared" ref="Q69:Q107" si="23">(E69-$E$2)*(F69-$F$2)*G69</f>
        <v>1.657732381627861E-4</v>
      </c>
    </row>
    <row r="70" spans="2:17" x14ac:dyDescent="0.3">
      <c r="B70">
        <v>2.2688711983481498E-2</v>
      </c>
      <c r="C70">
        <v>5.5498334984204194E-2</v>
      </c>
      <c r="D70" s="1">
        <v>8.7677000426678028E-5</v>
      </c>
      <c r="E70">
        <v>2.9017519542358143E-2</v>
      </c>
      <c r="F70">
        <v>3.2621429270450995E-2</v>
      </c>
      <c r="G70">
        <v>0.49087763800000001</v>
      </c>
      <c r="H70" s="1">
        <f t="shared" si="14"/>
        <v>6.1201607298461786E-4</v>
      </c>
      <c r="I70" s="1">
        <f t="shared" si="15"/>
        <v>-3.7248584373831361E-5</v>
      </c>
      <c r="J70" s="1">
        <f t="shared" si="16"/>
        <v>2.9352305852699268E-4</v>
      </c>
      <c r="K70" s="1">
        <f t="shared" si="17"/>
        <v>3.2871219424396747E-4</v>
      </c>
      <c r="L70" s="1">
        <f t="shared" si="18"/>
        <v>-1.0139731317648643E-4</v>
      </c>
      <c r="M70" s="1">
        <f t="shared" si="19"/>
        <v>7.9902229817063752E-4</v>
      </c>
      <c r="N70" s="1">
        <f t="shared" si="20"/>
        <v>8.9481342351634867E-4</v>
      </c>
      <c r="O70" s="1">
        <f t="shared" si="21"/>
        <v>-4.863017623841011E-5</v>
      </c>
      <c r="P70" s="1">
        <f t="shared" si="22"/>
        <v>-5.4460225435163237E-5</v>
      </c>
      <c r="Q70" s="1">
        <f t="shared" si="23"/>
        <v>4.2915273711795004E-4</v>
      </c>
    </row>
    <row r="71" spans="2:17" x14ac:dyDescent="0.3">
      <c r="B71">
        <v>2.0611392166129627E-2</v>
      </c>
      <c r="C71">
        <v>-1.7590891769280831E-2</v>
      </c>
      <c r="D71">
        <v>-2.6898255775559769E-3</v>
      </c>
      <c r="E71">
        <v>9.8680547568610142E-3</v>
      </c>
      <c r="F71">
        <v>-5.7478421572357214E-3</v>
      </c>
      <c r="G71">
        <v>0.500409243</v>
      </c>
      <c r="H71" s="1">
        <f t="shared" si="14"/>
        <v>-1.4341827009434788E-4</v>
      </c>
      <c r="I71" s="1">
        <f t="shared" si="15"/>
        <v>-6.1143997250611145E-5</v>
      </c>
      <c r="J71" s="1">
        <f t="shared" si="16"/>
        <v>8.5006587313635976E-5</v>
      </c>
      <c r="K71" s="1">
        <f t="shared" si="17"/>
        <v>-6.8454803924222527E-5</v>
      </c>
      <c r="L71" s="1">
        <f t="shared" si="18"/>
        <v>4.6929725978196969E-5</v>
      </c>
      <c r="M71" s="1">
        <f t="shared" si="19"/>
        <v>-6.5244930465038203E-5</v>
      </c>
      <c r="N71" s="1">
        <f t="shared" si="20"/>
        <v>5.2540974331259569E-5</v>
      </c>
      <c r="O71" s="1">
        <f t="shared" si="21"/>
        <v>-2.7816092373351196E-5</v>
      </c>
      <c r="P71" s="1">
        <f t="shared" si="22"/>
        <v>2.2399971690786508E-5</v>
      </c>
      <c r="Q71" s="1">
        <f t="shared" si="23"/>
        <v>-3.1141980161213382E-5</v>
      </c>
    </row>
    <row r="72" spans="2:17" x14ac:dyDescent="0.3">
      <c r="B72">
        <v>6.5528567988078585E-3</v>
      </c>
      <c r="C72">
        <v>4.315937872849511E-2</v>
      </c>
      <c r="D72">
        <v>1.3985968231481415E-2</v>
      </c>
      <c r="E72">
        <v>1.1493653499991154E-2</v>
      </c>
      <c r="F72">
        <v>2.0025776479838251E-2</v>
      </c>
      <c r="G72">
        <v>0.51012592700000003</v>
      </c>
      <c r="H72" s="1">
        <f t="shared" si="14"/>
        <v>1.2333522995598627E-4</v>
      </c>
      <c r="I72" s="1">
        <f t="shared" si="15"/>
        <v>2.7806551717591166E-5</v>
      </c>
      <c r="J72" s="1">
        <f t="shared" si="16"/>
        <v>2.7978239950643602E-5</v>
      </c>
      <c r="K72" s="1">
        <f t="shared" si="17"/>
        <v>5.0212129599549828E-5</v>
      </c>
      <c r="L72" s="1">
        <f t="shared" si="18"/>
        <v>2.4250285412977214E-4</v>
      </c>
      <c r="M72" s="1">
        <f t="shared" si="19"/>
        <v>2.4400015904404429E-4</v>
      </c>
      <c r="N72" s="1">
        <f t="shared" si="20"/>
        <v>4.3790344317025159E-4</v>
      </c>
      <c r="O72" s="1">
        <f t="shared" si="21"/>
        <v>5.5011070591751681E-5</v>
      </c>
      <c r="P72" s="1">
        <f t="shared" si="22"/>
        <v>9.872754722369441E-5</v>
      </c>
      <c r="Q72" s="1">
        <f t="shared" si="23"/>
        <v>9.9337128674447021E-5</v>
      </c>
    </row>
    <row r="73" spans="2:17" x14ac:dyDescent="0.3">
      <c r="B73">
        <v>-1.1164114603679031E-2</v>
      </c>
      <c r="C73">
        <v>-1.9115515326272155E-2</v>
      </c>
      <c r="D73">
        <v>-1.7443496832106126E-2</v>
      </c>
      <c r="E73">
        <v>-2.4730847793986214E-2</v>
      </c>
      <c r="F73">
        <v>-2.8870520686486257E-2</v>
      </c>
      <c r="G73">
        <v>0.52003128499999995</v>
      </c>
      <c r="H73" s="1">
        <f t="shared" si="14"/>
        <v>1.0591080459106377E-4</v>
      </c>
      <c r="I73" s="1">
        <f t="shared" si="15"/>
        <v>1.3647852154789297E-4</v>
      </c>
      <c r="J73" s="1">
        <f t="shared" si="16"/>
        <v>1.671138095461086E-4</v>
      </c>
      <c r="K73" s="1">
        <f t="shared" si="17"/>
        <v>1.955657724148166E-4</v>
      </c>
      <c r="L73" s="1">
        <f t="shared" si="18"/>
        <v>1.7927394553543015E-4</v>
      </c>
      <c r="M73" s="1">
        <f t="shared" si="19"/>
        <v>2.1951550801547974E-4</v>
      </c>
      <c r="N73" s="1">
        <f t="shared" si="20"/>
        <v>2.5688912244103539E-4</v>
      </c>
      <c r="O73" s="1">
        <f t="shared" si="21"/>
        <v>2.8287153616161957E-4</v>
      </c>
      <c r="P73" s="1">
        <f t="shared" si="22"/>
        <v>3.3103183162340303E-4</v>
      </c>
      <c r="Q73" s="1">
        <f t="shared" si="23"/>
        <v>4.0533843593989983E-4</v>
      </c>
    </row>
    <row r="74" spans="2:17" x14ac:dyDescent="0.3">
      <c r="B74">
        <v>6.1347496096450611E-3</v>
      </c>
      <c r="C74">
        <v>-2.4047549492501853E-2</v>
      </c>
      <c r="D74">
        <v>8.687731374716675E-3</v>
      </c>
      <c r="E74">
        <v>-2.3950350936632848E-4</v>
      </c>
      <c r="F74">
        <v>-1.9191251907579917E-2</v>
      </c>
      <c r="G74">
        <v>0.53012897999999997</v>
      </c>
      <c r="H74" s="1">
        <f t="shared" si="14"/>
        <v>-5.4702561257180603E-5</v>
      </c>
      <c r="I74" s="1">
        <f t="shared" si="15"/>
        <v>1.2987797261367096E-5</v>
      </c>
      <c r="J74" s="1">
        <f t="shared" si="16"/>
        <v>-3.3832333412929775E-6</v>
      </c>
      <c r="K74" s="1">
        <f t="shared" si="17"/>
        <v>-5.2735337003270249E-5</v>
      </c>
      <c r="L74" s="1">
        <f t="shared" si="18"/>
        <v>-5.7041084062856866E-5</v>
      </c>
      <c r="M74" s="1">
        <f t="shared" si="19"/>
        <v>1.4858816590784957E-5</v>
      </c>
      <c r="N74" s="1">
        <f t="shared" si="20"/>
        <v>2.3160823429499653E-4</v>
      </c>
      <c r="O74" s="1">
        <f t="shared" si="21"/>
        <v>-3.5278658437518891E-6</v>
      </c>
      <c r="P74" s="1">
        <f t="shared" si="22"/>
        <v>-5.4989761392420444E-5</v>
      </c>
      <c r="Q74" s="1">
        <f t="shared" si="23"/>
        <v>1.4324460909624585E-5</v>
      </c>
    </row>
    <row r="75" spans="2:17" x14ac:dyDescent="0.3">
      <c r="B75">
        <v>-2.2377458601829617E-2</v>
      </c>
      <c r="C75">
        <v>-6.0751063334560082E-2</v>
      </c>
      <c r="D75">
        <v>-3.2005862538237763E-2</v>
      </c>
      <c r="E75">
        <v>-2.3645642427395787E-2</v>
      </c>
      <c r="F75">
        <v>-2.6291550118239155E-2</v>
      </c>
      <c r="G75">
        <v>0.54042274700000004</v>
      </c>
      <c r="H75" s="1">
        <f t="shared" si="14"/>
        <v>7.4166389697792178E-4</v>
      </c>
      <c r="I75" s="1">
        <f t="shared" si="15"/>
        <v>4.5579477352404151E-4</v>
      </c>
      <c r="J75" s="1">
        <f t="shared" si="16"/>
        <v>3.1618276898386072E-4</v>
      </c>
      <c r="K75" s="1">
        <f t="shared" si="17"/>
        <v>3.5327344811801777E-4</v>
      </c>
      <c r="L75" s="1">
        <f t="shared" si="18"/>
        <v>1.1169349856110637E-3</v>
      </c>
      <c r="M75" s="1">
        <f t="shared" si="19"/>
        <v>7.7481273818693123E-4</v>
      </c>
      <c r="N75" s="1">
        <f t="shared" si="20"/>
        <v>8.6570425246365016E-4</v>
      </c>
      <c r="O75" s="1">
        <f t="shared" si="21"/>
        <v>4.7616662745007219E-4</v>
      </c>
      <c r="P75" s="1">
        <f t="shared" si="22"/>
        <v>5.3202464795480697E-4</v>
      </c>
      <c r="Q75" s="1">
        <f t="shared" si="23"/>
        <v>3.6906308744486243E-4</v>
      </c>
    </row>
    <row r="76" spans="2:17" x14ac:dyDescent="0.3">
      <c r="B76">
        <v>-4.4666871459931746E-3</v>
      </c>
      <c r="C76">
        <v>9.3452242905648578E-3</v>
      </c>
      <c r="D76">
        <v>5.5020170042594345E-3</v>
      </c>
      <c r="E76">
        <v>6.5568463225940555E-3</v>
      </c>
      <c r="F76">
        <v>2.2311502786891722E-2</v>
      </c>
      <c r="G76">
        <v>0.55091639199999998</v>
      </c>
      <c r="H76" s="1">
        <f t="shared" si="14"/>
        <v>-3.8373009917435112E-5</v>
      </c>
      <c r="I76" s="1">
        <f t="shared" si="15"/>
        <v>-5.9238776767447809E-6</v>
      </c>
      <c r="J76" s="1">
        <f t="shared" si="16"/>
        <v>-1.7371416079559502E-5</v>
      </c>
      <c r="K76" s="1">
        <f t="shared" si="17"/>
        <v>-6.6509645597890817E-5</v>
      </c>
      <c r="L76" s="1">
        <f t="shared" si="18"/>
        <v>1.2461319536980051E-5</v>
      </c>
      <c r="M76" s="1">
        <f t="shared" si="19"/>
        <v>3.6542072336675377E-5</v>
      </c>
      <c r="N76" s="1">
        <f t="shared" si="20"/>
        <v>1.3990801149392528E-4</v>
      </c>
      <c r="O76" s="1">
        <f t="shared" si="21"/>
        <v>5.6412245753718917E-6</v>
      </c>
      <c r="P76" s="1">
        <f t="shared" si="22"/>
        <v>2.1598460685515437E-5</v>
      </c>
      <c r="Q76" s="1">
        <f t="shared" si="23"/>
        <v>6.333619087358837E-5</v>
      </c>
    </row>
    <row r="77" spans="2:17" x14ac:dyDescent="0.3">
      <c r="B77">
        <v>1.4188653633862085E-2</v>
      </c>
      <c r="C77">
        <v>1.4392548668088636E-2</v>
      </c>
      <c r="D77">
        <v>3.3774611797912933E-2</v>
      </c>
      <c r="E77">
        <v>1.4821253479240237E-2</v>
      </c>
      <c r="F77">
        <v>3.194477933930432E-2</v>
      </c>
      <c r="G77">
        <v>0.561613798</v>
      </c>
      <c r="H77" s="1">
        <f t="shared" si="14"/>
        <v>1.2427249425620802E-4</v>
      </c>
      <c r="I77" s="1">
        <f t="shared" si="15"/>
        <v>2.183858032618207E-4</v>
      </c>
      <c r="J77" s="1">
        <f t="shared" si="16"/>
        <v>9.9581880081695557E-5</v>
      </c>
      <c r="K77" s="1">
        <f t="shared" si="17"/>
        <v>2.2180664802969835E-4</v>
      </c>
      <c r="L77" s="1">
        <f t="shared" si="18"/>
        <v>2.9034270104217447E-4</v>
      </c>
      <c r="M77" s="1">
        <f t="shared" si="19"/>
        <v>1.3239355125623266E-4</v>
      </c>
      <c r="N77" s="1">
        <f t="shared" si="20"/>
        <v>2.9489069498187589E-4</v>
      </c>
      <c r="O77" s="1">
        <f t="shared" si="21"/>
        <v>2.3265705102988276E-4</v>
      </c>
      <c r="P77" s="1">
        <f t="shared" si="22"/>
        <v>5.1821556880706475E-4</v>
      </c>
      <c r="Q77" s="1">
        <f t="shared" si="23"/>
        <v>2.3630144386054328E-4</v>
      </c>
    </row>
    <row r="78" spans="2:17" x14ac:dyDescent="0.3">
      <c r="B78">
        <v>-7.5235572987127526E-3</v>
      </c>
      <c r="C78">
        <v>-9.8398776756806992E-3</v>
      </c>
      <c r="D78">
        <v>-3.177692027233686E-3</v>
      </c>
      <c r="E78">
        <v>-7.6031018781493364E-3</v>
      </c>
      <c r="F78">
        <v>-1.9449826392375292E-2</v>
      </c>
      <c r="G78">
        <v>0.57251892000000004</v>
      </c>
      <c r="H78" s="1">
        <f t="shared" si="14"/>
        <v>3.5718148113602044E-5</v>
      </c>
      <c r="I78" s="1">
        <f t="shared" si="15"/>
        <v>3.4358706710987011E-5</v>
      </c>
      <c r="J78" s="1">
        <f t="shared" si="16"/>
        <v>4.3787851360122401E-5</v>
      </c>
      <c r="K78" s="1">
        <f t="shared" si="17"/>
        <v>1.0483190512945439E-4</v>
      </c>
      <c r="L78" s="1">
        <f t="shared" si="18"/>
        <v>2.7610262634641115E-5</v>
      </c>
      <c r="M78" s="1">
        <f t="shared" si="19"/>
        <v>3.5187415126804006E-5</v>
      </c>
      <c r="N78" s="1">
        <f t="shared" si="20"/>
        <v>8.4241716589072079E-5</v>
      </c>
      <c r="O78" s="1">
        <f t="shared" si="21"/>
        <v>3.3848173550722308E-5</v>
      </c>
      <c r="P78" s="1">
        <f t="shared" si="22"/>
        <v>8.1035456371036447E-5</v>
      </c>
      <c r="Q78" s="1">
        <f t="shared" si="23"/>
        <v>1.0327421658568869E-4</v>
      </c>
    </row>
    <row r="79" spans="2:17" x14ac:dyDescent="0.3">
      <c r="B79">
        <v>1.2038473114277535E-3</v>
      </c>
      <c r="C79">
        <v>-1.0542646896974815E-3</v>
      </c>
      <c r="D79">
        <v>2.8010630326825284E-2</v>
      </c>
      <c r="E79">
        <v>1.5863453627849137E-2</v>
      </c>
      <c r="F79">
        <v>-3.8733550759428689E-3</v>
      </c>
      <c r="G79">
        <v>0.58363579200000004</v>
      </c>
      <c r="H79" s="1">
        <f t="shared" si="14"/>
        <v>-8.334023238299116E-8</v>
      </c>
      <c r="I79" s="1">
        <f t="shared" si="15"/>
        <v>-1.191507840695207E-6</v>
      </c>
      <c r="J79" s="1">
        <f t="shared" si="16"/>
        <v>-7.2272352135885521E-7</v>
      </c>
      <c r="K79" s="1">
        <f t="shared" si="17"/>
        <v>2.5439658554823752E-7</v>
      </c>
      <c r="L79" s="1">
        <f t="shared" si="18"/>
        <v>2.4258828173983212E-5</v>
      </c>
      <c r="M79" s="1">
        <f t="shared" si="19"/>
        <v>1.4714486235953716E-5</v>
      </c>
      <c r="N79" s="1">
        <f t="shared" si="20"/>
        <v>-5.1794565223019602E-6</v>
      </c>
      <c r="O79" s="1">
        <f t="shared" si="21"/>
        <v>2.1037169228626648E-4</v>
      </c>
      <c r="P79" s="1">
        <f t="shared" si="22"/>
        <v>-7.40502261681025E-5</v>
      </c>
      <c r="Q79" s="1">
        <f t="shared" si="23"/>
        <v>-4.4916062140560257E-5</v>
      </c>
    </row>
    <row r="80" spans="2:17" x14ac:dyDescent="0.3">
      <c r="B80">
        <v>-1.9084281534008766E-2</v>
      </c>
      <c r="C80">
        <v>-6.9227776295490455E-3</v>
      </c>
      <c r="D80">
        <v>-3.4299900295314309E-2</v>
      </c>
      <c r="E80">
        <v>-1.8947414963655602E-2</v>
      </c>
      <c r="F80">
        <v>-3.6892588933654068E-2</v>
      </c>
      <c r="G80">
        <v>0.59496852600000005</v>
      </c>
      <c r="H80" s="1">
        <f t="shared" si="14"/>
        <v>5.0463500290873231E-5</v>
      </c>
      <c r="I80" s="1">
        <f t="shared" si="15"/>
        <v>4.597748403652427E-4</v>
      </c>
      <c r="J80" s="1">
        <f t="shared" si="16"/>
        <v>2.4270994853278695E-4</v>
      </c>
      <c r="K80" s="1">
        <f t="shared" si="17"/>
        <v>4.6329850962087307E-4</v>
      </c>
      <c r="L80" s="1">
        <f t="shared" si="18"/>
        <v>9.3965090047675655E-5</v>
      </c>
      <c r="M80" s="1">
        <f t="shared" si="19"/>
        <v>4.9603110407765855E-5</v>
      </c>
      <c r="N80" s="1">
        <f t="shared" si="20"/>
        <v>9.4685229276347913E-5</v>
      </c>
      <c r="O80" s="1">
        <f t="shared" si="21"/>
        <v>4.5193579592961306E-4</v>
      </c>
      <c r="P80" s="1">
        <f t="shared" si="22"/>
        <v>8.626806686921945E-4</v>
      </c>
      <c r="Q80" s="1">
        <f t="shared" si="23"/>
        <v>4.5539938751798916E-4</v>
      </c>
    </row>
    <row r="81" spans="2:17" x14ac:dyDescent="0.3">
      <c r="B81">
        <v>-1.3527134885172735E-2</v>
      </c>
      <c r="C81">
        <v>-1.3817283275622145E-2</v>
      </c>
      <c r="D81">
        <v>-1.6956234655136824E-2</v>
      </c>
      <c r="E81">
        <v>-6.7295799260229721E-3</v>
      </c>
      <c r="F81">
        <v>5.683255491087145E-4</v>
      </c>
      <c r="G81">
        <v>0.60652131300000001</v>
      </c>
      <c r="H81" s="1">
        <f t="shared" si="14"/>
        <v>9.9360611463840699E-5</v>
      </c>
      <c r="I81" s="1">
        <f t="shared" si="15"/>
        <v>1.8500676664175291E-4</v>
      </c>
      <c r="J81" s="1">
        <f t="shared" si="16"/>
        <v>7.0146755853190952E-5</v>
      </c>
      <c r="K81" s="1">
        <f t="shared" si="17"/>
        <v>6.8564724226978692E-6</v>
      </c>
      <c r="L81" s="1">
        <f t="shared" si="18"/>
        <v>1.3809194920787443E-4</v>
      </c>
      <c r="M81" s="1">
        <f t="shared" si="19"/>
        <v>5.2358637590447387E-5</v>
      </c>
      <c r="N81" s="1">
        <f t="shared" si="20"/>
        <v>5.1177784398222307E-6</v>
      </c>
      <c r="O81" s="1">
        <f t="shared" si="21"/>
        <v>9.7490364679379986E-5</v>
      </c>
      <c r="P81" s="1">
        <f t="shared" si="22"/>
        <v>9.5291648027443338E-6</v>
      </c>
      <c r="Q81" s="1">
        <f t="shared" si="23"/>
        <v>3.6130570196780662E-6</v>
      </c>
    </row>
    <row r="82" spans="2:17" x14ac:dyDescent="0.3">
      <c r="B82">
        <v>-2.9864740284477648E-3</v>
      </c>
      <c r="C82">
        <v>-1.834157167261315E-2</v>
      </c>
      <c r="D82">
        <v>-2.7461321205282083E-2</v>
      </c>
      <c r="E82">
        <v>-1.1819403717984822E-2</v>
      </c>
      <c r="F82">
        <v>1.5911351000944155E-2</v>
      </c>
      <c r="G82">
        <v>0.61829842599999996</v>
      </c>
      <c r="H82" s="1">
        <f t="shared" si="14"/>
        <v>4.1178388949329014E-5</v>
      </c>
      <c r="I82" s="1">
        <f t="shared" si="15"/>
        <v>8.2172356914916403E-5</v>
      </c>
      <c r="J82" s="1">
        <f t="shared" si="16"/>
        <v>3.4081010974756207E-5</v>
      </c>
      <c r="K82" s="1">
        <f t="shared" si="17"/>
        <v>-3.8529732420775548E-5</v>
      </c>
      <c r="L82" s="1">
        <f t="shared" si="18"/>
        <v>2.9958081898997428E-4</v>
      </c>
      <c r="M82" s="1">
        <f t="shared" si="19"/>
        <v>1.242512392628035E-4</v>
      </c>
      <c r="N82" s="1">
        <f t="shared" si="20"/>
        <v>-1.4047021683985791E-4</v>
      </c>
      <c r="O82" s="1">
        <f t="shared" si="21"/>
        <v>2.4794600858201214E-4</v>
      </c>
      <c r="P82" s="1">
        <f t="shared" si="22"/>
        <v>-2.8031132563938226E-4</v>
      </c>
      <c r="Q82" s="1">
        <f t="shared" si="23"/>
        <v>-1.162592108116845E-4</v>
      </c>
    </row>
    <row r="83" spans="2:17" x14ac:dyDescent="0.3">
      <c r="B83">
        <v>7.8330258024375907E-3</v>
      </c>
      <c r="C83">
        <v>1.8554302289382301E-2</v>
      </c>
      <c r="D83">
        <v>4.1746909712059653E-2</v>
      </c>
      <c r="E83">
        <v>9.5067320024546913E-3</v>
      </c>
      <c r="F83">
        <v>-1.7966218918481665E-3</v>
      </c>
      <c r="G83">
        <v>0.63030422100000005</v>
      </c>
      <c r="H83" s="1">
        <f t="shared" si="14"/>
        <v>8.7931828448321197E-5</v>
      </c>
      <c r="I83" s="1">
        <f t="shared" si="15"/>
        <v>1.5724175111069273E-4</v>
      </c>
      <c r="J83" s="1">
        <f t="shared" si="16"/>
        <v>3.4777293495692447E-5</v>
      </c>
      <c r="K83" s="1">
        <f t="shared" si="17"/>
        <v>-1.2904964574032999E-5</v>
      </c>
      <c r="L83" s="1">
        <f t="shared" si="18"/>
        <v>5.1202034074312053E-4</v>
      </c>
      <c r="M83" s="1">
        <f t="shared" si="19"/>
        <v>1.1324397966830496E-4</v>
      </c>
      <c r="N83" s="1">
        <f t="shared" si="20"/>
        <v>-4.2021945900505468E-5</v>
      </c>
      <c r="O83" s="1">
        <f t="shared" si="21"/>
        <v>2.0250553161479183E-4</v>
      </c>
      <c r="P83" s="1">
        <f t="shared" si="22"/>
        <v>-7.5144625957114739E-5</v>
      </c>
      <c r="Q83" s="1">
        <f t="shared" si="23"/>
        <v>-1.6619801630769914E-5</v>
      </c>
    </row>
    <row r="84" spans="2:17" x14ac:dyDescent="0.3">
      <c r="B84">
        <v>-1.6258734018127632E-2</v>
      </c>
      <c r="C84">
        <v>-3.666597527663687E-2</v>
      </c>
      <c r="D84">
        <v>-3.3243330072934993E-2</v>
      </c>
      <c r="E84">
        <v>-3.5001436642317529E-2</v>
      </c>
      <c r="F84">
        <v>-3.2090985078719228E-2</v>
      </c>
      <c r="G84">
        <v>0.64254313799999996</v>
      </c>
      <c r="H84" s="1">
        <f t="shared" si="14"/>
        <v>3.8227269251460595E-4</v>
      </c>
      <c r="I84" s="1">
        <f t="shared" si="15"/>
        <v>4.1575788468341989E-4</v>
      </c>
      <c r="J84" s="1">
        <f t="shared" si="16"/>
        <v>4.0675955939522711E-4</v>
      </c>
      <c r="K84" s="1">
        <f t="shared" si="17"/>
        <v>3.7681297379931725E-4</v>
      </c>
      <c r="L84" s="1">
        <f t="shared" si="18"/>
        <v>8.0341321300969289E-4</v>
      </c>
      <c r="M84" s="1">
        <f t="shared" si="19"/>
        <v>7.8602479129161011E-4</v>
      </c>
      <c r="N84" s="1">
        <f t="shared" si="20"/>
        <v>7.2815581649008634E-4</v>
      </c>
      <c r="O84" s="1">
        <f t="shared" si="21"/>
        <v>8.5487666510115738E-4</v>
      </c>
      <c r="P84" s="1">
        <f t="shared" si="22"/>
        <v>7.9193865508005059E-4</v>
      </c>
      <c r="Q84" s="1">
        <f t="shared" si="23"/>
        <v>7.7479857935513585E-4</v>
      </c>
    </row>
    <row r="85" spans="2:17" x14ac:dyDescent="0.3">
      <c r="B85">
        <v>-2.1655935411083571E-2</v>
      </c>
      <c r="C85">
        <v>1.3109471186818331E-2</v>
      </c>
      <c r="D85">
        <v>-8.5997449578287186E-3</v>
      </c>
      <c r="E85">
        <v>-9.6142891353057352E-3</v>
      </c>
      <c r="F85">
        <v>-2.6598688819393323E-2</v>
      </c>
      <c r="G85">
        <v>0.65501970300000001</v>
      </c>
      <c r="H85" s="1">
        <f t="shared" si="14"/>
        <v>-2.3848381726072256E-4</v>
      </c>
      <c r="I85" s="1">
        <f t="shared" si="15"/>
        <v>1.8384479925259681E-4</v>
      </c>
      <c r="J85" s="1">
        <f t="shared" si="16"/>
        <v>1.6067554404259772E-4</v>
      </c>
      <c r="K85" s="1">
        <f t="shared" si="17"/>
        <v>4.1974617986556171E-4</v>
      </c>
      <c r="L85" s="1">
        <f t="shared" si="18"/>
        <v>-1.2715558199642859E-4</v>
      </c>
      <c r="M85" s="1">
        <f t="shared" si="19"/>
        <v>-1.1113065149728851E-4</v>
      </c>
      <c r="N85" s="1">
        <f t="shared" si="20"/>
        <v>-2.9031590781227487E-4</v>
      </c>
      <c r="O85" s="1">
        <f t="shared" si="21"/>
        <v>8.5669512296481437E-5</v>
      </c>
      <c r="P85" s="1">
        <f t="shared" si="22"/>
        <v>2.2380164157315943E-4</v>
      </c>
      <c r="Q85" s="1">
        <f t="shared" si="23"/>
        <v>1.9559677871543553E-4</v>
      </c>
    </row>
    <row r="86" spans="2:17" x14ac:dyDescent="0.3">
      <c r="B86">
        <v>4.9461252906279729E-2</v>
      </c>
      <c r="C86">
        <v>1.5138172913281712E-2</v>
      </c>
      <c r="D86">
        <v>3.0449671116590415E-2</v>
      </c>
      <c r="E86">
        <v>3.3556977508996416E-2</v>
      </c>
      <c r="F86">
        <v>6.3975046385971943E-2</v>
      </c>
      <c r="G86">
        <v>0.667738532</v>
      </c>
      <c r="H86" s="1">
        <f t="shared" si="14"/>
        <v>5.7571650958811236E-4</v>
      </c>
      <c r="I86" s="1">
        <f t="shared" si="15"/>
        <v>8.6261117656631094E-4</v>
      </c>
      <c r="J86" s="1">
        <f t="shared" si="16"/>
        <v>1.0447926446036709E-3</v>
      </c>
      <c r="K86" s="1">
        <f t="shared" si="17"/>
        <v>2.0150840681267411E-3</v>
      </c>
      <c r="L86" s="1">
        <f t="shared" si="18"/>
        <v>3.2047788657816836E-4</v>
      </c>
      <c r="M86" s="1">
        <f t="shared" si="19"/>
        <v>3.8816206855541525E-4</v>
      </c>
      <c r="N86" s="1">
        <f t="shared" si="20"/>
        <v>7.4864539316683951E-4</v>
      </c>
      <c r="O86" s="1">
        <f t="shared" si="21"/>
        <v>5.8159342849929902E-4</v>
      </c>
      <c r="P86" s="1">
        <f t="shared" si="22"/>
        <v>1.1217150675297055E-3</v>
      </c>
      <c r="Q86" s="1">
        <f t="shared" si="23"/>
        <v>1.3586186728546928E-3</v>
      </c>
    </row>
    <row r="87" spans="2:17" x14ac:dyDescent="0.3">
      <c r="B87">
        <v>6.4900917579259303E-3</v>
      </c>
      <c r="C87">
        <v>-2.6436527778629169E-2</v>
      </c>
      <c r="D87">
        <v>1.9164812052935482E-2</v>
      </c>
      <c r="E87">
        <v>-2.095639350860194E-3</v>
      </c>
      <c r="F87">
        <v>2.3452130614075646E-2</v>
      </c>
      <c r="G87">
        <v>0.680704329</v>
      </c>
      <c r="H87" s="1">
        <f t="shared" si="14"/>
        <v>-8.3849513514348234E-5</v>
      </c>
      <c r="I87" s="1">
        <f t="shared" si="15"/>
        <v>5.5002496190050913E-5</v>
      </c>
      <c r="J87" s="1">
        <f t="shared" si="16"/>
        <v>-1.1235910972254327E-5</v>
      </c>
      <c r="K87" s="1">
        <f t="shared" si="17"/>
        <v>7.8337561764122151E-5</v>
      </c>
      <c r="L87" s="1">
        <f t="shared" si="18"/>
        <v>-2.5032297102998752E-4</v>
      </c>
      <c r="M87" s="1">
        <f t="shared" si="19"/>
        <v>5.1135981303188485E-5</v>
      </c>
      <c r="N87" s="1">
        <f t="shared" si="20"/>
        <v>-3.5652365914962402E-4</v>
      </c>
      <c r="O87" s="1">
        <f t="shared" si="21"/>
        <v>-3.3543505488816563E-5</v>
      </c>
      <c r="P87" s="1">
        <f t="shared" si="22"/>
        <v>2.3386768011104343E-4</v>
      </c>
      <c r="Q87" s="1">
        <f t="shared" si="23"/>
        <v>-4.7774494159969611E-5</v>
      </c>
    </row>
    <row r="88" spans="2:17" x14ac:dyDescent="0.3">
      <c r="B88">
        <v>1.9188118806811681E-2</v>
      </c>
      <c r="C88">
        <v>1.4480815957948111E-2</v>
      </c>
      <c r="D88">
        <v>3.0751900933322217E-2</v>
      </c>
      <c r="E88">
        <v>2.7828715027987706E-2</v>
      </c>
      <c r="F88">
        <v>2.3448640185656205E-2</v>
      </c>
      <c r="G88">
        <v>0.69392188899999996</v>
      </c>
      <c r="H88" s="1">
        <f t="shared" si="14"/>
        <v>2.1414969475668693E-4</v>
      </c>
      <c r="I88" s="1">
        <f t="shared" si="15"/>
        <v>3.3685472048683749E-4</v>
      </c>
      <c r="J88" s="1">
        <f t="shared" si="16"/>
        <v>3.3229662399174433E-4</v>
      </c>
      <c r="K88" s="1">
        <f t="shared" si="17"/>
        <v>2.7473088187604403E-4</v>
      </c>
      <c r="L88" s="1">
        <f t="shared" si="18"/>
        <v>3.2442775718212875E-4</v>
      </c>
      <c r="M88" s="1">
        <f t="shared" si="19"/>
        <v>3.2003781418003699E-4</v>
      </c>
      <c r="N88" s="1">
        <f t="shared" si="20"/>
        <v>2.6459573939441365E-4</v>
      </c>
      <c r="O88" s="1">
        <f t="shared" si="21"/>
        <v>5.0341537289288378E-4</v>
      </c>
      <c r="P88" s="1">
        <f t="shared" si="22"/>
        <v>4.1620570104935984E-4</v>
      </c>
      <c r="Q88" s="1">
        <f t="shared" si="23"/>
        <v>4.1057387928225184E-4</v>
      </c>
    </row>
    <row r="89" spans="2:17" x14ac:dyDescent="0.3">
      <c r="B89">
        <v>1.2592892647526915E-2</v>
      </c>
      <c r="C89">
        <v>6.0108505071282256E-3</v>
      </c>
      <c r="D89">
        <v>1.2001665674438889E-3</v>
      </c>
      <c r="E89">
        <v>9.0850240910227247E-3</v>
      </c>
      <c r="F89">
        <v>8.8362346631528938E-3</v>
      </c>
      <c r="G89">
        <v>0.70739609999999997</v>
      </c>
      <c r="H89" s="1">
        <f t="shared" si="14"/>
        <v>7.0138031374166135E-5</v>
      </c>
      <c r="I89" s="1">
        <f t="shared" si="15"/>
        <v>-1.9459046767687807E-5</v>
      </c>
      <c r="J89" s="1">
        <f t="shared" si="16"/>
        <v>6.4041756920895813E-5</v>
      </c>
      <c r="K89" s="1">
        <f t="shared" si="17"/>
        <v>6.0018677157543797E-5</v>
      </c>
      <c r="L89" s="1">
        <f t="shared" si="18"/>
        <v>-1.5095532164317647E-5</v>
      </c>
      <c r="M89" s="1">
        <f t="shared" si="19"/>
        <v>4.9680974253276176E-5</v>
      </c>
      <c r="N89" s="1">
        <f t="shared" si="20"/>
        <v>4.6560033608427098E-5</v>
      </c>
      <c r="O89" s="1">
        <f t="shared" si="21"/>
        <v>-1.3783455031714436E-5</v>
      </c>
      <c r="P89" s="1">
        <f t="shared" si="22"/>
        <v>-1.2917583424293403E-5</v>
      </c>
      <c r="Q89" s="1">
        <f t="shared" si="23"/>
        <v>4.2513117293992178E-5</v>
      </c>
    </row>
    <row r="90" spans="2:17" x14ac:dyDescent="0.3">
      <c r="B90">
        <v>2.3881702830061149E-2</v>
      </c>
      <c r="C90">
        <v>-4.2409673846475364E-2</v>
      </c>
      <c r="D90">
        <v>-5.7867172133566538E-3</v>
      </c>
      <c r="E90">
        <v>1.343171815053518E-2</v>
      </c>
      <c r="F90">
        <v>3.7947161313246838E-3</v>
      </c>
      <c r="G90">
        <v>0.72113194700000005</v>
      </c>
      <c r="H90" s="1">
        <f t="shared" si="14"/>
        <v>-6.4603615336573949E-4</v>
      </c>
      <c r="I90" s="1">
        <f t="shared" si="15"/>
        <v>-1.5348448058510446E-4</v>
      </c>
      <c r="J90" s="1">
        <f t="shared" si="16"/>
        <v>2.0129749358328836E-4</v>
      </c>
      <c r="K90" s="1">
        <f t="shared" si="17"/>
        <v>4.0135801747043349E-5</v>
      </c>
      <c r="L90" s="1">
        <f t="shared" si="18"/>
        <v>2.6934947913687308E-4</v>
      </c>
      <c r="M90" s="1">
        <f t="shared" si="19"/>
        <v>-3.5325639987525041E-4</v>
      </c>
      <c r="N90" s="1">
        <f t="shared" si="20"/>
        <v>-7.0434204514329771E-5</v>
      </c>
      <c r="O90" s="1">
        <f t="shared" si="21"/>
        <v>-8.3926224199285069E-5</v>
      </c>
      <c r="P90" s="1">
        <f t="shared" si="22"/>
        <v>-1.6733672316921804E-5</v>
      </c>
      <c r="Q90" s="1">
        <f t="shared" si="23"/>
        <v>2.194649441428492E-5</v>
      </c>
    </row>
    <row r="91" spans="2:17" x14ac:dyDescent="0.3">
      <c r="B91">
        <v>6.5385289740158513E-5</v>
      </c>
      <c r="C91">
        <v>-2.9909395781202757E-2</v>
      </c>
      <c r="D91">
        <v>-3.4188394906885855E-2</v>
      </c>
      <c r="E91">
        <v>1.291495021550803E-2</v>
      </c>
      <c r="F91">
        <v>6.8926013236685528E-3</v>
      </c>
      <c r="G91">
        <v>0.73513450899999999</v>
      </c>
      <c r="H91" s="1">
        <f t="shared" si="14"/>
        <v>2.439400524091608E-5</v>
      </c>
      <c r="I91" s="1">
        <f t="shared" si="15"/>
        <v>3.3982398885221261E-5</v>
      </c>
      <c r="J91" s="1">
        <f t="shared" si="16"/>
        <v>-1.0636144763021961E-5</v>
      </c>
      <c r="K91" s="1">
        <f t="shared" si="17"/>
        <v>-4.996682771637711E-6</v>
      </c>
      <c r="L91" s="1">
        <f t="shared" si="18"/>
        <v>7.5488235264247567E-4</v>
      </c>
      <c r="M91" s="1">
        <f t="shared" si="19"/>
        <v>-2.3627048840415275E-4</v>
      </c>
      <c r="N91" s="1">
        <f t="shared" si="20"/>
        <v>-1.1099592052938853E-4</v>
      </c>
      <c r="O91" s="1">
        <f t="shared" si="21"/>
        <v>-3.2913979899819215E-4</v>
      </c>
      <c r="P91" s="1">
        <f t="shared" si="22"/>
        <v>-1.5462436811054621E-4</v>
      </c>
      <c r="Q91" s="1">
        <f t="shared" si="23"/>
        <v>4.8395852472610338E-5</v>
      </c>
    </row>
    <row r="92" spans="2:17" x14ac:dyDescent="0.3">
      <c r="B92">
        <v>2.8751033929948395E-2</v>
      </c>
      <c r="C92">
        <v>2.764238081252748E-2</v>
      </c>
      <c r="D92">
        <v>2.0304237530814558E-2</v>
      </c>
      <c r="E92">
        <v>9.1688123705782922E-3</v>
      </c>
      <c r="F92">
        <v>2.8063429937620159E-2</v>
      </c>
      <c r="G92">
        <v>0.74940896599999995</v>
      </c>
      <c r="H92" s="1">
        <f t="shared" si="14"/>
        <v>6.2570833172775539E-4</v>
      </c>
      <c r="I92" s="1">
        <f t="shared" si="15"/>
        <v>3.4310910042659534E-4</v>
      </c>
      <c r="J92" s="1">
        <f t="shared" si="16"/>
        <v>1.6653781770402786E-4</v>
      </c>
      <c r="K92" s="1">
        <f t="shared" si="17"/>
        <v>5.5018142102953541E-4</v>
      </c>
      <c r="L92" s="1">
        <f t="shared" si="18"/>
        <v>3.7981790744627634E-4</v>
      </c>
      <c r="M92" s="1">
        <f t="shared" si="19"/>
        <v>1.8435548737229091E-4</v>
      </c>
      <c r="N92" s="1">
        <f t="shared" si="20"/>
        <v>6.0904463271723569E-4</v>
      </c>
      <c r="O92" s="1">
        <f t="shared" si="21"/>
        <v>1.0109190212690825E-4</v>
      </c>
      <c r="P92" s="1">
        <f t="shared" si="22"/>
        <v>3.3397150949586338E-4</v>
      </c>
      <c r="Q92" s="1">
        <f t="shared" si="23"/>
        <v>1.6210262653368527E-4</v>
      </c>
    </row>
    <row r="93" spans="2:17" x14ac:dyDescent="0.3">
      <c r="B93">
        <v>2.1638454668148565E-3</v>
      </c>
      <c r="C93">
        <v>-2.7272674328301258E-2</v>
      </c>
      <c r="D93">
        <v>6.0024732929367291E-3</v>
      </c>
      <c r="E93">
        <v>2.0750597134379187E-3</v>
      </c>
      <c r="F93">
        <v>1.201413235427974E-2</v>
      </c>
      <c r="G93">
        <v>0.76396059599999999</v>
      </c>
      <c r="H93" s="1">
        <f t="shared" si="14"/>
        <v>-1.6409748903447406E-5</v>
      </c>
      <c r="I93" s="1">
        <f t="shared" si="15"/>
        <v>1.5859338831896749E-6</v>
      </c>
      <c r="J93" s="1">
        <f t="shared" si="16"/>
        <v>6.6803824395448048E-7</v>
      </c>
      <c r="K93" s="1">
        <f t="shared" si="17"/>
        <v>7.1512551159800878E-6</v>
      </c>
      <c r="L93" s="1">
        <f t="shared" si="18"/>
        <v>-4.4366889013472066E-5</v>
      </c>
      <c r="M93" s="1">
        <f t="shared" si="19"/>
        <v>-1.8688533576615981E-5</v>
      </c>
      <c r="N93" s="1">
        <f t="shared" si="20"/>
        <v>-2.0005811427623482E-4</v>
      </c>
      <c r="O93" s="1">
        <f t="shared" si="21"/>
        <v>1.8061689304738001E-6</v>
      </c>
      <c r="P93" s="1">
        <f t="shared" si="22"/>
        <v>1.9334783481730063E-5</v>
      </c>
      <c r="Q93" s="1">
        <f t="shared" si="23"/>
        <v>8.1443337211493767E-6</v>
      </c>
    </row>
    <row r="94" spans="2:17" x14ac:dyDescent="0.3">
      <c r="B94">
        <v>8.0871020252952629E-3</v>
      </c>
      <c r="C94">
        <v>4.235595903211737E-2</v>
      </c>
      <c r="D94">
        <v>8.8581344859204846E-3</v>
      </c>
      <c r="E94">
        <v>2.968752587943302E-3</v>
      </c>
      <c r="F94">
        <v>1.2251492255615551E-3</v>
      </c>
      <c r="G94">
        <v>0.77879478199999996</v>
      </c>
      <c r="H94" s="1">
        <f t="shared" si="14"/>
        <v>2.3890448822957977E-4</v>
      </c>
      <c r="I94" s="1">
        <f t="shared" si="15"/>
        <v>2.7667373466916292E-5</v>
      </c>
      <c r="J94" s="1">
        <f t="shared" si="16"/>
        <v>1.0016960830211616E-5</v>
      </c>
      <c r="K94" s="1">
        <f t="shared" si="17"/>
        <v>-5.6258706820156294E-7</v>
      </c>
      <c r="L94" s="1">
        <f t="shared" si="18"/>
        <v>1.8357531550730597E-4</v>
      </c>
      <c r="M94" s="1">
        <f t="shared" si="19"/>
        <v>6.6463365126772069E-5</v>
      </c>
      <c r="N94" s="1">
        <f t="shared" si="20"/>
        <v>-3.7328118142087978E-6</v>
      </c>
      <c r="O94" s="1">
        <f t="shared" si="21"/>
        <v>7.6970791066232695E-6</v>
      </c>
      <c r="P94" s="1">
        <f t="shared" si="22"/>
        <v>-4.3229450945344364E-7</v>
      </c>
      <c r="Q94" s="1">
        <f t="shared" si="23"/>
        <v>-1.5651204381538742E-7</v>
      </c>
    </row>
    <row r="95" spans="2:17" x14ac:dyDescent="0.3">
      <c r="B95">
        <v>-5.9458113458379785E-3</v>
      </c>
      <c r="C95">
        <v>-3.0497840877995164E-2</v>
      </c>
      <c r="D95">
        <v>-2.5956906123979968E-3</v>
      </c>
      <c r="E95">
        <v>-5.5264616615585318E-3</v>
      </c>
      <c r="F95">
        <v>-3.2999260894191695E-2</v>
      </c>
      <c r="G95">
        <v>0.79391701100000001</v>
      </c>
      <c r="H95" s="1">
        <f t="shared" si="14"/>
        <v>1.5929456811953203E-4</v>
      </c>
      <c r="I95" s="1">
        <f t="shared" si="15"/>
        <v>3.5771725651992048E-5</v>
      </c>
      <c r="J95" s="1">
        <f t="shared" si="16"/>
        <v>3.7922578947228483E-5</v>
      </c>
      <c r="K95" s="1">
        <f t="shared" si="17"/>
        <v>1.971514467082556E-4</v>
      </c>
      <c r="L95" s="1">
        <f t="shared" si="18"/>
        <v>1.3717661814440906E-4</v>
      </c>
      <c r="M95" s="1">
        <f t="shared" si="19"/>
        <v>1.4542466253666673E-4</v>
      </c>
      <c r="N95" s="1">
        <f t="shared" si="20"/>
        <v>7.5603198416596769E-4</v>
      </c>
      <c r="O95" s="1">
        <f t="shared" si="21"/>
        <v>3.2657052859401985E-5</v>
      </c>
      <c r="P95" s="1">
        <f t="shared" si="22"/>
        <v>1.697770930985066E-4</v>
      </c>
      <c r="Q95" s="1">
        <f t="shared" si="23"/>
        <v>1.7998531239715404E-4</v>
      </c>
    </row>
    <row r="96" spans="2:17" x14ac:dyDescent="0.3">
      <c r="B96">
        <v>3.3805398073179739E-3</v>
      </c>
      <c r="C96">
        <v>-1.7739989137849455E-2</v>
      </c>
      <c r="D96">
        <v>6.3822756332986244E-2</v>
      </c>
      <c r="E96">
        <v>7.9737502183070642E-4</v>
      </c>
      <c r="F96">
        <v>3.0425239846972568E-2</v>
      </c>
      <c r="G96">
        <v>0.80933287499999995</v>
      </c>
      <c r="H96" s="1">
        <f t="shared" si="14"/>
        <v>-2.5375568868114927E-5</v>
      </c>
      <c r="I96" s="1">
        <f t="shared" si="15"/>
        <v>1.0195418351840392E-4</v>
      </c>
      <c r="J96" s="1">
        <f t="shared" si="16"/>
        <v>-4.738667222138725E-7</v>
      </c>
      <c r="K96" s="1">
        <f t="shared" si="17"/>
        <v>4.9281767281624241E-5</v>
      </c>
      <c r="L96" s="1">
        <f t="shared" si="18"/>
        <v>-7.2975633424671432E-4</v>
      </c>
      <c r="M96" s="1">
        <f t="shared" si="19"/>
        <v>3.3917906081988229E-6</v>
      </c>
      <c r="N96" s="1">
        <f t="shared" si="20"/>
        <v>-3.5274356181907838E-4</v>
      </c>
      <c r="O96" s="1">
        <f t="shared" si="21"/>
        <v>-1.3627566101929544E-5</v>
      </c>
      <c r="P96" s="1">
        <f t="shared" si="22"/>
        <v>1.4172561814693775E-3</v>
      </c>
      <c r="Q96" s="1">
        <f t="shared" si="23"/>
        <v>-6.5871798299381532E-6</v>
      </c>
    </row>
    <row r="97" spans="2:17" x14ac:dyDescent="0.3">
      <c r="B97">
        <v>7.1781796907023311E-3</v>
      </c>
      <c r="C97">
        <v>-5.9338650372366825E-2</v>
      </c>
      <c r="D97">
        <v>1.0795690835861514E-2</v>
      </c>
      <c r="E97">
        <v>-1.5898897262958525E-2</v>
      </c>
      <c r="F97">
        <v>2.2337012568269345E-2</v>
      </c>
      <c r="G97">
        <v>0.82504807700000005</v>
      </c>
      <c r="H97" s="1">
        <f t="shared" si="14"/>
        <v>-2.749763690873435E-4</v>
      </c>
      <c r="I97" s="1">
        <f t="shared" si="15"/>
        <v>3.4809036076819902E-5</v>
      </c>
      <c r="J97" s="1">
        <f t="shared" si="16"/>
        <v>-8.2503743719116463E-5</v>
      </c>
      <c r="K97" s="1">
        <f t="shared" si="17"/>
        <v>1.0208766478543543E-4</v>
      </c>
      <c r="L97" s="1">
        <f t="shared" si="18"/>
        <v>-3.343422207697181E-4</v>
      </c>
      <c r="M97" s="1">
        <f t="shared" si="19"/>
        <v>7.9245184600886399E-4</v>
      </c>
      <c r="N97" s="1">
        <f t="shared" si="20"/>
        <v>-9.8055621196262936E-4</v>
      </c>
      <c r="O97" s="1">
        <f t="shared" si="21"/>
        <v>-1.0031583800607658E-4</v>
      </c>
      <c r="P97" s="1">
        <f t="shared" si="22"/>
        <v>1.2412781749516545E-4</v>
      </c>
      <c r="Q97" s="1">
        <f t="shared" si="23"/>
        <v>-2.9420549366645924E-4</v>
      </c>
    </row>
    <row r="98" spans="2:17" x14ac:dyDescent="0.3">
      <c r="B98">
        <v>6.4662475417593072E-3</v>
      </c>
      <c r="C98">
        <v>4.1177991663464163E-2</v>
      </c>
      <c r="D98">
        <v>-5.9179192825469448E-3</v>
      </c>
      <c r="E98">
        <v>3.0639921957454394E-2</v>
      </c>
      <c r="F98">
        <v>9.3863444055347529E-3</v>
      </c>
      <c r="G98">
        <v>0.84106842800000003</v>
      </c>
      <c r="H98" s="1">
        <f t="shared" si="14"/>
        <v>1.9137350082276583E-4</v>
      </c>
      <c r="I98" s="1">
        <f t="shared" si="15"/>
        <v>-4.1601573452307413E-5</v>
      </c>
      <c r="J98" s="1">
        <f t="shared" si="16"/>
        <v>1.2876376334164085E-4</v>
      </c>
      <c r="K98" s="1">
        <f t="shared" si="17"/>
        <v>3.5084174577016863E-5</v>
      </c>
      <c r="L98" s="1">
        <f t="shared" si="18"/>
        <v>-3.5296089133443463E-4</v>
      </c>
      <c r="M98" s="1">
        <f t="shared" si="19"/>
        <v>1.0924724453690339E-3</v>
      </c>
      <c r="N98" s="1">
        <f t="shared" si="20"/>
        <v>2.9766522039444512E-4</v>
      </c>
      <c r="O98" s="1">
        <f t="shared" si="21"/>
        <v>-2.3748623756813874E-4</v>
      </c>
      <c r="P98" s="1">
        <f t="shared" si="22"/>
        <v>-6.4707712808709087E-5</v>
      </c>
      <c r="Q98" s="1">
        <f t="shared" si="23"/>
        <v>2.0028109340699347E-4</v>
      </c>
    </row>
    <row r="99" spans="2:17" x14ac:dyDescent="0.3">
      <c r="B99">
        <v>1.4199370063001846E-2</v>
      </c>
      <c r="C99">
        <v>-2.6595843820879997E-2</v>
      </c>
      <c r="D99">
        <v>1.131855689973125E-2</v>
      </c>
      <c r="E99">
        <v>1.8598840898641678E-4</v>
      </c>
      <c r="F99">
        <v>1.1169084630167421E-2</v>
      </c>
      <c r="G99">
        <v>0.85739985399999996</v>
      </c>
      <c r="H99" s="1">
        <f t="shared" si="14"/>
        <v>-2.6388334643914063E-4</v>
      </c>
      <c r="I99" s="1">
        <f t="shared" si="15"/>
        <v>8.5079376314209303E-5</v>
      </c>
      <c r="J99" s="1">
        <f t="shared" si="16"/>
        <v>-9.8653839025152593E-6</v>
      </c>
      <c r="K99" s="1">
        <f t="shared" si="17"/>
        <v>1.0890874022943091E-4</v>
      </c>
      <c r="L99" s="1">
        <f t="shared" si="18"/>
        <v>-1.5706554828090978E-4</v>
      </c>
      <c r="M99" s="1">
        <f t="shared" si="19"/>
        <v>1.8212544552838167E-5</v>
      </c>
      <c r="N99" s="1">
        <f t="shared" si="20"/>
        <v>-2.0105708031456108E-4</v>
      </c>
      <c r="O99" s="1">
        <f t="shared" si="21"/>
        <v>-5.8719580169019292E-6</v>
      </c>
      <c r="P99" s="1">
        <f t="shared" si="22"/>
        <v>6.4823382102530117E-5</v>
      </c>
      <c r="Q99" s="1">
        <f t="shared" si="23"/>
        <v>-7.5165989456611804E-6</v>
      </c>
    </row>
    <row r="100" spans="2:17" x14ac:dyDescent="0.3">
      <c r="B100">
        <v>4.4667966065148237E-4</v>
      </c>
      <c r="C100">
        <v>1.3620386839329691E-2</v>
      </c>
      <c r="D100">
        <v>2.0242916302663051E-2</v>
      </c>
      <c r="E100">
        <v>1.8580335222352028E-3</v>
      </c>
      <c r="F100">
        <v>2.2879835396333474E-2</v>
      </c>
      <c r="G100">
        <v>0.87404839499999998</v>
      </c>
      <c r="H100" s="1">
        <f t="shared" si="14"/>
        <v>-1.2039100693212026E-5</v>
      </c>
      <c r="I100" s="1">
        <f t="shared" si="15"/>
        <v>-1.2208026459546443E-5</v>
      </c>
      <c r="J100" s="1">
        <f t="shared" si="16"/>
        <v>-5.7396742234961085E-7</v>
      </c>
      <c r="K100" s="1">
        <f t="shared" si="17"/>
        <v>-1.5838112361976707E-5</v>
      </c>
      <c r="L100" s="1">
        <f t="shared" si="18"/>
        <v>2.3779354194344585E-4</v>
      </c>
      <c r="M100" s="1">
        <f t="shared" si="19"/>
        <v>1.118000086033025E-5</v>
      </c>
      <c r="N100" s="1">
        <f t="shared" si="20"/>
        <v>3.0850202108692349E-4</v>
      </c>
      <c r="O100" s="1">
        <f t="shared" si="21"/>
        <v>1.1336872229801855E-5</v>
      </c>
      <c r="P100" s="1">
        <f t="shared" si="22"/>
        <v>3.1283074477283867E-4</v>
      </c>
      <c r="Q100" s="1">
        <f t="shared" si="23"/>
        <v>1.4707918335855744E-5</v>
      </c>
    </row>
    <row r="101" spans="2:17" x14ac:dyDescent="0.3">
      <c r="B101">
        <v>-1.1306645682238479E-3</v>
      </c>
      <c r="C101">
        <v>3.699043527262539E-2</v>
      </c>
      <c r="D101">
        <v>4.2185032404139948E-2</v>
      </c>
      <c r="E101">
        <v>1.3846740391729543E-2</v>
      </c>
      <c r="F101">
        <v>-1.3537174746278214E-2</v>
      </c>
      <c r="G101">
        <v>0.89102020800000004</v>
      </c>
      <c r="H101" s="1">
        <f t="shared" si="14"/>
        <v>-8.5649536189266116E-5</v>
      </c>
      <c r="I101" s="1">
        <f t="shared" si="15"/>
        <v>-8.3067965907315621E-5</v>
      </c>
      <c r="J101" s="1">
        <f t="shared" si="16"/>
        <v>-2.7514914131467778E-5</v>
      </c>
      <c r="K101" s="1">
        <f t="shared" si="17"/>
        <v>3.2037557796508539E-5</v>
      </c>
      <c r="L101" s="1">
        <f t="shared" si="18"/>
        <v>1.3654173228559224E-3</v>
      </c>
      <c r="M101" s="1">
        <f t="shared" si="19"/>
        <v>4.5227230475244695E-4</v>
      </c>
      <c r="N101" s="1">
        <f t="shared" si="20"/>
        <v>-5.2661258668786147E-4</v>
      </c>
      <c r="O101" s="1">
        <f t="shared" si="21"/>
        <v>4.3864032502148728E-4</v>
      </c>
      <c r="P101" s="1">
        <f t="shared" si="22"/>
        <v>-5.1073990991246955E-4</v>
      </c>
      <c r="Q101" s="1">
        <f t="shared" si="23"/>
        <v>-1.6917429735109922E-4</v>
      </c>
    </row>
    <row r="102" spans="2:17" x14ac:dyDescent="0.3">
      <c r="B102">
        <v>1.2951392667299612E-2</v>
      </c>
      <c r="C102">
        <v>2.3342348293278341E-2</v>
      </c>
      <c r="D102">
        <v>1.5761985727282192E-2</v>
      </c>
      <c r="E102">
        <v>1.1447890127212873E-2</v>
      </c>
      <c r="F102">
        <v>1.3922335251940546E-2</v>
      </c>
      <c r="G102">
        <v>0.90832157099999999</v>
      </c>
      <c r="H102" s="1">
        <f t="shared" si="14"/>
        <v>2.7653377255155699E-4</v>
      </c>
      <c r="I102" s="1">
        <f t="shared" si="15"/>
        <v>1.2849646255800278E-4</v>
      </c>
      <c r="J102" s="1">
        <f t="shared" si="16"/>
        <v>1.098728514781809E-4</v>
      </c>
      <c r="K102" s="1">
        <f t="shared" si="17"/>
        <v>1.3339451682988778E-4</v>
      </c>
      <c r="L102" s="1">
        <f t="shared" si="18"/>
        <v>2.8755420726125626E-4</v>
      </c>
      <c r="M102" s="1">
        <f t="shared" si="19"/>
        <v>2.4587759131564004E-4</v>
      </c>
      <c r="N102" s="1">
        <f t="shared" si="20"/>
        <v>2.9851525696827626E-4</v>
      </c>
      <c r="O102" s="1">
        <f t="shared" si="21"/>
        <v>1.142515086487369E-4</v>
      </c>
      <c r="P102" s="1">
        <f t="shared" si="22"/>
        <v>1.3871056032718461E-4</v>
      </c>
      <c r="Q102" s="1">
        <f t="shared" si="23"/>
        <v>1.1860657087275453E-4</v>
      </c>
    </row>
    <row r="103" spans="2:17" x14ac:dyDescent="0.3">
      <c r="B103">
        <v>-1.1288831482987385E-3</v>
      </c>
      <c r="C103">
        <v>-8.1896719693498269E-3</v>
      </c>
      <c r="D103">
        <v>2.0558774070221251E-2</v>
      </c>
      <c r="E103">
        <v>6.6340383063349679E-4</v>
      </c>
      <c r="F103">
        <v>1.7236555820109401E-2</v>
      </c>
      <c r="G103">
        <v>0.92595888299999995</v>
      </c>
      <c r="H103" s="1">
        <f t="shared" si="14"/>
        <v>1.2150693850834449E-5</v>
      </c>
      <c r="I103" s="1">
        <f t="shared" si="15"/>
        <v>-3.7871607688865392E-5</v>
      </c>
      <c r="J103" s="1">
        <f t="shared" si="16"/>
        <v>9.2572703229257735E-7</v>
      </c>
      <c r="K103" s="1">
        <f t="shared" si="17"/>
        <v>-3.5588746271444182E-5</v>
      </c>
      <c r="L103" s="1">
        <f t="shared" si="18"/>
        <v>-8.510548946722518E-5</v>
      </c>
      <c r="M103" s="1">
        <f t="shared" si="19"/>
        <v>2.080303874172866E-6</v>
      </c>
      <c r="N103" s="1">
        <f t="shared" si="20"/>
        <v>-7.9975418414746555E-5</v>
      </c>
      <c r="O103" s="1">
        <f t="shared" si="21"/>
        <v>-6.483946774026493E-6</v>
      </c>
      <c r="P103" s="1">
        <f t="shared" si="22"/>
        <v>2.4926952387563768E-4</v>
      </c>
      <c r="Q103" s="1">
        <f t="shared" si="23"/>
        <v>-6.0931011557299741E-6</v>
      </c>
    </row>
    <row r="104" spans="2:17" x14ac:dyDescent="0.3">
      <c r="B104">
        <v>-9.3739196083441612E-3</v>
      </c>
      <c r="C104">
        <v>-1.4331121609224822E-2</v>
      </c>
      <c r="D104">
        <v>-5.5748780363376934E-3</v>
      </c>
      <c r="E104">
        <v>1.1350633467750761E-2</v>
      </c>
      <c r="F104">
        <v>-1.1732506652113842E-2</v>
      </c>
      <c r="G104">
        <v>0.94393866800000004</v>
      </c>
      <c r="H104" s="1">
        <f t="shared" si="14"/>
        <v>1.1645630185542059E-4</v>
      </c>
      <c r="I104" s="1">
        <f t="shared" si="15"/>
        <v>9.2670021182829097E-5</v>
      </c>
      <c r="J104" s="1">
        <f t="shared" si="16"/>
        <v>-1.0339068546323856E-4</v>
      </c>
      <c r="K104" s="1">
        <f t="shared" si="17"/>
        <v>1.3147263907482509E-4</v>
      </c>
      <c r="L104" s="1">
        <f t="shared" si="18"/>
        <v>1.0058210321378884E-4</v>
      </c>
      <c r="M104" s="1">
        <f t="shared" si="19"/>
        <v>-1.1221808804911253E-4</v>
      </c>
      <c r="N104" s="1">
        <f t="shared" si="20"/>
        <v>1.4269765329095999E-4</v>
      </c>
      <c r="O104" s="1">
        <f t="shared" si="21"/>
        <v>-8.9297465494983795E-5</v>
      </c>
      <c r="P104" s="1">
        <f t="shared" si="22"/>
        <v>1.1355155833155754E-4</v>
      </c>
      <c r="Q104" s="1">
        <f t="shared" si="23"/>
        <v>-1.2668793317912824E-4</v>
      </c>
    </row>
    <row r="105" spans="2:17" x14ac:dyDescent="0.3">
      <c r="B105">
        <v>-2.0455216448526237E-4</v>
      </c>
      <c r="C105">
        <v>2.2223679507010121E-2</v>
      </c>
      <c r="D105">
        <v>-2.503558216562141E-2</v>
      </c>
      <c r="E105">
        <v>3.0553324227464958E-3</v>
      </c>
      <c r="F105">
        <v>-6.9835863927765768E-3</v>
      </c>
      <c r="G105">
        <v>0.96226757399999996</v>
      </c>
      <c r="H105" s="1">
        <f t="shared" si="14"/>
        <v>-3.58717220170905E-5</v>
      </c>
      <c r="I105" s="1">
        <f t="shared" si="15"/>
        <v>4.1164139018064503E-5</v>
      </c>
      <c r="J105" s="1">
        <f t="shared" si="16"/>
        <v>-2.840396847600712E-6</v>
      </c>
      <c r="K105" s="1">
        <f t="shared" si="17"/>
        <v>1.1939010725705917E-5</v>
      </c>
      <c r="L105" s="1">
        <f t="shared" si="18"/>
        <v>-6.8921134686980611E-4</v>
      </c>
      <c r="M105" s="1">
        <f t="shared" si="19"/>
        <v>4.7556775962702604E-5</v>
      </c>
      <c r="N105" s="1">
        <f t="shared" si="20"/>
        <v>-1.9989490510042819E-4</v>
      </c>
      <c r="O105" s="1">
        <f t="shared" si="21"/>
        <v>-5.4573174269329904E-5</v>
      </c>
      <c r="P105" s="1">
        <f t="shared" si="22"/>
        <v>2.2938685961706833E-4</v>
      </c>
      <c r="Q105" s="1">
        <f t="shared" si="23"/>
        <v>-1.5828090383511275E-5</v>
      </c>
    </row>
    <row r="106" spans="2:17" x14ac:dyDescent="0.3">
      <c r="B106">
        <v>1.9469178150592271E-2</v>
      </c>
      <c r="C106">
        <v>-1.3330571497426585E-2</v>
      </c>
      <c r="D106">
        <v>5.4810117594014995E-2</v>
      </c>
      <c r="E106">
        <v>9.5423360905079191E-3</v>
      </c>
      <c r="F106">
        <v>2.8126693852150709E-2</v>
      </c>
      <c r="G106">
        <v>0.98095238100000004</v>
      </c>
      <c r="H106" s="1">
        <f t="shared" si="14"/>
        <v>-1.8854079504244373E-4</v>
      </c>
      <c r="I106" s="1">
        <f t="shared" si="15"/>
        <v>9.1275115405193305E-4</v>
      </c>
      <c r="J106" s="1">
        <f t="shared" si="16"/>
        <v>1.5097929466043711E-4</v>
      </c>
      <c r="K106" s="1">
        <f t="shared" si="17"/>
        <v>4.7790142939044142E-4</v>
      </c>
      <c r="L106" s="1">
        <f t="shared" si="18"/>
        <v>-5.3069669083661121E-4</v>
      </c>
      <c r="M106" s="1">
        <f t="shared" si="19"/>
        <v>-8.7783194472499976E-5</v>
      </c>
      <c r="N106" s="1">
        <f t="shared" si="20"/>
        <v>-2.7786402240929226E-4</v>
      </c>
      <c r="O106" s="1">
        <f t="shared" si="21"/>
        <v>4.249701611956304E-4</v>
      </c>
      <c r="P106" s="1">
        <f t="shared" si="22"/>
        <v>1.3451768200431072E-3</v>
      </c>
      <c r="Q106" s="1">
        <f t="shared" si="23"/>
        <v>2.2250735765393798E-4</v>
      </c>
    </row>
    <row r="107" spans="2:17" x14ac:dyDescent="0.3">
      <c r="B107">
        <v>8.361711905019862E-3</v>
      </c>
      <c r="C107">
        <v>2.5392318878909551E-3</v>
      </c>
      <c r="D107">
        <v>-1.2774032403062234E-2</v>
      </c>
      <c r="E107">
        <v>5.9277066214738963E-3</v>
      </c>
      <c r="F107">
        <v>-3.0090202126400634E-3</v>
      </c>
      <c r="G107">
        <v>1</v>
      </c>
      <c r="H107" s="1">
        <f t="shared" si="14"/>
        <v>3.7482700085361798E-5</v>
      </c>
      <c r="I107" s="1">
        <f t="shared" si="15"/>
        <v>-1.1606783073344675E-4</v>
      </c>
      <c r="J107" s="1">
        <f t="shared" si="16"/>
        <v>3.4313579247126327E-5</v>
      </c>
      <c r="K107" s="1">
        <f t="shared" si="17"/>
        <v>-3.0704568256832963E-5</v>
      </c>
      <c r="L107" s="1">
        <f t="shared" si="18"/>
        <v>-8.6935709343913028E-5</v>
      </c>
      <c r="M107" s="1">
        <f t="shared" si="19"/>
        <v>2.5701138145919363E-5</v>
      </c>
      <c r="N107" s="1">
        <f t="shared" si="20"/>
        <v>-2.299796080135718E-5</v>
      </c>
      <c r="O107" s="1">
        <f t="shared" si="21"/>
        <v>-7.9585391265409047E-5</v>
      </c>
      <c r="P107" s="1">
        <f t="shared" si="22"/>
        <v>7.1214811511106292E-5</v>
      </c>
      <c r="Q107" s="1">
        <f t="shared" si="23"/>
        <v>-2.1053508650190862E-5</v>
      </c>
    </row>
    <row r="108" spans="2:17" x14ac:dyDescent="0.3">
      <c r="H108" s="1"/>
    </row>
  </sheetData>
  <sortState xmlns:xlrd2="http://schemas.microsoft.com/office/spreadsheetml/2017/richdata2" ref="AG5:AH108">
    <sortCondition descending="1" ref="AG5:AG108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Lavoro 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Matteo Bottinelli</cp:lastModifiedBy>
  <dcterms:created xsi:type="dcterms:W3CDTF">2024-04-07T09:05:11Z</dcterms:created>
  <dcterms:modified xsi:type="dcterms:W3CDTF">2024-04-12T11:44:30Z</dcterms:modified>
</cp:coreProperties>
</file>