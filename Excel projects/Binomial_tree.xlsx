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6DE0919-3203-4374-9394-BB86D332E1A7}" xr6:coauthVersionLast="47" xr6:coauthVersionMax="47" xr10:uidLastSave="{00000000-0000-0000-0000-000000000000}"/>
  <bookViews>
    <workbookView xWindow="-108" yWindow="-108" windowWidth="23256" windowHeight="12576" tabRatio="633" firstSheet="6" activeTab="6" xr2:uid="{00000000-000D-0000-FFFF-FFFF00000000}"/>
  </bookViews>
  <sheets>
    <sheet name="European" sheetId="1" state="hidden" r:id="rId1"/>
    <sheet name="European v2" sheetId="3" state="hidden" r:id="rId2"/>
    <sheet name="Barrier" sheetId="2" state="hidden" r:id="rId3"/>
    <sheet name="European Put" sheetId="6" state="hidden" r:id="rId4"/>
    <sheet name="American Put" sheetId="5" state="hidden" r:id="rId5"/>
    <sheet name="Hedging" sheetId="7" state="hidden" r:id="rId6"/>
    <sheet name="Collar(put strike=0,8)" sheetId="8" r:id="rId7"/>
    <sheet name="Collar(put strike=1)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6" i="10" l="1"/>
  <c r="AA81" i="8"/>
  <c r="Z15" i="8" a="1"/>
  <c r="Z15" i="8" s="1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07" i="10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07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07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K7" i="10"/>
  <c r="P6" i="10"/>
  <c r="F5" i="10"/>
  <c r="C15" i="10" s="1"/>
  <c r="B73" i="8"/>
  <c r="B74" i="8"/>
  <c r="B75" i="8"/>
  <c r="B76" i="8"/>
  <c r="B77" i="8"/>
  <c r="B78" i="8"/>
  <c r="B79" i="8"/>
  <c r="B80" i="8"/>
  <c r="B38" i="8"/>
  <c r="B39" i="8"/>
  <c r="B40" i="8"/>
  <c r="B41" i="8"/>
  <c r="B42" i="8"/>
  <c r="B43" i="8"/>
  <c r="B44" i="8"/>
  <c r="B45" i="8"/>
  <c r="D15" i="10" l="1"/>
  <c r="P7" i="10"/>
  <c r="V6" i="10"/>
  <c r="S6" i="10" s="1"/>
  <c r="V8" i="10"/>
  <c r="P8" i="10"/>
  <c r="S8" i="10"/>
  <c r="F6" i="10"/>
  <c r="Z15" i="5"/>
  <c r="B61" i="8"/>
  <c r="B62" i="8"/>
  <c r="B63" i="8"/>
  <c r="C63" i="8" s="1"/>
  <c r="D63" i="8" s="1"/>
  <c r="B64" i="8"/>
  <c r="C64" i="8" s="1"/>
  <c r="B65" i="8"/>
  <c r="C65" i="8" s="1"/>
  <c r="B66" i="8"/>
  <c r="C66" i="8" s="1"/>
  <c r="B67" i="8"/>
  <c r="B68" i="8"/>
  <c r="B69" i="8"/>
  <c r="B70" i="8"/>
  <c r="B71" i="8"/>
  <c r="B72" i="8"/>
  <c r="C72" i="8" s="1"/>
  <c r="C73" i="8"/>
  <c r="C75" i="8"/>
  <c r="C76" i="8"/>
  <c r="V10" i="8"/>
  <c r="S10" i="8" s="1"/>
  <c r="T10" i="8"/>
  <c r="S9" i="8"/>
  <c r="S8" i="8"/>
  <c r="V8" i="8"/>
  <c r="S7" i="8"/>
  <c r="S6" i="8"/>
  <c r="P10" i="8"/>
  <c r="V9" i="8"/>
  <c r="V7" i="8"/>
  <c r="V6" i="8"/>
  <c r="P10" i="10" l="1"/>
  <c r="V7" i="10"/>
  <c r="S7" i="10" s="1"/>
  <c r="V9" i="10"/>
  <c r="V10" i="10" s="1"/>
  <c r="S10" i="10" s="1"/>
  <c r="S9" i="10"/>
  <c r="T10" i="10" s="1"/>
  <c r="P9" i="10"/>
  <c r="E16" i="10"/>
  <c r="F17" i="10" s="1"/>
  <c r="G18" i="10" s="1"/>
  <c r="H19" i="10" s="1"/>
  <c r="I20" i="10" s="1"/>
  <c r="J21" i="10" s="1"/>
  <c r="K22" i="10" s="1"/>
  <c r="L23" i="10" s="1"/>
  <c r="M24" i="10" s="1"/>
  <c r="N25" i="10" s="1"/>
  <c r="O26" i="10" s="1"/>
  <c r="P27" i="10" s="1"/>
  <c r="Q28" i="10" s="1"/>
  <c r="R29" i="10" s="1"/>
  <c r="S30" i="10" s="1"/>
  <c r="T31" i="10" s="1"/>
  <c r="U32" i="10" s="1"/>
  <c r="E15" i="10"/>
  <c r="C30" i="10"/>
  <c r="D31" i="10" s="1"/>
  <c r="E32" i="10" s="1"/>
  <c r="F33" i="10" s="1"/>
  <c r="G34" i="10" s="1"/>
  <c r="C28" i="10"/>
  <c r="D29" i="10" s="1"/>
  <c r="E30" i="10" s="1"/>
  <c r="F31" i="10" s="1"/>
  <c r="G32" i="10" s="1"/>
  <c r="H33" i="10" s="1"/>
  <c r="I34" i="10" s="1"/>
  <c r="C33" i="10"/>
  <c r="D34" i="10" s="1"/>
  <c r="C27" i="10"/>
  <c r="D28" i="10" s="1"/>
  <c r="E29" i="10" s="1"/>
  <c r="F30" i="10" s="1"/>
  <c r="G31" i="10" s="1"/>
  <c r="H32" i="10" s="1"/>
  <c r="I33" i="10" s="1"/>
  <c r="J34" i="10" s="1"/>
  <c r="C19" i="10"/>
  <c r="D20" i="10" s="1"/>
  <c r="E21" i="10" s="1"/>
  <c r="F22" i="10" s="1"/>
  <c r="G23" i="10" s="1"/>
  <c r="H24" i="10" s="1"/>
  <c r="I25" i="10" s="1"/>
  <c r="J26" i="10" s="1"/>
  <c r="K27" i="10" s="1"/>
  <c r="L28" i="10" s="1"/>
  <c r="M29" i="10" s="1"/>
  <c r="N30" i="10" s="1"/>
  <c r="O31" i="10" s="1"/>
  <c r="P32" i="10" s="1"/>
  <c r="Q33" i="10" s="1"/>
  <c r="R34" i="10" s="1"/>
  <c r="C32" i="10"/>
  <c r="D33" i="10" s="1"/>
  <c r="E34" i="10" s="1"/>
  <c r="C24" i="10"/>
  <c r="D25" i="10" s="1"/>
  <c r="E26" i="10" s="1"/>
  <c r="F27" i="10" s="1"/>
  <c r="G28" i="10" s="1"/>
  <c r="H29" i="10" s="1"/>
  <c r="I30" i="10" s="1"/>
  <c r="J31" i="10" s="1"/>
  <c r="K32" i="10" s="1"/>
  <c r="L33" i="10" s="1"/>
  <c r="M34" i="10" s="1"/>
  <c r="C16" i="10"/>
  <c r="D17" i="10" s="1"/>
  <c r="E18" i="10" s="1"/>
  <c r="F19" i="10" s="1"/>
  <c r="G20" i="10" s="1"/>
  <c r="H21" i="10" s="1"/>
  <c r="I22" i="10" s="1"/>
  <c r="J23" i="10" s="1"/>
  <c r="K24" i="10" s="1"/>
  <c r="L25" i="10" s="1"/>
  <c r="M26" i="10" s="1"/>
  <c r="N27" i="10" s="1"/>
  <c r="O28" i="10" s="1"/>
  <c r="P29" i="10" s="1"/>
  <c r="Q30" i="10" s="1"/>
  <c r="R31" i="10" s="1"/>
  <c r="S32" i="10" s="1"/>
  <c r="T33" i="10" s="1"/>
  <c r="U34" i="10" s="1"/>
  <c r="C29" i="10"/>
  <c r="D30" i="10" s="1"/>
  <c r="E31" i="10" s="1"/>
  <c r="F32" i="10" s="1"/>
  <c r="G33" i="10" s="1"/>
  <c r="H34" i="10" s="1"/>
  <c r="C21" i="10"/>
  <c r="D22" i="10" s="1"/>
  <c r="E23" i="10" s="1"/>
  <c r="F24" i="10" s="1"/>
  <c r="G25" i="10" s="1"/>
  <c r="H26" i="10" s="1"/>
  <c r="I27" i="10" s="1"/>
  <c r="J28" i="10" s="1"/>
  <c r="K29" i="10" s="1"/>
  <c r="L30" i="10" s="1"/>
  <c r="M31" i="10" s="1"/>
  <c r="N32" i="10" s="1"/>
  <c r="O33" i="10" s="1"/>
  <c r="P34" i="10" s="1"/>
  <c r="C26" i="10"/>
  <c r="D27" i="10" s="1"/>
  <c r="E28" i="10" s="1"/>
  <c r="F29" i="10" s="1"/>
  <c r="G30" i="10" s="1"/>
  <c r="H31" i="10" s="1"/>
  <c r="I32" i="10" s="1"/>
  <c r="J33" i="10" s="1"/>
  <c r="K34" i="10" s="1"/>
  <c r="C18" i="10"/>
  <c r="D19" i="10" s="1"/>
  <c r="E20" i="10" s="1"/>
  <c r="F21" i="10" s="1"/>
  <c r="G22" i="10" s="1"/>
  <c r="H23" i="10" s="1"/>
  <c r="I24" i="10" s="1"/>
  <c r="J25" i="10" s="1"/>
  <c r="K26" i="10" s="1"/>
  <c r="L27" i="10" s="1"/>
  <c r="M28" i="10" s="1"/>
  <c r="N29" i="10" s="1"/>
  <c r="O30" i="10" s="1"/>
  <c r="P31" i="10" s="1"/>
  <c r="Q32" i="10" s="1"/>
  <c r="R33" i="10" s="1"/>
  <c r="S34" i="10" s="1"/>
  <c r="C34" i="10"/>
  <c r="C31" i="10"/>
  <c r="D32" i="10" s="1"/>
  <c r="E33" i="10" s="1"/>
  <c r="F34" i="10" s="1"/>
  <c r="C23" i="10"/>
  <c r="D24" i="10" s="1"/>
  <c r="E25" i="10" s="1"/>
  <c r="F26" i="10" s="1"/>
  <c r="G27" i="10" s="1"/>
  <c r="H28" i="10" s="1"/>
  <c r="I29" i="10" s="1"/>
  <c r="J30" i="10" s="1"/>
  <c r="K31" i="10" s="1"/>
  <c r="L32" i="10" s="1"/>
  <c r="M33" i="10" s="1"/>
  <c r="N34" i="10" s="1"/>
  <c r="C25" i="10"/>
  <c r="D26" i="10" s="1"/>
  <c r="E27" i="10" s="1"/>
  <c r="F28" i="10" s="1"/>
  <c r="G29" i="10" s="1"/>
  <c r="H30" i="10" s="1"/>
  <c r="I31" i="10" s="1"/>
  <c r="J32" i="10" s="1"/>
  <c r="K33" i="10" s="1"/>
  <c r="L34" i="10" s="1"/>
  <c r="C17" i="10"/>
  <c r="D18" i="10" s="1"/>
  <c r="E19" i="10" s="1"/>
  <c r="F20" i="10" s="1"/>
  <c r="G21" i="10" s="1"/>
  <c r="H22" i="10" s="1"/>
  <c r="I23" i="10" s="1"/>
  <c r="J24" i="10" s="1"/>
  <c r="K25" i="10" s="1"/>
  <c r="L26" i="10" s="1"/>
  <c r="M27" i="10" s="1"/>
  <c r="N28" i="10" s="1"/>
  <c r="O29" i="10" s="1"/>
  <c r="P30" i="10" s="1"/>
  <c r="Q31" i="10" s="1"/>
  <c r="R32" i="10" s="1"/>
  <c r="S33" i="10" s="1"/>
  <c r="T34" i="10" s="1"/>
  <c r="C22" i="10"/>
  <c r="D23" i="10" s="1"/>
  <c r="E24" i="10" s="1"/>
  <c r="F25" i="10" s="1"/>
  <c r="G26" i="10" s="1"/>
  <c r="H27" i="10" s="1"/>
  <c r="I28" i="10" s="1"/>
  <c r="J29" i="10" s="1"/>
  <c r="K30" i="10" s="1"/>
  <c r="L31" i="10" s="1"/>
  <c r="M32" i="10" s="1"/>
  <c r="N33" i="10" s="1"/>
  <c r="O34" i="10" s="1"/>
  <c r="K5" i="10"/>
  <c r="C20" i="10"/>
  <c r="D21" i="10" s="1"/>
  <c r="E22" i="10" s="1"/>
  <c r="F23" i="10" s="1"/>
  <c r="G24" i="10" s="1"/>
  <c r="H25" i="10" s="1"/>
  <c r="I26" i="10" s="1"/>
  <c r="J27" i="10" s="1"/>
  <c r="K28" i="10" s="1"/>
  <c r="L29" i="10" s="1"/>
  <c r="M30" i="10" s="1"/>
  <c r="N31" i="10" s="1"/>
  <c r="O32" i="10" s="1"/>
  <c r="P33" i="10" s="1"/>
  <c r="Q34" i="10" s="1"/>
  <c r="D16" i="10"/>
  <c r="E17" i="10" s="1"/>
  <c r="F18" i="10" s="1"/>
  <c r="G19" i="10" s="1"/>
  <c r="H20" i="10" s="1"/>
  <c r="I21" i="10" s="1"/>
  <c r="J22" i="10" s="1"/>
  <c r="K23" i="10" s="1"/>
  <c r="L24" i="10" s="1"/>
  <c r="M25" i="10" s="1"/>
  <c r="N26" i="10" s="1"/>
  <c r="O27" i="10" s="1"/>
  <c r="P28" i="10" s="1"/>
  <c r="Q29" i="10" s="1"/>
  <c r="R30" i="10" s="1"/>
  <c r="S31" i="10" s="1"/>
  <c r="T32" i="10" s="1"/>
  <c r="U33" i="10" s="1"/>
  <c r="C78" i="8"/>
  <c r="C61" i="8"/>
  <c r="C62" i="8"/>
  <c r="C70" i="8"/>
  <c r="C79" i="8"/>
  <c r="C74" i="8"/>
  <c r="D64" i="8"/>
  <c r="E63" i="8" s="1"/>
  <c r="D61" i="8"/>
  <c r="D65" i="8"/>
  <c r="D72" i="8"/>
  <c r="D62" i="8"/>
  <c r="E62" i="8" s="1"/>
  <c r="D75" i="8"/>
  <c r="C71" i="8"/>
  <c r="D71" i="8" s="1"/>
  <c r="C77" i="8"/>
  <c r="C69" i="8"/>
  <c r="C68" i="8"/>
  <c r="C67" i="8"/>
  <c r="D67" i="8" s="1"/>
  <c r="P6" i="8"/>
  <c r="P8" i="8" s="1"/>
  <c r="K7" i="8"/>
  <c r="K7" i="6"/>
  <c r="F5" i="6"/>
  <c r="F6" i="6" s="1"/>
  <c r="K5" i="6" s="1"/>
  <c r="K6" i="6" s="1"/>
  <c r="F5" i="8"/>
  <c r="F6" i="8" s="1"/>
  <c r="K7" i="5"/>
  <c r="F5" i="5"/>
  <c r="C15" i="5" s="1"/>
  <c r="K26" i="1"/>
  <c r="F24" i="1"/>
  <c r="C33" i="1" s="1"/>
  <c r="K7" i="1"/>
  <c r="F5" i="1"/>
  <c r="C14" i="1" s="1"/>
  <c r="P6" i="7"/>
  <c r="P8" i="7" s="1"/>
  <c r="R9" i="1"/>
  <c r="R11" i="1" s="1"/>
  <c r="B80" i="10" l="1"/>
  <c r="B57" i="10"/>
  <c r="F15" i="10"/>
  <c r="F16" i="10"/>
  <c r="G17" i="10" s="1"/>
  <c r="H18" i="10" s="1"/>
  <c r="I19" i="10" s="1"/>
  <c r="J20" i="10" s="1"/>
  <c r="K21" i="10" s="1"/>
  <c r="L22" i="10" s="1"/>
  <c r="M23" i="10" s="1"/>
  <c r="N24" i="10" s="1"/>
  <c r="O25" i="10" s="1"/>
  <c r="P26" i="10" s="1"/>
  <c r="Q27" i="10" s="1"/>
  <c r="R28" i="10" s="1"/>
  <c r="S29" i="10" s="1"/>
  <c r="T30" i="10" s="1"/>
  <c r="U31" i="10" s="1"/>
  <c r="K6" i="10"/>
  <c r="B78" i="10"/>
  <c r="B55" i="10"/>
  <c r="C55" i="10" s="1"/>
  <c r="B79" i="10"/>
  <c r="B56" i="10"/>
  <c r="C56" i="10" s="1"/>
  <c r="D77" i="8"/>
  <c r="D73" i="8"/>
  <c r="E72" i="8"/>
  <c r="D74" i="8"/>
  <c r="E71" i="8"/>
  <c r="D78" i="8"/>
  <c r="E64" i="8"/>
  <c r="F63" i="8" s="1"/>
  <c r="D68" i="8"/>
  <c r="E68" i="8" s="1"/>
  <c r="D69" i="8"/>
  <c r="D76" i="8"/>
  <c r="D66" i="8"/>
  <c r="E66" i="8" s="1"/>
  <c r="E61" i="8"/>
  <c r="F61" i="8" s="1"/>
  <c r="F62" i="8"/>
  <c r="D70" i="8"/>
  <c r="E70" i="8" s="1"/>
  <c r="P7" i="8"/>
  <c r="P9" i="8" s="1"/>
  <c r="K5" i="8"/>
  <c r="C30" i="8"/>
  <c r="C27" i="8"/>
  <c r="C22" i="8"/>
  <c r="C19" i="8"/>
  <c r="C32" i="8"/>
  <c r="C24" i="8"/>
  <c r="C29" i="8"/>
  <c r="C21" i="8"/>
  <c r="C34" i="8"/>
  <c r="C26" i="8"/>
  <c r="C18" i="8"/>
  <c r="C31" i="8"/>
  <c r="C23" i="8"/>
  <c r="C28" i="8"/>
  <c r="C20" i="8"/>
  <c r="C33" i="8"/>
  <c r="C25" i="8"/>
  <c r="C17" i="8"/>
  <c r="C16" i="8"/>
  <c r="C15" i="8"/>
  <c r="D15" i="5"/>
  <c r="F6" i="5"/>
  <c r="D16" i="5" s="1"/>
  <c r="E17" i="5" s="1"/>
  <c r="F18" i="5" s="1"/>
  <c r="G19" i="5" s="1"/>
  <c r="H20" i="5" s="1"/>
  <c r="I21" i="5" s="1"/>
  <c r="J22" i="5" s="1"/>
  <c r="K23" i="5" s="1"/>
  <c r="L24" i="5" s="1"/>
  <c r="M25" i="5" s="1"/>
  <c r="N26" i="5" s="1"/>
  <c r="O27" i="5" s="1"/>
  <c r="P28" i="5" s="1"/>
  <c r="Q29" i="5" s="1"/>
  <c r="R30" i="5" s="1"/>
  <c r="S31" i="5" s="1"/>
  <c r="T32" i="5" s="1"/>
  <c r="U33" i="5" s="1"/>
  <c r="W33" i="5" s="1"/>
  <c r="Y33" i="5" s="1"/>
  <c r="D14" i="1"/>
  <c r="D33" i="1"/>
  <c r="F25" i="1"/>
  <c r="D34" i="1" s="1"/>
  <c r="E35" i="1" s="1"/>
  <c r="F36" i="1" s="1"/>
  <c r="G37" i="1" s="1"/>
  <c r="H38" i="1" s="1"/>
  <c r="I39" i="1" s="1"/>
  <c r="J40" i="1" s="1"/>
  <c r="K41" i="1" s="1"/>
  <c r="L42" i="1" s="1"/>
  <c r="M43" i="1" s="1"/>
  <c r="N44" i="1" s="1"/>
  <c r="O45" i="1" s="1"/>
  <c r="P46" i="1" s="1"/>
  <c r="Q47" i="1" s="1"/>
  <c r="R48" i="1" s="1"/>
  <c r="S49" i="1" s="1"/>
  <c r="T50" i="1" s="1"/>
  <c r="U51" i="1" s="1"/>
  <c r="W51" i="1" s="1"/>
  <c r="Y51" i="1" s="1"/>
  <c r="F6" i="1"/>
  <c r="P7" i="7"/>
  <c r="P9" i="7" s="1"/>
  <c r="P10" i="7" s="1"/>
  <c r="R10" i="1"/>
  <c r="R12" i="1" s="1"/>
  <c r="R13" i="1" s="1"/>
  <c r="C79" i="10" l="1"/>
  <c r="C78" i="10"/>
  <c r="D55" i="10"/>
  <c r="D78" i="10"/>
  <c r="B77" i="10"/>
  <c r="B54" i="10"/>
  <c r="C54" i="10" s="1"/>
  <c r="D54" i="10" s="1"/>
  <c r="G15" i="10"/>
  <c r="G16" i="10"/>
  <c r="H17" i="10" s="1"/>
  <c r="I18" i="10" s="1"/>
  <c r="J19" i="10" s="1"/>
  <c r="K20" i="10" s="1"/>
  <c r="L21" i="10" s="1"/>
  <c r="M22" i="10" s="1"/>
  <c r="N23" i="10" s="1"/>
  <c r="O24" i="10" s="1"/>
  <c r="P25" i="10" s="1"/>
  <c r="Q26" i="10" s="1"/>
  <c r="R27" i="10" s="1"/>
  <c r="S28" i="10" s="1"/>
  <c r="T29" i="10" s="1"/>
  <c r="U30" i="10" s="1"/>
  <c r="E76" i="8"/>
  <c r="E74" i="8"/>
  <c r="F71" i="8"/>
  <c r="F70" i="8"/>
  <c r="E77" i="8"/>
  <c r="G61" i="8"/>
  <c r="E73" i="8"/>
  <c r="E75" i="8"/>
  <c r="E69" i="8"/>
  <c r="E67" i="8"/>
  <c r="F67" i="8" s="1"/>
  <c r="E65" i="8"/>
  <c r="F65" i="8" s="1"/>
  <c r="G62" i="8"/>
  <c r="D26" i="8"/>
  <c r="D24" i="8"/>
  <c r="D33" i="8"/>
  <c r="D17" i="8"/>
  <c r="D19" i="8"/>
  <c r="D18" i="8"/>
  <c r="D27" i="8"/>
  <c r="D28" i="8"/>
  <c r="D34" i="8"/>
  <c r="D22" i="8"/>
  <c r="D31" i="8"/>
  <c r="D21" i="8"/>
  <c r="D30" i="8"/>
  <c r="D29" i="8"/>
  <c r="D25" i="8"/>
  <c r="D32" i="8"/>
  <c r="D20" i="8"/>
  <c r="D23" i="8"/>
  <c r="K6" i="8"/>
  <c r="D15" i="8"/>
  <c r="D16" i="8"/>
  <c r="E15" i="5"/>
  <c r="E16" i="5"/>
  <c r="F17" i="5" s="1"/>
  <c r="G18" i="5" s="1"/>
  <c r="H19" i="5" s="1"/>
  <c r="I20" i="5" s="1"/>
  <c r="J21" i="5" s="1"/>
  <c r="K22" i="5" s="1"/>
  <c r="L23" i="5" s="1"/>
  <c r="M24" i="5" s="1"/>
  <c r="N25" i="5" s="1"/>
  <c r="O26" i="5" s="1"/>
  <c r="P27" i="5" s="1"/>
  <c r="Q28" i="5" s="1"/>
  <c r="R29" i="5" s="1"/>
  <c r="S30" i="5" s="1"/>
  <c r="T31" i="5" s="1"/>
  <c r="U32" i="5" s="1"/>
  <c r="W32" i="5" s="1"/>
  <c r="Y32" i="5" s="1"/>
  <c r="D28" i="5"/>
  <c r="E29" i="5" s="1"/>
  <c r="F30" i="5" s="1"/>
  <c r="G31" i="5" s="1"/>
  <c r="H32" i="5" s="1"/>
  <c r="I33" i="5" s="1"/>
  <c r="J34" i="5" s="1"/>
  <c r="K5" i="5"/>
  <c r="D19" i="5"/>
  <c r="E20" i="5" s="1"/>
  <c r="F21" i="5" s="1"/>
  <c r="G22" i="5" s="1"/>
  <c r="H23" i="5" s="1"/>
  <c r="I24" i="5" s="1"/>
  <c r="J25" i="5" s="1"/>
  <c r="K26" i="5" s="1"/>
  <c r="L27" i="5" s="1"/>
  <c r="M28" i="5" s="1"/>
  <c r="N29" i="5" s="1"/>
  <c r="O30" i="5" s="1"/>
  <c r="P31" i="5" s="1"/>
  <c r="Q32" i="5" s="1"/>
  <c r="R33" i="5" s="1"/>
  <c r="S34" i="5" s="1"/>
  <c r="D21" i="5"/>
  <c r="E22" i="5" s="1"/>
  <c r="F23" i="5" s="1"/>
  <c r="G24" i="5" s="1"/>
  <c r="H25" i="5" s="1"/>
  <c r="I26" i="5" s="1"/>
  <c r="J27" i="5" s="1"/>
  <c r="K28" i="5" s="1"/>
  <c r="L29" i="5" s="1"/>
  <c r="M30" i="5" s="1"/>
  <c r="N31" i="5" s="1"/>
  <c r="O32" i="5" s="1"/>
  <c r="P33" i="5" s="1"/>
  <c r="Q34" i="5" s="1"/>
  <c r="D24" i="5"/>
  <c r="E25" i="5" s="1"/>
  <c r="F26" i="5" s="1"/>
  <c r="G27" i="5" s="1"/>
  <c r="H28" i="5" s="1"/>
  <c r="I29" i="5" s="1"/>
  <c r="J30" i="5" s="1"/>
  <c r="K31" i="5" s="1"/>
  <c r="L32" i="5" s="1"/>
  <c r="M33" i="5" s="1"/>
  <c r="N34" i="5" s="1"/>
  <c r="D29" i="5"/>
  <c r="E30" i="5" s="1"/>
  <c r="F31" i="5" s="1"/>
  <c r="G32" i="5" s="1"/>
  <c r="H33" i="5" s="1"/>
  <c r="I34" i="5" s="1"/>
  <c r="D34" i="5"/>
  <c r="D20" i="5"/>
  <c r="E21" i="5" s="1"/>
  <c r="F22" i="5" s="1"/>
  <c r="G23" i="5" s="1"/>
  <c r="H24" i="5" s="1"/>
  <c r="I25" i="5" s="1"/>
  <c r="J26" i="5" s="1"/>
  <c r="K27" i="5" s="1"/>
  <c r="L28" i="5" s="1"/>
  <c r="M29" i="5" s="1"/>
  <c r="N30" i="5" s="1"/>
  <c r="O31" i="5" s="1"/>
  <c r="P32" i="5" s="1"/>
  <c r="Q33" i="5" s="1"/>
  <c r="R34" i="5" s="1"/>
  <c r="D33" i="5"/>
  <c r="E34" i="5" s="1"/>
  <c r="D18" i="5"/>
  <c r="E19" i="5" s="1"/>
  <c r="F20" i="5" s="1"/>
  <c r="G21" i="5" s="1"/>
  <c r="H22" i="5" s="1"/>
  <c r="I23" i="5" s="1"/>
  <c r="J24" i="5" s="1"/>
  <c r="K25" i="5" s="1"/>
  <c r="L26" i="5" s="1"/>
  <c r="M27" i="5" s="1"/>
  <c r="N28" i="5" s="1"/>
  <c r="O29" i="5" s="1"/>
  <c r="P30" i="5" s="1"/>
  <c r="Q31" i="5" s="1"/>
  <c r="R32" i="5" s="1"/>
  <c r="S33" i="5" s="1"/>
  <c r="T34" i="5" s="1"/>
  <c r="D25" i="5"/>
  <c r="E26" i="5" s="1"/>
  <c r="F27" i="5" s="1"/>
  <c r="G28" i="5" s="1"/>
  <c r="H29" i="5" s="1"/>
  <c r="I30" i="5" s="1"/>
  <c r="J31" i="5" s="1"/>
  <c r="K32" i="5" s="1"/>
  <c r="L33" i="5" s="1"/>
  <c r="M34" i="5" s="1"/>
  <c r="D30" i="5"/>
  <c r="E31" i="5" s="1"/>
  <c r="F32" i="5" s="1"/>
  <c r="G33" i="5" s="1"/>
  <c r="H34" i="5" s="1"/>
  <c r="D22" i="5"/>
  <c r="E23" i="5" s="1"/>
  <c r="F24" i="5" s="1"/>
  <c r="G25" i="5" s="1"/>
  <c r="H26" i="5" s="1"/>
  <c r="I27" i="5" s="1"/>
  <c r="J28" i="5" s="1"/>
  <c r="K29" i="5" s="1"/>
  <c r="L30" i="5" s="1"/>
  <c r="M31" i="5" s="1"/>
  <c r="N32" i="5" s="1"/>
  <c r="O33" i="5" s="1"/>
  <c r="P34" i="5" s="1"/>
  <c r="D26" i="5"/>
  <c r="E27" i="5" s="1"/>
  <c r="F28" i="5" s="1"/>
  <c r="G29" i="5" s="1"/>
  <c r="H30" i="5" s="1"/>
  <c r="I31" i="5" s="1"/>
  <c r="J32" i="5" s="1"/>
  <c r="K33" i="5" s="1"/>
  <c r="L34" i="5" s="1"/>
  <c r="D31" i="5"/>
  <c r="E32" i="5" s="1"/>
  <c r="F33" i="5" s="1"/>
  <c r="G34" i="5" s="1"/>
  <c r="D27" i="5"/>
  <c r="E28" i="5" s="1"/>
  <c r="F29" i="5" s="1"/>
  <c r="G30" i="5" s="1"/>
  <c r="H31" i="5" s="1"/>
  <c r="I32" i="5" s="1"/>
  <c r="J33" i="5" s="1"/>
  <c r="K34" i="5" s="1"/>
  <c r="C16" i="5"/>
  <c r="D17" i="5" s="1"/>
  <c r="E18" i="5" s="1"/>
  <c r="F19" i="5" s="1"/>
  <c r="G20" i="5" s="1"/>
  <c r="H21" i="5" s="1"/>
  <c r="I22" i="5" s="1"/>
  <c r="J23" i="5" s="1"/>
  <c r="K24" i="5" s="1"/>
  <c r="L25" i="5" s="1"/>
  <c r="M26" i="5" s="1"/>
  <c r="N27" i="5" s="1"/>
  <c r="O28" i="5" s="1"/>
  <c r="P29" i="5" s="1"/>
  <c r="Q30" i="5" s="1"/>
  <c r="R31" i="5" s="1"/>
  <c r="S32" i="5" s="1"/>
  <c r="T33" i="5" s="1"/>
  <c r="U34" i="5" s="1"/>
  <c r="W34" i="5" s="1"/>
  <c r="Y34" i="5" s="1"/>
  <c r="D23" i="5"/>
  <c r="E24" i="5" s="1"/>
  <c r="F25" i="5" s="1"/>
  <c r="G26" i="5" s="1"/>
  <c r="H27" i="5" s="1"/>
  <c r="I28" i="5" s="1"/>
  <c r="J29" i="5" s="1"/>
  <c r="K30" i="5" s="1"/>
  <c r="L31" i="5" s="1"/>
  <c r="M32" i="5" s="1"/>
  <c r="N33" i="5" s="1"/>
  <c r="O34" i="5" s="1"/>
  <c r="D32" i="5"/>
  <c r="E33" i="5" s="1"/>
  <c r="F34" i="5" s="1"/>
  <c r="E33" i="1"/>
  <c r="E34" i="1"/>
  <c r="F35" i="1" s="1"/>
  <c r="G36" i="1" s="1"/>
  <c r="H37" i="1" s="1"/>
  <c r="I38" i="1" s="1"/>
  <c r="J39" i="1" s="1"/>
  <c r="K40" i="1" s="1"/>
  <c r="L41" i="1" s="1"/>
  <c r="M42" i="1" s="1"/>
  <c r="N43" i="1" s="1"/>
  <c r="O44" i="1" s="1"/>
  <c r="P45" i="1" s="1"/>
  <c r="Q46" i="1" s="1"/>
  <c r="R47" i="1" s="1"/>
  <c r="S48" i="1" s="1"/>
  <c r="T49" i="1" s="1"/>
  <c r="U50" i="1" s="1"/>
  <c r="W50" i="1" s="1"/>
  <c r="Y50" i="1" s="1"/>
  <c r="C15" i="1"/>
  <c r="D16" i="1" s="1"/>
  <c r="E17" i="1" s="1"/>
  <c r="F18" i="1" s="1"/>
  <c r="H18" i="1" s="1"/>
  <c r="J18" i="1" s="1"/>
  <c r="K5" i="1"/>
  <c r="C16" i="1"/>
  <c r="D17" i="1" s="1"/>
  <c r="E18" i="1" s="1"/>
  <c r="C18" i="1"/>
  <c r="C17" i="1"/>
  <c r="D18" i="1" s="1"/>
  <c r="E14" i="1"/>
  <c r="E15" i="1"/>
  <c r="F16" i="1" s="1"/>
  <c r="H16" i="1" s="1"/>
  <c r="J16" i="1" s="1"/>
  <c r="E44" i="1"/>
  <c r="F45" i="1" s="1"/>
  <c r="G46" i="1" s="1"/>
  <c r="H47" i="1" s="1"/>
  <c r="I48" i="1" s="1"/>
  <c r="J49" i="1" s="1"/>
  <c r="K50" i="1" s="1"/>
  <c r="L51" i="1" s="1"/>
  <c r="M52" i="1" s="1"/>
  <c r="K24" i="1"/>
  <c r="E40" i="1"/>
  <c r="F41" i="1" s="1"/>
  <c r="G42" i="1" s="1"/>
  <c r="H43" i="1" s="1"/>
  <c r="I44" i="1" s="1"/>
  <c r="J45" i="1" s="1"/>
  <c r="K46" i="1" s="1"/>
  <c r="L47" i="1" s="1"/>
  <c r="M48" i="1" s="1"/>
  <c r="N49" i="1" s="1"/>
  <c r="O50" i="1" s="1"/>
  <c r="P51" i="1" s="1"/>
  <c r="Q52" i="1" s="1"/>
  <c r="E48" i="1"/>
  <c r="F49" i="1" s="1"/>
  <c r="G50" i="1" s="1"/>
  <c r="H51" i="1" s="1"/>
  <c r="I52" i="1" s="1"/>
  <c r="E45" i="1"/>
  <c r="F46" i="1" s="1"/>
  <c r="G47" i="1" s="1"/>
  <c r="H48" i="1" s="1"/>
  <c r="I49" i="1" s="1"/>
  <c r="J50" i="1" s="1"/>
  <c r="K51" i="1" s="1"/>
  <c r="L52" i="1" s="1"/>
  <c r="E39" i="1"/>
  <c r="F40" i="1" s="1"/>
  <c r="G41" i="1" s="1"/>
  <c r="H42" i="1" s="1"/>
  <c r="I43" i="1" s="1"/>
  <c r="J44" i="1" s="1"/>
  <c r="K45" i="1" s="1"/>
  <c r="L46" i="1" s="1"/>
  <c r="M47" i="1" s="1"/>
  <c r="N48" i="1" s="1"/>
  <c r="O49" i="1" s="1"/>
  <c r="P50" i="1" s="1"/>
  <c r="Q51" i="1" s="1"/>
  <c r="R52" i="1" s="1"/>
  <c r="E50" i="1"/>
  <c r="F51" i="1" s="1"/>
  <c r="G52" i="1" s="1"/>
  <c r="E49" i="1"/>
  <c r="F50" i="1" s="1"/>
  <c r="G51" i="1" s="1"/>
  <c r="H52" i="1" s="1"/>
  <c r="E37" i="1"/>
  <c r="F38" i="1" s="1"/>
  <c r="G39" i="1" s="1"/>
  <c r="H40" i="1" s="1"/>
  <c r="I41" i="1" s="1"/>
  <c r="J42" i="1" s="1"/>
  <c r="K43" i="1" s="1"/>
  <c r="L44" i="1" s="1"/>
  <c r="M45" i="1" s="1"/>
  <c r="N46" i="1" s="1"/>
  <c r="O47" i="1" s="1"/>
  <c r="P48" i="1" s="1"/>
  <c r="Q49" i="1" s="1"/>
  <c r="R50" i="1" s="1"/>
  <c r="S51" i="1" s="1"/>
  <c r="T52" i="1" s="1"/>
  <c r="E41" i="1"/>
  <c r="F42" i="1" s="1"/>
  <c r="G43" i="1" s="1"/>
  <c r="H44" i="1" s="1"/>
  <c r="I45" i="1" s="1"/>
  <c r="J46" i="1" s="1"/>
  <c r="K47" i="1" s="1"/>
  <c r="L48" i="1" s="1"/>
  <c r="M49" i="1" s="1"/>
  <c r="N50" i="1" s="1"/>
  <c r="O51" i="1" s="1"/>
  <c r="P52" i="1" s="1"/>
  <c r="E46" i="1"/>
  <c r="F47" i="1" s="1"/>
  <c r="G48" i="1" s="1"/>
  <c r="H49" i="1" s="1"/>
  <c r="I50" i="1" s="1"/>
  <c r="J51" i="1" s="1"/>
  <c r="K52" i="1" s="1"/>
  <c r="C34" i="1"/>
  <c r="D35" i="1" s="1"/>
  <c r="E36" i="1" s="1"/>
  <c r="F37" i="1" s="1"/>
  <c r="G38" i="1" s="1"/>
  <c r="H39" i="1" s="1"/>
  <c r="I40" i="1" s="1"/>
  <c r="J41" i="1" s="1"/>
  <c r="K42" i="1" s="1"/>
  <c r="L43" i="1" s="1"/>
  <c r="M44" i="1" s="1"/>
  <c r="N45" i="1" s="1"/>
  <c r="O46" i="1" s="1"/>
  <c r="P47" i="1" s="1"/>
  <c r="Q48" i="1" s="1"/>
  <c r="R49" i="1" s="1"/>
  <c r="S50" i="1" s="1"/>
  <c r="T51" i="1" s="1"/>
  <c r="U52" i="1" s="1"/>
  <c r="W52" i="1" s="1"/>
  <c r="Y52" i="1" s="1"/>
  <c r="E47" i="1"/>
  <c r="F48" i="1" s="1"/>
  <c r="G49" i="1" s="1"/>
  <c r="H50" i="1" s="1"/>
  <c r="I51" i="1" s="1"/>
  <c r="J52" i="1" s="1"/>
  <c r="E43" i="1"/>
  <c r="F44" i="1" s="1"/>
  <c r="G45" i="1" s="1"/>
  <c r="H46" i="1" s="1"/>
  <c r="I47" i="1" s="1"/>
  <c r="J48" i="1" s="1"/>
  <c r="K49" i="1" s="1"/>
  <c r="L50" i="1" s="1"/>
  <c r="M51" i="1" s="1"/>
  <c r="N52" i="1" s="1"/>
  <c r="E52" i="1"/>
  <c r="E38" i="1"/>
  <c r="F39" i="1" s="1"/>
  <c r="G40" i="1" s="1"/>
  <c r="H41" i="1" s="1"/>
  <c r="I42" i="1" s="1"/>
  <c r="J43" i="1" s="1"/>
  <c r="K44" i="1" s="1"/>
  <c r="L45" i="1" s="1"/>
  <c r="M46" i="1" s="1"/>
  <c r="N47" i="1" s="1"/>
  <c r="O48" i="1" s="1"/>
  <c r="P49" i="1" s="1"/>
  <c r="Q50" i="1" s="1"/>
  <c r="R51" i="1" s="1"/>
  <c r="S52" i="1" s="1"/>
  <c r="E42" i="1"/>
  <c r="F43" i="1" s="1"/>
  <c r="G44" i="1" s="1"/>
  <c r="H45" i="1" s="1"/>
  <c r="I46" i="1" s="1"/>
  <c r="J47" i="1" s="1"/>
  <c r="K48" i="1" s="1"/>
  <c r="L49" i="1" s="1"/>
  <c r="M50" i="1" s="1"/>
  <c r="N51" i="1" s="1"/>
  <c r="O52" i="1" s="1"/>
  <c r="E51" i="1"/>
  <c r="F52" i="1" s="1"/>
  <c r="D15" i="1"/>
  <c r="E16" i="1" s="1"/>
  <c r="F17" i="1" s="1"/>
  <c r="H17" i="1" s="1"/>
  <c r="J17" i="1" s="1"/>
  <c r="B76" i="10" l="1"/>
  <c r="B53" i="10"/>
  <c r="C53" i="10" s="1"/>
  <c r="D53" i="10" s="1"/>
  <c r="E53" i="10" s="1"/>
  <c r="F53" i="10" s="1"/>
  <c r="H15" i="10"/>
  <c r="H16" i="10"/>
  <c r="I17" i="10" s="1"/>
  <c r="J18" i="10" s="1"/>
  <c r="K19" i="10" s="1"/>
  <c r="L20" i="10" s="1"/>
  <c r="M21" i="10" s="1"/>
  <c r="N22" i="10" s="1"/>
  <c r="O23" i="10" s="1"/>
  <c r="P24" i="10" s="1"/>
  <c r="Q25" i="10" s="1"/>
  <c r="R26" i="10" s="1"/>
  <c r="S27" i="10" s="1"/>
  <c r="T28" i="10" s="1"/>
  <c r="U29" i="10" s="1"/>
  <c r="E54" i="10"/>
  <c r="C77" i="10"/>
  <c r="F76" i="8"/>
  <c r="F73" i="8"/>
  <c r="G70" i="8"/>
  <c r="F66" i="8"/>
  <c r="G66" i="8" s="1"/>
  <c r="F72" i="8"/>
  <c r="F64" i="8"/>
  <c r="F69" i="8"/>
  <c r="F68" i="8"/>
  <c r="G68" i="8" s="1"/>
  <c r="F75" i="8"/>
  <c r="F74" i="8"/>
  <c r="H61" i="8"/>
  <c r="E19" i="8"/>
  <c r="E33" i="8"/>
  <c r="E31" i="8"/>
  <c r="E20" i="8"/>
  <c r="E22" i="8"/>
  <c r="E18" i="8"/>
  <c r="E24" i="8"/>
  <c r="E26" i="8"/>
  <c r="E32" i="8"/>
  <c r="E28" i="8"/>
  <c r="E34" i="8"/>
  <c r="E21" i="8"/>
  <c r="E30" i="8"/>
  <c r="E23" i="8"/>
  <c r="E29" i="8"/>
  <c r="E17" i="8"/>
  <c r="E25" i="8"/>
  <c r="E27" i="8"/>
  <c r="E15" i="8"/>
  <c r="E16" i="8"/>
  <c r="K25" i="1"/>
  <c r="Z51" i="1" s="1"/>
  <c r="K6" i="5"/>
  <c r="Z33" i="5" s="1"/>
  <c r="F15" i="5"/>
  <c r="F16" i="5"/>
  <c r="G17" i="5" s="1"/>
  <c r="H18" i="5" s="1"/>
  <c r="I19" i="5" s="1"/>
  <c r="J20" i="5" s="1"/>
  <c r="K21" i="5" s="1"/>
  <c r="L22" i="5" s="1"/>
  <c r="M23" i="5" s="1"/>
  <c r="N24" i="5" s="1"/>
  <c r="O25" i="5" s="1"/>
  <c r="P26" i="5" s="1"/>
  <c r="Q27" i="5" s="1"/>
  <c r="R28" i="5" s="1"/>
  <c r="S29" i="5" s="1"/>
  <c r="T30" i="5" s="1"/>
  <c r="U31" i="5" s="1"/>
  <c r="W31" i="5" s="1"/>
  <c r="Y31" i="5" s="1"/>
  <c r="K6" i="1"/>
  <c r="K16" i="1" s="1"/>
  <c r="F14" i="1"/>
  <c r="H14" i="1" s="1"/>
  <c r="J14" i="1" s="1"/>
  <c r="F15" i="1"/>
  <c r="H15" i="1" s="1"/>
  <c r="J15" i="1" s="1"/>
  <c r="F33" i="1"/>
  <c r="F34" i="1"/>
  <c r="G35" i="1" s="1"/>
  <c r="H36" i="1" s="1"/>
  <c r="I37" i="1" s="1"/>
  <c r="J38" i="1" s="1"/>
  <c r="K39" i="1" s="1"/>
  <c r="L40" i="1" s="1"/>
  <c r="M41" i="1" s="1"/>
  <c r="N42" i="1" s="1"/>
  <c r="O43" i="1" s="1"/>
  <c r="P44" i="1" s="1"/>
  <c r="Q45" i="1" s="1"/>
  <c r="R46" i="1" s="1"/>
  <c r="S47" i="1" s="1"/>
  <c r="T48" i="1" s="1"/>
  <c r="U49" i="1" s="1"/>
  <c r="W49" i="1" s="1"/>
  <c r="Y49" i="1" s="1"/>
  <c r="D77" i="10" l="1"/>
  <c r="C76" i="10"/>
  <c r="B75" i="10"/>
  <c r="B52" i="10"/>
  <c r="C52" i="10" s="1"/>
  <c r="D52" i="10" s="1"/>
  <c r="E52" i="10" s="1"/>
  <c r="F52" i="10" s="1"/>
  <c r="G52" i="10" s="1"/>
  <c r="I16" i="10"/>
  <c r="J17" i="10" s="1"/>
  <c r="K18" i="10" s="1"/>
  <c r="L19" i="10" s="1"/>
  <c r="M20" i="10" s="1"/>
  <c r="N21" i="10" s="1"/>
  <c r="O22" i="10" s="1"/>
  <c r="P23" i="10" s="1"/>
  <c r="Q24" i="10" s="1"/>
  <c r="R25" i="10" s="1"/>
  <c r="S26" i="10" s="1"/>
  <c r="T27" i="10" s="1"/>
  <c r="U28" i="10" s="1"/>
  <c r="I15" i="10"/>
  <c r="G75" i="8"/>
  <c r="G69" i="8"/>
  <c r="G71" i="8"/>
  <c r="G72" i="8"/>
  <c r="G65" i="8"/>
  <c r="H65" i="8" s="1"/>
  <c r="G74" i="8"/>
  <c r="G73" i="8"/>
  <c r="G64" i="8"/>
  <c r="G63" i="8"/>
  <c r="G67" i="8"/>
  <c r="F28" i="8"/>
  <c r="F18" i="8"/>
  <c r="F33" i="8"/>
  <c r="F32" i="8"/>
  <c r="F31" i="8"/>
  <c r="F27" i="8"/>
  <c r="F23" i="8"/>
  <c r="F34" i="8"/>
  <c r="F17" i="8"/>
  <c r="F30" i="8"/>
  <c r="F29" i="8"/>
  <c r="F22" i="8"/>
  <c r="F25" i="8"/>
  <c r="F21" i="8"/>
  <c r="F26" i="8"/>
  <c r="F24" i="8"/>
  <c r="F20" i="8"/>
  <c r="F19" i="8"/>
  <c r="F15" i="8"/>
  <c r="F16" i="8"/>
  <c r="Z31" i="5"/>
  <c r="Z34" i="5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AK34" i="5" s="1"/>
  <c r="AL34" i="5" s="1"/>
  <c r="AM34" i="5" s="1"/>
  <c r="AN34" i="5" s="1"/>
  <c r="AO34" i="5" s="1"/>
  <c r="AP34" i="5" s="1"/>
  <c r="AQ34" i="5" s="1"/>
  <c r="AR34" i="5" s="1"/>
  <c r="Z50" i="1"/>
  <c r="AA50" i="1" s="1"/>
  <c r="Z49" i="1"/>
  <c r="K15" i="1"/>
  <c r="L15" i="1" s="1"/>
  <c r="Z32" i="5"/>
  <c r="AA32" i="5" s="1"/>
  <c r="K14" i="1"/>
  <c r="K17" i="1"/>
  <c r="L16" i="1" s="1"/>
  <c r="G15" i="5"/>
  <c r="G16" i="5"/>
  <c r="H17" i="5" s="1"/>
  <c r="I18" i="5" s="1"/>
  <c r="J19" i="5" s="1"/>
  <c r="K20" i="5" s="1"/>
  <c r="L21" i="5" s="1"/>
  <c r="M22" i="5" s="1"/>
  <c r="N23" i="5" s="1"/>
  <c r="O24" i="5" s="1"/>
  <c r="P25" i="5" s="1"/>
  <c r="Q26" i="5" s="1"/>
  <c r="R27" i="5" s="1"/>
  <c r="S28" i="5" s="1"/>
  <c r="T29" i="5" s="1"/>
  <c r="U30" i="5" s="1"/>
  <c r="W30" i="5" s="1"/>
  <c r="Y30" i="5" s="1"/>
  <c r="Z30" i="5" s="1"/>
  <c r="G33" i="1"/>
  <c r="G34" i="1"/>
  <c r="H35" i="1" s="1"/>
  <c r="I36" i="1" s="1"/>
  <c r="J37" i="1" s="1"/>
  <c r="K38" i="1" s="1"/>
  <c r="L39" i="1" s="1"/>
  <c r="M40" i="1" s="1"/>
  <c r="N41" i="1" s="1"/>
  <c r="O42" i="1" s="1"/>
  <c r="P43" i="1" s="1"/>
  <c r="Q44" i="1" s="1"/>
  <c r="R45" i="1" s="1"/>
  <c r="S46" i="1" s="1"/>
  <c r="T47" i="1" s="1"/>
  <c r="U48" i="1" s="1"/>
  <c r="W48" i="1" s="1"/>
  <c r="Y48" i="1" s="1"/>
  <c r="Z48" i="1" s="1"/>
  <c r="AA48" i="1" s="1"/>
  <c r="J16" i="10" l="1"/>
  <c r="K17" i="10" s="1"/>
  <c r="L18" i="10" s="1"/>
  <c r="M19" i="10" s="1"/>
  <c r="N20" i="10" s="1"/>
  <c r="O21" i="10" s="1"/>
  <c r="P22" i="10" s="1"/>
  <c r="Q23" i="10" s="1"/>
  <c r="R24" i="10" s="1"/>
  <c r="S25" i="10" s="1"/>
  <c r="T26" i="10" s="1"/>
  <c r="U27" i="10" s="1"/>
  <c r="J15" i="10"/>
  <c r="E77" i="10"/>
  <c r="C75" i="10"/>
  <c r="B74" i="10"/>
  <c r="B51" i="10"/>
  <c r="C51" i="10" s="1"/>
  <c r="D51" i="10" s="1"/>
  <c r="E51" i="10" s="1"/>
  <c r="F51" i="10" s="1"/>
  <c r="G51" i="10" s="1"/>
  <c r="H51" i="10" s="1"/>
  <c r="D76" i="10"/>
  <c r="H74" i="8"/>
  <c r="H69" i="8"/>
  <c r="H68" i="8"/>
  <c r="H70" i="8"/>
  <c r="H71" i="8"/>
  <c r="H64" i="8"/>
  <c r="I64" i="8" s="1"/>
  <c r="H63" i="8"/>
  <c r="H62" i="8"/>
  <c r="H73" i="8"/>
  <c r="H72" i="8"/>
  <c r="H67" i="8"/>
  <c r="I67" i="8" s="1"/>
  <c r="H66" i="8"/>
  <c r="G20" i="8"/>
  <c r="G26" i="8"/>
  <c r="G33" i="8"/>
  <c r="G25" i="8"/>
  <c r="G27" i="8"/>
  <c r="G23" i="8"/>
  <c r="G34" i="8"/>
  <c r="G21" i="8"/>
  <c r="G32" i="8"/>
  <c r="G31" i="8"/>
  <c r="G24" i="8"/>
  <c r="G30" i="8"/>
  <c r="G17" i="8"/>
  <c r="G19" i="8"/>
  <c r="G22" i="8"/>
  <c r="G18" i="8"/>
  <c r="G28" i="8"/>
  <c r="G29" i="8"/>
  <c r="AA30" i="5"/>
  <c r="G15" i="8"/>
  <c r="G16" i="8"/>
  <c r="AA33" i="5"/>
  <c r="AB33" i="5" s="1"/>
  <c r="AC33" i="5" s="1"/>
  <c r="AD33" i="5" s="1"/>
  <c r="AE33" i="5" s="1"/>
  <c r="AF33" i="5" s="1"/>
  <c r="AG33" i="5" s="1"/>
  <c r="AH33" i="5" s="1"/>
  <c r="AI33" i="5" s="1"/>
  <c r="AJ33" i="5" s="1"/>
  <c r="AK33" i="5" s="1"/>
  <c r="AL33" i="5" s="1"/>
  <c r="AM33" i="5" s="1"/>
  <c r="AN33" i="5" s="1"/>
  <c r="AO33" i="5" s="1"/>
  <c r="AP33" i="5" s="1"/>
  <c r="AQ33" i="5" s="1"/>
  <c r="AR33" i="5" s="1"/>
  <c r="AA49" i="1"/>
  <c r="AB48" i="1" s="1"/>
  <c r="M15" i="1"/>
  <c r="L14" i="1"/>
  <c r="M14" i="1" s="1"/>
  <c r="AA31" i="5"/>
  <c r="AB31" i="5" s="1"/>
  <c r="H15" i="5"/>
  <c r="H16" i="5"/>
  <c r="I17" i="5" s="1"/>
  <c r="J18" i="5" s="1"/>
  <c r="K19" i="5" s="1"/>
  <c r="L20" i="5" s="1"/>
  <c r="M21" i="5" s="1"/>
  <c r="N22" i="5" s="1"/>
  <c r="O23" i="5" s="1"/>
  <c r="P24" i="5" s="1"/>
  <c r="Q25" i="5" s="1"/>
  <c r="R26" i="5" s="1"/>
  <c r="S27" i="5" s="1"/>
  <c r="T28" i="5" s="1"/>
  <c r="U29" i="5" s="1"/>
  <c r="W29" i="5" s="1"/>
  <c r="Y29" i="5" s="1"/>
  <c r="Z29" i="5" s="1"/>
  <c r="AA29" i="5" s="1"/>
  <c r="H33" i="1"/>
  <c r="H34" i="1"/>
  <c r="I35" i="1" s="1"/>
  <c r="J36" i="1" s="1"/>
  <c r="K37" i="1" s="1"/>
  <c r="L38" i="1" s="1"/>
  <c r="M39" i="1" s="1"/>
  <c r="N40" i="1" s="1"/>
  <c r="O41" i="1" s="1"/>
  <c r="P42" i="1" s="1"/>
  <c r="Q43" i="1" s="1"/>
  <c r="R44" i="1" s="1"/>
  <c r="S45" i="1" s="1"/>
  <c r="T46" i="1" s="1"/>
  <c r="U47" i="1" s="1"/>
  <c r="W47" i="1" s="1"/>
  <c r="Y47" i="1" s="1"/>
  <c r="Z47" i="1" s="1"/>
  <c r="AA47" i="1" s="1"/>
  <c r="AB47" i="1" s="1"/>
  <c r="C74" i="10" l="1"/>
  <c r="D75" i="10"/>
  <c r="E76" i="10"/>
  <c r="K16" i="10"/>
  <c r="L17" i="10" s="1"/>
  <c r="M18" i="10" s="1"/>
  <c r="N19" i="10" s="1"/>
  <c r="O20" i="10" s="1"/>
  <c r="P21" i="10" s="1"/>
  <c r="Q22" i="10" s="1"/>
  <c r="R23" i="10" s="1"/>
  <c r="S24" i="10" s="1"/>
  <c r="T25" i="10" s="1"/>
  <c r="U26" i="10" s="1"/>
  <c r="K15" i="10"/>
  <c r="B73" i="10"/>
  <c r="B50" i="10"/>
  <c r="C50" i="10" s="1"/>
  <c r="D50" i="10" s="1"/>
  <c r="E50" i="10" s="1"/>
  <c r="F50" i="10" s="1"/>
  <c r="G50" i="10" s="1"/>
  <c r="H50" i="10" s="1"/>
  <c r="I50" i="10" s="1"/>
  <c r="I68" i="8"/>
  <c r="J67" i="8" s="1"/>
  <c r="I73" i="8"/>
  <c r="I69" i="8"/>
  <c r="I70" i="8"/>
  <c r="I62" i="8"/>
  <c r="I61" i="8"/>
  <c r="I63" i="8"/>
  <c r="J63" i="8" s="1"/>
  <c r="I66" i="8"/>
  <c r="J66" i="8" s="1"/>
  <c r="I65" i="8"/>
  <c r="I72" i="8"/>
  <c r="I71" i="8"/>
  <c r="H24" i="8"/>
  <c r="H34" i="8"/>
  <c r="H32" i="8"/>
  <c r="H17" i="8"/>
  <c r="H22" i="8"/>
  <c r="H23" i="8"/>
  <c r="H29" i="8"/>
  <c r="H31" i="8"/>
  <c r="H27" i="8"/>
  <c r="H26" i="8"/>
  <c r="H18" i="8"/>
  <c r="H20" i="8"/>
  <c r="H33" i="8"/>
  <c r="H28" i="8"/>
  <c r="H19" i="8"/>
  <c r="H30" i="8"/>
  <c r="H25" i="8"/>
  <c r="H21" i="8"/>
  <c r="AB29" i="5"/>
  <c r="H15" i="8"/>
  <c r="H16" i="8"/>
  <c r="AB32" i="5"/>
  <c r="AC32" i="5" s="1"/>
  <c r="AD32" i="5" s="1"/>
  <c r="AE32" i="5" s="1"/>
  <c r="AF32" i="5" s="1"/>
  <c r="AG32" i="5" s="1"/>
  <c r="AH32" i="5" s="1"/>
  <c r="AI32" i="5" s="1"/>
  <c r="AJ32" i="5" s="1"/>
  <c r="AK32" i="5" s="1"/>
  <c r="AL32" i="5" s="1"/>
  <c r="AM32" i="5" s="1"/>
  <c r="AN32" i="5" s="1"/>
  <c r="AO32" i="5" s="1"/>
  <c r="AP32" i="5" s="1"/>
  <c r="AQ32" i="5" s="1"/>
  <c r="AR32" i="5" s="1"/>
  <c r="AB30" i="5"/>
  <c r="AC30" i="5" s="1"/>
  <c r="AB49" i="1"/>
  <c r="AC48" i="1" s="1"/>
  <c r="AC47" i="1"/>
  <c r="N14" i="1"/>
  <c r="I15" i="5"/>
  <c r="I16" i="5"/>
  <c r="J17" i="5" s="1"/>
  <c r="K18" i="5" s="1"/>
  <c r="L19" i="5" s="1"/>
  <c r="M20" i="5" s="1"/>
  <c r="N21" i="5" s="1"/>
  <c r="O22" i="5" s="1"/>
  <c r="P23" i="5" s="1"/>
  <c r="Q24" i="5" s="1"/>
  <c r="R25" i="5" s="1"/>
  <c r="S26" i="5" s="1"/>
  <c r="T27" i="5" s="1"/>
  <c r="U28" i="5" s="1"/>
  <c r="W28" i="5" s="1"/>
  <c r="Y28" i="5" s="1"/>
  <c r="Z28" i="5" s="1"/>
  <c r="AA28" i="5" s="1"/>
  <c r="AB28" i="5" s="1"/>
  <c r="I33" i="1"/>
  <c r="I34" i="1"/>
  <c r="J35" i="1" s="1"/>
  <c r="K36" i="1" s="1"/>
  <c r="L37" i="1" s="1"/>
  <c r="M38" i="1" s="1"/>
  <c r="N39" i="1" s="1"/>
  <c r="O40" i="1" s="1"/>
  <c r="P41" i="1" s="1"/>
  <c r="Q42" i="1" s="1"/>
  <c r="R43" i="1" s="1"/>
  <c r="S44" i="1" s="1"/>
  <c r="T45" i="1" s="1"/>
  <c r="U46" i="1" s="1"/>
  <c r="W46" i="1" s="1"/>
  <c r="Y46" i="1" s="1"/>
  <c r="Z46" i="1" s="1"/>
  <c r="AA46" i="1" s="1"/>
  <c r="AB46" i="1" s="1"/>
  <c r="AC46" i="1" s="1"/>
  <c r="B72" i="10" l="1"/>
  <c r="B49" i="10"/>
  <c r="C49" i="10" s="1"/>
  <c r="D49" i="10" s="1"/>
  <c r="E49" i="10" s="1"/>
  <c r="F49" i="10" s="1"/>
  <c r="G49" i="10" s="1"/>
  <c r="H49" i="10" s="1"/>
  <c r="I49" i="10" s="1"/>
  <c r="J49" i="10" s="1"/>
  <c r="D74" i="10"/>
  <c r="L16" i="10"/>
  <c r="M17" i="10" s="1"/>
  <c r="N18" i="10" s="1"/>
  <c r="O19" i="10" s="1"/>
  <c r="P20" i="10" s="1"/>
  <c r="Q21" i="10" s="1"/>
  <c r="R22" i="10" s="1"/>
  <c r="S23" i="10" s="1"/>
  <c r="T24" i="10" s="1"/>
  <c r="U25" i="10" s="1"/>
  <c r="L15" i="10"/>
  <c r="E75" i="10"/>
  <c r="C73" i="10"/>
  <c r="F76" i="10"/>
  <c r="K66" i="8"/>
  <c r="J72" i="8"/>
  <c r="J62" i="8"/>
  <c r="K62" i="8" s="1"/>
  <c r="J68" i="8"/>
  <c r="J69" i="8"/>
  <c r="J65" i="8"/>
  <c r="K65" i="8" s="1"/>
  <c r="J64" i="8"/>
  <c r="K64" i="8" s="1"/>
  <c r="J71" i="8"/>
  <c r="J70" i="8"/>
  <c r="J61" i="8"/>
  <c r="K61" i="8" s="1"/>
  <c r="L61" i="8" s="1"/>
  <c r="I20" i="8"/>
  <c r="I18" i="8"/>
  <c r="I32" i="8"/>
  <c r="I26" i="8"/>
  <c r="I24" i="8"/>
  <c r="I33" i="8"/>
  <c r="I34" i="8"/>
  <c r="I21" i="8"/>
  <c r="I30" i="8"/>
  <c r="I17" i="8"/>
  <c r="I27" i="8"/>
  <c r="I31" i="8"/>
  <c r="I22" i="8"/>
  <c r="I29" i="8"/>
  <c r="I28" i="8"/>
  <c r="I23" i="8"/>
  <c r="I19" i="8"/>
  <c r="I25" i="8"/>
  <c r="AC28" i="5"/>
  <c r="I15" i="8"/>
  <c r="I16" i="8"/>
  <c r="AC29" i="5"/>
  <c r="AC31" i="5"/>
  <c r="AD31" i="5" s="1"/>
  <c r="AE31" i="5" s="1"/>
  <c r="AF31" i="5" s="1"/>
  <c r="AG31" i="5" s="1"/>
  <c r="AH31" i="5" s="1"/>
  <c r="AI31" i="5" s="1"/>
  <c r="AJ31" i="5" s="1"/>
  <c r="AK31" i="5" s="1"/>
  <c r="AL31" i="5" s="1"/>
  <c r="AM31" i="5" s="1"/>
  <c r="AN31" i="5" s="1"/>
  <c r="AO31" i="5" s="1"/>
  <c r="AP31" i="5" s="1"/>
  <c r="AQ31" i="5" s="1"/>
  <c r="AR31" i="5" s="1"/>
  <c r="AD47" i="1"/>
  <c r="AD46" i="1"/>
  <c r="J15" i="5"/>
  <c r="J16" i="5"/>
  <c r="K17" i="5" s="1"/>
  <c r="L18" i="5" s="1"/>
  <c r="M19" i="5" s="1"/>
  <c r="N20" i="5" s="1"/>
  <c r="O21" i="5" s="1"/>
  <c r="P22" i="5" s="1"/>
  <c r="Q23" i="5" s="1"/>
  <c r="R24" i="5" s="1"/>
  <c r="S25" i="5" s="1"/>
  <c r="T26" i="5" s="1"/>
  <c r="U27" i="5" s="1"/>
  <c r="W27" i="5" s="1"/>
  <c r="Y27" i="5" s="1"/>
  <c r="Z27" i="5" s="1"/>
  <c r="AA27" i="5" s="1"/>
  <c r="AB27" i="5" s="1"/>
  <c r="AC27" i="5" s="1"/>
  <c r="AD27" i="5" s="1"/>
  <c r="J33" i="1"/>
  <c r="J34" i="1"/>
  <c r="K35" i="1" s="1"/>
  <c r="L36" i="1" s="1"/>
  <c r="M37" i="1" s="1"/>
  <c r="N38" i="1" s="1"/>
  <c r="O39" i="1" s="1"/>
  <c r="P40" i="1" s="1"/>
  <c r="Q41" i="1" s="1"/>
  <c r="R42" i="1" s="1"/>
  <c r="S43" i="1" s="1"/>
  <c r="T44" i="1" s="1"/>
  <c r="U45" i="1" s="1"/>
  <c r="W45" i="1" s="1"/>
  <c r="Y45" i="1" s="1"/>
  <c r="Z45" i="1" s="1"/>
  <c r="AA45" i="1" s="1"/>
  <c r="AB45" i="1" s="1"/>
  <c r="AC45" i="1" s="1"/>
  <c r="AD45" i="1" s="1"/>
  <c r="D73" i="10" l="1"/>
  <c r="B71" i="10"/>
  <c r="B48" i="10"/>
  <c r="C48" i="10" s="1"/>
  <c r="D48" i="10" s="1"/>
  <c r="E48" i="10" s="1"/>
  <c r="F48" i="10" s="1"/>
  <c r="G48" i="10" s="1"/>
  <c r="H48" i="10" s="1"/>
  <c r="I48" i="10" s="1"/>
  <c r="J48" i="10" s="1"/>
  <c r="K48" i="10" s="1"/>
  <c r="C72" i="10"/>
  <c r="E74" i="10"/>
  <c r="F75" i="10"/>
  <c r="M15" i="10"/>
  <c r="M16" i="10"/>
  <c r="N17" i="10" s="1"/>
  <c r="O18" i="10" s="1"/>
  <c r="P19" i="10" s="1"/>
  <c r="Q20" i="10" s="1"/>
  <c r="R21" i="10" s="1"/>
  <c r="S22" i="10" s="1"/>
  <c r="T23" i="10" s="1"/>
  <c r="U24" i="10" s="1"/>
  <c r="L65" i="8"/>
  <c r="K71" i="8"/>
  <c r="L64" i="8"/>
  <c r="K63" i="8"/>
  <c r="L63" i="8" s="1"/>
  <c r="M63" i="8" s="1"/>
  <c r="K67" i="8"/>
  <c r="K68" i="8"/>
  <c r="K70" i="8"/>
  <c r="K69" i="8"/>
  <c r="L62" i="8"/>
  <c r="M62" i="8" s="1"/>
  <c r="J26" i="8"/>
  <c r="J25" i="8"/>
  <c r="J34" i="8"/>
  <c r="J33" i="8"/>
  <c r="J29" i="8"/>
  <c r="J28" i="8"/>
  <c r="J20" i="8"/>
  <c r="J22" i="8"/>
  <c r="J19" i="8"/>
  <c r="J30" i="8"/>
  <c r="J32" i="8"/>
  <c r="J23" i="8"/>
  <c r="J18" i="8"/>
  <c r="J27" i="8"/>
  <c r="J17" i="8"/>
  <c r="J24" i="8"/>
  <c r="J21" i="8"/>
  <c r="J31" i="8"/>
  <c r="AD28" i="5"/>
  <c r="AE27" i="5" s="1"/>
  <c r="J15" i="8"/>
  <c r="J16" i="8"/>
  <c r="AD30" i="5"/>
  <c r="AE30" i="5" s="1"/>
  <c r="AF30" i="5" s="1"/>
  <c r="AG30" i="5" s="1"/>
  <c r="AH30" i="5" s="1"/>
  <c r="AI30" i="5" s="1"/>
  <c r="AJ30" i="5" s="1"/>
  <c r="AK30" i="5" s="1"/>
  <c r="AL30" i="5" s="1"/>
  <c r="AM30" i="5" s="1"/>
  <c r="AN30" i="5" s="1"/>
  <c r="AO30" i="5" s="1"/>
  <c r="AP30" i="5" s="1"/>
  <c r="AQ30" i="5" s="1"/>
  <c r="AR30" i="5" s="1"/>
  <c r="AD29" i="5"/>
  <c r="AE46" i="1"/>
  <c r="AE45" i="1"/>
  <c r="K15" i="5"/>
  <c r="K16" i="5"/>
  <c r="L17" i="5" s="1"/>
  <c r="M18" i="5" s="1"/>
  <c r="N19" i="5" s="1"/>
  <c r="O20" i="5" s="1"/>
  <c r="P21" i="5" s="1"/>
  <c r="Q22" i="5" s="1"/>
  <c r="R23" i="5" s="1"/>
  <c r="S24" i="5" s="1"/>
  <c r="T25" i="5" s="1"/>
  <c r="U26" i="5" s="1"/>
  <c r="W26" i="5" s="1"/>
  <c r="Y26" i="5" s="1"/>
  <c r="Z26" i="5" s="1"/>
  <c r="AA26" i="5" s="1"/>
  <c r="AB26" i="5" s="1"/>
  <c r="AC26" i="5" s="1"/>
  <c r="AD26" i="5" s="1"/>
  <c r="AE26" i="5" s="1"/>
  <c r="K33" i="1"/>
  <c r="K34" i="1"/>
  <c r="L35" i="1" s="1"/>
  <c r="M36" i="1" s="1"/>
  <c r="N37" i="1" s="1"/>
  <c r="O38" i="1" s="1"/>
  <c r="P39" i="1" s="1"/>
  <c r="Q40" i="1" s="1"/>
  <c r="R41" i="1" s="1"/>
  <c r="S42" i="1" s="1"/>
  <c r="T43" i="1" s="1"/>
  <c r="U44" i="1" s="1"/>
  <c r="W44" i="1" s="1"/>
  <c r="Y44" i="1" s="1"/>
  <c r="Z44" i="1" s="1"/>
  <c r="AA44" i="1" s="1"/>
  <c r="F74" i="10" l="1"/>
  <c r="D72" i="10"/>
  <c r="G75" i="10"/>
  <c r="B70" i="10"/>
  <c r="B47" i="10"/>
  <c r="C47" i="10" s="1"/>
  <c r="D47" i="10" s="1"/>
  <c r="E47" i="10" s="1"/>
  <c r="F47" i="10" s="1"/>
  <c r="G47" i="10" s="1"/>
  <c r="H47" i="10" s="1"/>
  <c r="I47" i="10" s="1"/>
  <c r="J47" i="10" s="1"/>
  <c r="K47" i="10" s="1"/>
  <c r="L47" i="10" s="1"/>
  <c r="N15" i="10"/>
  <c r="N16" i="10"/>
  <c r="O17" i="10" s="1"/>
  <c r="P18" i="10" s="1"/>
  <c r="Q19" i="10" s="1"/>
  <c r="R20" i="10" s="1"/>
  <c r="S21" i="10" s="1"/>
  <c r="T22" i="10" s="1"/>
  <c r="U23" i="10" s="1"/>
  <c r="C71" i="10"/>
  <c r="E73" i="10"/>
  <c r="M64" i="8"/>
  <c r="N63" i="8" s="1"/>
  <c r="N62" i="8"/>
  <c r="L70" i="8"/>
  <c r="L66" i="8"/>
  <c r="L67" i="8"/>
  <c r="L69" i="8"/>
  <c r="L68" i="8"/>
  <c r="M61" i="8"/>
  <c r="N61" i="8" s="1"/>
  <c r="K33" i="8"/>
  <c r="K26" i="8"/>
  <c r="K25" i="8"/>
  <c r="K30" i="8"/>
  <c r="K23" i="8"/>
  <c r="K18" i="8"/>
  <c r="K24" i="8"/>
  <c r="K34" i="8"/>
  <c r="K22" i="8"/>
  <c r="K32" i="8"/>
  <c r="K19" i="8"/>
  <c r="K21" i="8"/>
  <c r="K28" i="8"/>
  <c r="K31" i="8"/>
  <c r="K17" i="8"/>
  <c r="K29" i="8"/>
  <c r="K27" i="8"/>
  <c r="K20" i="8"/>
  <c r="AF26" i="5"/>
  <c r="K15" i="8"/>
  <c r="K16" i="8"/>
  <c r="AE29" i="5"/>
  <c r="AF29" i="5" s="1"/>
  <c r="AG29" i="5" s="1"/>
  <c r="AH29" i="5" s="1"/>
  <c r="AI29" i="5" s="1"/>
  <c r="AJ29" i="5" s="1"/>
  <c r="AK29" i="5" s="1"/>
  <c r="AL29" i="5" s="1"/>
  <c r="AM29" i="5" s="1"/>
  <c r="AN29" i="5" s="1"/>
  <c r="AO29" i="5" s="1"/>
  <c r="AP29" i="5" s="1"/>
  <c r="AQ29" i="5" s="1"/>
  <c r="AR29" i="5" s="1"/>
  <c r="AE28" i="5"/>
  <c r="AF27" i="5" s="1"/>
  <c r="AF45" i="1"/>
  <c r="AB44" i="1"/>
  <c r="AC44" i="1" s="1"/>
  <c r="AD44" i="1" s="1"/>
  <c r="AE44" i="1" s="1"/>
  <c r="AF44" i="1" s="1"/>
  <c r="L15" i="5"/>
  <c r="L16" i="5"/>
  <c r="M17" i="5" s="1"/>
  <c r="N18" i="5" s="1"/>
  <c r="O19" i="5" s="1"/>
  <c r="P20" i="5" s="1"/>
  <c r="Q21" i="5" s="1"/>
  <c r="R22" i="5" s="1"/>
  <c r="S23" i="5" s="1"/>
  <c r="T24" i="5" s="1"/>
  <c r="U25" i="5" s="1"/>
  <c r="W25" i="5" s="1"/>
  <c r="Y25" i="5" s="1"/>
  <c r="Z25" i="5" s="1"/>
  <c r="AA25" i="5" s="1"/>
  <c r="AB25" i="5" s="1"/>
  <c r="AC25" i="5" s="1"/>
  <c r="AD25" i="5" s="1"/>
  <c r="AE25" i="5" s="1"/>
  <c r="AF25" i="5" s="1"/>
  <c r="AG25" i="5" s="1"/>
  <c r="L33" i="1"/>
  <c r="L34" i="1"/>
  <c r="M35" i="1" s="1"/>
  <c r="N36" i="1" s="1"/>
  <c r="O37" i="1" s="1"/>
  <c r="P38" i="1" s="1"/>
  <c r="Q39" i="1" s="1"/>
  <c r="R40" i="1" s="1"/>
  <c r="S41" i="1" s="1"/>
  <c r="T42" i="1" s="1"/>
  <c r="U43" i="1" s="1"/>
  <c r="W43" i="1" s="1"/>
  <c r="Y43" i="1" s="1"/>
  <c r="Z43" i="1" s="1"/>
  <c r="AA43" i="1" s="1"/>
  <c r="AB43" i="1" s="1"/>
  <c r="F73" i="10" l="1"/>
  <c r="E72" i="10"/>
  <c r="D71" i="10"/>
  <c r="B69" i="10"/>
  <c r="B46" i="10"/>
  <c r="C46" i="10" s="1"/>
  <c r="D46" i="10" s="1"/>
  <c r="E46" i="10" s="1"/>
  <c r="F46" i="10" s="1"/>
  <c r="G46" i="10" s="1"/>
  <c r="H46" i="10" s="1"/>
  <c r="I46" i="10" s="1"/>
  <c r="J46" i="10" s="1"/>
  <c r="K46" i="10" s="1"/>
  <c r="L46" i="10" s="1"/>
  <c r="M46" i="10" s="1"/>
  <c r="G74" i="10"/>
  <c r="C70" i="10"/>
  <c r="O15" i="10"/>
  <c r="O16" i="10"/>
  <c r="P17" i="10" s="1"/>
  <c r="Q18" i="10" s="1"/>
  <c r="R19" i="10" s="1"/>
  <c r="S20" i="10" s="1"/>
  <c r="T21" i="10" s="1"/>
  <c r="U22" i="10" s="1"/>
  <c r="O62" i="8"/>
  <c r="O61" i="8"/>
  <c r="P61" i="8" s="1"/>
  <c r="M69" i="8"/>
  <c r="M66" i="8"/>
  <c r="M65" i="8"/>
  <c r="M68" i="8"/>
  <c r="M67" i="8"/>
  <c r="L25" i="8"/>
  <c r="L26" i="8"/>
  <c r="L21" i="8"/>
  <c r="L22" i="8"/>
  <c r="L19" i="8"/>
  <c r="L32" i="8"/>
  <c r="L20" i="8"/>
  <c r="L23" i="8"/>
  <c r="L27" i="8"/>
  <c r="L17" i="8"/>
  <c r="L24" i="8"/>
  <c r="L18" i="8"/>
  <c r="L29" i="8"/>
  <c r="L33" i="8"/>
  <c r="L34" i="8"/>
  <c r="L28" i="8"/>
  <c r="L30" i="8"/>
  <c r="L31" i="8"/>
  <c r="L15" i="8"/>
  <c r="L16" i="8"/>
  <c r="AF28" i="5"/>
  <c r="AG28" i="5" s="1"/>
  <c r="AH28" i="5" s="1"/>
  <c r="AI28" i="5" s="1"/>
  <c r="AJ28" i="5" s="1"/>
  <c r="AK28" i="5" s="1"/>
  <c r="AL28" i="5" s="1"/>
  <c r="AM28" i="5" s="1"/>
  <c r="AN28" i="5" s="1"/>
  <c r="AO28" i="5" s="1"/>
  <c r="AP28" i="5" s="1"/>
  <c r="AQ28" i="5" s="1"/>
  <c r="AR28" i="5" s="1"/>
  <c r="AG44" i="1"/>
  <c r="AC43" i="1"/>
  <c r="AD43" i="1" s="1"/>
  <c r="AE43" i="1" s="1"/>
  <c r="AF43" i="1" s="1"/>
  <c r="AG43" i="1" s="1"/>
  <c r="AG26" i="5"/>
  <c r="M15" i="5"/>
  <c r="M16" i="5"/>
  <c r="N17" i="5" s="1"/>
  <c r="O18" i="5" s="1"/>
  <c r="P19" i="5" s="1"/>
  <c r="Q20" i="5" s="1"/>
  <c r="R21" i="5" s="1"/>
  <c r="S22" i="5" s="1"/>
  <c r="T23" i="5" s="1"/>
  <c r="U24" i="5" s="1"/>
  <c r="W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M33" i="1"/>
  <c r="M34" i="1"/>
  <c r="N35" i="1" s="1"/>
  <c r="O36" i="1" s="1"/>
  <c r="P37" i="1" s="1"/>
  <c r="Q38" i="1" s="1"/>
  <c r="R39" i="1" s="1"/>
  <c r="S40" i="1" s="1"/>
  <c r="T41" i="1" s="1"/>
  <c r="U42" i="1" s="1"/>
  <c r="W42" i="1" s="1"/>
  <c r="Y42" i="1" s="1"/>
  <c r="Z42" i="1" s="1"/>
  <c r="AA42" i="1" s="1"/>
  <c r="AB42" i="1" s="1"/>
  <c r="AC42" i="1" s="1"/>
  <c r="H74" i="10" l="1"/>
  <c r="C69" i="10"/>
  <c r="E71" i="10"/>
  <c r="F72" i="10"/>
  <c r="G73" i="10"/>
  <c r="B68" i="10"/>
  <c r="B45" i="10"/>
  <c r="C45" i="10" s="1"/>
  <c r="D45" i="10" s="1"/>
  <c r="E45" i="10" s="1"/>
  <c r="F45" i="10" s="1"/>
  <c r="G45" i="10" s="1"/>
  <c r="H45" i="10" s="1"/>
  <c r="I45" i="10" s="1"/>
  <c r="J45" i="10" s="1"/>
  <c r="K45" i="10" s="1"/>
  <c r="L45" i="10" s="1"/>
  <c r="M45" i="10" s="1"/>
  <c r="N45" i="10" s="1"/>
  <c r="P16" i="10"/>
  <c r="Q17" i="10" s="1"/>
  <c r="R18" i="10" s="1"/>
  <c r="S19" i="10" s="1"/>
  <c r="T20" i="10" s="1"/>
  <c r="U21" i="10" s="1"/>
  <c r="P15" i="10"/>
  <c r="D70" i="10"/>
  <c r="N68" i="8"/>
  <c r="N65" i="8"/>
  <c r="N64" i="8"/>
  <c r="N67" i="8"/>
  <c r="N66" i="8"/>
  <c r="M21" i="8"/>
  <c r="M22" i="8"/>
  <c r="M19" i="8"/>
  <c r="M20" i="8"/>
  <c r="M31" i="8"/>
  <c r="M27" i="8"/>
  <c r="M33" i="8"/>
  <c r="M34" i="8"/>
  <c r="M25" i="8"/>
  <c r="M28" i="8"/>
  <c r="M29" i="8"/>
  <c r="M17" i="8"/>
  <c r="M18" i="8"/>
  <c r="M32" i="8"/>
  <c r="M30" i="8"/>
  <c r="M24" i="8"/>
  <c r="M23" i="8"/>
  <c r="M26" i="8"/>
  <c r="M15" i="8"/>
  <c r="M16" i="8"/>
  <c r="AG27" i="5"/>
  <c r="AH27" i="5" s="1"/>
  <c r="AI27" i="5" s="1"/>
  <c r="AJ27" i="5" s="1"/>
  <c r="AK27" i="5" s="1"/>
  <c r="AL27" i="5" s="1"/>
  <c r="AM27" i="5" s="1"/>
  <c r="AN27" i="5" s="1"/>
  <c r="AO27" i="5" s="1"/>
  <c r="AP27" i="5" s="1"/>
  <c r="AQ27" i="5" s="1"/>
  <c r="AR27" i="5" s="1"/>
  <c r="AH43" i="1"/>
  <c r="AD42" i="1"/>
  <c r="AE42" i="1" s="1"/>
  <c r="AF42" i="1" s="1"/>
  <c r="AG42" i="1" s="1"/>
  <c r="AH42" i="1" s="1"/>
  <c r="AH25" i="5"/>
  <c r="N15" i="5"/>
  <c r="N16" i="5"/>
  <c r="O17" i="5" s="1"/>
  <c r="P18" i="5" s="1"/>
  <c r="Q19" i="5" s="1"/>
  <c r="R20" i="5" s="1"/>
  <c r="S21" i="5" s="1"/>
  <c r="T22" i="5" s="1"/>
  <c r="U23" i="5" s="1"/>
  <c r="W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N33" i="1"/>
  <c r="N34" i="1"/>
  <c r="O35" i="1" s="1"/>
  <c r="P36" i="1" s="1"/>
  <c r="Q37" i="1" s="1"/>
  <c r="R38" i="1" s="1"/>
  <c r="S39" i="1" s="1"/>
  <c r="T40" i="1" s="1"/>
  <c r="U41" i="1" s="1"/>
  <c r="W41" i="1" s="1"/>
  <c r="Y41" i="1" s="1"/>
  <c r="Z41" i="1" s="1"/>
  <c r="AA41" i="1" s="1"/>
  <c r="AB41" i="1" s="1"/>
  <c r="AC41" i="1" s="1"/>
  <c r="AD41" i="1" s="1"/>
  <c r="E70" i="10" l="1"/>
  <c r="G72" i="10"/>
  <c r="Q16" i="10"/>
  <c r="R17" i="10" s="1"/>
  <c r="S18" i="10" s="1"/>
  <c r="T19" i="10" s="1"/>
  <c r="U20" i="10" s="1"/>
  <c r="Q15" i="10"/>
  <c r="F71" i="10"/>
  <c r="B44" i="10"/>
  <c r="C44" i="10" s="1"/>
  <c r="D44" i="10" s="1"/>
  <c r="E44" i="10" s="1"/>
  <c r="F44" i="10" s="1"/>
  <c r="G44" i="10" s="1"/>
  <c r="H44" i="10" s="1"/>
  <c r="I44" i="10" s="1"/>
  <c r="J44" i="10" s="1"/>
  <c r="K44" i="10" s="1"/>
  <c r="L44" i="10" s="1"/>
  <c r="M44" i="10" s="1"/>
  <c r="N44" i="10" s="1"/>
  <c r="O44" i="10" s="1"/>
  <c r="B67" i="10"/>
  <c r="D69" i="10"/>
  <c r="C68" i="10"/>
  <c r="H73" i="10"/>
  <c r="O67" i="8"/>
  <c r="O63" i="8"/>
  <c r="O64" i="8"/>
  <c r="O66" i="8"/>
  <c r="O65" i="8"/>
  <c r="N19" i="8"/>
  <c r="N34" i="8"/>
  <c r="N20" i="8"/>
  <c r="N24" i="8"/>
  <c r="N18" i="8"/>
  <c r="N29" i="8"/>
  <c r="N21" i="8"/>
  <c r="N23" i="8"/>
  <c r="N27" i="8"/>
  <c r="N25" i="8"/>
  <c r="N22" i="8"/>
  <c r="N17" i="8"/>
  <c r="N31" i="8"/>
  <c r="N26" i="8"/>
  <c r="N32" i="8"/>
  <c r="N33" i="8"/>
  <c r="N30" i="8"/>
  <c r="N28" i="8"/>
  <c r="AE41" i="1"/>
  <c r="AF41" i="1" s="1"/>
  <c r="AG41" i="1" s="1"/>
  <c r="AH41" i="1" s="1"/>
  <c r="AI41" i="1" s="1"/>
  <c r="N15" i="8"/>
  <c r="N16" i="8"/>
  <c r="AH26" i="5"/>
  <c r="AI26" i="5" s="1"/>
  <c r="AJ26" i="5" s="1"/>
  <c r="AK26" i="5" s="1"/>
  <c r="AL26" i="5" s="1"/>
  <c r="AM26" i="5" s="1"/>
  <c r="AN26" i="5" s="1"/>
  <c r="AO26" i="5" s="1"/>
  <c r="AP26" i="5" s="1"/>
  <c r="AQ26" i="5" s="1"/>
  <c r="AR26" i="5" s="1"/>
  <c r="AI42" i="1"/>
  <c r="AI24" i="5"/>
  <c r="O15" i="5"/>
  <c r="O16" i="5"/>
  <c r="P17" i="5" s="1"/>
  <c r="Q18" i="5" s="1"/>
  <c r="R19" i="5" s="1"/>
  <c r="S20" i="5" s="1"/>
  <c r="T21" i="5" s="1"/>
  <c r="U22" i="5" s="1"/>
  <c r="W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O33" i="1"/>
  <c r="O34" i="1"/>
  <c r="P35" i="1" s="1"/>
  <c r="Q36" i="1" s="1"/>
  <c r="R37" i="1" s="1"/>
  <c r="S38" i="1" s="1"/>
  <c r="T39" i="1" s="1"/>
  <c r="U40" i="1" s="1"/>
  <c r="W40" i="1" s="1"/>
  <c r="Y40" i="1" s="1"/>
  <c r="Z40" i="1" s="1"/>
  <c r="AA40" i="1" s="1"/>
  <c r="R16" i="10" l="1"/>
  <c r="S17" i="10" s="1"/>
  <c r="T18" i="10" s="1"/>
  <c r="U19" i="10" s="1"/>
  <c r="R15" i="10"/>
  <c r="F70" i="10"/>
  <c r="I73" i="10"/>
  <c r="B43" i="10"/>
  <c r="C43" i="10" s="1"/>
  <c r="D43" i="10" s="1"/>
  <c r="E43" i="10" s="1"/>
  <c r="F43" i="10" s="1"/>
  <c r="G43" i="10" s="1"/>
  <c r="H43" i="10" s="1"/>
  <c r="I43" i="10" s="1"/>
  <c r="J43" i="10" s="1"/>
  <c r="K43" i="10" s="1"/>
  <c r="L43" i="10" s="1"/>
  <c r="M43" i="10" s="1"/>
  <c r="N43" i="10" s="1"/>
  <c r="O43" i="10" s="1"/>
  <c r="P43" i="10" s="1"/>
  <c r="B66" i="10"/>
  <c r="G71" i="10"/>
  <c r="E69" i="10"/>
  <c r="H72" i="10"/>
  <c r="C67" i="10"/>
  <c r="D68" i="10"/>
  <c r="P66" i="8"/>
  <c r="P62" i="8"/>
  <c r="P63" i="8"/>
  <c r="P65" i="8"/>
  <c r="P64" i="8"/>
  <c r="O29" i="8"/>
  <c r="O19" i="8"/>
  <c r="O21" i="8"/>
  <c r="O18" i="8"/>
  <c r="O26" i="8"/>
  <c r="O30" i="8"/>
  <c r="O33" i="8"/>
  <c r="O31" i="8"/>
  <c r="O27" i="8"/>
  <c r="O32" i="8"/>
  <c r="O23" i="8"/>
  <c r="O28" i="8"/>
  <c r="O22" i="8"/>
  <c r="O25" i="8"/>
  <c r="O17" i="8"/>
  <c r="O34" i="8"/>
  <c r="O24" i="8"/>
  <c r="O20" i="8"/>
  <c r="AJ41" i="1"/>
  <c r="O15" i="8"/>
  <c r="O16" i="8"/>
  <c r="AI25" i="5"/>
  <c r="AJ25" i="5" s="1"/>
  <c r="AK25" i="5" s="1"/>
  <c r="AL25" i="5" s="1"/>
  <c r="AM25" i="5" s="1"/>
  <c r="AN25" i="5" s="1"/>
  <c r="AO25" i="5" s="1"/>
  <c r="AP25" i="5" s="1"/>
  <c r="AQ25" i="5" s="1"/>
  <c r="AR25" i="5" s="1"/>
  <c r="AJ23" i="5"/>
  <c r="AB40" i="1"/>
  <c r="AC40" i="1" s="1"/>
  <c r="AD40" i="1" s="1"/>
  <c r="AE40" i="1" s="1"/>
  <c r="AF40" i="1" s="1"/>
  <c r="AG40" i="1" s="1"/>
  <c r="AH40" i="1" s="1"/>
  <c r="AI40" i="1" s="1"/>
  <c r="AJ40" i="1" s="1"/>
  <c r="P15" i="5"/>
  <c r="P16" i="5"/>
  <c r="Q17" i="5" s="1"/>
  <c r="R18" i="5" s="1"/>
  <c r="S19" i="5" s="1"/>
  <c r="T20" i="5" s="1"/>
  <c r="U21" i="5" s="1"/>
  <c r="W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P33" i="1"/>
  <c r="P34" i="1"/>
  <c r="Q35" i="1" s="1"/>
  <c r="R36" i="1" s="1"/>
  <c r="S37" i="1" s="1"/>
  <c r="T38" i="1" s="1"/>
  <c r="U39" i="1" s="1"/>
  <c r="W39" i="1" s="1"/>
  <c r="Y39" i="1" s="1"/>
  <c r="Z39" i="1" s="1"/>
  <c r="AA39" i="1" s="1"/>
  <c r="AB39" i="1" s="1"/>
  <c r="C66" i="10" l="1"/>
  <c r="B42" i="10"/>
  <c r="C42" i="10" s="1"/>
  <c r="D42" i="10" s="1"/>
  <c r="E42" i="10" s="1"/>
  <c r="F42" i="10" s="1"/>
  <c r="G42" i="10" s="1"/>
  <c r="H42" i="10" s="1"/>
  <c r="I42" i="10" s="1"/>
  <c r="J42" i="10" s="1"/>
  <c r="K42" i="10" s="1"/>
  <c r="L42" i="10" s="1"/>
  <c r="M42" i="10" s="1"/>
  <c r="N42" i="10" s="1"/>
  <c r="O42" i="10" s="1"/>
  <c r="P42" i="10" s="1"/>
  <c r="Q42" i="10" s="1"/>
  <c r="B65" i="10"/>
  <c r="D67" i="10"/>
  <c r="F69" i="10"/>
  <c r="G70" i="10"/>
  <c r="I72" i="10"/>
  <c r="E68" i="10"/>
  <c r="H71" i="10"/>
  <c r="S16" i="10"/>
  <c r="T17" i="10" s="1"/>
  <c r="U18" i="10" s="1"/>
  <c r="S15" i="10"/>
  <c r="Q65" i="8"/>
  <c r="Q61" i="8"/>
  <c r="Q62" i="8"/>
  <c r="Q64" i="8"/>
  <c r="Q63" i="8"/>
  <c r="P21" i="8"/>
  <c r="P28" i="8"/>
  <c r="P27" i="8"/>
  <c r="P29" i="8"/>
  <c r="P17" i="8"/>
  <c r="P18" i="8"/>
  <c r="P24" i="8"/>
  <c r="P25" i="8"/>
  <c r="P34" i="8"/>
  <c r="P19" i="8"/>
  <c r="P20" i="8"/>
  <c r="P26" i="8"/>
  <c r="P32" i="8"/>
  <c r="P33" i="8"/>
  <c r="P23" i="8"/>
  <c r="P31" i="8"/>
  <c r="P30" i="8"/>
  <c r="P22" i="8"/>
  <c r="AK40" i="1"/>
  <c r="P15" i="8"/>
  <c r="P16" i="8"/>
  <c r="AJ24" i="5"/>
  <c r="AK24" i="5" s="1"/>
  <c r="AL24" i="5" s="1"/>
  <c r="AM24" i="5" s="1"/>
  <c r="AN24" i="5" s="1"/>
  <c r="AO24" i="5" s="1"/>
  <c r="AP24" i="5" s="1"/>
  <c r="AQ24" i="5" s="1"/>
  <c r="AR24" i="5" s="1"/>
  <c r="AK22" i="5"/>
  <c r="AC39" i="1"/>
  <c r="AD39" i="1" s="1"/>
  <c r="AE39" i="1" s="1"/>
  <c r="AF39" i="1" s="1"/>
  <c r="AG39" i="1" s="1"/>
  <c r="AH39" i="1" s="1"/>
  <c r="AI39" i="1" s="1"/>
  <c r="AJ39" i="1" s="1"/>
  <c r="AK39" i="1" s="1"/>
  <c r="Q15" i="5"/>
  <c r="Q16" i="5"/>
  <c r="R17" i="5" s="1"/>
  <c r="S18" i="5" s="1"/>
  <c r="T19" i="5" s="1"/>
  <c r="U20" i="5" s="1"/>
  <c r="W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Q33" i="1"/>
  <c r="Q34" i="1"/>
  <c r="R35" i="1" s="1"/>
  <c r="S36" i="1" s="1"/>
  <c r="T37" i="1" s="1"/>
  <c r="U38" i="1" s="1"/>
  <c r="W38" i="1" s="1"/>
  <c r="Y38" i="1" s="1"/>
  <c r="Z38" i="1" s="1"/>
  <c r="AA38" i="1" s="1"/>
  <c r="AB38" i="1" s="1"/>
  <c r="AC38" i="1" s="1"/>
  <c r="G69" i="10" l="1"/>
  <c r="F68" i="10"/>
  <c r="E67" i="10"/>
  <c r="I71" i="10"/>
  <c r="B41" i="10"/>
  <c r="C41" i="10" s="1"/>
  <c r="D41" i="10" s="1"/>
  <c r="E41" i="10" s="1"/>
  <c r="F41" i="10" s="1"/>
  <c r="G41" i="10" s="1"/>
  <c r="H41" i="10" s="1"/>
  <c r="I41" i="10" s="1"/>
  <c r="J41" i="10" s="1"/>
  <c r="K41" i="10" s="1"/>
  <c r="L41" i="10" s="1"/>
  <c r="M41" i="10" s="1"/>
  <c r="N41" i="10" s="1"/>
  <c r="O41" i="10" s="1"/>
  <c r="P41" i="10" s="1"/>
  <c r="Q41" i="10" s="1"/>
  <c r="R41" i="10" s="1"/>
  <c r="B64" i="10"/>
  <c r="J72" i="10"/>
  <c r="C65" i="10"/>
  <c r="T16" i="10"/>
  <c r="U17" i="10" s="1"/>
  <c r="T15" i="10"/>
  <c r="H70" i="10"/>
  <c r="D66" i="10"/>
  <c r="R64" i="8"/>
  <c r="R61" i="8"/>
  <c r="R63" i="8"/>
  <c r="R62" i="8"/>
  <c r="Q17" i="8"/>
  <c r="Q33" i="8"/>
  <c r="Q22" i="8"/>
  <c r="Q20" i="8"/>
  <c r="Q29" i="8"/>
  <c r="Q31" i="8"/>
  <c r="Q18" i="8"/>
  <c r="Q24" i="8"/>
  <c r="Q27" i="8"/>
  <c r="Q25" i="8"/>
  <c r="Q32" i="8"/>
  <c r="Q30" i="8"/>
  <c r="Q28" i="8"/>
  <c r="Q34" i="8"/>
  <c r="Q23" i="8"/>
  <c r="Q21" i="8"/>
  <c r="Q26" i="8"/>
  <c r="Q19" i="8"/>
  <c r="AL39" i="1"/>
  <c r="Q15" i="8"/>
  <c r="Q16" i="8"/>
  <c r="AK23" i="5"/>
  <c r="AL23" i="5" s="1"/>
  <c r="AM23" i="5" s="1"/>
  <c r="AN23" i="5" s="1"/>
  <c r="AO23" i="5" s="1"/>
  <c r="AP23" i="5" s="1"/>
  <c r="AQ23" i="5" s="1"/>
  <c r="AR23" i="5" s="1"/>
  <c r="AL21" i="5"/>
  <c r="AD38" i="1"/>
  <c r="AE38" i="1" s="1"/>
  <c r="AF38" i="1" s="1"/>
  <c r="AG38" i="1" s="1"/>
  <c r="AH38" i="1" s="1"/>
  <c r="AI38" i="1" s="1"/>
  <c r="AJ38" i="1" s="1"/>
  <c r="AK38" i="1" s="1"/>
  <c r="AL38" i="1" s="1"/>
  <c r="R15" i="5"/>
  <c r="R16" i="5"/>
  <c r="S17" i="5" s="1"/>
  <c r="T18" i="5" s="1"/>
  <c r="U19" i="5" s="1"/>
  <c r="W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R33" i="1"/>
  <c r="R34" i="1"/>
  <c r="S35" i="1" s="1"/>
  <c r="T36" i="1" s="1"/>
  <c r="U37" i="1" s="1"/>
  <c r="W37" i="1" s="1"/>
  <c r="Y37" i="1" s="1"/>
  <c r="Z37" i="1" s="1"/>
  <c r="AA37" i="1" s="1"/>
  <c r="AB37" i="1" s="1"/>
  <c r="AC37" i="1" s="1"/>
  <c r="AD37" i="1" s="1"/>
  <c r="U16" i="10" l="1"/>
  <c r="U15" i="10"/>
  <c r="F67" i="10"/>
  <c r="J71" i="10"/>
  <c r="E66" i="10"/>
  <c r="G68" i="10"/>
  <c r="B63" i="10"/>
  <c r="B40" i="10"/>
  <c r="C40" i="10" s="1"/>
  <c r="D40" i="10" s="1"/>
  <c r="E40" i="10" s="1"/>
  <c r="F40" i="10" s="1"/>
  <c r="G40" i="10" s="1"/>
  <c r="H40" i="10" s="1"/>
  <c r="I40" i="10" s="1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D65" i="10"/>
  <c r="I70" i="10"/>
  <c r="C64" i="10"/>
  <c r="H69" i="10"/>
  <c r="S63" i="8"/>
  <c r="S62" i="8"/>
  <c r="S61" i="8"/>
  <c r="R20" i="8"/>
  <c r="R24" i="8"/>
  <c r="R31" i="8"/>
  <c r="R32" i="8"/>
  <c r="R21" i="8"/>
  <c r="R17" i="8"/>
  <c r="R25" i="8"/>
  <c r="R26" i="8"/>
  <c r="R23" i="8"/>
  <c r="R27" i="8"/>
  <c r="R30" i="8"/>
  <c r="R22" i="8"/>
  <c r="R28" i="8"/>
  <c r="R34" i="8"/>
  <c r="R29" i="8"/>
  <c r="R33" i="8"/>
  <c r="R19" i="8"/>
  <c r="R18" i="8"/>
  <c r="AM38" i="1"/>
  <c r="AL22" i="5"/>
  <c r="AM22" i="5" s="1"/>
  <c r="AN22" i="5" s="1"/>
  <c r="AO22" i="5" s="1"/>
  <c r="AP22" i="5" s="1"/>
  <c r="AQ22" i="5" s="1"/>
  <c r="AR22" i="5" s="1"/>
  <c r="R15" i="8"/>
  <c r="R16" i="8"/>
  <c r="AM20" i="5"/>
  <c r="AE37" i="1"/>
  <c r="AF37" i="1" s="1"/>
  <c r="AG37" i="1" s="1"/>
  <c r="AH37" i="1" s="1"/>
  <c r="AI37" i="1" s="1"/>
  <c r="AJ37" i="1" s="1"/>
  <c r="AK37" i="1" s="1"/>
  <c r="AL37" i="1" s="1"/>
  <c r="AM37" i="1" s="1"/>
  <c r="S15" i="5"/>
  <c r="S16" i="5"/>
  <c r="T17" i="5" s="1"/>
  <c r="U18" i="5" s="1"/>
  <c r="W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S33" i="1"/>
  <c r="S34" i="1"/>
  <c r="T35" i="1" s="1"/>
  <c r="U36" i="1" s="1"/>
  <c r="W36" i="1" s="1"/>
  <c r="Y36" i="1" s="1"/>
  <c r="Z36" i="1" s="1"/>
  <c r="AA36" i="1" s="1"/>
  <c r="F66" i="10" l="1"/>
  <c r="H68" i="10"/>
  <c r="B62" i="10"/>
  <c r="B39" i="10"/>
  <c r="C39" i="10" s="1"/>
  <c r="D39" i="10" s="1"/>
  <c r="E39" i="10" s="1"/>
  <c r="F39" i="10" s="1"/>
  <c r="G39" i="10" s="1"/>
  <c r="H39" i="10" s="1"/>
  <c r="I39" i="10" s="1"/>
  <c r="J39" i="10" s="1"/>
  <c r="K39" i="10" s="1"/>
  <c r="L39" i="10" s="1"/>
  <c r="M39" i="10" s="1"/>
  <c r="N39" i="10" s="1"/>
  <c r="O39" i="10" s="1"/>
  <c r="P39" i="10" s="1"/>
  <c r="Q39" i="10" s="1"/>
  <c r="R39" i="10" s="1"/>
  <c r="S39" i="10" s="1"/>
  <c r="T39" i="10" s="1"/>
  <c r="J70" i="10"/>
  <c r="E65" i="10"/>
  <c r="K71" i="10"/>
  <c r="D64" i="10"/>
  <c r="B61" i="10"/>
  <c r="B38" i="10"/>
  <c r="C38" i="10" s="1"/>
  <c r="D38" i="10" s="1"/>
  <c r="E38" i="10" s="1"/>
  <c r="F38" i="10" s="1"/>
  <c r="G38" i="10" s="1"/>
  <c r="H38" i="10" s="1"/>
  <c r="I38" i="10" s="1"/>
  <c r="J38" i="10" s="1"/>
  <c r="K38" i="10" s="1"/>
  <c r="L38" i="10" s="1"/>
  <c r="M38" i="10" s="1"/>
  <c r="N38" i="10" s="1"/>
  <c r="O38" i="10" s="1"/>
  <c r="P38" i="10" s="1"/>
  <c r="Q38" i="10" s="1"/>
  <c r="R38" i="10" s="1"/>
  <c r="I69" i="10"/>
  <c r="G67" i="10"/>
  <c r="C63" i="10"/>
  <c r="T62" i="8"/>
  <c r="T61" i="8"/>
  <c r="S33" i="8"/>
  <c r="S27" i="8"/>
  <c r="S26" i="8"/>
  <c r="S23" i="8"/>
  <c r="S32" i="8"/>
  <c r="S28" i="8"/>
  <c r="S34" i="8"/>
  <c r="S18" i="8"/>
  <c r="S25" i="8"/>
  <c r="S20" i="8"/>
  <c r="S17" i="8"/>
  <c r="S19" i="8"/>
  <c r="S30" i="8"/>
  <c r="S29" i="8"/>
  <c r="S31" i="8"/>
  <c r="S24" i="8"/>
  <c r="S22" i="8"/>
  <c r="S21" i="8"/>
  <c r="AN37" i="1"/>
  <c r="AM21" i="5"/>
  <c r="AN21" i="5" s="1"/>
  <c r="AO21" i="5" s="1"/>
  <c r="AP21" i="5" s="1"/>
  <c r="AQ21" i="5" s="1"/>
  <c r="AR21" i="5" s="1"/>
  <c r="S15" i="8"/>
  <c r="S16" i="8"/>
  <c r="AN19" i="5"/>
  <c r="AB36" i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T15" i="5"/>
  <c r="T16" i="5"/>
  <c r="U17" i="5" s="1"/>
  <c r="W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T33" i="1"/>
  <c r="T34" i="1"/>
  <c r="U35" i="1" s="1"/>
  <c r="W35" i="1" s="1"/>
  <c r="Y35" i="1" s="1"/>
  <c r="Z35" i="1" s="1"/>
  <c r="AA35" i="1" s="1"/>
  <c r="AB35" i="1" s="1"/>
  <c r="S38" i="10" l="1"/>
  <c r="T38" i="10" s="1"/>
  <c r="U38" i="10" s="1"/>
  <c r="C62" i="10"/>
  <c r="C61" i="10"/>
  <c r="E64" i="10"/>
  <c r="H67" i="10"/>
  <c r="I68" i="10"/>
  <c r="K70" i="10"/>
  <c r="D63" i="10"/>
  <c r="J69" i="10"/>
  <c r="F65" i="10"/>
  <c r="G66" i="10"/>
  <c r="U61" i="8"/>
  <c r="T30" i="8"/>
  <c r="T21" i="8"/>
  <c r="T17" i="8"/>
  <c r="T23" i="8"/>
  <c r="T31" i="8"/>
  <c r="T28" i="8"/>
  <c r="T22" i="8"/>
  <c r="T26" i="8"/>
  <c r="T29" i="8"/>
  <c r="T18" i="8"/>
  <c r="T27" i="8"/>
  <c r="T25" i="8"/>
  <c r="T20" i="8"/>
  <c r="T24" i="8"/>
  <c r="T19" i="8"/>
  <c r="T33" i="8"/>
  <c r="T32" i="8"/>
  <c r="T34" i="8"/>
  <c r="AO36" i="1"/>
  <c r="AN20" i="5"/>
  <c r="AO20" i="5" s="1"/>
  <c r="AP20" i="5" s="1"/>
  <c r="AQ20" i="5" s="1"/>
  <c r="AR20" i="5" s="1"/>
  <c r="T15" i="8"/>
  <c r="T16" i="8"/>
  <c r="AO18" i="5"/>
  <c r="AC35" i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U15" i="5"/>
  <c r="W15" i="5" s="1"/>
  <c r="Y15" i="5" s="1"/>
  <c r="U16" i="5"/>
  <c r="W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U33" i="1"/>
  <c r="W33" i="1" s="1"/>
  <c r="Y33" i="1" s="1"/>
  <c r="U34" i="1"/>
  <c r="W34" i="1" s="1"/>
  <c r="Y34" i="1" s="1"/>
  <c r="Z34" i="1" s="1"/>
  <c r="AA34" i="1" s="1"/>
  <c r="AB34" i="1" s="1"/>
  <c r="AC34" i="1" s="1"/>
  <c r="K69" i="10" l="1"/>
  <c r="I67" i="10"/>
  <c r="F64" i="10"/>
  <c r="H66" i="10"/>
  <c r="D61" i="10"/>
  <c r="E63" i="10"/>
  <c r="L70" i="10"/>
  <c r="G65" i="10"/>
  <c r="J68" i="10"/>
  <c r="D62" i="10"/>
  <c r="U21" i="8"/>
  <c r="U19" i="8"/>
  <c r="U33" i="8"/>
  <c r="U26" i="8"/>
  <c r="U17" i="8"/>
  <c r="U29" i="8"/>
  <c r="U30" i="8"/>
  <c r="U23" i="8"/>
  <c r="U32" i="8"/>
  <c r="U22" i="8"/>
  <c r="U20" i="8"/>
  <c r="U18" i="8"/>
  <c r="U34" i="8"/>
  <c r="U25" i="8"/>
  <c r="U28" i="8"/>
  <c r="U27" i="8"/>
  <c r="U24" i="8"/>
  <c r="U31" i="8"/>
  <c r="AP35" i="1"/>
  <c r="AD34" i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O19" i="5"/>
  <c r="AP19" i="5" s="1"/>
  <c r="AQ19" i="5" s="1"/>
  <c r="AR19" i="5" s="1"/>
  <c r="U15" i="8"/>
  <c r="U16" i="8"/>
  <c r="AP17" i="5"/>
  <c r="Z33" i="1"/>
  <c r="AA33" i="1" s="1"/>
  <c r="AB33" i="1" s="1"/>
  <c r="AC33" i="1" s="1"/>
  <c r="AD33" i="1" s="1"/>
  <c r="AA15" i="5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L69" i="10" l="1"/>
  <c r="K68" i="10"/>
  <c r="G64" i="10"/>
  <c r="J67" i="10"/>
  <c r="E61" i="10"/>
  <c r="H65" i="10"/>
  <c r="I66" i="10"/>
  <c r="E62" i="10"/>
  <c r="F63" i="10"/>
  <c r="B47" i="8"/>
  <c r="B55" i="8"/>
  <c r="B52" i="8"/>
  <c r="B50" i="8"/>
  <c r="B46" i="8"/>
  <c r="B51" i="8"/>
  <c r="B49" i="8"/>
  <c r="B53" i="8"/>
  <c r="B54" i="8"/>
  <c r="B48" i="8"/>
  <c r="B57" i="8"/>
  <c r="B56" i="8"/>
  <c r="AQ34" i="1"/>
  <c r="AE33" i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P18" i="5"/>
  <c r="AQ18" i="5" s="1"/>
  <c r="AR18" i="5" s="1"/>
  <c r="AQ16" i="5"/>
  <c r="J66" i="10" l="1"/>
  <c r="L68" i="10"/>
  <c r="F62" i="10"/>
  <c r="H64" i="10"/>
  <c r="I65" i="10"/>
  <c r="G63" i="10"/>
  <c r="F61" i="10"/>
  <c r="M69" i="10"/>
  <c r="K67" i="10"/>
  <c r="C51" i="8"/>
  <c r="C42" i="8"/>
  <c r="C53" i="8"/>
  <c r="C46" i="8"/>
  <c r="C39" i="8"/>
  <c r="C44" i="8"/>
  <c r="C48" i="8"/>
  <c r="C54" i="8"/>
  <c r="C56" i="8"/>
  <c r="C41" i="8"/>
  <c r="C50" i="8"/>
  <c r="D50" i="8" s="1"/>
  <c r="C55" i="8"/>
  <c r="C47" i="8"/>
  <c r="D54" i="8"/>
  <c r="C49" i="8"/>
  <c r="D49" i="8" s="1"/>
  <c r="E49" i="8" s="1"/>
  <c r="C43" i="8"/>
  <c r="C40" i="8"/>
  <c r="C52" i="8"/>
  <c r="C45" i="8"/>
  <c r="D48" i="8"/>
  <c r="E48" i="8" s="1"/>
  <c r="F48" i="8" s="1"/>
  <c r="D46" i="8"/>
  <c r="C38" i="8"/>
  <c r="AR33" i="1"/>
  <c r="AQ17" i="5"/>
  <c r="AR17" i="5" s="1"/>
  <c r="AR15" i="5"/>
  <c r="M68" i="10" l="1"/>
  <c r="G61" i="10"/>
  <c r="L67" i="10"/>
  <c r="J65" i="10"/>
  <c r="K66" i="10"/>
  <c r="I64" i="10"/>
  <c r="G62" i="10"/>
  <c r="H63" i="10"/>
  <c r="D45" i="8"/>
  <c r="D43" i="8"/>
  <c r="D41" i="8"/>
  <c r="D40" i="8"/>
  <c r="D39" i="8"/>
  <c r="D42" i="8"/>
  <c r="D53" i="8"/>
  <c r="D47" i="8"/>
  <c r="E46" i="8" s="1"/>
  <c r="F46" i="8" s="1"/>
  <c r="G46" i="8" s="1"/>
  <c r="H46" i="8" s="1"/>
  <c r="E45" i="8"/>
  <c r="D55" i="8"/>
  <c r="E54" i="8" s="1"/>
  <c r="D38" i="8"/>
  <c r="D52" i="8"/>
  <c r="E52" i="8" s="1"/>
  <c r="D44" i="8"/>
  <c r="E47" i="8"/>
  <c r="F47" i="8" s="1"/>
  <c r="G47" i="8" s="1"/>
  <c r="D51" i="8"/>
  <c r="E50" i="8" s="1"/>
  <c r="F49" i="8" s="1"/>
  <c r="F52" i="8"/>
  <c r="E53" i="8"/>
  <c r="AR16" i="5"/>
  <c r="H61" i="10" l="1"/>
  <c r="H62" i="10"/>
  <c r="I63" i="10"/>
  <c r="L66" i="10"/>
  <c r="N68" i="10"/>
  <c r="K65" i="10"/>
  <c r="M67" i="10"/>
  <c r="J64" i="10"/>
  <c r="E44" i="8"/>
  <c r="E43" i="8"/>
  <c r="E40" i="8"/>
  <c r="E39" i="8"/>
  <c r="E38" i="8"/>
  <c r="F53" i="8"/>
  <c r="G52" i="8" s="1"/>
  <c r="F45" i="8"/>
  <c r="E42" i="8"/>
  <c r="E41" i="8"/>
  <c r="G48" i="8"/>
  <c r="H47" i="8" s="1"/>
  <c r="E51" i="8"/>
  <c r="F51" i="8" s="1"/>
  <c r="G51" i="8" s="1"/>
  <c r="G45" i="8"/>
  <c r="K64" i="10" l="1"/>
  <c r="J63" i="10"/>
  <c r="M66" i="10"/>
  <c r="L65" i="10"/>
  <c r="I61" i="10"/>
  <c r="N67" i="10"/>
  <c r="I62" i="10"/>
  <c r="H45" i="8"/>
  <c r="F44" i="8"/>
  <c r="F43" i="8"/>
  <c r="F42" i="8"/>
  <c r="F39" i="8"/>
  <c r="F38" i="8"/>
  <c r="F50" i="8"/>
  <c r="G50" i="8" s="1"/>
  <c r="H50" i="8" s="1"/>
  <c r="H51" i="8"/>
  <c r="F41" i="8"/>
  <c r="F40" i="8"/>
  <c r="I46" i="8"/>
  <c r="G49" i="8"/>
  <c r="H49" i="8" s="1"/>
  <c r="I49" i="8" s="1"/>
  <c r="N66" i="10" l="1"/>
  <c r="K63" i="10"/>
  <c r="M65" i="10"/>
  <c r="J62" i="10"/>
  <c r="O67" i="10"/>
  <c r="J61" i="10"/>
  <c r="L64" i="10"/>
  <c r="I45" i="8"/>
  <c r="G44" i="8"/>
  <c r="G43" i="8"/>
  <c r="G42" i="8"/>
  <c r="G41" i="8"/>
  <c r="G38" i="8"/>
  <c r="G40" i="8"/>
  <c r="G39" i="8"/>
  <c r="I50" i="8"/>
  <c r="J49" i="8" s="1"/>
  <c r="H48" i="8"/>
  <c r="M64" i="10" l="1"/>
  <c r="L63" i="10"/>
  <c r="K62" i="10"/>
  <c r="N65" i="10"/>
  <c r="K61" i="10"/>
  <c r="O66" i="10"/>
  <c r="J45" i="8"/>
  <c r="H44" i="8"/>
  <c r="H43" i="8"/>
  <c r="H42" i="8"/>
  <c r="H41" i="8"/>
  <c r="H40" i="8"/>
  <c r="H39" i="8"/>
  <c r="H38" i="8"/>
  <c r="I48" i="8"/>
  <c r="J48" i="8" s="1"/>
  <c r="K48" i="8" s="1"/>
  <c r="I47" i="8"/>
  <c r="M63" i="10" l="1"/>
  <c r="O65" i="10"/>
  <c r="P66" i="10"/>
  <c r="L61" i="10"/>
  <c r="N64" i="10"/>
  <c r="L62" i="10"/>
  <c r="I44" i="8"/>
  <c r="I43" i="8"/>
  <c r="I42" i="8"/>
  <c r="I41" i="8"/>
  <c r="I40" i="8"/>
  <c r="I39" i="8"/>
  <c r="I38" i="8"/>
  <c r="J47" i="8"/>
  <c r="K47" i="8" s="1"/>
  <c r="L47" i="8" s="1"/>
  <c r="J46" i="8"/>
  <c r="M61" i="10" l="1"/>
  <c r="P65" i="10"/>
  <c r="M62" i="10"/>
  <c r="O64" i="10"/>
  <c r="N63" i="10"/>
  <c r="J44" i="8"/>
  <c r="J43" i="8"/>
  <c r="J42" i="8"/>
  <c r="J41" i="8"/>
  <c r="J40" i="8"/>
  <c r="J39" i="8"/>
  <c r="J38" i="8"/>
  <c r="K46" i="8"/>
  <c r="L46" i="8" s="1"/>
  <c r="M46" i="8" s="1"/>
  <c r="K45" i="8"/>
  <c r="P64" i="10" l="1"/>
  <c r="O63" i="10"/>
  <c r="N61" i="10"/>
  <c r="N62" i="10"/>
  <c r="Q65" i="10"/>
  <c r="K44" i="8"/>
  <c r="K43" i="8"/>
  <c r="K42" i="8"/>
  <c r="K41" i="8"/>
  <c r="K40" i="8"/>
  <c r="K39" i="8"/>
  <c r="K38" i="8"/>
  <c r="L45" i="8"/>
  <c r="O62" i="10" l="1"/>
  <c r="O61" i="10"/>
  <c r="P63" i="10"/>
  <c r="Q64" i="10"/>
  <c r="L44" i="8"/>
  <c r="M45" i="8"/>
  <c r="L43" i="8"/>
  <c r="L42" i="8"/>
  <c r="L41" i="8"/>
  <c r="L40" i="8"/>
  <c r="L39" i="8"/>
  <c r="L38" i="8"/>
  <c r="M44" i="8"/>
  <c r="R64" i="10" l="1"/>
  <c r="Q63" i="10"/>
  <c r="P61" i="10"/>
  <c r="P62" i="10"/>
  <c r="M43" i="8"/>
  <c r="N45" i="8"/>
  <c r="N44" i="8"/>
  <c r="M42" i="8"/>
  <c r="M41" i="8"/>
  <c r="M40" i="8"/>
  <c r="M39" i="8"/>
  <c r="M38" i="8"/>
  <c r="N43" i="8"/>
  <c r="Q61" i="10" l="1"/>
  <c r="Q62" i="10"/>
  <c r="R63" i="10"/>
  <c r="N42" i="8"/>
  <c r="O44" i="8"/>
  <c r="O43" i="8"/>
  <c r="N41" i="8"/>
  <c r="N40" i="8"/>
  <c r="N39" i="8"/>
  <c r="N38" i="8"/>
  <c r="S63" i="10" l="1"/>
  <c r="R62" i="10"/>
  <c r="R61" i="10"/>
  <c r="O42" i="8"/>
  <c r="P42" i="8" s="1"/>
  <c r="P43" i="8"/>
  <c r="O41" i="8"/>
  <c r="O40" i="8"/>
  <c r="O39" i="8"/>
  <c r="O38" i="8"/>
  <c r="S61" i="10" l="1"/>
  <c r="S62" i="10"/>
  <c r="P41" i="8"/>
  <c r="P40" i="8"/>
  <c r="Q42" i="8"/>
  <c r="Q41" i="8"/>
  <c r="P39" i="8"/>
  <c r="P38" i="8"/>
  <c r="Q40" i="8"/>
  <c r="T62" i="10" l="1"/>
  <c r="T61" i="10"/>
  <c r="Q39" i="8"/>
  <c r="R41" i="8"/>
  <c r="R40" i="8"/>
  <c r="Q38" i="8"/>
  <c r="R39" i="8"/>
  <c r="U61" i="10" l="1"/>
  <c r="R38" i="8"/>
  <c r="S40" i="8"/>
  <c r="S39" i="8"/>
  <c r="S38" i="8" l="1"/>
  <c r="T38" i="8" s="1"/>
  <c r="T39" i="8"/>
  <c r="U38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<sst xmlns="http://schemas.openxmlformats.org/spreadsheetml/2006/main" count="286" uniqueCount="76">
  <si>
    <t>S0</t>
  </si>
  <si>
    <t>u</t>
  </si>
  <si>
    <t>sigma</t>
  </si>
  <si>
    <t>T</t>
  </si>
  <si>
    <t>Nsteps</t>
  </si>
  <si>
    <t>d</t>
  </si>
  <si>
    <t>r</t>
  </si>
  <si>
    <t>Tree - Underlying asset</t>
  </si>
  <si>
    <t>Payoff</t>
  </si>
  <si>
    <t>Strike</t>
  </si>
  <si>
    <t>Option tree</t>
  </si>
  <si>
    <t>qu</t>
  </si>
  <si>
    <t>qd</t>
  </si>
  <si>
    <t>disc</t>
  </si>
  <si>
    <t>d1</t>
  </si>
  <si>
    <t>d2</t>
  </si>
  <si>
    <t>N(d1)</t>
  </si>
  <si>
    <t>N(d2)</t>
  </si>
  <si>
    <t>Price</t>
  </si>
  <si>
    <t>Barrier</t>
  </si>
  <si>
    <t>i</t>
  </si>
  <si>
    <t>ST</t>
  </si>
  <si>
    <t>BINOMIAL MODEL</t>
  </si>
  <si>
    <t>Pricing of European Call</t>
  </si>
  <si>
    <t>Initial price</t>
  </si>
  <si>
    <t># steps</t>
  </si>
  <si>
    <t>Volatility</t>
  </si>
  <si>
    <t>Maturity</t>
  </si>
  <si>
    <t>Risk-free rate</t>
  </si>
  <si>
    <t>Strike price</t>
  </si>
  <si>
    <t>B&amp;S price</t>
  </si>
  <si>
    <t>Pricing of European Call (variant)</t>
  </si>
  <si>
    <t>Down-and-Out Option</t>
  </si>
  <si>
    <t>Pricing of Barrier Option:</t>
  </si>
  <si>
    <t>Pricing of European Put</t>
  </si>
  <si>
    <t>Pricing of American Put</t>
  </si>
  <si>
    <t>Hedging of European Call</t>
  </si>
  <si>
    <t>(Delta-neutral portfolio)</t>
  </si>
  <si>
    <t>Risky asset shares</t>
  </si>
  <si>
    <t>Risk-free bond shares</t>
  </si>
  <si>
    <t>Portfolio tree</t>
  </si>
  <si>
    <t>Pricing of Collar</t>
  </si>
  <si>
    <t>Call strike</t>
  </si>
  <si>
    <t>Put strike</t>
  </si>
  <si>
    <t>Tree - Call</t>
  </si>
  <si>
    <t>Tree - Put</t>
  </si>
  <si>
    <t>Tree - Collar</t>
  </si>
  <si>
    <t>q</t>
  </si>
  <si>
    <t>1-q</t>
  </si>
  <si>
    <t>e^-rdt</t>
  </si>
  <si>
    <t>Prezzo</t>
  </si>
  <si>
    <t>B&amp;S call</t>
  </si>
  <si>
    <t>Put strike=0,8</t>
  </si>
  <si>
    <t>B&amp;S put</t>
  </si>
  <si>
    <t>N(-d1)</t>
  </si>
  <si>
    <t>N(-d2)</t>
  </si>
  <si>
    <t>B&amp;S call equivalente a put</t>
  </si>
  <si>
    <t>Risk parity</t>
  </si>
  <si>
    <t>Formula</t>
  </si>
  <si>
    <t>!!!!!!!!!!!!!!!</t>
  </si>
  <si>
    <t>NON Può ESSERE NEGATIVO PERò</t>
  </si>
  <si>
    <t>Numero di d</t>
  </si>
  <si>
    <t>Collar</t>
  </si>
  <si>
    <t>Effetto collar</t>
  </si>
  <si>
    <t>Non sono ammesse opportunità d'arbitraggio;</t>
  </si>
  <si>
    <t>Vige la perfetta divisibilità di tutte le attività finanziarie (è possibile scambiare frazioni arbitrariamente piccole di ogni titolo sul mercato);</t>
  </si>
  <si>
    <t>È consentita la vendita allo scoperto del sottostante, come dello strumento derivato;</t>
  </si>
  <si>
    <t>Il sottostante e lo strumento derivato sono scambiati sul mercato in tempo continuo;</t>
  </si>
  <si>
    <t>Non sussistono costi di transazione, tassazione, né frizioni di altri tipo nel mercato;</t>
  </si>
  <si>
    <t xml:space="preserve">Il tasso d'interesse privo di rischio </t>
  </si>
  <si>
    <t>r  è costante e uguale per tutte le scadenze.</t>
  </si>
  <si>
    <t>Il prezzo del sottostante segue un moto browniano geometrico</t>
  </si>
  <si>
    <t>Hp modello di black-scholes( probabilmente cade qualcuna per put)</t>
  </si>
  <si>
    <t># di d</t>
  </si>
  <si>
    <t>s19</t>
  </si>
  <si>
    <t>PREZZO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</si>
</sst>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4" borderId="0" xfId="0" applyFont="1" applyFill="1" applyAlignment="1">
      <alignment horizontal="center"/>
    </xf>
    <xf numFmtId="0" fontId="3" fillId="0" borderId="10" xfId="0" applyFont="1" applyBorder="1"/>
    <xf numFmtId="0" fontId="3" fillId="2" borderId="10" xfId="0" applyFont="1" applyFill="1" applyBorder="1"/>
    <xf numFmtId="0" fontId="4" fillId="0" borderId="10" xfId="0" applyFont="1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1" xfId="0" applyFont="1" applyBorder="1"/>
    <xf numFmtId="0" fontId="3" fillId="0" borderId="2" xfId="0" applyFont="1" applyBorder="1"/>
    <xf numFmtId="0" fontId="3" fillId="2" borderId="3" xfId="0" applyFont="1" applyFill="1" applyBorder="1"/>
    <xf numFmtId="0" fontId="3" fillId="2" borderId="1" xfId="0" applyFont="1" applyFill="1" applyBorder="1"/>
    <xf numFmtId="0" fontId="3" fillId="0" borderId="3" xfId="0" applyFont="1" applyBorder="1"/>
    <xf numFmtId="0" fontId="3" fillId="0" borderId="8" xfId="0" applyFont="1" applyBorder="1"/>
    <xf numFmtId="0" fontId="3" fillId="3" borderId="9" xfId="0" applyFont="1" applyFill="1" applyBorder="1"/>
    <xf numFmtId="0" fontId="1" fillId="0" borderId="0" xfId="0" applyFont="1"/>
    <xf numFmtId="0" fontId="3" fillId="0" borderId="11" xfId="0" applyFont="1" applyBorder="1"/>
    <xf numFmtId="0" fontId="3" fillId="0" borderId="9" xfId="0" applyFont="1" applyBorder="1"/>
    <xf numFmtId="0" fontId="3" fillId="0" borderId="13" xfId="0" applyFont="1" applyBorder="1"/>
    <xf numFmtId="0" fontId="3" fillId="0" borderId="14" xfId="0" applyFont="1" applyBorder="1"/>
    <xf numFmtId="0" fontId="3" fillId="3" borderId="7" xfId="0" applyFont="1" applyFill="1" applyBorder="1"/>
    <xf numFmtId="0" fontId="4" fillId="0" borderId="12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" xfId="0" applyFont="1" applyBorder="1"/>
    <xf numFmtId="0" fontId="3" fillId="2" borderId="2" xfId="0" applyFont="1" applyFill="1" applyBorder="1"/>
    <xf numFmtId="0" fontId="4" fillId="0" borderId="18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21" xfId="0" applyFont="1" applyBorder="1"/>
    <xf numFmtId="0" fontId="3" fillId="0" borderId="21" xfId="0" applyFont="1" applyBorder="1"/>
    <xf numFmtId="0" fontId="3" fillId="0" borderId="22" xfId="0" applyFont="1" applyBorder="1"/>
    <xf numFmtId="0" fontId="4" fillId="0" borderId="2" xfId="0" applyFont="1" applyBorder="1"/>
    <xf numFmtId="0" fontId="4" fillId="0" borderId="6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/>
    <xf numFmtId="0" fontId="3" fillId="0" borderId="5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3" xfId="0" applyFont="1" applyBorder="1"/>
    <xf numFmtId="0" fontId="4" fillId="0" borderId="23" xfId="0" applyFont="1" applyBorder="1" applyAlignment="1">
      <alignment horizontal="center"/>
    </xf>
    <xf numFmtId="0" fontId="4" fillId="0" borderId="24" xfId="0" applyFont="1" applyBorder="1"/>
    <xf numFmtId="0" fontId="4" fillId="0" borderId="5" xfId="0" applyFont="1" applyBorder="1"/>
    <xf numFmtId="0" fontId="3" fillId="0" borderId="4" xfId="0" applyFont="1" applyBorder="1"/>
    <xf numFmtId="0" fontId="3" fillId="0" borderId="24" xfId="0" applyFont="1" applyBorder="1"/>
    <xf numFmtId="164" fontId="3" fillId="0" borderId="9" xfId="0" applyNumberFormat="1" applyFont="1" applyBorder="1"/>
    <xf numFmtId="164" fontId="3" fillId="0" borderId="0" xfId="0" applyNumberFormat="1" applyFont="1"/>
    <xf numFmtId="164" fontId="3" fillId="0" borderId="6" xfId="0" applyNumberFormat="1" applyFont="1" applyBorder="1"/>
    <xf numFmtId="2" fontId="3" fillId="0" borderId="6" xfId="0" applyNumberFormat="1" applyFont="1" applyBorder="1"/>
    <xf numFmtId="0" fontId="3" fillId="5" borderId="24" xfId="0" applyFont="1" applyFill="1" applyBorder="1"/>
    <xf numFmtId="0" fontId="3" fillId="5" borderId="0" xfId="0" applyFont="1" applyFill="1"/>
    <xf numFmtId="0" fontId="3" fillId="0" borderId="25" xfId="0" applyFont="1" applyBorder="1"/>
    <xf numFmtId="2" fontId="3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3" fillId="0" borderId="0" xfId="0" applyFont="1" applyBorder="1"/>
    <xf numFmtId="0" fontId="3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Effetto</a:t>
            </a:r>
            <a:r>
              <a:rPr lang="it-IT" baseline="0"/>
              <a:t> c</a:t>
            </a:r>
            <a:r>
              <a:rPr lang="it-IT"/>
              <a:t>ollar in funzione</a:t>
            </a:r>
            <a:r>
              <a:rPr lang="it-IT" baseline="0"/>
              <a:t> delle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'Collar(put strike=0,8)'!$D$107:$D$126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'Collar(put strike=0,8)'!$E$107:$E$126</c:f>
              <c:numCache>
                <c:formatCode>0.00</c:formatCode>
                <c:ptCount val="20"/>
                <c:pt idx="0">
                  <c:v>-1.1911628331990156</c:v>
                </c:pt>
                <c:pt idx="1">
                  <c:v>-0.98150170501391121</c:v>
                </c:pt>
                <c:pt idx="2">
                  <c:v>-0.79022401272934029</c:v>
                </c:pt>
                <c:pt idx="3">
                  <c:v>-0.61571786615643176</c:v>
                </c:pt>
                <c:pt idx="4">
                  <c:v>-0.45651270831491919</c:v>
                </c:pt>
                <c:pt idx="5">
                  <c:v>-0.31126692310269899</c:v>
                </c:pt>
                <c:pt idx="6">
                  <c:v>-0.17875652954550225</c:v>
                </c:pt>
                <c:pt idx="7">
                  <c:v>-5.7864867353532246E-2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5.0020427838678438E-3</c:v>
                </c:pt>
                <c:pt idx="13">
                  <c:v>7.4708783914414156E-2</c:v>
                </c:pt>
                <c:pt idx="14">
                  <c:v>0.13830352222163744</c:v>
                </c:pt>
                <c:pt idx="15">
                  <c:v>0.19632216826320326</c:v>
                </c:pt>
                <c:pt idx="16">
                  <c:v>0.24925364306910158</c:v>
                </c:pt>
                <c:pt idx="17">
                  <c:v>0.29754399826146904</c:v>
                </c:pt>
                <c:pt idx="18">
                  <c:v>0.34160017491546157</c:v>
                </c:pt>
                <c:pt idx="19">
                  <c:v>0.3817934328369641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6-4DDC-8791-E1F997E9D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991263"/>
        <c:axId val="255995583"/>
      </c:scatterChart>
      <c:valAx>
        <c:axId val="25599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5995583"/>
        <c:crosses val="autoZero"/>
        <c:crossBetween val="midCat"/>
      </c:valAx>
      <c:valAx>
        <c:axId val="25599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599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87152230971128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'Collar(put strike=0,8)'!$Q$107:$Q$126</c:f>
              <c:numCache>
                <c:formatCode>General</c:formatCode>
                <c:ptCount val="20"/>
                <c:pt idx="0">
                  <c:v>2.3911628331990156</c:v>
                </c:pt>
                <c:pt idx="1">
                  <c:v>2.1815017050139112</c:v>
                </c:pt>
                <c:pt idx="2">
                  <c:v>1.9902240127293402</c:v>
                </c:pt>
                <c:pt idx="3">
                  <c:v>1.8157178661564317</c:v>
                </c:pt>
                <c:pt idx="4">
                  <c:v>1.6565127083149191</c:v>
                </c:pt>
                <c:pt idx="5">
                  <c:v>1.5112669231026989</c:v>
                </c:pt>
                <c:pt idx="6">
                  <c:v>1.3787565295455022</c:v>
                </c:pt>
                <c:pt idx="7">
                  <c:v>1.2578648673535322</c:v>
                </c:pt>
                <c:pt idx="8">
                  <c:v>1.1475731868656236</c:v>
                </c:pt>
                <c:pt idx="9">
                  <c:v>1.0469520640827248</c:v>
                </c:pt>
                <c:pt idx="10">
                  <c:v>0.95515356844550259</c:v>
                </c:pt>
                <c:pt idx="11">
                  <c:v>0.87140411735421219</c:v>
                </c:pt>
                <c:pt idx="12">
                  <c:v>0.7949979572161322</c:v>
                </c:pt>
                <c:pt idx="13">
                  <c:v>0.72529121608558589</c:v>
                </c:pt>
                <c:pt idx="14">
                  <c:v>0.6616964777783626</c:v>
                </c:pt>
                <c:pt idx="15">
                  <c:v>0.60367783173679679</c:v>
                </c:pt>
                <c:pt idx="16">
                  <c:v>0.55074635693089846</c:v>
                </c:pt>
                <c:pt idx="17">
                  <c:v>0.502456001738531</c:v>
                </c:pt>
                <c:pt idx="18">
                  <c:v>0.45839982508453847</c:v>
                </c:pt>
                <c:pt idx="19">
                  <c:v>0.41820656716303595</c:v>
                </c:pt>
              </c:numCache>
            </c:numRef>
          </c:xVal>
          <c:yVal>
            <c:numRef>
              <c:f>'Collar(put strike=0,8)'!$R$107:$R$126</c:f>
              <c:numCache>
                <c:formatCode>0.00</c:formatCode>
                <c:ptCount val="2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1.1475731868656236</c:v>
                </c:pt>
                <c:pt idx="9">
                  <c:v>1.0469520640827248</c:v>
                </c:pt>
                <c:pt idx="10">
                  <c:v>0.95515356844550259</c:v>
                </c:pt>
                <c:pt idx="11">
                  <c:v>0.87140411735421219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0C-4E04-862B-2A4725771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963407"/>
        <c:axId val="1565964847"/>
      </c:scatterChart>
      <c:valAx>
        <c:axId val="156596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964847"/>
        <c:crosses val="autoZero"/>
        <c:crossBetween val="midCat"/>
      </c:valAx>
      <c:valAx>
        <c:axId val="15659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96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'Collar(put strike=0,8)'!$Y$15:$Y$34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'Collar(put strike=0,8)'!$Z$15:$Z$34</c:f>
              <c:numCache>
                <c:formatCode>General</c:formatCode>
                <c:ptCount val="20"/>
                <c:pt idx="0">
                  <c:v>2.3911628331990156</c:v>
                </c:pt>
                <c:pt idx="1">
                  <c:v>2.1815017050139112</c:v>
                </c:pt>
                <c:pt idx="2">
                  <c:v>1.9902240127293402</c:v>
                </c:pt>
                <c:pt idx="3">
                  <c:v>1.8157178661564317</c:v>
                </c:pt>
                <c:pt idx="4">
                  <c:v>1.6565127083149191</c:v>
                </c:pt>
                <c:pt idx="5">
                  <c:v>1.5112669231026989</c:v>
                </c:pt>
                <c:pt idx="6">
                  <c:v>1.3787565295455022</c:v>
                </c:pt>
                <c:pt idx="7">
                  <c:v>1.2578648673535322</c:v>
                </c:pt>
                <c:pt idx="8">
                  <c:v>1.1475731868656236</c:v>
                </c:pt>
                <c:pt idx="9">
                  <c:v>1.0469520640827248</c:v>
                </c:pt>
                <c:pt idx="10">
                  <c:v>0.95515356844550259</c:v>
                </c:pt>
                <c:pt idx="11">
                  <c:v>0.87140411735421219</c:v>
                </c:pt>
                <c:pt idx="12">
                  <c:v>0.7949979572161322</c:v>
                </c:pt>
                <c:pt idx="13">
                  <c:v>0.72529121608558589</c:v>
                </c:pt>
                <c:pt idx="14">
                  <c:v>0.6616964777783626</c:v>
                </c:pt>
                <c:pt idx="15">
                  <c:v>0.60367783173679679</c:v>
                </c:pt>
                <c:pt idx="16">
                  <c:v>0.55074635693089846</c:v>
                </c:pt>
                <c:pt idx="17">
                  <c:v>0.502456001738531</c:v>
                </c:pt>
                <c:pt idx="18">
                  <c:v>0.45839982508453847</c:v>
                </c:pt>
                <c:pt idx="19">
                  <c:v>0.41820656716303595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9-458B-945C-FBDDB12B9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50512"/>
        <c:axId val="1681050992"/>
      </c:scatterChart>
      <c:valAx>
        <c:axId val="168105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1050992"/>
        <c:crosses val="autoZero"/>
        <c:crossBetween val="midCat"/>
      </c:valAx>
      <c:valAx>
        <c:axId val="16810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105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Effetto</a:t>
            </a:r>
            <a:r>
              <a:rPr lang="it-IT" baseline="0"/>
              <a:t> c</a:t>
            </a:r>
            <a:r>
              <a:rPr lang="it-IT"/>
              <a:t>ollar in funzione</a:t>
            </a:r>
            <a:r>
              <a:rPr lang="it-IT" baseline="0"/>
              <a:t> delle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'Collar(put strike=1)'!$D$107:$D$126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'Collar(put strike=1)'!$E$107:$E$126</c:f>
              <c:numCache>
                <c:formatCode>General</c:formatCode>
                <c:ptCount val="20"/>
                <c:pt idx="0">
                  <c:v>-1.1911628331990156</c:v>
                </c:pt>
                <c:pt idx="1">
                  <c:v>-0.98150170501391121</c:v>
                </c:pt>
                <c:pt idx="2">
                  <c:v>-0.79022401272934029</c:v>
                </c:pt>
                <c:pt idx="3">
                  <c:v>-0.61571786615643176</c:v>
                </c:pt>
                <c:pt idx="4">
                  <c:v>-0.45651270831491919</c:v>
                </c:pt>
                <c:pt idx="5">
                  <c:v>-0.31126692310269899</c:v>
                </c:pt>
                <c:pt idx="6">
                  <c:v>-0.17875652954550225</c:v>
                </c:pt>
                <c:pt idx="7">
                  <c:v>-5.7864867353532246E-2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5.0020427838678438E-3</c:v>
                </c:pt>
                <c:pt idx="13">
                  <c:v>7.4708783914414156E-2</c:v>
                </c:pt>
                <c:pt idx="14">
                  <c:v>0.13830352222163744</c:v>
                </c:pt>
                <c:pt idx="15">
                  <c:v>0.19632216826320326</c:v>
                </c:pt>
                <c:pt idx="16">
                  <c:v>0.24925364306910158</c:v>
                </c:pt>
                <c:pt idx="17">
                  <c:v>0.29754399826146904</c:v>
                </c:pt>
                <c:pt idx="18">
                  <c:v>0.34160017491546157</c:v>
                </c:pt>
                <c:pt idx="19">
                  <c:v>0.3817934328369641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3-47B6-B6A6-9E476E2B9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991263"/>
        <c:axId val="255995583"/>
      </c:scatterChart>
      <c:valAx>
        <c:axId val="25599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5995583"/>
        <c:crosses val="autoZero"/>
        <c:crossBetween val="midCat"/>
      </c:valAx>
      <c:valAx>
        <c:axId val="25599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599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Collar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'Collar(put strike=1)'!$R$107:$R$126</c:f>
              <c:numCache>
                <c:formatCode>General</c:formatCode>
                <c:ptCount val="20"/>
                <c:pt idx="0">
                  <c:v>2.3911628331990156</c:v>
                </c:pt>
                <c:pt idx="1">
                  <c:v>2.1815017050139112</c:v>
                </c:pt>
                <c:pt idx="2">
                  <c:v>1.9902240127293402</c:v>
                </c:pt>
                <c:pt idx="3">
                  <c:v>1.8157178661564317</c:v>
                </c:pt>
                <c:pt idx="4">
                  <c:v>1.6565127083149191</c:v>
                </c:pt>
                <c:pt idx="5">
                  <c:v>1.5112669231026989</c:v>
                </c:pt>
                <c:pt idx="6">
                  <c:v>1.3787565295455022</c:v>
                </c:pt>
                <c:pt idx="7">
                  <c:v>1.2578648673535322</c:v>
                </c:pt>
                <c:pt idx="8">
                  <c:v>1.1475731868656236</c:v>
                </c:pt>
                <c:pt idx="9">
                  <c:v>1.0469520640827248</c:v>
                </c:pt>
                <c:pt idx="10">
                  <c:v>0.95515356844550259</c:v>
                </c:pt>
                <c:pt idx="11">
                  <c:v>0.87140411735421219</c:v>
                </c:pt>
                <c:pt idx="12">
                  <c:v>0.7949979572161322</c:v>
                </c:pt>
                <c:pt idx="13">
                  <c:v>0.72529121608558589</c:v>
                </c:pt>
                <c:pt idx="14">
                  <c:v>0.6616964777783626</c:v>
                </c:pt>
                <c:pt idx="15">
                  <c:v>0.60367783173679679</c:v>
                </c:pt>
                <c:pt idx="16">
                  <c:v>0.55074635693089846</c:v>
                </c:pt>
                <c:pt idx="17">
                  <c:v>0.502456001738531</c:v>
                </c:pt>
                <c:pt idx="18">
                  <c:v>0.45839982508453847</c:v>
                </c:pt>
                <c:pt idx="19">
                  <c:v>0.41820656716303595</c:v>
                </c:pt>
              </c:numCache>
            </c:numRef>
          </c:xVal>
          <c:yVal>
            <c:numRef>
              <c:f>'Collar(put strike=1)'!$S$107:$S$126</c:f>
              <c:numCache>
                <c:formatCode>0.00</c:formatCode>
                <c:ptCount val="2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1.1475731868656236</c:v>
                </c:pt>
                <c:pt idx="9">
                  <c:v>1.0469520640827248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0-46A1-A441-6515CDFDA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811807"/>
        <c:axId val="1563813247"/>
      </c:scatterChart>
      <c:valAx>
        <c:axId val="156381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3813247"/>
        <c:crosses val="autoZero"/>
        <c:crossBetween val="midCat"/>
      </c:valAx>
      <c:valAx>
        <c:axId val="15638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381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16</xdr:col>
      <xdr:colOff>0</xdr:colOff>
      <xdr:row>3</xdr:row>
      <xdr:rowOff>7620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511D8A86-903A-4A31-A647-090DC7F01C47}"/>
            </a:ext>
          </a:extLst>
        </xdr:cNvPr>
        <xdr:cNvSpPr txBox="1"/>
      </xdr:nvSpPr>
      <xdr:spPr>
        <a:xfrm>
          <a:off x="5935980" y="0"/>
          <a:ext cx="4267200" cy="807720"/>
        </a:xfrm>
        <a:prstGeom prst="rect">
          <a:avLst/>
        </a:prstGeom>
        <a:solidFill>
          <a:schemeClr val="lt1"/>
        </a:solidFill>
        <a:ln w="381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400"/>
            <a:t>Recall that a </a:t>
          </a:r>
          <a:r>
            <a:rPr lang="it-IT" sz="1400" b="1"/>
            <a:t>COLLAR</a:t>
          </a:r>
          <a:r>
            <a:rPr lang="it-IT" sz="1400"/>
            <a:t> is a strategy based on EU options: </a:t>
          </a:r>
        </a:p>
        <a:p>
          <a:r>
            <a:rPr lang="it-IT" sz="1400"/>
            <a:t>1 long asset + 1 long put + 1 short call.</a:t>
          </a:r>
        </a:p>
        <a:p>
          <a:r>
            <a:rPr lang="it-IT" sz="1400"/>
            <a:t>Both</a:t>
          </a:r>
          <a:r>
            <a:rPr lang="it-IT" sz="1400" baseline="0"/>
            <a:t> the options are </a:t>
          </a:r>
          <a:r>
            <a:rPr lang="it-IT" sz="1400" u="sng" baseline="0"/>
            <a:t>out-of-the-money</a:t>
          </a:r>
          <a:r>
            <a:rPr lang="it-IT" sz="1400" baseline="0"/>
            <a:t>.</a:t>
          </a:r>
        </a:p>
      </xdr:txBody>
    </xdr:sp>
    <xdr:clientData/>
  </xdr:twoCellAnchor>
  <xdr:twoCellAnchor>
    <xdr:from>
      <xdr:col>8</xdr:col>
      <xdr:colOff>424543</xdr:colOff>
      <xdr:row>105</xdr:row>
      <xdr:rowOff>21772</xdr:rowOff>
    </xdr:from>
    <xdr:to>
      <xdr:col>14</xdr:col>
      <xdr:colOff>489857</xdr:colOff>
      <xdr:row>117</xdr:row>
      <xdr:rowOff>21772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4BE7C5E-F73F-8494-5AEA-607946A36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588818</xdr:colOff>
      <xdr:row>105</xdr:row>
      <xdr:rowOff>180109</xdr:rowOff>
    </xdr:from>
    <xdr:to>
      <xdr:col>23</xdr:col>
      <xdr:colOff>464127</xdr:colOff>
      <xdr:row>117</xdr:row>
      <xdr:rowOff>96982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BC8C0B1-381D-4608-543F-61E6B2664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522514</xdr:colOff>
      <xdr:row>13</xdr:row>
      <xdr:rowOff>206828</xdr:rowOff>
    </xdr:from>
    <xdr:to>
      <xdr:col>36</xdr:col>
      <xdr:colOff>304800</xdr:colOff>
      <xdr:row>25</xdr:row>
      <xdr:rowOff>195943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0989195-B558-2D40-DD51-ACDB092B0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16</xdr:col>
      <xdr:colOff>0</xdr:colOff>
      <xdr:row>3</xdr:row>
      <xdr:rowOff>7620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1E6BF2E-DDFA-4C46-9899-18E5FCFDAC7D}"/>
            </a:ext>
          </a:extLst>
        </xdr:cNvPr>
        <xdr:cNvSpPr txBox="1"/>
      </xdr:nvSpPr>
      <xdr:spPr>
        <a:xfrm>
          <a:off x="8237220" y="0"/>
          <a:ext cx="5295900" cy="807720"/>
        </a:xfrm>
        <a:prstGeom prst="rect">
          <a:avLst/>
        </a:prstGeom>
        <a:solidFill>
          <a:schemeClr val="lt1"/>
        </a:solidFill>
        <a:ln w="381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400"/>
            <a:t>Recall that a </a:t>
          </a:r>
          <a:r>
            <a:rPr lang="it-IT" sz="1400" b="1"/>
            <a:t>COLLAR</a:t>
          </a:r>
          <a:r>
            <a:rPr lang="it-IT" sz="1400"/>
            <a:t> is a strategy based on EU options: </a:t>
          </a:r>
        </a:p>
        <a:p>
          <a:r>
            <a:rPr lang="it-IT" sz="1400"/>
            <a:t>1 long asset + 1 long put + 1 short call.</a:t>
          </a:r>
        </a:p>
        <a:p>
          <a:r>
            <a:rPr lang="it-IT" sz="1400"/>
            <a:t>Both</a:t>
          </a:r>
          <a:r>
            <a:rPr lang="it-IT" sz="1400" baseline="0"/>
            <a:t> the options are </a:t>
          </a:r>
          <a:r>
            <a:rPr lang="it-IT" sz="1400" u="sng" baseline="0"/>
            <a:t>out-of-the-money</a:t>
          </a:r>
          <a:r>
            <a:rPr lang="it-IT" sz="1400" baseline="0"/>
            <a:t>.</a:t>
          </a:r>
        </a:p>
      </xdr:txBody>
    </xdr:sp>
    <xdr:clientData/>
  </xdr:twoCellAnchor>
  <xdr:twoCellAnchor>
    <xdr:from>
      <xdr:col>8</xdr:col>
      <xdr:colOff>424543</xdr:colOff>
      <xdr:row>105</xdr:row>
      <xdr:rowOff>21772</xdr:rowOff>
    </xdr:from>
    <xdr:to>
      <xdr:col>14</xdr:col>
      <xdr:colOff>489857</xdr:colOff>
      <xdr:row>117</xdr:row>
      <xdr:rowOff>21772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4383D03-5285-46DB-A4E8-621533237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892629</xdr:colOff>
      <xdr:row>108</xdr:row>
      <xdr:rowOff>43544</xdr:rowOff>
    </xdr:from>
    <xdr:to>
      <xdr:col>26</xdr:col>
      <xdr:colOff>108857</xdr:colOff>
      <xdr:row>120</xdr:row>
      <xdr:rowOff>43544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BBD50DB-179E-4F4A-7F76-B99E0D38F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2"/>
  <sheetViews>
    <sheetView zoomScale="55" zoomScaleNormal="55" workbookViewId="0">
      <selection activeCell="R10" sqref="R10"/>
    </sheetView>
  </sheetViews>
  <sheetFormatPr defaultColWidth="8.77734375" defaultRowHeight="18" x14ac:dyDescent="0.35"/>
  <cols>
    <col min="1" max="1" width="15.44140625" style="5" bestFit="1" customWidth="1"/>
    <col min="2" max="16384" width="8.77734375" style="5"/>
  </cols>
  <sheetData>
    <row r="1" spans="1:18" s="15" customFormat="1" ht="21" x14ac:dyDescent="0.4">
      <c r="A1" s="62" t="s">
        <v>22</v>
      </c>
      <c r="B1" s="62"/>
      <c r="C1" s="62"/>
      <c r="D1" s="62"/>
      <c r="E1" s="62"/>
      <c r="F1" s="62"/>
      <c r="G1" s="62"/>
      <c r="H1" s="62"/>
    </row>
    <row r="2" spans="1:18" s="15" customFormat="1" ht="21" x14ac:dyDescent="0.4">
      <c r="A2" s="62" t="s">
        <v>23</v>
      </c>
      <c r="B2" s="62"/>
      <c r="C2" s="62"/>
      <c r="D2" s="62"/>
      <c r="E2" s="62"/>
      <c r="F2" s="62"/>
      <c r="G2" s="62"/>
      <c r="H2" s="62"/>
    </row>
    <row r="3" spans="1:18" s="15" customFormat="1" ht="21" x14ac:dyDescent="0.4">
      <c r="A3" s="1"/>
      <c r="B3" s="1"/>
      <c r="C3" s="1"/>
      <c r="D3" s="1"/>
      <c r="E3" s="1"/>
      <c r="F3" s="1"/>
      <c r="G3" s="1"/>
      <c r="H3" s="1"/>
    </row>
    <row r="4" spans="1:18" ht="18.600000000000001" thickBot="1" x14ac:dyDescent="0.4"/>
    <row r="5" spans="1:18" x14ac:dyDescent="0.35">
      <c r="A5" s="22" t="s">
        <v>24</v>
      </c>
      <c r="B5" s="27" t="s">
        <v>0</v>
      </c>
      <c r="C5" s="28">
        <v>1</v>
      </c>
      <c r="D5" s="28"/>
      <c r="E5" s="27" t="s">
        <v>1</v>
      </c>
      <c r="F5" s="29">
        <f>EXP(C6*(1/4)^0.5)</f>
        <v>1.1051709180756477</v>
      </c>
      <c r="J5" s="41" t="s">
        <v>11</v>
      </c>
      <c r="K5" s="40">
        <f>(EXP(C9*C7/C8)-F6)/(F5-F6)</f>
        <v>0.48751561546364963</v>
      </c>
      <c r="L5" s="5" t="s">
        <v>47</v>
      </c>
    </row>
    <row r="6" spans="1:18" x14ac:dyDescent="0.35">
      <c r="A6" s="23" t="s">
        <v>26</v>
      </c>
      <c r="B6" s="4" t="s">
        <v>2</v>
      </c>
      <c r="C6" s="2">
        <v>0.2</v>
      </c>
      <c r="D6" s="2"/>
      <c r="E6" s="4" t="s">
        <v>5</v>
      </c>
      <c r="F6" s="30">
        <f>1/F5</f>
        <v>0.90483741803595952</v>
      </c>
      <c r="J6" s="35" t="s">
        <v>12</v>
      </c>
      <c r="K6" s="7">
        <f>1-K5</f>
        <v>0.51248438453635037</v>
      </c>
      <c r="L6" s="5" t="s">
        <v>48</v>
      </c>
    </row>
    <row r="7" spans="1:18" ht="18.600000000000001" thickBot="1" x14ac:dyDescent="0.4">
      <c r="A7" s="23" t="s">
        <v>27</v>
      </c>
      <c r="B7" s="4" t="s">
        <v>3</v>
      </c>
      <c r="C7" s="2">
        <v>1</v>
      </c>
      <c r="D7" s="2"/>
      <c r="E7" s="2"/>
      <c r="F7" s="30"/>
      <c r="J7" s="42" t="s">
        <v>13</v>
      </c>
      <c r="K7" s="17">
        <f>EXP(-C9*C7/C8)</f>
        <v>0.99750312239746008</v>
      </c>
      <c r="L7" s="5" t="s">
        <v>49</v>
      </c>
      <c r="Q7" s="63"/>
      <c r="R7" s="63"/>
    </row>
    <row r="8" spans="1:18" x14ac:dyDescent="0.35">
      <c r="A8" s="23" t="s">
        <v>25</v>
      </c>
      <c r="B8" s="4" t="s">
        <v>4</v>
      </c>
      <c r="C8" s="3">
        <v>4</v>
      </c>
      <c r="D8" s="2"/>
      <c r="E8" s="2"/>
      <c r="F8" s="30"/>
      <c r="Q8" s="64" t="s">
        <v>30</v>
      </c>
      <c r="R8" s="65"/>
    </row>
    <row r="9" spans="1:18" x14ac:dyDescent="0.35">
      <c r="A9" s="23" t="s">
        <v>28</v>
      </c>
      <c r="B9" s="4" t="s">
        <v>6</v>
      </c>
      <c r="C9" s="2">
        <v>0.01</v>
      </c>
      <c r="D9" s="2"/>
      <c r="E9" s="2"/>
      <c r="F9" s="30"/>
      <c r="Q9" s="6" t="s">
        <v>14</v>
      </c>
      <c r="R9" s="7">
        <f>(LN(C5/C10)+(C9+C6*C6/2)*C7)/C6*SQRT(C7)</f>
        <v>1.2657177565710489</v>
      </c>
    </row>
    <row r="10" spans="1:18" ht="18.600000000000001" thickBot="1" x14ac:dyDescent="0.4">
      <c r="A10" s="24" t="s">
        <v>29</v>
      </c>
      <c r="B10" s="31" t="s">
        <v>9</v>
      </c>
      <c r="C10" s="32">
        <v>0.8</v>
      </c>
      <c r="D10" s="32"/>
      <c r="E10" s="32"/>
      <c r="F10" s="33"/>
      <c r="Q10" s="6" t="s">
        <v>15</v>
      </c>
      <c r="R10" s="7">
        <f>R9-C6*SQRT(C7)</f>
        <v>1.0657177565710489</v>
      </c>
    </row>
    <row r="11" spans="1:18" ht="18.600000000000001" thickBot="1" x14ac:dyDescent="0.4">
      <c r="Q11" s="6" t="s">
        <v>16</v>
      </c>
      <c r="R11" s="7">
        <f>_xlfn.NORM.S.DIST(R9,TRUE)</f>
        <v>0.89719292559733332</v>
      </c>
    </row>
    <row r="12" spans="1:18" ht="18.600000000000001" thickBot="1" x14ac:dyDescent="0.4">
      <c r="B12" s="57" t="s">
        <v>7</v>
      </c>
      <c r="C12" s="58"/>
      <c r="D12" s="58"/>
      <c r="E12" s="58"/>
      <c r="F12" s="59"/>
      <c r="H12" s="21" t="s">
        <v>8</v>
      </c>
      <c r="J12" s="57" t="s">
        <v>10</v>
      </c>
      <c r="K12" s="58"/>
      <c r="L12" s="58"/>
      <c r="M12" s="58"/>
      <c r="N12" s="59"/>
      <c r="Q12" s="6" t="s">
        <v>17</v>
      </c>
      <c r="R12" s="7">
        <f>_xlfn.NORM.S.DIST(R10,TRUE)</f>
        <v>0.85672437581686678</v>
      </c>
    </row>
    <row r="13" spans="1:18" ht="18.600000000000001" thickBot="1" x14ac:dyDescent="0.4">
      <c r="B13" s="8">
        <v>0</v>
      </c>
      <c r="C13" s="9">
        <v>1</v>
      </c>
      <c r="D13" s="9">
        <v>2</v>
      </c>
      <c r="E13" s="9">
        <v>3</v>
      </c>
      <c r="F13" s="10">
        <v>4</v>
      </c>
      <c r="H13" s="18"/>
      <c r="J13" s="11">
        <v>4</v>
      </c>
      <c r="K13" s="9">
        <v>3</v>
      </c>
      <c r="L13" s="9">
        <v>2</v>
      </c>
      <c r="M13" s="9">
        <v>1</v>
      </c>
      <c r="N13" s="12">
        <v>0</v>
      </c>
      <c r="Q13" s="13" t="s">
        <v>18</v>
      </c>
      <c r="R13" s="14">
        <f>C5*R11-C10*EXP(-C9*C7)*R12</f>
        <v>0.21863306492025436</v>
      </c>
    </row>
    <row r="14" spans="1:18" x14ac:dyDescent="0.35">
      <c r="B14" s="6">
        <v>1</v>
      </c>
      <c r="C14" s="5">
        <f>B14*$F$5</f>
        <v>1.1051709180756477</v>
      </c>
      <c r="D14" s="5">
        <f t="shared" ref="D14:F14" si="0">C14*$F$5</f>
        <v>1.2214027581601701</v>
      </c>
      <c r="E14" s="5">
        <f t="shared" si="0"/>
        <v>1.3498588075760034</v>
      </c>
      <c r="F14" s="5">
        <f t="shared" si="0"/>
        <v>1.4918246976412708</v>
      </c>
      <c r="H14" s="18">
        <f>MAX(F14-$C$10,0)</f>
        <v>0.69182469764127075</v>
      </c>
      <c r="J14" s="6">
        <f>H14</f>
        <v>0.69182469764127075</v>
      </c>
      <c r="K14" s="5">
        <f>$K$7*($K$5*J14+$K$6*J15)</f>
        <v>0.55185630965803534</v>
      </c>
      <c r="L14" s="5">
        <f t="shared" ref="L14:N14" si="1">$K$7*($K$5*K14+$K$6*K15)</f>
        <v>0.42539277480602433</v>
      </c>
      <c r="M14" s="5">
        <f t="shared" si="1"/>
        <v>0.3111484742203372</v>
      </c>
      <c r="N14" s="5">
        <f t="shared" si="1"/>
        <v>0.21681643567294281</v>
      </c>
    </row>
    <row r="15" spans="1:18" x14ac:dyDescent="0.35">
      <c r="B15" s="6"/>
      <c r="C15" s="5">
        <f>B14*$F$6</f>
        <v>0.90483741803595952</v>
      </c>
      <c r="D15" s="5">
        <f t="shared" ref="D15:F18" si="2">C14*$F$6</f>
        <v>1</v>
      </c>
      <c r="E15" s="5">
        <f t="shared" si="2"/>
        <v>1.1051709180756477</v>
      </c>
      <c r="F15" s="5">
        <f t="shared" si="2"/>
        <v>1.2214027581601701</v>
      </c>
      <c r="H15" s="18">
        <f t="shared" ref="H15:H18" si="3">MAX(F15-$C$10,0)</f>
        <v>0.42140275816017003</v>
      </c>
      <c r="J15" s="6">
        <f t="shared" ref="J15:J18" si="4">H15</f>
        <v>0.42140275816017003</v>
      </c>
      <c r="K15" s="5">
        <f t="shared" ref="K15:M17" si="5">$K$7*($K$5*J15+$K$6*J16)</f>
        <v>0.3071684201576797</v>
      </c>
      <c r="L15" s="5">
        <f t="shared" si="5"/>
        <v>0.20399001664585431</v>
      </c>
      <c r="M15" s="5">
        <f t="shared" si="5"/>
        <v>0.12813934814379643</v>
      </c>
    </row>
    <row r="16" spans="1:18" x14ac:dyDescent="0.35">
      <c r="B16" s="6"/>
      <c r="C16" s="5">
        <f t="shared" ref="C16:C18" si="6">B15*$F$6</f>
        <v>0</v>
      </c>
      <c r="D16" s="5">
        <f t="shared" si="2"/>
        <v>0.81873075307798171</v>
      </c>
      <c r="E16" s="5">
        <f t="shared" si="2"/>
        <v>0.90483741803595952</v>
      </c>
      <c r="F16" s="5">
        <f t="shared" si="2"/>
        <v>1</v>
      </c>
      <c r="H16" s="18">
        <f t="shared" si="3"/>
        <v>0.19999999999999996</v>
      </c>
      <c r="J16" s="6">
        <f t="shared" si="4"/>
        <v>0.19999999999999996</v>
      </c>
      <c r="K16" s="5">
        <f t="shared" si="5"/>
        <v>0.10683492011799142</v>
      </c>
      <c r="L16" s="5">
        <f t="shared" si="5"/>
        <v>5.6610073682980967E-2</v>
      </c>
    </row>
    <row r="17" spans="1:44" x14ac:dyDescent="0.35">
      <c r="B17" s="6"/>
      <c r="C17" s="5">
        <f t="shared" si="6"/>
        <v>0</v>
      </c>
      <c r="D17" s="5">
        <f t="shared" si="2"/>
        <v>0</v>
      </c>
      <c r="E17" s="5">
        <f t="shared" si="2"/>
        <v>0.74081822068171765</v>
      </c>
      <c r="F17" s="5">
        <f t="shared" si="2"/>
        <v>0.81873075307798171</v>
      </c>
      <c r="H17" s="18">
        <f t="shared" si="3"/>
        <v>1.8730753077981666E-2</v>
      </c>
      <c r="J17" s="6">
        <f t="shared" si="4"/>
        <v>1.8730753077981666E-2</v>
      </c>
      <c r="K17" s="5">
        <f t="shared" si="5"/>
        <v>9.1087342906530956E-3</v>
      </c>
    </row>
    <row r="18" spans="1:44" ht="18.600000000000001" thickBot="1" x14ac:dyDescent="0.4">
      <c r="B18" s="13"/>
      <c r="C18" s="5">
        <f t="shared" si="6"/>
        <v>0</v>
      </c>
      <c r="D18" s="5">
        <f t="shared" si="2"/>
        <v>0</v>
      </c>
      <c r="E18" s="5">
        <f t="shared" si="2"/>
        <v>0</v>
      </c>
      <c r="F18" s="5">
        <f t="shared" si="2"/>
        <v>0.67032004603563911</v>
      </c>
      <c r="H18" s="18">
        <f t="shared" si="3"/>
        <v>0</v>
      </c>
      <c r="J18" s="6">
        <f t="shared" si="4"/>
        <v>0</v>
      </c>
    </row>
    <row r="23" spans="1:44" ht="18.600000000000001" thickBot="1" x14ac:dyDescent="0.4"/>
    <row r="24" spans="1:44" ht="18.600000000000001" thickBot="1" x14ac:dyDescent="0.4">
      <c r="A24" s="25" t="s">
        <v>24</v>
      </c>
      <c r="B24" s="9" t="s">
        <v>0</v>
      </c>
      <c r="C24" s="9">
        <v>1</v>
      </c>
      <c r="D24" s="9"/>
      <c r="E24" s="34" t="s">
        <v>1</v>
      </c>
      <c r="F24" s="12">
        <f>EXP(C25*(C26/C27)^0.5)</f>
        <v>1.0469520640827252</v>
      </c>
      <c r="J24" s="41" t="s">
        <v>11</v>
      </c>
      <c r="K24" s="40">
        <f>(EXP(C28*C26/C27)-F25)/(F24-F25)</f>
        <v>0.49426611577314755</v>
      </c>
    </row>
    <row r="25" spans="1:44" ht="18.600000000000001" thickBot="1" x14ac:dyDescent="0.4">
      <c r="A25" s="25" t="s">
        <v>26</v>
      </c>
      <c r="B25" s="9" t="s">
        <v>2</v>
      </c>
      <c r="C25" s="9">
        <v>0.2</v>
      </c>
      <c r="D25" s="9"/>
      <c r="E25" s="34" t="s">
        <v>5</v>
      </c>
      <c r="F25" s="12">
        <f>1/F24</f>
        <v>0.95515356844550303</v>
      </c>
      <c r="J25" s="35" t="s">
        <v>12</v>
      </c>
      <c r="K25" s="7">
        <f>1-K24</f>
        <v>0.50573388422685239</v>
      </c>
    </row>
    <row r="26" spans="1:44" ht="18.600000000000001" thickBot="1" x14ac:dyDescent="0.4">
      <c r="A26" s="25" t="s">
        <v>27</v>
      </c>
      <c r="B26" s="9" t="s">
        <v>3</v>
      </c>
      <c r="C26" s="9">
        <v>1</v>
      </c>
      <c r="D26" s="9"/>
      <c r="E26" s="9"/>
      <c r="F26" s="12"/>
      <c r="J26" s="42" t="s">
        <v>13</v>
      </c>
      <c r="K26" s="17">
        <f>EXP(-C28*C26/C27)</f>
        <v>0.99947382269038565</v>
      </c>
    </row>
    <row r="27" spans="1:44" ht="18.600000000000001" thickBot="1" x14ac:dyDescent="0.4">
      <c r="A27" s="25" t="s">
        <v>25</v>
      </c>
      <c r="B27" s="9" t="s">
        <v>4</v>
      </c>
      <c r="C27" s="26">
        <v>19</v>
      </c>
      <c r="D27" s="9"/>
      <c r="E27" s="9"/>
      <c r="F27" s="12"/>
    </row>
    <row r="28" spans="1:44" ht="18.600000000000001" thickBot="1" x14ac:dyDescent="0.4">
      <c r="A28" s="25" t="s">
        <v>28</v>
      </c>
      <c r="B28" s="9" t="s">
        <v>6</v>
      </c>
      <c r="C28" s="9">
        <v>0.01</v>
      </c>
      <c r="D28" s="9"/>
      <c r="E28" s="9"/>
      <c r="F28" s="12"/>
    </row>
    <row r="29" spans="1:44" ht="18.600000000000001" thickBot="1" x14ac:dyDescent="0.4">
      <c r="A29" s="25" t="s">
        <v>29</v>
      </c>
      <c r="B29" s="9" t="s">
        <v>9</v>
      </c>
      <c r="C29" s="9">
        <v>0.8</v>
      </c>
      <c r="D29" s="9"/>
      <c r="E29" s="9"/>
      <c r="F29" s="12"/>
    </row>
    <row r="30" spans="1:44" ht="18.600000000000001" thickBot="1" x14ac:dyDescent="0.4"/>
    <row r="31" spans="1:44" ht="18.600000000000001" thickBot="1" x14ac:dyDescent="0.4">
      <c r="B31" s="57" t="s">
        <v>7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9"/>
      <c r="W31" s="60" t="s">
        <v>8</v>
      </c>
      <c r="Y31" s="57" t="s">
        <v>10</v>
      </c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9"/>
    </row>
    <row r="32" spans="1:44" ht="18.600000000000001" thickBot="1" x14ac:dyDescent="0.4">
      <c r="B32" s="25">
        <v>0</v>
      </c>
      <c r="C32" s="34">
        <v>1</v>
      </c>
      <c r="D32" s="34">
        <v>2</v>
      </c>
      <c r="E32" s="34">
        <v>3</v>
      </c>
      <c r="F32" s="34">
        <v>4</v>
      </c>
      <c r="G32" s="34">
        <v>5</v>
      </c>
      <c r="H32" s="34">
        <v>6</v>
      </c>
      <c r="I32" s="34">
        <v>7</v>
      </c>
      <c r="J32" s="34">
        <v>8</v>
      </c>
      <c r="K32" s="34">
        <v>9</v>
      </c>
      <c r="L32" s="34">
        <v>10</v>
      </c>
      <c r="M32" s="34">
        <v>11</v>
      </c>
      <c r="N32" s="34">
        <v>12</v>
      </c>
      <c r="O32" s="34">
        <v>13</v>
      </c>
      <c r="P32" s="34">
        <v>14</v>
      </c>
      <c r="Q32" s="34">
        <v>15</v>
      </c>
      <c r="R32" s="34">
        <v>16</v>
      </c>
      <c r="S32" s="34">
        <v>17</v>
      </c>
      <c r="T32" s="34">
        <v>18</v>
      </c>
      <c r="U32" s="43">
        <v>19</v>
      </c>
      <c r="W32" s="61"/>
      <c r="Y32" s="25">
        <v>19</v>
      </c>
      <c r="Z32" s="34">
        <v>18</v>
      </c>
      <c r="AA32" s="34">
        <v>17</v>
      </c>
      <c r="AB32" s="34">
        <v>16</v>
      </c>
      <c r="AC32" s="34">
        <v>15</v>
      </c>
      <c r="AD32" s="34">
        <v>14</v>
      </c>
      <c r="AE32" s="34">
        <v>13</v>
      </c>
      <c r="AF32" s="34">
        <v>12</v>
      </c>
      <c r="AG32" s="34">
        <v>11</v>
      </c>
      <c r="AH32" s="34">
        <v>10</v>
      </c>
      <c r="AI32" s="34">
        <v>9</v>
      </c>
      <c r="AJ32" s="34">
        <v>8</v>
      </c>
      <c r="AK32" s="34">
        <v>7</v>
      </c>
      <c r="AL32" s="34">
        <v>6</v>
      </c>
      <c r="AM32" s="34">
        <v>5</v>
      </c>
      <c r="AN32" s="34">
        <v>4</v>
      </c>
      <c r="AO32" s="34">
        <v>3</v>
      </c>
      <c r="AP32" s="34">
        <v>2</v>
      </c>
      <c r="AQ32" s="34">
        <v>1</v>
      </c>
      <c r="AR32" s="43">
        <v>0</v>
      </c>
    </row>
    <row r="33" spans="2:44" x14ac:dyDescent="0.35">
      <c r="B33" s="6">
        <v>1</v>
      </c>
      <c r="C33" s="5">
        <f>B33*$F$24</f>
        <v>1.0469520640827252</v>
      </c>
      <c r="D33" s="5">
        <f t="shared" ref="D33:U33" si="7">C33*$F$24</f>
        <v>1.0961086244870788</v>
      </c>
      <c r="E33" s="5">
        <f t="shared" si="7"/>
        <v>1.1475731868656238</v>
      </c>
      <c r="F33" s="5">
        <f t="shared" si="7"/>
        <v>1.2014541166749557</v>
      </c>
      <c r="G33" s="5">
        <f t="shared" si="7"/>
        <v>1.2578648673535322</v>
      </c>
      <c r="H33" s="5">
        <f t="shared" si="7"/>
        <v>1.316924219212924</v>
      </c>
      <c r="I33" s="5">
        <f t="shared" si="7"/>
        <v>1.3787565295455022</v>
      </c>
      <c r="J33" s="5">
        <f t="shared" si="7"/>
        <v>1.4434919944751985</v>
      </c>
      <c r="K33" s="5">
        <f t="shared" si="7"/>
        <v>1.5112669231026989</v>
      </c>
      <c r="L33" s="5">
        <f t="shared" si="7"/>
        <v>1.5822240245223198</v>
      </c>
      <c r="M33" s="5">
        <f t="shared" si="7"/>
        <v>1.6565127083149191</v>
      </c>
      <c r="N33" s="5">
        <f t="shared" si="7"/>
        <v>1.73428939914957</v>
      </c>
      <c r="O33" s="5">
        <f t="shared" si="7"/>
        <v>1.8157178661564317</v>
      </c>
      <c r="P33" s="5">
        <f t="shared" si="7"/>
        <v>1.9009695677643577</v>
      </c>
      <c r="Q33" s="5">
        <f t="shared" si="7"/>
        <v>1.9902240127293402</v>
      </c>
      <c r="R33" s="5">
        <f t="shared" si="7"/>
        <v>2.0836691381139869</v>
      </c>
      <c r="S33" s="5">
        <f t="shared" si="7"/>
        <v>2.1815017050139116</v>
      </c>
      <c r="T33" s="5">
        <f t="shared" si="7"/>
        <v>2.283927712864299</v>
      </c>
      <c r="U33" s="5">
        <f t="shared" si="7"/>
        <v>2.3911628331990156</v>
      </c>
      <c r="W33" s="18">
        <f>MAX(U33-$C$29,0)</f>
        <v>1.5911628331990155</v>
      </c>
      <c r="Y33" s="6">
        <f>W33</f>
        <v>1.5911628331990155</v>
      </c>
      <c r="Z33" s="5">
        <f>$K$26*($K$24*Y33+$K$25*Y34)</f>
        <v>1.4843486547119902</v>
      </c>
      <c r="AA33" s="5">
        <f t="shared" ref="AA33:AR47" si="8">$K$26*($K$24*Z33+$K$25*Z34)</f>
        <v>1.3823433672192453</v>
      </c>
      <c r="AB33" s="5">
        <f t="shared" si="8"/>
        <v>1.2849312993034576</v>
      </c>
      <c r="AC33" s="5">
        <f t="shared" si="8"/>
        <v>1.1919064516459239</v>
      </c>
      <c r="AD33" s="5">
        <f t="shared" si="8"/>
        <v>1.1030720632674502</v>
      </c>
      <c r="AE33" s="5">
        <f t="shared" si="8"/>
        <v>1.0182401972217887</v>
      </c>
      <c r="AF33" s="5">
        <f t="shared" si="8"/>
        <v>0.93723134486924464</v>
      </c>
      <c r="AG33" s="5">
        <f t="shared" si="8"/>
        <v>0.85987404789720157</v>
      </c>
      <c r="AH33" s="5">
        <f t="shared" si="8"/>
        <v>0.78600453729167563</v>
      </c>
      <c r="AI33" s="5">
        <f t="shared" si="8"/>
        <v>0.71546638849970823</v>
      </c>
      <c r="AJ33" s="5">
        <f t="shared" si="8"/>
        <v>0.648110192056495</v>
      </c>
      <c r="AK33" s="5">
        <f t="shared" si="8"/>
        <v>0.58379463043855939</v>
      </c>
      <c r="AL33" s="5">
        <f t="shared" si="8"/>
        <v>0.52239866110650413</v>
      </c>
      <c r="AM33" s="5">
        <f t="shared" si="8"/>
        <v>0.46385132283269009</v>
      </c>
      <c r="AN33" s="5">
        <f t="shared" si="8"/>
        <v>0.40817043862276703</v>
      </c>
      <c r="AO33" s="5">
        <f t="shared" si="8"/>
        <v>0.35548990901354011</v>
      </c>
      <c r="AP33" s="5">
        <f t="shared" si="8"/>
        <v>0.3060575790223769</v>
      </c>
      <c r="AQ33" s="5">
        <f t="shared" si="8"/>
        <v>0.26019882824889212</v>
      </c>
      <c r="AR33" s="5">
        <f t="shared" si="8"/>
        <v>0.21825551159510412</v>
      </c>
    </row>
    <row r="34" spans="2:44" x14ac:dyDescent="0.35">
      <c r="B34" s="6"/>
      <c r="C34" s="5">
        <f>B33*F25</f>
        <v>0.95515356844550303</v>
      </c>
      <c r="D34" s="5">
        <f>C33*$F$25</f>
        <v>1</v>
      </c>
      <c r="E34" s="5">
        <f t="shared" ref="E34:U48" si="9">D33*$F$25</f>
        <v>1.0469520640827252</v>
      </c>
      <c r="F34" s="5">
        <f t="shared" si="9"/>
        <v>1.0961086244870786</v>
      </c>
      <c r="G34" s="5">
        <f t="shared" si="9"/>
        <v>1.1475731868656236</v>
      </c>
      <c r="H34" s="5">
        <f t="shared" si="9"/>
        <v>1.2014541166749557</v>
      </c>
      <c r="I34" s="5">
        <f t="shared" si="9"/>
        <v>1.2578648673535322</v>
      </c>
      <c r="J34" s="5">
        <f t="shared" si="9"/>
        <v>1.316924219212924</v>
      </c>
      <c r="K34" s="5">
        <f t="shared" si="9"/>
        <v>1.3787565295455022</v>
      </c>
      <c r="L34" s="5">
        <f t="shared" si="9"/>
        <v>1.4434919944751985</v>
      </c>
      <c r="M34" s="5">
        <f t="shared" si="9"/>
        <v>1.5112669231026989</v>
      </c>
      <c r="N34" s="5">
        <f t="shared" si="9"/>
        <v>1.5822240245223198</v>
      </c>
      <c r="O34" s="5">
        <f t="shared" si="9"/>
        <v>1.6565127083149191</v>
      </c>
      <c r="P34" s="5">
        <f t="shared" si="9"/>
        <v>1.73428939914957</v>
      </c>
      <c r="Q34" s="5">
        <f t="shared" si="9"/>
        <v>1.8157178661564317</v>
      </c>
      <c r="R34" s="5">
        <f t="shared" si="9"/>
        <v>1.9009695677643577</v>
      </c>
      <c r="S34" s="5">
        <f t="shared" si="9"/>
        <v>1.9902240127293402</v>
      </c>
      <c r="T34" s="5">
        <f t="shared" si="9"/>
        <v>2.0836691381139869</v>
      </c>
      <c r="U34" s="5">
        <f t="shared" si="9"/>
        <v>2.1815017050139112</v>
      </c>
      <c r="W34" s="18">
        <f t="shared" ref="W34:W52" si="10">MAX(U34-$C$29,0)</f>
        <v>1.3815017050139111</v>
      </c>
      <c r="Y34" s="6">
        <f t="shared" ref="Y34:Y52" si="11">W34</f>
        <v>1.3815017050139111</v>
      </c>
      <c r="Z34" s="5">
        <f t="shared" ref="Z34:AO51" si="12">$K$26*($K$24*Y34+$K$25*Y35)</f>
        <v>1.2840900799616781</v>
      </c>
      <c r="AA34" s="5">
        <f t="shared" si="12"/>
        <v>1.1910656749346744</v>
      </c>
      <c r="AB34" s="5">
        <f t="shared" si="12"/>
        <v>1.1022317289538286</v>
      </c>
      <c r="AC34" s="5">
        <f t="shared" si="12"/>
        <v>1.0174003050730156</v>
      </c>
      <c r="AD34" s="5">
        <f t="shared" si="12"/>
        <v>0.93639189465266259</v>
      </c>
      <c r="AE34" s="5">
        <f t="shared" si="12"/>
        <v>0.85903503938027603</v>
      </c>
      <c r="AF34" s="5">
        <f t="shared" si="12"/>
        <v>0.7851659702419943</v>
      </c>
      <c r="AG34" s="5">
        <f t="shared" si="12"/>
        <v>0.71462826268498114</v>
      </c>
      <c r="AH34" s="5">
        <f t="shared" si="12"/>
        <v>0.64727250724455421</v>
      </c>
      <c r="AI34" s="5">
        <f t="shared" si="12"/>
        <v>0.5829559949425116</v>
      </c>
      <c r="AJ34" s="5">
        <f t="shared" si="12"/>
        <v>0.52154516960044639</v>
      </c>
      <c r="AK34" s="5">
        <f t="shared" si="12"/>
        <v>0.46293867791587284</v>
      </c>
      <c r="AL34" s="5">
        <f t="shared" si="12"/>
        <v>0.40711443048556706</v>
      </c>
      <c r="AM34" s="5">
        <f t="shared" si="12"/>
        <v>0.35417703987485999</v>
      </c>
      <c r="AN34" s="5">
        <f t="shared" si="12"/>
        <v>0.30437399142228766</v>
      </c>
      <c r="AO34" s="5">
        <f t="shared" si="12"/>
        <v>0.25806474887724568</v>
      </c>
      <c r="AP34" s="5">
        <f t="shared" si="8"/>
        <v>0.21565080699694633</v>
      </c>
      <c r="AQ34" s="5">
        <f t="shared" si="8"/>
        <v>0.17749047826114653</v>
      </c>
    </row>
    <row r="35" spans="2:44" x14ac:dyDescent="0.35">
      <c r="B35" s="6"/>
      <c r="D35" s="5">
        <f>C34*$F$25</f>
        <v>0.91231833931417827</v>
      </c>
      <c r="E35" s="5">
        <f t="shared" si="9"/>
        <v>0.95515356844550303</v>
      </c>
      <c r="F35" s="5">
        <f t="shared" si="9"/>
        <v>1</v>
      </c>
      <c r="G35" s="5">
        <f t="shared" si="9"/>
        <v>1.046952064082725</v>
      </c>
      <c r="H35" s="5">
        <f t="shared" si="9"/>
        <v>1.0961086244870784</v>
      </c>
      <c r="I35" s="5">
        <f t="shared" si="9"/>
        <v>1.1475731868656236</v>
      </c>
      <c r="J35" s="5">
        <f t="shared" si="9"/>
        <v>1.2014541166749557</v>
      </c>
      <c r="K35" s="5">
        <f t="shared" si="9"/>
        <v>1.2578648673535322</v>
      </c>
      <c r="L35" s="5">
        <f t="shared" si="9"/>
        <v>1.316924219212924</v>
      </c>
      <c r="M35" s="5">
        <f t="shared" si="9"/>
        <v>1.3787565295455022</v>
      </c>
      <c r="N35" s="5">
        <f t="shared" si="9"/>
        <v>1.4434919944751985</v>
      </c>
      <c r="O35" s="5">
        <f t="shared" si="9"/>
        <v>1.5112669231026989</v>
      </c>
      <c r="P35" s="5">
        <f t="shared" si="9"/>
        <v>1.5822240245223198</v>
      </c>
      <c r="Q35" s="5">
        <f t="shared" si="9"/>
        <v>1.6565127083149191</v>
      </c>
      <c r="R35" s="5">
        <f t="shared" si="9"/>
        <v>1.73428939914957</v>
      </c>
      <c r="S35" s="5">
        <f t="shared" si="9"/>
        <v>1.8157178661564317</v>
      </c>
      <c r="T35" s="5">
        <f t="shared" si="9"/>
        <v>1.9009695677643577</v>
      </c>
      <c r="U35" s="5">
        <f t="shared" si="9"/>
        <v>1.9902240127293402</v>
      </c>
      <c r="W35" s="18">
        <f t="shared" si="10"/>
        <v>1.1902240127293402</v>
      </c>
      <c r="Y35" s="6">
        <f t="shared" si="11"/>
        <v>1.1902240127293402</v>
      </c>
      <c r="Z35" s="5">
        <f t="shared" si="12"/>
        <v>1.1013905096120493</v>
      </c>
      <c r="AA35" s="5">
        <f t="shared" si="8"/>
        <v>1.0165595283617659</v>
      </c>
      <c r="AB35" s="5">
        <f t="shared" si="8"/>
        <v>0.93555156033904108</v>
      </c>
      <c r="AC35" s="5">
        <f t="shared" si="8"/>
        <v>0.85819514723150292</v>
      </c>
      <c r="AD35" s="5">
        <f t="shared" si="8"/>
        <v>0.78432652002541237</v>
      </c>
      <c r="AE35" s="5">
        <f t="shared" si="8"/>
        <v>0.71378925416805572</v>
      </c>
      <c r="AF35" s="5">
        <f t="shared" si="8"/>
        <v>0.64643394019487299</v>
      </c>
      <c r="AG35" s="5">
        <f t="shared" si="8"/>
        <v>0.5821178691277844</v>
      </c>
      <c r="AH35" s="5">
        <f t="shared" si="8"/>
        <v>0.52070473198227973</v>
      </c>
      <c r="AI35" s="5">
        <f t="shared" si="8"/>
        <v>0.46206977880732847</v>
      </c>
      <c r="AJ35" s="5">
        <f t="shared" si="8"/>
        <v>0.4061430234542171</v>
      </c>
      <c r="AK35" s="5">
        <f t="shared" si="8"/>
        <v>0.35297982007604456</v>
      </c>
      <c r="AL35" s="5">
        <f t="shared" si="8"/>
        <v>0.30280871907491758</v>
      </c>
      <c r="AM35" s="5">
        <f t="shared" si="8"/>
        <v>0.2560170964761409</v>
      </c>
      <c r="AN35" s="5">
        <f t="shared" si="8"/>
        <v>0.21307422946491358</v>
      </c>
      <c r="AO35" s="5">
        <f t="shared" si="8"/>
        <v>0.17442310867657415</v>
      </c>
      <c r="AP35" s="5">
        <f t="shared" si="8"/>
        <v>0.14038021648604385</v>
      </c>
    </row>
    <row r="36" spans="2:44" x14ac:dyDescent="0.35">
      <c r="B36" s="6"/>
      <c r="E36" s="5">
        <f t="shared" si="9"/>
        <v>0.87140411735421264</v>
      </c>
      <c r="F36" s="5">
        <f t="shared" si="9"/>
        <v>0.91231833931417827</v>
      </c>
      <c r="G36" s="5">
        <f t="shared" si="9"/>
        <v>0.95515356844550303</v>
      </c>
      <c r="H36" s="5">
        <f t="shared" si="9"/>
        <v>0.99999999999999978</v>
      </c>
      <c r="I36" s="5">
        <f t="shared" si="9"/>
        <v>1.0469520640827248</v>
      </c>
      <c r="J36" s="5">
        <f t="shared" si="9"/>
        <v>1.0961086244870784</v>
      </c>
      <c r="K36" s="5">
        <f t="shared" si="9"/>
        <v>1.1475731868656236</v>
      </c>
      <c r="L36" s="5">
        <f t="shared" si="9"/>
        <v>1.2014541166749557</v>
      </c>
      <c r="M36" s="5">
        <f t="shared" si="9"/>
        <v>1.2578648673535322</v>
      </c>
      <c r="N36" s="5">
        <f t="shared" si="9"/>
        <v>1.316924219212924</v>
      </c>
      <c r="O36" s="5">
        <f t="shared" si="9"/>
        <v>1.3787565295455022</v>
      </c>
      <c r="P36" s="5">
        <f t="shared" si="9"/>
        <v>1.4434919944751985</v>
      </c>
      <c r="Q36" s="5">
        <f t="shared" si="9"/>
        <v>1.5112669231026989</v>
      </c>
      <c r="R36" s="5">
        <f t="shared" si="9"/>
        <v>1.5822240245223198</v>
      </c>
      <c r="S36" s="5">
        <f t="shared" si="9"/>
        <v>1.6565127083149191</v>
      </c>
      <c r="T36" s="5">
        <f t="shared" si="9"/>
        <v>1.73428939914957</v>
      </c>
      <c r="U36" s="5">
        <f t="shared" si="9"/>
        <v>1.8157178661564317</v>
      </c>
      <c r="W36" s="18">
        <f t="shared" si="10"/>
        <v>1.0157178661564317</v>
      </c>
      <c r="Y36" s="6">
        <f t="shared" si="11"/>
        <v>1.0157178661564317</v>
      </c>
      <c r="Z36" s="5">
        <f t="shared" si="12"/>
        <v>0.93471034099726158</v>
      </c>
      <c r="AA36" s="5">
        <f t="shared" si="8"/>
        <v>0.85735437052025343</v>
      </c>
      <c r="AB36" s="5">
        <f t="shared" si="8"/>
        <v>0.78348618571179096</v>
      </c>
      <c r="AC36" s="5">
        <f t="shared" si="8"/>
        <v>0.71294936201928261</v>
      </c>
      <c r="AD36" s="5">
        <f t="shared" si="8"/>
        <v>0.64559448997829105</v>
      </c>
      <c r="AE36" s="5">
        <f t="shared" si="8"/>
        <v>0.58127886061085909</v>
      </c>
      <c r="AF36" s="5">
        <f t="shared" si="8"/>
        <v>0.51986616493259852</v>
      </c>
      <c r="AG36" s="5">
        <f t="shared" si="8"/>
        <v>0.46122620693581451</v>
      </c>
      <c r="AH36" s="5">
        <f t="shared" si="8"/>
        <v>0.40524540373501428</v>
      </c>
      <c r="AI36" s="5">
        <f t="shared" si="8"/>
        <v>0.35190721833367494</v>
      </c>
      <c r="AJ36" s="5">
        <f t="shared" si="8"/>
        <v>0.30138956065482236</v>
      </c>
      <c r="AK36" s="5">
        <f t="shared" si="8"/>
        <v>0.25409048795245376</v>
      </c>
      <c r="AL36" s="5">
        <f t="shared" si="8"/>
        <v>0.21055300367194443</v>
      </c>
      <c r="AM36" s="5">
        <f t="shared" si="8"/>
        <v>0.17132691751262594</v>
      </c>
      <c r="AN36" s="5">
        <f t="shared" si="8"/>
        <v>0.13682999076103924</v>
      </c>
      <c r="AO36" s="5">
        <f t="shared" si="8"/>
        <v>0.1072553956186688</v>
      </c>
    </row>
    <row r="37" spans="2:44" x14ac:dyDescent="0.35">
      <c r="B37" s="6"/>
      <c r="E37" s="5">
        <f t="shared" si="9"/>
        <v>0</v>
      </c>
      <c r="F37" s="5">
        <f t="shared" si="9"/>
        <v>0.83232475224898006</v>
      </c>
      <c r="G37" s="5">
        <f t="shared" si="9"/>
        <v>0.87140411735421264</v>
      </c>
      <c r="H37" s="5">
        <f t="shared" si="9"/>
        <v>0.91231833931417827</v>
      </c>
      <c r="I37" s="5">
        <f t="shared" si="9"/>
        <v>0.95515356844550281</v>
      </c>
      <c r="J37" s="5">
        <f t="shared" si="9"/>
        <v>0.99999999999999956</v>
      </c>
      <c r="K37" s="5">
        <f t="shared" si="9"/>
        <v>1.0469520640827248</v>
      </c>
      <c r="L37" s="5">
        <f t="shared" si="9"/>
        <v>1.0961086244870784</v>
      </c>
      <c r="M37" s="5">
        <f t="shared" si="9"/>
        <v>1.1475731868656236</v>
      </c>
      <c r="N37" s="5">
        <f t="shared" si="9"/>
        <v>1.2014541166749557</v>
      </c>
      <c r="O37" s="5">
        <f t="shared" si="9"/>
        <v>1.2578648673535322</v>
      </c>
      <c r="P37" s="5">
        <f t="shared" si="9"/>
        <v>1.316924219212924</v>
      </c>
      <c r="Q37" s="5">
        <f t="shared" si="9"/>
        <v>1.3787565295455022</v>
      </c>
      <c r="R37" s="5">
        <f t="shared" si="9"/>
        <v>1.4434919944751985</v>
      </c>
      <c r="S37" s="5">
        <f t="shared" si="9"/>
        <v>1.5112669231026989</v>
      </c>
      <c r="T37" s="5">
        <f t="shared" si="9"/>
        <v>1.5822240245223198</v>
      </c>
      <c r="U37" s="5">
        <f t="shared" si="9"/>
        <v>1.6565127083149191</v>
      </c>
      <c r="W37" s="18">
        <f t="shared" si="10"/>
        <v>0.8565127083149191</v>
      </c>
      <c r="Y37" s="6">
        <f t="shared" si="11"/>
        <v>0.8565127083149191</v>
      </c>
      <c r="Z37" s="5">
        <f t="shared" si="12"/>
        <v>0.78264496637001146</v>
      </c>
      <c r="AA37" s="5">
        <f t="shared" si="8"/>
        <v>0.71210858530803323</v>
      </c>
      <c r="AB37" s="5">
        <f t="shared" si="8"/>
        <v>0.64475415566466954</v>
      </c>
      <c r="AC37" s="5">
        <f t="shared" si="8"/>
        <v>0.58043896846208587</v>
      </c>
      <c r="AD37" s="5">
        <f t="shared" si="8"/>
        <v>0.51902671471601658</v>
      </c>
      <c r="AE37" s="5">
        <f t="shared" si="8"/>
        <v>0.46038719841888909</v>
      </c>
      <c r="AF37" s="5">
        <f t="shared" si="8"/>
        <v>0.40439606239463011</v>
      </c>
      <c r="AG37" s="5">
        <f t="shared" si="8"/>
        <v>0.35095584193261237</v>
      </c>
      <c r="AH37" s="5">
        <f t="shared" si="8"/>
        <v>0.30014482814673882</v>
      </c>
      <c r="AI37" s="5">
        <f t="shared" si="8"/>
        <v>0.25233115389762567</v>
      </c>
      <c r="AJ37" s="5">
        <f t="shared" si="8"/>
        <v>0.20812844618560822</v>
      </c>
      <c r="AK37" s="5">
        <f t="shared" si="8"/>
        <v>0.16822193317099604</v>
      </c>
      <c r="AL37" s="5">
        <f t="shared" si="8"/>
        <v>0.13316864880783308</v>
      </c>
      <c r="AM37" s="5">
        <f t="shared" si="8"/>
        <v>0.10325773511098478</v>
      </c>
      <c r="AN37" s="5">
        <f t="shared" si="8"/>
        <v>7.846306895323546E-2</v>
      </c>
    </row>
    <row r="38" spans="2:44" x14ac:dyDescent="0.35">
      <c r="B38" s="6"/>
      <c r="E38" s="5">
        <f t="shared" si="9"/>
        <v>0</v>
      </c>
      <c r="F38" s="5">
        <f t="shared" si="9"/>
        <v>0</v>
      </c>
      <c r="G38" s="5">
        <f t="shared" si="9"/>
        <v>0.79499795721613253</v>
      </c>
      <c r="H38" s="5">
        <f t="shared" si="9"/>
        <v>0.83232475224898006</v>
      </c>
      <c r="I38" s="5">
        <f t="shared" si="9"/>
        <v>0.87140411735421264</v>
      </c>
      <c r="J38" s="5">
        <f t="shared" si="9"/>
        <v>0.91231833931417805</v>
      </c>
      <c r="K38" s="5">
        <f t="shared" si="9"/>
        <v>0.95515356844550259</v>
      </c>
      <c r="L38" s="5">
        <f t="shared" si="9"/>
        <v>0.99999999999999956</v>
      </c>
      <c r="M38" s="5">
        <f t="shared" si="9"/>
        <v>1.0469520640827248</v>
      </c>
      <c r="N38" s="5">
        <f t="shared" si="9"/>
        <v>1.0961086244870784</v>
      </c>
      <c r="O38" s="5">
        <f t="shared" si="9"/>
        <v>1.1475731868656236</v>
      </c>
      <c r="P38" s="5">
        <f t="shared" si="9"/>
        <v>1.2014541166749557</v>
      </c>
      <c r="Q38" s="5">
        <f t="shared" si="9"/>
        <v>1.2578648673535322</v>
      </c>
      <c r="R38" s="5">
        <f t="shared" si="9"/>
        <v>1.316924219212924</v>
      </c>
      <c r="S38" s="5">
        <f t="shared" si="9"/>
        <v>1.3787565295455022</v>
      </c>
      <c r="T38" s="5">
        <f t="shared" si="9"/>
        <v>1.4434919944751985</v>
      </c>
      <c r="U38" s="5">
        <f t="shared" si="9"/>
        <v>1.5112669231026989</v>
      </c>
      <c r="W38" s="18">
        <f t="shared" si="10"/>
        <v>0.7112669231026989</v>
      </c>
      <c r="Y38" s="6">
        <f t="shared" si="11"/>
        <v>0.7112669231026989</v>
      </c>
      <c r="Z38" s="5">
        <f t="shared" si="12"/>
        <v>0.64391293632289015</v>
      </c>
      <c r="AA38" s="5">
        <f t="shared" si="8"/>
        <v>0.57959819175083649</v>
      </c>
      <c r="AB38" s="5">
        <f t="shared" si="8"/>
        <v>0.51818638040239506</v>
      </c>
      <c r="AC38" s="5">
        <f t="shared" si="8"/>
        <v>0.45954730627011592</v>
      </c>
      <c r="AD38" s="5">
        <f t="shared" si="8"/>
        <v>0.40355661217804817</v>
      </c>
      <c r="AE38" s="5">
        <f t="shared" si="8"/>
        <v>0.35009551793098043</v>
      </c>
      <c r="AF38" s="5">
        <f t="shared" si="8"/>
        <v>0.29909274002570435</v>
      </c>
      <c r="AG38" s="5">
        <f t="shared" si="8"/>
        <v>0.25079842154831777</v>
      </c>
      <c r="AH38" s="5">
        <f t="shared" si="8"/>
        <v>0.20586434801539866</v>
      </c>
      <c r="AI38" s="5">
        <f t="shared" si="8"/>
        <v>0.16514471263267708</v>
      </c>
      <c r="AJ38" s="5">
        <f t="shared" si="8"/>
        <v>0.12939543443102539</v>
      </c>
      <c r="AK38" s="5">
        <f t="shared" si="8"/>
        <v>9.9048839882089651E-2</v>
      </c>
      <c r="AL38" s="5">
        <f t="shared" si="8"/>
        <v>7.4132554633556141E-2</v>
      </c>
      <c r="AM38" s="5">
        <f t="shared" si="8"/>
        <v>5.4312312017290351E-2</v>
      </c>
    </row>
    <row r="39" spans="2:44" x14ac:dyDescent="0.35">
      <c r="B39" s="6"/>
      <c r="E39" s="5">
        <f t="shared" si="9"/>
        <v>0</v>
      </c>
      <c r="F39" s="5">
        <f t="shared" si="9"/>
        <v>0</v>
      </c>
      <c r="G39" s="5">
        <f t="shared" si="9"/>
        <v>0</v>
      </c>
      <c r="H39" s="5">
        <f t="shared" si="9"/>
        <v>0.75934513574187434</v>
      </c>
      <c r="I39" s="5">
        <f t="shared" si="9"/>
        <v>0.79499795721613253</v>
      </c>
      <c r="J39" s="5">
        <f t="shared" si="9"/>
        <v>0.83232475224898006</v>
      </c>
      <c r="K39" s="5">
        <f t="shared" si="9"/>
        <v>0.87140411735421242</v>
      </c>
      <c r="L39" s="5">
        <f t="shared" si="9"/>
        <v>0.91231833931417783</v>
      </c>
      <c r="M39" s="5">
        <f t="shared" si="9"/>
        <v>0.95515356844550259</v>
      </c>
      <c r="N39" s="5">
        <f t="shared" si="9"/>
        <v>0.99999999999999956</v>
      </c>
      <c r="O39" s="5">
        <f t="shared" si="9"/>
        <v>1.0469520640827248</v>
      </c>
      <c r="P39" s="5">
        <f t="shared" si="9"/>
        <v>1.0961086244870784</v>
      </c>
      <c r="Q39" s="5">
        <f t="shared" si="9"/>
        <v>1.1475731868656236</v>
      </c>
      <c r="R39" s="5">
        <f t="shared" si="9"/>
        <v>1.2014541166749557</v>
      </c>
      <c r="S39" s="5">
        <f t="shared" si="9"/>
        <v>1.2578648673535322</v>
      </c>
      <c r="T39" s="5">
        <f t="shared" si="9"/>
        <v>1.316924219212924</v>
      </c>
      <c r="U39" s="5">
        <f t="shared" si="9"/>
        <v>1.3787565295455022</v>
      </c>
      <c r="W39" s="18">
        <f t="shared" si="10"/>
        <v>0.57875652954550216</v>
      </c>
      <c r="Y39" s="6">
        <f t="shared" si="11"/>
        <v>0.57875652954550216</v>
      </c>
      <c r="Z39" s="5">
        <f t="shared" si="12"/>
        <v>0.51734516106061557</v>
      </c>
      <c r="AA39" s="5">
        <f t="shared" si="8"/>
        <v>0.45870652955886643</v>
      </c>
      <c r="AB39" s="5">
        <f t="shared" si="8"/>
        <v>0.40271627786442665</v>
      </c>
      <c r="AC39" s="5">
        <f t="shared" si="8"/>
        <v>0.34925562578220726</v>
      </c>
      <c r="AD39" s="5">
        <f t="shared" si="8"/>
        <v>0.29821111999017091</v>
      </c>
      <c r="AE39" s="5">
        <f t="shared" si="8"/>
        <v>0.24955782246183433</v>
      </c>
      <c r="AF39" s="5">
        <f t="shared" si="8"/>
        <v>0.20386027475583046</v>
      </c>
      <c r="AG39" s="5">
        <f t="shared" si="8"/>
        <v>0.16216347586630911</v>
      </c>
      <c r="AH39" s="5">
        <f t="shared" si="8"/>
        <v>0.12552032618306599</v>
      </c>
      <c r="AI39" s="5">
        <f t="shared" si="8"/>
        <v>9.4591485867927136E-2</v>
      </c>
      <c r="AJ39" s="5">
        <f t="shared" si="8"/>
        <v>6.9493476495565309E-2</v>
      </c>
      <c r="AK39" s="5">
        <f t="shared" si="8"/>
        <v>4.9858428440548885E-2</v>
      </c>
      <c r="AL39" s="5">
        <f t="shared" si="8"/>
        <v>3.4998040846044708E-2</v>
      </c>
    </row>
    <row r="40" spans="2:44" x14ac:dyDescent="0.35">
      <c r="B40" s="6"/>
      <c r="E40" s="5">
        <f t="shared" si="9"/>
        <v>0</v>
      </c>
      <c r="F40" s="5">
        <f t="shared" si="9"/>
        <v>0</v>
      </c>
      <c r="G40" s="5">
        <f t="shared" si="9"/>
        <v>0</v>
      </c>
      <c r="H40" s="5">
        <f t="shared" si="9"/>
        <v>0</v>
      </c>
      <c r="I40" s="5">
        <f t="shared" si="9"/>
        <v>0.72529121608558622</v>
      </c>
      <c r="J40" s="5">
        <f t="shared" si="9"/>
        <v>0.75934513574187434</v>
      </c>
      <c r="K40" s="5">
        <f t="shared" si="9"/>
        <v>0.79499795721613253</v>
      </c>
      <c r="L40" s="5">
        <f t="shared" si="9"/>
        <v>0.83232475224897984</v>
      </c>
      <c r="M40" s="5">
        <f t="shared" si="9"/>
        <v>0.87140411735421219</v>
      </c>
      <c r="N40" s="5">
        <f t="shared" si="9"/>
        <v>0.91231833931417783</v>
      </c>
      <c r="O40" s="5">
        <f t="shared" si="9"/>
        <v>0.95515356844550259</v>
      </c>
      <c r="P40" s="5">
        <f t="shared" si="9"/>
        <v>0.99999999999999956</v>
      </c>
      <c r="Q40" s="5">
        <f t="shared" si="9"/>
        <v>1.0469520640827248</v>
      </c>
      <c r="R40" s="5">
        <f t="shared" si="9"/>
        <v>1.0961086244870784</v>
      </c>
      <c r="S40" s="5">
        <f t="shared" si="9"/>
        <v>1.1475731868656236</v>
      </c>
      <c r="T40" s="5">
        <f t="shared" si="9"/>
        <v>1.2014541166749557</v>
      </c>
      <c r="U40" s="5">
        <f t="shared" si="9"/>
        <v>1.2578648673535322</v>
      </c>
      <c r="W40" s="18">
        <f t="shared" si="10"/>
        <v>0.45786486735353216</v>
      </c>
      <c r="Y40" s="6">
        <f t="shared" si="11"/>
        <v>0.45786486735353216</v>
      </c>
      <c r="Z40" s="5">
        <f t="shared" si="12"/>
        <v>0.4018750585226471</v>
      </c>
      <c r="AA40" s="5">
        <f t="shared" si="8"/>
        <v>0.34841484907095777</v>
      </c>
      <c r="AB40" s="5">
        <f t="shared" si="8"/>
        <v>0.2973707856765494</v>
      </c>
      <c r="AC40" s="5">
        <f t="shared" si="8"/>
        <v>0.24863450299930839</v>
      </c>
      <c r="AD40" s="5">
        <f t="shared" si="8"/>
        <v>0.20226754521999982</v>
      </c>
      <c r="AE40" s="5">
        <f t="shared" si="8"/>
        <v>0.15941115440972084</v>
      </c>
      <c r="AF40" s="5">
        <f t="shared" si="8"/>
        <v>0.12158098019945554</v>
      </c>
      <c r="AG40" s="5">
        <f t="shared" si="8"/>
        <v>8.9838741245346132E-2</v>
      </c>
      <c r="AH40" s="5">
        <f t="shared" si="8"/>
        <v>6.4462439452437043E-2</v>
      </c>
      <c r="AI40" s="5">
        <f t="shared" si="8"/>
        <v>4.5036917718107222E-2</v>
      </c>
      <c r="AJ40" s="5">
        <f t="shared" si="8"/>
        <v>3.0720516087630875E-2</v>
      </c>
      <c r="AK40" s="5">
        <f t="shared" si="8"/>
        <v>2.0511051909764318E-2</v>
      </c>
    </row>
    <row r="41" spans="2:44" x14ac:dyDescent="0.35">
      <c r="B41" s="6"/>
      <c r="E41" s="5">
        <f t="shared" si="9"/>
        <v>0</v>
      </c>
      <c r="F41" s="5">
        <f t="shared" si="9"/>
        <v>0</v>
      </c>
      <c r="G41" s="5">
        <f t="shared" si="9"/>
        <v>0</v>
      </c>
      <c r="H41" s="5">
        <f t="shared" si="9"/>
        <v>0</v>
      </c>
      <c r="I41" s="5">
        <f t="shared" si="9"/>
        <v>0</v>
      </c>
      <c r="J41" s="5">
        <f t="shared" si="9"/>
        <v>0.69276449320632616</v>
      </c>
      <c r="K41" s="5">
        <f t="shared" si="9"/>
        <v>0.72529121608558622</v>
      </c>
      <c r="L41" s="5">
        <f t="shared" si="9"/>
        <v>0.75934513574187434</v>
      </c>
      <c r="M41" s="5">
        <f t="shared" si="9"/>
        <v>0.79499795721613231</v>
      </c>
      <c r="N41" s="5">
        <f t="shared" si="9"/>
        <v>0.83232475224897973</v>
      </c>
      <c r="O41" s="5">
        <f t="shared" si="9"/>
        <v>0.87140411735421219</v>
      </c>
      <c r="P41" s="5">
        <f t="shared" si="9"/>
        <v>0.91231833931417783</v>
      </c>
      <c r="Q41" s="5">
        <f t="shared" si="9"/>
        <v>0.95515356844550259</v>
      </c>
      <c r="R41" s="5">
        <f t="shared" si="9"/>
        <v>0.99999999999999956</v>
      </c>
      <c r="S41" s="5">
        <f t="shared" si="9"/>
        <v>1.0469520640827248</v>
      </c>
      <c r="T41" s="5">
        <f t="shared" si="9"/>
        <v>1.0961086244870784</v>
      </c>
      <c r="U41" s="5">
        <f t="shared" si="9"/>
        <v>1.1475731868656236</v>
      </c>
      <c r="W41" s="18">
        <f t="shared" si="10"/>
        <v>0.34757318686562355</v>
      </c>
      <c r="Y41" s="6">
        <f t="shared" si="11"/>
        <v>0.34757318686562355</v>
      </c>
      <c r="Z41" s="5">
        <f t="shared" si="12"/>
        <v>0.29652956633476996</v>
      </c>
      <c r="AA41" s="5">
        <f t="shared" si="8"/>
        <v>0.24779372628805901</v>
      </c>
      <c r="AB41" s="5">
        <f t="shared" si="8"/>
        <v>0.20126216118947052</v>
      </c>
      <c r="AC41" s="5">
        <f t="shared" si="8"/>
        <v>0.15716253602309618</v>
      </c>
      <c r="AD41" s="5">
        <f t="shared" si="8"/>
        <v>0.11769249606128546</v>
      </c>
      <c r="AE41" s="5">
        <f t="shared" si="8"/>
        <v>8.4735186363805642E-2</v>
      </c>
      <c r="AF41" s="5">
        <f t="shared" si="8"/>
        <v>5.8909792941917165E-2</v>
      </c>
      <c r="AG41" s="5">
        <f t="shared" si="8"/>
        <v>3.9728661510314192E-2</v>
      </c>
      <c r="AH41" s="5">
        <f t="shared" si="8"/>
        <v>2.6098761518949146E-2</v>
      </c>
      <c r="AI41" s="5">
        <f t="shared" si="8"/>
        <v>1.6760725182591016E-2</v>
      </c>
      <c r="AJ41" s="5">
        <f t="shared" si="8"/>
        <v>1.0554443842709607E-2</v>
      </c>
    </row>
    <row r="42" spans="2:44" x14ac:dyDescent="0.35">
      <c r="B42" s="6"/>
      <c r="E42" s="5">
        <f t="shared" si="9"/>
        <v>0</v>
      </c>
      <c r="F42" s="5">
        <f t="shared" si="9"/>
        <v>0</v>
      </c>
      <c r="G42" s="5">
        <f t="shared" si="9"/>
        <v>0</v>
      </c>
      <c r="H42" s="5">
        <f t="shared" si="9"/>
        <v>0</v>
      </c>
      <c r="I42" s="5">
        <f t="shared" si="9"/>
        <v>0</v>
      </c>
      <c r="J42" s="5">
        <f t="shared" si="9"/>
        <v>0</v>
      </c>
      <c r="K42" s="5">
        <f t="shared" si="9"/>
        <v>0.66169647777836282</v>
      </c>
      <c r="L42" s="5">
        <f t="shared" si="9"/>
        <v>0.69276449320632616</v>
      </c>
      <c r="M42" s="5">
        <f t="shared" si="9"/>
        <v>0.72529121608558622</v>
      </c>
      <c r="N42" s="5">
        <f t="shared" si="9"/>
        <v>0.75934513574187412</v>
      </c>
      <c r="O42" s="5">
        <f t="shared" si="9"/>
        <v>0.7949979572161322</v>
      </c>
      <c r="P42" s="5">
        <f t="shared" si="9"/>
        <v>0.83232475224897973</v>
      </c>
      <c r="Q42" s="5">
        <f t="shared" si="9"/>
        <v>0.87140411735421219</v>
      </c>
      <c r="R42" s="5">
        <f t="shared" si="9"/>
        <v>0.91231833931417783</v>
      </c>
      <c r="S42" s="5">
        <f t="shared" si="9"/>
        <v>0.95515356844550259</v>
      </c>
      <c r="T42" s="5">
        <f t="shared" si="9"/>
        <v>0.99999999999999956</v>
      </c>
      <c r="U42" s="5">
        <f t="shared" si="9"/>
        <v>1.0469520640827248</v>
      </c>
      <c r="W42" s="18">
        <f t="shared" si="10"/>
        <v>0.24695206408272474</v>
      </c>
      <c r="Y42" s="6">
        <f t="shared" si="11"/>
        <v>0.24695206408272474</v>
      </c>
      <c r="Z42" s="5">
        <f t="shared" si="12"/>
        <v>0.20042094184769108</v>
      </c>
      <c r="AA42" s="5">
        <f t="shared" si="8"/>
        <v>0.15599523065083679</v>
      </c>
      <c r="AB42" s="5">
        <f t="shared" si="8"/>
        <v>0.11422649353204353</v>
      </c>
      <c r="AC42" s="5">
        <f t="shared" si="8"/>
        <v>7.9239973449862972E-2</v>
      </c>
      <c r="AD42" s="5">
        <f t="shared" si="8"/>
        <v>5.2613407000338647E-2</v>
      </c>
      <c r="AE42" s="5">
        <f t="shared" si="8"/>
        <v>3.37313266037279E-2</v>
      </c>
      <c r="AF42" s="5">
        <f t="shared" si="8"/>
        <v>2.1023828200803001E-2</v>
      </c>
      <c r="AG42" s="5">
        <f t="shared" si="8"/>
        <v>1.2805094372852887E-2</v>
      </c>
      <c r="AH42" s="5">
        <f t="shared" si="8"/>
        <v>7.6518809139917423E-3</v>
      </c>
      <c r="AI42" s="5">
        <f t="shared" si="8"/>
        <v>4.4998799026143817E-3</v>
      </c>
    </row>
    <row r="43" spans="2:44" x14ac:dyDescent="0.35">
      <c r="B43" s="6"/>
      <c r="E43" s="5">
        <f t="shared" si="9"/>
        <v>0</v>
      </c>
      <c r="F43" s="5">
        <f t="shared" si="9"/>
        <v>0</v>
      </c>
      <c r="G43" s="5">
        <f t="shared" si="9"/>
        <v>0</v>
      </c>
      <c r="H43" s="5">
        <f t="shared" si="9"/>
        <v>0</v>
      </c>
      <c r="I43" s="5">
        <f t="shared" si="9"/>
        <v>0</v>
      </c>
      <c r="J43" s="5">
        <f t="shared" si="9"/>
        <v>0</v>
      </c>
      <c r="K43" s="5">
        <f t="shared" si="9"/>
        <v>0</v>
      </c>
      <c r="L43" s="5">
        <f t="shared" si="9"/>
        <v>0.63202175197782373</v>
      </c>
      <c r="M43" s="5">
        <f t="shared" si="9"/>
        <v>0.66169647777836282</v>
      </c>
      <c r="N43" s="5">
        <f t="shared" si="9"/>
        <v>0.69276449320632616</v>
      </c>
      <c r="O43" s="5">
        <f t="shared" si="9"/>
        <v>0.725291216085586</v>
      </c>
      <c r="P43" s="5">
        <f t="shared" si="9"/>
        <v>0.75934513574187401</v>
      </c>
      <c r="Q43" s="5">
        <f t="shared" si="9"/>
        <v>0.7949979572161322</v>
      </c>
      <c r="R43" s="5">
        <f t="shared" si="9"/>
        <v>0.83232475224897973</v>
      </c>
      <c r="S43" s="5">
        <f t="shared" si="9"/>
        <v>0.87140411735421219</v>
      </c>
      <c r="T43" s="5">
        <f t="shared" si="9"/>
        <v>0.91231833931417783</v>
      </c>
      <c r="U43" s="5">
        <f t="shared" si="9"/>
        <v>0.95515356844550259</v>
      </c>
      <c r="W43" s="18">
        <f t="shared" si="10"/>
        <v>0.15515356844550254</v>
      </c>
      <c r="Y43" s="6">
        <f t="shared" si="11"/>
        <v>0.15515356844550254</v>
      </c>
      <c r="Z43" s="5">
        <f t="shared" si="12"/>
        <v>0.11273928116186933</v>
      </c>
      <c r="AA43" s="5">
        <f t="shared" si="8"/>
        <v>7.3523789861747138E-2</v>
      </c>
      <c r="AB43" s="5">
        <f t="shared" si="8"/>
        <v>4.5129276703419367E-2</v>
      </c>
      <c r="AC43" s="5">
        <f t="shared" si="8"/>
        <v>2.6645380277820895E-2</v>
      </c>
      <c r="AD43" s="5">
        <f t="shared" si="8"/>
        <v>1.5312520145763415E-2</v>
      </c>
      <c r="AE43" s="5">
        <f t="shared" si="8"/>
        <v>8.6263638678436214E-3</v>
      </c>
      <c r="AF43" s="5">
        <f t="shared" si="8"/>
        <v>4.7860541721155489E-3</v>
      </c>
      <c r="AG43" s="5">
        <f t="shared" si="8"/>
        <v>2.623484530780379E-3</v>
      </c>
      <c r="AH43" s="5">
        <f t="shared" si="8"/>
        <v>1.4240363332642689E-3</v>
      </c>
    </row>
    <row r="44" spans="2:44" x14ac:dyDescent="0.35">
      <c r="B44" s="6"/>
      <c r="E44" s="5">
        <f t="shared" si="9"/>
        <v>0</v>
      </c>
      <c r="F44" s="5">
        <f t="shared" si="9"/>
        <v>0</v>
      </c>
      <c r="G44" s="5">
        <f t="shared" si="9"/>
        <v>0</v>
      </c>
      <c r="H44" s="5">
        <f t="shared" si="9"/>
        <v>0</v>
      </c>
      <c r="I44" s="5">
        <f t="shared" si="9"/>
        <v>0</v>
      </c>
      <c r="J44" s="5">
        <f t="shared" si="9"/>
        <v>0</v>
      </c>
      <c r="K44" s="5">
        <f t="shared" si="9"/>
        <v>0</v>
      </c>
      <c r="L44" s="5">
        <f t="shared" si="9"/>
        <v>0</v>
      </c>
      <c r="M44" s="5">
        <f t="shared" si="9"/>
        <v>0.60367783173679701</v>
      </c>
      <c r="N44" s="5">
        <f t="shared" si="9"/>
        <v>0.63202175197782373</v>
      </c>
      <c r="O44" s="5">
        <f t="shared" si="9"/>
        <v>0.66169647777836282</v>
      </c>
      <c r="P44" s="5">
        <f t="shared" si="9"/>
        <v>0.69276449320632594</v>
      </c>
      <c r="Q44" s="5">
        <f t="shared" si="9"/>
        <v>0.72529121608558589</v>
      </c>
      <c r="R44" s="5">
        <f t="shared" si="9"/>
        <v>0.75934513574187401</v>
      </c>
      <c r="S44" s="5">
        <f t="shared" si="9"/>
        <v>0.7949979572161322</v>
      </c>
      <c r="T44" s="5">
        <f t="shared" si="9"/>
        <v>0.83232475224897973</v>
      </c>
      <c r="U44" s="5">
        <f t="shared" si="9"/>
        <v>0.87140411735421219</v>
      </c>
      <c r="W44" s="18">
        <f t="shared" si="10"/>
        <v>7.1404117354212149E-2</v>
      </c>
      <c r="Y44" s="6">
        <f t="shared" si="11"/>
        <v>7.1404117354212149E-2</v>
      </c>
      <c r="Z44" s="5">
        <f t="shared" si="12"/>
        <v>3.5274065550756253E-2</v>
      </c>
      <c r="AA44" s="5">
        <f t="shared" si="8"/>
        <v>1.7425601584103192E-2</v>
      </c>
      <c r="AB44" s="5">
        <f t="shared" si="8"/>
        <v>8.6083525056382271E-3</v>
      </c>
      <c r="AC44" s="5">
        <f t="shared" si="8"/>
        <v>4.2525781680289509E-3</v>
      </c>
      <c r="AD44" s="5">
        <f t="shared" si="8"/>
        <v>2.1007993182611522E-3</v>
      </c>
      <c r="AE44" s="5">
        <f t="shared" si="8"/>
        <v>1.0378075607842599E-3</v>
      </c>
      <c r="AF44" s="5">
        <f t="shared" si="8"/>
        <v>5.1268320770041622E-4</v>
      </c>
      <c r="AG44" s="5">
        <f t="shared" si="8"/>
        <v>2.5326860334237662E-4</v>
      </c>
    </row>
    <row r="45" spans="2:44" x14ac:dyDescent="0.35">
      <c r="B45" s="6"/>
      <c r="E45" s="5">
        <f t="shared" si="9"/>
        <v>0</v>
      </c>
      <c r="F45" s="5">
        <f t="shared" si="9"/>
        <v>0</v>
      </c>
      <c r="G45" s="5">
        <f t="shared" si="9"/>
        <v>0</v>
      </c>
      <c r="H45" s="5">
        <f t="shared" si="9"/>
        <v>0</v>
      </c>
      <c r="I45" s="5">
        <f t="shared" si="9"/>
        <v>0</v>
      </c>
      <c r="J45" s="5">
        <f t="shared" si="9"/>
        <v>0</v>
      </c>
      <c r="K45" s="5">
        <f t="shared" si="9"/>
        <v>0</v>
      </c>
      <c r="L45" s="5">
        <f t="shared" si="9"/>
        <v>0</v>
      </c>
      <c r="M45" s="5">
        <f t="shared" si="9"/>
        <v>0</v>
      </c>
      <c r="N45" s="5">
        <f t="shared" si="9"/>
        <v>0.57660503517484563</v>
      </c>
      <c r="O45" s="5">
        <f t="shared" si="9"/>
        <v>0.60367783173679701</v>
      </c>
      <c r="P45" s="5">
        <f t="shared" si="9"/>
        <v>0.63202175197782373</v>
      </c>
      <c r="Q45" s="5">
        <f t="shared" si="9"/>
        <v>0.66169647777836271</v>
      </c>
      <c r="R45" s="5">
        <f t="shared" si="9"/>
        <v>0.69276449320632583</v>
      </c>
      <c r="S45" s="5">
        <f t="shared" si="9"/>
        <v>0.72529121608558589</v>
      </c>
      <c r="T45" s="5">
        <f t="shared" si="9"/>
        <v>0.75934513574187401</v>
      </c>
      <c r="U45" s="5">
        <f t="shared" si="9"/>
        <v>0.7949979572161322</v>
      </c>
      <c r="W45" s="18">
        <f t="shared" si="10"/>
        <v>0</v>
      </c>
      <c r="Y45" s="6">
        <f t="shared" si="11"/>
        <v>0</v>
      </c>
      <c r="Z45" s="5">
        <f t="shared" si="12"/>
        <v>0</v>
      </c>
      <c r="AA45" s="5">
        <f t="shared" si="8"/>
        <v>0</v>
      </c>
      <c r="AB45" s="5">
        <f t="shared" si="8"/>
        <v>0</v>
      </c>
      <c r="AC45" s="5">
        <f t="shared" si="8"/>
        <v>0</v>
      </c>
      <c r="AD45" s="5">
        <f t="shared" si="8"/>
        <v>0</v>
      </c>
      <c r="AE45" s="5">
        <f t="shared" si="8"/>
        <v>0</v>
      </c>
      <c r="AF45" s="5">
        <f t="shared" si="8"/>
        <v>0</v>
      </c>
    </row>
    <row r="46" spans="2:44" x14ac:dyDescent="0.35">
      <c r="B46" s="6"/>
      <c r="E46" s="5">
        <f t="shared" si="9"/>
        <v>0</v>
      </c>
      <c r="F46" s="5">
        <f t="shared" si="9"/>
        <v>0</v>
      </c>
      <c r="G46" s="5">
        <f t="shared" si="9"/>
        <v>0</v>
      </c>
      <c r="H46" s="5">
        <f t="shared" si="9"/>
        <v>0</v>
      </c>
      <c r="I46" s="5">
        <f t="shared" si="9"/>
        <v>0</v>
      </c>
      <c r="J46" s="5">
        <f t="shared" si="9"/>
        <v>0</v>
      </c>
      <c r="K46" s="5">
        <f t="shared" si="9"/>
        <v>0</v>
      </c>
      <c r="L46" s="5">
        <f t="shared" si="9"/>
        <v>0</v>
      </c>
      <c r="M46" s="5">
        <f t="shared" si="9"/>
        <v>0</v>
      </c>
      <c r="N46" s="5">
        <f t="shared" si="9"/>
        <v>0</v>
      </c>
      <c r="O46" s="5">
        <f t="shared" si="9"/>
        <v>0.55074635693089857</v>
      </c>
      <c r="P46" s="5">
        <f t="shared" si="9"/>
        <v>0.57660503517484563</v>
      </c>
      <c r="Q46" s="5">
        <f t="shared" si="9"/>
        <v>0.60367783173679701</v>
      </c>
      <c r="R46" s="5">
        <f t="shared" si="9"/>
        <v>0.63202175197782362</v>
      </c>
      <c r="S46" s="5">
        <f t="shared" si="9"/>
        <v>0.6616964777783626</v>
      </c>
      <c r="T46" s="5">
        <f t="shared" si="9"/>
        <v>0.69276449320632583</v>
      </c>
      <c r="U46" s="5">
        <f t="shared" si="9"/>
        <v>0.72529121608558589</v>
      </c>
      <c r="W46" s="18">
        <f t="shared" si="10"/>
        <v>0</v>
      </c>
      <c r="Y46" s="6">
        <f t="shared" si="11"/>
        <v>0</v>
      </c>
      <c r="Z46" s="5">
        <f t="shared" si="12"/>
        <v>0</v>
      </c>
      <c r="AA46" s="5">
        <f t="shared" si="8"/>
        <v>0</v>
      </c>
      <c r="AB46" s="5">
        <f t="shared" si="8"/>
        <v>0</v>
      </c>
      <c r="AC46" s="5">
        <f t="shared" si="8"/>
        <v>0</v>
      </c>
      <c r="AD46" s="5">
        <f t="shared" si="8"/>
        <v>0</v>
      </c>
      <c r="AE46" s="5">
        <f t="shared" si="8"/>
        <v>0</v>
      </c>
    </row>
    <row r="47" spans="2:44" x14ac:dyDescent="0.35">
      <c r="B47" s="6"/>
      <c r="E47" s="5">
        <f t="shared" si="9"/>
        <v>0</v>
      </c>
      <c r="F47" s="5">
        <f t="shared" si="9"/>
        <v>0</v>
      </c>
      <c r="G47" s="5">
        <f t="shared" si="9"/>
        <v>0</v>
      </c>
      <c r="H47" s="5">
        <f t="shared" si="9"/>
        <v>0</v>
      </c>
      <c r="I47" s="5">
        <f t="shared" si="9"/>
        <v>0</v>
      </c>
      <c r="J47" s="5">
        <f t="shared" si="9"/>
        <v>0</v>
      </c>
      <c r="K47" s="5">
        <f t="shared" si="9"/>
        <v>0</v>
      </c>
      <c r="L47" s="5">
        <f t="shared" si="9"/>
        <v>0</v>
      </c>
      <c r="M47" s="5">
        <f t="shared" si="9"/>
        <v>0</v>
      </c>
      <c r="N47" s="5">
        <f t="shared" si="9"/>
        <v>0</v>
      </c>
      <c r="O47" s="5">
        <f t="shared" si="9"/>
        <v>0</v>
      </c>
      <c r="P47" s="5">
        <f t="shared" si="9"/>
        <v>0.52604734813090848</v>
      </c>
      <c r="Q47" s="5">
        <f t="shared" si="9"/>
        <v>0.55074635693089857</v>
      </c>
      <c r="R47" s="5">
        <f t="shared" si="9"/>
        <v>0.57660503517484563</v>
      </c>
      <c r="S47" s="5">
        <f t="shared" si="9"/>
        <v>0.6036778317367969</v>
      </c>
      <c r="T47" s="5">
        <f t="shared" si="9"/>
        <v>0.63202175197782351</v>
      </c>
      <c r="U47" s="5">
        <f t="shared" si="9"/>
        <v>0.6616964777783626</v>
      </c>
      <c r="W47" s="18">
        <f t="shared" si="10"/>
        <v>0</v>
      </c>
      <c r="Y47" s="6">
        <f t="shared" si="11"/>
        <v>0</v>
      </c>
      <c r="Z47" s="5">
        <f t="shared" si="12"/>
        <v>0</v>
      </c>
      <c r="AA47" s="5">
        <f t="shared" si="8"/>
        <v>0</v>
      </c>
      <c r="AB47" s="5">
        <f t="shared" si="8"/>
        <v>0</v>
      </c>
      <c r="AC47" s="5">
        <f t="shared" si="8"/>
        <v>0</v>
      </c>
      <c r="AD47" s="5">
        <f t="shared" si="8"/>
        <v>0</v>
      </c>
    </row>
    <row r="48" spans="2:44" x14ac:dyDescent="0.35">
      <c r="B48" s="6"/>
      <c r="E48" s="5">
        <f t="shared" si="9"/>
        <v>0</v>
      </c>
      <c r="F48" s="5">
        <f t="shared" si="9"/>
        <v>0</v>
      </c>
      <c r="G48" s="5">
        <f t="shared" si="9"/>
        <v>0</v>
      </c>
      <c r="H48" s="5">
        <f t="shared" si="9"/>
        <v>0</v>
      </c>
      <c r="I48" s="5">
        <f t="shared" si="9"/>
        <v>0</v>
      </c>
      <c r="J48" s="5">
        <f t="shared" si="9"/>
        <v>0</v>
      </c>
      <c r="K48" s="5">
        <f t="shared" si="9"/>
        <v>0</v>
      </c>
      <c r="L48" s="5">
        <f t="shared" si="9"/>
        <v>0</v>
      </c>
      <c r="M48" s="5">
        <f t="shared" si="9"/>
        <v>0</v>
      </c>
      <c r="N48" s="5">
        <f t="shared" si="9"/>
        <v>0</v>
      </c>
      <c r="O48" s="5">
        <f t="shared" si="9"/>
        <v>0</v>
      </c>
      <c r="P48" s="5">
        <f t="shared" si="9"/>
        <v>0</v>
      </c>
      <c r="Q48" s="5">
        <f t="shared" si="9"/>
        <v>0.502456001738531</v>
      </c>
      <c r="R48" s="5">
        <f t="shared" si="9"/>
        <v>0.52604734813090848</v>
      </c>
      <c r="S48" s="5">
        <f t="shared" si="9"/>
        <v>0.55074635693089857</v>
      </c>
      <c r="T48" s="5">
        <f t="shared" si="9"/>
        <v>0.57660503517484551</v>
      </c>
      <c r="U48" s="5">
        <f t="shared" si="9"/>
        <v>0.60367783173679679</v>
      </c>
      <c r="W48" s="18">
        <f t="shared" si="10"/>
        <v>0</v>
      </c>
      <c r="Y48" s="6">
        <f t="shared" si="11"/>
        <v>0</v>
      </c>
      <c r="Z48" s="5">
        <f t="shared" si="12"/>
        <v>0</v>
      </c>
      <c r="AA48" s="5">
        <f t="shared" ref="AA48:AC50" si="13">$K$26*($K$24*Z48+$K$25*Z49)</f>
        <v>0</v>
      </c>
      <c r="AB48" s="5">
        <f t="shared" si="13"/>
        <v>0</v>
      </c>
      <c r="AC48" s="5">
        <f t="shared" si="13"/>
        <v>0</v>
      </c>
    </row>
    <row r="49" spans="2:28" x14ac:dyDescent="0.35">
      <c r="B49" s="6"/>
      <c r="E49" s="5">
        <f t="shared" ref="E49:T49" si="14">D48*$F$25</f>
        <v>0</v>
      </c>
      <c r="F49" s="5">
        <f t="shared" si="14"/>
        <v>0</v>
      </c>
      <c r="G49" s="5">
        <f t="shared" si="14"/>
        <v>0</v>
      </c>
      <c r="H49" s="5">
        <f t="shared" si="14"/>
        <v>0</v>
      </c>
      <c r="I49" s="5">
        <f t="shared" si="14"/>
        <v>0</v>
      </c>
      <c r="J49" s="5">
        <f t="shared" si="14"/>
        <v>0</v>
      </c>
      <c r="K49" s="5">
        <f t="shared" si="14"/>
        <v>0</v>
      </c>
      <c r="L49" s="5">
        <f t="shared" si="14"/>
        <v>0</v>
      </c>
      <c r="M49" s="5">
        <f t="shared" si="14"/>
        <v>0</v>
      </c>
      <c r="N49" s="5">
        <f t="shared" si="14"/>
        <v>0</v>
      </c>
      <c r="O49" s="5">
        <f t="shared" si="14"/>
        <v>0</v>
      </c>
      <c r="P49" s="5">
        <f t="shared" si="14"/>
        <v>0</v>
      </c>
      <c r="Q49" s="5">
        <f t="shared" si="14"/>
        <v>0</v>
      </c>
      <c r="R49" s="5">
        <f t="shared" si="14"/>
        <v>0.47992264304741777</v>
      </c>
      <c r="S49" s="5">
        <f t="shared" si="14"/>
        <v>0.502456001738531</v>
      </c>
      <c r="T49" s="5">
        <f t="shared" si="14"/>
        <v>0.52604734813090848</v>
      </c>
      <c r="U49" s="5">
        <f t="shared" ref="E49:U52" si="15">T48*$F$25</f>
        <v>0.55074635693089846</v>
      </c>
      <c r="W49" s="18">
        <f t="shared" si="10"/>
        <v>0</v>
      </c>
      <c r="Y49" s="6">
        <f t="shared" si="11"/>
        <v>0</v>
      </c>
      <c r="Z49" s="5">
        <f t="shared" si="12"/>
        <v>0</v>
      </c>
      <c r="AA49" s="5">
        <f t="shared" si="13"/>
        <v>0</v>
      </c>
      <c r="AB49" s="5">
        <f t="shared" si="13"/>
        <v>0</v>
      </c>
    </row>
    <row r="50" spans="2:28" x14ac:dyDescent="0.35">
      <c r="B50" s="6"/>
      <c r="E50" s="5">
        <f t="shared" si="15"/>
        <v>0</v>
      </c>
      <c r="F50" s="5">
        <f t="shared" si="15"/>
        <v>0</v>
      </c>
      <c r="G50" s="5">
        <f t="shared" si="15"/>
        <v>0</v>
      </c>
      <c r="H50" s="5">
        <f t="shared" si="15"/>
        <v>0</v>
      </c>
      <c r="I50" s="5">
        <f t="shared" si="15"/>
        <v>0</v>
      </c>
      <c r="J50" s="5">
        <f t="shared" si="15"/>
        <v>0</v>
      </c>
      <c r="K50" s="5">
        <f t="shared" si="15"/>
        <v>0</v>
      </c>
      <c r="L50" s="5">
        <f t="shared" si="15"/>
        <v>0</v>
      </c>
      <c r="M50" s="5">
        <f t="shared" si="15"/>
        <v>0</v>
      </c>
      <c r="N50" s="5">
        <f t="shared" si="15"/>
        <v>0</v>
      </c>
      <c r="O50" s="5">
        <f t="shared" si="15"/>
        <v>0</v>
      </c>
      <c r="P50" s="5">
        <f t="shared" si="15"/>
        <v>0</v>
      </c>
      <c r="Q50" s="5">
        <f t="shared" si="15"/>
        <v>0</v>
      </c>
      <c r="R50" s="5">
        <f t="shared" si="15"/>
        <v>0</v>
      </c>
      <c r="S50" s="5">
        <f t="shared" si="15"/>
        <v>0.45839982508453847</v>
      </c>
      <c r="T50" s="5">
        <f t="shared" si="15"/>
        <v>0.47992264304741777</v>
      </c>
      <c r="U50" s="5">
        <f t="shared" si="15"/>
        <v>0.502456001738531</v>
      </c>
      <c r="W50" s="18">
        <f t="shared" si="10"/>
        <v>0</v>
      </c>
      <c r="Y50" s="6">
        <f t="shared" si="11"/>
        <v>0</v>
      </c>
      <c r="Z50" s="5">
        <f t="shared" si="12"/>
        <v>0</v>
      </c>
      <c r="AA50" s="5">
        <f t="shared" si="13"/>
        <v>0</v>
      </c>
    </row>
    <row r="51" spans="2:28" x14ac:dyDescent="0.35">
      <c r="B51" s="6"/>
      <c r="E51" s="5">
        <f t="shared" si="15"/>
        <v>0</v>
      </c>
      <c r="F51" s="5">
        <f t="shared" si="15"/>
        <v>0</v>
      </c>
      <c r="G51" s="5">
        <f t="shared" si="15"/>
        <v>0</v>
      </c>
      <c r="H51" s="5">
        <f t="shared" si="15"/>
        <v>0</v>
      </c>
      <c r="I51" s="5">
        <f t="shared" si="15"/>
        <v>0</v>
      </c>
      <c r="J51" s="5">
        <f t="shared" si="15"/>
        <v>0</v>
      </c>
      <c r="K51" s="5">
        <f t="shared" si="15"/>
        <v>0</v>
      </c>
      <c r="L51" s="5">
        <f t="shared" si="15"/>
        <v>0</v>
      </c>
      <c r="M51" s="5">
        <f t="shared" si="15"/>
        <v>0</v>
      </c>
      <c r="N51" s="5">
        <f t="shared" si="15"/>
        <v>0</v>
      </c>
      <c r="O51" s="5">
        <f t="shared" si="15"/>
        <v>0</v>
      </c>
      <c r="P51" s="5">
        <f t="shared" si="15"/>
        <v>0</v>
      </c>
      <c r="Q51" s="5">
        <f t="shared" si="15"/>
        <v>0</v>
      </c>
      <c r="R51" s="5">
        <f t="shared" si="15"/>
        <v>0</v>
      </c>
      <c r="S51" s="5">
        <f t="shared" si="15"/>
        <v>0</v>
      </c>
      <c r="T51" s="5">
        <f t="shared" si="15"/>
        <v>0.43784222870429135</v>
      </c>
      <c r="U51" s="5">
        <f t="shared" si="15"/>
        <v>0.45839982508453847</v>
      </c>
      <c r="W51" s="18">
        <f t="shared" si="10"/>
        <v>0</v>
      </c>
      <c r="Y51" s="6">
        <f t="shared" si="11"/>
        <v>0</v>
      </c>
      <c r="Z51" s="5">
        <f t="shared" si="12"/>
        <v>0</v>
      </c>
    </row>
    <row r="52" spans="2:28" ht="18.600000000000001" thickBot="1" x14ac:dyDescent="0.4">
      <c r="B52" s="13"/>
      <c r="C52" s="16"/>
      <c r="D52" s="16"/>
      <c r="E52" s="5">
        <f t="shared" si="15"/>
        <v>0</v>
      </c>
      <c r="F52" s="5">
        <f t="shared" si="15"/>
        <v>0</v>
      </c>
      <c r="G52" s="5">
        <f t="shared" si="15"/>
        <v>0</v>
      </c>
      <c r="H52" s="5">
        <f t="shared" si="15"/>
        <v>0</v>
      </c>
      <c r="I52" s="5">
        <f t="shared" si="15"/>
        <v>0</v>
      </c>
      <c r="J52" s="5">
        <f t="shared" si="15"/>
        <v>0</v>
      </c>
      <c r="K52" s="5">
        <f t="shared" si="15"/>
        <v>0</v>
      </c>
      <c r="L52" s="5">
        <f t="shared" si="15"/>
        <v>0</v>
      </c>
      <c r="M52" s="5">
        <f t="shared" si="15"/>
        <v>0</v>
      </c>
      <c r="N52" s="5">
        <f t="shared" si="15"/>
        <v>0</v>
      </c>
      <c r="O52" s="5">
        <f t="shared" si="15"/>
        <v>0</v>
      </c>
      <c r="P52" s="5">
        <f t="shared" si="15"/>
        <v>0</v>
      </c>
      <c r="Q52" s="5">
        <f t="shared" si="15"/>
        <v>0</v>
      </c>
      <c r="R52" s="5">
        <f t="shared" si="15"/>
        <v>0</v>
      </c>
      <c r="S52" s="5">
        <f t="shared" si="15"/>
        <v>0</v>
      </c>
      <c r="T52" s="5">
        <f t="shared" si="15"/>
        <v>0</v>
      </c>
      <c r="U52" s="5">
        <f t="shared" si="15"/>
        <v>0.41820656716303595</v>
      </c>
      <c r="W52" s="18">
        <f t="shared" si="10"/>
        <v>0</v>
      </c>
      <c r="Y52" s="6">
        <f t="shared" si="11"/>
        <v>0</v>
      </c>
    </row>
  </sheetData>
  <mergeCells count="9">
    <mergeCell ref="B31:U31"/>
    <mergeCell ref="W31:W32"/>
    <mergeCell ref="Y31:AR31"/>
    <mergeCell ref="A1:H1"/>
    <mergeCell ref="A2:H2"/>
    <mergeCell ref="Q7:R7"/>
    <mergeCell ref="Q8:R8"/>
    <mergeCell ref="B12:F12"/>
    <mergeCell ref="J12:N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zoomScale="55" zoomScaleNormal="55" workbookViewId="0">
      <selection activeCell="C14" sqref="C14"/>
    </sheetView>
  </sheetViews>
  <sheetFormatPr defaultColWidth="8.77734375" defaultRowHeight="18" x14ac:dyDescent="0.35"/>
  <cols>
    <col min="1" max="1" width="15.44140625" style="5" bestFit="1" customWidth="1"/>
    <col min="2" max="16384" width="8.77734375" style="5"/>
  </cols>
  <sheetData>
    <row r="1" spans="1:26" s="15" customFormat="1" ht="21" x14ac:dyDescent="0.4">
      <c r="A1" s="62" t="s">
        <v>22</v>
      </c>
      <c r="B1" s="62"/>
      <c r="C1" s="62"/>
      <c r="D1" s="62"/>
      <c r="E1" s="62"/>
      <c r="F1" s="62"/>
      <c r="G1" s="62"/>
      <c r="H1" s="62"/>
      <c r="I1" s="62"/>
    </row>
    <row r="2" spans="1:26" s="15" customFormat="1" ht="21" x14ac:dyDescent="0.4">
      <c r="A2" s="62" t="s">
        <v>31</v>
      </c>
      <c r="B2" s="62"/>
      <c r="C2" s="62"/>
      <c r="D2" s="62"/>
      <c r="E2" s="62"/>
      <c r="F2" s="62"/>
      <c r="G2" s="62"/>
      <c r="H2" s="62"/>
      <c r="I2" s="62"/>
    </row>
    <row r="3" spans="1:26" s="15" customFormat="1" ht="21" x14ac:dyDescent="0.4">
      <c r="A3" s="1"/>
      <c r="B3" s="1"/>
      <c r="C3" s="1"/>
      <c r="D3" s="1"/>
      <c r="E3" s="1"/>
      <c r="F3" s="1"/>
      <c r="G3" s="1"/>
      <c r="H3" s="1"/>
      <c r="I3" s="1"/>
    </row>
    <row r="4" spans="1:26" ht="18.600000000000001" thickBot="1" x14ac:dyDescent="0.4"/>
    <row r="5" spans="1:26" ht="18.600000000000001" thickBot="1" x14ac:dyDescent="0.4">
      <c r="A5" s="25" t="s">
        <v>24</v>
      </c>
      <c r="B5" s="9" t="s">
        <v>0</v>
      </c>
      <c r="C5" s="9">
        <v>1</v>
      </c>
      <c r="D5" s="9"/>
      <c r="E5" s="34" t="s">
        <v>1</v>
      </c>
      <c r="F5" s="12"/>
      <c r="J5" s="41" t="s">
        <v>11</v>
      </c>
      <c r="K5" s="40"/>
    </row>
    <row r="6" spans="1:26" ht="18.600000000000001" thickBot="1" x14ac:dyDescent="0.4">
      <c r="A6" s="25" t="s">
        <v>26</v>
      </c>
      <c r="B6" s="9" t="s">
        <v>2</v>
      </c>
      <c r="C6" s="9">
        <v>0.2</v>
      </c>
      <c r="D6" s="9"/>
      <c r="E6" s="34" t="s">
        <v>5</v>
      </c>
      <c r="F6" s="12"/>
      <c r="J6" s="35" t="s">
        <v>12</v>
      </c>
      <c r="K6" s="7"/>
    </row>
    <row r="7" spans="1:26" ht="18.600000000000001" thickBot="1" x14ac:dyDescent="0.4">
      <c r="A7" s="25" t="s">
        <v>27</v>
      </c>
      <c r="B7" s="9" t="s">
        <v>3</v>
      </c>
      <c r="C7" s="9">
        <v>1</v>
      </c>
      <c r="D7" s="9"/>
      <c r="E7" s="9"/>
      <c r="F7" s="12"/>
      <c r="J7" s="42" t="s">
        <v>13</v>
      </c>
      <c r="K7" s="17"/>
    </row>
    <row r="8" spans="1:26" ht="18.600000000000001" thickBot="1" x14ac:dyDescent="0.4">
      <c r="A8" s="25" t="s">
        <v>25</v>
      </c>
      <c r="B8" s="9" t="s">
        <v>4</v>
      </c>
      <c r="C8" s="26">
        <v>19</v>
      </c>
      <c r="D8" s="9"/>
      <c r="E8" s="9"/>
      <c r="F8" s="12"/>
    </row>
    <row r="9" spans="1:26" ht="18.600000000000001" thickBot="1" x14ac:dyDescent="0.4">
      <c r="A9" s="25" t="s">
        <v>28</v>
      </c>
      <c r="B9" s="9" t="s">
        <v>6</v>
      </c>
      <c r="C9" s="9">
        <v>0.01</v>
      </c>
      <c r="D9" s="9"/>
      <c r="E9" s="9"/>
      <c r="F9" s="12"/>
    </row>
    <row r="10" spans="1:26" ht="18.600000000000001" thickBot="1" x14ac:dyDescent="0.4">
      <c r="A10" s="25" t="s">
        <v>29</v>
      </c>
      <c r="B10" s="9" t="s">
        <v>9</v>
      </c>
      <c r="C10" s="9">
        <v>0.8</v>
      </c>
      <c r="D10" s="9"/>
      <c r="E10" s="9"/>
      <c r="F10" s="12"/>
    </row>
    <row r="12" spans="1:26" ht="18.600000000000001" thickBot="1" x14ac:dyDescent="0.4"/>
    <row r="13" spans="1:26" ht="18.600000000000001" thickBot="1" x14ac:dyDescent="0.4">
      <c r="B13" s="36" t="s">
        <v>20</v>
      </c>
      <c r="C13" s="37" t="s">
        <v>21</v>
      </c>
      <c r="D13" s="34"/>
      <c r="E13" s="37" t="s">
        <v>8</v>
      </c>
      <c r="F13" s="34"/>
      <c r="G13" s="37">
        <v>19</v>
      </c>
      <c r="H13" s="37">
        <v>18</v>
      </c>
      <c r="I13" s="37">
        <v>17</v>
      </c>
      <c r="J13" s="37">
        <v>16</v>
      </c>
      <c r="K13" s="37">
        <v>15</v>
      </c>
      <c r="L13" s="37">
        <v>14</v>
      </c>
      <c r="M13" s="37">
        <v>13</v>
      </c>
      <c r="N13" s="37">
        <v>12</v>
      </c>
      <c r="O13" s="37">
        <v>11</v>
      </c>
      <c r="P13" s="37">
        <v>10</v>
      </c>
      <c r="Q13" s="37">
        <v>9</v>
      </c>
      <c r="R13" s="37">
        <v>8</v>
      </c>
      <c r="S13" s="37">
        <v>7</v>
      </c>
      <c r="T13" s="37">
        <v>6</v>
      </c>
      <c r="U13" s="37">
        <v>5</v>
      </c>
      <c r="V13" s="37">
        <v>4</v>
      </c>
      <c r="W13" s="37">
        <v>3</v>
      </c>
      <c r="X13" s="37">
        <v>2</v>
      </c>
      <c r="Y13" s="37">
        <v>1</v>
      </c>
      <c r="Z13" s="38">
        <v>0</v>
      </c>
    </row>
    <row r="14" spans="1:26" x14ac:dyDescent="0.35">
      <c r="B14" s="6">
        <v>0</v>
      </c>
      <c r="Z14" s="20"/>
    </row>
    <row r="15" spans="1:26" x14ac:dyDescent="0.35">
      <c r="B15" s="6">
        <v>1</v>
      </c>
      <c r="Z15" s="7"/>
    </row>
    <row r="16" spans="1:26" x14ac:dyDescent="0.35">
      <c r="B16" s="6">
        <v>2</v>
      </c>
      <c r="Z16" s="7"/>
    </row>
    <row r="17" spans="2:26" x14ac:dyDescent="0.35">
      <c r="B17" s="6">
        <v>3</v>
      </c>
      <c r="Z17" s="7"/>
    </row>
    <row r="18" spans="2:26" x14ac:dyDescent="0.35">
      <c r="B18" s="6">
        <v>4</v>
      </c>
      <c r="Z18" s="7"/>
    </row>
    <row r="19" spans="2:26" x14ac:dyDescent="0.35">
      <c r="B19" s="6">
        <v>5</v>
      </c>
      <c r="Z19" s="7"/>
    </row>
    <row r="20" spans="2:26" x14ac:dyDescent="0.35">
      <c r="B20" s="6">
        <v>6</v>
      </c>
      <c r="Z20" s="7"/>
    </row>
    <row r="21" spans="2:26" x14ac:dyDescent="0.35">
      <c r="B21" s="6">
        <v>7</v>
      </c>
      <c r="Z21" s="7"/>
    </row>
    <row r="22" spans="2:26" x14ac:dyDescent="0.35">
      <c r="B22" s="6">
        <v>8</v>
      </c>
      <c r="Z22" s="7"/>
    </row>
    <row r="23" spans="2:26" x14ac:dyDescent="0.35">
      <c r="B23" s="6">
        <v>9</v>
      </c>
      <c r="Z23" s="7"/>
    </row>
    <row r="24" spans="2:26" x14ac:dyDescent="0.35">
      <c r="B24" s="6">
        <v>10</v>
      </c>
      <c r="Z24" s="7"/>
    </row>
    <row r="25" spans="2:26" x14ac:dyDescent="0.35">
      <c r="B25" s="6">
        <v>11</v>
      </c>
      <c r="Z25" s="7"/>
    </row>
    <row r="26" spans="2:26" x14ac:dyDescent="0.35">
      <c r="B26" s="6">
        <v>12</v>
      </c>
      <c r="Z26" s="7"/>
    </row>
    <row r="27" spans="2:26" x14ac:dyDescent="0.35">
      <c r="B27" s="6">
        <v>13</v>
      </c>
      <c r="Z27" s="7"/>
    </row>
    <row r="28" spans="2:26" x14ac:dyDescent="0.35">
      <c r="B28" s="6">
        <v>14</v>
      </c>
      <c r="Z28" s="7"/>
    </row>
    <row r="29" spans="2:26" x14ac:dyDescent="0.35">
      <c r="B29" s="6">
        <v>15</v>
      </c>
      <c r="Z29" s="7"/>
    </row>
    <row r="30" spans="2:26" x14ac:dyDescent="0.35">
      <c r="B30" s="6">
        <v>16</v>
      </c>
      <c r="Z30" s="7"/>
    </row>
    <row r="31" spans="2:26" x14ac:dyDescent="0.35">
      <c r="B31" s="6">
        <v>17</v>
      </c>
      <c r="Z31" s="7"/>
    </row>
    <row r="32" spans="2:26" x14ac:dyDescent="0.35">
      <c r="B32" s="6">
        <v>18</v>
      </c>
      <c r="Z32" s="7"/>
    </row>
    <row r="33" spans="2:26" ht="18.600000000000001" thickBot="1" x14ac:dyDescent="0.4">
      <c r="B33" s="13">
        <v>19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7"/>
    </row>
  </sheetData>
  <mergeCells count="2">
    <mergeCell ref="A2:I2"/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34"/>
  <sheetViews>
    <sheetView topLeftCell="A2" zoomScale="55" zoomScaleNormal="55" workbookViewId="0">
      <selection activeCell="O40" sqref="O39:O40"/>
    </sheetView>
  </sheetViews>
  <sheetFormatPr defaultColWidth="8.77734375" defaultRowHeight="18" x14ac:dyDescent="0.35"/>
  <cols>
    <col min="1" max="1" width="15.44140625" style="5" bestFit="1" customWidth="1"/>
    <col min="2" max="16384" width="8.77734375" style="5"/>
  </cols>
  <sheetData>
    <row r="1" spans="1:44" s="15" customFormat="1" ht="21" x14ac:dyDescent="0.4">
      <c r="A1" s="1"/>
      <c r="B1" s="62" t="s">
        <v>22</v>
      </c>
      <c r="C1" s="62"/>
      <c r="D1" s="62"/>
      <c r="E1" s="62"/>
      <c r="F1" s="62"/>
      <c r="G1" s="62"/>
      <c r="H1" s="62"/>
      <c r="I1" s="62"/>
    </row>
    <row r="2" spans="1:44" s="15" customFormat="1" ht="21" x14ac:dyDescent="0.4">
      <c r="A2" s="1"/>
      <c r="B2" s="62" t="s">
        <v>33</v>
      </c>
      <c r="C2" s="62"/>
      <c r="D2" s="62"/>
      <c r="E2" s="62"/>
      <c r="F2" s="62"/>
      <c r="G2" s="62"/>
      <c r="H2" s="62"/>
      <c r="I2" s="62"/>
    </row>
    <row r="3" spans="1:44" s="15" customFormat="1" ht="21" x14ac:dyDescent="0.4">
      <c r="A3" s="1"/>
      <c r="B3" s="62" t="s">
        <v>32</v>
      </c>
      <c r="C3" s="62"/>
      <c r="D3" s="62"/>
      <c r="E3" s="62"/>
      <c r="F3" s="62"/>
      <c r="G3" s="62"/>
      <c r="H3" s="62"/>
      <c r="I3" s="62"/>
    </row>
    <row r="4" spans="1:44" ht="18.600000000000001" thickBot="1" x14ac:dyDescent="0.4"/>
    <row r="5" spans="1:44" ht="18.600000000000001" thickBot="1" x14ac:dyDescent="0.4">
      <c r="A5" s="25" t="s">
        <v>24</v>
      </c>
      <c r="B5" s="34" t="s">
        <v>0</v>
      </c>
      <c r="C5" s="9">
        <v>1</v>
      </c>
      <c r="D5" s="9"/>
      <c r="E5" s="34" t="s">
        <v>1</v>
      </c>
      <c r="F5" s="12"/>
      <c r="J5" s="41" t="s">
        <v>11</v>
      </c>
      <c r="K5" s="40"/>
    </row>
    <row r="6" spans="1:44" ht="18.600000000000001" thickBot="1" x14ac:dyDescent="0.4">
      <c r="A6" s="25" t="s">
        <v>26</v>
      </c>
      <c r="B6" s="34" t="s">
        <v>2</v>
      </c>
      <c r="C6" s="9">
        <v>0.2</v>
      </c>
      <c r="D6" s="9"/>
      <c r="E6" s="34" t="s">
        <v>5</v>
      </c>
      <c r="F6" s="12"/>
      <c r="J6" s="35" t="s">
        <v>12</v>
      </c>
      <c r="K6" s="7"/>
    </row>
    <row r="7" spans="1:44" ht="18.600000000000001" thickBot="1" x14ac:dyDescent="0.4">
      <c r="A7" s="25" t="s">
        <v>27</v>
      </c>
      <c r="B7" s="34" t="s">
        <v>3</v>
      </c>
      <c r="C7" s="9">
        <v>1</v>
      </c>
      <c r="D7" s="9"/>
      <c r="E7" s="9"/>
      <c r="F7" s="12"/>
      <c r="J7" s="42" t="s">
        <v>13</v>
      </c>
      <c r="K7" s="17"/>
    </row>
    <row r="8" spans="1:44" ht="18.600000000000001" thickBot="1" x14ac:dyDescent="0.4">
      <c r="A8" s="25" t="s">
        <v>25</v>
      </c>
      <c r="B8" s="34" t="s">
        <v>4</v>
      </c>
      <c r="C8" s="26">
        <v>19</v>
      </c>
      <c r="D8" s="9"/>
      <c r="E8" s="9"/>
      <c r="F8" s="12"/>
    </row>
    <row r="9" spans="1:44" ht="18.600000000000001" thickBot="1" x14ac:dyDescent="0.4">
      <c r="A9" s="25" t="s">
        <v>28</v>
      </c>
      <c r="B9" s="34" t="s">
        <v>6</v>
      </c>
      <c r="C9" s="9">
        <v>0.01</v>
      </c>
      <c r="D9" s="9"/>
      <c r="E9" s="9"/>
      <c r="F9" s="12"/>
    </row>
    <row r="10" spans="1:44" ht="18.600000000000001" thickBot="1" x14ac:dyDescent="0.4">
      <c r="A10" s="25" t="s">
        <v>29</v>
      </c>
      <c r="B10" s="34" t="s">
        <v>9</v>
      </c>
      <c r="C10" s="9">
        <v>0.8</v>
      </c>
      <c r="D10" s="9"/>
      <c r="E10" s="34" t="s">
        <v>19</v>
      </c>
      <c r="F10" s="12">
        <v>0.8</v>
      </c>
    </row>
    <row r="12" spans="1:44" ht="18.600000000000001" thickBot="1" x14ac:dyDescent="0.4"/>
    <row r="13" spans="1:44" ht="18.600000000000001" thickBot="1" x14ac:dyDescent="0.4">
      <c r="B13" s="57" t="s">
        <v>7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9"/>
      <c r="W13" s="60" t="s">
        <v>8</v>
      </c>
      <c r="Y13" s="57" t="s">
        <v>10</v>
      </c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9"/>
    </row>
    <row r="14" spans="1:44" ht="18.600000000000001" thickBot="1" x14ac:dyDescent="0.4">
      <c r="B14" s="25">
        <v>0</v>
      </c>
      <c r="C14" s="34">
        <v>1</v>
      </c>
      <c r="D14" s="34">
        <v>2</v>
      </c>
      <c r="E14" s="34">
        <v>3</v>
      </c>
      <c r="F14" s="34">
        <v>4</v>
      </c>
      <c r="G14" s="34">
        <v>5</v>
      </c>
      <c r="H14" s="34">
        <v>6</v>
      </c>
      <c r="I14" s="34">
        <v>7</v>
      </c>
      <c r="J14" s="34">
        <v>8</v>
      </c>
      <c r="K14" s="34">
        <v>9</v>
      </c>
      <c r="L14" s="34">
        <v>10</v>
      </c>
      <c r="M14" s="34">
        <v>11</v>
      </c>
      <c r="N14" s="34">
        <v>12</v>
      </c>
      <c r="O14" s="34">
        <v>13</v>
      </c>
      <c r="P14" s="34">
        <v>14</v>
      </c>
      <c r="Q14" s="34">
        <v>15</v>
      </c>
      <c r="R14" s="34">
        <v>16</v>
      </c>
      <c r="S14" s="34">
        <v>17</v>
      </c>
      <c r="T14" s="34">
        <v>18</v>
      </c>
      <c r="U14" s="43">
        <v>19</v>
      </c>
      <c r="W14" s="66"/>
      <c r="Y14" s="25">
        <v>19</v>
      </c>
      <c r="Z14" s="34">
        <v>18</v>
      </c>
      <c r="AA14" s="34">
        <v>17</v>
      </c>
      <c r="AB14" s="34">
        <v>16</v>
      </c>
      <c r="AC14" s="34">
        <v>15</v>
      </c>
      <c r="AD14" s="34">
        <v>14</v>
      </c>
      <c r="AE14" s="34">
        <v>13</v>
      </c>
      <c r="AF14" s="34">
        <v>12</v>
      </c>
      <c r="AG14" s="34">
        <v>11</v>
      </c>
      <c r="AH14" s="34">
        <v>10</v>
      </c>
      <c r="AI14" s="34">
        <v>9</v>
      </c>
      <c r="AJ14" s="34">
        <v>8</v>
      </c>
      <c r="AK14" s="34">
        <v>7</v>
      </c>
      <c r="AL14" s="34">
        <v>6</v>
      </c>
      <c r="AM14" s="34">
        <v>5</v>
      </c>
      <c r="AN14" s="34">
        <v>4</v>
      </c>
      <c r="AO14" s="34">
        <v>3</v>
      </c>
      <c r="AP14" s="34">
        <v>2</v>
      </c>
      <c r="AQ14" s="34">
        <v>1</v>
      </c>
      <c r="AR14" s="43">
        <v>0</v>
      </c>
    </row>
    <row r="15" spans="1:44" x14ac:dyDescent="0.35">
      <c r="B15" s="6"/>
      <c r="U15" s="7"/>
      <c r="W15" s="18"/>
      <c r="Y15" s="6"/>
      <c r="AR15" s="7"/>
    </row>
    <row r="16" spans="1:44" x14ac:dyDescent="0.35">
      <c r="B16" s="6"/>
      <c r="U16" s="7"/>
      <c r="W16" s="18"/>
      <c r="Y16" s="6"/>
      <c r="AR16" s="7"/>
    </row>
    <row r="17" spans="2:44" x14ac:dyDescent="0.35">
      <c r="B17" s="6"/>
      <c r="U17" s="7"/>
      <c r="W17" s="18"/>
      <c r="Y17" s="6"/>
      <c r="AR17" s="7"/>
    </row>
    <row r="18" spans="2:44" x14ac:dyDescent="0.35">
      <c r="B18" s="6"/>
      <c r="U18" s="7"/>
      <c r="W18" s="18"/>
      <c r="Y18" s="6"/>
      <c r="AR18" s="7"/>
    </row>
    <row r="19" spans="2:44" x14ac:dyDescent="0.35">
      <c r="B19" s="6"/>
      <c r="U19" s="7"/>
      <c r="W19" s="18"/>
      <c r="Y19" s="6"/>
      <c r="AR19" s="7"/>
    </row>
    <row r="20" spans="2:44" x14ac:dyDescent="0.35">
      <c r="B20" s="6"/>
      <c r="U20" s="7"/>
      <c r="W20" s="18"/>
      <c r="Y20" s="6"/>
      <c r="AR20" s="7"/>
    </row>
    <row r="21" spans="2:44" x14ac:dyDescent="0.35">
      <c r="B21" s="6"/>
      <c r="U21" s="7"/>
      <c r="W21" s="18"/>
      <c r="Y21" s="6"/>
      <c r="AR21" s="7"/>
    </row>
    <row r="22" spans="2:44" x14ac:dyDescent="0.35">
      <c r="B22" s="6"/>
      <c r="U22" s="7"/>
      <c r="W22" s="18"/>
      <c r="Y22" s="6"/>
      <c r="AR22" s="7"/>
    </row>
    <row r="23" spans="2:44" x14ac:dyDescent="0.35">
      <c r="B23" s="6"/>
      <c r="U23" s="7"/>
      <c r="W23" s="18"/>
      <c r="Y23" s="6"/>
      <c r="AR23" s="7"/>
    </row>
    <row r="24" spans="2:44" x14ac:dyDescent="0.35">
      <c r="B24" s="6"/>
      <c r="U24" s="7"/>
      <c r="W24" s="18"/>
      <c r="Y24" s="6"/>
      <c r="AR24" s="7"/>
    </row>
    <row r="25" spans="2:44" x14ac:dyDescent="0.35">
      <c r="B25" s="6"/>
      <c r="U25" s="7"/>
      <c r="W25" s="18"/>
      <c r="Y25" s="6"/>
      <c r="AR25" s="7"/>
    </row>
    <row r="26" spans="2:44" x14ac:dyDescent="0.35">
      <c r="B26" s="6"/>
      <c r="U26" s="7"/>
      <c r="W26" s="18"/>
      <c r="Y26" s="6"/>
      <c r="AR26" s="7"/>
    </row>
    <row r="27" spans="2:44" x14ac:dyDescent="0.35">
      <c r="B27" s="6"/>
      <c r="U27" s="7"/>
      <c r="W27" s="18"/>
      <c r="Y27" s="6"/>
      <c r="AR27" s="7"/>
    </row>
    <row r="28" spans="2:44" x14ac:dyDescent="0.35">
      <c r="B28" s="6"/>
      <c r="U28" s="7"/>
      <c r="W28" s="18"/>
      <c r="Y28" s="6"/>
      <c r="AR28" s="7"/>
    </row>
    <row r="29" spans="2:44" x14ac:dyDescent="0.35">
      <c r="B29" s="6"/>
      <c r="U29" s="7"/>
      <c r="W29" s="18"/>
      <c r="Y29" s="6"/>
      <c r="AR29" s="7"/>
    </row>
    <row r="30" spans="2:44" x14ac:dyDescent="0.35">
      <c r="B30" s="6"/>
      <c r="U30" s="7"/>
      <c r="W30" s="18"/>
      <c r="Y30" s="6"/>
      <c r="AR30" s="7"/>
    </row>
    <row r="31" spans="2:44" x14ac:dyDescent="0.35">
      <c r="B31" s="6"/>
      <c r="U31" s="7"/>
      <c r="W31" s="18"/>
      <c r="Y31" s="6"/>
      <c r="AR31" s="7"/>
    </row>
    <row r="32" spans="2:44" x14ac:dyDescent="0.35">
      <c r="B32" s="6"/>
      <c r="U32" s="7"/>
      <c r="W32" s="18"/>
      <c r="Y32" s="6"/>
      <c r="AR32" s="7"/>
    </row>
    <row r="33" spans="2:44" x14ac:dyDescent="0.35">
      <c r="B33" s="6"/>
      <c r="U33" s="7"/>
      <c r="W33" s="18"/>
      <c r="Y33" s="6"/>
      <c r="AR33" s="7"/>
    </row>
    <row r="34" spans="2:44" ht="18.600000000000001" thickBot="1" x14ac:dyDescent="0.4"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/>
      <c r="W34" s="19"/>
      <c r="Y34" s="13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7"/>
    </row>
  </sheetData>
  <mergeCells count="6">
    <mergeCell ref="Y13:AR13"/>
    <mergeCell ref="B1:I1"/>
    <mergeCell ref="B2:I2"/>
    <mergeCell ref="B3:I3"/>
    <mergeCell ref="B13:U13"/>
    <mergeCell ref="W13:W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3"/>
  <sheetViews>
    <sheetView zoomScale="55" zoomScaleNormal="55" workbookViewId="0">
      <selection activeCell="E14" sqref="E14"/>
    </sheetView>
  </sheetViews>
  <sheetFormatPr defaultColWidth="8.77734375" defaultRowHeight="18" x14ac:dyDescent="0.35"/>
  <cols>
    <col min="1" max="1" width="15.44140625" style="5" bestFit="1" customWidth="1"/>
    <col min="2" max="16384" width="8.77734375" style="5"/>
  </cols>
  <sheetData>
    <row r="1" spans="1:26" ht="21" x14ac:dyDescent="0.4">
      <c r="A1" s="1"/>
      <c r="B1" s="62" t="s">
        <v>22</v>
      </c>
      <c r="C1" s="62"/>
      <c r="D1" s="62"/>
      <c r="E1" s="62"/>
      <c r="F1" s="62"/>
      <c r="G1" s="62"/>
      <c r="H1" s="62"/>
      <c r="I1" s="62"/>
    </row>
    <row r="2" spans="1:26" ht="21" x14ac:dyDescent="0.4">
      <c r="A2" s="1"/>
      <c r="B2" s="62" t="s">
        <v>34</v>
      </c>
      <c r="C2" s="62"/>
      <c r="D2" s="62"/>
      <c r="E2" s="62"/>
      <c r="F2" s="62"/>
      <c r="G2" s="62"/>
      <c r="H2" s="62"/>
      <c r="I2" s="62"/>
    </row>
    <row r="3" spans="1:26" ht="21" x14ac:dyDescent="0.4">
      <c r="A3" s="1"/>
      <c r="B3" s="62"/>
      <c r="C3" s="62"/>
      <c r="D3" s="62"/>
      <c r="E3" s="62"/>
      <c r="F3" s="62"/>
      <c r="G3" s="62"/>
      <c r="H3" s="62"/>
      <c r="I3" s="62"/>
    </row>
    <row r="4" spans="1:26" ht="18.600000000000001" thickBot="1" x14ac:dyDescent="0.4"/>
    <row r="5" spans="1:26" ht="18.600000000000001" thickBot="1" x14ac:dyDescent="0.4">
      <c r="A5" s="25" t="s">
        <v>24</v>
      </c>
      <c r="B5" s="34" t="s">
        <v>0</v>
      </c>
      <c r="C5" s="9">
        <v>1</v>
      </c>
      <c r="D5" s="9"/>
      <c r="E5" s="34" t="s">
        <v>1</v>
      </c>
      <c r="F5" s="12">
        <f>EXP(C6*(C7/C8)^0.5)</f>
        <v>1.0469520640827252</v>
      </c>
      <c r="J5" s="41" t="s">
        <v>11</v>
      </c>
      <c r="K5" s="40">
        <f>(EXP(C9*C7/C8)-F6)/(F5-F6)</f>
        <v>0.49426611577314755</v>
      </c>
    </row>
    <row r="6" spans="1:26" ht="18.600000000000001" thickBot="1" x14ac:dyDescent="0.4">
      <c r="A6" s="25" t="s">
        <v>26</v>
      </c>
      <c r="B6" s="34" t="s">
        <v>2</v>
      </c>
      <c r="C6" s="9">
        <v>0.2</v>
      </c>
      <c r="D6" s="9"/>
      <c r="E6" s="34" t="s">
        <v>5</v>
      </c>
      <c r="F6" s="12">
        <f>1/F5</f>
        <v>0.95515356844550303</v>
      </c>
      <c r="J6" s="35" t="s">
        <v>12</v>
      </c>
      <c r="K6" s="7">
        <f>1-K5</f>
        <v>0.50573388422685239</v>
      </c>
    </row>
    <row r="7" spans="1:26" ht="18.600000000000001" thickBot="1" x14ac:dyDescent="0.4">
      <c r="A7" s="25" t="s">
        <v>27</v>
      </c>
      <c r="B7" s="34" t="s">
        <v>3</v>
      </c>
      <c r="C7" s="9">
        <v>1</v>
      </c>
      <c r="D7" s="9"/>
      <c r="E7" s="9"/>
      <c r="F7" s="12"/>
      <c r="J7" s="42" t="s">
        <v>13</v>
      </c>
      <c r="K7" s="17">
        <f>EXP(-C9*C7/C8)</f>
        <v>0.99947382269038565</v>
      </c>
    </row>
    <row r="8" spans="1:26" ht="18.600000000000001" thickBot="1" x14ac:dyDescent="0.4">
      <c r="A8" s="25" t="s">
        <v>25</v>
      </c>
      <c r="B8" s="34" t="s">
        <v>4</v>
      </c>
      <c r="C8" s="26">
        <v>19</v>
      </c>
      <c r="D8" s="9"/>
      <c r="E8" s="9"/>
      <c r="F8" s="12"/>
    </row>
    <row r="9" spans="1:26" ht="18.600000000000001" thickBot="1" x14ac:dyDescent="0.4">
      <c r="A9" s="25" t="s">
        <v>28</v>
      </c>
      <c r="B9" s="34" t="s">
        <v>6</v>
      </c>
      <c r="C9" s="9">
        <v>0.01</v>
      </c>
      <c r="D9" s="9"/>
      <c r="E9" s="9"/>
      <c r="F9" s="12"/>
    </row>
    <row r="10" spans="1:26" ht="18.600000000000001" thickBot="1" x14ac:dyDescent="0.4">
      <c r="A10" s="25" t="s">
        <v>29</v>
      </c>
      <c r="B10" s="34" t="s">
        <v>9</v>
      </c>
      <c r="C10" s="9">
        <v>0.8</v>
      </c>
      <c r="D10" s="9"/>
      <c r="E10" s="9"/>
      <c r="F10" s="12"/>
    </row>
    <row r="11" spans="1:26" ht="18.600000000000001" thickBot="1" x14ac:dyDescent="0.4"/>
    <row r="12" spans="1:26" ht="18.600000000000001" thickBot="1" x14ac:dyDescent="0.4">
      <c r="G12" s="57" t="s">
        <v>10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9"/>
    </row>
    <row r="13" spans="1:26" ht="18.600000000000001" thickBot="1" x14ac:dyDescent="0.4">
      <c r="B13" s="36" t="s">
        <v>20</v>
      </c>
      <c r="C13" s="38" t="s">
        <v>21</v>
      </c>
      <c r="E13" s="44" t="s">
        <v>8</v>
      </c>
      <c r="G13" s="25">
        <v>19</v>
      </c>
      <c r="H13" s="34">
        <v>18</v>
      </c>
      <c r="I13" s="34">
        <v>17</v>
      </c>
      <c r="J13" s="34">
        <v>16</v>
      </c>
      <c r="K13" s="34">
        <v>15</v>
      </c>
      <c r="L13" s="34">
        <v>14</v>
      </c>
      <c r="M13" s="34">
        <v>13</v>
      </c>
      <c r="N13" s="34">
        <v>12</v>
      </c>
      <c r="O13" s="34">
        <v>11</v>
      </c>
      <c r="P13" s="34">
        <v>10</v>
      </c>
      <c r="Q13" s="34">
        <v>9</v>
      </c>
      <c r="R13" s="34">
        <v>8</v>
      </c>
      <c r="S13" s="34">
        <v>7</v>
      </c>
      <c r="T13" s="34">
        <v>6</v>
      </c>
      <c r="U13" s="34">
        <v>5</v>
      </c>
      <c r="V13" s="34">
        <v>4</v>
      </c>
      <c r="W13" s="34">
        <v>3</v>
      </c>
      <c r="X13" s="34">
        <v>2</v>
      </c>
      <c r="Y13" s="34">
        <v>1</v>
      </c>
      <c r="Z13" s="43">
        <v>0</v>
      </c>
    </row>
    <row r="14" spans="1:26" x14ac:dyDescent="0.35">
      <c r="B14" s="6">
        <v>0</v>
      </c>
      <c r="C14" s="7"/>
      <c r="E14" s="18"/>
      <c r="G14" s="6"/>
      <c r="Z14" s="20"/>
    </row>
    <row r="15" spans="1:26" x14ac:dyDescent="0.35">
      <c r="B15" s="6">
        <v>1</v>
      </c>
      <c r="C15" s="7"/>
      <c r="E15" s="18"/>
      <c r="G15" s="6"/>
      <c r="Z15" s="7"/>
    </row>
    <row r="16" spans="1:26" x14ac:dyDescent="0.35">
      <c r="B16" s="6">
        <v>2</v>
      </c>
      <c r="C16" s="7"/>
      <c r="E16" s="18"/>
      <c r="G16" s="6"/>
      <c r="Z16" s="7"/>
    </row>
    <row r="17" spans="2:26" x14ac:dyDescent="0.35">
      <c r="B17" s="6">
        <v>3</v>
      </c>
      <c r="C17" s="7"/>
      <c r="E17" s="18"/>
      <c r="G17" s="6"/>
      <c r="Z17" s="7"/>
    </row>
    <row r="18" spans="2:26" x14ac:dyDescent="0.35">
      <c r="B18" s="6">
        <v>4</v>
      </c>
      <c r="C18" s="7"/>
      <c r="E18" s="18"/>
      <c r="G18" s="6"/>
      <c r="Z18" s="7"/>
    </row>
    <row r="19" spans="2:26" x14ac:dyDescent="0.35">
      <c r="B19" s="6">
        <v>5</v>
      </c>
      <c r="C19" s="7"/>
      <c r="E19" s="18"/>
      <c r="G19" s="6"/>
      <c r="Z19" s="7"/>
    </row>
    <row r="20" spans="2:26" x14ac:dyDescent="0.35">
      <c r="B20" s="6">
        <v>6</v>
      </c>
      <c r="C20" s="7"/>
      <c r="E20" s="18"/>
      <c r="G20" s="6"/>
      <c r="Z20" s="7"/>
    </row>
    <row r="21" spans="2:26" x14ac:dyDescent="0.35">
      <c r="B21" s="6">
        <v>7</v>
      </c>
      <c r="C21" s="7"/>
      <c r="E21" s="18"/>
      <c r="G21" s="6"/>
      <c r="Z21" s="7"/>
    </row>
    <row r="22" spans="2:26" x14ac:dyDescent="0.35">
      <c r="B22" s="6">
        <v>8</v>
      </c>
      <c r="C22" s="7"/>
      <c r="E22" s="18"/>
      <c r="G22" s="6"/>
      <c r="Z22" s="7"/>
    </row>
    <row r="23" spans="2:26" x14ac:dyDescent="0.35">
      <c r="B23" s="6">
        <v>9</v>
      </c>
      <c r="C23" s="7"/>
      <c r="E23" s="18"/>
      <c r="G23" s="6"/>
      <c r="Z23" s="7"/>
    </row>
    <row r="24" spans="2:26" x14ac:dyDescent="0.35">
      <c r="B24" s="6">
        <v>10</v>
      </c>
      <c r="C24" s="7"/>
      <c r="E24" s="18"/>
      <c r="G24" s="6"/>
      <c r="Z24" s="7"/>
    </row>
    <row r="25" spans="2:26" x14ac:dyDescent="0.35">
      <c r="B25" s="6">
        <v>11</v>
      </c>
      <c r="C25" s="7"/>
      <c r="E25" s="18"/>
      <c r="G25" s="6"/>
      <c r="Z25" s="7"/>
    </row>
    <row r="26" spans="2:26" x14ac:dyDescent="0.35">
      <c r="B26" s="6">
        <v>12</v>
      </c>
      <c r="C26" s="7"/>
      <c r="E26" s="18"/>
      <c r="G26" s="6"/>
      <c r="Z26" s="7"/>
    </row>
    <row r="27" spans="2:26" x14ac:dyDescent="0.35">
      <c r="B27" s="6">
        <v>13</v>
      </c>
      <c r="C27" s="7"/>
      <c r="E27" s="18"/>
      <c r="G27" s="6"/>
      <c r="Z27" s="7"/>
    </row>
    <row r="28" spans="2:26" x14ac:dyDescent="0.35">
      <c r="B28" s="6">
        <v>14</v>
      </c>
      <c r="C28" s="7"/>
      <c r="E28" s="18"/>
      <c r="G28" s="6"/>
      <c r="Z28" s="7"/>
    </row>
    <row r="29" spans="2:26" x14ac:dyDescent="0.35">
      <c r="B29" s="6">
        <v>15</v>
      </c>
      <c r="C29" s="7"/>
      <c r="E29" s="18"/>
      <c r="G29" s="6"/>
      <c r="Z29" s="7"/>
    </row>
    <row r="30" spans="2:26" x14ac:dyDescent="0.35">
      <c r="B30" s="6">
        <v>16</v>
      </c>
      <c r="C30" s="7"/>
      <c r="E30" s="18"/>
      <c r="G30" s="6"/>
      <c r="Z30" s="7"/>
    </row>
    <row r="31" spans="2:26" x14ac:dyDescent="0.35">
      <c r="B31" s="6">
        <v>17</v>
      </c>
      <c r="C31" s="7"/>
      <c r="E31" s="18"/>
      <c r="G31" s="6"/>
      <c r="Z31" s="7"/>
    </row>
    <row r="32" spans="2:26" x14ac:dyDescent="0.35">
      <c r="B32" s="6">
        <v>18</v>
      </c>
      <c r="C32" s="7"/>
      <c r="E32" s="18"/>
      <c r="G32" s="6"/>
      <c r="Z32" s="7"/>
    </row>
    <row r="33" spans="2:26" ht="18.600000000000001" thickBot="1" x14ac:dyDescent="0.4">
      <c r="B33" s="13">
        <v>19</v>
      </c>
      <c r="C33" s="17"/>
      <c r="E33" s="19"/>
      <c r="G33" s="13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7"/>
    </row>
  </sheetData>
  <mergeCells count="4">
    <mergeCell ref="B1:I1"/>
    <mergeCell ref="B2:I2"/>
    <mergeCell ref="B3:I3"/>
    <mergeCell ref="G12:Z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34"/>
  <sheetViews>
    <sheetView zoomScale="55" zoomScaleNormal="55" workbookViewId="0">
      <selection activeCell="Z16" sqref="Z16"/>
    </sheetView>
  </sheetViews>
  <sheetFormatPr defaultColWidth="8.77734375" defaultRowHeight="18" x14ac:dyDescent="0.35"/>
  <cols>
    <col min="1" max="1" width="15.44140625" style="5" bestFit="1" customWidth="1"/>
    <col min="2" max="22" width="8.77734375" style="5"/>
    <col min="23" max="23" width="11.6640625" style="5" bestFit="1" customWidth="1"/>
    <col min="24" max="26" width="8.77734375" style="5"/>
    <col min="27" max="27" width="11.77734375" style="5" bestFit="1" customWidth="1"/>
    <col min="28" max="16384" width="8.77734375" style="5"/>
  </cols>
  <sheetData>
    <row r="1" spans="1:44" s="15" customFormat="1" ht="21" x14ac:dyDescent="0.4">
      <c r="A1" s="1"/>
      <c r="B1" s="1"/>
      <c r="C1" s="62" t="s">
        <v>22</v>
      </c>
      <c r="D1" s="62"/>
      <c r="E1" s="62"/>
      <c r="F1" s="62"/>
      <c r="G1" s="62"/>
      <c r="H1" s="62"/>
      <c r="I1" s="62"/>
      <c r="J1" s="62"/>
    </row>
    <row r="2" spans="1:44" s="15" customFormat="1" ht="21" x14ac:dyDescent="0.4">
      <c r="A2" s="1"/>
      <c r="B2" s="1"/>
      <c r="C2" s="62" t="s">
        <v>35</v>
      </c>
      <c r="D2" s="62"/>
      <c r="E2" s="62"/>
      <c r="F2" s="62"/>
      <c r="G2" s="62"/>
      <c r="H2" s="62"/>
      <c r="I2" s="62"/>
      <c r="J2" s="62"/>
    </row>
    <row r="3" spans="1:44" s="15" customFormat="1" ht="21" x14ac:dyDescent="0.4">
      <c r="A3" s="1"/>
      <c r="B3" s="1"/>
      <c r="C3" s="62"/>
      <c r="D3" s="62"/>
      <c r="E3" s="62"/>
      <c r="F3" s="62"/>
      <c r="G3" s="62"/>
      <c r="H3" s="62"/>
      <c r="I3" s="62"/>
      <c r="J3" s="62"/>
    </row>
    <row r="4" spans="1:44" ht="18.600000000000001" thickBot="1" x14ac:dyDescent="0.4"/>
    <row r="5" spans="1:44" ht="18.600000000000001" thickBot="1" x14ac:dyDescent="0.4">
      <c r="A5" s="25" t="s">
        <v>24</v>
      </c>
      <c r="B5" s="34" t="s">
        <v>0</v>
      </c>
      <c r="C5" s="9">
        <v>1</v>
      </c>
      <c r="D5" s="9"/>
      <c r="E5" s="34" t="s">
        <v>1</v>
      </c>
      <c r="F5" s="12">
        <f>EXP(C6*(C7/C8)^0.5)</f>
        <v>1.0469520640827252</v>
      </c>
      <c r="J5" s="41" t="s">
        <v>11</v>
      </c>
      <c r="K5" s="40">
        <f>(EXP(C9*C7/C8)-F6)/(F5-F6)</f>
        <v>0.49426611577314755</v>
      </c>
    </row>
    <row r="6" spans="1:44" ht="18.600000000000001" thickBot="1" x14ac:dyDescent="0.4">
      <c r="A6" s="25" t="s">
        <v>26</v>
      </c>
      <c r="B6" s="34" t="s">
        <v>2</v>
      </c>
      <c r="C6" s="9">
        <v>0.2</v>
      </c>
      <c r="D6" s="9"/>
      <c r="E6" s="34" t="s">
        <v>5</v>
      </c>
      <c r="F6" s="12">
        <f>1/F5</f>
        <v>0.95515356844550303</v>
      </c>
      <c r="J6" s="35" t="s">
        <v>12</v>
      </c>
      <c r="K6" s="7">
        <f>1-K5</f>
        <v>0.50573388422685239</v>
      </c>
    </row>
    <row r="7" spans="1:44" ht="18.600000000000001" thickBot="1" x14ac:dyDescent="0.4">
      <c r="A7" s="25" t="s">
        <v>27</v>
      </c>
      <c r="B7" s="34" t="s">
        <v>3</v>
      </c>
      <c r="C7" s="9">
        <v>1</v>
      </c>
      <c r="D7" s="9"/>
      <c r="E7" s="9"/>
      <c r="F7" s="12"/>
      <c r="J7" s="42" t="s">
        <v>13</v>
      </c>
      <c r="K7" s="49">
        <f>EXP(-C9*C7/C8)</f>
        <v>0.99947382269038565</v>
      </c>
    </row>
    <row r="8" spans="1:44" ht="18.600000000000001" thickBot="1" x14ac:dyDescent="0.4">
      <c r="A8" s="25" t="s">
        <v>25</v>
      </c>
      <c r="B8" s="34" t="s">
        <v>4</v>
      </c>
      <c r="C8" s="26">
        <v>19</v>
      </c>
      <c r="D8" s="9"/>
      <c r="E8" s="9"/>
      <c r="F8" s="12"/>
    </row>
    <row r="9" spans="1:44" ht="18.600000000000001" thickBot="1" x14ac:dyDescent="0.4">
      <c r="A9" s="25" t="s">
        <v>28</v>
      </c>
      <c r="B9" s="34" t="s">
        <v>6</v>
      </c>
      <c r="C9" s="9">
        <v>0.01</v>
      </c>
      <c r="D9" s="9"/>
      <c r="E9" s="9"/>
      <c r="F9" s="12"/>
    </row>
    <row r="10" spans="1:44" ht="18.600000000000001" thickBot="1" x14ac:dyDescent="0.4">
      <c r="A10" s="25" t="s">
        <v>29</v>
      </c>
      <c r="B10" s="34" t="s">
        <v>9</v>
      </c>
      <c r="C10" s="9">
        <v>1</v>
      </c>
      <c r="D10" s="9"/>
      <c r="E10" s="9"/>
      <c r="F10" s="12"/>
    </row>
    <row r="12" spans="1:44" ht="18.600000000000001" thickBot="1" x14ac:dyDescent="0.4"/>
    <row r="13" spans="1:44" ht="18.600000000000001" thickBot="1" x14ac:dyDescent="0.4">
      <c r="B13" s="57" t="s">
        <v>7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9"/>
      <c r="W13" s="60" t="s">
        <v>8</v>
      </c>
      <c r="Y13" s="57" t="s">
        <v>10</v>
      </c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9"/>
    </row>
    <row r="14" spans="1:44" ht="18.600000000000001" thickBot="1" x14ac:dyDescent="0.4">
      <c r="B14" s="25">
        <v>0</v>
      </c>
      <c r="C14" s="34">
        <v>1</v>
      </c>
      <c r="D14" s="34">
        <v>2</v>
      </c>
      <c r="E14" s="34">
        <v>3</v>
      </c>
      <c r="F14" s="34">
        <v>4</v>
      </c>
      <c r="G14" s="34">
        <v>5</v>
      </c>
      <c r="H14" s="34">
        <v>6</v>
      </c>
      <c r="I14" s="34">
        <v>7</v>
      </c>
      <c r="J14" s="34">
        <v>8</v>
      </c>
      <c r="K14" s="34">
        <v>9</v>
      </c>
      <c r="L14" s="34">
        <v>10</v>
      </c>
      <c r="M14" s="34">
        <v>11</v>
      </c>
      <c r="N14" s="34">
        <v>12</v>
      </c>
      <c r="O14" s="34">
        <v>13</v>
      </c>
      <c r="P14" s="34">
        <v>14</v>
      </c>
      <c r="Q14" s="34">
        <v>15</v>
      </c>
      <c r="R14" s="34">
        <v>16</v>
      </c>
      <c r="S14" s="34">
        <v>17</v>
      </c>
      <c r="T14" s="34">
        <v>18</v>
      </c>
      <c r="U14" s="43">
        <v>19</v>
      </c>
      <c r="W14" s="66"/>
      <c r="Y14" s="25">
        <v>19</v>
      </c>
      <c r="Z14" s="34">
        <v>18</v>
      </c>
      <c r="AA14" s="34">
        <v>17</v>
      </c>
      <c r="AB14" s="34">
        <v>16</v>
      </c>
      <c r="AC14" s="34">
        <v>15</v>
      </c>
      <c r="AD14" s="34">
        <v>14</v>
      </c>
      <c r="AE14" s="34">
        <v>13</v>
      </c>
      <c r="AF14" s="34">
        <v>12</v>
      </c>
      <c r="AG14" s="34">
        <v>11</v>
      </c>
      <c r="AH14" s="34">
        <v>10</v>
      </c>
      <c r="AI14" s="34">
        <v>9</v>
      </c>
      <c r="AJ14" s="34">
        <v>8</v>
      </c>
      <c r="AK14" s="34">
        <v>7</v>
      </c>
      <c r="AL14" s="34">
        <v>6</v>
      </c>
      <c r="AM14" s="34">
        <v>5</v>
      </c>
      <c r="AN14" s="34">
        <v>4</v>
      </c>
      <c r="AO14" s="34">
        <v>3</v>
      </c>
      <c r="AP14" s="34">
        <v>2</v>
      </c>
      <c r="AQ14" s="34">
        <v>1</v>
      </c>
      <c r="AR14" s="43">
        <v>0</v>
      </c>
    </row>
    <row r="15" spans="1:44" x14ac:dyDescent="0.35">
      <c r="B15" s="6">
        <v>1</v>
      </c>
      <c r="C15" s="5">
        <f>B15*$F$5</f>
        <v>1.0469520640827252</v>
      </c>
      <c r="D15" s="5">
        <f t="shared" ref="D15:U15" si="0">C15*$F$5</f>
        <v>1.0961086244870788</v>
      </c>
      <c r="E15" s="5">
        <f t="shared" si="0"/>
        <v>1.1475731868656238</v>
      </c>
      <c r="F15" s="5">
        <f t="shared" si="0"/>
        <v>1.2014541166749557</v>
      </c>
      <c r="G15" s="5">
        <f t="shared" si="0"/>
        <v>1.2578648673535322</v>
      </c>
      <c r="H15" s="5">
        <f t="shared" si="0"/>
        <v>1.316924219212924</v>
      </c>
      <c r="I15" s="5">
        <f t="shared" si="0"/>
        <v>1.3787565295455022</v>
      </c>
      <c r="J15" s="5">
        <f t="shared" si="0"/>
        <v>1.4434919944751985</v>
      </c>
      <c r="K15" s="5">
        <f t="shared" si="0"/>
        <v>1.5112669231026989</v>
      </c>
      <c r="L15" s="5">
        <f t="shared" si="0"/>
        <v>1.5822240245223198</v>
      </c>
      <c r="M15" s="5">
        <f t="shared" si="0"/>
        <v>1.6565127083149191</v>
      </c>
      <c r="N15" s="5">
        <f t="shared" si="0"/>
        <v>1.73428939914957</v>
      </c>
      <c r="O15" s="5">
        <f t="shared" si="0"/>
        <v>1.8157178661564317</v>
      </c>
      <c r="P15" s="5">
        <f t="shared" si="0"/>
        <v>1.9009695677643577</v>
      </c>
      <c r="Q15" s="5">
        <f t="shared" si="0"/>
        <v>1.9902240127293402</v>
      </c>
      <c r="R15" s="5">
        <f t="shared" si="0"/>
        <v>2.0836691381139869</v>
      </c>
      <c r="S15" s="5">
        <f t="shared" si="0"/>
        <v>2.1815017050139116</v>
      </c>
      <c r="T15" s="5">
        <f t="shared" si="0"/>
        <v>2.283927712864299</v>
      </c>
      <c r="U15" s="5">
        <f t="shared" si="0"/>
        <v>2.3911628331990156</v>
      </c>
      <c r="W15" s="18">
        <f>MAX($C$10-U15,0)</f>
        <v>0</v>
      </c>
      <c r="Y15" s="51">
        <f>W15</f>
        <v>0</v>
      </c>
      <c r="Z15" s="50">
        <f>MAX($K$7*($K$5*Y15+$K$6*Y16),(-$T15+C10))</f>
        <v>0</v>
      </c>
      <c r="AA15" s="50">
        <f>MAX($K$7*($K$5*Z15+$K$6*Z16),(-$S15+$C$10))</f>
        <v>0</v>
      </c>
      <c r="AB15" s="50">
        <f>MAX($K$7*($K$5*AA15+$K$6*AA16),(-$R15+$C$10))</f>
        <v>0</v>
      </c>
      <c r="AC15" s="50">
        <f>MAX($K$7*($K$5*AB15+$K$6*AB16),(-$Q15+$C$10))</f>
        <v>0</v>
      </c>
      <c r="AD15" s="50">
        <f>MAX($K$7*($K$5*AC15+$K$6*AC16),(-$P15+$C$10))</f>
        <v>0</v>
      </c>
      <c r="AE15" s="50">
        <f>MAX($K$7*($K$5*AD15+$K$6*AD16),(-$O15+$C$10))</f>
        <v>0</v>
      </c>
      <c r="AF15" s="50">
        <f>MAX($K$7*($K$5*AE15+$K$6*AE16),(-$N15+$C$10))</f>
        <v>0</v>
      </c>
      <c r="AG15" s="50">
        <f>MAX($K$7*($K$5*AF15+$K$6*AF16),(-$M15+$C$10))</f>
        <v>0</v>
      </c>
      <c r="AH15" s="50">
        <f>MAX($K$7*($K$5*AG15+$K$6*AG16),(-$L15+$C$10))</f>
        <v>0</v>
      </c>
      <c r="AI15" s="50">
        <f>MAX($K$7*($K$5*AH15+$K$6*AH16),(-$K15+$C$10))</f>
        <v>4.8827293865332145E-5</v>
      </c>
      <c r="AJ15" s="50">
        <f>MAX($K$7*($K$5*AI15+$K$6*AI16),(-$J15+$C$10))</f>
        <v>3.3610175648604004E-4</v>
      </c>
      <c r="AK15" s="50">
        <f>MAX($K$7*($K$5*AJ15+$K$6*AJ16),(-$I15+$C$10))</f>
        <v>1.2641579770856543E-3</v>
      </c>
      <c r="AL15" s="50">
        <f>MAX($K$7*($K$5*AK15+$K$6*AK16),(-$H15+$C$10))</f>
        <v>3.4429276549627517E-3</v>
      </c>
      <c r="AM15" s="50">
        <f>MAX($K$7*($K$5*AL15+$K$6*AL16),(-$G15+$C$10))</f>
        <v>7.60033072984302E-3</v>
      </c>
      <c r="AN15" s="50">
        <f>MAX($K$7*($K$5*AM15+$K$6*AM16),(-$F15+$C$10))</f>
        <v>1.4446023026639726E-2</v>
      </c>
      <c r="AO15" s="50">
        <f>MAX($K$7*($K$5*AN15+$K$6*AN16),(-$E15+$C$10))</f>
        <v>2.4539482781299291E-2</v>
      </c>
      <c r="AP15" s="50">
        <f>MAX($K$7*($K$5*AO15+$K$6*AO16),(-$D15+$C$10))</f>
        <v>3.8201771866074999E-2</v>
      </c>
      <c r="AQ15" s="50">
        <f>MAX($K$7*($K$5*AP15+$K$6*AP16),(-$C15+$C$10))</f>
        <v>5.5484067723239029E-2</v>
      </c>
      <c r="AR15" s="50">
        <f>MAX($K$7*($K$5*AQ15+$K$6*AQ16),(-$B15+$C$10))</f>
        <v>7.6190133851342393E-2</v>
      </c>
    </row>
    <row r="16" spans="1:44" x14ac:dyDescent="0.35">
      <c r="B16" s="6"/>
      <c r="C16" s="5">
        <f>B15*$F$6</f>
        <v>0.95515356844550303</v>
      </c>
      <c r="D16" s="5">
        <f t="shared" ref="D16:U30" si="1">C15*$F$6</f>
        <v>1</v>
      </c>
      <c r="E16" s="5">
        <f t="shared" si="1"/>
        <v>1.0469520640827252</v>
      </c>
      <c r="F16" s="5">
        <f t="shared" si="1"/>
        <v>1.0961086244870786</v>
      </c>
      <c r="G16" s="5">
        <f t="shared" si="1"/>
        <v>1.1475731868656236</v>
      </c>
      <c r="H16" s="5">
        <f t="shared" si="1"/>
        <v>1.2014541166749557</v>
      </c>
      <c r="I16" s="5">
        <f t="shared" si="1"/>
        <v>1.2578648673535322</v>
      </c>
      <c r="J16" s="5">
        <f t="shared" si="1"/>
        <v>1.316924219212924</v>
      </c>
      <c r="K16" s="5">
        <f t="shared" si="1"/>
        <v>1.3787565295455022</v>
      </c>
      <c r="L16" s="5">
        <f t="shared" si="1"/>
        <v>1.4434919944751985</v>
      </c>
      <c r="M16" s="5">
        <f t="shared" si="1"/>
        <v>1.5112669231026989</v>
      </c>
      <c r="N16" s="5">
        <f t="shared" si="1"/>
        <v>1.5822240245223198</v>
      </c>
      <c r="O16" s="5">
        <f t="shared" si="1"/>
        <v>1.6565127083149191</v>
      </c>
      <c r="P16" s="5">
        <f t="shared" si="1"/>
        <v>1.73428939914957</v>
      </c>
      <c r="Q16" s="5">
        <f t="shared" si="1"/>
        <v>1.8157178661564317</v>
      </c>
      <c r="R16" s="5">
        <f t="shared" si="1"/>
        <v>1.9009695677643577</v>
      </c>
      <c r="S16" s="5">
        <f t="shared" si="1"/>
        <v>1.9902240127293402</v>
      </c>
      <c r="T16" s="5">
        <f t="shared" si="1"/>
        <v>2.0836691381139869</v>
      </c>
      <c r="U16" s="5">
        <f t="shared" si="1"/>
        <v>2.1815017050139112</v>
      </c>
      <c r="W16" s="18">
        <f t="shared" ref="W16:W34" si="2">MAX($C$10-U16,0)</f>
        <v>0</v>
      </c>
      <c r="Y16" s="51">
        <f t="shared" ref="Y16:Y34" si="3">W16</f>
        <v>0</v>
      </c>
      <c r="Z16" s="50">
        <f t="shared" ref="Z16:Z34" si="4">MAX($K$7*($K$5*Y16+$K$6*Y17),(-$T16+C11))</f>
        <v>0</v>
      </c>
      <c r="AA16" s="50">
        <f t="shared" ref="AA16:AA34" si="5">MAX($K$7*($K$5*Z16+$K$6*Z17),(-$S16+$C$10))</f>
        <v>0</v>
      </c>
      <c r="AB16" s="50">
        <f t="shared" ref="AB16:AB34" si="6">MAX($K$7*($K$5*AA16+$K$6*AA17),(-$R16+$C$10))</f>
        <v>0</v>
      </c>
      <c r="AC16" s="50">
        <f t="shared" ref="AC16:AC34" si="7">MAX($K$7*($K$5*AB16+$K$6*AB17),(-$Q16+$C$10))</f>
        <v>0</v>
      </c>
      <c r="AD16" s="50">
        <f t="shared" ref="AD16:AD34" si="8">MAX($K$7*($K$5*AC16+$K$6*AC17),(-$P16+$C$10))</f>
        <v>0</v>
      </c>
      <c r="AE16" s="50">
        <f t="shared" ref="AE16:AE34" si="9">MAX($K$7*($K$5*AD16+$K$6*AD17),(-$O16+$C$10))</f>
        <v>0</v>
      </c>
      <c r="AF16" s="50">
        <f t="shared" ref="AF16:AF34" si="10">MAX($K$7*($K$5*AE16+$K$6*AE17),(-$N16+$C$10))</f>
        <v>0</v>
      </c>
      <c r="AG16" s="50">
        <f t="shared" ref="AG16:AG34" si="11">MAX($K$7*($K$5*AF16+$K$6*AF17),(-$M16+$C$10))</f>
        <v>0</v>
      </c>
      <c r="AH16" s="50">
        <f t="shared" ref="AH16:AH34" si="12">MAX($K$7*($K$5*AG16+$K$6*AG17),(-$L16+$C$10))</f>
        <v>9.6598232249565648E-5</v>
      </c>
      <c r="AI16" s="50">
        <f t="shared" ref="AI16:AI34" si="13">MAX($K$7*($K$5*AH16+$K$6*AH17),(-$K16+$C$10))</f>
        <v>6.1721199935351476E-4</v>
      </c>
      <c r="AJ16" s="50">
        <f t="shared" ref="AJ16:AJ34" si="14">MAX($K$7*($K$5*AI16+$K$6*AI17),(-$J16+$C$10))</f>
        <v>2.1724860111123519E-3</v>
      </c>
      <c r="AK16" s="50">
        <f t="shared" ref="AK16:AK34" si="15">MAX($K$7*($K$5*AJ16+$K$6*AJ17),(-$I16+$C$10))</f>
        <v>5.5758766299518186E-3</v>
      </c>
      <c r="AL16" s="50">
        <f t="shared" ref="AL16:AL34" si="16">MAX($K$7*($K$5*AK16+$K$6*AK17),(-$H16+$C$10))</f>
        <v>1.1671374337297478E-2</v>
      </c>
      <c r="AM16" s="50">
        <f t="shared" ref="AM16:AM34" si="17">MAX($K$7*($K$5*AL16+$K$6*AL17),(-$G16+$C$10))</f>
        <v>2.1151523722325784E-2</v>
      </c>
      <c r="AN16" s="50">
        <f t="shared" ref="AN16:AN34" si="18">MAX($K$7*($K$5*AM16+$K$6*AM17),(-$F16+$C$10))</f>
        <v>3.4429613184494855E-2</v>
      </c>
      <c r="AO16" s="50">
        <f t="shared" ref="AO16:AO34" si="19">MAX($K$7*($K$5*AN16+$K$6*AN17),(-$E16+$C$10))</f>
        <v>5.1594028658612567E-2</v>
      </c>
      <c r="AP16" s="50">
        <f t="shared" ref="AP16:AP34" si="20">MAX($K$7*($K$5*AO16+$K$6*AO17),(-$D16+$C$10))</f>
        <v>7.2432236195469318E-2</v>
      </c>
      <c r="AQ16" s="50">
        <f t="shared" ref="AQ16:AQ34" si="21">MAX($K$7*($K$5*AP16+$K$6*AP17),(-$C16+$C$10))</f>
        <v>9.6505991308148006E-2</v>
      </c>
      <c r="AR16" s="50">
        <f t="shared" ref="AR16:AR34" si="22">MAX($K$7*($K$5*AQ16+$K$6*AQ17),(-$B16+$C$10))</f>
        <v>1</v>
      </c>
    </row>
    <row r="17" spans="2:44" x14ac:dyDescent="0.35">
      <c r="B17" s="6"/>
      <c r="D17" s="5">
        <f t="shared" si="1"/>
        <v>0.91231833931417827</v>
      </c>
      <c r="E17" s="5">
        <f t="shared" si="1"/>
        <v>0.95515356844550303</v>
      </c>
      <c r="F17" s="5">
        <f t="shared" si="1"/>
        <v>1</v>
      </c>
      <c r="G17" s="5">
        <f t="shared" si="1"/>
        <v>1.046952064082725</v>
      </c>
      <c r="H17" s="5">
        <f t="shared" si="1"/>
        <v>1.0961086244870784</v>
      </c>
      <c r="I17" s="5">
        <f t="shared" si="1"/>
        <v>1.1475731868656236</v>
      </c>
      <c r="J17" s="5">
        <f t="shared" si="1"/>
        <v>1.2014541166749557</v>
      </c>
      <c r="K17" s="5">
        <f t="shared" si="1"/>
        <v>1.2578648673535322</v>
      </c>
      <c r="L17" s="5">
        <f t="shared" si="1"/>
        <v>1.316924219212924</v>
      </c>
      <c r="M17" s="5">
        <f t="shared" si="1"/>
        <v>1.3787565295455022</v>
      </c>
      <c r="N17" s="5">
        <f t="shared" si="1"/>
        <v>1.4434919944751985</v>
      </c>
      <c r="O17" s="5">
        <f t="shared" si="1"/>
        <v>1.5112669231026989</v>
      </c>
      <c r="P17" s="5">
        <f t="shared" si="1"/>
        <v>1.5822240245223198</v>
      </c>
      <c r="Q17" s="5">
        <f t="shared" si="1"/>
        <v>1.6565127083149191</v>
      </c>
      <c r="R17" s="5">
        <f t="shared" si="1"/>
        <v>1.73428939914957</v>
      </c>
      <c r="S17" s="5">
        <f t="shared" si="1"/>
        <v>1.8157178661564317</v>
      </c>
      <c r="T17" s="5">
        <f t="shared" si="1"/>
        <v>1.9009695677643577</v>
      </c>
      <c r="U17" s="5">
        <f t="shared" si="1"/>
        <v>1.9902240127293402</v>
      </c>
      <c r="W17" s="18">
        <f t="shared" si="2"/>
        <v>0</v>
      </c>
      <c r="Y17" s="51">
        <f t="shared" si="3"/>
        <v>0</v>
      </c>
      <c r="Z17" s="50">
        <f t="shared" si="4"/>
        <v>0</v>
      </c>
      <c r="AA17" s="50">
        <f t="shared" si="5"/>
        <v>0</v>
      </c>
      <c r="AB17" s="50">
        <f t="shared" si="6"/>
        <v>0</v>
      </c>
      <c r="AC17" s="50">
        <f t="shared" si="7"/>
        <v>0</v>
      </c>
      <c r="AD17" s="50">
        <f t="shared" si="8"/>
        <v>0</v>
      </c>
      <c r="AE17" s="50">
        <f t="shared" si="9"/>
        <v>0</v>
      </c>
      <c r="AF17" s="50">
        <f t="shared" si="10"/>
        <v>0</v>
      </c>
      <c r="AG17" s="50">
        <f t="shared" si="11"/>
        <v>1.9110660728970444E-4</v>
      </c>
      <c r="AH17" s="50">
        <f t="shared" si="12"/>
        <v>1.126663089031863E-3</v>
      </c>
      <c r="AI17" s="50">
        <f t="shared" si="13"/>
        <v>3.6947549027313E-3</v>
      </c>
      <c r="AJ17" s="50">
        <f t="shared" si="14"/>
        <v>8.9078979924056834E-3</v>
      </c>
      <c r="AK17" s="50">
        <f t="shared" si="15"/>
        <v>1.7640803151712743E-2</v>
      </c>
      <c r="AL17" s="50">
        <f t="shared" si="16"/>
        <v>3.0438724107686454E-2</v>
      </c>
      <c r="AM17" s="50">
        <f t="shared" si="17"/>
        <v>4.7442455564912347E-2</v>
      </c>
      <c r="AN17" s="50">
        <f t="shared" si="18"/>
        <v>6.8422940326429108E-2</v>
      </c>
      <c r="AO17" s="50">
        <f t="shared" si="19"/>
        <v>9.2873326826015873E-2</v>
      </c>
      <c r="AP17" s="50">
        <f t="shared" si="20"/>
        <v>0.12013432193842845</v>
      </c>
      <c r="AQ17" s="50">
        <f t="shared" si="21"/>
        <v>1</v>
      </c>
      <c r="AR17" s="50">
        <f t="shared" si="22"/>
        <v>1</v>
      </c>
    </row>
    <row r="18" spans="2:44" x14ac:dyDescent="0.35">
      <c r="B18" s="6"/>
      <c r="D18" s="5">
        <f t="shared" si="1"/>
        <v>0</v>
      </c>
      <c r="E18" s="5">
        <f t="shared" si="1"/>
        <v>0.87140411735421264</v>
      </c>
      <c r="F18" s="5">
        <f t="shared" si="1"/>
        <v>0.91231833931417827</v>
      </c>
      <c r="G18" s="5">
        <f t="shared" si="1"/>
        <v>0.95515356844550303</v>
      </c>
      <c r="H18" s="5">
        <f t="shared" si="1"/>
        <v>0.99999999999999978</v>
      </c>
      <c r="I18" s="5">
        <f t="shared" si="1"/>
        <v>1.0469520640827248</v>
      </c>
      <c r="J18" s="5">
        <f t="shared" si="1"/>
        <v>1.0961086244870784</v>
      </c>
      <c r="K18" s="5">
        <f t="shared" si="1"/>
        <v>1.1475731868656236</v>
      </c>
      <c r="L18" s="5">
        <f t="shared" si="1"/>
        <v>1.2014541166749557</v>
      </c>
      <c r="M18" s="5">
        <f t="shared" si="1"/>
        <v>1.2578648673535322</v>
      </c>
      <c r="N18" s="5">
        <f t="shared" si="1"/>
        <v>1.316924219212924</v>
      </c>
      <c r="O18" s="5">
        <f t="shared" si="1"/>
        <v>1.3787565295455022</v>
      </c>
      <c r="P18" s="5">
        <f t="shared" si="1"/>
        <v>1.4434919944751985</v>
      </c>
      <c r="Q18" s="5">
        <f t="shared" si="1"/>
        <v>1.5112669231026989</v>
      </c>
      <c r="R18" s="5">
        <f t="shared" si="1"/>
        <v>1.5822240245223198</v>
      </c>
      <c r="S18" s="5">
        <f t="shared" si="1"/>
        <v>1.6565127083149191</v>
      </c>
      <c r="T18" s="5">
        <f t="shared" si="1"/>
        <v>1.73428939914957</v>
      </c>
      <c r="U18" s="5">
        <f t="shared" si="1"/>
        <v>1.8157178661564317</v>
      </c>
      <c r="W18" s="18">
        <f t="shared" si="2"/>
        <v>0</v>
      </c>
      <c r="Y18" s="51">
        <f t="shared" si="3"/>
        <v>0</v>
      </c>
      <c r="Z18" s="50">
        <f t="shared" si="4"/>
        <v>0</v>
      </c>
      <c r="AA18" s="50">
        <f t="shared" si="5"/>
        <v>0</v>
      </c>
      <c r="AB18" s="50">
        <f t="shared" si="6"/>
        <v>0</v>
      </c>
      <c r="AC18" s="50">
        <f t="shared" si="7"/>
        <v>0</v>
      </c>
      <c r="AD18" s="50">
        <f t="shared" si="8"/>
        <v>0</v>
      </c>
      <c r="AE18" s="50">
        <f t="shared" si="9"/>
        <v>0</v>
      </c>
      <c r="AF18" s="50">
        <f t="shared" si="10"/>
        <v>3.7807871323593023E-4</v>
      </c>
      <c r="AG18" s="50">
        <f t="shared" si="11"/>
        <v>2.0421781838390681E-3</v>
      </c>
      <c r="AH18" s="50">
        <f t="shared" si="12"/>
        <v>6.2084600845024283E-3</v>
      </c>
      <c r="AI18" s="50">
        <f t="shared" si="13"/>
        <v>1.4012103322074426E-2</v>
      </c>
      <c r="AJ18" s="50">
        <f t="shared" si="14"/>
        <v>2.6194048889063116E-2</v>
      </c>
      <c r="AK18" s="50">
        <f t="shared" si="15"/>
        <v>4.2978131642766905E-2</v>
      </c>
      <c r="AL18" s="50">
        <f t="shared" si="16"/>
        <v>6.4110005138903428E-2</v>
      </c>
      <c r="AM18" s="50">
        <f t="shared" si="17"/>
        <v>8.8998908413679689E-2</v>
      </c>
      <c r="AN18" s="50">
        <f t="shared" si="18"/>
        <v>0.11686596703991214</v>
      </c>
      <c r="AO18" s="50">
        <f t="shared" si="19"/>
        <v>0.14690221671679526</v>
      </c>
      <c r="AP18" s="50">
        <f t="shared" si="20"/>
        <v>1</v>
      </c>
      <c r="AQ18" s="50">
        <f t="shared" si="21"/>
        <v>1</v>
      </c>
      <c r="AR18" s="50">
        <f t="shared" si="22"/>
        <v>1</v>
      </c>
    </row>
    <row r="19" spans="2:44" x14ac:dyDescent="0.35">
      <c r="B19" s="6"/>
      <c r="D19" s="5">
        <f t="shared" si="1"/>
        <v>0</v>
      </c>
      <c r="E19" s="5">
        <f t="shared" si="1"/>
        <v>0</v>
      </c>
      <c r="F19" s="5">
        <f t="shared" si="1"/>
        <v>0.83232475224898006</v>
      </c>
      <c r="G19" s="5">
        <f t="shared" si="1"/>
        <v>0.87140411735421264</v>
      </c>
      <c r="H19" s="5">
        <f t="shared" si="1"/>
        <v>0.91231833931417827</v>
      </c>
      <c r="I19" s="5">
        <f t="shared" si="1"/>
        <v>0.95515356844550281</v>
      </c>
      <c r="J19" s="5">
        <f t="shared" si="1"/>
        <v>0.99999999999999956</v>
      </c>
      <c r="K19" s="5">
        <f t="shared" si="1"/>
        <v>1.0469520640827248</v>
      </c>
      <c r="L19" s="5">
        <f t="shared" si="1"/>
        <v>1.0961086244870784</v>
      </c>
      <c r="M19" s="5">
        <f t="shared" si="1"/>
        <v>1.1475731868656236</v>
      </c>
      <c r="N19" s="5">
        <f t="shared" si="1"/>
        <v>1.2014541166749557</v>
      </c>
      <c r="O19" s="5">
        <f t="shared" si="1"/>
        <v>1.2578648673535322</v>
      </c>
      <c r="P19" s="5">
        <f t="shared" si="1"/>
        <v>1.316924219212924</v>
      </c>
      <c r="Q19" s="5">
        <f t="shared" si="1"/>
        <v>1.3787565295455022</v>
      </c>
      <c r="R19" s="5">
        <f t="shared" si="1"/>
        <v>1.4434919944751985</v>
      </c>
      <c r="S19" s="5">
        <f t="shared" si="1"/>
        <v>1.5112669231026989</v>
      </c>
      <c r="T19" s="5">
        <f t="shared" si="1"/>
        <v>1.5822240245223198</v>
      </c>
      <c r="U19" s="5">
        <f t="shared" si="1"/>
        <v>1.6565127083149191</v>
      </c>
      <c r="W19" s="18">
        <f t="shared" si="2"/>
        <v>0</v>
      </c>
      <c r="Y19" s="51">
        <f t="shared" si="3"/>
        <v>0</v>
      </c>
      <c r="Z19" s="50">
        <f t="shared" si="4"/>
        <v>0</v>
      </c>
      <c r="AA19" s="50">
        <f t="shared" si="5"/>
        <v>0</v>
      </c>
      <c r="AB19" s="50">
        <f t="shared" si="6"/>
        <v>0</v>
      </c>
      <c r="AC19" s="50">
        <f t="shared" si="7"/>
        <v>0</v>
      </c>
      <c r="AD19" s="50">
        <f t="shared" si="8"/>
        <v>0</v>
      </c>
      <c r="AE19" s="50">
        <f t="shared" si="9"/>
        <v>7.4797787177208501E-4</v>
      </c>
      <c r="AF19" s="50">
        <f t="shared" si="10"/>
        <v>3.6706692159894938E-3</v>
      </c>
      <c r="AG19" s="50">
        <f t="shared" si="11"/>
        <v>1.0286732288923022E-2</v>
      </c>
      <c r="AH19" s="50">
        <f t="shared" si="12"/>
        <v>2.1653381244591204E-2</v>
      </c>
      <c r="AI19" s="50">
        <f t="shared" si="13"/>
        <v>3.8127030000904394E-2</v>
      </c>
      <c r="AJ19" s="50">
        <f t="shared" si="14"/>
        <v>5.9426365925476878E-2</v>
      </c>
      <c r="AK19" s="50">
        <f t="shared" si="15"/>
        <v>8.4829439505046511E-2</v>
      </c>
      <c r="AL19" s="50">
        <f t="shared" si="16"/>
        <v>0.11341608865854473</v>
      </c>
      <c r="AM19" s="50">
        <f t="shared" si="17"/>
        <v>0.14422278027644012</v>
      </c>
      <c r="AN19" s="50">
        <f t="shared" si="18"/>
        <v>0.17641030037882591</v>
      </c>
      <c r="AO19" s="50">
        <f t="shared" si="19"/>
        <v>1</v>
      </c>
      <c r="AP19" s="50">
        <f t="shared" si="20"/>
        <v>1</v>
      </c>
      <c r="AQ19" s="50">
        <f t="shared" si="21"/>
        <v>1</v>
      </c>
      <c r="AR19" s="50">
        <f t="shared" si="22"/>
        <v>1</v>
      </c>
    </row>
    <row r="20" spans="2:44" x14ac:dyDescent="0.35">
      <c r="B20" s="6"/>
      <c r="D20" s="5">
        <f t="shared" si="1"/>
        <v>0</v>
      </c>
      <c r="E20" s="5">
        <f t="shared" si="1"/>
        <v>0</v>
      </c>
      <c r="F20" s="5">
        <f t="shared" si="1"/>
        <v>0</v>
      </c>
      <c r="G20" s="5">
        <f t="shared" si="1"/>
        <v>0.79499795721613253</v>
      </c>
      <c r="H20" s="5">
        <f t="shared" si="1"/>
        <v>0.83232475224898006</v>
      </c>
      <c r="I20" s="5">
        <f t="shared" si="1"/>
        <v>0.87140411735421264</v>
      </c>
      <c r="J20" s="5">
        <f t="shared" si="1"/>
        <v>0.91231833931417805</v>
      </c>
      <c r="K20" s="5">
        <f t="shared" si="1"/>
        <v>0.95515356844550259</v>
      </c>
      <c r="L20" s="5">
        <f t="shared" si="1"/>
        <v>0.99999999999999956</v>
      </c>
      <c r="M20" s="5">
        <f t="shared" si="1"/>
        <v>1.0469520640827248</v>
      </c>
      <c r="N20" s="5">
        <f t="shared" si="1"/>
        <v>1.0961086244870784</v>
      </c>
      <c r="O20" s="5">
        <f t="shared" si="1"/>
        <v>1.1475731868656236</v>
      </c>
      <c r="P20" s="5">
        <f t="shared" si="1"/>
        <v>1.2014541166749557</v>
      </c>
      <c r="Q20" s="5">
        <f t="shared" si="1"/>
        <v>1.2578648673535322</v>
      </c>
      <c r="R20" s="5">
        <f t="shared" si="1"/>
        <v>1.316924219212924</v>
      </c>
      <c r="S20" s="5">
        <f t="shared" si="1"/>
        <v>1.3787565295455022</v>
      </c>
      <c r="T20" s="5">
        <f t="shared" si="1"/>
        <v>1.4434919944751985</v>
      </c>
      <c r="U20" s="5">
        <f t="shared" si="1"/>
        <v>1.5112669231026989</v>
      </c>
      <c r="W20" s="18">
        <f t="shared" si="2"/>
        <v>0</v>
      </c>
      <c r="Y20" s="51">
        <f t="shared" si="3"/>
        <v>0</v>
      </c>
      <c r="Z20" s="50">
        <f t="shared" si="4"/>
        <v>0</v>
      </c>
      <c r="AA20" s="50">
        <f t="shared" si="5"/>
        <v>0</v>
      </c>
      <c r="AB20" s="50">
        <f t="shared" si="6"/>
        <v>0</v>
      </c>
      <c r="AC20" s="50">
        <f t="shared" si="7"/>
        <v>0</v>
      </c>
      <c r="AD20" s="50">
        <f t="shared" si="8"/>
        <v>1.4797735949539541E-3</v>
      </c>
      <c r="AE20" s="50">
        <f t="shared" si="9"/>
        <v>6.5309081342893403E-3</v>
      </c>
      <c r="AF20" s="50">
        <f t="shared" si="10"/>
        <v>1.6763481016976705E-2</v>
      </c>
      <c r="AG20" s="50">
        <f t="shared" si="11"/>
        <v>3.2784826299603262E-2</v>
      </c>
      <c r="AH20" s="50">
        <f t="shared" si="12"/>
        <v>5.4266819675955279E-2</v>
      </c>
      <c r="AI20" s="50">
        <f t="shared" si="13"/>
        <v>8.0304589893143721E-2</v>
      </c>
      <c r="AJ20" s="50">
        <f t="shared" si="14"/>
        <v>0.10974479068989287</v>
      </c>
      <c r="AK20" s="50">
        <f t="shared" si="15"/>
        <v>0.14147258412425442</v>
      </c>
      <c r="AL20" s="50">
        <f t="shared" si="16"/>
        <v>0.17448104650792468</v>
      </c>
      <c r="AM20" s="50">
        <f t="shared" si="17"/>
        <v>0.20805159039482249</v>
      </c>
      <c r="AN20" s="50">
        <f t="shared" si="18"/>
        <v>1</v>
      </c>
      <c r="AO20" s="50">
        <f t="shared" si="19"/>
        <v>1</v>
      </c>
      <c r="AP20" s="50">
        <f t="shared" si="20"/>
        <v>1</v>
      </c>
      <c r="AQ20" s="50">
        <f t="shared" si="21"/>
        <v>1</v>
      </c>
      <c r="AR20" s="50">
        <f t="shared" si="22"/>
        <v>1</v>
      </c>
    </row>
    <row r="21" spans="2:44" x14ac:dyDescent="0.35">
      <c r="B21" s="6"/>
      <c r="D21" s="5">
        <f t="shared" si="1"/>
        <v>0</v>
      </c>
      <c r="E21" s="5">
        <f t="shared" si="1"/>
        <v>0</v>
      </c>
      <c r="F21" s="5">
        <f t="shared" si="1"/>
        <v>0</v>
      </c>
      <c r="G21" s="5">
        <f t="shared" si="1"/>
        <v>0</v>
      </c>
      <c r="H21" s="5">
        <f t="shared" si="1"/>
        <v>0.75934513574187434</v>
      </c>
      <c r="I21" s="5">
        <f t="shared" si="1"/>
        <v>0.79499795721613253</v>
      </c>
      <c r="J21" s="5">
        <f t="shared" si="1"/>
        <v>0.83232475224898006</v>
      </c>
      <c r="K21" s="5">
        <f t="shared" si="1"/>
        <v>0.87140411735421242</v>
      </c>
      <c r="L21" s="5">
        <f t="shared" si="1"/>
        <v>0.91231833931417783</v>
      </c>
      <c r="M21" s="5">
        <f t="shared" si="1"/>
        <v>0.95515356844550259</v>
      </c>
      <c r="N21" s="5">
        <f t="shared" si="1"/>
        <v>0.99999999999999956</v>
      </c>
      <c r="O21" s="5">
        <f t="shared" si="1"/>
        <v>1.0469520640827248</v>
      </c>
      <c r="P21" s="5">
        <f t="shared" si="1"/>
        <v>1.0961086244870784</v>
      </c>
      <c r="Q21" s="5">
        <f t="shared" si="1"/>
        <v>1.1475731868656236</v>
      </c>
      <c r="R21" s="5">
        <f t="shared" si="1"/>
        <v>1.2014541166749557</v>
      </c>
      <c r="S21" s="5">
        <f t="shared" si="1"/>
        <v>1.2578648673535322</v>
      </c>
      <c r="T21" s="5">
        <f t="shared" si="1"/>
        <v>1.316924219212924</v>
      </c>
      <c r="U21" s="5">
        <f t="shared" si="1"/>
        <v>1.3787565295455022</v>
      </c>
      <c r="W21" s="18">
        <f t="shared" si="2"/>
        <v>0</v>
      </c>
      <c r="Y21" s="51">
        <f t="shared" si="3"/>
        <v>0</v>
      </c>
      <c r="Z21" s="50">
        <f t="shared" si="4"/>
        <v>0</v>
      </c>
      <c r="AA21" s="50">
        <f t="shared" si="5"/>
        <v>0</v>
      </c>
      <c r="AB21" s="50">
        <f t="shared" si="6"/>
        <v>0</v>
      </c>
      <c r="AC21" s="50">
        <f t="shared" si="7"/>
        <v>2.9275329858824725E-3</v>
      </c>
      <c r="AD21" s="50">
        <f t="shared" si="8"/>
        <v>1.1474304160865988E-2</v>
      </c>
      <c r="AE21" s="50">
        <f t="shared" si="9"/>
        <v>2.6781475496033325E-2</v>
      </c>
      <c r="AF21" s="50">
        <f t="shared" si="10"/>
        <v>4.8477007628929626E-2</v>
      </c>
      <c r="AG21" s="50">
        <f t="shared" si="11"/>
        <v>7.5318188308311412E-2</v>
      </c>
      <c r="AH21" s="50">
        <f t="shared" si="12"/>
        <v>0.10583553541497995</v>
      </c>
      <c r="AI21" s="50">
        <f t="shared" si="13"/>
        <v>0.13863166137417315</v>
      </c>
      <c r="AJ21" s="50">
        <f t="shared" si="14"/>
        <v>0.17262820285390237</v>
      </c>
      <c r="AK21" s="50">
        <f t="shared" si="15"/>
        <v>0.20692265523152073</v>
      </c>
      <c r="AL21" s="50">
        <f t="shared" si="16"/>
        <v>0.24107748110613722</v>
      </c>
      <c r="AM21" s="50">
        <f t="shared" si="17"/>
        <v>1</v>
      </c>
      <c r="AN21" s="50">
        <f t="shared" si="18"/>
        <v>1</v>
      </c>
      <c r="AO21" s="50">
        <f t="shared" si="19"/>
        <v>1</v>
      </c>
      <c r="AP21" s="50">
        <f t="shared" si="20"/>
        <v>1</v>
      </c>
      <c r="AQ21" s="50">
        <f t="shared" si="21"/>
        <v>1</v>
      </c>
      <c r="AR21" s="50">
        <f t="shared" si="22"/>
        <v>1</v>
      </c>
    </row>
    <row r="22" spans="2:44" x14ac:dyDescent="0.35">
      <c r="B22" s="6"/>
      <c r="D22" s="5">
        <f t="shared" si="1"/>
        <v>0</v>
      </c>
      <c r="E22" s="5">
        <f t="shared" si="1"/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0.72529121608558622</v>
      </c>
      <c r="J22" s="5">
        <f t="shared" si="1"/>
        <v>0.75934513574187434</v>
      </c>
      <c r="K22" s="5">
        <f t="shared" si="1"/>
        <v>0.79499795721613253</v>
      </c>
      <c r="L22" s="5">
        <f t="shared" si="1"/>
        <v>0.83232475224897984</v>
      </c>
      <c r="M22" s="5">
        <f t="shared" si="1"/>
        <v>0.87140411735421219</v>
      </c>
      <c r="N22" s="5">
        <f t="shared" si="1"/>
        <v>0.91231833931417783</v>
      </c>
      <c r="O22" s="5">
        <f t="shared" si="1"/>
        <v>0.95515356844550259</v>
      </c>
      <c r="P22" s="5">
        <f t="shared" si="1"/>
        <v>0.99999999999999956</v>
      </c>
      <c r="Q22" s="5">
        <f t="shared" si="1"/>
        <v>1.0469520640827248</v>
      </c>
      <c r="R22" s="5">
        <f t="shared" si="1"/>
        <v>1.0961086244870784</v>
      </c>
      <c r="S22" s="5">
        <f t="shared" si="1"/>
        <v>1.1475731868656236</v>
      </c>
      <c r="T22" s="5">
        <f t="shared" si="1"/>
        <v>1.2014541166749557</v>
      </c>
      <c r="U22" s="5">
        <f t="shared" si="1"/>
        <v>1.2578648673535322</v>
      </c>
      <c r="W22" s="18">
        <f t="shared" si="2"/>
        <v>0</v>
      </c>
      <c r="Y22" s="51">
        <f t="shared" si="3"/>
        <v>0</v>
      </c>
      <c r="Z22" s="50">
        <f t="shared" si="4"/>
        <v>0</v>
      </c>
      <c r="AA22" s="50">
        <f t="shared" si="5"/>
        <v>0</v>
      </c>
      <c r="AB22" s="50">
        <f t="shared" si="6"/>
        <v>5.7917301759237236E-3</v>
      </c>
      <c r="AC22" s="50">
        <f t="shared" si="7"/>
        <v>1.9839217448214843E-2</v>
      </c>
      <c r="AD22" s="50">
        <f t="shared" si="8"/>
        <v>4.1769427814693116E-2</v>
      </c>
      <c r="AE22" s="50">
        <f t="shared" si="9"/>
        <v>6.9731045893297261E-2</v>
      </c>
      <c r="AF22" s="50">
        <f t="shared" si="10"/>
        <v>0.10162913585923374</v>
      </c>
      <c r="AG22" s="50">
        <f t="shared" si="11"/>
        <v>0.13577105815708038</v>
      </c>
      <c r="AH22" s="50">
        <f t="shared" si="12"/>
        <v>0.17082843033673248</v>
      </c>
      <c r="AI22" s="50">
        <f t="shared" si="13"/>
        <v>0.20603355672992915</v>
      </c>
      <c r="AJ22" s="50">
        <f t="shared" si="14"/>
        <v>0.24065486425812566</v>
      </c>
      <c r="AK22" s="50">
        <f t="shared" si="15"/>
        <v>0.27470878391441378</v>
      </c>
      <c r="AL22" s="50">
        <f t="shared" si="16"/>
        <v>1</v>
      </c>
      <c r="AM22" s="50">
        <f t="shared" si="17"/>
        <v>1</v>
      </c>
      <c r="AN22" s="50">
        <f t="shared" si="18"/>
        <v>1</v>
      </c>
      <c r="AO22" s="50">
        <f t="shared" si="19"/>
        <v>1</v>
      </c>
      <c r="AP22" s="50">
        <f t="shared" si="20"/>
        <v>1</v>
      </c>
      <c r="AQ22" s="50">
        <f t="shared" si="21"/>
        <v>1</v>
      </c>
      <c r="AR22" s="50">
        <f t="shared" si="22"/>
        <v>1</v>
      </c>
    </row>
    <row r="23" spans="2:44" x14ac:dyDescent="0.35">
      <c r="B23" s="6"/>
      <c r="D23" s="5">
        <f t="shared" si="1"/>
        <v>0</v>
      </c>
      <c r="E23" s="5">
        <f t="shared" si="1"/>
        <v>0</v>
      </c>
      <c r="F23" s="5">
        <f t="shared" si="1"/>
        <v>0</v>
      </c>
      <c r="G23" s="5">
        <f t="shared" si="1"/>
        <v>0</v>
      </c>
      <c r="H23" s="5">
        <f t="shared" si="1"/>
        <v>0</v>
      </c>
      <c r="I23" s="5">
        <f t="shared" si="1"/>
        <v>0</v>
      </c>
      <c r="J23" s="5">
        <f t="shared" si="1"/>
        <v>0.69276449320632616</v>
      </c>
      <c r="K23" s="5">
        <f t="shared" si="1"/>
        <v>0.72529121608558622</v>
      </c>
      <c r="L23" s="5">
        <f t="shared" si="1"/>
        <v>0.75934513574187434</v>
      </c>
      <c r="M23" s="5">
        <f t="shared" si="1"/>
        <v>0.79499795721613231</v>
      </c>
      <c r="N23" s="5">
        <f t="shared" si="1"/>
        <v>0.83232475224897973</v>
      </c>
      <c r="O23" s="5">
        <f t="shared" si="1"/>
        <v>0.87140411735421219</v>
      </c>
      <c r="P23" s="5">
        <f t="shared" si="1"/>
        <v>0.91231833931417783</v>
      </c>
      <c r="Q23" s="5">
        <f t="shared" si="1"/>
        <v>0.95515356844550259</v>
      </c>
      <c r="R23" s="5">
        <f t="shared" si="1"/>
        <v>0.99999999999999956</v>
      </c>
      <c r="S23" s="5">
        <f t="shared" si="1"/>
        <v>1.0469520640827248</v>
      </c>
      <c r="T23" s="5">
        <f t="shared" si="1"/>
        <v>1.0961086244870784</v>
      </c>
      <c r="U23" s="5">
        <f t="shared" si="1"/>
        <v>1.1475731868656236</v>
      </c>
      <c r="W23" s="18">
        <f t="shared" si="2"/>
        <v>0</v>
      </c>
      <c r="Y23" s="51">
        <f t="shared" si="3"/>
        <v>0</v>
      </c>
      <c r="Z23" s="50">
        <f t="shared" si="4"/>
        <v>0</v>
      </c>
      <c r="AA23" s="50">
        <f t="shared" si="5"/>
        <v>1.1458159000245709E-2</v>
      </c>
      <c r="AB23" s="50">
        <f t="shared" si="6"/>
        <v>3.3588822979923522E-2</v>
      </c>
      <c r="AC23" s="50">
        <f t="shared" si="7"/>
        <v>6.3245840470258455E-2</v>
      </c>
      <c r="AD23" s="50">
        <f t="shared" si="8"/>
        <v>9.7131208312377884E-2</v>
      </c>
      <c r="AE23" s="50">
        <f t="shared" si="9"/>
        <v>0.13290971368650553</v>
      </c>
      <c r="AF23" s="50">
        <f t="shared" si="10"/>
        <v>0.16928012904899734</v>
      </c>
      <c r="AG23" s="50">
        <f t="shared" si="11"/>
        <v>0.20526868653561028</v>
      </c>
      <c r="AH23" s="50">
        <f t="shared" si="12"/>
        <v>0.24065486425812566</v>
      </c>
      <c r="AI23" s="50">
        <f t="shared" si="13"/>
        <v>0.27470878391441378</v>
      </c>
      <c r="AJ23" s="50">
        <f t="shared" si="14"/>
        <v>0.30723550679367384</v>
      </c>
      <c r="AK23" s="50">
        <f t="shared" si="15"/>
        <v>1</v>
      </c>
      <c r="AL23" s="50">
        <f t="shared" si="16"/>
        <v>1</v>
      </c>
      <c r="AM23" s="50">
        <f t="shared" si="17"/>
        <v>1</v>
      </c>
      <c r="AN23" s="50">
        <f t="shared" si="18"/>
        <v>1</v>
      </c>
      <c r="AO23" s="50">
        <f t="shared" si="19"/>
        <v>1</v>
      </c>
      <c r="AP23" s="50">
        <f t="shared" si="20"/>
        <v>1</v>
      </c>
      <c r="AQ23" s="50">
        <f t="shared" si="21"/>
        <v>1</v>
      </c>
      <c r="AR23" s="50">
        <f t="shared" si="22"/>
        <v>1</v>
      </c>
    </row>
    <row r="24" spans="2:44" x14ac:dyDescent="0.35">
      <c r="B24" s="6"/>
      <c r="D24" s="5">
        <f t="shared" si="1"/>
        <v>0</v>
      </c>
      <c r="E24" s="5">
        <f t="shared" si="1"/>
        <v>0</v>
      </c>
      <c r="F24" s="5">
        <f t="shared" si="1"/>
        <v>0</v>
      </c>
      <c r="G24" s="5">
        <f t="shared" si="1"/>
        <v>0</v>
      </c>
      <c r="H24" s="5">
        <f t="shared" si="1"/>
        <v>0</v>
      </c>
      <c r="I24" s="5">
        <f t="shared" si="1"/>
        <v>0</v>
      </c>
      <c r="J24" s="5">
        <f t="shared" si="1"/>
        <v>0</v>
      </c>
      <c r="K24" s="5">
        <f t="shared" si="1"/>
        <v>0.66169647777836282</v>
      </c>
      <c r="L24" s="5">
        <f t="shared" si="1"/>
        <v>0.69276449320632616</v>
      </c>
      <c r="M24" s="5">
        <f t="shared" si="1"/>
        <v>0.72529121608558622</v>
      </c>
      <c r="N24" s="5">
        <f t="shared" si="1"/>
        <v>0.75934513574187412</v>
      </c>
      <c r="O24" s="5">
        <f t="shared" si="1"/>
        <v>0.7949979572161322</v>
      </c>
      <c r="P24" s="5">
        <f t="shared" si="1"/>
        <v>0.83232475224897973</v>
      </c>
      <c r="Q24" s="5">
        <f t="shared" si="1"/>
        <v>0.87140411735421219</v>
      </c>
      <c r="R24" s="5">
        <f t="shared" si="1"/>
        <v>0.91231833931417783</v>
      </c>
      <c r="S24" s="5">
        <f t="shared" si="1"/>
        <v>0.95515356844550259</v>
      </c>
      <c r="T24" s="5">
        <f t="shared" si="1"/>
        <v>0.99999999999999956</v>
      </c>
      <c r="U24" s="5">
        <f t="shared" si="1"/>
        <v>1.0469520640827248</v>
      </c>
      <c r="W24" s="18">
        <f t="shared" si="2"/>
        <v>0</v>
      </c>
      <c r="Y24" s="51">
        <f t="shared" si="3"/>
        <v>0</v>
      </c>
      <c r="Z24" s="50">
        <f t="shared" si="4"/>
        <v>2.266842613295126E-2</v>
      </c>
      <c r="AA24" s="50">
        <f t="shared" si="5"/>
        <v>5.5252628090307565E-2</v>
      </c>
      <c r="AB24" s="50">
        <f t="shared" si="6"/>
        <v>9.2296207361595203E-2</v>
      </c>
      <c r="AC24" s="50">
        <f t="shared" si="7"/>
        <v>0.13034931928505494</v>
      </c>
      <c r="AD24" s="50">
        <f t="shared" si="8"/>
        <v>0.16801527873925215</v>
      </c>
      <c r="AE24" s="50">
        <f t="shared" si="9"/>
        <v>0.2050020427838678</v>
      </c>
      <c r="AF24" s="50">
        <f t="shared" si="10"/>
        <v>0.24065486425812588</v>
      </c>
      <c r="AG24" s="50">
        <f t="shared" si="11"/>
        <v>0.27470878391441378</v>
      </c>
      <c r="AH24" s="50">
        <f t="shared" si="12"/>
        <v>0.30723550679367384</v>
      </c>
      <c r="AI24" s="50">
        <f t="shared" si="13"/>
        <v>0.33830352222163718</v>
      </c>
      <c r="AJ24" s="50">
        <f t="shared" si="14"/>
        <v>1</v>
      </c>
      <c r="AK24" s="50">
        <f t="shared" si="15"/>
        <v>1</v>
      </c>
      <c r="AL24" s="50">
        <f t="shared" si="16"/>
        <v>1</v>
      </c>
      <c r="AM24" s="50">
        <f t="shared" si="17"/>
        <v>1</v>
      </c>
      <c r="AN24" s="50">
        <f t="shared" si="18"/>
        <v>1</v>
      </c>
      <c r="AO24" s="50">
        <f t="shared" si="19"/>
        <v>1</v>
      </c>
      <c r="AP24" s="50">
        <f t="shared" si="20"/>
        <v>1</v>
      </c>
      <c r="AQ24" s="50">
        <f t="shared" si="21"/>
        <v>1</v>
      </c>
      <c r="AR24" s="50">
        <f t="shared" si="22"/>
        <v>1</v>
      </c>
    </row>
    <row r="25" spans="2:44" x14ac:dyDescent="0.35">
      <c r="B25" s="6"/>
      <c r="D25" s="5">
        <f t="shared" si="1"/>
        <v>0</v>
      </c>
      <c r="E25" s="5">
        <f t="shared" si="1"/>
        <v>0</v>
      </c>
      <c r="F25" s="5">
        <f t="shared" si="1"/>
        <v>0</v>
      </c>
      <c r="G25" s="5">
        <f t="shared" si="1"/>
        <v>0</v>
      </c>
      <c r="H25" s="5">
        <f t="shared" si="1"/>
        <v>0</v>
      </c>
      <c r="I25" s="5">
        <f t="shared" si="1"/>
        <v>0</v>
      </c>
      <c r="J25" s="5">
        <f t="shared" si="1"/>
        <v>0</v>
      </c>
      <c r="K25" s="5">
        <f t="shared" si="1"/>
        <v>0</v>
      </c>
      <c r="L25" s="5">
        <f t="shared" si="1"/>
        <v>0.63202175197782373</v>
      </c>
      <c r="M25" s="5">
        <f t="shared" si="1"/>
        <v>0.66169647777836282</v>
      </c>
      <c r="N25" s="5">
        <f t="shared" si="1"/>
        <v>0.69276449320632616</v>
      </c>
      <c r="O25" s="5">
        <f t="shared" si="1"/>
        <v>0.725291216085586</v>
      </c>
      <c r="P25" s="5">
        <f t="shared" si="1"/>
        <v>0.75934513574187401</v>
      </c>
      <c r="Q25" s="5">
        <f t="shared" si="1"/>
        <v>0.7949979572161322</v>
      </c>
      <c r="R25" s="5">
        <f t="shared" si="1"/>
        <v>0.83232475224897973</v>
      </c>
      <c r="S25" s="5">
        <f t="shared" si="1"/>
        <v>0.87140411735421219</v>
      </c>
      <c r="T25" s="5">
        <f t="shared" si="1"/>
        <v>0.91231833931417783</v>
      </c>
      <c r="U25" s="5">
        <f t="shared" si="1"/>
        <v>0.95515356844550259</v>
      </c>
      <c r="W25" s="18">
        <f t="shared" si="2"/>
        <v>4.4846431554497412E-2</v>
      </c>
      <c r="Y25" s="51">
        <f t="shared" si="3"/>
        <v>4.4846431554497412E-2</v>
      </c>
      <c r="Z25" s="50">
        <f t="shared" si="4"/>
        <v>8.7155483376207751E-2</v>
      </c>
      <c r="AA25" s="50">
        <f t="shared" si="5"/>
        <v>0.12859588264578781</v>
      </c>
      <c r="AB25" s="50">
        <f t="shared" si="6"/>
        <v>0.16767524775102027</v>
      </c>
      <c r="AC25" s="50">
        <f t="shared" si="7"/>
        <v>0.2050020427838678</v>
      </c>
      <c r="AD25" s="50">
        <f t="shared" si="8"/>
        <v>0.24065486425812599</v>
      </c>
      <c r="AE25" s="50">
        <f t="shared" si="9"/>
        <v>0.274708783914414</v>
      </c>
      <c r="AF25" s="50">
        <f t="shared" si="10"/>
        <v>0.30723550679367384</v>
      </c>
      <c r="AG25" s="50">
        <f t="shared" si="11"/>
        <v>0.33830352222163718</v>
      </c>
      <c r="AH25" s="50">
        <f t="shared" si="12"/>
        <v>0.36797824802217627</v>
      </c>
      <c r="AI25" s="50">
        <f t="shared" si="13"/>
        <v>1</v>
      </c>
      <c r="AJ25" s="50">
        <f t="shared" si="14"/>
        <v>1</v>
      </c>
      <c r="AK25" s="50">
        <f t="shared" si="15"/>
        <v>1</v>
      </c>
      <c r="AL25" s="50">
        <f t="shared" si="16"/>
        <v>1</v>
      </c>
      <c r="AM25" s="50">
        <f t="shared" si="17"/>
        <v>1</v>
      </c>
      <c r="AN25" s="50">
        <f t="shared" si="18"/>
        <v>1</v>
      </c>
      <c r="AO25" s="50">
        <f t="shared" si="19"/>
        <v>1</v>
      </c>
      <c r="AP25" s="50">
        <f t="shared" si="20"/>
        <v>1</v>
      </c>
      <c r="AQ25" s="50">
        <f t="shared" si="21"/>
        <v>1</v>
      </c>
      <c r="AR25" s="50">
        <f t="shared" si="22"/>
        <v>1</v>
      </c>
    </row>
    <row r="26" spans="2:44" x14ac:dyDescent="0.35">
      <c r="B26" s="6"/>
      <c r="D26" s="5">
        <f t="shared" si="1"/>
        <v>0</v>
      </c>
      <c r="E26" s="5">
        <f t="shared" si="1"/>
        <v>0</v>
      </c>
      <c r="F26" s="5">
        <f t="shared" si="1"/>
        <v>0</v>
      </c>
      <c r="G26" s="5">
        <f t="shared" si="1"/>
        <v>0</v>
      </c>
      <c r="H26" s="5">
        <f t="shared" si="1"/>
        <v>0</v>
      </c>
      <c r="I26" s="5">
        <f t="shared" si="1"/>
        <v>0</v>
      </c>
      <c r="J26" s="5">
        <f t="shared" si="1"/>
        <v>0</v>
      </c>
      <c r="K26" s="5">
        <f t="shared" si="1"/>
        <v>0</v>
      </c>
      <c r="L26" s="5">
        <f t="shared" si="1"/>
        <v>0</v>
      </c>
      <c r="M26" s="5">
        <f t="shared" si="1"/>
        <v>0.60367783173679701</v>
      </c>
      <c r="N26" s="5">
        <f t="shared" si="1"/>
        <v>0.63202175197782373</v>
      </c>
      <c r="O26" s="5">
        <f t="shared" si="1"/>
        <v>0.66169647777836282</v>
      </c>
      <c r="P26" s="5">
        <f t="shared" si="1"/>
        <v>0.69276449320632594</v>
      </c>
      <c r="Q26" s="5">
        <f t="shared" si="1"/>
        <v>0.72529121608558589</v>
      </c>
      <c r="R26" s="5">
        <f t="shared" si="1"/>
        <v>0.75934513574187401</v>
      </c>
      <c r="S26" s="5">
        <f t="shared" si="1"/>
        <v>0.7949979572161322</v>
      </c>
      <c r="T26" s="5">
        <f t="shared" si="1"/>
        <v>0.83232475224897973</v>
      </c>
      <c r="U26" s="5">
        <f t="shared" si="1"/>
        <v>0.87140411735421219</v>
      </c>
      <c r="W26" s="18">
        <f t="shared" si="2"/>
        <v>0.12859588264578781</v>
      </c>
      <c r="Y26" s="51">
        <f t="shared" si="3"/>
        <v>0.12859588264578781</v>
      </c>
      <c r="Z26" s="50">
        <f t="shared" si="4"/>
        <v>0.16714907044140587</v>
      </c>
      <c r="AA26" s="50">
        <f t="shared" si="5"/>
        <v>0.2050020427838678</v>
      </c>
      <c r="AB26" s="50">
        <f t="shared" si="6"/>
        <v>0.24065486425812599</v>
      </c>
      <c r="AC26" s="50">
        <f t="shared" si="7"/>
        <v>0.27470878391441411</v>
      </c>
      <c r="AD26" s="50">
        <f t="shared" si="8"/>
        <v>0.30723550679367406</v>
      </c>
      <c r="AE26" s="50">
        <f t="shared" si="9"/>
        <v>0.33830352222163718</v>
      </c>
      <c r="AF26" s="50">
        <f t="shared" si="10"/>
        <v>0.36797824802217627</v>
      </c>
      <c r="AG26" s="50">
        <f t="shared" si="11"/>
        <v>0.39632216826320299</v>
      </c>
      <c r="AH26" s="50">
        <f t="shared" si="12"/>
        <v>1</v>
      </c>
      <c r="AI26" s="50">
        <f t="shared" si="13"/>
        <v>1</v>
      </c>
      <c r="AJ26" s="50">
        <f t="shared" si="14"/>
        <v>1</v>
      </c>
      <c r="AK26" s="50">
        <f t="shared" si="15"/>
        <v>1</v>
      </c>
      <c r="AL26" s="50">
        <f t="shared" si="16"/>
        <v>1</v>
      </c>
      <c r="AM26" s="50">
        <f t="shared" si="17"/>
        <v>1</v>
      </c>
      <c r="AN26" s="50">
        <f t="shared" si="18"/>
        <v>1</v>
      </c>
      <c r="AO26" s="50">
        <f t="shared" si="19"/>
        <v>1</v>
      </c>
      <c r="AP26" s="50">
        <f t="shared" si="20"/>
        <v>1</v>
      </c>
      <c r="AQ26" s="50">
        <f t="shared" si="21"/>
        <v>1</v>
      </c>
      <c r="AR26" s="50">
        <f t="shared" si="22"/>
        <v>1</v>
      </c>
    </row>
    <row r="27" spans="2:44" x14ac:dyDescent="0.35">
      <c r="B27" s="6"/>
      <c r="D27" s="5">
        <f t="shared" si="1"/>
        <v>0</v>
      </c>
      <c r="E27" s="5">
        <f t="shared" si="1"/>
        <v>0</v>
      </c>
      <c r="F27" s="5">
        <f t="shared" si="1"/>
        <v>0</v>
      </c>
      <c r="G27" s="5">
        <f t="shared" si="1"/>
        <v>0</v>
      </c>
      <c r="H27" s="5">
        <f t="shared" si="1"/>
        <v>0</v>
      </c>
      <c r="I27" s="5">
        <f t="shared" si="1"/>
        <v>0</v>
      </c>
      <c r="J27" s="5">
        <f t="shared" si="1"/>
        <v>0</v>
      </c>
      <c r="K27" s="5">
        <f t="shared" si="1"/>
        <v>0</v>
      </c>
      <c r="L27" s="5">
        <f t="shared" si="1"/>
        <v>0</v>
      </c>
      <c r="M27" s="5">
        <f t="shared" si="1"/>
        <v>0</v>
      </c>
      <c r="N27" s="5">
        <f t="shared" si="1"/>
        <v>0.57660503517484563</v>
      </c>
      <c r="O27" s="5">
        <f t="shared" si="1"/>
        <v>0.60367783173679701</v>
      </c>
      <c r="P27" s="5">
        <f t="shared" si="1"/>
        <v>0.63202175197782373</v>
      </c>
      <c r="Q27" s="5">
        <f t="shared" si="1"/>
        <v>0.66169647777836271</v>
      </c>
      <c r="R27" s="5">
        <f t="shared" si="1"/>
        <v>0.69276449320632583</v>
      </c>
      <c r="S27" s="5">
        <f t="shared" si="1"/>
        <v>0.72529121608558589</v>
      </c>
      <c r="T27" s="5">
        <f t="shared" si="1"/>
        <v>0.75934513574187401</v>
      </c>
      <c r="U27" s="5">
        <f t="shared" si="1"/>
        <v>0.7949979572161322</v>
      </c>
      <c r="W27" s="18">
        <f t="shared" si="2"/>
        <v>0.2050020427838678</v>
      </c>
      <c r="Y27" s="51">
        <f t="shared" si="3"/>
        <v>0.2050020427838678</v>
      </c>
      <c r="Z27" s="50">
        <f t="shared" si="4"/>
        <v>0.24012868694851153</v>
      </c>
      <c r="AA27" s="50">
        <f t="shared" si="5"/>
        <v>0.27470878391441411</v>
      </c>
      <c r="AB27" s="50">
        <f t="shared" si="6"/>
        <v>0.30723550679367417</v>
      </c>
      <c r="AC27" s="50">
        <f t="shared" si="7"/>
        <v>0.33830352222163729</v>
      </c>
      <c r="AD27" s="50">
        <f t="shared" si="8"/>
        <v>0.36797824802217627</v>
      </c>
      <c r="AE27" s="50">
        <f t="shared" si="9"/>
        <v>0.39632216826320299</v>
      </c>
      <c r="AF27" s="50">
        <f t="shared" si="10"/>
        <v>0.42339496482515437</v>
      </c>
      <c r="AG27" s="50">
        <f t="shared" si="11"/>
        <v>1</v>
      </c>
      <c r="AH27" s="50">
        <f t="shared" si="12"/>
        <v>1</v>
      </c>
      <c r="AI27" s="50">
        <f t="shared" si="13"/>
        <v>1</v>
      </c>
      <c r="AJ27" s="50">
        <f t="shared" si="14"/>
        <v>1</v>
      </c>
      <c r="AK27" s="50">
        <f t="shared" si="15"/>
        <v>1</v>
      </c>
      <c r="AL27" s="50">
        <f t="shared" si="16"/>
        <v>1</v>
      </c>
      <c r="AM27" s="50">
        <f t="shared" si="17"/>
        <v>1</v>
      </c>
      <c r="AN27" s="50">
        <f t="shared" si="18"/>
        <v>1</v>
      </c>
      <c r="AO27" s="50">
        <f t="shared" si="19"/>
        <v>1</v>
      </c>
      <c r="AP27" s="50">
        <f t="shared" si="20"/>
        <v>1</v>
      </c>
      <c r="AQ27" s="50">
        <f t="shared" si="21"/>
        <v>1</v>
      </c>
      <c r="AR27" s="50">
        <f t="shared" si="22"/>
        <v>1</v>
      </c>
    </row>
    <row r="28" spans="2:44" x14ac:dyDescent="0.35">
      <c r="B28" s="6"/>
      <c r="D28" s="5">
        <f t="shared" si="1"/>
        <v>0</v>
      </c>
      <c r="E28" s="5">
        <f t="shared" si="1"/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0.55074635693089857</v>
      </c>
      <c r="P28" s="5">
        <f t="shared" si="1"/>
        <v>0.57660503517484563</v>
      </c>
      <c r="Q28" s="5">
        <f t="shared" si="1"/>
        <v>0.60367783173679701</v>
      </c>
      <c r="R28" s="5">
        <f t="shared" si="1"/>
        <v>0.63202175197782362</v>
      </c>
      <c r="S28" s="5">
        <f t="shared" si="1"/>
        <v>0.6616964777783626</v>
      </c>
      <c r="T28" s="5">
        <f t="shared" si="1"/>
        <v>0.69276449320632583</v>
      </c>
      <c r="U28" s="5">
        <f t="shared" si="1"/>
        <v>0.72529121608558589</v>
      </c>
      <c r="W28" s="18">
        <f t="shared" si="2"/>
        <v>0.27470878391441411</v>
      </c>
      <c r="Y28" s="51">
        <f t="shared" si="3"/>
        <v>0.27470878391441411</v>
      </c>
      <c r="Z28" s="50">
        <f t="shared" si="4"/>
        <v>0.30670932948405971</v>
      </c>
      <c r="AA28" s="50">
        <f t="shared" si="5"/>
        <v>0.3383035222216374</v>
      </c>
      <c r="AB28" s="50">
        <f t="shared" si="6"/>
        <v>0.36797824802217638</v>
      </c>
      <c r="AC28" s="50">
        <f t="shared" si="7"/>
        <v>0.39632216826320299</v>
      </c>
      <c r="AD28" s="50">
        <f t="shared" si="8"/>
        <v>0.42339496482515437</v>
      </c>
      <c r="AE28" s="50">
        <f t="shared" si="9"/>
        <v>0.44925364306910143</v>
      </c>
      <c r="AF28" s="50">
        <f t="shared" si="10"/>
        <v>1</v>
      </c>
      <c r="AG28" s="50">
        <f t="shared" si="11"/>
        <v>1</v>
      </c>
      <c r="AH28" s="50">
        <f t="shared" si="12"/>
        <v>1</v>
      </c>
      <c r="AI28" s="50">
        <f t="shared" si="13"/>
        <v>1</v>
      </c>
      <c r="AJ28" s="50">
        <f t="shared" si="14"/>
        <v>1</v>
      </c>
      <c r="AK28" s="50">
        <f t="shared" si="15"/>
        <v>1</v>
      </c>
      <c r="AL28" s="50">
        <f t="shared" si="16"/>
        <v>1</v>
      </c>
      <c r="AM28" s="50">
        <f t="shared" si="17"/>
        <v>1</v>
      </c>
      <c r="AN28" s="50">
        <f t="shared" si="18"/>
        <v>1</v>
      </c>
      <c r="AO28" s="50">
        <f t="shared" si="19"/>
        <v>1</v>
      </c>
      <c r="AP28" s="50">
        <f t="shared" si="20"/>
        <v>1</v>
      </c>
      <c r="AQ28" s="50">
        <f t="shared" si="21"/>
        <v>1</v>
      </c>
      <c r="AR28" s="50">
        <f t="shared" si="22"/>
        <v>1</v>
      </c>
    </row>
    <row r="29" spans="2:44" x14ac:dyDescent="0.35">
      <c r="B29" s="6"/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0.52604734813090848</v>
      </c>
      <c r="Q29" s="5">
        <f t="shared" si="1"/>
        <v>0.55074635693089857</v>
      </c>
      <c r="R29" s="5">
        <f t="shared" si="1"/>
        <v>0.57660503517484563</v>
      </c>
      <c r="S29" s="5">
        <f t="shared" si="1"/>
        <v>0.6036778317367969</v>
      </c>
      <c r="T29" s="5">
        <f t="shared" si="1"/>
        <v>0.63202175197782351</v>
      </c>
      <c r="U29" s="5">
        <f t="shared" si="1"/>
        <v>0.6616964777783626</v>
      </c>
      <c r="W29" s="18">
        <f t="shared" si="2"/>
        <v>0.3383035222216374</v>
      </c>
      <c r="Y29" s="51">
        <f t="shared" si="3"/>
        <v>0.3383035222216374</v>
      </c>
      <c r="Z29" s="50">
        <f t="shared" si="4"/>
        <v>0.36745207071256208</v>
      </c>
      <c r="AA29" s="50">
        <f t="shared" si="5"/>
        <v>0.3963221682632031</v>
      </c>
      <c r="AB29" s="50">
        <f t="shared" si="6"/>
        <v>0.42339496482515437</v>
      </c>
      <c r="AC29" s="50">
        <f t="shared" si="7"/>
        <v>0.44925364306910143</v>
      </c>
      <c r="AD29" s="50">
        <f t="shared" si="8"/>
        <v>0.47395265186909152</v>
      </c>
      <c r="AE29" s="50">
        <f t="shared" si="9"/>
        <v>1</v>
      </c>
      <c r="AF29" s="50">
        <f t="shared" si="10"/>
        <v>1</v>
      </c>
      <c r="AG29" s="50">
        <f t="shared" si="11"/>
        <v>1</v>
      </c>
      <c r="AH29" s="50">
        <f t="shared" si="12"/>
        <v>1</v>
      </c>
      <c r="AI29" s="50">
        <f t="shared" si="13"/>
        <v>1</v>
      </c>
      <c r="AJ29" s="50">
        <f t="shared" si="14"/>
        <v>1</v>
      </c>
      <c r="AK29" s="50">
        <f t="shared" si="15"/>
        <v>1</v>
      </c>
      <c r="AL29" s="50">
        <f t="shared" si="16"/>
        <v>1</v>
      </c>
      <c r="AM29" s="50">
        <f t="shared" si="17"/>
        <v>1</v>
      </c>
      <c r="AN29" s="50">
        <f t="shared" si="18"/>
        <v>1</v>
      </c>
      <c r="AO29" s="50">
        <f t="shared" si="19"/>
        <v>1</v>
      </c>
      <c r="AP29" s="50">
        <f t="shared" si="20"/>
        <v>1</v>
      </c>
      <c r="AQ29" s="50">
        <f t="shared" si="21"/>
        <v>1</v>
      </c>
      <c r="AR29" s="50">
        <f t="shared" si="22"/>
        <v>1</v>
      </c>
    </row>
    <row r="30" spans="2:44" x14ac:dyDescent="0.35">
      <c r="B30" s="6"/>
      <c r="D30" s="5">
        <f t="shared" si="1"/>
        <v>0</v>
      </c>
      <c r="E30" s="5">
        <f t="shared" si="1"/>
        <v>0</v>
      </c>
      <c r="F30" s="5">
        <f t="shared" si="1"/>
        <v>0</v>
      </c>
      <c r="G30" s="5">
        <f t="shared" ref="G30:U34" si="23">F29*$F$6</f>
        <v>0</v>
      </c>
      <c r="H30" s="5">
        <f t="shared" si="23"/>
        <v>0</v>
      </c>
      <c r="I30" s="5">
        <f t="shared" si="23"/>
        <v>0</v>
      </c>
      <c r="J30" s="5">
        <f t="shared" si="23"/>
        <v>0</v>
      </c>
      <c r="K30" s="5">
        <f t="shared" si="23"/>
        <v>0</v>
      </c>
      <c r="L30" s="5">
        <f t="shared" si="23"/>
        <v>0</v>
      </c>
      <c r="M30" s="5">
        <f t="shared" si="23"/>
        <v>0</v>
      </c>
      <c r="N30" s="5">
        <f t="shared" si="23"/>
        <v>0</v>
      </c>
      <c r="O30" s="5">
        <f t="shared" si="23"/>
        <v>0</v>
      </c>
      <c r="P30" s="5">
        <f t="shared" si="23"/>
        <v>0</v>
      </c>
      <c r="Q30" s="5">
        <f t="shared" si="23"/>
        <v>0.502456001738531</v>
      </c>
      <c r="R30" s="5">
        <f t="shared" si="23"/>
        <v>0.52604734813090848</v>
      </c>
      <c r="S30" s="5">
        <f t="shared" si="23"/>
        <v>0.55074635693089857</v>
      </c>
      <c r="T30" s="5">
        <f t="shared" si="23"/>
        <v>0.57660503517484551</v>
      </c>
      <c r="U30" s="5">
        <f t="shared" si="23"/>
        <v>0.60367783173679679</v>
      </c>
      <c r="W30" s="18">
        <f t="shared" si="2"/>
        <v>0.39632216826320321</v>
      </c>
      <c r="Y30" s="51">
        <f t="shared" si="3"/>
        <v>0.39632216826320321</v>
      </c>
      <c r="Z30" s="50">
        <f t="shared" si="4"/>
        <v>0.42286878751554013</v>
      </c>
      <c r="AA30" s="50">
        <f t="shared" si="5"/>
        <v>0.44925364306910143</v>
      </c>
      <c r="AB30" s="50">
        <f t="shared" si="6"/>
        <v>0.47395265186909152</v>
      </c>
      <c r="AC30" s="50">
        <f t="shared" si="7"/>
        <v>0.497543998261469</v>
      </c>
      <c r="AD30" s="50">
        <f t="shared" si="8"/>
        <v>1</v>
      </c>
      <c r="AE30" s="50">
        <f t="shared" si="9"/>
        <v>1</v>
      </c>
      <c r="AF30" s="50">
        <f t="shared" si="10"/>
        <v>1</v>
      </c>
      <c r="AG30" s="50">
        <f t="shared" si="11"/>
        <v>1</v>
      </c>
      <c r="AH30" s="50">
        <f t="shared" si="12"/>
        <v>1</v>
      </c>
      <c r="AI30" s="50">
        <f t="shared" si="13"/>
        <v>1</v>
      </c>
      <c r="AJ30" s="50">
        <f t="shared" si="14"/>
        <v>1</v>
      </c>
      <c r="AK30" s="50">
        <f t="shared" si="15"/>
        <v>1</v>
      </c>
      <c r="AL30" s="50">
        <f t="shared" si="16"/>
        <v>1</v>
      </c>
      <c r="AM30" s="50">
        <f t="shared" si="17"/>
        <v>1</v>
      </c>
      <c r="AN30" s="50">
        <f t="shared" si="18"/>
        <v>1</v>
      </c>
      <c r="AO30" s="50">
        <f t="shared" si="19"/>
        <v>1</v>
      </c>
      <c r="AP30" s="50">
        <f t="shared" si="20"/>
        <v>1</v>
      </c>
      <c r="AQ30" s="50">
        <f t="shared" si="21"/>
        <v>1</v>
      </c>
      <c r="AR30" s="50">
        <f t="shared" si="22"/>
        <v>1</v>
      </c>
    </row>
    <row r="31" spans="2:44" x14ac:dyDescent="0.35">
      <c r="B31" s="6"/>
      <c r="D31" s="5">
        <f t="shared" ref="D31:S34" si="24">C30*$F$6</f>
        <v>0</v>
      </c>
      <c r="E31" s="5">
        <f t="shared" si="24"/>
        <v>0</v>
      </c>
      <c r="F31" s="5">
        <f t="shared" si="24"/>
        <v>0</v>
      </c>
      <c r="G31" s="5">
        <f t="shared" si="24"/>
        <v>0</v>
      </c>
      <c r="H31" s="5">
        <f t="shared" si="24"/>
        <v>0</v>
      </c>
      <c r="I31" s="5">
        <f t="shared" si="24"/>
        <v>0</v>
      </c>
      <c r="J31" s="5">
        <f t="shared" si="24"/>
        <v>0</v>
      </c>
      <c r="K31" s="5">
        <f t="shared" si="24"/>
        <v>0</v>
      </c>
      <c r="L31" s="5">
        <f t="shared" si="24"/>
        <v>0</v>
      </c>
      <c r="M31" s="5">
        <f t="shared" si="24"/>
        <v>0</v>
      </c>
      <c r="N31" s="5">
        <f t="shared" si="24"/>
        <v>0</v>
      </c>
      <c r="O31" s="5">
        <f t="shared" si="24"/>
        <v>0</v>
      </c>
      <c r="P31" s="5">
        <f t="shared" si="24"/>
        <v>0</v>
      </c>
      <c r="Q31" s="5">
        <f t="shared" si="24"/>
        <v>0</v>
      </c>
      <c r="R31" s="5">
        <f t="shared" si="24"/>
        <v>0.47992264304741777</v>
      </c>
      <c r="S31" s="5">
        <f t="shared" si="24"/>
        <v>0.502456001738531</v>
      </c>
      <c r="T31" s="5">
        <f t="shared" si="23"/>
        <v>0.52604734813090848</v>
      </c>
      <c r="U31" s="5">
        <f t="shared" si="23"/>
        <v>0.55074635693089846</v>
      </c>
      <c r="W31" s="18">
        <f t="shared" si="2"/>
        <v>0.44925364306910154</v>
      </c>
      <c r="Y31" s="51">
        <f t="shared" si="3"/>
        <v>0.44925364306910154</v>
      </c>
      <c r="Z31" s="50">
        <f t="shared" si="4"/>
        <v>0.47342647455947712</v>
      </c>
      <c r="AA31" s="50">
        <f t="shared" si="5"/>
        <v>0.497543998261469</v>
      </c>
      <c r="AB31" s="50">
        <f t="shared" si="6"/>
        <v>0.52007735695258228</v>
      </c>
      <c r="AC31" s="50">
        <f t="shared" si="7"/>
        <v>1</v>
      </c>
      <c r="AD31" s="50">
        <f t="shared" si="8"/>
        <v>1</v>
      </c>
      <c r="AE31" s="50">
        <f t="shared" si="9"/>
        <v>1</v>
      </c>
      <c r="AF31" s="50">
        <f t="shared" si="10"/>
        <v>1</v>
      </c>
      <c r="AG31" s="50">
        <f t="shared" si="11"/>
        <v>1</v>
      </c>
      <c r="AH31" s="50">
        <f t="shared" si="12"/>
        <v>1</v>
      </c>
      <c r="AI31" s="50">
        <f t="shared" si="13"/>
        <v>1</v>
      </c>
      <c r="AJ31" s="50">
        <f t="shared" si="14"/>
        <v>1</v>
      </c>
      <c r="AK31" s="50">
        <f t="shared" si="15"/>
        <v>1</v>
      </c>
      <c r="AL31" s="50">
        <f t="shared" si="16"/>
        <v>1</v>
      </c>
      <c r="AM31" s="50">
        <f t="shared" si="17"/>
        <v>1</v>
      </c>
      <c r="AN31" s="50">
        <f t="shared" si="18"/>
        <v>1</v>
      </c>
      <c r="AO31" s="50">
        <f t="shared" si="19"/>
        <v>1</v>
      </c>
      <c r="AP31" s="50">
        <f t="shared" si="20"/>
        <v>1</v>
      </c>
      <c r="AQ31" s="50">
        <f t="shared" si="21"/>
        <v>1</v>
      </c>
      <c r="AR31" s="50">
        <f t="shared" si="22"/>
        <v>1</v>
      </c>
    </row>
    <row r="32" spans="2:44" x14ac:dyDescent="0.35">
      <c r="B32" s="6"/>
      <c r="D32" s="5">
        <f t="shared" si="24"/>
        <v>0</v>
      </c>
      <c r="E32" s="5">
        <f t="shared" si="24"/>
        <v>0</v>
      </c>
      <c r="F32" s="5">
        <f t="shared" si="24"/>
        <v>0</v>
      </c>
      <c r="G32" s="5">
        <f t="shared" si="24"/>
        <v>0</v>
      </c>
      <c r="H32" s="5">
        <f t="shared" si="24"/>
        <v>0</v>
      </c>
      <c r="I32" s="5">
        <f t="shared" si="24"/>
        <v>0</v>
      </c>
      <c r="J32" s="5">
        <f t="shared" si="24"/>
        <v>0</v>
      </c>
      <c r="K32" s="5">
        <f t="shared" si="24"/>
        <v>0</v>
      </c>
      <c r="L32" s="5">
        <f t="shared" si="24"/>
        <v>0</v>
      </c>
      <c r="M32" s="5">
        <f t="shared" si="24"/>
        <v>0</v>
      </c>
      <c r="N32" s="5">
        <f t="shared" si="24"/>
        <v>0</v>
      </c>
      <c r="O32" s="5">
        <f t="shared" si="24"/>
        <v>0</v>
      </c>
      <c r="P32" s="5">
        <f t="shared" si="24"/>
        <v>0</v>
      </c>
      <c r="Q32" s="5">
        <f t="shared" si="24"/>
        <v>0</v>
      </c>
      <c r="R32" s="5">
        <f t="shared" si="24"/>
        <v>0</v>
      </c>
      <c r="S32" s="5">
        <f t="shared" si="24"/>
        <v>0.45839982508453847</v>
      </c>
      <c r="T32" s="5">
        <f t="shared" si="23"/>
        <v>0.47992264304741777</v>
      </c>
      <c r="U32" s="5">
        <f t="shared" si="23"/>
        <v>0.502456001738531</v>
      </c>
      <c r="W32" s="18">
        <f t="shared" si="2"/>
        <v>0.497543998261469</v>
      </c>
      <c r="Y32" s="51">
        <f t="shared" si="3"/>
        <v>0.497543998261469</v>
      </c>
      <c r="Z32" s="50">
        <f t="shared" si="4"/>
        <v>0.51955117964296782</v>
      </c>
      <c r="AA32" s="50">
        <f t="shared" si="5"/>
        <v>0.54160017491546153</v>
      </c>
      <c r="AB32" s="50">
        <f t="shared" si="6"/>
        <v>1</v>
      </c>
      <c r="AC32" s="50">
        <f t="shared" si="7"/>
        <v>1</v>
      </c>
      <c r="AD32" s="50">
        <f t="shared" si="8"/>
        <v>1</v>
      </c>
      <c r="AE32" s="50">
        <f t="shared" si="9"/>
        <v>1</v>
      </c>
      <c r="AF32" s="50">
        <f t="shared" si="10"/>
        <v>1</v>
      </c>
      <c r="AG32" s="50">
        <f t="shared" si="11"/>
        <v>1</v>
      </c>
      <c r="AH32" s="50">
        <f t="shared" si="12"/>
        <v>1</v>
      </c>
      <c r="AI32" s="50">
        <f t="shared" si="13"/>
        <v>1</v>
      </c>
      <c r="AJ32" s="50">
        <f t="shared" si="14"/>
        <v>1</v>
      </c>
      <c r="AK32" s="50">
        <f t="shared" si="15"/>
        <v>1</v>
      </c>
      <c r="AL32" s="50">
        <f t="shared" si="16"/>
        <v>1</v>
      </c>
      <c r="AM32" s="50">
        <f t="shared" si="17"/>
        <v>1</v>
      </c>
      <c r="AN32" s="50">
        <f t="shared" si="18"/>
        <v>1</v>
      </c>
      <c r="AO32" s="50">
        <f t="shared" si="19"/>
        <v>1</v>
      </c>
      <c r="AP32" s="50">
        <f t="shared" si="20"/>
        <v>1</v>
      </c>
      <c r="AQ32" s="50">
        <f t="shared" si="21"/>
        <v>1</v>
      </c>
      <c r="AR32" s="50">
        <f t="shared" si="22"/>
        <v>1</v>
      </c>
    </row>
    <row r="33" spans="2:44" x14ac:dyDescent="0.35">
      <c r="B33" s="6"/>
      <c r="D33" s="5">
        <f t="shared" si="24"/>
        <v>0</v>
      </c>
      <c r="E33" s="5">
        <f t="shared" si="24"/>
        <v>0</v>
      </c>
      <c r="F33" s="5">
        <f t="shared" si="24"/>
        <v>0</v>
      </c>
      <c r="G33" s="5">
        <f t="shared" si="24"/>
        <v>0</v>
      </c>
      <c r="H33" s="5">
        <f t="shared" si="24"/>
        <v>0</v>
      </c>
      <c r="I33" s="5">
        <f t="shared" si="24"/>
        <v>0</v>
      </c>
      <c r="J33" s="5">
        <f t="shared" si="24"/>
        <v>0</v>
      </c>
      <c r="K33" s="5">
        <f t="shared" si="24"/>
        <v>0</v>
      </c>
      <c r="L33" s="5">
        <f t="shared" si="24"/>
        <v>0</v>
      </c>
      <c r="M33" s="5">
        <f t="shared" si="24"/>
        <v>0</v>
      </c>
      <c r="N33" s="5">
        <f t="shared" si="24"/>
        <v>0</v>
      </c>
      <c r="O33" s="5">
        <f t="shared" si="24"/>
        <v>0</v>
      </c>
      <c r="P33" s="5">
        <f t="shared" si="24"/>
        <v>0</v>
      </c>
      <c r="Q33" s="5">
        <f t="shared" si="24"/>
        <v>0</v>
      </c>
      <c r="R33" s="5">
        <f t="shared" si="24"/>
        <v>0</v>
      </c>
      <c r="S33" s="5">
        <f t="shared" si="24"/>
        <v>0</v>
      </c>
      <c r="T33" s="5">
        <f t="shared" si="23"/>
        <v>0.43784222870429135</v>
      </c>
      <c r="U33" s="5">
        <f t="shared" si="23"/>
        <v>0.45839982508453847</v>
      </c>
      <c r="W33" s="18">
        <f t="shared" si="2"/>
        <v>0.54160017491546153</v>
      </c>
      <c r="Y33" s="51">
        <f t="shared" si="3"/>
        <v>0.54160017491546153</v>
      </c>
      <c r="Z33" s="50">
        <f t="shared" si="4"/>
        <v>0.56163159398609419</v>
      </c>
      <c r="AA33" s="50">
        <f t="shared" si="5"/>
        <v>1</v>
      </c>
      <c r="AB33" s="50">
        <f t="shared" si="6"/>
        <v>1</v>
      </c>
      <c r="AC33" s="50">
        <f t="shared" si="7"/>
        <v>1</v>
      </c>
      <c r="AD33" s="50">
        <f t="shared" si="8"/>
        <v>1</v>
      </c>
      <c r="AE33" s="50">
        <f t="shared" si="9"/>
        <v>1</v>
      </c>
      <c r="AF33" s="50">
        <f t="shared" si="10"/>
        <v>1</v>
      </c>
      <c r="AG33" s="50">
        <f t="shared" si="11"/>
        <v>1</v>
      </c>
      <c r="AH33" s="50">
        <f t="shared" si="12"/>
        <v>1</v>
      </c>
      <c r="AI33" s="50">
        <f t="shared" si="13"/>
        <v>1</v>
      </c>
      <c r="AJ33" s="50">
        <f t="shared" si="14"/>
        <v>1</v>
      </c>
      <c r="AK33" s="50">
        <f t="shared" si="15"/>
        <v>1</v>
      </c>
      <c r="AL33" s="50">
        <f t="shared" si="16"/>
        <v>1</v>
      </c>
      <c r="AM33" s="50">
        <f t="shared" si="17"/>
        <v>1</v>
      </c>
      <c r="AN33" s="50">
        <f t="shared" si="18"/>
        <v>1</v>
      </c>
      <c r="AO33" s="50">
        <f t="shared" si="19"/>
        <v>1</v>
      </c>
      <c r="AP33" s="50">
        <f t="shared" si="20"/>
        <v>1</v>
      </c>
      <c r="AQ33" s="50">
        <f t="shared" si="21"/>
        <v>1</v>
      </c>
      <c r="AR33" s="50">
        <f t="shared" si="22"/>
        <v>1</v>
      </c>
    </row>
    <row r="34" spans="2:44" ht="18.600000000000001" thickBot="1" x14ac:dyDescent="0.4">
      <c r="B34" s="13"/>
      <c r="C34" s="16"/>
      <c r="D34" s="5">
        <f t="shared" si="24"/>
        <v>0</v>
      </c>
      <c r="E34" s="5">
        <f t="shared" si="24"/>
        <v>0</v>
      </c>
      <c r="F34" s="5">
        <f t="shared" si="24"/>
        <v>0</v>
      </c>
      <c r="G34" s="5">
        <f t="shared" si="24"/>
        <v>0</v>
      </c>
      <c r="H34" s="5">
        <f t="shared" si="24"/>
        <v>0</v>
      </c>
      <c r="I34" s="5">
        <f t="shared" si="24"/>
        <v>0</v>
      </c>
      <c r="J34" s="5">
        <f t="shared" si="24"/>
        <v>0</v>
      </c>
      <c r="K34" s="5">
        <f t="shared" si="24"/>
        <v>0</v>
      </c>
      <c r="L34" s="5">
        <f t="shared" si="24"/>
        <v>0</v>
      </c>
      <c r="M34" s="5">
        <f t="shared" si="24"/>
        <v>0</v>
      </c>
      <c r="N34" s="5">
        <f t="shared" si="24"/>
        <v>0</v>
      </c>
      <c r="O34" s="5">
        <f t="shared" si="24"/>
        <v>0</v>
      </c>
      <c r="P34" s="5">
        <f t="shared" si="24"/>
        <v>0</v>
      </c>
      <c r="Q34" s="5">
        <f t="shared" si="24"/>
        <v>0</v>
      </c>
      <c r="R34" s="5">
        <f t="shared" si="24"/>
        <v>0</v>
      </c>
      <c r="S34" s="5">
        <f t="shared" si="24"/>
        <v>0</v>
      </c>
      <c r="T34" s="5">
        <f t="shared" si="23"/>
        <v>0</v>
      </c>
      <c r="U34" s="5">
        <f t="shared" si="23"/>
        <v>0.41820656716303595</v>
      </c>
      <c r="W34" s="18">
        <f t="shared" si="2"/>
        <v>0.58179343283696405</v>
      </c>
      <c r="Y34" s="51">
        <f t="shared" si="3"/>
        <v>0.58179343283696405</v>
      </c>
      <c r="Z34" s="50">
        <f t="shared" si="4"/>
        <v>0.28740947227295949</v>
      </c>
      <c r="AA34" s="50">
        <f t="shared" si="5"/>
        <v>1</v>
      </c>
      <c r="AB34" s="50">
        <f t="shared" si="6"/>
        <v>1</v>
      </c>
      <c r="AC34" s="50">
        <f t="shared" si="7"/>
        <v>1</v>
      </c>
      <c r="AD34" s="50">
        <f t="shared" si="8"/>
        <v>1</v>
      </c>
      <c r="AE34" s="50">
        <f t="shared" si="9"/>
        <v>1</v>
      </c>
      <c r="AF34" s="50">
        <f t="shared" si="10"/>
        <v>1</v>
      </c>
      <c r="AG34" s="50">
        <f t="shared" si="11"/>
        <v>1</v>
      </c>
      <c r="AH34" s="50">
        <f t="shared" si="12"/>
        <v>1</v>
      </c>
      <c r="AI34" s="50">
        <f t="shared" si="13"/>
        <v>1</v>
      </c>
      <c r="AJ34" s="50">
        <f t="shared" si="14"/>
        <v>1</v>
      </c>
      <c r="AK34" s="50">
        <f t="shared" si="15"/>
        <v>1</v>
      </c>
      <c r="AL34" s="50">
        <f t="shared" si="16"/>
        <v>1</v>
      </c>
      <c r="AM34" s="50">
        <f t="shared" si="17"/>
        <v>1</v>
      </c>
      <c r="AN34" s="50">
        <f t="shared" si="18"/>
        <v>1</v>
      </c>
      <c r="AO34" s="50">
        <f t="shared" si="19"/>
        <v>1</v>
      </c>
      <c r="AP34" s="50">
        <f t="shared" si="20"/>
        <v>1</v>
      </c>
      <c r="AQ34" s="50">
        <f t="shared" si="21"/>
        <v>1</v>
      </c>
      <c r="AR34" s="50">
        <f t="shared" si="22"/>
        <v>1</v>
      </c>
    </row>
  </sheetData>
  <mergeCells count="6">
    <mergeCell ref="Y13:AR13"/>
    <mergeCell ref="C1:J1"/>
    <mergeCell ref="C2:J2"/>
    <mergeCell ref="C3:J3"/>
    <mergeCell ref="B13:U13"/>
    <mergeCell ref="W13:W1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29"/>
  <sheetViews>
    <sheetView topLeftCell="A30" zoomScale="55" zoomScaleNormal="55" workbookViewId="0">
      <selection activeCell="M38" sqref="M38"/>
    </sheetView>
  </sheetViews>
  <sheetFormatPr defaultColWidth="8.77734375" defaultRowHeight="18" x14ac:dyDescent="0.35"/>
  <cols>
    <col min="1" max="1" width="15.44140625" style="5" bestFit="1" customWidth="1"/>
    <col min="2" max="16384" width="8.77734375" style="5"/>
  </cols>
  <sheetData>
    <row r="1" spans="1:44" s="15" customFormat="1" ht="21" x14ac:dyDescent="0.4">
      <c r="A1" s="62" t="s">
        <v>22</v>
      </c>
      <c r="B1" s="62"/>
      <c r="C1" s="62"/>
      <c r="D1" s="62"/>
      <c r="E1" s="62"/>
      <c r="F1" s="62"/>
      <c r="G1" s="62"/>
      <c r="H1" s="62"/>
    </row>
    <row r="2" spans="1:44" s="15" customFormat="1" ht="21" x14ac:dyDescent="0.4">
      <c r="A2" s="62" t="s">
        <v>36</v>
      </c>
      <c r="B2" s="62"/>
      <c r="C2" s="62"/>
      <c r="D2" s="62"/>
      <c r="E2" s="62"/>
      <c r="F2" s="62"/>
      <c r="G2" s="62"/>
      <c r="H2" s="62"/>
    </row>
    <row r="3" spans="1:44" s="15" customFormat="1" ht="21" x14ac:dyDescent="0.4">
      <c r="A3" s="62" t="s">
        <v>37</v>
      </c>
      <c r="B3" s="62"/>
      <c r="C3" s="62"/>
      <c r="D3" s="62"/>
      <c r="E3" s="62"/>
      <c r="F3" s="62"/>
      <c r="G3" s="62"/>
      <c r="H3" s="62"/>
    </row>
    <row r="4" spans="1:44" ht="18.600000000000001" thickBot="1" x14ac:dyDescent="0.4"/>
    <row r="5" spans="1:44" ht="18.600000000000001" thickBot="1" x14ac:dyDescent="0.4">
      <c r="A5" s="25" t="s">
        <v>24</v>
      </c>
      <c r="B5" s="9" t="s">
        <v>0</v>
      </c>
      <c r="C5" s="9">
        <v>1</v>
      </c>
      <c r="D5" s="9"/>
      <c r="E5" s="34" t="s">
        <v>1</v>
      </c>
      <c r="F5" s="12"/>
      <c r="J5" s="41" t="s">
        <v>11</v>
      </c>
      <c r="K5" s="40"/>
      <c r="O5" s="64" t="s">
        <v>30</v>
      </c>
      <c r="P5" s="65"/>
    </row>
    <row r="6" spans="1:44" ht="18.600000000000001" thickBot="1" x14ac:dyDescent="0.4">
      <c r="A6" s="25" t="s">
        <v>26</v>
      </c>
      <c r="B6" s="9" t="s">
        <v>2</v>
      </c>
      <c r="C6" s="9">
        <v>0.2</v>
      </c>
      <c r="D6" s="9"/>
      <c r="E6" s="34" t="s">
        <v>5</v>
      </c>
      <c r="F6" s="12"/>
      <c r="J6" s="35" t="s">
        <v>12</v>
      </c>
      <c r="K6" s="7"/>
      <c r="O6" s="6" t="s">
        <v>14</v>
      </c>
      <c r="P6" s="7">
        <f>(LN(C5/C10)+(C9+C6*C6/2)*C7)/C6*SQRT(C7)</f>
        <v>1.2657177565710489</v>
      </c>
    </row>
    <row r="7" spans="1:44" ht="18.600000000000001" thickBot="1" x14ac:dyDescent="0.4">
      <c r="A7" s="25" t="s">
        <v>27</v>
      </c>
      <c r="B7" s="9" t="s">
        <v>3</v>
      </c>
      <c r="C7" s="9">
        <v>1</v>
      </c>
      <c r="D7" s="9"/>
      <c r="E7" s="9"/>
      <c r="F7" s="12"/>
      <c r="J7" s="42" t="s">
        <v>13</v>
      </c>
      <c r="K7" s="17"/>
      <c r="O7" s="6" t="s">
        <v>15</v>
      </c>
      <c r="P7" s="7">
        <f>P6-C6*SQRT(C7)</f>
        <v>1.0657177565710489</v>
      </c>
    </row>
    <row r="8" spans="1:44" ht="18.600000000000001" thickBot="1" x14ac:dyDescent="0.4">
      <c r="A8" s="25" t="s">
        <v>25</v>
      </c>
      <c r="B8" s="9" t="s">
        <v>4</v>
      </c>
      <c r="C8" s="26">
        <v>19</v>
      </c>
      <c r="D8" s="9"/>
      <c r="E8" s="9"/>
      <c r="F8" s="12"/>
      <c r="O8" s="6" t="s">
        <v>16</v>
      </c>
      <c r="P8" s="7">
        <f>_xlfn.NORM.S.DIST(P6,TRUE)</f>
        <v>0.89719292559733332</v>
      </c>
    </row>
    <row r="9" spans="1:44" ht="18.600000000000001" thickBot="1" x14ac:dyDescent="0.4">
      <c r="A9" s="25" t="s">
        <v>28</v>
      </c>
      <c r="B9" s="9" t="s">
        <v>6</v>
      </c>
      <c r="C9" s="9">
        <v>0.01</v>
      </c>
      <c r="D9" s="9"/>
      <c r="E9" s="9"/>
      <c r="F9" s="12"/>
      <c r="O9" s="6" t="s">
        <v>17</v>
      </c>
      <c r="P9" s="7">
        <f>_xlfn.NORM.S.DIST(P7,TRUE)</f>
        <v>0.85672437581686678</v>
      </c>
    </row>
    <row r="10" spans="1:44" ht="18.600000000000001" thickBot="1" x14ac:dyDescent="0.4">
      <c r="A10" s="25" t="s">
        <v>29</v>
      </c>
      <c r="B10" s="9" t="s">
        <v>9</v>
      </c>
      <c r="C10" s="9">
        <v>0.8</v>
      </c>
      <c r="D10" s="9"/>
      <c r="E10" s="9"/>
      <c r="F10" s="12"/>
      <c r="O10" s="13" t="s">
        <v>18</v>
      </c>
      <c r="P10" s="14">
        <f>C5*P8-C10*EXP(-C9*C7)*P9</f>
        <v>0.21863306492025436</v>
      </c>
    </row>
    <row r="11" spans="1:44" ht="18.600000000000001" thickBot="1" x14ac:dyDescent="0.4"/>
    <row r="12" spans="1:44" ht="18.600000000000001" thickBot="1" x14ac:dyDescent="0.4">
      <c r="B12" s="57" t="s">
        <v>7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9"/>
      <c r="W12" s="60" t="s">
        <v>8</v>
      </c>
      <c r="Y12" s="57" t="s">
        <v>10</v>
      </c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9"/>
    </row>
    <row r="13" spans="1:44" ht="18.600000000000001" thickBot="1" x14ac:dyDescent="0.4">
      <c r="B13" s="25">
        <v>0</v>
      </c>
      <c r="C13" s="34">
        <v>1</v>
      </c>
      <c r="D13" s="34">
        <v>2</v>
      </c>
      <c r="E13" s="34">
        <v>3</v>
      </c>
      <c r="F13" s="34">
        <v>4</v>
      </c>
      <c r="G13" s="34">
        <v>5</v>
      </c>
      <c r="H13" s="34">
        <v>6</v>
      </c>
      <c r="I13" s="34">
        <v>7</v>
      </c>
      <c r="J13" s="34">
        <v>8</v>
      </c>
      <c r="K13" s="34">
        <v>9</v>
      </c>
      <c r="L13" s="34">
        <v>10</v>
      </c>
      <c r="M13" s="34">
        <v>11</v>
      </c>
      <c r="N13" s="34">
        <v>12</v>
      </c>
      <c r="O13" s="34">
        <v>13</v>
      </c>
      <c r="P13" s="34">
        <v>14</v>
      </c>
      <c r="Q13" s="34">
        <v>15</v>
      </c>
      <c r="R13" s="34">
        <v>16</v>
      </c>
      <c r="S13" s="34">
        <v>17</v>
      </c>
      <c r="T13" s="34">
        <v>18</v>
      </c>
      <c r="U13" s="43">
        <v>19</v>
      </c>
      <c r="W13" s="61"/>
      <c r="Y13" s="25">
        <v>19</v>
      </c>
      <c r="Z13" s="34">
        <v>18</v>
      </c>
      <c r="AA13" s="34">
        <v>17</v>
      </c>
      <c r="AB13" s="34">
        <v>16</v>
      </c>
      <c r="AC13" s="34">
        <v>15</v>
      </c>
      <c r="AD13" s="34">
        <v>14</v>
      </c>
      <c r="AE13" s="34">
        <v>13</v>
      </c>
      <c r="AF13" s="34">
        <v>12</v>
      </c>
      <c r="AG13" s="34">
        <v>11</v>
      </c>
      <c r="AH13" s="34">
        <v>10</v>
      </c>
      <c r="AI13" s="34">
        <v>9</v>
      </c>
      <c r="AJ13" s="34">
        <v>8</v>
      </c>
      <c r="AK13" s="34">
        <v>7</v>
      </c>
      <c r="AL13" s="34">
        <v>6</v>
      </c>
      <c r="AM13" s="34">
        <v>5</v>
      </c>
      <c r="AN13" s="34">
        <v>4</v>
      </c>
      <c r="AO13" s="34">
        <v>3</v>
      </c>
      <c r="AP13" s="34">
        <v>2</v>
      </c>
      <c r="AQ13" s="34">
        <v>1</v>
      </c>
      <c r="AR13" s="43">
        <v>0</v>
      </c>
    </row>
    <row r="14" spans="1:44" x14ac:dyDescent="0.35">
      <c r="B14" s="6"/>
      <c r="U14" s="7"/>
      <c r="W14" s="18"/>
      <c r="Y14" s="6"/>
      <c r="AR14" s="20"/>
    </row>
    <row r="15" spans="1:44" x14ac:dyDescent="0.35">
      <c r="B15" s="6"/>
      <c r="U15" s="7"/>
      <c r="W15" s="18"/>
      <c r="Y15" s="6"/>
      <c r="AR15" s="7"/>
    </row>
    <row r="16" spans="1:44" x14ac:dyDescent="0.35">
      <c r="B16" s="6"/>
      <c r="U16" s="7"/>
      <c r="W16" s="18"/>
      <c r="Y16" s="6"/>
      <c r="AR16" s="7"/>
    </row>
    <row r="17" spans="2:44" x14ac:dyDescent="0.35">
      <c r="B17" s="6"/>
      <c r="U17" s="7"/>
      <c r="W17" s="18"/>
      <c r="Y17" s="6"/>
      <c r="AR17" s="7"/>
    </row>
    <row r="18" spans="2:44" x14ac:dyDescent="0.35">
      <c r="B18" s="6"/>
      <c r="U18" s="7"/>
      <c r="W18" s="18"/>
      <c r="Y18" s="6"/>
      <c r="AR18" s="7"/>
    </row>
    <row r="19" spans="2:44" x14ac:dyDescent="0.35">
      <c r="B19" s="6"/>
      <c r="U19" s="7"/>
      <c r="W19" s="18"/>
      <c r="Y19" s="6"/>
      <c r="AR19" s="7"/>
    </row>
    <row r="20" spans="2:44" x14ac:dyDescent="0.35">
      <c r="B20" s="6"/>
      <c r="U20" s="7"/>
      <c r="W20" s="18"/>
      <c r="Y20" s="6"/>
      <c r="AR20" s="7"/>
    </row>
    <row r="21" spans="2:44" x14ac:dyDescent="0.35">
      <c r="B21" s="6"/>
      <c r="U21" s="7"/>
      <c r="W21" s="18"/>
      <c r="Y21" s="6"/>
      <c r="AR21" s="7"/>
    </row>
    <row r="22" spans="2:44" x14ac:dyDescent="0.35">
      <c r="B22" s="6"/>
      <c r="U22" s="7"/>
      <c r="W22" s="18"/>
      <c r="Y22" s="6"/>
      <c r="AR22" s="7"/>
    </row>
    <row r="23" spans="2:44" x14ac:dyDescent="0.35">
      <c r="B23" s="6"/>
      <c r="U23" s="7"/>
      <c r="W23" s="18"/>
      <c r="Y23" s="6"/>
      <c r="AR23" s="7"/>
    </row>
    <row r="24" spans="2:44" x14ac:dyDescent="0.35">
      <c r="B24" s="6"/>
      <c r="U24" s="7"/>
      <c r="W24" s="18"/>
      <c r="Y24" s="6"/>
      <c r="AR24" s="7"/>
    </row>
    <row r="25" spans="2:44" x14ac:dyDescent="0.35">
      <c r="B25" s="6"/>
      <c r="U25" s="7"/>
      <c r="W25" s="18"/>
      <c r="Y25" s="6"/>
      <c r="AR25" s="7"/>
    </row>
    <row r="26" spans="2:44" x14ac:dyDescent="0.35">
      <c r="B26" s="6"/>
      <c r="U26" s="7"/>
      <c r="W26" s="18"/>
      <c r="Y26" s="6"/>
      <c r="AR26" s="7"/>
    </row>
    <row r="27" spans="2:44" x14ac:dyDescent="0.35">
      <c r="B27" s="6"/>
      <c r="U27" s="7"/>
      <c r="W27" s="18"/>
      <c r="Y27" s="6"/>
      <c r="AR27" s="7"/>
    </row>
    <row r="28" spans="2:44" x14ac:dyDescent="0.35">
      <c r="B28" s="6"/>
      <c r="U28" s="7"/>
      <c r="W28" s="18"/>
      <c r="Y28" s="6"/>
      <c r="AR28" s="7"/>
    </row>
    <row r="29" spans="2:44" x14ac:dyDescent="0.35">
      <c r="B29" s="6"/>
      <c r="U29" s="7"/>
      <c r="W29" s="18"/>
      <c r="Y29" s="6"/>
      <c r="AR29" s="7"/>
    </row>
    <row r="30" spans="2:44" x14ac:dyDescent="0.35">
      <c r="B30" s="6"/>
      <c r="U30" s="7"/>
      <c r="W30" s="18"/>
      <c r="Y30" s="6"/>
      <c r="AR30" s="7"/>
    </row>
    <row r="31" spans="2:44" x14ac:dyDescent="0.35">
      <c r="B31" s="6"/>
      <c r="U31" s="7"/>
      <c r="W31" s="18"/>
      <c r="Y31" s="6"/>
      <c r="AR31" s="7"/>
    </row>
    <row r="32" spans="2:44" x14ac:dyDescent="0.35">
      <c r="B32" s="6"/>
      <c r="U32" s="7"/>
      <c r="W32" s="18"/>
      <c r="Y32" s="6"/>
      <c r="AR32" s="7"/>
    </row>
    <row r="33" spans="2:44" ht="18.600000000000001" thickBot="1" x14ac:dyDescent="0.4">
      <c r="B33" s="13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/>
      <c r="W33" s="19"/>
      <c r="Y33" s="13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7"/>
    </row>
    <row r="35" spans="2:44" x14ac:dyDescent="0.35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</row>
    <row r="36" spans="2:44" ht="18.600000000000001" thickBot="1" x14ac:dyDescent="0.4"/>
    <row r="37" spans="2:44" ht="18.600000000000001" thickBot="1" x14ac:dyDescent="0.4">
      <c r="B37" s="57" t="s">
        <v>10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9"/>
    </row>
    <row r="38" spans="2:44" ht="18.600000000000001" thickBot="1" x14ac:dyDescent="0.4">
      <c r="B38" s="25">
        <v>0</v>
      </c>
      <c r="C38" s="34">
        <v>1</v>
      </c>
      <c r="D38" s="34">
        <v>2</v>
      </c>
      <c r="E38" s="34">
        <v>3</v>
      </c>
      <c r="F38" s="34">
        <v>4</v>
      </c>
      <c r="G38" s="34">
        <v>5</v>
      </c>
      <c r="H38" s="34">
        <v>6</v>
      </c>
      <c r="I38" s="34">
        <v>7</v>
      </c>
      <c r="J38" s="34">
        <v>8</v>
      </c>
      <c r="K38" s="34">
        <v>9</v>
      </c>
      <c r="L38" s="34">
        <v>10</v>
      </c>
      <c r="M38" s="34">
        <v>11</v>
      </c>
      <c r="N38" s="34">
        <v>12</v>
      </c>
      <c r="O38" s="34">
        <v>13</v>
      </c>
      <c r="P38" s="34">
        <v>14</v>
      </c>
      <c r="Q38" s="34">
        <v>15</v>
      </c>
      <c r="R38" s="34">
        <v>16</v>
      </c>
      <c r="S38" s="34">
        <v>17</v>
      </c>
      <c r="T38" s="34">
        <v>18</v>
      </c>
      <c r="U38" s="43">
        <v>19</v>
      </c>
    </row>
    <row r="39" spans="2:44" x14ac:dyDescent="0.35">
      <c r="B39" s="6"/>
      <c r="U39" s="7"/>
    </row>
    <row r="40" spans="2:44" x14ac:dyDescent="0.35">
      <c r="B40" s="6"/>
      <c r="U40" s="7"/>
    </row>
    <row r="41" spans="2:44" x14ac:dyDescent="0.35">
      <c r="B41" s="6"/>
      <c r="U41" s="7"/>
    </row>
    <row r="42" spans="2:44" x14ac:dyDescent="0.35">
      <c r="B42" s="6"/>
      <c r="U42" s="7"/>
    </row>
    <row r="43" spans="2:44" x14ac:dyDescent="0.35">
      <c r="B43" s="6"/>
      <c r="U43" s="7"/>
    </row>
    <row r="44" spans="2:44" x14ac:dyDescent="0.35">
      <c r="B44" s="6"/>
      <c r="U44" s="7"/>
    </row>
    <row r="45" spans="2:44" x14ac:dyDescent="0.35">
      <c r="B45" s="6"/>
      <c r="U45" s="7"/>
    </row>
    <row r="46" spans="2:44" x14ac:dyDescent="0.35">
      <c r="B46" s="6"/>
      <c r="U46" s="7"/>
    </row>
    <row r="47" spans="2:44" x14ac:dyDescent="0.35">
      <c r="B47" s="6"/>
      <c r="U47" s="7"/>
    </row>
    <row r="48" spans="2:44" x14ac:dyDescent="0.35">
      <c r="B48" s="6"/>
      <c r="U48" s="7"/>
    </row>
    <row r="49" spans="2:21" x14ac:dyDescent="0.35">
      <c r="B49" s="6"/>
      <c r="U49" s="7"/>
    </row>
    <row r="50" spans="2:21" x14ac:dyDescent="0.35">
      <c r="B50" s="6"/>
      <c r="U50" s="7"/>
    </row>
    <row r="51" spans="2:21" x14ac:dyDescent="0.35">
      <c r="B51" s="6"/>
      <c r="U51" s="7"/>
    </row>
    <row r="52" spans="2:21" x14ac:dyDescent="0.35">
      <c r="B52" s="6"/>
      <c r="U52" s="7"/>
    </row>
    <row r="53" spans="2:21" x14ac:dyDescent="0.35">
      <c r="B53" s="6"/>
      <c r="U53" s="7"/>
    </row>
    <row r="54" spans="2:21" x14ac:dyDescent="0.35">
      <c r="B54" s="6"/>
      <c r="U54" s="7"/>
    </row>
    <row r="55" spans="2:21" x14ac:dyDescent="0.35">
      <c r="B55" s="6"/>
      <c r="U55" s="7"/>
    </row>
    <row r="56" spans="2:21" x14ac:dyDescent="0.35">
      <c r="B56" s="6"/>
      <c r="U56" s="7"/>
    </row>
    <row r="57" spans="2:21" x14ac:dyDescent="0.35">
      <c r="B57" s="6"/>
      <c r="U57" s="7"/>
    </row>
    <row r="58" spans="2:21" ht="18.600000000000001" thickBot="1" x14ac:dyDescent="0.4">
      <c r="B58" s="13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7"/>
    </row>
    <row r="60" spans="2:21" x14ac:dyDescent="0.35"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</row>
    <row r="61" spans="2:21" ht="18.600000000000001" thickBot="1" x14ac:dyDescent="0.4"/>
    <row r="62" spans="2:21" ht="18.600000000000001" thickBot="1" x14ac:dyDescent="0.4">
      <c r="B62" s="57" t="s">
        <v>38</v>
      </c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9"/>
      <c r="U62" s="39"/>
    </row>
    <row r="63" spans="2:21" ht="18.600000000000001" thickBot="1" x14ac:dyDescent="0.4">
      <c r="B63" s="25">
        <v>0</v>
      </c>
      <c r="C63" s="34">
        <v>1</v>
      </c>
      <c r="D63" s="34">
        <v>2</v>
      </c>
      <c r="E63" s="34">
        <v>3</v>
      </c>
      <c r="F63" s="34">
        <v>4</v>
      </c>
      <c r="G63" s="34">
        <v>5</v>
      </c>
      <c r="H63" s="34">
        <v>6</v>
      </c>
      <c r="I63" s="34">
        <v>7</v>
      </c>
      <c r="J63" s="34">
        <v>8</v>
      </c>
      <c r="K63" s="34">
        <v>9</v>
      </c>
      <c r="L63" s="34">
        <v>10</v>
      </c>
      <c r="M63" s="34">
        <v>11</v>
      </c>
      <c r="N63" s="34">
        <v>12</v>
      </c>
      <c r="O63" s="34">
        <v>13</v>
      </c>
      <c r="P63" s="34">
        <v>14</v>
      </c>
      <c r="Q63" s="34">
        <v>15</v>
      </c>
      <c r="R63" s="34">
        <v>16</v>
      </c>
      <c r="S63" s="34">
        <v>17</v>
      </c>
      <c r="T63" s="43">
        <v>18</v>
      </c>
      <c r="U63"/>
    </row>
    <row r="64" spans="2:21" x14ac:dyDescent="0.35">
      <c r="B64" s="6"/>
      <c r="T64" s="7"/>
      <c r="U64"/>
    </row>
    <row r="65" spans="2:21" x14ac:dyDescent="0.35">
      <c r="B65" s="6"/>
      <c r="T65" s="7"/>
      <c r="U65"/>
    </row>
    <row r="66" spans="2:21" x14ac:dyDescent="0.35">
      <c r="B66" s="6"/>
      <c r="T66" s="7"/>
      <c r="U66"/>
    </row>
    <row r="67" spans="2:21" x14ac:dyDescent="0.35">
      <c r="B67" s="6"/>
      <c r="T67" s="7"/>
      <c r="U67"/>
    </row>
    <row r="68" spans="2:21" x14ac:dyDescent="0.35">
      <c r="B68" s="6"/>
      <c r="T68" s="7"/>
      <c r="U68"/>
    </row>
    <row r="69" spans="2:21" x14ac:dyDescent="0.35">
      <c r="B69" s="6"/>
      <c r="T69" s="7"/>
      <c r="U69"/>
    </row>
    <row r="70" spans="2:21" x14ac:dyDescent="0.35">
      <c r="B70" s="6"/>
      <c r="T70" s="7"/>
      <c r="U70"/>
    </row>
    <row r="71" spans="2:21" x14ac:dyDescent="0.35">
      <c r="B71" s="6"/>
      <c r="T71" s="7"/>
      <c r="U71"/>
    </row>
    <row r="72" spans="2:21" x14ac:dyDescent="0.35">
      <c r="B72" s="6"/>
      <c r="T72" s="7"/>
      <c r="U72"/>
    </row>
    <row r="73" spans="2:21" x14ac:dyDescent="0.35">
      <c r="B73" s="6"/>
      <c r="T73" s="7"/>
      <c r="U73"/>
    </row>
    <row r="74" spans="2:21" x14ac:dyDescent="0.35">
      <c r="B74" s="6"/>
      <c r="T74" s="7"/>
      <c r="U74"/>
    </row>
    <row r="75" spans="2:21" x14ac:dyDescent="0.35">
      <c r="B75" s="6"/>
      <c r="T75" s="7"/>
      <c r="U75"/>
    </row>
    <row r="76" spans="2:21" x14ac:dyDescent="0.35">
      <c r="B76" s="6"/>
      <c r="T76" s="7"/>
      <c r="U76"/>
    </row>
    <row r="77" spans="2:21" x14ac:dyDescent="0.35">
      <c r="B77" s="6"/>
      <c r="T77" s="7"/>
      <c r="U77"/>
    </row>
    <row r="78" spans="2:21" x14ac:dyDescent="0.35">
      <c r="B78" s="6"/>
      <c r="T78" s="7"/>
      <c r="U78"/>
    </row>
    <row r="79" spans="2:21" x14ac:dyDescent="0.35">
      <c r="B79" s="6"/>
      <c r="T79" s="7"/>
      <c r="U79"/>
    </row>
    <row r="80" spans="2:21" x14ac:dyDescent="0.35">
      <c r="B80" s="6"/>
      <c r="T80" s="7"/>
      <c r="U80"/>
    </row>
    <row r="81" spans="2:21" x14ac:dyDescent="0.35">
      <c r="B81" s="6"/>
      <c r="T81" s="7"/>
      <c r="U81"/>
    </row>
    <row r="82" spans="2:21" ht="18.600000000000001" thickBot="1" x14ac:dyDescent="0.4">
      <c r="B82" s="13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7"/>
      <c r="U82"/>
    </row>
    <row r="83" spans="2:21" ht="18.600000000000001" thickBot="1" x14ac:dyDescent="0.4">
      <c r="U83"/>
    </row>
    <row r="84" spans="2:21" ht="18.600000000000001" thickBot="1" x14ac:dyDescent="0.4">
      <c r="B84" s="57" t="s">
        <v>39</v>
      </c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9"/>
    </row>
    <row r="85" spans="2:21" ht="18.600000000000001" thickBot="1" x14ac:dyDescent="0.4">
      <c r="B85" s="25">
        <v>0</v>
      </c>
      <c r="C85" s="34">
        <v>1</v>
      </c>
      <c r="D85" s="34">
        <v>2</v>
      </c>
      <c r="E85" s="34">
        <v>3</v>
      </c>
      <c r="F85" s="34">
        <v>4</v>
      </c>
      <c r="G85" s="34">
        <v>5</v>
      </c>
      <c r="H85" s="34">
        <v>6</v>
      </c>
      <c r="I85" s="34">
        <v>7</v>
      </c>
      <c r="J85" s="34">
        <v>8</v>
      </c>
      <c r="K85" s="34">
        <v>9</v>
      </c>
      <c r="L85" s="34">
        <v>10</v>
      </c>
      <c r="M85" s="34">
        <v>11</v>
      </c>
      <c r="N85" s="34">
        <v>12</v>
      </c>
      <c r="O85" s="34">
        <v>13</v>
      </c>
      <c r="P85" s="34">
        <v>14</v>
      </c>
      <c r="Q85" s="34">
        <v>15</v>
      </c>
      <c r="R85" s="34">
        <v>16</v>
      </c>
      <c r="S85" s="34">
        <v>17</v>
      </c>
      <c r="T85" s="43">
        <v>18</v>
      </c>
    </row>
    <row r="86" spans="2:21" x14ac:dyDescent="0.35">
      <c r="B86" s="6"/>
      <c r="T86" s="7"/>
    </row>
    <row r="87" spans="2:21" x14ac:dyDescent="0.35">
      <c r="B87" s="6"/>
      <c r="T87" s="7"/>
    </row>
    <row r="88" spans="2:21" x14ac:dyDescent="0.35">
      <c r="B88" s="6"/>
      <c r="T88" s="7"/>
    </row>
    <row r="89" spans="2:21" x14ac:dyDescent="0.35">
      <c r="B89" s="6"/>
      <c r="T89" s="7"/>
    </row>
    <row r="90" spans="2:21" x14ac:dyDescent="0.35">
      <c r="B90" s="6"/>
      <c r="T90" s="7"/>
    </row>
    <row r="91" spans="2:21" x14ac:dyDescent="0.35">
      <c r="B91" s="6"/>
      <c r="T91" s="7"/>
    </row>
    <row r="92" spans="2:21" x14ac:dyDescent="0.35">
      <c r="B92" s="6"/>
      <c r="T92" s="7"/>
    </row>
    <row r="93" spans="2:21" x14ac:dyDescent="0.35">
      <c r="B93" s="6"/>
      <c r="T93" s="7"/>
    </row>
    <row r="94" spans="2:21" x14ac:dyDescent="0.35">
      <c r="B94" s="6"/>
      <c r="T94" s="7"/>
    </row>
    <row r="95" spans="2:21" x14ac:dyDescent="0.35">
      <c r="B95" s="6"/>
      <c r="T95" s="7"/>
    </row>
    <row r="96" spans="2:21" x14ac:dyDescent="0.35">
      <c r="B96" s="6"/>
      <c r="T96" s="7"/>
    </row>
    <row r="97" spans="2:21" x14ac:dyDescent="0.35">
      <c r="B97" s="6"/>
      <c r="T97" s="7"/>
    </row>
    <row r="98" spans="2:21" x14ac:dyDescent="0.35">
      <c r="B98" s="6"/>
      <c r="T98" s="7"/>
    </row>
    <row r="99" spans="2:21" x14ac:dyDescent="0.35">
      <c r="B99" s="6"/>
      <c r="T99" s="7"/>
    </row>
    <row r="100" spans="2:21" x14ac:dyDescent="0.35">
      <c r="B100" s="6"/>
      <c r="T100" s="7"/>
    </row>
    <row r="101" spans="2:21" x14ac:dyDescent="0.35">
      <c r="B101" s="6"/>
      <c r="T101" s="7"/>
    </row>
    <row r="102" spans="2:21" x14ac:dyDescent="0.35">
      <c r="B102" s="6"/>
      <c r="T102" s="7"/>
    </row>
    <row r="103" spans="2:21" x14ac:dyDescent="0.35">
      <c r="B103" s="6"/>
      <c r="T103" s="7"/>
    </row>
    <row r="104" spans="2:21" ht="18.600000000000001" thickBot="1" x14ac:dyDescent="0.4">
      <c r="B104" s="13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7"/>
    </row>
    <row r="106" spans="2:21" x14ac:dyDescent="0.35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</row>
    <row r="107" spans="2:21" ht="18.600000000000001" thickBot="1" x14ac:dyDescent="0.4"/>
    <row r="108" spans="2:21" ht="18.600000000000001" thickBot="1" x14ac:dyDescent="0.4">
      <c r="B108" s="57" t="s">
        <v>40</v>
      </c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9"/>
    </row>
    <row r="109" spans="2:21" ht="18.600000000000001" thickBot="1" x14ac:dyDescent="0.4">
      <c r="B109" s="25">
        <v>0</v>
      </c>
      <c r="C109" s="34">
        <v>1</v>
      </c>
      <c r="D109" s="34">
        <v>2</v>
      </c>
      <c r="E109" s="34">
        <v>3</v>
      </c>
      <c r="F109" s="34">
        <v>4</v>
      </c>
      <c r="G109" s="34">
        <v>5</v>
      </c>
      <c r="H109" s="34">
        <v>6</v>
      </c>
      <c r="I109" s="34">
        <v>7</v>
      </c>
      <c r="J109" s="34">
        <v>8</v>
      </c>
      <c r="K109" s="34">
        <v>9</v>
      </c>
      <c r="L109" s="34">
        <v>10</v>
      </c>
      <c r="M109" s="34">
        <v>11</v>
      </c>
      <c r="N109" s="34">
        <v>12</v>
      </c>
      <c r="O109" s="34">
        <v>13</v>
      </c>
      <c r="P109" s="34">
        <v>14</v>
      </c>
      <c r="Q109" s="34">
        <v>15</v>
      </c>
      <c r="R109" s="34">
        <v>16</v>
      </c>
      <c r="S109" s="34">
        <v>17</v>
      </c>
      <c r="T109" s="34">
        <v>18</v>
      </c>
      <c r="U109" s="43">
        <v>19</v>
      </c>
    </row>
    <row r="110" spans="2:21" x14ac:dyDescent="0.35">
      <c r="B110" s="6"/>
      <c r="U110" s="7"/>
    </row>
    <row r="111" spans="2:21" x14ac:dyDescent="0.35">
      <c r="B111" s="6"/>
      <c r="U111" s="7"/>
    </row>
    <row r="112" spans="2:21" x14ac:dyDescent="0.35">
      <c r="B112" s="6"/>
      <c r="U112" s="7"/>
    </row>
    <row r="113" spans="2:21" x14ac:dyDescent="0.35">
      <c r="B113" s="6"/>
      <c r="U113" s="7"/>
    </row>
    <row r="114" spans="2:21" x14ac:dyDescent="0.35">
      <c r="B114" s="6"/>
      <c r="U114" s="7"/>
    </row>
    <row r="115" spans="2:21" x14ac:dyDescent="0.35">
      <c r="B115" s="6"/>
      <c r="U115" s="7"/>
    </row>
    <row r="116" spans="2:21" x14ac:dyDescent="0.35">
      <c r="B116" s="6"/>
      <c r="U116" s="7"/>
    </row>
    <row r="117" spans="2:21" x14ac:dyDescent="0.35">
      <c r="B117" s="6"/>
      <c r="U117" s="7"/>
    </row>
    <row r="118" spans="2:21" x14ac:dyDescent="0.35">
      <c r="B118" s="6"/>
      <c r="U118" s="7"/>
    </row>
    <row r="119" spans="2:21" x14ac:dyDescent="0.35">
      <c r="B119" s="6"/>
      <c r="U119" s="7"/>
    </row>
    <row r="120" spans="2:21" x14ac:dyDescent="0.35">
      <c r="B120" s="6"/>
      <c r="U120" s="7"/>
    </row>
    <row r="121" spans="2:21" x14ac:dyDescent="0.35">
      <c r="B121" s="6"/>
      <c r="U121" s="7"/>
    </row>
    <row r="122" spans="2:21" x14ac:dyDescent="0.35">
      <c r="B122" s="6"/>
      <c r="U122" s="7"/>
    </row>
    <row r="123" spans="2:21" x14ac:dyDescent="0.35">
      <c r="B123" s="6"/>
      <c r="U123" s="7"/>
    </row>
    <row r="124" spans="2:21" x14ac:dyDescent="0.35">
      <c r="B124" s="6"/>
      <c r="U124" s="7"/>
    </row>
    <row r="125" spans="2:21" x14ac:dyDescent="0.35">
      <c r="B125" s="6"/>
      <c r="U125" s="7"/>
    </row>
    <row r="126" spans="2:21" x14ac:dyDescent="0.35">
      <c r="B126" s="6"/>
      <c r="U126" s="7"/>
    </row>
    <row r="127" spans="2:21" x14ac:dyDescent="0.35">
      <c r="B127" s="6"/>
      <c r="U127" s="7"/>
    </row>
    <row r="128" spans="2:21" x14ac:dyDescent="0.35">
      <c r="B128" s="6"/>
      <c r="U128" s="7"/>
    </row>
    <row r="129" spans="2:21" ht="18.600000000000001" thickBot="1" x14ac:dyDescent="0.4">
      <c r="B129" s="13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7"/>
    </row>
  </sheetData>
  <sortState xmlns:xlrd2="http://schemas.microsoft.com/office/spreadsheetml/2017/richdata2" columnSort="1" ref="B38:U58">
    <sortCondition ref="B38:U38"/>
  </sortState>
  <mergeCells count="14">
    <mergeCell ref="W12:W13"/>
    <mergeCell ref="Y12:AR12"/>
    <mergeCell ref="A3:H3"/>
    <mergeCell ref="A1:H1"/>
    <mergeCell ref="A2:H2"/>
    <mergeCell ref="B106:T106"/>
    <mergeCell ref="B108:U108"/>
    <mergeCell ref="B12:U12"/>
    <mergeCell ref="O5:P5"/>
    <mergeCell ref="B84:T84"/>
    <mergeCell ref="B37:U37"/>
    <mergeCell ref="B35:U35"/>
    <mergeCell ref="B60:U60"/>
    <mergeCell ref="B62:T6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126"/>
  <sheetViews>
    <sheetView tabSelected="1" topLeftCell="W1" zoomScale="70" zoomScaleNormal="70" workbookViewId="0">
      <selection activeCell="Y5" sqref="Y5:Y12"/>
    </sheetView>
  </sheetViews>
  <sheetFormatPr defaultColWidth="8.77734375" defaultRowHeight="18" x14ac:dyDescent="0.35"/>
  <cols>
    <col min="1" max="1" width="15.44140625" style="5" bestFit="1" customWidth="1"/>
    <col min="2" max="2" width="18.109375" style="5" bestFit="1" customWidth="1"/>
    <col min="3" max="4" width="15.77734375" style="5" bestFit="1" customWidth="1"/>
    <col min="5" max="5" width="17.109375" style="5" bestFit="1" customWidth="1"/>
    <col min="6" max="14" width="11" style="5" bestFit="1" customWidth="1"/>
    <col min="15" max="15" width="11.21875" style="5" bestFit="1" customWidth="1"/>
    <col min="16" max="16" width="11" style="5" bestFit="1" customWidth="1"/>
    <col min="17" max="17" width="15.77734375" style="5" bestFit="1" customWidth="1"/>
    <col min="18" max="18" width="11" style="5" bestFit="1" customWidth="1"/>
    <col min="19" max="19" width="16.5546875" style="5" bestFit="1" customWidth="1"/>
    <col min="20" max="20" width="15.77734375" style="5" bestFit="1" customWidth="1"/>
    <col min="21" max="21" width="11" style="5" bestFit="1" customWidth="1"/>
    <col min="22" max="22" width="16.5546875" style="5" bestFit="1" customWidth="1"/>
    <col min="23" max="25" width="8.77734375" style="5"/>
    <col min="26" max="26" width="17.33203125" style="5" bestFit="1" customWidth="1"/>
    <col min="27" max="16384" width="8.77734375" style="5"/>
  </cols>
  <sheetData>
    <row r="1" spans="1:62" s="15" customFormat="1" ht="21" x14ac:dyDescent="0.4">
      <c r="A1" s="62" t="s">
        <v>22</v>
      </c>
      <c r="B1" s="62"/>
      <c r="C1" s="62"/>
      <c r="D1" s="62"/>
      <c r="E1" s="62"/>
      <c r="F1" s="62"/>
      <c r="G1" s="62"/>
      <c r="H1" s="62"/>
    </row>
    <row r="2" spans="1:62" s="15" customFormat="1" ht="21" x14ac:dyDescent="0.4">
      <c r="A2" s="62" t="s">
        <v>41</v>
      </c>
      <c r="B2" s="62"/>
      <c r="C2" s="62"/>
      <c r="D2" s="62"/>
      <c r="E2" s="62"/>
      <c r="F2" s="62"/>
      <c r="G2" s="62"/>
      <c r="H2" s="62"/>
    </row>
    <row r="3" spans="1:62" s="15" customFormat="1" ht="21" x14ac:dyDescent="0.4">
      <c r="A3" s="62"/>
      <c r="B3" s="62"/>
      <c r="C3" s="62"/>
      <c r="D3" s="62"/>
      <c r="E3" s="62"/>
      <c r="F3" s="62"/>
      <c r="G3" s="62"/>
      <c r="H3" s="62"/>
    </row>
    <row r="4" spans="1:62" ht="18.600000000000001" thickBot="1" x14ac:dyDescent="0.4">
      <c r="Y4" s="5" t="s">
        <v>72</v>
      </c>
    </row>
    <row r="5" spans="1:62" ht="18.600000000000001" thickBot="1" x14ac:dyDescent="0.4">
      <c r="A5" s="25" t="s">
        <v>24</v>
      </c>
      <c r="B5" s="9" t="s">
        <v>0</v>
      </c>
      <c r="C5" s="9">
        <v>1</v>
      </c>
      <c r="D5" s="9"/>
      <c r="E5" s="34" t="s">
        <v>1</v>
      </c>
      <c r="F5" s="12">
        <f>EXP(C6*(C7/C8)^0.5)</f>
        <v>1.0469520640827252</v>
      </c>
      <c r="J5" s="41" t="s">
        <v>11</v>
      </c>
      <c r="K5" s="40">
        <f>(EXP(C9*C7/C8)-F6)/(F5-F6)</f>
        <v>0.49426611577314755</v>
      </c>
      <c r="O5" s="64" t="s">
        <v>51</v>
      </c>
      <c r="P5" s="65"/>
      <c r="S5" s="5" t="s">
        <v>53</v>
      </c>
      <c r="U5" s="70" t="s">
        <v>56</v>
      </c>
      <c r="V5" s="70"/>
      <c r="Y5" s="5" t="s">
        <v>71</v>
      </c>
    </row>
    <row r="6" spans="1:62" ht="18.600000000000001" thickBot="1" x14ac:dyDescent="0.4">
      <c r="A6" s="25" t="s">
        <v>26</v>
      </c>
      <c r="B6" s="9" t="s">
        <v>2</v>
      </c>
      <c r="C6" s="9">
        <v>0.2</v>
      </c>
      <c r="D6" s="9"/>
      <c r="E6" s="34" t="s">
        <v>5</v>
      </c>
      <c r="F6" s="12">
        <f>1/F5</f>
        <v>0.95515356844550303</v>
      </c>
      <c r="J6" s="35" t="s">
        <v>12</v>
      </c>
      <c r="K6" s="7">
        <f>1-K5</f>
        <v>0.50573388422685239</v>
      </c>
      <c r="O6" s="6" t="s">
        <v>14</v>
      </c>
      <c r="P6" s="7">
        <f>(LN(C5/C10)+(C9+C6*C6/2)*C7)/C6*SQRT(C7)</f>
        <v>-0.76160778396977291</v>
      </c>
      <c r="S6" s="55">
        <f>V6</f>
        <v>-0.76160778396977291</v>
      </c>
      <c r="U6" s="55" t="s">
        <v>14</v>
      </c>
      <c r="V6" s="55">
        <f>P6</f>
        <v>-0.76160778396977291</v>
      </c>
      <c r="Y6" s="5" t="s">
        <v>66</v>
      </c>
    </row>
    <row r="7" spans="1:62" ht="18.600000000000001" thickBot="1" x14ac:dyDescent="0.4">
      <c r="A7" s="25" t="s">
        <v>27</v>
      </c>
      <c r="B7" s="9" t="s">
        <v>3</v>
      </c>
      <c r="C7" s="9">
        <v>1</v>
      </c>
      <c r="D7" s="9"/>
      <c r="E7" s="9"/>
      <c r="F7" s="12"/>
      <c r="J7" s="42" t="s">
        <v>13</v>
      </c>
      <c r="K7" s="17">
        <f>EXP(-C9*C7/C8)</f>
        <v>0.99947382269038565</v>
      </c>
      <c r="O7" s="6" t="s">
        <v>15</v>
      </c>
      <c r="P7" s="7">
        <f>P6-C6*SQRT(C7)</f>
        <v>-0.96160778396977298</v>
      </c>
      <c r="S7" s="5">
        <f>V7</f>
        <v>-0.96160778396977298</v>
      </c>
      <c r="U7" s="55" t="s">
        <v>15</v>
      </c>
      <c r="V7" s="55">
        <f>P7</f>
        <v>-0.96160778396977298</v>
      </c>
      <c r="Y7" s="5" t="s">
        <v>64</v>
      </c>
    </row>
    <row r="8" spans="1:62" ht="18.600000000000001" thickBot="1" x14ac:dyDescent="0.4">
      <c r="A8" s="25" t="s">
        <v>25</v>
      </c>
      <c r="B8" s="9" t="s">
        <v>4</v>
      </c>
      <c r="C8" s="26">
        <v>19</v>
      </c>
      <c r="D8" s="9"/>
      <c r="E8" s="9"/>
      <c r="F8" s="12"/>
      <c r="O8" s="6" t="s">
        <v>16</v>
      </c>
      <c r="P8" s="7">
        <f>_xlfn.NORM.S.DIST(P6,TRUE)</f>
        <v>0.22314706384075533</v>
      </c>
      <c r="R8" s="5" t="s">
        <v>54</v>
      </c>
      <c r="S8" s="5">
        <f>_xlfn.NORM.S.DIST(-P6,TRUE)</f>
        <v>0.77685293615924467</v>
      </c>
      <c r="U8" s="55" t="s">
        <v>16</v>
      </c>
      <c r="V8" s="55">
        <f>_xlfn.NORM.S.DIST(P6,TRUE)</f>
        <v>0.22314706384075533</v>
      </c>
      <c r="Y8" s="5" t="s">
        <v>67</v>
      </c>
    </row>
    <row r="9" spans="1:62" ht="18.600000000000001" thickBot="1" x14ac:dyDescent="0.4">
      <c r="A9" s="25" t="s">
        <v>28</v>
      </c>
      <c r="B9" s="9" t="s">
        <v>6</v>
      </c>
      <c r="C9" s="9">
        <v>0.01</v>
      </c>
      <c r="D9" s="9"/>
      <c r="E9" s="9"/>
      <c r="F9" s="12"/>
      <c r="O9" s="6" t="s">
        <v>17</v>
      </c>
      <c r="P9" s="7">
        <f>_xlfn.NORM.S.DIST(P7,TRUE)</f>
        <v>0.16812332997925161</v>
      </c>
      <c r="R9" s="5" t="s">
        <v>55</v>
      </c>
      <c r="S9" s="5">
        <f>_xlfn.NORM.S.DIST(-P7,TRUE)</f>
        <v>0.83187667002074839</v>
      </c>
      <c r="T9" s="5" t="s">
        <v>59</v>
      </c>
      <c r="U9" s="55" t="s">
        <v>17</v>
      </c>
      <c r="V9" s="55">
        <f>_xlfn.NORM.S.DIST(P7,TRUE)</f>
        <v>0.16812332997925161</v>
      </c>
      <c r="Y9" s="5" t="s">
        <v>68</v>
      </c>
    </row>
    <row r="10" spans="1:62" ht="18.600000000000001" thickBot="1" x14ac:dyDescent="0.4">
      <c r="A10" s="25" t="s">
        <v>42</v>
      </c>
      <c r="B10" s="9" t="s">
        <v>9</v>
      </c>
      <c r="C10" s="9">
        <v>1.2</v>
      </c>
      <c r="D10" s="9"/>
      <c r="E10" s="9"/>
      <c r="F10" s="12"/>
      <c r="O10" s="13" t="s">
        <v>50</v>
      </c>
      <c r="P10" s="14">
        <f>C5*P8-C10*EXP(-C9*C7)*P9</f>
        <v>2.3406493966377839E-2</v>
      </c>
      <c r="S10" s="54">
        <f>V10+EXP(-C9*C7)*C11-C5</f>
        <v>-0.11797344907616192</v>
      </c>
      <c r="T10" s="54">
        <f>EXP(-C9*C7)*C11*S9-C5*S8</f>
        <v>-0.11797344907616181</v>
      </c>
      <c r="U10" s="55" t="s">
        <v>50</v>
      </c>
      <c r="V10" s="55">
        <f>-EXP(-C9*C7)*C11*V9+C5*V8</f>
        <v>8.9986683924503652E-2</v>
      </c>
      <c r="Y10" s="5" t="s">
        <v>65</v>
      </c>
    </row>
    <row r="11" spans="1:62" ht="18.600000000000001" thickBot="1" x14ac:dyDescent="0.4">
      <c r="A11" s="25" t="s">
        <v>43</v>
      </c>
      <c r="B11" s="9" t="s">
        <v>9</v>
      </c>
      <c r="C11" s="9">
        <v>0.8</v>
      </c>
      <c r="D11" s="9"/>
      <c r="E11" s="9"/>
      <c r="F11" s="12"/>
      <c r="P11"/>
      <c r="S11" s="5" t="s">
        <v>57</v>
      </c>
      <c r="T11" s="5" t="s">
        <v>58</v>
      </c>
      <c r="Y11" s="5" t="s">
        <v>69</v>
      </c>
    </row>
    <row r="12" spans="1:62" ht="18.600000000000001" thickBot="1" x14ac:dyDescent="0.4">
      <c r="K12" s="5" t="s">
        <v>52</v>
      </c>
      <c r="S12" s="5" t="s">
        <v>60</v>
      </c>
      <c r="Y12" s="5" t="s">
        <v>70</v>
      </c>
    </row>
    <row r="13" spans="1:62" ht="18.600000000000001" thickBot="1" x14ac:dyDescent="0.4">
      <c r="B13" s="57" t="s">
        <v>7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9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</row>
    <row r="14" spans="1:62" ht="18.600000000000001" thickBot="1" x14ac:dyDescent="0.4">
      <c r="B14" s="25">
        <v>0</v>
      </c>
      <c r="C14" s="34">
        <v>1</v>
      </c>
      <c r="D14" s="34">
        <v>2</v>
      </c>
      <c r="E14" s="34">
        <v>3</v>
      </c>
      <c r="F14" s="34">
        <v>4</v>
      </c>
      <c r="G14" s="34">
        <v>5</v>
      </c>
      <c r="H14" s="34">
        <v>6</v>
      </c>
      <c r="I14" s="34">
        <v>7</v>
      </c>
      <c r="J14" s="34">
        <v>8</v>
      </c>
      <c r="K14" s="34">
        <v>9</v>
      </c>
      <c r="L14" s="34">
        <v>10</v>
      </c>
      <c r="M14" s="34">
        <v>11</v>
      </c>
      <c r="N14" s="34">
        <v>12</v>
      </c>
      <c r="O14" s="34">
        <v>13</v>
      </c>
      <c r="P14" s="34">
        <v>14</v>
      </c>
      <c r="Q14" s="34">
        <v>15</v>
      </c>
      <c r="R14" s="34">
        <v>16</v>
      </c>
      <c r="S14" s="34">
        <v>17</v>
      </c>
      <c r="T14" s="34">
        <v>18</v>
      </c>
      <c r="U14" s="43">
        <v>19</v>
      </c>
      <c r="Y14" s="5" t="s">
        <v>73</v>
      </c>
      <c r="Z14" s="5" t="s">
        <v>74</v>
      </c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</row>
    <row r="15" spans="1:62" x14ac:dyDescent="0.35">
      <c r="B15" s="6">
        <v>1</v>
      </c>
      <c r="C15" s="71">
        <f>B15*$F$5</f>
        <v>1.0469520640827252</v>
      </c>
      <c r="D15" s="71">
        <f t="shared" ref="D15:U15" si="0">C15*$F$5</f>
        <v>1.0961086244870788</v>
      </c>
      <c r="E15" s="71">
        <f t="shared" si="0"/>
        <v>1.1475731868656238</v>
      </c>
      <c r="F15" s="71">
        <f t="shared" si="0"/>
        <v>1.2014541166749557</v>
      </c>
      <c r="G15" s="71">
        <f t="shared" si="0"/>
        <v>1.2578648673535322</v>
      </c>
      <c r="H15" s="71">
        <f t="shared" si="0"/>
        <v>1.316924219212924</v>
      </c>
      <c r="I15" s="71">
        <f t="shared" si="0"/>
        <v>1.3787565295455022</v>
      </c>
      <c r="J15" s="71">
        <f t="shared" si="0"/>
        <v>1.4434919944751985</v>
      </c>
      <c r="K15" s="71">
        <f t="shared" si="0"/>
        <v>1.5112669231026989</v>
      </c>
      <c r="L15" s="71">
        <f t="shared" si="0"/>
        <v>1.5822240245223198</v>
      </c>
      <c r="M15" s="71">
        <f t="shared" si="0"/>
        <v>1.6565127083149191</v>
      </c>
      <c r="N15" s="71">
        <f t="shared" si="0"/>
        <v>1.73428939914957</v>
      </c>
      <c r="O15" s="71">
        <f t="shared" si="0"/>
        <v>1.8157178661564317</v>
      </c>
      <c r="P15" s="71">
        <f t="shared" si="0"/>
        <v>1.9009695677643577</v>
      </c>
      <c r="Q15" s="71">
        <f t="shared" si="0"/>
        <v>1.9902240127293402</v>
      </c>
      <c r="R15" s="71">
        <f t="shared" si="0"/>
        <v>2.0836691381139869</v>
      </c>
      <c r="S15" s="71">
        <f t="shared" si="0"/>
        <v>2.1815017050139116</v>
      </c>
      <c r="T15" s="71">
        <f t="shared" si="0"/>
        <v>2.283927712864299</v>
      </c>
      <c r="U15" s="7">
        <f t="shared" si="0"/>
        <v>2.3911628331990156</v>
      </c>
      <c r="Y15" s="5">
        <v>0</v>
      </c>
      <c r="Z15" s="5" cm="1">
        <f t="array" ref="Z15:Z34">U15:U34</f>
        <v>2.3911628331990156</v>
      </c>
    </row>
    <row r="16" spans="1:62" x14ac:dyDescent="0.35">
      <c r="B16" s="6"/>
      <c r="C16" s="71">
        <f>B15*$F$6</f>
        <v>0.95515356844550303</v>
      </c>
      <c r="D16" s="71">
        <f t="shared" ref="D16:U30" si="1">C15*$F$6</f>
        <v>1</v>
      </c>
      <c r="E16" s="71">
        <f t="shared" si="1"/>
        <v>1.0469520640827252</v>
      </c>
      <c r="F16" s="71">
        <f t="shared" si="1"/>
        <v>1.0961086244870786</v>
      </c>
      <c r="G16" s="71">
        <f t="shared" si="1"/>
        <v>1.1475731868656236</v>
      </c>
      <c r="H16" s="71">
        <f t="shared" si="1"/>
        <v>1.2014541166749557</v>
      </c>
      <c r="I16" s="71">
        <f t="shared" si="1"/>
        <v>1.2578648673535322</v>
      </c>
      <c r="J16" s="71">
        <f t="shared" si="1"/>
        <v>1.316924219212924</v>
      </c>
      <c r="K16" s="71">
        <f t="shared" si="1"/>
        <v>1.3787565295455022</v>
      </c>
      <c r="L16" s="71">
        <f t="shared" si="1"/>
        <v>1.4434919944751985</v>
      </c>
      <c r="M16" s="71">
        <f t="shared" si="1"/>
        <v>1.5112669231026989</v>
      </c>
      <c r="N16" s="71">
        <f t="shared" si="1"/>
        <v>1.5822240245223198</v>
      </c>
      <c r="O16" s="71">
        <f t="shared" si="1"/>
        <v>1.6565127083149191</v>
      </c>
      <c r="P16" s="71">
        <f t="shared" si="1"/>
        <v>1.73428939914957</v>
      </c>
      <c r="Q16" s="71">
        <f t="shared" si="1"/>
        <v>1.8157178661564317</v>
      </c>
      <c r="R16" s="71">
        <f t="shared" si="1"/>
        <v>1.9009695677643577</v>
      </c>
      <c r="S16" s="71">
        <f t="shared" si="1"/>
        <v>1.9902240127293402</v>
      </c>
      <c r="T16" s="71">
        <f t="shared" si="1"/>
        <v>2.0836691381139869</v>
      </c>
      <c r="U16" s="7">
        <f t="shared" si="1"/>
        <v>2.1815017050139112</v>
      </c>
      <c r="Y16" s="5">
        <v>1</v>
      </c>
      <c r="Z16" s="5">
        <v>2.1815017050139112</v>
      </c>
    </row>
    <row r="17" spans="2:26" x14ac:dyDescent="0.35">
      <c r="B17" s="6"/>
      <c r="C17" s="71">
        <f t="shared" ref="C17:R34" si="2">B16*$F$6</f>
        <v>0</v>
      </c>
      <c r="D17" s="71">
        <f t="shared" si="1"/>
        <v>0.91231833931417827</v>
      </c>
      <c r="E17" s="71">
        <f t="shared" si="1"/>
        <v>0.95515356844550303</v>
      </c>
      <c r="F17" s="71">
        <f t="shared" si="1"/>
        <v>1</v>
      </c>
      <c r="G17" s="71">
        <f t="shared" si="1"/>
        <v>1.046952064082725</v>
      </c>
      <c r="H17" s="71">
        <f t="shared" si="1"/>
        <v>1.0961086244870784</v>
      </c>
      <c r="I17" s="71">
        <f t="shared" si="1"/>
        <v>1.1475731868656236</v>
      </c>
      <c r="J17" s="71">
        <f t="shared" si="1"/>
        <v>1.2014541166749557</v>
      </c>
      <c r="K17" s="71">
        <f t="shared" si="1"/>
        <v>1.2578648673535322</v>
      </c>
      <c r="L17" s="71">
        <f t="shared" si="1"/>
        <v>1.316924219212924</v>
      </c>
      <c r="M17" s="71">
        <f t="shared" si="1"/>
        <v>1.3787565295455022</v>
      </c>
      <c r="N17" s="71">
        <f t="shared" si="1"/>
        <v>1.4434919944751985</v>
      </c>
      <c r="O17" s="71">
        <f t="shared" si="1"/>
        <v>1.5112669231026989</v>
      </c>
      <c r="P17" s="71">
        <f t="shared" si="1"/>
        <v>1.5822240245223198</v>
      </c>
      <c r="Q17" s="71">
        <f t="shared" si="1"/>
        <v>1.6565127083149191</v>
      </c>
      <c r="R17" s="71">
        <f t="shared" si="1"/>
        <v>1.73428939914957</v>
      </c>
      <c r="S17" s="71">
        <f t="shared" si="1"/>
        <v>1.8157178661564317</v>
      </c>
      <c r="T17" s="71">
        <f t="shared" si="1"/>
        <v>1.9009695677643577</v>
      </c>
      <c r="U17" s="7">
        <f t="shared" si="1"/>
        <v>1.9902240127293402</v>
      </c>
      <c r="Y17" s="5">
        <v>2</v>
      </c>
      <c r="Z17" s="5">
        <v>1.9902240127293402</v>
      </c>
    </row>
    <row r="18" spans="2:26" x14ac:dyDescent="0.35">
      <c r="B18" s="6"/>
      <c r="C18" s="71">
        <f t="shared" si="2"/>
        <v>0</v>
      </c>
      <c r="D18" s="71">
        <f t="shared" si="1"/>
        <v>0</v>
      </c>
      <c r="E18" s="71">
        <f t="shared" si="1"/>
        <v>0.87140411735421264</v>
      </c>
      <c r="F18" s="71">
        <f t="shared" si="1"/>
        <v>0.91231833931417827</v>
      </c>
      <c r="G18" s="71">
        <f t="shared" si="1"/>
        <v>0.95515356844550303</v>
      </c>
      <c r="H18" s="71">
        <f t="shared" si="1"/>
        <v>0.99999999999999978</v>
      </c>
      <c r="I18" s="71">
        <f t="shared" si="1"/>
        <v>1.0469520640827248</v>
      </c>
      <c r="J18" s="71">
        <f t="shared" si="1"/>
        <v>1.0961086244870784</v>
      </c>
      <c r="K18" s="71">
        <f t="shared" si="1"/>
        <v>1.1475731868656236</v>
      </c>
      <c r="L18" s="71">
        <f t="shared" si="1"/>
        <v>1.2014541166749557</v>
      </c>
      <c r="M18" s="71">
        <f t="shared" si="1"/>
        <v>1.2578648673535322</v>
      </c>
      <c r="N18" s="71">
        <f t="shared" si="1"/>
        <v>1.316924219212924</v>
      </c>
      <c r="O18" s="71">
        <f t="shared" si="1"/>
        <v>1.3787565295455022</v>
      </c>
      <c r="P18" s="71">
        <f t="shared" si="1"/>
        <v>1.4434919944751985</v>
      </c>
      <c r="Q18" s="71">
        <f t="shared" si="1"/>
        <v>1.5112669231026989</v>
      </c>
      <c r="R18" s="71">
        <f t="shared" si="1"/>
        <v>1.5822240245223198</v>
      </c>
      <c r="S18" s="71">
        <f t="shared" si="1"/>
        <v>1.6565127083149191</v>
      </c>
      <c r="T18" s="71">
        <f t="shared" si="1"/>
        <v>1.73428939914957</v>
      </c>
      <c r="U18" s="7">
        <f t="shared" si="1"/>
        <v>1.8157178661564317</v>
      </c>
      <c r="Y18" s="5">
        <v>3</v>
      </c>
      <c r="Z18" s="5">
        <v>1.8157178661564317</v>
      </c>
    </row>
    <row r="19" spans="2:26" x14ac:dyDescent="0.35">
      <c r="B19" s="6"/>
      <c r="C19" s="71">
        <f t="shared" si="2"/>
        <v>0</v>
      </c>
      <c r="D19" s="71">
        <f t="shared" si="1"/>
        <v>0</v>
      </c>
      <c r="E19" s="71">
        <f t="shared" si="1"/>
        <v>0</v>
      </c>
      <c r="F19" s="71">
        <f t="shared" si="1"/>
        <v>0.83232475224898006</v>
      </c>
      <c r="G19" s="71">
        <f t="shared" si="1"/>
        <v>0.87140411735421264</v>
      </c>
      <c r="H19" s="71">
        <f t="shared" si="1"/>
        <v>0.91231833931417827</v>
      </c>
      <c r="I19" s="71">
        <f t="shared" si="1"/>
        <v>0.95515356844550281</v>
      </c>
      <c r="J19" s="71">
        <f t="shared" si="1"/>
        <v>0.99999999999999956</v>
      </c>
      <c r="K19" s="71">
        <f t="shared" si="1"/>
        <v>1.0469520640827248</v>
      </c>
      <c r="L19" s="71">
        <f t="shared" si="1"/>
        <v>1.0961086244870784</v>
      </c>
      <c r="M19" s="71">
        <f t="shared" si="1"/>
        <v>1.1475731868656236</v>
      </c>
      <c r="N19" s="71">
        <f t="shared" si="1"/>
        <v>1.2014541166749557</v>
      </c>
      <c r="O19" s="71">
        <f t="shared" si="1"/>
        <v>1.2578648673535322</v>
      </c>
      <c r="P19" s="71">
        <f t="shared" si="1"/>
        <v>1.316924219212924</v>
      </c>
      <c r="Q19" s="71">
        <f t="shared" si="1"/>
        <v>1.3787565295455022</v>
      </c>
      <c r="R19" s="71">
        <f t="shared" si="1"/>
        <v>1.4434919944751985</v>
      </c>
      <c r="S19" s="71">
        <f t="shared" si="1"/>
        <v>1.5112669231026989</v>
      </c>
      <c r="T19" s="71">
        <f t="shared" si="1"/>
        <v>1.5822240245223198</v>
      </c>
      <c r="U19" s="7">
        <f t="shared" si="1"/>
        <v>1.6565127083149191</v>
      </c>
      <c r="Y19" s="5">
        <v>4</v>
      </c>
      <c r="Z19" s="5">
        <v>1.6565127083149191</v>
      </c>
    </row>
    <row r="20" spans="2:26" x14ac:dyDescent="0.35">
      <c r="B20" s="6"/>
      <c r="C20" s="71">
        <f t="shared" si="2"/>
        <v>0</v>
      </c>
      <c r="D20" s="71">
        <f t="shared" si="1"/>
        <v>0</v>
      </c>
      <c r="E20" s="71">
        <f t="shared" si="1"/>
        <v>0</v>
      </c>
      <c r="F20" s="71">
        <f t="shared" si="1"/>
        <v>0</v>
      </c>
      <c r="G20" s="71">
        <f t="shared" si="1"/>
        <v>0.79499795721613253</v>
      </c>
      <c r="H20" s="71">
        <f t="shared" si="1"/>
        <v>0.83232475224898006</v>
      </c>
      <c r="I20" s="71">
        <f t="shared" si="1"/>
        <v>0.87140411735421264</v>
      </c>
      <c r="J20" s="71">
        <f t="shared" si="1"/>
        <v>0.91231833931417805</v>
      </c>
      <c r="K20" s="71">
        <f t="shared" si="1"/>
        <v>0.95515356844550259</v>
      </c>
      <c r="L20" s="71">
        <f t="shared" si="1"/>
        <v>0.99999999999999956</v>
      </c>
      <c r="M20" s="71">
        <f t="shared" si="1"/>
        <v>1.0469520640827248</v>
      </c>
      <c r="N20" s="71">
        <f t="shared" si="1"/>
        <v>1.0961086244870784</v>
      </c>
      <c r="O20" s="71">
        <f t="shared" si="1"/>
        <v>1.1475731868656236</v>
      </c>
      <c r="P20" s="71">
        <f t="shared" si="1"/>
        <v>1.2014541166749557</v>
      </c>
      <c r="Q20" s="71">
        <f t="shared" si="1"/>
        <v>1.2578648673535322</v>
      </c>
      <c r="R20" s="71">
        <f t="shared" si="1"/>
        <v>1.316924219212924</v>
      </c>
      <c r="S20" s="71">
        <f t="shared" si="1"/>
        <v>1.3787565295455022</v>
      </c>
      <c r="T20" s="71">
        <f t="shared" si="1"/>
        <v>1.4434919944751985</v>
      </c>
      <c r="U20" s="7">
        <f t="shared" si="1"/>
        <v>1.5112669231026989</v>
      </c>
      <c r="Y20" s="5">
        <v>5</v>
      </c>
      <c r="Z20" s="5">
        <v>1.5112669231026989</v>
      </c>
    </row>
    <row r="21" spans="2:26" x14ac:dyDescent="0.35">
      <c r="B21" s="6"/>
      <c r="C21" s="71">
        <f t="shared" si="2"/>
        <v>0</v>
      </c>
      <c r="D21" s="71">
        <f t="shared" si="1"/>
        <v>0</v>
      </c>
      <c r="E21" s="71">
        <f t="shared" si="1"/>
        <v>0</v>
      </c>
      <c r="F21" s="71">
        <f t="shared" si="1"/>
        <v>0</v>
      </c>
      <c r="G21" s="71">
        <f t="shared" si="1"/>
        <v>0</v>
      </c>
      <c r="H21" s="71">
        <f t="shared" si="1"/>
        <v>0.75934513574187434</v>
      </c>
      <c r="I21" s="71">
        <f t="shared" si="1"/>
        <v>0.79499795721613253</v>
      </c>
      <c r="J21" s="71">
        <f t="shared" si="1"/>
        <v>0.83232475224898006</v>
      </c>
      <c r="K21" s="71">
        <f t="shared" si="1"/>
        <v>0.87140411735421242</v>
      </c>
      <c r="L21" s="71">
        <f t="shared" si="1"/>
        <v>0.91231833931417783</v>
      </c>
      <c r="M21" s="71">
        <f t="shared" si="1"/>
        <v>0.95515356844550259</v>
      </c>
      <c r="N21" s="71">
        <f t="shared" si="1"/>
        <v>0.99999999999999956</v>
      </c>
      <c r="O21" s="71">
        <f t="shared" si="1"/>
        <v>1.0469520640827248</v>
      </c>
      <c r="P21" s="71">
        <f t="shared" si="1"/>
        <v>1.0961086244870784</v>
      </c>
      <c r="Q21" s="71">
        <f t="shared" si="1"/>
        <v>1.1475731868656236</v>
      </c>
      <c r="R21" s="71">
        <f t="shared" si="1"/>
        <v>1.2014541166749557</v>
      </c>
      <c r="S21" s="71">
        <f t="shared" si="1"/>
        <v>1.2578648673535322</v>
      </c>
      <c r="T21" s="71">
        <f t="shared" si="1"/>
        <v>1.316924219212924</v>
      </c>
      <c r="U21" s="7">
        <f t="shared" si="1"/>
        <v>1.3787565295455022</v>
      </c>
      <c r="Y21" s="5">
        <v>6</v>
      </c>
      <c r="Z21" s="5">
        <v>1.3787565295455022</v>
      </c>
    </row>
    <row r="22" spans="2:26" x14ac:dyDescent="0.35">
      <c r="B22" s="6"/>
      <c r="C22" s="71">
        <f t="shared" si="2"/>
        <v>0</v>
      </c>
      <c r="D22" s="71">
        <f t="shared" si="1"/>
        <v>0</v>
      </c>
      <c r="E22" s="71">
        <f t="shared" si="1"/>
        <v>0</v>
      </c>
      <c r="F22" s="71">
        <f t="shared" si="1"/>
        <v>0</v>
      </c>
      <c r="G22" s="71">
        <f t="shared" si="1"/>
        <v>0</v>
      </c>
      <c r="H22" s="71">
        <f t="shared" si="1"/>
        <v>0</v>
      </c>
      <c r="I22" s="71">
        <f t="shared" si="1"/>
        <v>0.72529121608558622</v>
      </c>
      <c r="J22" s="71">
        <f t="shared" si="1"/>
        <v>0.75934513574187434</v>
      </c>
      <c r="K22" s="71">
        <f t="shared" si="1"/>
        <v>0.79499795721613253</v>
      </c>
      <c r="L22" s="71">
        <f t="shared" si="1"/>
        <v>0.83232475224897984</v>
      </c>
      <c r="M22" s="71">
        <f t="shared" si="1"/>
        <v>0.87140411735421219</v>
      </c>
      <c r="N22" s="71">
        <f t="shared" si="1"/>
        <v>0.91231833931417783</v>
      </c>
      <c r="O22" s="71">
        <f t="shared" si="1"/>
        <v>0.95515356844550259</v>
      </c>
      <c r="P22" s="71">
        <f t="shared" si="1"/>
        <v>0.99999999999999956</v>
      </c>
      <c r="Q22" s="71">
        <f t="shared" si="1"/>
        <v>1.0469520640827248</v>
      </c>
      <c r="R22" s="71">
        <f t="shared" si="1"/>
        <v>1.0961086244870784</v>
      </c>
      <c r="S22" s="71">
        <f t="shared" si="1"/>
        <v>1.1475731868656236</v>
      </c>
      <c r="T22" s="71">
        <f t="shared" si="1"/>
        <v>1.2014541166749557</v>
      </c>
      <c r="U22" s="7">
        <f t="shared" si="1"/>
        <v>1.2578648673535322</v>
      </c>
      <c r="Y22" s="5">
        <v>7</v>
      </c>
      <c r="Z22" s="5">
        <v>1.2578648673535322</v>
      </c>
    </row>
    <row r="23" spans="2:26" x14ac:dyDescent="0.35">
      <c r="B23" s="6"/>
      <c r="C23" s="71">
        <f t="shared" si="2"/>
        <v>0</v>
      </c>
      <c r="D23" s="71">
        <f t="shared" si="1"/>
        <v>0</v>
      </c>
      <c r="E23" s="71">
        <f t="shared" si="1"/>
        <v>0</v>
      </c>
      <c r="F23" s="71">
        <f t="shared" si="1"/>
        <v>0</v>
      </c>
      <c r="G23" s="71">
        <f t="shared" si="1"/>
        <v>0</v>
      </c>
      <c r="H23" s="71">
        <f t="shared" si="1"/>
        <v>0</v>
      </c>
      <c r="I23" s="71">
        <f t="shared" si="1"/>
        <v>0</v>
      </c>
      <c r="J23" s="71">
        <f t="shared" si="1"/>
        <v>0.69276449320632616</v>
      </c>
      <c r="K23" s="71">
        <f t="shared" si="1"/>
        <v>0.72529121608558622</v>
      </c>
      <c r="L23" s="71">
        <f t="shared" si="1"/>
        <v>0.75934513574187434</v>
      </c>
      <c r="M23" s="71">
        <f t="shared" si="1"/>
        <v>0.79499795721613231</v>
      </c>
      <c r="N23" s="71">
        <f t="shared" si="1"/>
        <v>0.83232475224897973</v>
      </c>
      <c r="O23" s="71">
        <f t="shared" si="1"/>
        <v>0.87140411735421219</v>
      </c>
      <c r="P23" s="71">
        <f t="shared" si="1"/>
        <v>0.91231833931417783</v>
      </c>
      <c r="Q23" s="71">
        <f t="shared" si="1"/>
        <v>0.95515356844550259</v>
      </c>
      <c r="R23" s="71">
        <f t="shared" si="1"/>
        <v>0.99999999999999956</v>
      </c>
      <c r="S23" s="71">
        <f t="shared" si="1"/>
        <v>1.0469520640827248</v>
      </c>
      <c r="T23" s="71">
        <f t="shared" si="1"/>
        <v>1.0961086244870784</v>
      </c>
      <c r="U23" s="7">
        <f t="shared" si="1"/>
        <v>1.1475731868656236</v>
      </c>
      <c r="Y23" s="5">
        <v>8</v>
      </c>
      <c r="Z23" s="5">
        <v>1.1475731868656236</v>
      </c>
    </row>
    <row r="24" spans="2:26" x14ac:dyDescent="0.35">
      <c r="B24" s="6"/>
      <c r="C24" s="71">
        <f t="shared" si="2"/>
        <v>0</v>
      </c>
      <c r="D24" s="71">
        <f t="shared" si="1"/>
        <v>0</v>
      </c>
      <c r="E24" s="71">
        <f t="shared" si="1"/>
        <v>0</v>
      </c>
      <c r="F24" s="71">
        <f t="shared" si="1"/>
        <v>0</v>
      </c>
      <c r="G24" s="71">
        <f t="shared" si="1"/>
        <v>0</v>
      </c>
      <c r="H24" s="71">
        <f t="shared" si="1"/>
        <v>0</v>
      </c>
      <c r="I24" s="71">
        <f t="shared" si="1"/>
        <v>0</v>
      </c>
      <c r="J24" s="71">
        <f t="shared" si="1"/>
        <v>0</v>
      </c>
      <c r="K24" s="71">
        <f t="shared" si="1"/>
        <v>0.66169647777836282</v>
      </c>
      <c r="L24" s="71">
        <f t="shared" si="1"/>
        <v>0.69276449320632616</v>
      </c>
      <c r="M24" s="71">
        <f t="shared" si="1"/>
        <v>0.72529121608558622</v>
      </c>
      <c r="N24" s="71">
        <f t="shared" si="1"/>
        <v>0.75934513574187412</v>
      </c>
      <c r="O24" s="71">
        <f t="shared" si="1"/>
        <v>0.7949979572161322</v>
      </c>
      <c r="P24" s="71">
        <f t="shared" si="1"/>
        <v>0.83232475224897973</v>
      </c>
      <c r="Q24" s="71">
        <f t="shared" si="1"/>
        <v>0.87140411735421219</v>
      </c>
      <c r="R24" s="71">
        <f t="shared" si="1"/>
        <v>0.91231833931417783</v>
      </c>
      <c r="S24" s="71">
        <f t="shared" si="1"/>
        <v>0.95515356844550259</v>
      </c>
      <c r="T24" s="71">
        <f t="shared" si="1"/>
        <v>0.99999999999999956</v>
      </c>
      <c r="U24" s="7">
        <f t="shared" si="1"/>
        <v>1.0469520640827248</v>
      </c>
      <c r="Y24" s="5">
        <v>9</v>
      </c>
      <c r="Z24" s="5">
        <v>1.0469520640827248</v>
      </c>
    </row>
    <row r="25" spans="2:26" x14ac:dyDescent="0.35">
      <c r="B25" s="6"/>
      <c r="C25" s="71">
        <f t="shared" si="2"/>
        <v>0</v>
      </c>
      <c r="D25" s="71">
        <f t="shared" si="1"/>
        <v>0</v>
      </c>
      <c r="E25" s="71">
        <f t="shared" si="1"/>
        <v>0</v>
      </c>
      <c r="F25" s="71">
        <f t="shared" si="1"/>
        <v>0</v>
      </c>
      <c r="G25" s="71">
        <f t="shared" si="1"/>
        <v>0</v>
      </c>
      <c r="H25" s="71">
        <f t="shared" si="1"/>
        <v>0</v>
      </c>
      <c r="I25" s="71">
        <f t="shared" si="1"/>
        <v>0</v>
      </c>
      <c r="J25" s="71">
        <f t="shared" si="1"/>
        <v>0</v>
      </c>
      <c r="K25" s="71">
        <f t="shared" si="1"/>
        <v>0</v>
      </c>
      <c r="L25" s="71">
        <f t="shared" si="1"/>
        <v>0.63202175197782373</v>
      </c>
      <c r="M25" s="71">
        <f t="shared" si="1"/>
        <v>0.66169647777836282</v>
      </c>
      <c r="N25" s="71">
        <f t="shared" si="1"/>
        <v>0.69276449320632616</v>
      </c>
      <c r="O25" s="71">
        <f t="shared" si="1"/>
        <v>0.725291216085586</v>
      </c>
      <c r="P25" s="71">
        <f t="shared" si="1"/>
        <v>0.75934513574187401</v>
      </c>
      <c r="Q25" s="71">
        <f t="shared" si="1"/>
        <v>0.7949979572161322</v>
      </c>
      <c r="R25" s="71">
        <f t="shared" si="1"/>
        <v>0.83232475224897973</v>
      </c>
      <c r="S25" s="71">
        <f t="shared" si="1"/>
        <v>0.87140411735421219</v>
      </c>
      <c r="T25" s="71">
        <f t="shared" si="1"/>
        <v>0.91231833931417783</v>
      </c>
      <c r="U25" s="7">
        <f t="shared" si="1"/>
        <v>0.95515356844550259</v>
      </c>
      <c r="Y25" s="5">
        <v>10</v>
      </c>
      <c r="Z25" s="5">
        <v>0.95515356844550259</v>
      </c>
    </row>
    <row r="26" spans="2:26" x14ac:dyDescent="0.35">
      <c r="B26" s="6"/>
      <c r="C26" s="71">
        <f t="shared" si="2"/>
        <v>0</v>
      </c>
      <c r="D26" s="71">
        <f t="shared" si="1"/>
        <v>0</v>
      </c>
      <c r="E26" s="71">
        <f t="shared" si="1"/>
        <v>0</v>
      </c>
      <c r="F26" s="71">
        <f t="shared" si="1"/>
        <v>0</v>
      </c>
      <c r="G26" s="71">
        <f t="shared" si="1"/>
        <v>0</v>
      </c>
      <c r="H26" s="71">
        <f t="shared" si="1"/>
        <v>0</v>
      </c>
      <c r="I26" s="71">
        <f t="shared" si="1"/>
        <v>0</v>
      </c>
      <c r="J26" s="71">
        <f t="shared" si="1"/>
        <v>0</v>
      </c>
      <c r="K26" s="71">
        <f t="shared" si="1"/>
        <v>0</v>
      </c>
      <c r="L26" s="71">
        <f t="shared" si="1"/>
        <v>0</v>
      </c>
      <c r="M26" s="71">
        <f t="shared" si="1"/>
        <v>0.60367783173679701</v>
      </c>
      <c r="N26" s="71">
        <f t="shared" si="1"/>
        <v>0.63202175197782373</v>
      </c>
      <c r="O26" s="71">
        <f t="shared" si="1"/>
        <v>0.66169647777836282</v>
      </c>
      <c r="P26" s="71">
        <f t="shared" si="1"/>
        <v>0.69276449320632594</v>
      </c>
      <c r="Q26" s="71">
        <f t="shared" si="1"/>
        <v>0.72529121608558589</v>
      </c>
      <c r="R26" s="71">
        <f t="shared" si="1"/>
        <v>0.75934513574187401</v>
      </c>
      <c r="S26" s="71">
        <f t="shared" si="1"/>
        <v>0.7949979572161322</v>
      </c>
      <c r="T26" s="71">
        <f t="shared" si="1"/>
        <v>0.83232475224897973</v>
      </c>
      <c r="U26" s="7">
        <f t="shared" si="1"/>
        <v>0.87140411735421219</v>
      </c>
      <c r="Y26" s="5">
        <v>11</v>
      </c>
      <c r="Z26" s="5">
        <v>0.87140411735421219</v>
      </c>
    </row>
    <row r="27" spans="2:26" x14ac:dyDescent="0.35">
      <c r="B27" s="6"/>
      <c r="C27" s="71">
        <f t="shared" si="2"/>
        <v>0</v>
      </c>
      <c r="D27" s="71">
        <f t="shared" si="1"/>
        <v>0</v>
      </c>
      <c r="E27" s="71">
        <f t="shared" si="1"/>
        <v>0</v>
      </c>
      <c r="F27" s="71">
        <f t="shared" si="1"/>
        <v>0</v>
      </c>
      <c r="G27" s="71">
        <f t="shared" si="1"/>
        <v>0</v>
      </c>
      <c r="H27" s="71">
        <f t="shared" si="1"/>
        <v>0</v>
      </c>
      <c r="I27" s="71">
        <f t="shared" si="1"/>
        <v>0</v>
      </c>
      <c r="J27" s="71">
        <f t="shared" si="1"/>
        <v>0</v>
      </c>
      <c r="K27" s="71">
        <f t="shared" si="1"/>
        <v>0</v>
      </c>
      <c r="L27" s="71">
        <f t="shared" si="1"/>
        <v>0</v>
      </c>
      <c r="M27" s="71">
        <f t="shared" si="1"/>
        <v>0</v>
      </c>
      <c r="N27" s="71">
        <f t="shared" si="1"/>
        <v>0.57660503517484563</v>
      </c>
      <c r="O27" s="71">
        <f t="shared" si="1"/>
        <v>0.60367783173679701</v>
      </c>
      <c r="P27" s="71">
        <f t="shared" si="1"/>
        <v>0.63202175197782373</v>
      </c>
      <c r="Q27" s="71">
        <f t="shared" si="1"/>
        <v>0.66169647777836271</v>
      </c>
      <c r="R27" s="71">
        <f t="shared" si="1"/>
        <v>0.69276449320632583</v>
      </c>
      <c r="S27" s="71">
        <f t="shared" si="1"/>
        <v>0.72529121608558589</v>
      </c>
      <c r="T27" s="71">
        <f t="shared" si="1"/>
        <v>0.75934513574187401</v>
      </c>
      <c r="U27" s="7">
        <f t="shared" si="1"/>
        <v>0.7949979572161322</v>
      </c>
      <c r="Y27" s="5">
        <v>12</v>
      </c>
      <c r="Z27" s="5">
        <v>0.7949979572161322</v>
      </c>
    </row>
    <row r="28" spans="2:26" x14ac:dyDescent="0.35">
      <c r="B28" s="6"/>
      <c r="C28" s="71">
        <f t="shared" si="2"/>
        <v>0</v>
      </c>
      <c r="D28" s="71">
        <f t="shared" si="1"/>
        <v>0</v>
      </c>
      <c r="E28" s="71">
        <f t="shared" si="1"/>
        <v>0</v>
      </c>
      <c r="F28" s="71">
        <f t="shared" si="1"/>
        <v>0</v>
      </c>
      <c r="G28" s="71">
        <f t="shared" si="1"/>
        <v>0</v>
      </c>
      <c r="H28" s="71">
        <f t="shared" si="1"/>
        <v>0</v>
      </c>
      <c r="I28" s="71">
        <f t="shared" si="1"/>
        <v>0</v>
      </c>
      <c r="J28" s="71">
        <f t="shared" si="1"/>
        <v>0</v>
      </c>
      <c r="K28" s="71">
        <f t="shared" si="1"/>
        <v>0</v>
      </c>
      <c r="L28" s="71">
        <f t="shared" si="1"/>
        <v>0</v>
      </c>
      <c r="M28" s="71">
        <f t="shared" si="1"/>
        <v>0</v>
      </c>
      <c r="N28" s="71">
        <f t="shared" si="1"/>
        <v>0</v>
      </c>
      <c r="O28" s="71">
        <f t="shared" si="1"/>
        <v>0.55074635693089857</v>
      </c>
      <c r="P28" s="71">
        <f t="shared" si="1"/>
        <v>0.57660503517484563</v>
      </c>
      <c r="Q28" s="71">
        <f t="shared" si="1"/>
        <v>0.60367783173679701</v>
      </c>
      <c r="R28" s="71">
        <f t="shared" si="1"/>
        <v>0.63202175197782362</v>
      </c>
      <c r="S28" s="71">
        <f t="shared" si="1"/>
        <v>0.6616964777783626</v>
      </c>
      <c r="T28" s="71">
        <f t="shared" si="1"/>
        <v>0.69276449320632583</v>
      </c>
      <c r="U28" s="7">
        <f t="shared" si="1"/>
        <v>0.72529121608558589</v>
      </c>
      <c r="Y28" s="5">
        <v>13</v>
      </c>
      <c r="Z28" s="5">
        <v>0.72529121608558589</v>
      </c>
    </row>
    <row r="29" spans="2:26" x14ac:dyDescent="0.35">
      <c r="B29" s="6"/>
      <c r="C29" s="71">
        <f t="shared" si="2"/>
        <v>0</v>
      </c>
      <c r="D29" s="71">
        <f t="shared" si="1"/>
        <v>0</v>
      </c>
      <c r="E29" s="71">
        <f t="shared" si="1"/>
        <v>0</v>
      </c>
      <c r="F29" s="71">
        <f t="shared" si="1"/>
        <v>0</v>
      </c>
      <c r="G29" s="71">
        <f t="shared" si="1"/>
        <v>0</v>
      </c>
      <c r="H29" s="71">
        <f t="shared" si="1"/>
        <v>0</v>
      </c>
      <c r="I29" s="71">
        <f t="shared" si="1"/>
        <v>0</v>
      </c>
      <c r="J29" s="71">
        <f t="shared" si="1"/>
        <v>0</v>
      </c>
      <c r="K29" s="71">
        <f t="shared" si="1"/>
        <v>0</v>
      </c>
      <c r="L29" s="71">
        <f t="shared" si="1"/>
        <v>0</v>
      </c>
      <c r="M29" s="71">
        <f t="shared" si="1"/>
        <v>0</v>
      </c>
      <c r="N29" s="71">
        <f t="shared" si="1"/>
        <v>0</v>
      </c>
      <c r="O29" s="71">
        <f t="shared" si="1"/>
        <v>0</v>
      </c>
      <c r="P29" s="71">
        <f t="shared" si="1"/>
        <v>0.52604734813090848</v>
      </c>
      <c r="Q29" s="71">
        <f t="shared" si="1"/>
        <v>0.55074635693089857</v>
      </c>
      <c r="R29" s="71">
        <f t="shared" si="1"/>
        <v>0.57660503517484563</v>
      </c>
      <c r="S29" s="71">
        <f t="shared" si="1"/>
        <v>0.6036778317367969</v>
      </c>
      <c r="T29" s="71">
        <f t="shared" si="1"/>
        <v>0.63202175197782351</v>
      </c>
      <c r="U29" s="7">
        <f t="shared" si="1"/>
        <v>0.6616964777783626</v>
      </c>
      <c r="Y29" s="5">
        <v>14</v>
      </c>
      <c r="Z29" s="5">
        <v>0.6616964777783626</v>
      </c>
    </row>
    <row r="30" spans="2:26" x14ac:dyDescent="0.35">
      <c r="B30" s="6"/>
      <c r="C30" s="71">
        <f t="shared" si="2"/>
        <v>0</v>
      </c>
      <c r="D30" s="71">
        <f t="shared" si="1"/>
        <v>0</v>
      </c>
      <c r="E30" s="71">
        <f t="shared" si="1"/>
        <v>0</v>
      </c>
      <c r="F30" s="71">
        <f t="shared" si="1"/>
        <v>0</v>
      </c>
      <c r="G30" s="71">
        <f t="shared" ref="G30:U34" si="3">F29*$F$6</f>
        <v>0</v>
      </c>
      <c r="H30" s="71">
        <f t="shared" si="3"/>
        <v>0</v>
      </c>
      <c r="I30" s="71">
        <f t="shared" si="3"/>
        <v>0</v>
      </c>
      <c r="J30" s="71">
        <f t="shared" si="3"/>
        <v>0</v>
      </c>
      <c r="K30" s="71">
        <f t="shared" si="3"/>
        <v>0</v>
      </c>
      <c r="L30" s="71">
        <f t="shared" si="3"/>
        <v>0</v>
      </c>
      <c r="M30" s="71">
        <f t="shared" si="3"/>
        <v>0</v>
      </c>
      <c r="N30" s="71">
        <f t="shared" si="3"/>
        <v>0</v>
      </c>
      <c r="O30" s="71">
        <f t="shared" si="3"/>
        <v>0</v>
      </c>
      <c r="P30" s="71">
        <f t="shared" si="3"/>
        <v>0</v>
      </c>
      <c r="Q30" s="71">
        <f t="shared" si="3"/>
        <v>0.502456001738531</v>
      </c>
      <c r="R30" s="71">
        <f t="shared" si="3"/>
        <v>0.52604734813090848</v>
      </c>
      <c r="S30" s="71">
        <f t="shared" si="3"/>
        <v>0.55074635693089857</v>
      </c>
      <c r="T30" s="71">
        <f t="shared" si="3"/>
        <v>0.57660503517484551</v>
      </c>
      <c r="U30" s="7">
        <f t="shared" si="3"/>
        <v>0.60367783173679679</v>
      </c>
      <c r="Y30" s="5">
        <v>15</v>
      </c>
      <c r="Z30" s="5">
        <v>0.60367783173679679</v>
      </c>
    </row>
    <row r="31" spans="2:26" x14ac:dyDescent="0.35">
      <c r="B31" s="6"/>
      <c r="C31" s="71">
        <f t="shared" si="2"/>
        <v>0</v>
      </c>
      <c r="D31" s="71">
        <f t="shared" si="2"/>
        <v>0</v>
      </c>
      <c r="E31" s="71">
        <f t="shared" si="2"/>
        <v>0</v>
      </c>
      <c r="F31" s="71">
        <f t="shared" si="2"/>
        <v>0</v>
      </c>
      <c r="G31" s="71">
        <f t="shared" si="2"/>
        <v>0</v>
      </c>
      <c r="H31" s="71">
        <f t="shared" si="2"/>
        <v>0</v>
      </c>
      <c r="I31" s="71">
        <f t="shared" si="2"/>
        <v>0</v>
      </c>
      <c r="J31" s="71">
        <f t="shared" si="2"/>
        <v>0</v>
      </c>
      <c r="K31" s="71">
        <f t="shared" si="2"/>
        <v>0</v>
      </c>
      <c r="L31" s="71">
        <f t="shared" si="2"/>
        <v>0</v>
      </c>
      <c r="M31" s="71">
        <f t="shared" si="2"/>
        <v>0</v>
      </c>
      <c r="N31" s="71">
        <f t="shared" si="2"/>
        <v>0</v>
      </c>
      <c r="O31" s="71">
        <f t="shared" si="2"/>
        <v>0</v>
      </c>
      <c r="P31" s="71">
        <f t="shared" si="2"/>
        <v>0</v>
      </c>
      <c r="Q31" s="71">
        <f t="shared" si="2"/>
        <v>0</v>
      </c>
      <c r="R31" s="71">
        <f t="shared" si="2"/>
        <v>0.47992264304741777</v>
      </c>
      <c r="S31" s="71">
        <f t="shared" si="3"/>
        <v>0.502456001738531</v>
      </c>
      <c r="T31" s="71">
        <f t="shared" si="3"/>
        <v>0.52604734813090848</v>
      </c>
      <c r="U31" s="7">
        <f t="shared" si="3"/>
        <v>0.55074635693089846</v>
      </c>
      <c r="Y31" s="5">
        <v>16</v>
      </c>
      <c r="Z31" s="5">
        <v>0.55074635693089846</v>
      </c>
    </row>
    <row r="32" spans="2:26" x14ac:dyDescent="0.35">
      <c r="B32" s="6"/>
      <c r="C32" s="71">
        <f t="shared" si="2"/>
        <v>0</v>
      </c>
      <c r="D32" s="71">
        <f t="shared" si="2"/>
        <v>0</v>
      </c>
      <c r="E32" s="71">
        <f t="shared" si="2"/>
        <v>0</v>
      </c>
      <c r="F32" s="71">
        <f t="shared" si="2"/>
        <v>0</v>
      </c>
      <c r="G32" s="71">
        <f t="shared" si="2"/>
        <v>0</v>
      </c>
      <c r="H32" s="71">
        <f t="shared" si="2"/>
        <v>0</v>
      </c>
      <c r="I32" s="71">
        <f t="shared" si="2"/>
        <v>0</v>
      </c>
      <c r="J32" s="71">
        <f t="shared" si="2"/>
        <v>0</v>
      </c>
      <c r="K32" s="71">
        <f t="shared" si="2"/>
        <v>0</v>
      </c>
      <c r="L32" s="71">
        <f t="shared" si="2"/>
        <v>0</v>
      </c>
      <c r="M32" s="71">
        <f t="shared" si="2"/>
        <v>0</v>
      </c>
      <c r="N32" s="71">
        <f t="shared" si="2"/>
        <v>0</v>
      </c>
      <c r="O32" s="71">
        <f t="shared" si="2"/>
        <v>0</v>
      </c>
      <c r="P32" s="71">
        <f t="shared" si="2"/>
        <v>0</v>
      </c>
      <c r="Q32" s="71">
        <f t="shared" si="2"/>
        <v>0</v>
      </c>
      <c r="R32" s="71">
        <f t="shared" si="2"/>
        <v>0</v>
      </c>
      <c r="S32" s="71">
        <f t="shared" si="3"/>
        <v>0.45839982508453847</v>
      </c>
      <c r="T32" s="71">
        <f t="shared" si="3"/>
        <v>0.47992264304741777</v>
      </c>
      <c r="U32" s="7">
        <f t="shared" si="3"/>
        <v>0.502456001738531</v>
      </c>
      <c r="Y32" s="5">
        <v>17</v>
      </c>
      <c r="Z32" s="5">
        <v>0.502456001738531</v>
      </c>
    </row>
    <row r="33" spans="2:62" x14ac:dyDescent="0.35">
      <c r="B33" s="6"/>
      <c r="C33" s="71">
        <f t="shared" si="2"/>
        <v>0</v>
      </c>
      <c r="D33" s="71">
        <f t="shared" si="2"/>
        <v>0</v>
      </c>
      <c r="E33" s="71">
        <f t="shared" si="2"/>
        <v>0</v>
      </c>
      <c r="F33" s="71">
        <f t="shared" si="2"/>
        <v>0</v>
      </c>
      <c r="G33" s="71">
        <f t="shared" si="2"/>
        <v>0</v>
      </c>
      <c r="H33" s="71">
        <f t="shared" si="2"/>
        <v>0</v>
      </c>
      <c r="I33" s="71">
        <f t="shared" si="2"/>
        <v>0</v>
      </c>
      <c r="J33" s="71">
        <f t="shared" si="2"/>
        <v>0</v>
      </c>
      <c r="K33" s="71">
        <f t="shared" si="2"/>
        <v>0</v>
      </c>
      <c r="L33" s="71">
        <f t="shared" si="2"/>
        <v>0</v>
      </c>
      <c r="M33" s="71">
        <f t="shared" si="2"/>
        <v>0</v>
      </c>
      <c r="N33" s="71">
        <f t="shared" si="2"/>
        <v>0</v>
      </c>
      <c r="O33" s="71">
        <f t="shared" si="2"/>
        <v>0</v>
      </c>
      <c r="P33" s="71">
        <f t="shared" si="2"/>
        <v>0</v>
      </c>
      <c r="Q33" s="71">
        <f t="shared" si="2"/>
        <v>0</v>
      </c>
      <c r="R33" s="71">
        <f t="shared" si="2"/>
        <v>0</v>
      </c>
      <c r="S33" s="71">
        <f t="shared" si="3"/>
        <v>0</v>
      </c>
      <c r="T33" s="71">
        <f t="shared" si="3"/>
        <v>0.43784222870429135</v>
      </c>
      <c r="U33" s="7">
        <f t="shared" si="3"/>
        <v>0.45839982508453847</v>
      </c>
      <c r="Y33" s="5">
        <v>18</v>
      </c>
      <c r="Z33" s="5">
        <v>0.45839982508453847</v>
      </c>
    </row>
    <row r="34" spans="2:62" ht="18.600000000000001" thickBot="1" x14ac:dyDescent="0.4">
      <c r="B34" s="13"/>
      <c r="C34" s="71">
        <f t="shared" si="2"/>
        <v>0</v>
      </c>
      <c r="D34" s="71">
        <f t="shared" si="2"/>
        <v>0</v>
      </c>
      <c r="E34" s="71">
        <f t="shared" si="2"/>
        <v>0</v>
      </c>
      <c r="F34" s="71">
        <f t="shared" si="2"/>
        <v>0</v>
      </c>
      <c r="G34" s="71">
        <f t="shared" si="2"/>
        <v>0</v>
      </c>
      <c r="H34" s="71">
        <f t="shared" si="2"/>
        <v>0</v>
      </c>
      <c r="I34" s="71">
        <f t="shared" si="2"/>
        <v>0</v>
      </c>
      <c r="J34" s="71">
        <f t="shared" si="2"/>
        <v>0</v>
      </c>
      <c r="K34" s="71">
        <f t="shared" si="2"/>
        <v>0</v>
      </c>
      <c r="L34" s="71">
        <f t="shared" si="2"/>
        <v>0</v>
      </c>
      <c r="M34" s="71">
        <f t="shared" si="2"/>
        <v>0</v>
      </c>
      <c r="N34" s="71">
        <f t="shared" si="2"/>
        <v>0</v>
      </c>
      <c r="O34" s="71">
        <f t="shared" si="2"/>
        <v>0</v>
      </c>
      <c r="P34" s="71">
        <f t="shared" si="2"/>
        <v>0</v>
      </c>
      <c r="Q34" s="71">
        <f t="shared" si="2"/>
        <v>0</v>
      </c>
      <c r="R34" s="71">
        <f t="shared" si="2"/>
        <v>0</v>
      </c>
      <c r="S34" s="71">
        <f t="shared" si="3"/>
        <v>0</v>
      </c>
      <c r="T34" s="71">
        <f t="shared" si="3"/>
        <v>0</v>
      </c>
      <c r="U34" s="7">
        <f t="shared" si="3"/>
        <v>0.41820656716303595</v>
      </c>
      <c r="Y34" s="5">
        <v>19</v>
      </c>
      <c r="Z34" s="5">
        <v>0.41820656716303595</v>
      </c>
    </row>
    <row r="35" spans="2:62" ht="18.600000000000001" thickBot="1" x14ac:dyDescent="0.4"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/>
    </row>
    <row r="36" spans="2:62" ht="18.600000000000001" thickBot="1" x14ac:dyDescent="0.4">
      <c r="B36" s="57" t="s">
        <v>44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9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</row>
    <row r="37" spans="2:62" ht="18.600000000000001" thickBot="1" x14ac:dyDescent="0.4">
      <c r="B37" s="41">
        <v>19</v>
      </c>
      <c r="C37" s="45">
        <v>18</v>
      </c>
      <c r="D37" s="45">
        <v>17</v>
      </c>
      <c r="E37" s="45">
        <v>16</v>
      </c>
      <c r="F37" s="45">
        <v>15</v>
      </c>
      <c r="G37" s="45">
        <v>14</v>
      </c>
      <c r="H37" s="45">
        <v>13</v>
      </c>
      <c r="I37" s="45">
        <v>12</v>
      </c>
      <c r="J37" s="45">
        <v>11</v>
      </c>
      <c r="K37" s="45">
        <v>10</v>
      </c>
      <c r="L37" s="45">
        <v>9</v>
      </c>
      <c r="M37" s="45">
        <v>8</v>
      </c>
      <c r="N37" s="45">
        <v>7</v>
      </c>
      <c r="O37" s="45">
        <v>6</v>
      </c>
      <c r="P37" s="45">
        <v>5</v>
      </c>
      <c r="Q37" s="45">
        <v>4</v>
      </c>
      <c r="R37" s="45">
        <v>3</v>
      </c>
      <c r="S37" s="45">
        <v>2</v>
      </c>
      <c r="T37" s="45">
        <v>1</v>
      </c>
      <c r="U37" s="46">
        <v>0</v>
      </c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</row>
    <row r="38" spans="2:62" ht="18.600000000000001" thickBot="1" x14ac:dyDescent="0.4">
      <c r="B38" s="47">
        <f>MAX(U15-$C$10,0)</f>
        <v>1.1911628331990156</v>
      </c>
      <c r="C38" s="48">
        <f t="shared" ref="C38:C56" si="4">$K$7*($K$5*B38+$K$6*B39)</f>
        <v>1.0845591256358362</v>
      </c>
      <c r="D38" s="48">
        <f t="shared" ref="D38:U38" si="5">$K$7*($K$5*C38+$K$6*C39)</f>
        <v>0.98276419832191275</v>
      </c>
      <c r="E38" s="48">
        <f t="shared" si="5"/>
        <v>0.8855623798981932</v>
      </c>
      <c r="F38" s="48">
        <f t="shared" si="5"/>
        <v>0.79274767110421573</v>
      </c>
      <c r="G38" s="48">
        <f t="shared" si="5"/>
        <v>0.70412331101899639</v>
      </c>
      <c r="H38" s="48">
        <f t="shared" si="5"/>
        <v>0.61950136275446688</v>
      </c>
      <c r="I38" s="48">
        <f t="shared" si="5"/>
        <v>0.53870231772908173</v>
      </c>
      <c r="J38" s="48">
        <f t="shared" si="5"/>
        <v>0.4617781269996708</v>
      </c>
      <c r="K38" s="48">
        <f t="shared" si="5"/>
        <v>0.38921774553241745</v>
      </c>
      <c r="L38" s="48">
        <f t="shared" si="5"/>
        <v>0.32191470773210684</v>
      </c>
      <c r="M38" s="48">
        <f t="shared" si="5"/>
        <v>0.2609176509664824</v>
      </c>
      <c r="N38" s="48">
        <f t="shared" si="5"/>
        <v>0.20711979886919779</v>
      </c>
      <c r="O38" s="48">
        <f t="shared" si="5"/>
        <v>0.16102829333894481</v>
      </c>
      <c r="P38" s="48">
        <f t="shared" si="5"/>
        <v>0.12267316085564106</v>
      </c>
      <c r="Q38" s="48">
        <f t="shared" si="5"/>
        <v>9.1643156713190344E-2</v>
      </c>
      <c r="R38" s="48">
        <f t="shared" si="5"/>
        <v>6.719987822433135E-2</v>
      </c>
      <c r="S38" s="48">
        <f t="shared" si="5"/>
        <v>4.8418198875636406E-2</v>
      </c>
      <c r="T38" s="48">
        <f t="shared" si="5"/>
        <v>3.4315130744461853E-2</v>
      </c>
      <c r="U38" s="53">
        <f t="shared" si="5"/>
        <v>2.3947393865297845E-2</v>
      </c>
    </row>
    <row r="39" spans="2:62" ht="18.600000000000001" thickBot="1" x14ac:dyDescent="0.4">
      <c r="B39" s="47">
        <f t="shared" ref="B39:B57" si="6">MAX(U16-$C$10,0)</f>
        <v>0.98150170501391121</v>
      </c>
      <c r="C39" s="48">
        <f t="shared" si="4"/>
        <v>0.88430055088552406</v>
      </c>
      <c r="D39" s="48">
        <f t="shared" ref="D39:T39" si="7">$K$7*($K$5*C39+$K$6*C40)</f>
        <v>0.79148650603734161</v>
      </c>
      <c r="E39" s="48">
        <f t="shared" si="7"/>
        <v>0.70286280954856428</v>
      </c>
      <c r="F39" s="48">
        <f t="shared" si="7"/>
        <v>0.61824152453130721</v>
      </c>
      <c r="G39" s="48">
        <f t="shared" si="7"/>
        <v>0.53744314240420876</v>
      </c>
      <c r="H39" s="48">
        <f t="shared" si="7"/>
        <v>0.46029620491295431</v>
      </c>
      <c r="I39" s="48">
        <f t="shared" si="7"/>
        <v>0.38707892836937313</v>
      </c>
      <c r="J39" s="48">
        <f t="shared" si="7"/>
        <v>0.31870787135501122</v>
      </c>
      <c r="K39" s="48">
        <f t="shared" si="7"/>
        <v>0.25647290381580817</v>
      </c>
      <c r="L39" s="48">
        <f t="shared" si="7"/>
        <v>0.20157534064641358</v>
      </c>
      <c r="M39" s="48">
        <f t="shared" si="7"/>
        <v>0.15475744565036362</v>
      </c>
      <c r="N39" s="48">
        <f t="shared" si="7"/>
        <v>0.1161495615076078</v>
      </c>
      <c r="O39" s="48">
        <f t="shared" si="7"/>
        <v>8.5315449366438909E-2</v>
      </c>
      <c r="P39" s="48">
        <f t="shared" si="7"/>
        <v>6.1412171285495872E-2</v>
      </c>
      <c r="Q39" s="48">
        <f t="shared" si="7"/>
        <v>4.3380816411200764E-2</v>
      </c>
      <c r="R39" s="48">
        <f t="shared" si="7"/>
        <v>3.0112805430100437E-2</v>
      </c>
      <c r="S39" s="48">
        <f t="shared" si="7"/>
        <v>2.0567577784751021E-2</v>
      </c>
      <c r="T39" s="48">
        <f t="shared" si="7"/>
        <v>1.3839679141904166E-2</v>
      </c>
      <c r="U39" s="48"/>
    </row>
    <row r="40" spans="2:62" ht="18.600000000000001" thickBot="1" x14ac:dyDescent="0.4">
      <c r="B40" s="47">
        <f t="shared" si="6"/>
        <v>0.79022401272934029</v>
      </c>
      <c r="C40" s="48">
        <f t="shared" si="4"/>
        <v>0.70160098053589504</v>
      </c>
      <c r="D40" s="48">
        <f t="shared" ref="D40:S40" si="8">$K$7*($K$5*C40+$K$6*C41)</f>
        <v>0.61698035946443319</v>
      </c>
      <c r="E40" s="48">
        <f t="shared" si="8"/>
        <v>0.53618264093377666</v>
      </c>
      <c r="F40" s="48">
        <f t="shared" si="8"/>
        <v>0.45903636668979464</v>
      </c>
      <c r="G40" s="48">
        <f t="shared" si="8"/>
        <v>0.38537776777695848</v>
      </c>
      <c r="H40" s="48">
        <f t="shared" si="8"/>
        <v>0.31592482809294664</v>
      </c>
      <c r="I40" s="48">
        <f t="shared" si="8"/>
        <v>0.2522189278701083</v>
      </c>
      <c r="J40" s="48">
        <f t="shared" si="8"/>
        <v>0.19591612611434364</v>
      </c>
      <c r="K40" s="48">
        <f t="shared" si="8"/>
        <v>0.14813244123302904</v>
      </c>
      <c r="L40" s="48">
        <f t="shared" si="8"/>
        <v>0.10916226782649703</v>
      </c>
      <c r="M40" s="48">
        <f t="shared" si="8"/>
        <v>7.8538038751213124E-2</v>
      </c>
      <c r="N40" s="48">
        <f t="shared" si="8"/>
        <v>5.5269327031064665E-2</v>
      </c>
      <c r="O40" s="48">
        <f t="shared" si="8"/>
        <v>3.8114840266083097E-2</v>
      </c>
      <c r="P40" s="48">
        <f t="shared" si="8"/>
        <v>2.5803489688630315E-2</v>
      </c>
      <c r="Q40" s="48">
        <f t="shared" si="8"/>
        <v>1.7176999783576442E-2</v>
      </c>
      <c r="R40" s="48">
        <f t="shared" si="8"/>
        <v>1.1260203196830869E-2</v>
      </c>
      <c r="S40" s="48">
        <f t="shared" si="8"/>
        <v>7.2787456664956908E-3</v>
      </c>
      <c r="T40" s="48"/>
      <c r="U40" s="48"/>
    </row>
    <row r="41" spans="2:62" ht="18.600000000000001" thickBot="1" x14ac:dyDescent="0.4">
      <c r="B41" s="47">
        <f t="shared" si="6"/>
        <v>0.61571786615643176</v>
      </c>
      <c r="C41" s="48">
        <f t="shared" si="4"/>
        <v>0.53492081192110752</v>
      </c>
      <c r="D41" s="48">
        <f t="shared" ref="D41:R41" si="9">$K$7*($K$5*C41+$K$6*C42)</f>
        <v>0.45777520162292062</v>
      </c>
      <c r="E41" s="48">
        <f t="shared" si="9"/>
        <v>0.38411726630652637</v>
      </c>
      <c r="F41" s="48">
        <f t="shared" si="9"/>
        <v>0.31379058147757433</v>
      </c>
      <c r="G41" s="48">
        <f t="shared" si="9"/>
        <v>0.24837563710097352</v>
      </c>
      <c r="H41" s="48">
        <f t="shared" si="9"/>
        <v>0.19022014335269938</v>
      </c>
      <c r="I41" s="48">
        <f t="shared" si="9"/>
        <v>0.14109396152316198</v>
      </c>
      <c r="J41" s="48">
        <f t="shared" si="9"/>
        <v>0.10158647685437262</v>
      </c>
      <c r="K41" s="48">
        <f t="shared" si="9"/>
        <v>7.1189397326117523E-2</v>
      </c>
      <c r="L41" s="48">
        <f t="shared" si="9"/>
        <v>4.8689985190312812E-2</v>
      </c>
      <c r="M41" s="48">
        <f t="shared" si="9"/>
        <v>3.2585778740374244E-2</v>
      </c>
      <c r="N41" s="48">
        <f t="shared" si="9"/>
        <v>2.1389016501860716E-2</v>
      </c>
      <c r="O41" s="48">
        <f t="shared" si="9"/>
        <v>1.3798165820413129E-2</v>
      </c>
      <c r="P41" s="48">
        <f t="shared" si="9"/>
        <v>8.7640006053098518E-3</v>
      </c>
      <c r="Q41" s="48">
        <f t="shared" si="9"/>
        <v>5.4892944735236253E-3</v>
      </c>
      <c r="R41" s="48">
        <f t="shared" si="9"/>
        <v>3.3951466378249824E-3</v>
      </c>
      <c r="S41" s="48"/>
      <c r="T41" s="48"/>
      <c r="U41" s="48"/>
    </row>
    <row r="42" spans="2:62" ht="18.600000000000001" thickBot="1" x14ac:dyDescent="0.4">
      <c r="B42" s="47">
        <f t="shared" si="6"/>
        <v>0.45651270831491919</v>
      </c>
      <c r="C42" s="48">
        <f t="shared" si="4"/>
        <v>0.38285543729385718</v>
      </c>
      <c r="D42" s="48">
        <f t="shared" ref="D42:Q42" si="10">$K$7*($K$5*C42+$K$6*C43)</f>
        <v>0.31252941641070026</v>
      </c>
      <c r="E42" s="48">
        <f t="shared" si="10"/>
        <v>0.24538523625940498</v>
      </c>
      <c r="F42" s="48">
        <f t="shared" si="10"/>
        <v>0.18470256110538946</v>
      </c>
      <c r="G42" s="48">
        <f t="shared" si="10"/>
        <v>0.13358136813241989</v>
      </c>
      <c r="H42" s="48">
        <f t="shared" si="10"/>
        <v>9.3228615131788706E-2</v>
      </c>
      <c r="I42" s="48">
        <f t="shared" si="10"/>
        <v>6.3080592714145359E-2</v>
      </c>
      <c r="J42" s="48">
        <f t="shared" si="10"/>
        <v>4.1555692860030378E-2</v>
      </c>
      <c r="K42" s="48">
        <f t="shared" si="10"/>
        <v>2.6751443327408562E-2</v>
      </c>
      <c r="L42" s="48">
        <f t="shared" si="10"/>
        <v>1.6880664067582724E-2</v>
      </c>
      <c r="M42" s="48">
        <f t="shared" si="10"/>
        <v>1.0468411786566479E-2</v>
      </c>
      <c r="N42" s="48">
        <f t="shared" si="10"/>
        <v>6.3938049607842971E-3</v>
      </c>
      <c r="O42" s="48">
        <f t="shared" si="10"/>
        <v>3.8531106718318621E-3</v>
      </c>
      <c r="P42" s="48">
        <f t="shared" si="10"/>
        <v>2.2945581355610055E-3</v>
      </c>
      <c r="Q42" s="48">
        <f t="shared" si="10"/>
        <v>1.3520188996516559E-3</v>
      </c>
      <c r="R42" s="48"/>
      <c r="S42" s="48"/>
      <c r="T42" s="48"/>
      <c r="U42" s="48"/>
    </row>
    <row r="43" spans="2:62" ht="18.600000000000001" thickBot="1" x14ac:dyDescent="0.4">
      <c r="B43" s="47">
        <f t="shared" si="6"/>
        <v>0.31126692310269899</v>
      </c>
      <c r="C43" s="48">
        <f t="shared" si="4"/>
        <v>0.24412340724673592</v>
      </c>
      <c r="D43" s="48">
        <f t="shared" ref="D43:P43" si="11">$K$7*($K$5*C43+$K$6*C44)</f>
        <v>0.18001902285350357</v>
      </c>
      <c r="E43" s="48">
        <f t="shared" si="11"/>
        <v>0.12558816593691813</v>
      </c>
      <c r="F43" s="48">
        <f t="shared" si="11"/>
        <v>8.3758428079844169E-2</v>
      </c>
      <c r="G43" s="48">
        <f t="shared" si="11"/>
        <v>5.3887929249527719E-2</v>
      </c>
      <c r="H43" s="48">
        <f t="shared" si="11"/>
        <v>3.3681856833657743E-2</v>
      </c>
      <c r="I43" s="48">
        <f t="shared" si="11"/>
        <v>2.0562139134458392E-2</v>
      </c>
      <c r="J43" s="48">
        <f t="shared" si="11"/>
        <v>1.2310735025374142E-2</v>
      </c>
      <c r="K43" s="48">
        <f t="shared" si="11"/>
        <v>7.2512819403296293E-3</v>
      </c>
      <c r="L43" s="48">
        <f t="shared" si="11"/>
        <v>4.2124578424378141E-3</v>
      </c>
      <c r="M43" s="48">
        <f t="shared" si="11"/>
        <v>2.418247645841495E-3</v>
      </c>
      <c r="N43" s="48">
        <f t="shared" si="11"/>
        <v>1.3740388715834462E-3</v>
      </c>
      <c r="O43" s="48">
        <f t="shared" si="11"/>
        <v>7.737351251182813E-4</v>
      </c>
      <c r="P43" s="48">
        <f t="shared" si="11"/>
        <v>4.3225962423713919E-4</v>
      </c>
      <c r="Q43" s="48"/>
      <c r="R43" s="48"/>
      <c r="S43" s="48"/>
      <c r="T43" s="48"/>
      <c r="U43" s="48"/>
    </row>
    <row r="44" spans="2:62" ht="18.600000000000001" thickBot="1" x14ac:dyDescent="0.4">
      <c r="B44" s="47">
        <f t="shared" si="6"/>
        <v>0.17875652954550225</v>
      </c>
      <c r="C44" s="48">
        <f t="shared" si="4"/>
        <v>0.11755563198446141</v>
      </c>
      <c r="D44" s="48">
        <f t="shared" ref="D44:O44" si="12">$K$7*($K$5*C44+$K$6*C45)</f>
        <v>7.25222895320696E-2</v>
      </c>
      <c r="E44" s="48">
        <f t="shared" si="12"/>
        <v>4.2964390520270741E-2</v>
      </c>
      <c r="F44" s="48">
        <f t="shared" si="12"/>
        <v>2.475085467411867E-2</v>
      </c>
      <c r="G44" s="48">
        <f t="shared" si="12"/>
        <v>1.3969029040246375E-2</v>
      </c>
      <c r="H44" s="48">
        <f t="shared" si="12"/>
        <v>7.7613221787442878E-3</v>
      </c>
      <c r="I44" s="48">
        <f t="shared" si="12"/>
        <v>4.2592507446923503E-3</v>
      </c>
      <c r="J44" s="48">
        <f t="shared" si="12"/>
        <v>2.3141028556998428E-3</v>
      </c>
      <c r="K44" s="48">
        <f t="shared" si="12"/>
        <v>1.2469256454892799E-3</v>
      </c>
      <c r="L44" s="48">
        <f t="shared" si="12"/>
        <v>6.6723938743491024E-4</v>
      </c>
      <c r="M44" s="48">
        <f t="shared" si="12"/>
        <v>3.5493838754186357E-4</v>
      </c>
      <c r="N44" s="48">
        <f t="shared" si="12"/>
        <v>1.8784900181683691E-4</v>
      </c>
      <c r="O44" s="48">
        <f t="shared" si="12"/>
        <v>9.8977220657949023E-5</v>
      </c>
      <c r="P44" s="48"/>
      <c r="Q44" s="48"/>
      <c r="R44" s="48"/>
      <c r="S44" s="48"/>
      <c r="T44" s="48"/>
      <c r="U44" s="48"/>
    </row>
    <row r="45" spans="2:62" ht="18.600000000000001" thickBot="1" x14ac:dyDescent="0.4">
      <c r="B45" s="47">
        <f t="shared" si="6"/>
        <v>5.7864867353532246E-2</v>
      </c>
      <c r="C45" s="48">
        <f t="shared" si="4"/>
        <v>2.8585594217052604E-2</v>
      </c>
      <c r="D45" s="48">
        <f t="shared" ref="D45:N45" si="13">$K$7*($K$5*C45+$K$6*C46)</f>
        <v>1.4121456319075288E-2</v>
      </c>
      <c r="E45" s="48">
        <f t="shared" si="13"/>
        <v>6.97608477393802E-3</v>
      </c>
      <c r="F45" s="48">
        <f t="shared" si="13"/>
        <v>3.4462280428847894E-3</v>
      </c>
      <c r="G45" s="48">
        <f t="shared" si="13"/>
        <v>1.7024574827322826E-3</v>
      </c>
      <c r="H45" s="48">
        <f t="shared" si="13"/>
        <v>8.4102428639195985E-4</v>
      </c>
      <c r="I45" s="48">
        <f t="shared" si="13"/>
        <v>4.1547108076139491E-4</v>
      </c>
      <c r="J45" s="48">
        <f t="shared" si="13"/>
        <v>2.0524522506903405E-4</v>
      </c>
      <c r="K45" s="48">
        <f t="shared" si="13"/>
        <v>1.013923817186958E-4</v>
      </c>
      <c r="L45" s="48">
        <f t="shared" si="13"/>
        <v>5.0088449400622644E-5</v>
      </c>
      <c r="M45" s="48">
        <f t="shared" si="13"/>
        <v>2.4743996746415572E-5</v>
      </c>
      <c r="N45" s="48">
        <f t="shared" si="13"/>
        <v>1.2223683949358061E-5</v>
      </c>
      <c r="O45" s="48"/>
      <c r="P45" s="48"/>
      <c r="Q45" s="48"/>
      <c r="R45" s="48"/>
      <c r="S45" s="48"/>
      <c r="T45" s="48"/>
      <c r="U45" s="48"/>
    </row>
    <row r="46" spans="2:62" ht="18.600000000000001" thickBot="1" x14ac:dyDescent="0.4">
      <c r="B46" s="47">
        <f t="shared" si="6"/>
        <v>0</v>
      </c>
      <c r="C46" s="48">
        <f t="shared" si="4"/>
        <v>0</v>
      </c>
      <c r="D46" s="48">
        <f t="shared" ref="D46:M46" si="14">$K$7*($K$5*C46+$K$6*C47)</f>
        <v>0</v>
      </c>
      <c r="E46" s="48">
        <f t="shared" si="14"/>
        <v>0</v>
      </c>
      <c r="F46" s="48">
        <f t="shared" si="14"/>
        <v>0</v>
      </c>
      <c r="G46" s="48">
        <f t="shared" si="14"/>
        <v>0</v>
      </c>
      <c r="H46" s="48">
        <f t="shared" si="14"/>
        <v>0</v>
      </c>
      <c r="I46" s="48">
        <f t="shared" si="14"/>
        <v>0</v>
      </c>
      <c r="J46" s="48">
        <f t="shared" si="14"/>
        <v>0</v>
      </c>
      <c r="K46" s="48">
        <f t="shared" si="14"/>
        <v>0</v>
      </c>
      <c r="L46" s="48">
        <f t="shared" si="14"/>
        <v>0</v>
      </c>
      <c r="M46" s="48">
        <f t="shared" si="14"/>
        <v>0</v>
      </c>
      <c r="N46" s="48"/>
      <c r="O46" s="48"/>
      <c r="P46" s="48"/>
      <c r="Q46" s="48"/>
      <c r="R46" s="48"/>
      <c r="S46" s="48"/>
      <c r="T46" s="48"/>
      <c r="U46" s="48"/>
    </row>
    <row r="47" spans="2:62" ht="18.600000000000001" thickBot="1" x14ac:dyDescent="0.4">
      <c r="B47" s="47">
        <f t="shared" si="6"/>
        <v>0</v>
      </c>
      <c r="C47" s="48">
        <f t="shared" si="4"/>
        <v>0</v>
      </c>
      <c r="D47" s="48">
        <f t="shared" ref="D47:L47" si="15">$K$7*($K$5*C47+$K$6*C48)</f>
        <v>0</v>
      </c>
      <c r="E47" s="48">
        <f t="shared" si="15"/>
        <v>0</v>
      </c>
      <c r="F47" s="48">
        <f t="shared" si="15"/>
        <v>0</v>
      </c>
      <c r="G47" s="48">
        <f t="shared" si="15"/>
        <v>0</v>
      </c>
      <c r="H47" s="48">
        <f t="shared" si="15"/>
        <v>0</v>
      </c>
      <c r="I47" s="48">
        <f t="shared" si="15"/>
        <v>0</v>
      </c>
      <c r="J47" s="48">
        <f t="shared" si="15"/>
        <v>0</v>
      </c>
      <c r="K47" s="48">
        <f t="shared" si="15"/>
        <v>0</v>
      </c>
      <c r="L47" s="48">
        <f t="shared" si="15"/>
        <v>0</v>
      </c>
      <c r="M47" s="48"/>
      <c r="N47" s="48"/>
      <c r="O47" s="48"/>
      <c r="P47" s="48"/>
      <c r="Q47" s="48"/>
      <c r="R47" s="48"/>
      <c r="S47" s="48"/>
      <c r="T47" s="48"/>
      <c r="U47" s="48"/>
    </row>
    <row r="48" spans="2:62" ht="18.600000000000001" thickBot="1" x14ac:dyDescent="0.4">
      <c r="B48" s="47">
        <f t="shared" si="6"/>
        <v>0</v>
      </c>
      <c r="C48" s="48">
        <f t="shared" si="4"/>
        <v>0</v>
      </c>
      <c r="D48" s="48">
        <f t="shared" ref="D48:K48" si="16">$K$7*($K$5*C48+$K$6*C49)</f>
        <v>0</v>
      </c>
      <c r="E48" s="48">
        <f t="shared" si="16"/>
        <v>0</v>
      </c>
      <c r="F48" s="48">
        <f t="shared" si="16"/>
        <v>0</v>
      </c>
      <c r="G48" s="48">
        <f t="shared" si="16"/>
        <v>0</v>
      </c>
      <c r="H48" s="48">
        <f t="shared" si="16"/>
        <v>0</v>
      </c>
      <c r="I48" s="48">
        <f t="shared" si="16"/>
        <v>0</v>
      </c>
      <c r="J48" s="48">
        <f t="shared" si="16"/>
        <v>0</v>
      </c>
      <c r="K48" s="48">
        <f t="shared" si="16"/>
        <v>0</v>
      </c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2:62" ht="18.600000000000001" thickBot="1" x14ac:dyDescent="0.4">
      <c r="B49" s="47">
        <f t="shared" si="6"/>
        <v>0</v>
      </c>
      <c r="C49" s="48">
        <f t="shared" si="4"/>
        <v>0</v>
      </c>
      <c r="D49" s="48">
        <f t="shared" ref="D49:J49" si="17">$K$7*($K$5*C49+$K$6*C50)</f>
        <v>0</v>
      </c>
      <c r="E49" s="48">
        <f t="shared" si="17"/>
        <v>0</v>
      </c>
      <c r="F49" s="48">
        <f t="shared" si="17"/>
        <v>0</v>
      </c>
      <c r="G49" s="48">
        <f t="shared" si="17"/>
        <v>0</v>
      </c>
      <c r="H49" s="48">
        <f t="shared" si="17"/>
        <v>0</v>
      </c>
      <c r="I49" s="48">
        <f t="shared" si="17"/>
        <v>0</v>
      </c>
      <c r="J49" s="48">
        <f t="shared" si="17"/>
        <v>0</v>
      </c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</row>
    <row r="50" spans="2:62" ht="18.600000000000001" thickBot="1" x14ac:dyDescent="0.4">
      <c r="B50" s="47">
        <f t="shared" si="6"/>
        <v>0</v>
      </c>
      <c r="C50" s="48">
        <f t="shared" si="4"/>
        <v>0</v>
      </c>
      <c r="D50" s="48">
        <f t="shared" ref="D50:I50" si="18">$K$7*($K$5*C50+$K$6*C51)</f>
        <v>0</v>
      </c>
      <c r="E50" s="48">
        <f t="shared" si="18"/>
        <v>0</v>
      </c>
      <c r="F50" s="48">
        <f t="shared" si="18"/>
        <v>0</v>
      </c>
      <c r="G50" s="48">
        <f t="shared" si="18"/>
        <v>0</v>
      </c>
      <c r="H50" s="48">
        <f t="shared" si="18"/>
        <v>0</v>
      </c>
      <c r="I50" s="48">
        <f t="shared" si="18"/>
        <v>0</v>
      </c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2:62" ht="18.600000000000001" thickBot="1" x14ac:dyDescent="0.4">
      <c r="B51" s="47">
        <f t="shared" si="6"/>
        <v>0</v>
      </c>
      <c r="C51" s="48">
        <f t="shared" si="4"/>
        <v>0</v>
      </c>
      <c r="D51" s="48">
        <f>$K$7*($K$5*C51+$K$6*C52)</f>
        <v>0</v>
      </c>
      <c r="E51" s="48">
        <f>$K$7*($K$5*D51+$K$6*D52)</f>
        <v>0</v>
      </c>
      <c r="F51" s="48">
        <f>$K$7*($K$5*E51+$K$6*E52)</f>
        <v>0</v>
      </c>
      <c r="G51" s="48">
        <f>$K$7*($K$5*F51+$K$6*F52)</f>
        <v>0</v>
      </c>
      <c r="H51" s="48">
        <f>$K$7*($K$5*G51+$K$6*G52)</f>
        <v>0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  <row r="52" spans="2:62" ht="18.600000000000001" thickBot="1" x14ac:dyDescent="0.4">
      <c r="B52" s="47">
        <f t="shared" si="6"/>
        <v>0</v>
      </c>
      <c r="C52" s="48">
        <f t="shared" si="4"/>
        <v>0</v>
      </c>
      <c r="D52" s="48">
        <f>$K$7*($K$5*C52+$K$6*C53)</f>
        <v>0</v>
      </c>
      <c r="E52" s="48">
        <f>$K$7*($K$5*D52+$K$6*D53)</f>
        <v>0</v>
      </c>
      <c r="F52" s="48">
        <f>$K$7*($K$5*E52+$K$6*E53)</f>
        <v>0</v>
      </c>
      <c r="G52" s="48">
        <f>$K$7*($K$5*F52+$K$6*F53)</f>
        <v>0</v>
      </c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</row>
    <row r="53" spans="2:62" ht="18.600000000000001" thickBot="1" x14ac:dyDescent="0.4">
      <c r="B53" s="47">
        <f t="shared" si="6"/>
        <v>0</v>
      </c>
      <c r="C53" s="48">
        <f t="shared" si="4"/>
        <v>0</v>
      </c>
      <c r="D53" s="48">
        <f>$K$7*($K$5*C53+$K$6*C54)</f>
        <v>0</v>
      </c>
      <c r="E53" s="48">
        <f>$K$7*($K$5*D53+$K$6*D54)</f>
        <v>0</v>
      </c>
      <c r="F53" s="48">
        <f>$K$7*($K$5*E53+$K$6*E54)</f>
        <v>0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</row>
    <row r="54" spans="2:62" ht="18.600000000000001" thickBot="1" x14ac:dyDescent="0.4">
      <c r="B54" s="47">
        <f t="shared" si="6"/>
        <v>0</v>
      </c>
      <c r="C54" s="48">
        <f t="shared" si="4"/>
        <v>0</v>
      </c>
      <c r="D54" s="48">
        <f>$K$7*($K$5*C54+$K$6*C55)</f>
        <v>0</v>
      </c>
      <c r="E54" s="48">
        <f>$K$7*($K$5*D54+$K$6*D55)</f>
        <v>0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 spans="2:62" ht="18.600000000000001" thickBot="1" x14ac:dyDescent="0.4">
      <c r="B55" s="47">
        <f t="shared" si="6"/>
        <v>0</v>
      </c>
      <c r="C55" s="48">
        <f t="shared" si="4"/>
        <v>0</v>
      </c>
      <c r="D55" s="48">
        <f>$K$7*($K$5*C55+$K$6*C56)</f>
        <v>0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 spans="2:62" ht="18.600000000000001" thickBot="1" x14ac:dyDescent="0.4">
      <c r="B56" s="47">
        <f t="shared" si="6"/>
        <v>0</v>
      </c>
      <c r="C56" s="48">
        <f t="shared" si="4"/>
        <v>0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</row>
    <row r="57" spans="2:62" x14ac:dyDescent="0.35">
      <c r="B57" s="47">
        <f t="shared" si="6"/>
        <v>0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</row>
    <row r="58" spans="2:62" ht="18.600000000000001" thickBot="1" x14ac:dyDescent="0.4"/>
    <row r="59" spans="2:62" ht="18.600000000000001" thickBot="1" x14ac:dyDescent="0.4">
      <c r="B59" s="64" t="s">
        <v>45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5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</row>
    <row r="60" spans="2:62" ht="18.600000000000001" thickBot="1" x14ac:dyDescent="0.4">
      <c r="B60" s="25">
        <v>19</v>
      </c>
      <c r="C60" s="34">
        <v>18</v>
      </c>
      <c r="D60" s="34">
        <v>17</v>
      </c>
      <c r="E60" s="34">
        <v>16</v>
      </c>
      <c r="F60" s="34">
        <v>15</v>
      </c>
      <c r="G60" s="34">
        <v>14</v>
      </c>
      <c r="H60" s="34">
        <v>13</v>
      </c>
      <c r="I60" s="34">
        <v>12</v>
      </c>
      <c r="J60" s="34">
        <v>11</v>
      </c>
      <c r="K60" s="34">
        <v>10</v>
      </c>
      <c r="L60" s="34">
        <v>9</v>
      </c>
      <c r="M60" s="34">
        <v>8</v>
      </c>
      <c r="N60" s="34">
        <v>7</v>
      </c>
      <c r="O60" s="34">
        <v>6</v>
      </c>
      <c r="P60" s="34">
        <v>5</v>
      </c>
      <c r="Q60" s="34">
        <v>4</v>
      </c>
      <c r="R60" s="34">
        <v>3</v>
      </c>
      <c r="S60" s="34">
        <v>2</v>
      </c>
      <c r="T60" s="34">
        <v>1</v>
      </c>
      <c r="U60" s="43">
        <v>0</v>
      </c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</row>
    <row r="61" spans="2:62" x14ac:dyDescent="0.35">
      <c r="B61" s="6">
        <f>MAX($C$11-U15,0)</f>
        <v>0</v>
      </c>
      <c r="C61" s="5">
        <f>$K$7*($K$5*B61+$K$6*B62)</f>
        <v>0</v>
      </c>
      <c r="D61" s="5">
        <f t="shared" ref="D61:U61" si="19">$K$7*($K$5*C61+$K$6*C62)</f>
        <v>0</v>
      </c>
      <c r="E61" s="5">
        <f t="shared" si="19"/>
        <v>0</v>
      </c>
      <c r="F61" s="5">
        <f t="shared" si="19"/>
        <v>0</v>
      </c>
      <c r="G61" s="5">
        <f t="shared" si="19"/>
        <v>0</v>
      </c>
      <c r="H61" s="5">
        <f t="shared" si="19"/>
        <v>0</v>
      </c>
      <c r="I61" s="5">
        <f t="shared" si="19"/>
        <v>0</v>
      </c>
      <c r="J61" s="5">
        <f t="shared" si="19"/>
        <v>0</v>
      </c>
      <c r="K61" s="5">
        <f t="shared" si="19"/>
        <v>0</v>
      </c>
      <c r="L61" s="5">
        <f t="shared" si="19"/>
        <v>0</v>
      </c>
      <c r="M61" s="5">
        <f t="shared" si="19"/>
        <v>0</v>
      </c>
      <c r="N61" s="5">
        <f t="shared" si="19"/>
        <v>1.3914548476983801E-6</v>
      </c>
      <c r="O61" s="5">
        <f t="shared" si="19"/>
        <v>1.9440809900542126E-5</v>
      </c>
      <c r="P61" s="5">
        <f t="shared" si="19"/>
        <v>1.1338284558084501E-4</v>
      </c>
      <c r="Q61" s="5">
        <f t="shared" si="19"/>
        <v>4.2539774410035202E-4</v>
      </c>
      <c r="R61" s="5">
        <f t="shared" si="19"/>
        <v>1.2081662380863955E-3</v>
      </c>
      <c r="S61" s="5">
        <f t="shared" si="19"/>
        <v>2.8229866676768964E-3</v>
      </c>
      <c r="T61" s="5">
        <f t="shared" si="19"/>
        <v>5.7036039734551574E-3</v>
      </c>
      <c r="U61" s="54">
        <f t="shared" si="19"/>
        <v>1.0295378594437047E-2</v>
      </c>
    </row>
    <row r="62" spans="2:62" x14ac:dyDescent="0.35">
      <c r="B62" s="6">
        <f t="shared" ref="B62:B80" si="20">MAX($C$11-U16,0)</f>
        <v>0</v>
      </c>
      <c r="C62" s="5">
        <f t="shared" ref="C62:T62" si="21">$K$7*($K$5*B62+$K$6*B63)</f>
        <v>0</v>
      </c>
      <c r="D62" s="5">
        <f t="shared" si="21"/>
        <v>0</v>
      </c>
      <c r="E62" s="5">
        <f t="shared" si="21"/>
        <v>0</v>
      </c>
      <c r="F62" s="5">
        <f t="shared" si="21"/>
        <v>0</v>
      </c>
      <c r="G62" s="5">
        <f t="shared" si="21"/>
        <v>0</v>
      </c>
      <c r="H62" s="5">
        <f t="shared" si="21"/>
        <v>0</v>
      </c>
      <c r="I62" s="5">
        <f t="shared" si="21"/>
        <v>0</v>
      </c>
      <c r="J62" s="5">
        <f t="shared" si="21"/>
        <v>0</v>
      </c>
      <c r="K62" s="5">
        <f t="shared" si="21"/>
        <v>0</v>
      </c>
      <c r="L62" s="5">
        <f t="shared" si="21"/>
        <v>0</v>
      </c>
      <c r="M62" s="5">
        <f t="shared" si="21"/>
        <v>2.7528062258266171E-6</v>
      </c>
      <c r="N62" s="5">
        <f t="shared" si="21"/>
        <v>3.710112413111768E-5</v>
      </c>
      <c r="O62" s="5">
        <f t="shared" si="21"/>
        <v>2.0531272693185724E-4</v>
      </c>
      <c r="P62" s="5">
        <f t="shared" si="21"/>
        <v>7.3078037565946761E-4</v>
      </c>
      <c r="Q62" s="5">
        <f t="shared" si="21"/>
        <v>1.974442731498226E-3</v>
      </c>
      <c r="R62" s="5">
        <f t="shared" si="21"/>
        <v>4.4041288846907696E-3</v>
      </c>
      <c r="S62" s="5">
        <f t="shared" si="21"/>
        <v>8.5248391293252374E-3</v>
      </c>
      <c r="T62" s="5">
        <f t="shared" si="21"/>
        <v>1.479374962293184E-2</v>
      </c>
    </row>
    <row r="63" spans="2:62" x14ac:dyDescent="0.35">
      <c r="B63" s="6">
        <f t="shared" si="20"/>
        <v>0</v>
      </c>
      <c r="C63" s="5">
        <f t="shared" ref="C63:S63" si="22">$K$7*($K$5*B63+$K$6*B64)</f>
        <v>0</v>
      </c>
      <c r="D63" s="5">
        <f t="shared" si="22"/>
        <v>0</v>
      </c>
      <c r="E63" s="5">
        <f t="shared" si="22"/>
        <v>0</v>
      </c>
      <c r="F63" s="5">
        <f t="shared" si="22"/>
        <v>0</v>
      </c>
      <c r="G63" s="5">
        <f t="shared" si="22"/>
        <v>0</v>
      </c>
      <c r="H63" s="5">
        <f t="shared" si="22"/>
        <v>0</v>
      </c>
      <c r="I63" s="5">
        <f t="shared" si="22"/>
        <v>0</v>
      </c>
      <c r="J63" s="5">
        <f t="shared" si="22"/>
        <v>0</v>
      </c>
      <c r="K63" s="5">
        <f t="shared" si="22"/>
        <v>0</v>
      </c>
      <c r="L63" s="5">
        <f t="shared" si="22"/>
        <v>5.4460567868835536E-6</v>
      </c>
      <c r="M63" s="5">
        <f t="shared" si="22"/>
        <v>7.0709197964992574E-5</v>
      </c>
      <c r="N63" s="5">
        <f t="shared" si="22"/>
        <v>3.6992377221150104E-4</v>
      </c>
      <c r="O63" s="5">
        <f t="shared" si="22"/>
        <v>1.2450935041596668E-3</v>
      </c>
      <c r="P63" s="5">
        <f t="shared" si="22"/>
        <v>3.1919597598391897E-3</v>
      </c>
      <c r="Q63" s="5">
        <f t="shared" si="22"/>
        <v>6.7833052612031007E-3</v>
      </c>
      <c r="R63" s="5">
        <f t="shared" si="22"/>
        <v>1.25609843212416E-2</v>
      </c>
      <c r="S63" s="5">
        <f t="shared" si="22"/>
        <v>2.0935909304244552E-2</v>
      </c>
    </row>
    <row r="64" spans="2:62" x14ac:dyDescent="0.35">
      <c r="B64" s="6">
        <f t="shared" si="20"/>
        <v>0</v>
      </c>
      <c r="C64" s="5">
        <f t="shared" ref="C64:R64" si="23">$K$7*($K$5*B64+$K$6*B65)</f>
        <v>0</v>
      </c>
      <c r="D64" s="5">
        <f t="shared" si="23"/>
        <v>0</v>
      </c>
      <c r="E64" s="5">
        <f t="shared" si="23"/>
        <v>0</v>
      </c>
      <c r="F64" s="5">
        <f t="shared" si="23"/>
        <v>0</v>
      </c>
      <c r="G64" s="5">
        <f t="shared" si="23"/>
        <v>0</v>
      </c>
      <c r="H64" s="5">
        <f t="shared" si="23"/>
        <v>0</v>
      </c>
      <c r="I64" s="5">
        <f t="shared" si="23"/>
        <v>0</v>
      </c>
      <c r="J64" s="5">
        <f t="shared" si="23"/>
        <v>0</v>
      </c>
      <c r="K64" s="5">
        <f t="shared" si="23"/>
        <v>1.0774290702955018E-5</v>
      </c>
      <c r="L64" s="5">
        <f t="shared" si="23"/>
        <v>1.3456607104205643E-4</v>
      </c>
      <c r="M64" s="5">
        <f t="shared" si="23"/>
        <v>6.6273858644747615E-4</v>
      </c>
      <c r="N64" s="5">
        <f t="shared" si="23"/>
        <v>2.1017144315195841E-3</v>
      </c>
      <c r="O64" s="5">
        <f t="shared" si="23"/>
        <v>5.098002588265471E-3</v>
      </c>
      <c r="P64" s="5">
        <f t="shared" si="23"/>
        <v>1.0300276433546536E-2</v>
      </c>
      <c r="Q64" s="5">
        <f t="shared" si="23"/>
        <v>1.8220727243150572E-2</v>
      </c>
      <c r="R64" s="5">
        <f t="shared" si="23"/>
        <v>2.914272235462672E-2</v>
      </c>
    </row>
    <row r="65" spans="2:17" x14ac:dyDescent="0.35">
      <c r="B65" s="6">
        <f t="shared" si="20"/>
        <v>0</v>
      </c>
      <c r="C65" s="5">
        <f t="shared" ref="C65:Q65" si="24">$K$7*($K$5*B65+$K$6*B66)</f>
        <v>0</v>
      </c>
      <c r="D65" s="5">
        <f t="shared" si="24"/>
        <v>0</v>
      </c>
      <c r="E65" s="5">
        <f t="shared" si="24"/>
        <v>0</v>
      </c>
      <c r="F65" s="5">
        <f t="shared" si="24"/>
        <v>0</v>
      </c>
      <c r="G65" s="5">
        <f t="shared" si="24"/>
        <v>0</v>
      </c>
      <c r="H65" s="5">
        <f t="shared" si="24"/>
        <v>0</v>
      </c>
      <c r="I65" s="5">
        <f t="shared" si="24"/>
        <v>0</v>
      </c>
      <c r="J65" s="5">
        <f t="shared" si="24"/>
        <v>2.131548470654334E-5</v>
      </c>
      <c r="K65" s="5">
        <f t="shared" si="24"/>
        <v>2.5569089030474989E-4</v>
      </c>
      <c r="L65" s="5">
        <f t="shared" si="24"/>
        <v>1.1796244178916033E-3</v>
      </c>
      <c r="M65" s="5">
        <f t="shared" si="24"/>
        <v>3.510248604312277E-3</v>
      </c>
      <c r="N65" s="5">
        <f t="shared" si="24"/>
        <v>8.0316552872841188E-3</v>
      </c>
      <c r="O65" s="5">
        <f t="shared" si="24"/>
        <v>1.5395308409975886E-2</v>
      </c>
      <c r="P65" s="5">
        <f t="shared" si="24"/>
        <v>2.5980545123195836E-2</v>
      </c>
      <c r="Q65" s="5">
        <f t="shared" si="24"/>
        <v>3.9847392500544997E-2</v>
      </c>
    </row>
    <row r="66" spans="2:17" x14ac:dyDescent="0.35">
      <c r="B66" s="6">
        <f t="shared" si="20"/>
        <v>0</v>
      </c>
      <c r="C66" s="5">
        <f t="shared" ref="C66:P66" si="25">$K$7*($K$5*B66+$K$6*B67)</f>
        <v>0</v>
      </c>
      <c r="D66" s="5">
        <f t="shared" si="25"/>
        <v>0</v>
      </c>
      <c r="E66" s="5">
        <f t="shared" si="25"/>
        <v>0</v>
      </c>
      <c r="F66" s="5">
        <f t="shared" si="25"/>
        <v>0</v>
      </c>
      <c r="G66" s="5">
        <f t="shared" si="25"/>
        <v>0</v>
      </c>
      <c r="H66" s="5">
        <f t="shared" si="25"/>
        <v>0</v>
      </c>
      <c r="I66" s="5">
        <f t="shared" si="25"/>
        <v>4.2169818951540862E-5</v>
      </c>
      <c r="J66" s="5">
        <f t="shared" si="25"/>
        <v>4.8501788331084788E-4</v>
      </c>
      <c r="K66" s="5">
        <f t="shared" si="25"/>
        <v>2.0838352460435684E-3</v>
      </c>
      <c r="L66" s="5">
        <f t="shared" si="25"/>
        <v>5.7916787901653218E-3</v>
      </c>
      <c r="M66" s="5">
        <f t="shared" si="25"/>
        <v>1.2458897535551268E-2</v>
      </c>
      <c r="N66" s="5">
        <f t="shared" si="25"/>
        <v>2.2608013089668186E-2</v>
      </c>
      <c r="O66" s="5">
        <f t="shared" si="25"/>
        <v>3.6352801300897152E-2</v>
      </c>
      <c r="P66" s="5">
        <f t="shared" si="25"/>
        <v>5.3441282167581483E-2</v>
      </c>
    </row>
    <row r="67" spans="2:17" x14ac:dyDescent="0.35">
      <c r="B67" s="6">
        <f t="shared" si="20"/>
        <v>0</v>
      </c>
      <c r="C67" s="5">
        <f t="shared" ref="C67:O67" si="26">$K$7*($K$5*B67+$K$6*B68)</f>
        <v>0</v>
      </c>
      <c r="D67" s="5">
        <f t="shared" si="26"/>
        <v>0</v>
      </c>
      <c r="E67" s="5">
        <f t="shared" si="26"/>
        <v>0</v>
      </c>
      <c r="F67" s="5">
        <f t="shared" si="26"/>
        <v>0</v>
      </c>
      <c r="G67" s="5">
        <f t="shared" si="26"/>
        <v>0</v>
      </c>
      <c r="H67" s="5">
        <f t="shared" si="26"/>
        <v>8.3427313752796882E-5</v>
      </c>
      <c r="I67" s="5">
        <f t="shared" si="26"/>
        <v>9.1832903615655405E-4</v>
      </c>
      <c r="J67" s="5">
        <f t="shared" si="26"/>
        <v>3.6485678385244445E-3</v>
      </c>
      <c r="K67" s="5">
        <f t="shared" si="26"/>
        <v>9.4214740995326608E-3</v>
      </c>
      <c r="L67" s="5">
        <f t="shared" si="26"/>
        <v>1.8987903116705802E-2</v>
      </c>
      <c r="M67" s="5">
        <f t="shared" si="26"/>
        <v>3.2550526665289348E-2</v>
      </c>
      <c r="N67" s="5">
        <f t="shared" si="26"/>
        <v>4.9823761786207468E-2</v>
      </c>
      <c r="O67" s="5">
        <f t="shared" si="26"/>
        <v>7.0197904020491433E-2</v>
      </c>
    </row>
    <row r="68" spans="2:17" x14ac:dyDescent="0.35">
      <c r="B68" s="6">
        <f t="shared" si="20"/>
        <v>0</v>
      </c>
      <c r="C68" s="5">
        <f t="shared" ref="C68:N68" si="27">$K$7*($K$5*B68+$K$6*B69)</f>
        <v>0</v>
      </c>
      <c r="D68" s="5">
        <f t="shared" si="27"/>
        <v>0</v>
      </c>
      <c r="E68" s="5">
        <f t="shared" si="27"/>
        <v>0</v>
      </c>
      <c r="F68" s="5">
        <f t="shared" si="27"/>
        <v>0</v>
      </c>
      <c r="G68" s="5">
        <f t="shared" si="27"/>
        <v>1.6504971690786197E-4</v>
      </c>
      <c r="H68" s="5">
        <f t="shared" si="27"/>
        <v>1.7352548988615736E-3</v>
      </c>
      <c r="I68" s="5">
        <f t="shared" si="27"/>
        <v>6.3206951656034124E-3</v>
      </c>
      <c r="J68" s="5">
        <f t="shared" si="27"/>
        <v>1.5073284308851879E-2</v>
      </c>
      <c r="K68" s="5">
        <f t="shared" si="27"/>
        <v>2.8357174434101854E-2</v>
      </c>
      <c r="L68" s="5">
        <f t="shared" si="27"/>
        <v>4.5839495104965919E-2</v>
      </c>
      <c r="M68" s="5">
        <f t="shared" si="27"/>
        <v>6.6757182764460618E-2</v>
      </c>
      <c r="N68" s="5">
        <f t="shared" si="27"/>
        <v>9.0183126385969259E-2</v>
      </c>
    </row>
    <row r="69" spans="2:17" x14ac:dyDescent="0.35">
      <c r="B69" s="6">
        <f t="shared" si="20"/>
        <v>0</v>
      </c>
      <c r="C69" s="5">
        <f t="shared" ref="C69:M69" si="28">$K$7*($K$5*B69+$K$6*B70)</f>
        <v>0</v>
      </c>
      <c r="D69" s="5">
        <f t="shared" si="28"/>
        <v>0</v>
      </c>
      <c r="E69" s="5">
        <f t="shared" si="28"/>
        <v>0</v>
      </c>
      <c r="F69" s="5">
        <f t="shared" si="28"/>
        <v>3.2652866101004138E-4</v>
      </c>
      <c r="G69" s="5">
        <f t="shared" si="28"/>
        <v>3.2716612440152411E-3</v>
      </c>
      <c r="H69" s="5">
        <f t="shared" si="28"/>
        <v>1.0808737944236787E-2</v>
      </c>
      <c r="I69" s="5">
        <f t="shared" si="28"/>
        <v>2.3643094973263196E-2</v>
      </c>
      <c r="J69" s="5">
        <f t="shared" si="28"/>
        <v>4.1369364711899982E-2</v>
      </c>
      <c r="K69" s="5">
        <f t="shared" si="28"/>
        <v>6.2973113007719655E-2</v>
      </c>
      <c r="L69" s="5">
        <f t="shared" si="28"/>
        <v>8.727004369999608E-2</v>
      </c>
      <c r="M69" s="5">
        <f t="shared" si="28"/>
        <v>0.11317175305508761</v>
      </c>
    </row>
    <row r="70" spans="2:17" x14ac:dyDescent="0.35">
      <c r="B70" s="6">
        <f t="shared" si="20"/>
        <v>0</v>
      </c>
      <c r="C70" s="5">
        <f t="shared" ref="C70:L70" si="29">$K$7*($K$5*B70+$K$6*B71)</f>
        <v>0</v>
      </c>
      <c r="D70" s="5">
        <f t="shared" si="29"/>
        <v>0</v>
      </c>
      <c r="E70" s="5">
        <f t="shared" si="29"/>
        <v>6.4599302839477783E-4</v>
      </c>
      <c r="F70" s="5">
        <f t="shared" si="29"/>
        <v>6.1534171790672484E-3</v>
      </c>
      <c r="G70" s="5">
        <f t="shared" si="29"/>
        <v>1.8186159248266592E-2</v>
      </c>
      <c r="H70" s="5">
        <f t="shared" si="29"/>
        <v>3.6211038322239077E-2</v>
      </c>
      <c r="I70" s="5">
        <f t="shared" si="29"/>
        <v>5.8736746739254719E-2</v>
      </c>
      <c r="J70" s="5">
        <f t="shared" si="29"/>
        <v>8.4152538704985014E-2</v>
      </c>
      <c r="K70" s="5">
        <f t="shared" si="29"/>
        <v>0.11110687493831052</v>
      </c>
      <c r="L70" s="5">
        <f t="shared" si="29"/>
        <v>0.1386039367272428</v>
      </c>
    </row>
    <row r="71" spans="2:17" x14ac:dyDescent="0.35">
      <c r="B71" s="6">
        <f t="shared" si="20"/>
        <v>0</v>
      </c>
      <c r="C71" s="5">
        <f t="shared" ref="C71:K71" si="30">$K$7*($K$5*B71+$K$6*B72)</f>
        <v>0</v>
      </c>
      <c r="D71" s="5">
        <f t="shared" si="30"/>
        <v>1.2780103022007713E-3</v>
      </c>
      <c r="E71" s="5">
        <f t="shared" si="30"/>
        <v>1.154236326496875E-2</v>
      </c>
      <c r="F71" s="5">
        <f t="shared" si="30"/>
        <v>2.9964984145105192E-2</v>
      </c>
      <c r="G71" s="5">
        <f t="shared" si="30"/>
        <v>5.3864888900797034E-2</v>
      </c>
      <c r="H71" s="5">
        <f t="shared" si="30"/>
        <v>8.0812816716901131E-2</v>
      </c>
      <c r="I71" s="5">
        <f t="shared" si="30"/>
        <v>0.10907961524611554</v>
      </c>
      <c r="J71" s="5">
        <f t="shared" si="30"/>
        <v>0.13756566717013591</v>
      </c>
      <c r="K71" s="5">
        <f t="shared" si="30"/>
        <v>0.16562177158608538</v>
      </c>
    </row>
    <row r="72" spans="2:17" x14ac:dyDescent="0.35">
      <c r="B72" s="6">
        <f t="shared" si="20"/>
        <v>0</v>
      </c>
      <c r="C72" s="5">
        <f t="shared" ref="C72:J72" si="31">$K$7*($K$5*B72+$K$6*B73)</f>
        <v>2.5283714540850462E-3</v>
      </c>
      <c r="D72" s="5">
        <f t="shared" si="31"/>
        <v>2.1585982162636838E-2</v>
      </c>
      <c r="E72" s="5">
        <f t="shared" si="31"/>
        <v>4.8001055574293287E-2</v>
      </c>
      <c r="F72" s="5">
        <f t="shared" si="31"/>
        <v>7.7278923165859562E-2</v>
      </c>
      <c r="G72" s="5">
        <f t="shared" si="31"/>
        <v>0.10723381060884302</v>
      </c>
      <c r="H72" s="5">
        <f t="shared" si="31"/>
        <v>0.13681899871706513</v>
      </c>
      <c r="I72" s="5">
        <f t="shared" si="31"/>
        <v>0.16554898551020272</v>
      </c>
      <c r="J72" s="5">
        <f t="shared" si="31"/>
        <v>0.19321409728426364</v>
      </c>
    </row>
    <row r="73" spans="2:17" x14ac:dyDescent="0.35">
      <c r="B73" s="6">
        <f t="shared" si="20"/>
        <v>5.0020427838678438E-3</v>
      </c>
      <c r="C73" s="5">
        <f t="shared" ref="C73:I73" si="32">$K$7*($K$5*B73+$K$6*B74)</f>
        <v>4.0233922410434449E-2</v>
      </c>
      <c r="D73" s="5">
        <f t="shared" si="32"/>
        <v>7.3867121709079955E-2</v>
      </c>
      <c r="E73" s="5">
        <f t="shared" si="32"/>
        <v>0.10597334560420328</v>
      </c>
      <c r="F73" s="5">
        <f t="shared" si="32"/>
        <v>0.13662108330505396</v>
      </c>
      <c r="G73" s="5">
        <f t="shared" si="32"/>
        <v>0.16587575251908418</v>
      </c>
      <c r="H73" s="5">
        <f t="shared" si="32"/>
        <v>0.19379983719784663</v>
      </c>
      <c r="I73" s="5">
        <f t="shared" si="32"/>
        <v>0.2204530191054804</v>
      </c>
    </row>
    <row r="74" spans="2:17" x14ac:dyDescent="0.35">
      <c r="B74" s="6">
        <f t="shared" si="20"/>
        <v>7.4708783914414156E-2</v>
      </c>
      <c r="C74" s="5">
        <f t="shared" ref="C74:H74" si="33">$K$7*($K$5*B74+$K$6*B75)</f>
        <v>0.10681456494598265</v>
      </c>
      <c r="D74" s="5">
        <f t="shared" si="33"/>
        <v>0.13746186001630328</v>
      </c>
      <c r="E74" s="5">
        <f t="shared" si="33"/>
        <v>0.16671608683270558</v>
      </c>
      <c r="F74" s="5">
        <f t="shared" si="33"/>
        <v>0.19463972934661972</v>
      </c>
      <c r="G74" s="5">
        <f t="shared" si="33"/>
        <v>0.22129246932206226</v>
      </c>
      <c r="H74" s="5">
        <f t="shared" si="33"/>
        <v>0.24673131200374504</v>
      </c>
    </row>
    <row r="75" spans="2:17" x14ac:dyDescent="0.35">
      <c r="B75" s="6">
        <f t="shared" si="20"/>
        <v>0.13830352222163744</v>
      </c>
      <c r="C75" s="5">
        <f t="shared" ref="C75:G75" si="34">$K$7*($K$5*B75+$K$6*B76)</f>
        <v>0.16755730617448497</v>
      </c>
      <c r="D75" s="5">
        <f t="shared" si="34"/>
        <v>0.19548050605786904</v>
      </c>
      <c r="E75" s="5">
        <f t="shared" si="34"/>
        <v>0.22213280363568366</v>
      </c>
      <c r="F75" s="5">
        <f t="shared" si="34"/>
        <v>0.24757120415251813</v>
      </c>
      <c r="G75" s="5">
        <f t="shared" si="34"/>
        <v>0.27185015636599941</v>
      </c>
    </row>
    <row r="76" spans="2:17" x14ac:dyDescent="0.35">
      <c r="B76" s="6">
        <f t="shared" si="20"/>
        <v>0.19632216826320326</v>
      </c>
      <c r="C76" s="5">
        <f t="shared" ref="C76:F76" si="35">$K$7*($K$5*B76+$K$6*B77)</f>
        <v>0.22297402297746305</v>
      </c>
      <c r="D76" s="5">
        <f t="shared" si="35"/>
        <v>0.2484119808637674</v>
      </c>
      <c r="E76" s="5">
        <f t="shared" si="35"/>
        <v>0.27269049067962076</v>
      </c>
      <c r="F76" s="5">
        <f t="shared" si="35"/>
        <v>0.29586155934488562</v>
      </c>
    </row>
    <row r="77" spans="2:17" x14ac:dyDescent="0.35">
      <c r="B77" s="6">
        <f t="shared" si="20"/>
        <v>0.24925364306910158</v>
      </c>
      <c r="C77" s="5">
        <f t="shared" ref="C77:E77" si="36">$K$7*($K$5*B77+$K$6*B78)</f>
        <v>0.27353171002140009</v>
      </c>
      <c r="D77" s="5">
        <f t="shared" si="36"/>
        <v>0.29670233605613489</v>
      </c>
      <c r="E77" s="5">
        <f t="shared" si="36"/>
        <v>0.31881519576311135</v>
      </c>
    </row>
    <row r="78" spans="2:17" x14ac:dyDescent="0.35">
      <c r="B78" s="6">
        <f t="shared" si="20"/>
        <v>0.29754399826146904</v>
      </c>
      <c r="C78" s="5">
        <f t="shared" ref="C78:D78" si="37">$K$7*($K$5*B78+$K$6*B79)</f>
        <v>0.31965641510489073</v>
      </c>
      <c r="D78" s="5">
        <f t="shared" si="37"/>
        <v>0.34075851271012736</v>
      </c>
    </row>
    <row r="79" spans="2:17" x14ac:dyDescent="0.35">
      <c r="B79" s="6">
        <f t="shared" si="20"/>
        <v>0.34160017491546157</v>
      </c>
      <c r="C79" s="5">
        <f t="shared" ref="C79" si="38">$K$7*($K$5*B79+$K$6*B80)</f>
        <v>0.36173682944801716</v>
      </c>
    </row>
    <row r="80" spans="2:17" x14ac:dyDescent="0.35">
      <c r="B80" s="6">
        <f t="shared" si="20"/>
        <v>0.3817934328369641</v>
      </c>
    </row>
    <row r="81" spans="2:62" ht="18.600000000000001" thickBot="1" x14ac:dyDescent="0.4">
      <c r="U81"/>
      <c r="Z81" s="72" t="s">
        <v>75</v>
      </c>
      <c r="AA81" s="5">
        <f>U61+U38+B15</f>
        <v>1.0342427724597349</v>
      </c>
      <c r="BJ81"/>
    </row>
    <row r="82" spans="2:62" ht="18.600000000000001" thickBot="1" x14ac:dyDescent="0.4">
      <c r="B82" s="64" t="s">
        <v>46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5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</row>
    <row r="83" spans="2:62" ht="18.600000000000001" thickBot="1" x14ac:dyDescent="0.4">
      <c r="B83" s="25">
        <v>19</v>
      </c>
      <c r="C83" s="34">
        <v>18</v>
      </c>
      <c r="D83" s="34">
        <v>17</v>
      </c>
      <c r="E83" s="34">
        <v>16</v>
      </c>
      <c r="F83" s="34">
        <v>15</v>
      </c>
      <c r="G83" s="34">
        <v>14</v>
      </c>
      <c r="H83" s="34">
        <v>13</v>
      </c>
      <c r="I83" s="34">
        <v>12</v>
      </c>
      <c r="J83" s="34">
        <v>11</v>
      </c>
      <c r="K83" s="34">
        <v>10</v>
      </c>
      <c r="L83" s="34">
        <v>9</v>
      </c>
      <c r="M83" s="34">
        <v>8</v>
      </c>
      <c r="N83" s="34">
        <v>7</v>
      </c>
      <c r="O83" s="34">
        <v>6</v>
      </c>
      <c r="P83" s="34">
        <v>5</v>
      </c>
      <c r="Q83" s="34">
        <v>4</v>
      </c>
      <c r="R83" s="34">
        <v>3</v>
      </c>
      <c r="S83" s="34">
        <v>2</v>
      </c>
      <c r="T83" s="34">
        <v>1</v>
      </c>
      <c r="U83" s="43">
        <v>0</v>
      </c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</row>
    <row r="84" spans="2:62" x14ac:dyDescent="0.35">
      <c r="B84" s="52">
        <f>B61-B38+U15</f>
        <v>1.2</v>
      </c>
      <c r="C84" s="52">
        <f>C61-C38+T15</f>
        <v>1.1993685872284627</v>
      </c>
      <c r="D84" s="52">
        <f>D61-D38+S15</f>
        <v>1.198737506691999</v>
      </c>
      <c r="E84" s="52">
        <f>E61-E38+R15</f>
        <v>1.1981067582157938</v>
      </c>
      <c r="F84" s="52">
        <f>F61-F38+Q15</f>
        <v>1.1974763416251246</v>
      </c>
      <c r="G84" s="52">
        <f>G61-G38+P15</f>
        <v>1.1968462567453613</v>
      </c>
      <c r="H84" s="52">
        <f>H61-H38+O15</f>
        <v>1.1962165034019647</v>
      </c>
      <c r="I84" s="52">
        <f>I61-I38+N15</f>
        <v>1.1955870814204883</v>
      </c>
      <c r="J84" s="52">
        <f>J61-J38+M15</f>
        <v>1.1947345813152483</v>
      </c>
      <c r="K84" s="52">
        <f>K61-K38+L15</f>
        <v>1.1930062789899023</v>
      </c>
      <c r="L84" s="52">
        <f>L61-L38+K15</f>
        <v>1.189352215370592</v>
      </c>
      <c r="M84" s="52">
        <f>M61-M38+J15</f>
        <v>1.1825743435087162</v>
      </c>
      <c r="N84" s="52">
        <f>N61-N38+I15</f>
        <v>1.171638122131152</v>
      </c>
      <c r="O84" s="52">
        <f>O61-O38+H15</f>
        <v>1.1559153666838797</v>
      </c>
      <c r="P84" s="52">
        <f>P61-P38+G15</f>
        <v>1.135305089343472</v>
      </c>
      <c r="Q84" s="52">
        <f>Q61-Q38+F15</f>
        <v>1.1102363577058658</v>
      </c>
      <c r="R84" s="52">
        <f>R61-R38+E15</f>
        <v>1.0815814748793788</v>
      </c>
      <c r="S84" s="52">
        <f>S61-S38+D15</f>
        <v>1.0505134122791193</v>
      </c>
      <c r="T84" s="52">
        <f>T61-T38+C15</f>
        <v>1.0183405373117185</v>
      </c>
      <c r="U84" s="52">
        <f>U61-U38+B15</f>
        <v>0.9863479847291392</v>
      </c>
    </row>
    <row r="85" spans="2:62" x14ac:dyDescent="0.35">
      <c r="B85" s="52">
        <f t="shared" ref="B85:B103" si="39">B62-B39+U16</f>
        <v>1.2</v>
      </c>
      <c r="C85" s="52">
        <f t="shared" ref="C85:C103" si="40">C62-C39+T16</f>
        <v>1.199368587228463</v>
      </c>
      <c r="D85" s="52">
        <f t="shared" ref="D85:D103" si="41">D62-D39+S16</f>
        <v>1.1987375066919985</v>
      </c>
      <c r="E85" s="52">
        <f t="shared" ref="E85:E103" si="42">E62-E39+R16</f>
        <v>1.1981067582157934</v>
      </c>
      <c r="F85" s="52">
        <f t="shared" ref="F85:F103" si="43">F62-F39+Q16</f>
        <v>1.1974763416251246</v>
      </c>
      <c r="G85" s="52">
        <f t="shared" ref="G85:G103" si="44">G62-G39+P16</f>
        <v>1.1968462567453613</v>
      </c>
      <c r="H85" s="52">
        <f t="shared" ref="H85:H103" si="45">H62-H39+O16</f>
        <v>1.1962165034019647</v>
      </c>
      <c r="I85" s="52">
        <f t="shared" ref="I85:I103" si="46">I62-I39+N16</f>
        <v>1.1951450961529466</v>
      </c>
      <c r="J85" s="52">
        <f t="shared" ref="J85:J103" si="47">J62-J39+M16</f>
        <v>1.1925590517476876</v>
      </c>
      <c r="K85" s="52">
        <f t="shared" ref="K85:K103" si="48">K62-K39+L16</f>
        <v>1.1870190906593903</v>
      </c>
      <c r="L85" s="52">
        <f t="shared" ref="L85:L103" si="49">L62-L39+K16</f>
        <v>1.1771811888990886</v>
      </c>
      <c r="M85" s="52">
        <f t="shared" ref="M85:M103" si="50">M62-M39+J16</f>
        <v>1.1621695263687863</v>
      </c>
      <c r="N85" s="52">
        <f t="shared" ref="N85:N103" si="51">N62-N39+I16</f>
        <v>1.1417524069700555</v>
      </c>
      <c r="O85" s="52">
        <f t="shared" ref="O85:O103" si="52">O62-O39+H16</f>
        <v>1.1163439800354487</v>
      </c>
      <c r="P85" s="52">
        <f t="shared" ref="P85:P103" si="53">P62-P39+G16</f>
        <v>1.0868917959557871</v>
      </c>
      <c r="Q85" s="52">
        <f t="shared" ref="Q85:Q103" si="54">Q62-Q39+F16</f>
        <v>1.054702250807376</v>
      </c>
      <c r="R85" s="52">
        <f t="shared" ref="R85:R103" si="55">R62-R39+E16</f>
        <v>1.0212433875373155</v>
      </c>
      <c r="S85" s="52">
        <f t="shared" ref="S85:S103" si="56">S62-S39+D16</f>
        <v>0.98795726134457418</v>
      </c>
      <c r="T85" s="52">
        <f t="shared" ref="T85:T103" si="57">T62-T39+C16</f>
        <v>0.95610763892653072</v>
      </c>
      <c r="U85" s="52">
        <f t="shared" ref="U85:U103" si="58">U62-U39+B16</f>
        <v>0</v>
      </c>
    </row>
    <row r="86" spans="2:62" x14ac:dyDescent="0.35">
      <c r="B86" s="52">
        <f t="shared" si="39"/>
        <v>1.2</v>
      </c>
      <c r="C86" s="52">
        <f t="shared" si="40"/>
        <v>1.1993685872284625</v>
      </c>
      <c r="D86" s="52">
        <f t="shared" si="41"/>
        <v>1.1987375066919985</v>
      </c>
      <c r="E86" s="52">
        <f t="shared" si="42"/>
        <v>1.1981067582157934</v>
      </c>
      <c r="F86" s="52">
        <f t="shared" si="43"/>
        <v>1.1974763416251246</v>
      </c>
      <c r="G86" s="52">
        <f t="shared" si="44"/>
        <v>1.1968462567453613</v>
      </c>
      <c r="H86" s="52">
        <f t="shared" si="45"/>
        <v>1.1953420950097522</v>
      </c>
      <c r="I86" s="52">
        <f t="shared" si="46"/>
        <v>1.1912730666050901</v>
      </c>
      <c r="J86" s="52">
        <f t="shared" si="47"/>
        <v>1.1828404034311586</v>
      </c>
      <c r="K86" s="52">
        <f t="shared" si="48"/>
        <v>1.1687917779798949</v>
      </c>
      <c r="L86" s="52">
        <f t="shared" si="49"/>
        <v>1.1487080455838221</v>
      </c>
      <c r="M86" s="52">
        <f t="shared" si="50"/>
        <v>1.1229867871217076</v>
      </c>
      <c r="N86" s="52">
        <f t="shared" si="51"/>
        <v>1.0926737836067704</v>
      </c>
      <c r="O86" s="52">
        <f t="shared" si="52"/>
        <v>1.0592388777251549</v>
      </c>
      <c r="P86" s="52">
        <f t="shared" si="53"/>
        <v>1.0243405341539338</v>
      </c>
      <c r="Q86" s="52">
        <f t="shared" si="54"/>
        <v>0.98960630547762662</v>
      </c>
      <c r="R86" s="52">
        <f t="shared" si="55"/>
        <v>0.95645434956991371</v>
      </c>
      <c r="S86" s="52">
        <f t="shared" si="56"/>
        <v>0.9259755029519271</v>
      </c>
      <c r="T86" s="52">
        <f t="shared" si="57"/>
        <v>0</v>
      </c>
      <c r="U86" s="52">
        <f t="shared" si="58"/>
        <v>0</v>
      </c>
    </row>
    <row r="87" spans="2:62" x14ac:dyDescent="0.35">
      <c r="B87" s="52">
        <f t="shared" si="39"/>
        <v>1.2</v>
      </c>
      <c r="C87" s="52">
        <f t="shared" si="40"/>
        <v>1.1993685872284625</v>
      </c>
      <c r="D87" s="52">
        <f t="shared" si="41"/>
        <v>1.1987375066919985</v>
      </c>
      <c r="E87" s="52">
        <f t="shared" si="42"/>
        <v>1.1981067582157934</v>
      </c>
      <c r="F87" s="52">
        <f t="shared" si="43"/>
        <v>1.1974763416251246</v>
      </c>
      <c r="G87" s="52">
        <f t="shared" si="44"/>
        <v>1.1951163573742249</v>
      </c>
      <c r="H87" s="52">
        <f t="shared" si="45"/>
        <v>1.1885363861928029</v>
      </c>
      <c r="I87" s="52">
        <f t="shared" si="46"/>
        <v>1.1758302576897621</v>
      </c>
      <c r="J87" s="52">
        <f t="shared" si="47"/>
        <v>1.1562783904991596</v>
      </c>
      <c r="K87" s="52">
        <f t="shared" si="48"/>
        <v>1.1302754936395412</v>
      </c>
      <c r="L87" s="52">
        <f t="shared" si="49"/>
        <v>1.0990177677463528</v>
      </c>
      <c r="M87" s="52">
        <f t="shared" si="50"/>
        <v>1.0641855843331516</v>
      </c>
      <c r="N87" s="52">
        <f t="shared" si="51"/>
        <v>1.0276647620123835</v>
      </c>
      <c r="O87" s="52">
        <f t="shared" si="52"/>
        <v>0.99129983676785216</v>
      </c>
      <c r="P87" s="52">
        <f t="shared" si="53"/>
        <v>0.95668984427373971</v>
      </c>
      <c r="Q87" s="52">
        <f t="shared" si="54"/>
        <v>0.92504977208380523</v>
      </c>
      <c r="R87" s="52">
        <f t="shared" si="55"/>
        <v>0.89715169307101439</v>
      </c>
      <c r="S87" s="52">
        <f t="shared" si="56"/>
        <v>0</v>
      </c>
      <c r="T87" s="52">
        <f t="shared" si="57"/>
        <v>0</v>
      </c>
      <c r="U87" s="52">
        <f t="shared" si="58"/>
        <v>0</v>
      </c>
    </row>
    <row r="88" spans="2:62" x14ac:dyDescent="0.35">
      <c r="B88" s="52">
        <f t="shared" si="39"/>
        <v>1.2</v>
      </c>
      <c r="C88" s="52">
        <f t="shared" si="40"/>
        <v>1.1993685872284625</v>
      </c>
      <c r="D88" s="52">
        <f t="shared" si="41"/>
        <v>1.1987375066919987</v>
      </c>
      <c r="E88" s="52">
        <f t="shared" si="42"/>
        <v>1.1981067582157936</v>
      </c>
      <c r="F88" s="52">
        <f t="shared" si="43"/>
        <v>1.1940539684401128</v>
      </c>
      <c r="G88" s="52">
        <f t="shared" si="44"/>
        <v>1.1833428510805042</v>
      </c>
      <c r="H88" s="52">
        <f t="shared" si="45"/>
        <v>1.1646362522217435</v>
      </c>
      <c r="I88" s="52">
        <f t="shared" si="46"/>
        <v>1.1383735239608104</v>
      </c>
      <c r="J88" s="52">
        <f t="shared" si="47"/>
        <v>1.1060388094902998</v>
      </c>
      <c r="K88" s="52">
        <f t="shared" si="48"/>
        <v>1.0696128720499745</v>
      </c>
      <c r="L88" s="52">
        <f t="shared" si="49"/>
        <v>1.0312510244330337</v>
      </c>
      <c r="M88" s="52">
        <f t="shared" si="50"/>
        <v>0.99304183681774538</v>
      </c>
      <c r="N88" s="52">
        <f t="shared" si="51"/>
        <v>0.95679141877200258</v>
      </c>
      <c r="O88" s="52">
        <f t="shared" si="52"/>
        <v>0.92386053705232229</v>
      </c>
      <c r="P88" s="52">
        <f t="shared" si="53"/>
        <v>0.89509010434184744</v>
      </c>
      <c r="Q88" s="52">
        <f t="shared" si="54"/>
        <v>0.87082012584987345</v>
      </c>
      <c r="R88" s="52">
        <f t="shared" si="55"/>
        <v>0</v>
      </c>
      <c r="S88" s="52">
        <f t="shared" si="56"/>
        <v>0</v>
      </c>
      <c r="T88" s="52">
        <f t="shared" si="57"/>
        <v>0</v>
      </c>
      <c r="U88" s="52">
        <f t="shared" si="58"/>
        <v>0</v>
      </c>
    </row>
    <row r="89" spans="2:62" x14ac:dyDescent="0.35">
      <c r="B89" s="52">
        <f t="shared" si="39"/>
        <v>1.2</v>
      </c>
      <c r="C89" s="52">
        <f t="shared" si="40"/>
        <v>1.1993685872284625</v>
      </c>
      <c r="D89" s="52">
        <f t="shared" si="41"/>
        <v>1.1987375066919985</v>
      </c>
      <c r="E89" s="52">
        <f t="shared" si="42"/>
        <v>1.191336053276006</v>
      </c>
      <c r="F89" s="52">
        <f t="shared" si="43"/>
        <v>1.174106439273688</v>
      </c>
      <c r="G89" s="52">
        <f t="shared" si="44"/>
        <v>1.1475661874254279</v>
      </c>
      <c r="H89" s="52">
        <f t="shared" si="45"/>
        <v>1.1138913300319659</v>
      </c>
      <c r="I89" s="52">
        <f t="shared" si="46"/>
        <v>1.0755886551715714</v>
      </c>
      <c r="J89" s="52">
        <f t="shared" si="47"/>
        <v>1.0351263469406615</v>
      </c>
      <c r="K89" s="52">
        <f t="shared" si="48"/>
        <v>0.99483255330571352</v>
      </c>
      <c r="L89" s="52">
        <f t="shared" si="49"/>
        <v>0.95673278939323014</v>
      </c>
      <c r="M89" s="52">
        <f t="shared" si="50"/>
        <v>0.92235898920388781</v>
      </c>
      <c r="N89" s="52">
        <f t="shared" si="51"/>
        <v>0.89263809157229734</v>
      </c>
      <c r="O89" s="52">
        <f t="shared" si="52"/>
        <v>0.86790381842475894</v>
      </c>
      <c r="P89" s="52">
        <f t="shared" si="53"/>
        <v>0.84800697975947692</v>
      </c>
      <c r="Q89" s="52">
        <f t="shared" si="54"/>
        <v>0</v>
      </c>
      <c r="R89" s="52">
        <f t="shared" si="55"/>
        <v>0</v>
      </c>
      <c r="S89" s="52">
        <f t="shared" si="56"/>
        <v>0</v>
      </c>
      <c r="T89" s="52">
        <f t="shared" si="57"/>
        <v>0</v>
      </c>
      <c r="U89" s="52">
        <f t="shared" si="58"/>
        <v>0</v>
      </c>
    </row>
    <row r="90" spans="2:62" x14ac:dyDescent="0.35">
      <c r="B90" s="52">
        <f t="shared" si="39"/>
        <v>1.2</v>
      </c>
      <c r="C90" s="52">
        <f t="shared" si="40"/>
        <v>1.1993685872284625</v>
      </c>
      <c r="D90" s="52">
        <f t="shared" si="41"/>
        <v>1.1853425778214626</v>
      </c>
      <c r="E90" s="52">
        <f t="shared" si="42"/>
        <v>1.1584897261546849</v>
      </c>
      <c r="F90" s="52">
        <f t="shared" si="43"/>
        <v>1.122822332191505</v>
      </c>
      <c r="G90" s="52">
        <f t="shared" si="44"/>
        <v>1.082139595446832</v>
      </c>
      <c r="H90" s="52">
        <f t="shared" si="45"/>
        <v>1.0392741692177332</v>
      </c>
      <c r="I90" s="52">
        <f t="shared" si="46"/>
        <v>0.99665907829146372</v>
      </c>
      <c r="J90" s="52">
        <f t="shared" si="47"/>
        <v>0.95648803342832722</v>
      </c>
      <c r="K90" s="52">
        <f t="shared" si="48"/>
        <v>0.92049288776822125</v>
      </c>
      <c r="L90" s="52">
        <f t="shared" si="49"/>
        <v>0.8897247810834833</v>
      </c>
      <c r="M90" s="52">
        <f t="shared" si="50"/>
        <v>0.86452034052672755</v>
      </c>
      <c r="N90" s="52">
        <f t="shared" si="51"/>
        <v>0.84463387000052315</v>
      </c>
      <c r="O90" s="52">
        <f t="shared" si="52"/>
        <v>0.82944406254170788</v>
      </c>
      <c r="P90" s="52">
        <f t="shared" si="53"/>
        <v>0</v>
      </c>
      <c r="Q90" s="52">
        <f t="shared" si="54"/>
        <v>0</v>
      </c>
      <c r="R90" s="52">
        <f t="shared" si="55"/>
        <v>0</v>
      </c>
      <c r="S90" s="52">
        <f t="shared" si="56"/>
        <v>0</v>
      </c>
      <c r="T90" s="52">
        <f t="shared" si="57"/>
        <v>0</v>
      </c>
      <c r="U90" s="52">
        <f t="shared" si="58"/>
        <v>0</v>
      </c>
    </row>
    <row r="91" spans="2:62" x14ac:dyDescent="0.35">
      <c r="B91" s="52">
        <f t="shared" si="39"/>
        <v>1.2</v>
      </c>
      <c r="C91" s="52">
        <f t="shared" si="40"/>
        <v>1.1728685224579032</v>
      </c>
      <c r="D91" s="52">
        <f t="shared" si="41"/>
        <v>1.1334517305465484</v>
      </c>
      <c r="E91" s="52">
        <f t="shared" si="42"/>
        <v>1.0891325397131404</v>
      </c>
      <c r="F91" s="52">
        <f t="shared" si="43"/>
        <v>1.0435058360398399</v>
      </c>
      <c r="G91" s="52">
        <f t="shared" si="44"/>
        <v>0.99846259223417511</v>
      </c>
      <c r="H91" s="52">
        <f t="shared" si="45"/>
        <v>0.95604779905797221</v>
      </c>
      <c r="I91" s="52">
        <f t="shared" si="46"/>
        <v>0.91822356339901989</v>
      </c>
      <c r="J91" s="52">
        <f t="shared" si="47"/>
        <v>0.88627215643799506</v>
      </c>
      <c r="K91" s="52">
        <f t="shared" si="48"/>
        <v>0.86058053430136294</v>
      </c>
      <c r="L91" s="52">
        <f t="shared" si="49"/>
        <v>0.84078736387169783</v>
      </c>
      <c r="M91" s="52">
        <f t="shared" si="50"/>
        <v>0.82607757450958852</v>
      </c>
      <c r="N91" s="52">
        <f t="shared" si="51"/>
        <v>0.81546211878760611</v>
      </c>
      <c r="O91" s="52">
        <f t="shared" si="52"/>
        <v>0</v>
      </c>
      <c r="P91" s="52">
        <f t="shared" si="53"/>
        <v>0</v>
      </c>
      <c r="Q91" s="52">
        <f t="shared" si="54"/>
        <v>0</v>
      </c>
      <c r="R91" s="52">
        <f t="shared" si="55"/>
        <v>0</v>
      </c>
      <c r="S91" s="52">
        <f t="shared" si="56"/>
        <v>0</v>
      </c>
      <c r="T91" s="52">
        <f t="shared" si="57"/>
        <v>0</v>
      </c>
      <c r="U91" s="52">
        <f t="shared" si="58"/>
        <v>0</v>
      </c>
    </row>
    <row r="92" spans="2:62" x14ac:dyDescent="0.35">
      <c r="B92" s="52">
        <f t="shared" si="39"/>
        <v>1.1475731868656236</v>
      </c>
      <c r="C92" s="52">
        <f t="shared" si="40"/>
        <v>1.0961086244870784</v>
      </c>
      <c r="D92" s="52">
        <f t="shared" si="41"/>
        <v>1.0469520640827248</v>
      </c>
      <c r="E92" s="52">
        <f t="shared" si="42"/>
        <v>0.99999999999999956</v>
      </c>
      <c r="F92" s="52">
        <f t="shared" si="43"/>
        <v>0.9554800971065126</v>
      </c>
      <c r="G92" s="52">
        <f t="shared" si="44"/>
        <v>0.91559000055819306</v>
      </c>
      <c r="H92" s="52">
        <f t="shared" si="45"/>
        <v>0.88221285529844895</v>
      </c>
      <c r="I92" s="52">
        <f t="shared" si="46"/>
        <v>0.85596784722224295</v>
      </c>
      <c r="J92" s="52">
        <f t="shared" si="47"/>
        <v>0.83636732192803231</v>
      </c>
      <c r="K92" s="52">
        <f t="shared" si="48"/>
        <v>0.82231824874959403</v>
      </c>
      <c r="L92" s="52">
        <f t="shared" si="49"/>
        <v>0.81256125978558225</v>
      </c>
      <c r="M92" s="52">
        <f t="shared" si="50"/>
        <v>0.8059362462614138</v>
      </c>
      <c r="N92" s="52">
        <f t="shared" si="51"/>
        <v>0</v>
      </c>
      <c r="O92" s="52">
        <f t="shared" si="52"/>
        <v>0</v>
      </c>
      <c r="P92" s="52">
        <f t="shared" si="53"/>
        <v>0</v>
      </c>
      <c r="Q92" s="52">
        <f t="shared" si="54"/>
        <v>0</v>
      </c>
      <c r="R92" s="52">
        <f t="shared" si="55"/>
        <v>0</v>
      </c>
      <c r="S92" s="52">
        <f t="shared" si="56"/>
        <v>0</v>
      </c>
      <c r="T92" s="52">
        <f t="shared" si="57"/>
        <v>0</v>
      </c>
      <c r="U92" s="52">
        <f t="shared" si="58"/>
        <v>0</v>
      </c>
    </row>
    <row r="93" spans="2:62" x14ac:dyDescent="0.35">
      <c r="B93" s="52">
        <f t="shared" si="39"/>
        <v>1.0469520640827248</v>
      </c>
      <c r="C93" s="52">
        <f t="shared" si="40"/>
        <v>0.99999999999999956</v>
      </c>
      <c r="D93" s="52">
        <f t="shared" si="41"/>
        <v>0.95515356844550259</v>
      </c>
      <c r="E93" s="52">
        <f t="shared" si="42"/>
        <v>0.91296433234257257</v>
      </c>
      <c r="F93" s="52">
        <f t="shared" si="43"/>
        <v>0.87755753453327945</v>
      </c>
      <c r="G93" s="52">
        <f t="shared" si="44"/>
        <v>0.85051091149724634</v>
      </c>
      <c r="H93" s="52">
        <f t="shared" si="45"/>
        <v>0.83120899553837124</v>
      </c>
      <c r="I93" s="52">
        <f t="shared" si="46"/>
        <v>0.8180818824811289</v>
      </c>
      <c r="J93" s="52">
        <f t="shared" si="47"/>
        <v>0.80944375479057129</v>
      </c>
      <c r="K93" s="52">
        <f t="shared" si="48"/>
        <v>0.80387136814463667</v>
      </c>
      <c r="L93" s="52">
        <f t="shared" si="49"/>
        <v>0.80030041450560563</v>
      </c>
      <c r="M93" s="52">
        <f t="shared" si="50"/>
        <v>0</v>
      </c>
      <c r="N93" s="52">
        <f t="shared" si="51"/>
        <v>0</v>
      </c>
      <c r="O93" s="52">
        <f t="shared" si="52"/>
        <v>0</v>
      </c>
      <c r="P93" s="52">
        <f t="shared" si="53"/>
        <v>0</v>
      </c>
      <c r="Q93" s="52">
        <f t="shared" si="54"/>
        <v>0</v>
      </c>
      <c r="R93" s="52">
        <f t="shared" si="55"/>
        <v>0</v>
      </c>
      <c r="S93" s="52">
        <f t="shared" si="56"/>
        <v>0</v>
      </c>
      <c r="T93" s="52">
        <f t="shared" si="57"/>
        <v>0</v>
      </c>
      <c r="U93" s="52">
        <f t="shared" si="58"/>
        <v>0</v>
      </c>
    </row>
    <row r="94" spans="2:62" x14ac:dyDescent="0.35">
      <c r="B94" s="52">
        <f t="shared" si="39"/>
        <v>0.95515356844550259</v>
      </c>
      <c r="C94" s="52">
        <f t="shared" si="40"/>
        <v>0.91231833931417783</v>
      </c>
      <c r="D94" s="52">
        <f t="shared" si="41"/>
        <v>0.87268212765641295</v>
      </c>
      <c r="E94" s="52">
        <f t="shared" si="42"/>
        <v>0.84386711551394844</v>
      </c>
      <c r="F94" s="52">
        <f t="shared" si="43"/>
        <v>0.82496294136123738</v>
      </c>
      <c r="G94" s="52">
        <f t="shared" si="44"/>
        <v>0.813210024642671</v>
      </c>
      <c r="H94" s="52">
        <f t="shared" si="45"/>
        <v>0.8061040328024871</v>
      </c>
      <c r="I94" s="52">
        <f t="shared" si="46"/>
        <v>0.8018441084524417</v>
      </c>
      <c r="J94" s="52">
        <f t="shared" si="47"/>
        <v>0.79926214494849868</v>
      </c>
      <c r="K94" s="52">
        <f t="shared" si="48"/>
        <v>0.79764352356390911</v>
      </c>
      <c r="L94" s="52">
        <f t="shared" si="49"/>
        <v>0</v>
      </c>
      <c r="M94" s="52">
        <f t="shared" si="50"/>
        <v>0</v>
      </c>
      <c r="N94" s="52">
        <f t="shared" si="51"/>
        <v>0</v>
      </c>
      <c r="O94" s="52">
        <f t="shared" si="52"/>
        <v>0</v>
      </c>
      <c r="P94" s="52">
        <f t="shared" si="53"/>
        <v>0</v>
      </c>
      <c r="Q94" s="52">
        <f t="shared" si="54"/>
        <v>0</v>
      </c>
      <c r="R94" s="52">
        <f t="shared" si="55"/>
        <v>0</v>
      </c>
      <c r="S94" s="52">
        <f t="shared" si="56"/>
        <v>0</v>
      </c>
      <c r="T94" s="52">
        <f t="shared" si="57"/>
        <v>0</v>
      </c>
      <c r="U94" s="52">
        <f t="shared" si="58"/>
        <v>0</v>
      </c>
    </row>
    <row r="95" spans="2:62" x14ac:dyDescent="0.35">
      <c r="B95" s="52">
        <f t="shared" si="39"/>
        <v>0.87140411735421219</v>
      </c>
      <c r="C95" s="52">
        <f t="shared" si="40"/>
        <v>0.83485312370306475</v>
      </c>
      <c r="D95" s="52">
        <f t="shared" si="41"/>
        <v>0.81658393937876905</v>
      </c>
      <c r="E95" s="52">
        <f t="shared" si="42"/>
        <v>0.80734619131616725</v>
      </c>
      <c r="F95" s="52">
        <f t="shared" si="43"/>
        <v>0.80257013925144549</v>
      </c>
      <c r="G95" s="52">
        <f t="shared" si="44"/>
        <v>0.79999830381516901</v>
      </c>
      <c r="H95" s="52">
        <f t="shared" si="45"/>
        <v>0.79851547649542798</v>
      </c>
      <c r="I95" s="52">
        <f t="shared" si="46"/>
        <v>0.79757073748802643</v>
      </c>
      <c r="J95" s="52">
        <f t="shared" si="47"/>
        <v>0.79689192902106065</v>
      </c>
      <c r="K95" s="52">
        <f t="shared" si="48"/>
        <v>0</v>
      </c>
      <c r="L95" s="52">
        <f t="shared" si="49"/>
        <v>0</v>
      </c>
      <c r="M95" s="52">
        <f t="shared" si="50"/>
        <v>0</v>
      </c>
      <c r="N95" s="52">
        <f t="shared" si="51"/>
        <v>0</v>
      </c>
      <c r="O95" s="52">
        <f t="shared" si="52"/>
        <v>0</v>
      </c>
      <c r="P95" s="52">
        <f t="shared" si="53"/>
        <v>0</v>
      </c>
      <c r="Q95" s="52">
        <f t="shared" si="54"/>
        <v>0</v>
      </c>
      <c r="R95" s="52">
        <f t="shared" si="55"/>
        <v>0</v>
      </c>
      <c r="S95" s="52">
        <f t="shared" si="56"/>
        <v>0</v>
      </c>
      <c r="T95" s="52">
        <f t="shared" si="57"/>
        <v>0</v>
      </c>
      <c r="U95" s="52">
        <f t="shared" si="58"/>
        <v>0</v>
      </c>
    </row>
    <row r="96" spans="2:62" x14ac:dyDescent="0.35">
      <c r="B96" s="52">
        <f t="shared" si="39"/>
        <v>0.8</v>
      </c>
      <c r="C96" s="52">
        <f t="shared" si="40"/>
        <v>0.79957905815230845</v>
      </c>
      <c r="D96" s="52">
        <f t="shared" si="41"/>
        <v>0.79915833779466583</v>
      </c>
      <c r="E96" s="52">
        <f t="shared" si="42"/>
        <v>0.79873783881052907</v>
      </c>
      <c r="F96" s="52">
        <f t="shared" si="43"/>
        <v>0.79831756108341667</v>
      </c>
      <c r="G96" s="52">
        <f t="shared" si="44"/>
        <v>0.79789750449690788</v>
      </c>
      <c r="H96" s="52">
        <f t="shared" si="45"/>
        <v>0.79747766893464367</v>
      </c>
      <c r="I96" s="52">
        <f t="shared" si="46"/>
        <v>0.79705805428032606</v>
      </c>
      <c r="J96" s="52">
        <f t="shared" si="47"/>
        <v>0</v>
      </c>
      <c r="K96" s="52">
        <f t="shared" si="48"/>
        <v>0</v>
      </c>
      <c r="L96" s="52">
        <f t="shared" si="49"/>
        <v>0</v>
      </c>
      <c r="M96" s="52">
        <f t="shared" si="50"/>
        <v>0</v>
      </c>
      <c r="N96" s="52">
        <f t="shared" si="51"/>
        <v>0</v>
      </c>
      <c r="O96" s="52">
        <f t="shared" si="52"/>
        <v>0</v>
      </c>
      <c r="P96" s="52">
        <f t="shared" si="53"/>
        <v>0</v>
      </c>
      <c r="Q96" s="52">
        <f t="shared" si="54"/>
        <v>0</v>
      </c>
      <c r="R96" s="52">
        <f t="shared" si="55"/>
        <v>0</v>
      </c>
      <c r="S96" s="52">
        <f t="shared" si="56"/>
        <v>0</v>
      </c>
      <c r="T96" s="52">
        <f t="shared" si="57"/>
        <v>0</v>
      </c>
      <c r="U96" s="52">
        <f t="shared" si="58"/>
        <v>0</v>
      </c>
    </row>
    <row r="97" spans="2:21" x14ac:dyDescent="0.35">
      <c r="B97" s="52">
        <f t="shared" si="39"/>
        <v>0.8</v>
      </c>
      <c r="C97" s="52">
        <f t="shared" si="40"/>
        <v>0.79957905815230845</v>
      </c>
      <c r="D97" s="52">
        <f t="shared" si="41"/>
        <v>0.79915833779466583</v>
      </c>
      <c r="E97" s="52">
        <f t="shared" si="42"/>
        <v>0.79873783881052918</v>
      </c>
      <c r="F97" s="52">
        <f t="shared" si="43"/>
        <v>0.79831756108341678</v>
      </c>
      <c r="G97" s="52">
        <f t="shared" si="44"/>
        <v>0.79789750449690788</v>
      </c>
      <c r="H97" s="52">
        <f t="shared" si="45"/>
        <v>0.79747766893464367</v>
      </c>
      <c r="I97" s="52">
        <f t="shared" si="46"/>
        <v>0</v>
      </c>
      <c r="J97" s="52">
        <f t="shared" si="47"/>
        <v>0</v>
      </c>
      <c r="K97" s="52">
        <f t="shared" si="48"/>
        <v>0</v>
      </c>
      <c r="L97" s="52">
        <f t="shared" si="49"/>
        <v>0</v>
      </c>
      <c r="M97" s="52">
        <f t="shared" si="50"/>
        <v>0</v>
      </c>
      <c r="N97" s="52">
        <f t="shared" si="51"/>
        <v>0</v>
      </c>
      <c r="O97" s="52">
        <f t="shared" si="52"/>
        <v>0</v>
      </c>
      <c r="P97" s="52">
        <f t="shared" si="53"/>
        <v>0</v>
      </c>
      <c r="Q97" s="52">
        <f t="shared" si="54"/>
        <v>0</v>
      </c>
      <c r="R97" s="52">
        <f t="shared" si="55"/>
        <v>0</v>
      </c>
      <c r="S97" s="52">
        <f t="shared" si="56"/>
        <v>0</v>
      </c>
      <c r="T97" s="52">
        <f t="shared" si="57"/>
        <v>0</v>
      </c>
      <c r="U97" s="52">
        <f t="shared" si="58"/>
        <v>0</v>
      </c>
    </row>
    <row r="98" spans="2:21" x14ac:dyDescent="0.35">
      <c r="B98" s="52">
        <f t="shared" si="39"/>
        <v>0.8</v>
      </c>
      <c r="C98" s="52">
        <f t="shared" si="40"/>
        <v>0.79957905815230845</v>
      </c>
      <c r="D98" s="52">
        <f t="shared" si="41"/>
        <v>0.79915833779466594</v>
      </c>
      <c r="E98" s="52">
        <f t="shared" si="42"/>
        <v>0.79873783881052929</v>
      </c>
      <c r="F98" s="52">
        <f t="shared" si="43"/>
        <v>0.79831756108341667</v>
      </c>
      <c r="G98" s="52">
        <f t="shared" si="44"/>
        <v>0.79789750449690788</v>
      </c>
      <c r="H98" s="52">
        <f t="shared" si="45"/>
        <v>0</v>
      </c>
      <c r="I98" s="52">
        <f t="shared" si="46"/>
        <v>0</v>
      </c>
      <c r="J98" s="52">
        <f t="shared" si="47"/>
        <v>0</v>
      </c>
      <c r="K98" s="52">
        <f t="shared" si="48"/>
        <v>0</v>
      </c>
      <c r="L98" s="52">
        <f t="shared" si="49"/>
        <v>0</v>
      </c>
      <c r="M98" s="52">
        <f t="shared" si="50"/>
        <v>0</v>
      </c>
      <c r="N98" s="52">
        <f t="shared" si="51"/>
        <v>0</v>
      </c>
      <c r="O98" s="52">
        <f t="shared" si="52"/>
        <v>0</v>
      </c>
      <c r="P98" s="52">
        <f t="shared" si="53"/>
        <v>0</v>
      </c>
      <c r="Q98" s="52">
        <f t="shared" si="54"/>
        <v>0</v>
      </c>
      <c r="R98" s="52">
        <f t="shared" si="55"/>
        <v>0</v>
      </c>
      <c r="S98" s="52">
        <f t="shared" si="56"/>
        <v>0</v>
      </c>
      <c r="T98" s="52">
        <f t="shared" si="57"/>
        <v>0</v>
      </c>
      <c r="U98" s="52">
        <f t="shared" si="58"/>
        <v>0</v>
      </c>
    </row>
    <row r="99" spans="2:21" x14ac:dyDescent="0.35">
      <c r="B99" s="52">
        <f t="shared" si="39"/>
        <v>0.8</v>
      </c>
      <c r="C99" s="52">
        <f t="shared" si="40"/>
        <v>0.79957905815230856</v>
      </c>
      <c r="D99" s="52">
        <f t="shared" si="41"/>
        <v>0.79915833779466594</v>
      </c>
      <c r="E99" s="52">
        <f t="shared" si="42"/>
        <v>0.79873783881052929</v>
      </c>
      <c r="F99" s="52">
        <f t="shared" si="43"/>
        <v>0.79831756108341656</v>
      </c>
      <c r="G99" s="52">
        <f t="shared" si="44"/>
        <v>0</v>
      </c>
      <c r="H99" s="52">
        <f t="shared" si="45"/>
        <v>0</v>
      </c>
      <c r="I99" s="52">
        <f t="shared" si="46"/>
        <v>0</v>
      </c>
      <c r="J99" s="52">
        <f t="shared" si="47"/>
        <v>0</v>
      </c>
      <c r="K99" s="52">
        <f t="shared" si="48"/>
        <v>0</v>
      </c>
      <c r="L99" s="52">
        <f t="shared" si="49"/>
        <v>0</v>
      </c>
      <c r="M99" s="52">
        <f t="shared" si="50"/>
        <v>0</v>
      </c>
      <c r="N99" s="52">
        <f t="shared" si="51"/>
        <v>0</v>
      </c>
      <c r="O99" s="52">
        <f t="shared" si="52"/>
        <v>0</v>
      </c>
      <c r="P99" s="52">
        <f t="shared" si="53"/>
        <v>0</v>
      </c>
      <c r="Q99" s="52">
        <f t="shared" si="54"/>
        <v>0</v>
      </c>
      <c r="R99" s="52">
        <f t="shared" si="55"/>
        <v>0</v>
      </c>
      <c r="S99" s="52">
        <f t="shared" si="56"/>
        <v>0</v>
      </c>
      <c r="T99" s="52">
        <f t="shared" si="57"/>
        <v>0</v>
      </c>
      <c r="U99" s="52">
        <f t="shared" si="58"/>
        <v>0</v>
      </c>
    </row>
    <row r="100" spans="2:21" x14ac:dyDescent="0.35">
      <c r="B100" s="52">
        <f t="shared" si="39"/>
        <v>0.8</v>
      </c>
      <c r="C100" s="52">
        <f t="shared" si="40"/>
        <v>0.79957905815230856</v>
      </c>
      <c r="D100" s="52">
        <f t="shared" si="41"/>
        <v>0.79915833779466583</v>
      </c>
      <c r="E100" s="52">
        <f t="shared" si="42"/>
        <v>0.79873783881052907</v>
      </c>
      <c r="F100" s="52">
        <f t="shared" si="43"/>
        <v>0</v>
      </c>
      <c r="G100" s="52">
        <f t="shared" si="44"/>
        <v>0</v>
      </c>
      <c r="H100" s="52">
        <f t="shared" si="45"/>
        <v>0</v>
      </c>
      <c r="I100" s="52">
        <f t="shared" si="46"/>
        <v>0</v>
      </c>
      <c r="J100" s="52">
        <f t="shared" si="47"/>
        <v>0</v>
      </c>
      <c r="K100" s="52">
        <f t="shared" si="48"/>
        <v>0</v>
      </c>
      <c r="L100" s="52">
        <f t="shared" si="49"/>
        <v>0</v>
      </c>
      <c r="M100" s="52">
        <f t="shared" si="50"/>
        <v>0</v>
      </c>
      <c r="N100" s="52">
        <f t="shared" si="51"/>
        <v>0</v>
      </c>
      <c r="O100" s="52">
        <f t="shared" si="52"/>
        <v>0</v>
      </c>
      <c r="P100" s="52">
        <f t="shared" si="53"/>
        <v>0</v>
      </c>
      <c r="Q100" s="52">
        <f t="shared" si="54"/>
        <v>0</v>
      </c>
      <c r="R100" s="52">
        <f t="shared" si="55"/>
        <v>0</v>
      </c>
      <c r="S100" s="52">
        <f t="shared" si="56"/>
        <v>0</v>
      </c>
      <c r="T100" s="52">
        <f t="shared" si="57"/>
        <v>0</v>
      </c>
      <c r="U100" s="52">
        <f t="shared" si="58"/>
        <v>0</v>
      </c>
    </row>
    <row r="101" spans="2:21" x14ac:dyDescent="0.35">
      <c r="B101" s="52">
        <f t="shared" si="39"/>
        <v>0.8</v>
      </c>
      <c r="C101" s="52">
        <f t="shared" si="40"/>
        <v>0.79957905815230856</v>
      </c>
      <c r="D101" s="52">
        <f t="shared" si="41"/>
        <v>0.79915833779466583</v>
      </c>
      <c r="E101" s="52">
        <f t="shared" si="42"/>
        <v>0</v>
      </c>
      <c r="F101" s="52">
        <f t="shared" si="43"/>
        <v>0</v>
      </c>
      <c r="G101" s="52">
        <f t="shared" si="44"/>
        <v>0</v>
      </c>
      <c r="H101" s="52">
        <f t="shared" si="45"/>
        <v>0</v>
      </c>
      <c r="I101" s="52">
        <f t="shared" si="46"/>
        <v>0</v>
      </c>
      <c r="J101" s="52">
        <f t="shared" si="47"/>
        <v>0</v>
      </c>
      <c r="K101" s="52">
        <f t="shared" si="48"/>
        <v>0</v>
      </c>
      <c r="L101" s="52">
        <f t="shared" si="49"/>
        <v>0</v>
      </c>
      <c r="M101" s="52">
        <f t="shared" si="50"/>
        <v>0</v>
      </c>
      <c r="N101" s="52">
        <f t="shared" si="51"/>
        <v>0</v>
      </c>
      <c r="O101" s="52">
        <f t="shared" si="52"/>
        <v>0</v>
      </c>
      <c r="P101" s="52">
        <f t="shared" si="53"/>
        <v>0</v>
      </c>
      <c r="Q101" s="52">
        <f t="shared" si="54"/>
        <v>0</v>
      </c>
      <c r="R101" s="52">
        <f t="shared" si="55"/>
        <v>0</v>
      </c>
      <c r="S101" s="52">
        <f t="shared" si="56"/>
        <v>0</v>
      </c>
      <c r="T101" s="52">
        <f t="shared" si="57"/>
        <v>0</v>
      </c>
      <c r="U101" s="52">
        <f t="shared" si="58"/>
        <v>0</v>
      </c>
    </row>
    <row r="102" spans="2:21" x14ac:dyDescent="0.35">
      <c r="B102" s="52">
        <f t="shared" si="39"/>
        <v>0.8</v>
      </c>
      <c r="C102" s="52">
        <f t="shared" si="40"/>
        <v>0.79957905815230856</v>
      </c>
      <c r="D102" s="52">
        <f t="shared" si="41"/>
        <v>0</v>
      </c>
      <c r="E102" s="52">
        <f t="shared" si="42"/>
        <v>0</v>
      </c>
      <c r="F102" s="52">
        <f t="shared" si="43"/>
        <v>0</v>
      </c>
      <c r="G102" s="52">
        <f t="shared" si="44"/>
        <v>0</v>
      </c>
      <c r="H102" s="52">
        <f t="shared" si="45"/>
        <v>0</v>
      </c>
      <c r="I102" s="52">
        <f t="shared" si="46"/>
        <v>0</v>
      </c>
      <c r="J102" s="52">
        <f t="shared" si="47"/>
        <v>0</v>
      </c>
      <c r="K102" s="52">
        <f t="shared" si="48"/>
        <v>0</v>
      </c>
      <c r="L102" s="52">
        <f t="shared" si="49"/>
        <v>0</v>
      </c>
      <c r="M102" s="52">
        <f t="shared" si="50"/>
        <v>0</v>
      </c>
      <c r="N102" s="52">
        <f t="shared" si="51"/>
        <v>0</v>
      </c>
      <c r="O102" s="52">
        <f t="shared" si="52"/>
        <v>0</v>
      </c>
      <c r="P102" s="52">
        <f t="shared" si="53"/>
        <v>0</v>
      </c>
      <c r="Q102" s="52">
        <f t="shared" si="54"/>
        <v>0</v>
      </c>
      <c r="R102" s="52">
        <f t="shared" si="55"/>
        <v>0</v>
      </c>
      <c r="S102" s="52">
        <f t="shared" si="56"/>
        <v>0</v>
      </c>
      <c r="T102" s="52">
        <f t="shared" si="57"/>
        <v>0</v>
      </c>
      <c r="U102" s="52">
        <f t="shared" si="58"/>
        <v>0</v>
      </c>
    </row>
    <row r="103" spans="2:21" x14ac:dyDescent="0.35">
      <c r="B103" s="52">
        <f t="shared" si="39"/>
        <v>0.8</v>
      </c>
      <c r="C103" s="52">
        <f t="shared" si="40"/>
        <v>0</v>
      </c>
      <c r="D103" s="52">
        <f t="shared" si="41"/>
        <v>0</v>
      </c>
      <c r="E103" s="52">
        <f t="shared" si="42"/>
        <v>0</v>
      </c>
      <c r="F103" s="52">
        <f t="shared" si="43"/>
        <v>0</v>
      </c>
      <c r="G103" s="52">
        <f t="shared" si="44"/>
        <v>0</v>
      </c>
      <c r="H103" s="52">
        <f t="shared" si="45"/>
        <v>0</v>
      </c>
      <c r="I103" s="52">
        <f t="shared" si="46"/>
        <v>0</v>
      </c>
      <c r="J103" s="52">
        <f t="shared" si="47"/>
        <v>0</v>
      </c>
      <c r="K103" s="52">
        <f t="shared" si="48"/>
        <v>0</v>
      </c>
      <c r="L103" s="52">
        <f t="shared" si="49"/>
        <v>0</v>
      </c>
      <c r="M103" s="52">
        <f t="shared" si="50"/>
        <v>0</v>
      </c>
      <c r="N103" s="52">
        <f t="shared" si="51"/>
        <v>0</v>
      </c>
      <c r="O103" s="52">
        <f t="shared" si="52"/>
        <v>0</v>
      </c>
      <c r="P103" s="52">
        <f t="shared" si="53"/>
        <v>0</v>
      </c>
      <c r="Q103" s="52">
        <f t="shared" si="54"/>
        <v>0</v>
      </c>
      <c r="R103" s="52">
        <f t="shared" si="55"/>
        <v>0</v>
      </c>
      <c r="S103" s="52">
        <f t="shared" si="56"/>
        <v>0</v>
      </c>
      <c r="T103" s="52">
        <f t="shared" si="57"/>
        <v>0</v>
      </c>
      <c r="U103" s="52">
        <f t="shared" si="58"/>
        <v>0</v>
      </c>
    </row>
    <row r="106" spans="2:21" x14ac:dyDescent="0.35">
      <c r="D106" s="5" t="s">
        <v>61</v>
      </c>
      <c r="E106" s="5" t="s">
        <v>63</v>
      </c>
      <c r="Q106" s="5" t="s">
        <v>61</v>
      </c>
      <c r="R106" s="5" t="s">
        <v>62</v>
      </c>
    </row>
    <row r="107" spans="2:21" x14ac:dyDescent="0.35">
      <c r="D107" s="5">
        <v>0</v>
      </c>
      <c r="E107" s="56">
        <f>B84-U15</f>
        <v>-1.1911628331990156</v>
      </c>
      <c r="Q107" s="5">
        <f>U15</f>
        <v>2.3911628331990156</v>
      </c>
      <c r="R107" s="56">
        <f>B84</f>
        <v>1.2</v>
      </c>
    </row>
    <row r="108" spans="2:21" x14ac:dyDescent="0.35">
      <c r="D108" s="5">
        <v>1</v>
      </c>
      <c r="E108" s="56">
        <f t="shared" ref="E108:E126" si="59">B85-U16</f>
        <v>-0.98150170501391121</v>
      </c>
      <c r="Q108" s="5">
        <f t="shared" ref="Q108:Q126" si="60">U16</f>
        <v>2.1815017050139112</v>
      </c>
      <c r="R108" s="56">
        <f t="shared" ref="R108:R126" si="61">B85</f>
        <v>1.2</v>
      </c>
    </row>
    <row r="109" spans="2:21" x14ac:dyDescent="0.35">
      <c r="D109" s="5">
        <v>2</v>
      </c>
      <c r="E109" s="56">
        <f t="shared" si="59"/>
        <v>-0.79022401272934029</v>
      </c>
      <c r="Q109" s="5">
        <f t="shared" si="60"/>
        <v>1.9902240127293402</v>
      </c>
      <c r="R109" s="56">
        <f t="shared" si="61"/>
        <v>1.2</v>
      </c>
    </row>
    <row r="110" spans="2:21" x14ac:dyDescent="0.35">
      <c r="D110" s="5">
        <v>3</v>
      </c>
      <c r="E110" s="56">
        <f t="shared" si="59"/>
        <v>-0.61571786615643176</v>
      </c>
      <c r="Q110" s="5">
        <f t="shared" si="60"/>
        <v>1.8157178661564317</v>
      </c>
      <c r="R110" s="56">
        <f t="shared" si="61"/>
        <v>1.2</v>
      </c>
    </row>
    <row r="111" spans="2:21" x14ac:dyDescent="0.35">
      <c r="D111" s="5">
        <v>4</v>
      </c>
      <c r="E111" s="56">
        <f t="shared" si="59"/>
        <v>-0.45651270831491919</v>
      </c>
      <c r="Q111" s="5">
        <f t="shared" si="60"/>
        <v>1.6565127083149191</v>
      </c>
      <c r="R111" s="56">
        <f t="shared" si="61"/>
        <v>1.2</v>
      </c>
    </row>
    <row r="112" spans="2:21" x14ac:dyDescent="0.35">
      <c r="D112" s="5">
        <v>5</v>
      </c>
      <c r="E112" s="56">
        <f t="shared" si="59"/>
        <v>-0.31126692310269899</v>
      </c>
      <c r="Q112" s="5">
        <f t="shared" si="60"/>
        <v>1.5112669231026989</v>
      </c>
      <c r="R112" s="56">
        <f t="shared" si="61"/>
        <v>1.2</v>
      </c>
    </row>
    <row r="113" spans="4:18" x14ac:dyDescent="0.35">
      <c r="D113" s="5">
        <v>6</v>
      </c>
      <c r="E113" s="56">
        <f t="shared" si="59"/>
        <v>-0.17875652954550225</v>
      </c>
      <c r="Q113" s="5">
        <f t="shared" si="60"/>
        <v>1.3787565295455022</v>
      </c>
      <c r="R113" s="56">
        <f t="shared" si="61"/>
        <v>1.2</v>
      </c>
    </row>
    <row r="114" spans="4:18" x14ac:dyDescent="0.35">
      <c r="D114" s="5">
        <v>7</v>
      </c>
      <c r="E114" s="56">
        <f t="shared" si="59"/>
        <v>-5.7864867353532246E-2</v>
      </c>
      <c r="Q114" s="5">
        <f t="shared" si="60"/>
        <v>1.2578648673535322</v>
      </c>
      <c r="R114" s="56">
        <f t="shared" si="61"/>
        <v>1.2</v>
      </c>
    </row>
    <row r="115" spans="4:18" x14ac:dyDescent="0.35">
      <c r="D115" s="5">
        <v>8</v>
      </c>
      <c r="E115" s="56">
        <f t="shared" si="59"/>
        <v>0</v>
      </c>
      <c r="Q115" s="5">
        <f t="shared" si="60"/>
        <v>1.1475731868656236</v>
      </c>
      <c r="R115" s="56">
        <f t="shared" si="61"/>
        <v>1.1475731868656236</v>
      </c>
    </row>
    <row r="116" spans="4:18" x14ac:dyDescent="0.35">
      <c r="D116" s="5">
        <v>9</v>
      </c>
      <c r="E116" s="56">
        <f t="shared" si="59"/>
        <v>0</v>
      </c>
      <c r="Q116" s="5">
        <f t="shared" si="60"/>
        <v>1.0469520640827248</v>
      </c>
      <c r="R116" s="56">
        <f t="shared" si="61"/>
        <v>1.0469520640827248</v>
      </c>
    </row>
    <row r="117" spans="4:18" x14ac:dyDescent="0.35">
      <c r="D117" s="5">
        <v>10</v>
      </c>
      <c r="E117" s="56">
        <f t="shared" si="59"/>
        <v>0</v>
      </c>
      <c r="Q117" s="5">
        <f t="shared" si="60"/>
        <v>0.95515356844550259</v>
      </c>
      <c r="R117" s="56">
        <f t="shared" si="61"/>
        <v>0.95515356844550259</v>
      </c>
    </row>
    <row r="118" spans="4:18" x14ac:dyDescent="0.35">
      <c r="D118" s="5">
        <v>11</v>
      </c>
      <c r="E118" s="56">
        <f t="shared" si="59"/>
        <v>0</v>
      </c>
      <c r="Q118" s="5">
        <f t="shared" si="60"/>
        <v>0.87140411735421219</v>
      </c>
      <c r="R118" s="56">
        <f t="shared" si="61"/>
        <v>0.87140411735421219</v>
      </c>
    </row>
    <row r="119" spans="4:18" x14ac:dyDescent="0.35">
      <c r="D119" s="5">
        <v>12</v>
      </c>
      <c r="E119" s="56">
        <f t="shared" si="59"/>
        <v>5.0020427838678438E-3</v>
      </c>
      <c r="Q119" s="5">
        <f t="shared" si="60"/>
        <v>0.7949979572161322</v>
      </c>
      <c r="R119" s="56">
        <f t="shared" si="61"/>
        <v>0.8</v>
      </c>
    </row>
    <row r="120" spans="4:18" x14ac:dyDescent="0.35">
      <c r="D120" s="5">
        <v>13</v>
      </c>
      <c r="E120" s="56">
        <f t="shared" si="59"/>
        <v>7.4708783914414156E-2</v>
      </c>
      <c r="Q120" s="5">
        <f t="shared" si="60"/>
        <v>0.72529121608558589</v>
      </c>
      <c r="R120" s="56">
        <f t="shared" si="61"/>
        <v>0.8</v>
      </c>
    </row>
    <row r="121" spans="4:18" x14ac:dyDescent="0.35">
      <c r="D121" s="5">
        <v>14</v>
      </c>
      <c r="E121" s="56">
        <f t="shared" si="59"/>
        <v>0.13830352222163744</v>
      </c>
      <c r="Q121" s="5">
        <f t="shared" si="60"/>
        <v>0.6616964777783626</v>
      </c>
      <c r="R121" s="56">
        <f t="shared" si="61"/>
        <v>0.8</v>
      </c>
    </row>
    <row r="122" spans="4:18" x14ac:dyDescent="0.35">
      <c r="D122" s="5">
        <v>15</v>
      </c>
      <c r="E122" s="56">
        <f t="shared" si="59"/>
        <v>0.19632216826320326</v>
      </c>
      <c r="Q122" s="5">
        <f t="shared" si="60"/>
        <v>0.60367783173679679</v>
      </c>
      <c r="R122" s="56">
        <f t="shared" si="61"/>
        <v>0.8</v>
      </c>
    </row>
    <row r="123" spans="4:18" x14ac:dyDescent="0.35">
      <c r="D123" s="5">
        <v>16</v>
      </c>
      <c r="E123" s="56">
        <f t="shared" si="59"/>
        <v>0.24925364306910158</v>
      </c>
      <c r="Q123" s="5">
        <f t="shared" si="60"/>
        <v>0.55074635693089846</v>
      </c>
      <c r="R123" s="56">
        <f t="shared" si="61"/>
        <v>0.8</v>
      </c>
    </row>
    <row r="124" spans="4:18" x14ac:dyDescent="0.35">
      <c r="D124" s="5">
        <v>17</v>
      </c>
      <c r="E124" s="56">
        <f t="shared" si="59"/>
        <v>0.29754399826146904</v>
      </c>
      <c r="Q124" s="5">
        <f t="shared" si="60"/>
        <v>0.502456001738531</v>
      </c>
      <c r="R124" s="56">
        <f t="shared" si="61"/>
        <v>0.8</v>
      </c>
    </row>
    <row r="125" spans="4:18" x14ac:dyDescent="0.35">
      <c r="D125" s="5">
        <v>18</v>
      </c>
      <c r="E125" s="56">
        <f t="shared" si="59"/>
        <v>0.34160017491546157</v>
      </c>
      <c r="Q125" s="5">
        <f t="shared" si="60"/>
        <v>0.45839982508453847</v>
      </c>
      <c r="R125" s="56">
        <f t="shared" si="61"/>
        <v>0.8</v>
      </c>
    </row>
    <row r="126" spans="4:18" x14ac:dyDescent="0.35">
      <c r="D126" s="5">
        <v>19</v>
      </c>
      <c r="E126" s="56">
        <f t="shared" si="59"/>
        <v>0.3817934328369641</v>
      </c>
      <c r="Q126" s="5">
        <f t="shared" si="60"/>
        <v>0.41820656716303595</v>
      </c>
      <c r="R126" s="56">
        <f t="shared" si="61"/>
        <v>0.8</v>
      </c>
    </row>
  </sheetData>
  <mergeCells count="13">
    <mergeCell ref="A1:H1"/>
    <mergeCell ref="A2:H2"/>
    <mergeCell ref="A3:H3"/>
    <mergeCell ref="O5:P5"/>
    <mergeCell ref="B13:U13"/>
    <mergeCell ref="U5:V5"/>
    <mergeCell ref="AQ13:BJ13"/>
    <mergeCell ref="AQ36:BJ36"/>
    <mergeCell ref="AQ59:BJ59"/>
    <mergeCell ref="AQ82:BJ82"/>
    <mergeCell ref="B36:U36"/>
    <mergeCell ref="B59:U59"/>
    <mergeCell ref="B82:U8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7C45-7B5D-4A4C-94DE-4D2C78BBBBE4}">
  <dimension ref="A1:BJ126"/>
  <sheetViews>
    <sheetView zoomScale="55" zoomScaleNormal="55" workbookViewId="0">
      <selection activeCell="Z46" sqref="Z46"/>
    </sheetView>
  </sheetViews>
  <sheetFormatPr defaultColWidth="8.77734375" defaultRowHeight="18" x14ac:dyDescent="0.35"/>
  <cols>
    <col min="1" max="1" width="15.44140625" style="5" bestFit="1" customWidth="1"/>
    <col min="2" max="2" width="18.109375" style="5" bestFit="1" customWidth="1"/>
    <col min="3" max="4" width="15.77734375" style="5" bestFit="1" customWidth="1"/>
    <col min="5" max="14" width="11" style="5" bestFit="1" customWidth="1"/>
    <col min="15" max="15" width="11.21875" style="5" bestFit="1" customWidth="1"/>
    <col min="16" max="17" width="11" style="5" bestFit="1" customWidth="1"/>
    <col min="18" max="18" width="15.77734375" style="5" bestFit="1" customWidth="1"/>
    <col min="19" max="19" width="16.5546875" style="5" bestFit="1" customWidth="1"/>
    <col min="20" max="20" width="15.77734375" style="5" bestFit="1" customWidth="1"/>
    <col min="21" max="21" width="11" style="5" bestFit="1" customWidth="1"/>
    <col min="22" max="22" width="16.5546875" style="5" bestFit="1" customWidth="1"/>
    <col min="23" max="24" width="8.77734375" style="5"/>
    <col min="25" max="25" width="9.5546875" style="5" bestFit="1" customWidth="1"/>
    <col min="26" max="16384" width="8.77734375" style="5"/>
  </cols>
  <sheetData>
    <row r="1" spans="1:62" s="15" customFormat="1" ht="21" x14ac:dyDescent="0.4">
      <c r="A1" s="62" t="s">
        <v>22</v>
      </c>
      <c r="B1" s="62"/>
      <c r="C1" s="62"/>
      <c r="D1" s="62"/>
      <c r="E1" s="62"/>
      <c r="F1" s="62"/>
      <c r="G1" s="62"/>
      <c r="H1" s="62"/>
    </row>
    <row r="2" spans="1:62" s="15" customFormat="1" ht="21" x14ac:dyDescent="0.4">
      <c r="A2" s="62" t="s">
        <v>41</v>
      </c>
      <c r="B2" s="62"/>
      <c r="C2" s="62"/>
      <c r="D2" s="62"/>
      <c r="E2" s="62"/>
      <c r="F2" s="62"/>
      <c r="G2" s="62"/>
      <c r="H2" s="62"/>
    </row>
    <row r="3" spans="1:62" s="15" customFormat="1" ht="21" x14ac:dyDescent="0.4">
      <c r="A3" s="62"/>
      <c r="B3" s="62"/>
      <c r="C3" s="62"/>
      <c r="D3" s="62"/>
      <c r="E3" s="62"/>
      <c r="F3" s="62"/>
      <c r="G3" s="62"/>
      <c r="H3" s="62"/>
    </row>
    <row r="4" spans="1:62" ht="18.600000000000001" thickBot="1" x14ac:dyDescent="0.4"/>
    <row r="5" spans="1:62" ht="18.600000000000001" thickBot="1" x14ac:dyDescent="0.4">
      <c r="A5" s="25" t="s">
        <v>24</v>
      </c>
      <c r="B5" s="9" t="s">
        <v>0</v>
      </c>
      <c r="C5" s="9">
        <v>1</v>
      </c>
      <c r="D5" s="9"/>
      <c r="E5" s="34" t="s">
        <v>1</v>
      </c>
      <c r="F5" s="12">
        <f>EXP(C6*(C7/C8)^0.5)</f>
        <v>1.0469520640827252</v>
      </c>
      <c r="J5" s="41" t="s">
        <v>11</v>
      </c>
      <c r="K5" s="40">
        <f>(EXP(C9*C7/C8)-F6)/(F5-F6)</f>
        <v>0.49426611577314755</v>
      </c>
      <c r="O5" s="64" t="s">
        <v>51</v>
      </c>
      <c r="P5" s="65"/>
      <c r="S5" s="5" t="s">
        <v>53</v>
      </c>
      <c r="U5" s="70" t="s">
        <v>56</v>
      </c>
      <c r="V5" s="70"/>
    </row>
    <row r="6" spans="1:62" ht="18.600000000000001" thickBot="1" x14ac:dyDescent="0.4">
      <c r="A6" s="25" t="s">
        <v>26</v>
      </c>
      <c r="B6" s="9" t="s">
        <v>2</v>
      </c>
      <c r="C6" s="9">
        <v>0.2</v>
      </c>
      <c r="D6" s="9"/>
      <c r="E6" s="34" t="s">
        <v>5</v>
      </c>
      <c r="F6" s="12">
        <f>1/F5</f>
        <v>0.95515356844550303</v>
      </c>
      <c r="J6" s="35" t="s">
        <v>12</v>
      </c>
      <c r="K6" s="7">
        <f>1-K5</f>
        <v>0.50573388422685239</v>
      </c>
      <c r="O6" s="6" t="s">
        <v>14</v>
      </c>
      <c r="P6" s="7">
        <f>(LN(C5/C10)+(C9+C6*C6/2)*C7)/C6*SQRT(C7)</f>
        <v>-0.76160778396977291</v>
      </c>
      <c r="S6" s="55">
        <f>V6</f>
        <v>-0.76160778396977291</v>
      </c>
      <c r="U6" s="55" t="s">
        <v>14</v>
      </c>
      <c r="V6" s="55">
        <f>P6</f>
        <v>-0.76160778396977291</v>
      </c>
    </row>
    <row r="7" spans="1:62" ht="18.600000000000001" thickBot="1" x14ac:dyDescent="0.4">
      <c r="A7" s="25" t="s">
        <v>27</v>
      </c>
      <c r="B7" s="9" t="s">
        <v>3</v>
      </c>
      <c r="C7" s="9">
        <v>1</v>
      </c>
      <c r="D7" s="9"/>
      <c r="E7" s="9"/>
      <c r="F7" s="12"/>
      <c r="J7" s="42" t="s">
        <v>13</v>
      </c>
      <c r="K7" s="17">
        <f>EXP(-C9*C7/C8)</f>
        <v>0.99947382269038565</v>
      </c>
      <c r="O7" s="6" t="s">
        <v>15</v>
      </c>
      <c r="P7" s="7">
        <f>P6-C6*SQRT(C7)</f>
        <v>-0.96160778396977298</v>
      </c>
      <c r="S7" s="5">
        <f>V7</f>
        <v>-0.96160778396977298</v>
      </c>
      <c r="U7" s="55" t="s">
        <v>15</v>
      </c>
      <c r="V7" s="55">
        <f>P7</f>
        <v>-0.96160778396977298</v>
      </c>
    </row>
    <row r="8" spans="1:62" ht="18.600000000000001" thickBot="1" x14ac:dyDescent="0.4">
      <c r="A8" s="25" t="s">
        <v>25</v>
      </c>
      <c r="B8" s="9" t="s">
        <v>4</v>
      </c>
      <c r="C8" s="26">
        <v>19</v>
      </c>
      <c r="D8" s="9"/>
      <c r="E8" s="9"/>
      <c r="F8" s="12"/>
      <c r="O8" s="6" t="s">
        <v>16</v>
      </c>
      <c r="P8" s="7">
        <f>_xlfn.NORM.S.DIST(P6,TRUE)</f>
        <v>0.22314706384075533</v>
      </c>
      <c r="R8" s="5" t="s">
        <v>54</v>
      </c>
      <c r="S8" s="5">
        <f>_xlfn.NORM.S.DIST(-P6,TRUE)</f>
        <v>0.77685293615924467</v>
      </c>
      <c r="U8" s="55" t="s">
        <v>16</v>
      </c>
      <c r="V8" s="55">
        <f>_xlfn.NORM.S.DIST(P6,TRUE)</f>
        <v>0.22314706384075533</v>
      </c>
    </row>
    <row r="9" spans="1:62" ht="18.600000000000001" thickBot="1" x14ac:dyDescent="0.4">
      <c r="A9" s="25" t="s">
        <v>28</v>
      </c>
      <c r="B9" s="9" t="s">
        <v>6</v>
      </c>
      <c r="C9" s="9">
        <v>0.01</v>
      </c>
      <c r="D9" s="9"/>
      <c r="E9" s="9"/>
      <c r="F9" s="12"/>
      <c r="O9" s="6" t="s">
        <v>17</v>
      </c>
      <c r="P9" s="7">
        <f>_xlfn.NORM.S.DIST(P7,TRUE)</f>
        <v>0.16812332997925161</v>
      </c>
      <c r="R9" s="5" t="s">
        <v>55</v>
      </c>
      <c r="S9" s="5">
        <f>_xlfn.NORM.S.DIST(-P7,TRUE)</f>
        <v>0.83187667002074839</v>
      </c>
      <c r="T9" s="5" t="s">
        <v>59</v>
      </c>
      <c r="U9" s="55" t="s">
        <v>17</v>
      </c>
      <c r="V9" s="55">
        <f>_xlfn.NORM.S.DIST(P7,TRUE)</f>
        <v>0.16812332997925161</v>
      </c>
    </row>
    <row r="10" spans="1:62" ht="18.600000000000001" thickBot="1" x14ac:dyDescent="0.4">
      <c r="A10" s="25" t="s">
        <v>42</v>
      </c>
      <c r="B10" s="9" t="s">
        <v>9</v>
      </c>
      <c r="C10" s="9">
        <v>1.2</v>
      </c>
      <c r="D10" s="9"/>
      <c r="E10" s="9"/>
      <c r="F10" s="12"/>
      <c r="O10" s="13" t="s">
        <v>50</v>
      </c>
      <c r="P10" s="14">
        <f>C5*P8-C10*EXP(-C9*C7)*P9</f>
        <v>2.3406493966377839E-2</v>
      </c>
      <c r="S10" s="54">
        <f>V10+EXP(-C9*C7)*C11-C5</f>
        <v>4.6746422694608825E-2</v>
      </c>
      <c r="T10" s="54">
        <f>EXP(-C9*C7)*C11*S9-C5*S8</f>
        <v>4.6746422694608825E-2</v>
      </c>
      <c r="U10" s="55" t="s">
        <v>50</v>
      </c>
      <c r="V10" s="55">
        <f>-EXP(-C9*C7)*C11*V9+C5*V8</f>
        <v>5.6696588945440746E-2</v>
      </c>
    </row>
    <row r="11" spans="1:62" ht="18.600000000000001" thickBot="1" x14ac:dyDescent="0.4">
      <c r="A11" s="25" t="s">
        <v>43</v>
      </c>
      <c r="B11" s="9" t="s">
        <v>9</v>
      </c>
      <c r="C11" s="9">
        <v>1</v>
      </c>
      <c r="D11" s="9"/>
      <c r="E11" s="9"/>
      <c r="F11" s="12"/>
      <c r="P11"/>
      <c r="S11" s="5" t="s">
        <v>57</v>
      </c>
      <c r="T11" s="5" t="s">
        <v>58</v>
      </c>
    </row>
    <row r="12" spans="1:62" ht="18.600000000000001" thickBot="1" x14ac:dyDescent="0.4">
      <c r="K12" s="5" t="s">
        <v>52</v>
      </c>
      <c r="S12" s="5" t="s">
        <v>60</v>
      </c>
    </row>
    <row r="13" spans="1:62" ht="18.600000000000001" thickBot="1" x14ac:dyDescent="0.4">
      <c r="B13" s="57" t="s">
        <v>7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9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</row>
    <row r="14" spans="1:62" ht="18.600000000000001" thickBot="1" x14ac:dyDescent="0.4">
      <c r="B14" s="25">
        <v>0</v>
      </c>
      <c r="C14" s="34">
        <v>1</v>
      </c>
      <c r="D14" s="34">
        <v>2</v>
      </c>
      <c r="E14" s="34">
        <v>3</v>
      </c>
      <c r="F14" s="34">
        <v>4</v>
      </c>
      <c r="G14" s="34">
        <v>5</v>
      </c>
      <c r="H14" s="34">
        <v>6</v>
      </c>
      <c r="I14" s="34">
        <v>7</v>
      </c>
      <c r="J14" s="34">
        <v>8</v>
      </c>
      <c r="K14" s="34">
        <v>9</v>
      </c>
      <c r="L14" s="34">
        <v>10</v>
      </c>
      <c r="M14" s="34">
        <v>11</v>
      </c>
      <c r="N14" s="34">
        <v>12</v>
      </c>
      <c r="O14" s="34">
        <v>13</v>
      </c>
      <c r="P14" s="34">
        <v>14</v>
      </c>
      <c r="Q14" s="34">
        <v>15</v>
      </c>
      <c r="R14" s="34">
        <v>16</v>
      </c>
      <c r="S14" s="34">
        <v>17</v>
      </c>
      <c r="T14" s="34">
        <v>18</v>
      </c>
      <c r="U14" s="43">
        <v>19</v>
      </c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</row>
    <row r="15" spans="1:62" x14ac:dyDescent="0.35">
      <c r="B15" s="6">
        <v>1</v>
      </c>
      <c r="C15" s="5">
        <f>B15*$F$5</f>
        <v>1.0469520640827252</v>
      </c>
      <c r="D15" s="5">
        <f t="shared" ref="D15:U15" si="0">C15*$F$5</f>
        <v>1.0961086244870788</v>
      </c>
      <c r="E15" s="5">
        <f t="shared" si="0"/>
        <v>1.1475731868656238</v>
      </c>
      <c r="F15" s="5">
        <f t="shared" si="0"/>
        <v>1.2014541166749557</v>
      </c>
      <c r="G15" s="5">
        <f t="shared" si="0"/>
        <v>1.2578648673535322</v>
      </c>
      <c r="H15" s="5">
        <f t="shared" si="0"/>
        <v>1.316924219212924</v>
      </c>
      <c r="I15" s="5">
        <f t="shared" si="0"/>
        <v>1.3787565295455022</v>
      </c>
      <c r="J15" s="5">
        <f t="shared" si="0"/>
        <v>1.4434919944751985</v>
      </c>
      <c r="K15" s="5">
        <f t="shared" si="0"/>
        <v>1.5112669231026989</v>
      </c>
      <c r="L15" s="5">
        <f t="shared" si="0"/>
        <v>1.5822240245223198</v>
      </c>
      <c r="M15" s="5">
        <f t="shared" si="0"/>
        <v>1.6565127083149191</v>
      </c>
      <c r="N15" s="5">
        <f t="shared" si="0"/>
        <v>1.73428939914957</v>
      </c>
      <c r="O15" s="5">
        <f t="shared" si="0"/>
        <v>1.8157178661564317</v>
      </c>
      <c r="P15" s="5">
        <f t="shared" si="0"/>
        <v>1.9009695677643577</v>
      </c>
      <c r="Q15" s="5">
        <f t="shared" si="0"/>
        <v>1.9902240127293402</v>
      </c>
      <c r="R15" s="5">
        <f t="shared" si="0"/>
        <v>2.0836691381139869</v>
      </c>
      <c r="S15" s="5">
        <f t="shared" si="0"/>
        <v>2.1815017050139116</v>
      </c>
      <c r="T15" s="5">
        <f t="shared" si="0"/>
        <v>2.283927712864299</v>
      </c>
      <c r="U15" s="5">
        <f t="shared" si="0"/>
        <v>2.3911628331990156</v>
      </c>
    </row>
    <row r="16" spans="1:62" x14ac:dyDescent="0.35">
      <c r="B16" s="6"/>
      <c r="C16" s="5">
        <f>B15*$F$6</f>
        <v>0.95515356844550303</v>
      </c>
      <c r="D16" s="5">
        <f t="shared" ref="D16:S30" si="1">C15*$F$6</f>
        <v>1</v>
      </c>
      <c r="E16" s="5">
        <f t="shared" si="1"/>
        <v>1.0469520640827252</v>
      </c>
      <c r="F16" s="5">
        <f t="shared" si="1"/>
        <v>1.0961086244870786</v>
      </c>
      <c r="G16" s="5">
        <f t="shared" si="1"/>
        <v>1.1475731868656236</v>
      </c>
      <c r="H16" s="5">
        <f t="shared" si="1"/>
        <v>1.2014541166749557</v>
      </c>
      <c r="I16" s="5">
        <f t="shared" si="1"/>
        <v>1.2578648673535322</v>
      </c>
      <c r="J16" s="5">
        <f t="shared" si="1"/>
        <v>1.316924219212924</v>
      </c>
      <c r="K16" s="5">
        <f t="shared" si="1"/>
        <v>1.3787565295455022</v>
      </c>
      <c r="L16" s="5">
        <f t="shared" si="1"/>
        <v>1.4434919944751985</v>
      </c>
      <c r="M16" s="5">
        <f t="shared" si="1"/>
        <v>1.5112669231026989</v>
      </c>
      <c r="N16" s="5">
        <f t="shared" si="1"/>
        <v>1.5822240245223198</v>
      </c>
      <c r="O16" s="5">
        <f t="shared" si="1"/>
        <v>1.6565127083149191</v>
      </c>
      <c r="P16" s="5">
        <f t="shared" si="1"/>
        <v>1.73428939914957</v>
      </c>
      <c r="Q16" s="5">
        <f t="shared" si="1"/>
        <v>1.8157178661564317</v>
      </c>
      <c r="R16" s="5">
        <f t="shared" si="1"/>
        <v>1.9009695677643577</v>
      </c>
      <c r="S16" s="5">
        <f t="shared" si="1"/>
        <v>1.9902240127293402</v>
      </c>
      <c r="T16" s="5">
        <f t="shared" ref="S16:U31" si="2">S15*$F$6</f>
        <v>2.0836691381139869</v>
      </c>
      <c r="U16" s="5">
        <f t="shared" si="2"/>
        <v>2.1815017050139112</v>
      </c>
    </row>
    <row r="17" spans="2:21" x14ac:dyDescent="0.35">
      <c r="B17" s="6"/>
      <c r="C17" s="5">
        <f t="shared" ref="C17:R34" si="3">B16*$F$6</f>
        <v>0</v>
      </c>
      <c r="D17" s="5">
        <f t="shared" si="1"/>
        <v>0.91231833931417827</v>
      </c>
      <c r="E17" s="5">
        <f t="shared" si="1"/>
        <v>0.95515356844550303</v>
      </c>
      <c r="F17" s="5">
        <f t="shared" si="1"/>
        <v>1</v>
      </c>
      <c r="G17" s="5">
        <f t="shared" si="1"/>
        <v>1.046952064082725</v>
      </c>
      <c r="H17" s="5">
        <f t="shared" si="1"/>
        <v>1.0961086244870784</v>
      </c>
      <c r="I17" s="5">
        <f t="shared" si="1"/>
        <v>1.1475731868656236</v>
      </c>
      <c r="J17" s="5">
        <f t="shared" si="1"/>
        <v>1.2014541166749557</v>
      </c>
      <c r="K17" s="5">
        <f t="shared" si="1"/>
        <v>1.2578648673535322</v>
      </c>
      <c r="L17" s="5">
        <f t="shared" si="1"/>
        <v>1.316924219212924</v>
      </c>
      <c r="M17" s="5">
        <f t="shared" si="1"/>
        <v>1.3787565295455022</v>
      </c>
      <c r="N17" s="5">
        <f t="shared" si="1"/>
        <v>1.4434919944751985</v>
      </c>
      <c r="O17" s="5">
        <f t="shared" si="1"/>
        <v>1.5112669231026989</v>
      </c>
      <c r="P17" s="5">
        <f t="shared" si="1"/>
        <v>1.5822240245223198</v>
      </c>
      <c r="Q17" s="5">
        <f t="shared" si="1"/>
        <v>1.6565127083149191</v>
      </c>
      <c r="R17" s="5">
        <f t="shared" si="1"/>
        <v>1.73428939914957</v>
      </c>
      <c r="S17" s="5">
        <f t="shared" si="1"/>
        <v>1.8157178661564317</v>
      </c>
      <c r="T17" s="5">
        <f t="shared" si="2"/>
        <v>1.9009695677643577</v>
      </c>
      <c r="U17" s="5">
        <f t="shared" si="2"/>
        <v>1.9902240127293402</v>
      </c>
    </row>
    <row r="18" spans="2:21" x14ac:dyDescent="0.35">
      <c r="B18" s="6"/>
      <c r="C18" s="5">
        <f t="shared" si="3"/>
        <v>0</v>
      </c>
      <c r="D18" s="5">
        <f t="shared" si="1"/>
        <v>0</v>
      </c>
      <c r="E18" s="5">
        <f t="shared" si="1"/>
        <v>0.87140411735421264</v>
      </c>
      <c r="F18" s="5">
        <f t="shared" si="1"/>
        <v>0.91231833931417827</v>
      </c>
      <c r="G18" s="5">
        <f t="shared" si="1"/>
        <v>0.95515356844550303</v>
      </c>
      <c r="H18" s="5">
        <f t="shared" si="1"/>
        <v>0.99999999999999978</v>
      </c>
      <c r="I18" s="5">
        <f t="shared" si="1"/>
        <v>1.0469520640827248</v>
      </c>
      <c r="J18" s="5">
        <f t="shared" si="1"/>
        <v>1.0961086244870784</v>
      </c>
      <c r="K18" s="5">
        <f t="shared" si="1"/>
        <v>1.1475731868656236</v>
      </c>
      <c r="L18" s="5">
        <f t="shared" si="1"/>
        <v>1.2014541166749557</v>
      </c>
      <c r="M18" s="5">
        <f t="shared" si="1"/>
        <v>1.2578648673535322</v>
      </c>
      <c r="N18" s="5">
        <f t="shared" si="1"/>
        <v>1.316924219212924</v>
      </c>
      <c r="O18" s="5">
        <f t="shared" si="1"/>
        <v>1.3787565295455022</v>
      </c>
      <c r="P18" s="5">
        <f t="shared" si="1"/>
        <v>1.4434919944751985</v>
      </c>
      <c r="Q18" s="5">
        <f t="shared" si="1"/>
        <v>1.5112669231026989</v>
      </c>
      <c r="R18" s="5">
        <f t="shared" si="1"/>
        <v>1.5822240245223198</v>
      </c>
      <c r="S18" s="5">
        <f t="shared" si="1"/>
        <v>1.6565127083149191</v>
      </c>
      <c r="T18" s="5">
        <f t="shared" si="2"/>
        <v>1.73428939914957</v>
      </c>
      <c r="U18" s="5">
        <f t="shared" si="2"/>
        <v>1.8157178661564317</v>
      </c>
    </row>
    <row r="19" spans="2:21" x14ac:dyDescent="0.35">
      <c r="B19" s="6"/>
      <c r="C19" s="5">
        <f t="shared" si="3"/>
        <v>0</v>
      </c>
      <c r="D19" s="5">
        <f t="shared" si="1"/>
        <v>0</v>
      </c>
      <c r="E19" s="5">
        <f t="shared" si="1"/>
        <v>0</v>
      </c>
      <c r="F19" s="5">
        <f t="shared" si="1"/>
        <v>0.83232475224898006</v>
      </c>
      <c r="G19" s="5">
        <f t="shared" si="1"/>
        <v>0.87140411735421264</v>
      </c>
      <c r="H19" s="5">
        <f t="shared" si="1"/>
        <v>0.91231833931417827</v>
      </c>
      <c r="I19" s="5">
        <f t="shared" si="1"/>
        <v>0.95515356844550281</v>
      </c>
      <c r="J19" s="5">
        <f t="shared" si="1"/>
        <v>0.99999999999999956</v>
      </c>
      <c r="K19" s="5">
        <f t="shared" si="1"/>
        <v>1.0469520640827248</v>
      </c>
      <c r="L19" s="5">
        <f t="shared" si="1"/>
        <v>1.0961086244870784</v>
      </c>
      <c r="M19" s="5">
        <f t="shared" si="1"/>
        <v>1.1475731868656236</v>
      </c>
      <c r="N19" s="5">
        <f t="shared" si="1"/>
        <v>1.2014541166749557</v>
      </c>
      <c r="O19" s="5">
        <f t="shared" si="1"/>
        <v>1.2578648673535322</v>
      </c>
      <c r="P19" s="5">
        <f t="shared" si="1"/>
        <v>1.316924219212924</v>
      </c>
      <c r="Q19" s="5">
        <f t="shared" si="1"/>
        <v>1.3787565295455022</v>
      </c>
      <c r="R19" s="5">
        <f t="shared" si="1"/>
        <v>1.4434919944751985</v>
      </c>
      <c r="S19" s="5">
        <f t="shared" si="1"/>
        <v>1.5112669231026989</v>
      </c>
      <c r="T19" s="5">
        <f t="shared" si="2"/>
        <v>1.5822240245223198</v>
      </c>
      <c r="U19" s="5">
        <f t="shared" si="2"/>
        <v>1.6565127083149191</v>
      </c>
    </row>
    <row r="20" spans="2:21" x14ac:dyDescent="0.35">
      <c r="B20" s="6"/>
      <c r="C20" s="5">
        <f t="shared" si="3"/>
        <v>0</v>
      </c>
      <c r="D20" s="5">
        <f t="shared" si="1"/>
        <v>0</v>
      </c>
      <c r="E20" s="5">
        <f t="shared" si="1"/>
        <v>0</v>
      </c>
      <c r="F20" s="5">
        <f t="shared" si="1"/>
        <v>0</v>
      </c>
      <c r="G20" s="5">
        <f t="shared" si="1"/>
        <v>0.79499795721613253</v>
      </c>
      <c r="H20" s="5">
        <f t="shared" si="1"/>
        <v>0.83232475224898006</v>
      </c>
      <c r="I20" s="5">
        <f t="shared" si="1"/>
        <v>0.87140411735421264</v>
      </c>
      <c r="J20" s="5">
        <f t="shared" si="1"/>
        <v>0.91231833931417805</v>
      </c>
      <c r="K20" s="5">
        <f t="shared" si="1"/>
        <v>0.95515356844550259</v>
      </c>
      <c r="L20" s="5">
        <f t="shared" si="1"/>
        <v>0.99999999999999956</v>
      </c>
      <c r="M20" s="5">
        <f t="shared" si="1"/>
        <v>1.0469520640827248</v>
      </c>
      <c r="N20" s="5">
        <f t="shared" si="1"/>
        <v>1.0961086244870784</v>
      </c>
      <c r="O20" s="5">
        <f t="shared" si="1"/>
        <v>1.1475731868656236</v>
      </c>
      <c r="P20" s="5">
        <f t="shared" si="1"/>
        <v>1.2014541166749557</v>
      </c>
      <c r="Q20" s="5">
        <f t="shared" si="1"/>
        <v>1.2578648673535322</v>
      </c>
      <c r="R20" s="5">
        <f t="shared" si="1"/>
        <v>1.316924219212924</v>
      </c>
      <c r="S20" s="5">
        <f t="shared" si="1"/>
        <v>1.3787565295455022</v>
      </c>
      <c r="T20" s="5">
        <f t="shared" si="2"/>
        <v>1.4434919944751985</v>
      </c>
      <c r="U20" s="5">
        <f t="shared" si="2"/>
        <v>1.5112669231026989</v>
      </c>
    </row>
    <row r="21" spans="2:21" x14ac:dyDescent="0.35">
      <c r="B21" s="6"/>
      <c r="C21" s="5">
        <f t="shared" si="3"/>
        <v>0</v>
      </c>
      <c r="D21" s="5">
        <f t="shared" si="1"/>
        <v>0</v>
      </c>
      <c r="E21" s="5">
        <f t="shared" si="1"/>
        <v>0</v>
      </c>
      <c r="F21" s="5">
        <f t="shared" si="1"/>
        <v>0</v>
      </c>
      <c r="G21" s="5">
        <f t="shared" si="1"/>
        <v>0</v>
      </c>
      <c r="H21" s="5">
        <f t="shared" si="1"/>
        <v>0.75934513574187434</v>
      </c>
      <c r="I21" s="5">
        <f t="shared" si="1"/>
        <v>0.79499795721613253</v>
      </c>
      <c r="J21" s="5">
        <f t="shared" si="1"/>
        <v>0.83232475224898006</v>
      </c>
      <c r="K21" s="5">
        <f t="shared" si="1"/>
        <v>0.87140411735421242</v>
      </c>
      <c r="L21" s="5">
        <f t="shared" si="1"/>
        <v>0.91231833931417783</v>
      </c>
      <c r="M21" s="5">
        <f t="shared" si="1"/>
        <v>0.95515356844550259</v>
      </c>
      <c r="N21" s="5">
        <f t="shared" si="1"/>
        <v>0.99999999999999956</v>
      </c>
      <c r="O21" s="5">
        <f t="shared" si="1"/>
        <v>1.0469520640827248</v>
      </c>
      <c r="P21" s="5">
        <f t="shared" si="1"/>
        <v>1.0961086244870784</v>
      </c>
      <c r="Q21" s="5">
        <f t="shared" si="1"/>
        <v>1.1475731868656236</v>
      </c>
      <c r="R21" s="5">
        <f t="shared" si="1"/>
        <v>1.2014541166749557</v>
      </c>
      <c r="S21" s="5">
        <f t="shared" si="1"/>
        <v>1.2578648673535322</v>
      </c>
      <c r="T21" s="5">
        <f t="shared" si="2"/>
        <v>1.316924219212924</v>
      </c>
      <c r="U21" s="5">
        <f t="shared" si="2"/>
        <v>1.3787565295455022</v>
      </c>
    </row>
    <row r="22" spans="2:21" x14ac:dyDescent="0.35">
      <c r="B22" s="6"/>
      <c r="C22" s="5">
        <f t="shared" si="3"/>
        <v>0</v>
      </c>
      <c r="D22" s="5">
        <f t="shared" si="1"/>
        <v>0</v>
      </c>
      <c r="E22" s="5">
        <f t="shared" si="1"/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0.72529121608558622</v>
      </c>
      <c r="J22" s="5">
        <f t="shared" si="1"/>
        <v>0.75934513574187434</v>
      </c>
      <c r="K22" s="5">
        <f t="shared" si="1"/>
        <v>0.79499795721613253</v>
      </c>
      <c r="L22" s="5">
        <f t="shared" si="1"/>
        <v>0.83232475224897984</v>
      </c>
      <c r="M22" s="5">
        <f t="shared" si="1"/>
        <v>0.87140411735421219</v>
      </c>
      <c r="N22" s="5">
        <f t="shared" si="1"/>
        <v>0.91231833931417783</v>
      </c>
      <c r="O22" s="5">
        <f t="shared" si="1"/>
        <v>0.95515356844550259</v>
      </c>
      <c r="P22" s="5">
        <f t="shared" si="1"/>
        <v>0.99999999999999956</v>
      </c>
      <c r="Q22" s="5">
        <f t="shared" si="1"/>
        <v>1.0469520640827248</v>
      </c>
      <c r="R22" s="5">
        <f t="shared" si="1"/>
        <v>1.0961086244870784</v>
      </c>
      <c r="S22" s="5">
        <f t="shared" si="1"/>
        <v>1.1475731868656236</v>
      </c>
      <c r="T22" s="5">
        <f t="shared" si="2"/>
        <v>1.2014541166749557</v>
      </c>
      <c r="U22" s="5">
        <f t="shared" si="2"/>
        <v>1.2578648673535322</v>
      </c>
    </row>
    <row r="23" spans="2:21" x14ac:dyDescent="0.35">
      <c r="B23" s="6"/>
      <c r="C23" s="5">
        <f t="shared" si="3"/>
        <v>0</v>
      </c>
      <c r="D23" s="5">
        <f t="shared" si="1"/>
        <v>0</v>
      </c>
      <c r="E23" s="5">
        <f t="shared" si="1"/>
        <v>0</v>
      </c>
      <c r="F23" s="5">
        <f t="shared" si="1"/>
        <v>0</v>
      </c>
      <c r="G23" s="5">
        <f t="shared" si="1"/>
        <v>0</v>
      </c>
      <c r="H23" s="5">
        <f t="shared" si="1"/>
        <v>0</v>
      </c>
      <c r="I23" s="5">
        <f t="shared" si="1"/>
        <v>0</v>
      </c>
      <c r="J23" s="5">
        <f t="shared" si="1"/>
        <v>0.69276449320632616</v>
      </c>
      <c r="K23" s="5">
        <f t="shared" si="1"/>
        <v>0.72529121608558622</v>
      </c>
      <c r="L23" s="5">
        <f t="shared" si="1"/>
        <v>0.75934513574187434</v>
      </c>
      <c r="M23" s="5">
        <f t="shared" si="1"/>
        <v>0.79499795721613231</v>
      </c>
      <c r="N23" s="5">
        <f t="shared" si="1"/>
        <v>0.83232475224897973</v>
      </c>
      <c r="O23" s="5">
        <f t="shared" si="1"/>
        <v>0.87140411735421219</v>
      </c>
      <c r="P23" s="5">
        <f t="shared" si="1"/>
        <v>0.91231833931417783</v>
      </c>
      <c r="Q23" s="5">
        <f t="shared" si="1"/>
        <v>0.95515356844550259</v>
      </c>
      <c r="R23" s="5">
        <f t="shared" si="1"/>
        <v>0.99999999999999956</v>
      </c>
      <c r="S23" s="5">
        <f t="shared" si="1"/>
        <v>1.0469520640827248</v>
      </c>
      <c r="T23" s="5">
        <f t="shared" si="2"/>
        <v>1.0961086244870784</v>
      </c>
      <c r="U23" s="5">
        <f t="shared" si="2"/>
        <v>1.1475731868656236</v>
      </c>
    </row>
    <row r="24" spans="2:21" x14ac:dyDescent="0.35">
      <c r="B24" s="6"/>
      <c r="C24" s="5">
        <f t="shared" si="3"/>
        <v>0</v>
      </c>
      <c r="D24" s="5">
        <f t="shared" si="1"/>
        <v>0</v>
      </c>
      <c r="E24" s="5">
        <f t="shared" si="1"/>
        <v>0</v>
      </c>
      <c r="F24" s="5">
        <f t="shared" si="1"/>
        <v>0</v>
      </c>
      <c r="G24" s="5">
        <f t="shared" si="1"/>
        <v>0</v>
      </c>
      <c r="H24" s="5">
        <f t="shared" si="1"/>
        <v>0</v>
      </c>
      <c r="I24" s="5">
        <f t="shared" si="1"/>
        <v>0</v>
      </c>
      <c r="J24" s="5">
        <f t="shared" si="1"/>
        <v>0</v>
      </c>
      <c r="K24" s="5">
        <f t="shared" si="1"/>
        <v>0.66169647777836282</v>
      </c>
      <c r="L24" s="5">
        <f t="shared" si="1"/>
        <v>0.69276449320632616</v>
      </c>
      <c r="M24" s="5">
        <f t="shared" si="1"/>
        <v>0.72529121608558622</v>
      </c>
      <c r="N24" s="5">
        <f t="shared" si="1"/>
        <v>0.75934513574187412</v>
      </c>
      <c r="O24" s="5">
        <f t="shared" si="1"/>
        <v>0.7949979572161322</v>
      </c>
      <c r="P24" s="5">
        <f t="shared" si="1"/>
        <v>0.83232475224897973</v>
      </c>
      <c r="Q24" s="5">
        <f t="shared" si="1"/>
        <v>0.87140411735421219</v>
      </c>
      <c r="R24" s="5">
        <f t="shared" si="1"/>
        <v>0.91231833931417783</v>
      </c>
      <c r="S24" s="5">
        <f t="shared" si="1"/>
        <v>0.95515356844550259</v>
      </c>
      <c r="T24" s="5">
        <f t="shared" si="2"/>
        <v>0.99999999999999956</v>
      </c>
      <c r="U24" s="5">
        <f t="shared" si="2"/>
        <v>1.0469520640827248</v>
      </c>
    </row>
    <row r="25" spans="2:21" x14ac:dyDescent="0.35">
      <c r="B25" s="6"/>
      <c r="C25" s="5">
        <f t="shared" si="3"/>
        <v>0</v>
      </c>
      <c r="D25" s="5">
        <f t="shared" si="1"/>
        <v>0</v>
      </c>
      <c r="E25" s="5">
        <f t="shared" si="1"/>
        <v>0</v>
      </c>
      <c r="F25" s="5">
        <f t="shared" si="1"/>
        <v>0</v>
      </c>
      <c r="G25" s="5">
        <f t="shared" si="1"/>
        <v>0</v>
      </c>
      <c r="H25" s="5">
        <f t="shared" si="1"/>
        <v>0</v>
      </c>
      <c r="I25" s="5">
        <f t="shared" si="1"/>
        <v>0</v>
      </c>
      <c r="J25" s="5">
        <f t="shared" si="1"/>
        <v>0</v>
      </c>
      <c r="K25" s="5">
        <f t="shared" si="1"/>
        <v>0</v>
      </c>
      <c r="L25" s="5">
        <f t="shared" si="1"/>
        <v>0.63202175197782373</v>
      </c>
      <c r="M25" s="5">
        <f t="shared" si="1"/>
        <v>0.66169647777836282</v>
      </c>
      <c r="N25" s="5">
        <f t="shared" si="1"/>
        <v>0.69276449320632616</v>
      </c>
      <c r="O25" s="5">
        <f t="shared" si="1"/>
        <v>0.725291216085586</v>
      </c>
      <c r="P25" s="5">
        <f t="shared" si="1"/>
        <v>0.75934513574187401</v>
      </c>
      <c r="Q25" s="5">
        <f t="shared" si="1"/>
        <v>0.7949979572161322</v>
      </c>
      <c r="R25" s="5">
        <f t="shared" si="1"/>
        <v>0.83232475224897973</v>
      </c>
      <c r="S25" s="5">
        <f t="shared" si="1"/>
        <v>0.87140411735421219</v>
      </c>
      <c r="T25" s="5">
        <f t="shared" si="2"/>
        <v>0.91231833931417783</v>
      </c>
      <c r="U25" s="5">
        <f t="shared" si="2"/>
        <v>0.95515356844550259</v>
      </c>
    </row>
    <row r="26" spans="2:21" x14ac:dyDescent="0.35">
      <c r="B26" s="6"/>
      <c r="C26" s="5">
        <f t="shared" si="3"/>
        <v>0</v>
      </c>
      <c r="D26" s="5">
        <f t="shared" si="1"/>
        <v>0</v>
      </c>
      <c r="E26" s="5">
        <f t="shared" si="1"/>
        <v>0</v>
      </c>
      <c r="F26" s="5">
        <f t="shared" si="1"/>
        <v>0</v>
      </c>
      <c r="G26" s="5">
        <f t="shared" si="1"/>
        <v>0</v>
      </c>
      <c r="H26" s="5">
        <f t="shared" si="1"/>
        <v>0</v>
      </c>
      <c r="I26" s="5">
        <f t="shared" si="1"/>
        <v>0</v>
      </c>
      <c r="J26" s="5">
        <f t="shared" si="1"/>
        <v>0</v>
      </c>
      <c r="K26" s="5">
        <f t="shared" si="1"/>
        <v>0</v>
      </c>
      <c r="L26" s="5">
        <f t="shared" si="1"/>
        <v>0</v>
      </c>
      <c r="M26" s="5">
        <f t="shared" si="1"/>
        <v>0.60367783173679701</v>
      </c>
      <c r="N26" s="5">
        <f t="shared" si="1"/>
        <v>0.63202175197782373</v>
      </c>
      <c r="O26" s="5">
        <f t="shared" si="1"/>
        <v>0.66169647777836282</v>
      </c>
      <c r="P26" s="5">
        <f t="shared" si="1"/>
        <v>0.69276449320632594</v>
      </c>
      <c r="Q26" s="5">
        <f t="shared" si="1"/>
        <v>0.72529121608558589</v>
      </c>
      <c r="R26" s="5">
        <f t="shared" si="1"/>
        <v>0.75934513574187401</v>
      </c>
      <c r="S26" s="5">
        <f t="shared" si="1"/>
        <v>0.7949979572161322</v>
      </c>
      <c r="T26" s="5">
        <f t="shared" si="2"/>
        <v>0.83232475224897973</v>
      </c>
      <c r="U26" s="5">
        <f t="shared" si="2"/>
        <v>0.87140411735421219</v>
      </c>
    </row>
    <row r="27" spans="2:21" x14ac:dyDescent="0.35">
      <c r="B27" s="6"/>
      <c r="C27" s="5">
        <f t="shared" si="3"/>
        <v>0</v>
      </c>
      <c r="D27" s="5">
        <f t="shared" si="1"/>
        <v>0</v>
      </c>
      <c r="E27" s="5">
        <f t="shared" si="1"/>
        <v>0</v>
      </c>
      <c r="F27" s="5">
        <f t="shared" si="1"/>
        <v>0</v>
      </c>
      <c r="G27" s="5">
        <f t="shared" si="1"/>
        <v>0</v>
      </c>
      <c r="H27" s="5">
        <f t="shared" si="1"/>
        <v>0</v>
      </c>
      <c r="I27" s="5">
        <f t="shared" si="1"/>
        <v>0</v>
      </c>
      <c r="J27" s="5">
        <f t="shared" si="1"/>
        <v>0</v>
      </c>
      <c r="K27" s="5">
        <f t="shared" si="1"/>
        <v>0</v>
      </c>
      <c r="L27" s="5">
        <f t="shared" si="1"/>
        <v>0</v>
      </c>
      <c r="M27" s="5">
        <f t="shared" si="1"/>
        <v>0</v>
      </c>
      <c r="N27" s="5">
        <f t="shared" si="1"/>
        <v>0.57660503517484563</v>
      </c>
      <c r="O27" s="5">
        <f t="shared" si="1"/>
        <v>0.60367783173679701</v>
      </c>
      <c r="P27" s="5">
        <f t="shared" si="1"/>
        <v>0.63202175197782373</v>
      </c>
      <c r="Q27" s="5">
        <f t="shared" si="1"/>
        <v>0.66169647777836271</v>
      </c>
      <c r="R27" s="5">
        <f t="shared" si="1"/>
        <v>0.69276449320632583</v>
      </c>
      <c r="S27" s="5">
        <f t="shared" si="1"/>
        <v>0.72529121608558589</v>
      </c>
      <c r="T27" s="5">
        <f t="shared" si="2"/>
        <v>0.75934513574187401</v>
      </c>
      <c r="U27" s="5">
        <f t="shared" si="2"/>
        <v>0.7949979572161322</v>
      </c>
    </row>
    <row r="28" spans="2:21" x14ac:dyDescent="0.35">
      <c r="B28" s="6"/>
      <c r="C28" s="5">
        <f t="shared" si="3"/>
        <v>0</v>
      </c>
      <c r="D28" s="5">
        <f t="shared" si="1"/>
        <v>0</v>
      </c>
      <c r="E28" s="5">
        <f t="shared" si="1"/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0.55074635693089857</v>
      </c>
      <c r="P28" s="5">
        <f t="shared" si="1"/>
        <v>0.57660503517484563</v>
      </c>
      <c r="Q28" s="5">
        <f t="shared" si="1"/>
        <v>0.60367783173679701</v>
      </c>
      <c r="R28" s="5">
        <f t="shared" si="1"/>
        <v>0.63202175197782362</v>
      </c>
      <c r="S28" s="5">
        <f t="shared" si="1"/>
        <v>0.6616964777783626</v>
      </c>
      <c r="T28" s="5">
        <f t="shared" si="2"/>
        <v>0.69276449320632583</v>
      </c>
      <c r="U28" s="5">
        <f t="shared" si="2"/>
        <v>0.72529121608558589</v>
      </c>
    </row>
    <row r="29" spans="2:21" x14ac:dyDescent="0.35">
      <c r="B29" s="6"/>
      <c r="C29" s="5">
        <f t="shared" si="3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0.52604734813090848</v>
      </c>
      <c r="Q29" s="5">
        <f t="shared" si="1"/>
        <v>0.55074635693089857</v>
      </c>
      <c r="R29" s="5">
        <f t="shared" si="1"/>
        <v>0.57660503517484563</v>
      </c>
      <c r="S29" s="5">
        <f t="shared" si="1"/>
        <v>0.6036778317367969</v>
      </c>
      <c r="T29" s="5">
        <f t="shared" si="2"/>
        <v>0.63202175197782351</v>
      </c>
      <c r="U29" s="5">
        <f t="shared" si="2"/>
        <v>0.6616964777783626</v>
      </c>
    </row>
    <row r="30" spans="2:21" x14ac:dyDescent="0.35">
      <c r="B30" s="6"/>
      <c r="C30" s="5">
        <f t="shared" si="3"/>
        <v>0</v>
      </c>
      <c r="D30" s="5">
        <f t="shared" si="1"/>
        <v>0</v>
      </c>
      <c r="E30" s="5">
        <f t="shared" si="1"/>
        <v>0</v>
      </c>
      <c r="F30" s="5">
        <f t="shared" si="1"/>
        <v>0</v>
      </c>
      <c r="G30" s="5">
        <f t="shared" si="1"/>
        <v>0</v>
      </c>
      <c r="H30" s="5">
        <f t="shared" si="1"/>
        <v>0</v>
      </c>
      <c r="I30" s="5">
        <f t="shared" si="1"/>
        <v>0</v>
      </c>
      <c r="J30" s="5">
        <f t="shared" si="1"/>
        <v>0</v>
      </c>
      <c r="K30" s="5">
        <f t="shared" si="1"/>
        <v>0</v>
      </c>
      <c r="L30" s="5">
        <f t="shared" si="1"/>
        <v>0</v>
      </c>
      <c r="M30" s="5">
        <f t="shared" si="1"/>
        <v>0</v>
      </c>
      <c r="N30" s="5">
        <f t="shared" si="1"/>
        <v>0</v>
      </c>
      <c r="O30" s="5">
        <f t="shared" si="1"/>
        <v>0</v>
      </c>
      <c r="P30" s="5">
        <f t="shared" si="1"/>
        <v>0</v>
      </c>
      <c r="Q30" s="5">
        <f t="shared" si="1"/>
        <v>0.502456001738531</v>
      </c>
      <c r="R30" s="5">
        <f t="shared" si="1"/>
        <v>0.52604734813090848</v>
      </c>
      <c r="S30" s="5">
        <f t="shared" si="1"/>
        <v>0.55074635693089857</v>
      </c>
      <c r="T30" s="5">
        <f t="shared" si="2"/>
        <v>0.57660503517484551</v>
      </c>
      <c r="U30" s="5">
        <f t="shared" si="2"/>
        <v>0.60367783173679679</v>
      </c>
    </row>
    <row r="31" spans="2:21" x14ac:dyDescent="0.35">
      <c r="B31" s="6"/>
      <c r="C31" s="5">
        <f t="shared" si="3"/>
        <v>0</v>
      </c>
      <c r="D31" s="5">
        <f t="shared" si="3"/>
        <v>0</v>
      </c>
      <c r="E31" s="5">
        <f t="shared" si="3"/>
        <v>0</v>
      </c>
      <c r="F31" s="5">
        <f t="shared" si="3"/>
        <v>0</v>
      </c>
      <c r="G31" s="5">
        <f t="shared" si="3"/>
        <v>0</v>
      </c>
      <c r="H31" s="5">
        <f t="shared" si="3"/>
        <v>0</v>
      </c>
      <c r="I31" s="5">
        <f t="shared" si="3"/>
        <v>0</v>
      </c>
      <c r="J31" s="5">
        <f t="shared" si="3"/>
        <v>0</v>
      </c>
      <c r="K31" s="5">
        <f t="shared" si="3"/>
        <v>0</v>
      </c>
      <c r="L31" s="5">
        <f t="shared" si="3"/>
        <v>0</v>
      </c>
      <c r="M31" s="5">
        <f t="shared" si="3"/>
        <v>0</v>
      </c>
      <c r="N31" s="5">
        <f t="shared" si="3"/>
        <v>0</v>
      </c>
      <c r="O31" s="5">
        <f t="shared" si="3"/>
        <v>0</v>
      </c>
      <c r="P31" s="5">
        <f t="shared" si="3"/>
        <v>0</v>
      </c>
      <c r="Q31" s="5">
        <f t="shared" si="3"/>
        <v>0</v>
      </c>
      <c r="R31" s="5">
        <f t="shared" si="3"/>
        <v>0.47992264304741777</v>
      </c>
      <c r="S31" s="5">
        <f t="shared" si="2"/>
        <v>0.502456001738531</v>
      </c>
      <c r="T31" s="5">
        <f t="shared" si="2"/>
        <v>0.52604734813090848</v>
      </c>
      <c r="U31" s="5">
        <f t="shared" si="2"/>
        <v>0.55074635693089846</v>
      </c>
    </row>
    <row r="32" spans="2:21" x14ac:dyDescent="0.35">
      <c r="B32" s="6"/>
      <c r="C32" s="5">
        <f t="shared" si="3"/>
        <v>0</v>
      </c>
      <c r="D32" s="5">
        <f t="shared" si="3"/>
        <v>0</v>
      </c>
      <c r="E32" s="5">
        <f t="shared" si="3"/>
        <v>0</v>
      </c>
      <c r="F32" s="5">
        <f t="shared" si="3"/>
        <v>0</v>
      </c>
      <c r="G32" s="5">
        <f t="shared" si="3"/>
        <v>0</v>
      </c>
      <c r="H32" s="5">
        <f t="shared" si="3"/>
        <v>0</v>
      </c>
      <c r="I32" s="5">
        <f t="shared" si="3"/>
        <v>0</v>
      </c>
      <c r="J32" s="5">
        <f t="shared" si="3"/>
        <v>0</v>
      </c>
      <c r="K32" s="5">
        <f t="shared" si="3"/>
        <v>0</v>
      </c>
      <c r="L32" s="5">
        <f t="shared" si="3"/>
        <v>0</v>
      </c>
      <c r="M32" s="5">
        <f t="shared" si="3"/>
        <v>0</v>
      </c>
      <c r="N32" s="5">
        <f t="shared" si="3"/>
        <v>0</v>
      </c>
      <c r="O32" s="5">
        <f t="shared" si="3"/>
        <v>0</v>
      </c>
      <c r="P32" s="5">
        <f t="shared" si="3"/>
        <v>0</v>
      </c>
      <c r="Q32" s="5">
        <f t="shared" si="3"/>
        <v>0</v>
      </c>
      <c r="R32" s="5">
        <f t="shared" si="3"/>
        <v>0</v>
      </c>
      <c r="S32" s="5">
        <f t="shared" ref="S32:U34" si="4">R31*$F$6</f>
        <v>0.45839982508453847</v>
      </c>
      <c r="T32" s="5">
        <f t="shared" si="4"/>
        <v>0.47992264304741777</v>
      </c>
      <c r="U32" s="5">
        <f t="shared" si="4"/>
        <v>0.502456001738531</v>
      </c>
    </row>
    <row r="33" spans="2:62" x14ac:dyDescent="0.35">
      <c r="B33" s="6"/>
      <c r="C33" s="5">
        <f t="shared" si="3"/>
        <v>0</v>
      </c>
      <c r="D33" s="5">
        <f t="shared" si="3"/>
        <v>0</v>
      </c>
      <c r="E33" s="5">
        <f t="shared" si="3"/>
        <v>0</v>
      </c>
      <c r="F33" s="5">
        <f t="shared" si="3"/>
        <v>0</v>
      </c>
      <c r="G33" s="5">
        <f t="shared" si="3"/>
        <v>0</v>
      </c>
      <c r="H33" s="5">
        <f t="shared" si="3"/>
        <v>0</v>
      </c>
      <c r="I33" s="5">
        <f t="shared" si="3"/>
        <v>0</v>
      </c>
      <c r="J33" s="5">
        <f t="shared" si="3"/>
        <v>0</v>
      </c>
      <c r="K33" s="5">
        <f t="shared" si="3"/>
        <v>0</v>
      </c>
      <c r="L33" s="5">
        <f t="shared" si="3"/>
        <v>0</v>
      </c>
      <c r="M33" s="5">
        <f t="shared" si="3"/>
        <v>0</v>
      </c>
      <c r="N33" s="5">
        <f t="shared" si="3"/>
        <v>0</v>
      </c>
      <c r="O33" s="5">
        <f t="shared" si="3"/>
        <v>0</v>
      </c>
      <c r="P33" s="5">
        <f t="shared" si="3"/>
        <v>0</v>
      </c>
      <c r="Q33" s="5">
        <f t="shared" si="3"/>
        <v>0</v>
      </c>
      <c r="R33" s="5">
        <f t="shared" si="3"/>
        <v>0</v>
      </c>
      <c r="S33" s="5">
        <f t="shared" si="4"/>
        <v>0</v>
      </c>
      <c r="T33" s="5">
        <f t="shared" si="4"/>
        <v>0.43784222870429135</v>
      </c>
      <c r="U33" s="5">
        <f t="shared" si="4"/>
        <v>0.45839982508453847</v>
      </c>
    </row>
    <row r="34" spans="2:62" ht="18.600000000000001" thickBot="1" x14ac:dyDescent="0.4">
      <c r="B34" s="13"/>
      <c r="C34" s="5">
        <f t="shared" si="3"/>
        <v>0</v>
      </c>
      <c r="D34" s="5">
        <f t="shared" si="3"/>
        <v>0</v>
      </c>
      <c r="E34" s="5">
        <f t="shared" si="3"/>
        <v>0</v>
      </c>
      <c r="F34" s="5">
        <f t="shared" si="3"/>
        <v>0</v>
      </c>
      <c r="G34" s="5">
        <f t="shared" si="3"/>
        <v>0</v>
      </c>
      <c r="H34" s="5">
        <f t="shared" si="3"/>
        <v>0</v>
      </c>
      <c r="I34" s="5">
        <f t="shared" si="3"/>
        <v>0</v>
      </c>
      <c r="J34" s="5">
        <f t="shared" si="3"/>
        <v>0</v>
      </c>
      <c r="K34" s="5">
        <f t="shared" si="3"/>
        <v>0</v>
      </c>
      <c r="L34" s="5">
        <f t="shared" si="3"/>
        <v>0</v>
      </c>
      <c r="M34" s="5">
        <f t="shared" si="3"/>
        <v>0</v>
      </c>
      <c r="N34" s="5">
        <f t="shared" si="3"/>
        <v>0</v>
      </c>
      <c r="O34" s="5">
        <f t="shared" si="3"/>
        <v>0</v>
      </c>
      <c r="P34" s="5">
        <f t="shared" si="3"/>
        <v>0</v>
      </c>
      <c r="Q34" s="5">
        <f t="shared" si="3"/>
        <v>0</v>
      </c>
      <c r="R34" s="5">
        <f t="shared" si="3"/>
        <v>0</v>
      </c>
      <c r="S34" s="5">
        <f t="shared" si="4"/>
        <v>0</v>
      </c>
      <c r="T34" s="5">
        <f t="shared" si="4"/>
        <v>0</v>
      </c>
      <c r="U34" s="5">
        <f t="shared" si="4"/>
        <v>0.41820656716303595</v>
      </c>
    </row>
    <row r="35" spans="2:62" ht="18.600000000000001" thickBot="1" x14ac:dyDescent="0.4"/>
    <row r="36" spans="2:62" ht="18.600000000000001" thickBot="1" x14ac:dyDescent="0.4">
      <c r="B36" s="57" t="s">
        <v>44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9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</row>
    <row r="37" spans="2:62" ht="18.600000000000001" thickBot="1" x14ac:dyDescent="0.4">
      <c r="B37" s="41">
        <v>19</v>
      </c>
      <c r="C37" s="45">
        <v>18</v>
      </c>
      <c r="D37" s="45">
        <v>17</v>
      </c>
      <c r="E37" s="45">
        <v>16</v>
      </c>
      <c r="F37" s="45">
        <v>15</v>
      </c>
      <c r="G37" s="45">
        <v>14</v>
      </c>
      <c r="H37" s="45">
        <v>13</v>
      </c>
      <c r="I37" s="45">
        <v>12</v>
      </c>
      <c r="J37" s="45">
        <v>11</v>
      </c>
      <c r="K37" s="45">
        <v>10</v>
      </c>
      <c r="L37" s="45">
        <v>9</v>
      </c>
      <c r="M37" s="45">
        <v>8</v>
      </c>
      <c r="N37" s="45">
        <v>7</v>
      </c>
      <c r="O37" s="45">
        <v>6</v>
      </c>
      <c r="P37" s="45">
        <v>5</v>
      </c>
      <c r="Q37" s="45">
        <v>4</v>
      </c>
      <c r="R37" s="45">
        <v>3</v>
      </c>
      <c r="S37" s="45">
        <v>2</v>
      </c>
      <c r="T37" s="45">
        <v>1</v>
      </c>
      <c r="U37" s="46">
        <v>0</v>
      </c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</row>
    <row r="38" spans="2:62" ht="18.600000000000001" thickBot="1" x14ac:dyDescent="0.4">
      <c r="B38" s="47">
        <f>MAX(U15-$C$10,0)</f>
        <v>1.1911628331990156</v>
      </c>
      <c r="C38" s="48">
        <f t="shared" ref="C38:U53" si="5">$K$7*($K$5*B38+$K$6*B39)</f>
        <v>1.0845591256358362</v>
      </c>
      <c r="D38" s="48">
        <f t="shared" si="5"/>
        <v>0.98276419832191275</v>
      </c>
      <c r="E38" s="48">
        <f t="shared" si="5"/>
        <v>0.8855623798981932</v>
      </c>
      <c r="F38" s="48">
        <f t="shared" si="5"/>
        <v>0.79274767110421573</v>
      </c>
      <c r="G38" s="48">
        <f t="shared" si="5"/>
        <v>0.70412331101899639</v>
      </c>
      <c r="H38" s="48">
        <f t="shared" si="5"/>
        <v>0.61950136275446688</v>
      </c>
      <c r="I38" s="48">
        <f t="shared" si="5"/>
        <v>0.53870231772908173</v>
      </c>
      <c r="J38" s="48">
        <f t="shared" si="5"/>
        <v>0.4617781269996708</v>
      </c>
      <c r="K38" s="48">
        <f t="shared" si="5"/>
        <v>0.38921774553241745</v>
      </c>
      <c r="L38" s="48">
        <f t="shared" si="5"/>
        <v>0.32191470773210684</v>
      </c>
      <c r="M38" s="48">
        <f t="shared" si="5"/>
        <v>0.2609176509664824</v>
      </c>
      <c r="N38" s="48">
        <f t="shared" si="5"/>
        <v>0.20711979886919779</v>
      </c>
      <c r="O38" s="48">
        <f t="shared" si="5"/>
        <v>0.16102829333894481</v>
      </c>
      <c r="P38" s="48">
        <f t="shared" si="5"/>
        <v>0.12267316085564106</v>
      </c>
      <c r="Q38" s="48">
        <f t="shared" si="5"/>
        <v>9.1643156713190344E-2</v>
      </c>
      <c r="R38" s="48">
        <f t="shared" si="5"/>
        <v>6.719987822433135E-2</v>
      </c>
      <c r="S38" s="48">
        <f t="shared" si="5"/>
        <v>4.8418198875636406E-2</v>
      </c>
      <c r="T38" s="48">
        <f t="shared" si="5"/>
        <v>3.4315130744461853E-2</v>
      </c>
      <c r="U38" s="53">
        <f t="shared" si="5"/>
        <v>2.3947393865297845E-2</v>
      </c>
    </row>
    <row r="39" spans="2:62" ht="18.600000000000001" thickBot="1" x14ac:dyDescent="0.4">
      <c r="B39" s="47">
        <f t="shared" ref="B39:B57" si="6">MAX(U16-$C$10,0)</f>
        <v>0.98150170501391121</v>
      </c>
      <c r="C39" s="48">
        <f t="shared" si="5"/>
        <v>0.88430055088552406</v>
      </c>
      <c r="D39" s="48">
        <f t="shared" si="5"/>
        <v>0.79148650603734161</v>
      </c>
      <c r="E39" s="48">
        <f t="shared" si="5"/>
        <v>0.70286280954856428</v>
      </c>
      <c r="F39" s="48">
        <f t="shared" si="5"/>
        <v>0.61824152453130721</v>
      </c>
      <c r="G39" s="48">
        <f t="shared" si="5"/>
        <v>0.53744314240420876</v>
      </c>
      <c r="H39" s="48">
        <f t="shared" si="5"/>
        <v>0.46029620491295431</v>
      </c>
      <c r="I39" s="48">
        <f t="shared" si="5"/>
        <v>0.38707892836937313</v>
      </c>
      <c r="J39" s="48">
        <f t="shared" si="5"/>
        <v>0.31870787135501122</v>
      </c>
      <c r="K39" s="48">
        <f t="shared" si="5"/>
        <v>0.25647290381580817</v>
      </c>
      <c r="L39" s="48">
        <f t="shared" si="5"/>
        <v>0.20157534064641358</v>
      </c>
      <c r="M39" s="48">
        <f t="shared" si="5"/>
        <v>0.15475744565036362</v>
      </c>
      <c r="N39" s="48">
        <f t="shared" si="5"/>
        <v>0.1161495615076078</v>
      </c>
      <c r="O39" s="48">
        <f t="shared" si="5"/>
        <v>8.5315449366438909E-2</v>
      </c>
      <c r="P39" s="48">
        <f t="shared" si="5"/>
        <v>6.1412171285495872E-2</v>
      </c>
      <c r="Q39" s="48">
        <f t="shared" si="5"/>
        <v>4.3380816411200764E-2</v>
      </c>
      <c r="R39" s="48">
        <f t="shared" si="5"/>
        <v>3.0112805430100437E-2</v>
      </c>
      <c r="S39" s="48">
        <f t="shared" si="5"/>
        <v>2.0567577784751021E-2</v>
      </c>
      <c r="T39" s="48">
        <f t="shared" si="5"/>
        <v>1.3839679141904166E-2</v>
      </c>
      <c r="U39" s="48"/>
    </row>
    <row r="40" spans="2:62" ht="18.600000000000001" thickBot="1" x14ac:dyDescent="0.4">
      <c r="B40" s="47">
        <f t="shared" si="6"/>
        <v>0.79022401272934029</v>
      </c>
      <c r="C40" s="48">
        <f t="shared" si="5"/>
        <v>0.70160098053589504</v>
      </c>
      <c r="D40" s="48">
        <f t="shared" si="5"/>
        <v>0.61698035946443319</v>
      </c>
      <c r="E40" s="48">
        <f t="shared" si="5"/>
        <v>0.53618264093377666</v>
      </c>
      <c r="F40" s="48">
        <f t="shared" si="5"/>
        <v>0.45903636668979464</v>
      </c>
      <c r="G40" s="48">
        <f t="shared" si="5"/>
        <v>0.38537776777695848</v>
      </c>
      <c r="H40" s="48">
        <f t="shared" si="5"/>
        <v>0.31592482809294664</v>
      </c>
      <c r="I40" s="48">
        <f t="shared" si="5"/>
        <v>0.2522189278701083</v>
      </c>
      <c r="J40" s="48">
        <f t="shared" si="5"/>
        <v>0.19591612611434364</v>
      </c>
      <c r="K40" s="48">
        <f t="shared" si="5"/>
        <v>0.14813244123302904</v>
      </c>
      <c r="L40" s="48">
        <f t="shared" si="5"/>
        <v>0.10916226782649703</v>
      </c>
      <c r="M40" s="48">
        <f t="shared" si="5"/>
        <v>7.8538038751213124E-2</v>
      </c>
      <c r="N40" s="48">
        <f t="shared" si="5"/>
        <v>5.5269327031064665E-2</v>
      </c>
      <c r="O40" s="48">
        <f t="shared" si="5"/>
        <v>3.8114840266083097E-2</v>
      </c>
      <c r="P40" s="48">
        <f t="shared" si="5"/>
        <v>2.5803489688630315E-2</v>
      </c>
      <c r="Q40" s="48">
        <f t="shared" si="5"/>
        <v>1.7176999783576442E-2</v>
      </c>
      <c r="R40" s="48">
        <f t="shared" si="5"/>
        <v>1.1260203196830869E-2</v>
      </c>
      <c r="S40" s="48">
        <f t="shared" si="5"/>
        <v>7.2787456664956908E-3</v>
      </c>
      <c r="T40" s="48"/>
      <c r="U40" s="48"/>
    </row>
    <row r="41" spans="2:62" ht="18.600000000000001" thickBot="1" x14ac:dyDescent="0.4">
      <c r="B41" s="47">
        <f t="shared" si="6"/>
        <v>0.61571786615643176</v>
      </c>
      <c r="C41" s="48">
        <f t="shared" si="5"/>
        <v>0.53492081192110752</v>
      </c>
      <c r="D41" s="48">
        <f t="shared" si="5"/>
        <v>0.45777520162292062</v>
      </c>
      <c r="E41" s="48">
        <f t="shared" si="5"/>
        <v>0.38411726630652637</v>
      </c>
      <c r="F41" s="48">
        <f t="shared" si="5"/>
        <v>0.31379058147757433</v>
      </c>
      <c r="G41" s="48">
        <f t="shared" si="5"/>
        <v>0.24837563710097352</v>
      </c>
      <c r="H41" s="48">
        <f t="shared" si="5"/>
        <v>0.19022014335269938</v>
      </c>
      <c r="I41" s="48">
        <f t="shared" si="5"/>
        <v>0.14109396152316198</v>
      </c>
      <c r="J41" s="48">
        <f t="shared" si="5"/>
        <v>0.10158647685437262</v>
      </c>
      <c r="K41" s="48">
        <f t="shared" si="5"/>
        <v>7.1189397326117523E-2</v>
      </c>
      <c r="L41" s="48">
        <f t="shared" si="5"/>
        <v>4.8689985190312812E-2</v>
      </c>
      <c r="M41" s="48">
        <f t="shared" si="5"/>
        <v>3.2585778740374244E-2</v>
      </c>
      <c r="N41" s="48">
        <f t="shared" si="5"/>
        <v>2.1389016501860716E-2</v>
      </c>
      <c r="O41" s="48">
        <f t="shared" si="5"/>
        <v>1.3798165820413129E-2</v>
      </c>
      <c r="P41" s="48">
        <f t="shared" si="5"/>
        <v>8.7640006053098518E-3</v>
      </c>
      <c r="Q41" s="48">
        <f t="shared" si="5"/>
        <v>5.4892944735236253E-3</v>
      </c>
      <c r="R41" s="48">
        <f t="shared" si="5"/>
        <v>3.3951466378249824E-3</v>
      </c>
      <c r="S41" s="48"/>
      <c r="T41" s="48"/>
      <c r="U41" s="48"/>
    </row>
    <row r="42" spans="2:62" ht="18.600000000000001" thickBot="1" x14ac:dyDescent="0.4">
      <c r="B42" s="47">
        <f t="shared" si="6"/>
        <v>0.45651270831491919</v>
      </c>
      <c r="C42" s="48">
        <f t="shared" si="5"/>
        <v>0.38285543729385718</v>
      </c>
      <c r="D42" s="48">
        <f t="shared" si="5"/>
        <v>0.31252941641070026</v>
      </c>
      <c r="E42" s="48">
        <f t="shared" si="5"/>
        <v>0.24538523625940498</v>
      </c>
      <c r="F42" s="48">
        <f t="shared" si="5"/>
        <v>0.18470256110538946</v>
      </c>
      <c r="G42" s="48">
        <f t="shared" si="5"/>
        <v>0.13358136813241989</v>
      </c>
      <c r="H42" s="48">
        <f t="shared" si="5"/>
        <v>9.3228615131788706E-2</v>
      </c>
      <c r="I42" s="48">
        <f t="shared" si="5"/>
        <v>6.3080592714145359E-2</v>
      </c>
      <c r="J42" s="48">
        <f t="shared" si="5"/>
        <v>4.1555692860030378E-2</v>
      </c>
      <c r="K42" s="48">
        <f t="shared" si="5"/>
        <v>2.6751443327408562E-2</v>
      </c>
      <c r="L42" s="48">
        <f t="shared" si="5"/>
        <v>1.6880664067582724E-2</v>
      </c>
      <c r="M42" s="48">
        <f t="shared" si="5"/>
        <v>1.0468411786566479E-2</v>
      </c>
      <c r="N42" s="48">
        <f t="shared" si="5"/>
        <v>6.3938049607842971E-3</v>
      </c>
      <c r="O42" s="48">
        <f t="shared" si="5"/>
        <v>3.8531106718318621E-3</v>
      </c>
      <c r="P42" s="48">
        <f t="shared" si="5"/>
        <v>2.2945581355610055E-3</v>
      </c>
      <c r="Q42" s="48">
        <f t="shared" si="5"/>
        <v>1.3520188996516559E-3</v>
      </c>
      <c r="R42" s="48"/>
      <c r="S42" s="48"/>
      <c r="T42" s="48"/>
      <c r="U42" s="48"/>
    </row>
    <row r="43" spans="2:62" ht="18.600000000000001" thickBot="1" x14ac:dyDescent="0.4">
      <c r="B43" s="47">
        <f t="shared" si="6"/>
        <v>0.31126692310269899</v>
      </c>
      <c r="C43" s="48">
        <f t="shared" si="5"/>
        <v>0.24412340724673592</v>
      </c>
      <c r="D43" s="48">
        <f t="shared" si="5"/>
        <v>0.18001902285350357</v>
      </c>
      <c r="E43" s="48">
        <f t="shared" si="5"/>
        <v>0.12558816593691813</v>
      </c>
      <c r="F43" s="48">
        <f t="shared" si="5"/>
        <v>8.3758428079844169E-2</v>
      </c>
      <c r="G43" s="48">
        <f t="shared" si="5"/>
        <v>5.3887929249527719E-2</v>
      </c>
      <c r="H43" s="48">
        <f t="shared" si="5"/>
        <v>3.3681856833657743E-2</v>
      </c>
      <c r="I43" s="48">
        <f t="shared" si="5"/>
        <v>2.0562139134458392E-2</v>
      </c>
      <c r="J43" s="48">
        <f t="shared" si="5"/>
        <v>1.2310735025374142E-2</v>
      </c>
      <c r="K43" s="48">
        <f t="shared" si="5"/>
        <v>7.2512819403296293E-3</v>
      </c>
      <c r="L43" s="48">
        <f t="shared" si="5"/>
        <v>4.2124578424378141E-3</v>
      </c>
      <c r="M43" s="48">
        <f t="shared" si="5"/>
        <v>2.418247645841495E-3</v>
      </c>
      <c r="N43" s="48">
        <f t="shared" si="5"/>
        <v>1.3740388715834462E-3</v>
      </c>
      <c r="O43" s="48">
        <f t="shared" si="5"/>
        <v>7.737351251182813E-4</v>
      </c>
      <c r="P43" s="48">
        <f t="shared" si="5"/>
        <v>4.3225962423713919E-4</v>
      </c>
      <c r="Q43" s="48"/>
      <c r="R43" s="48"/>
      <c r="S43" s="48"/>
      <c r="T43" s="48"/>
      <c r="U43" s="48"/>
    </row>
    <row r="44" spans="2:62" ht="18.600000000000001" thickBot="1" x14ac:dyDescent="0.4">
      <c r="B44" s="47">
        <f t="shared" si="6"/>
        <v>0.17875652954550225</v>
      </c>
      <c r="C44" s="48">
        <f t="shared" si="5"/>
        <v>0.11755563198446141</v>
      </c>
      <c r="D44" s="48">
        <f t="shared" si="5"/>
        <v>7.25222895320696E-2</v>
      </c>
      <c r="E44" s="48">
        <f t="shared" si="5"/>
        <v>4.2964390520270741E-2</v>
      </c>
      <c r="F44" s="48">
        <f t="shared" si="5"/>
        <v>2.475085467411867E-2</v>
      </c>
      <c r="G44" s="48">
        <f t="shared" si="5"/>
        <v>1.3969029040246375E-2</v>
      </c>
      <c r="H44" s="48">
        <f t="shared" si="5"/>
        <v>7.7613221787442878E-3</v>
      </c>
      <c r="I44" s="48">
        <f t="shared" si="5"/>
        <v>4.2592507446923503E-3</v>
      </c>
      <c r="J44" s="48">
        <f t="shared" si="5"/>
        <v>2.3141028556998428E-3</v>
      </c>
      <c r="K44" s="48">
        <f t="shared" si="5"/>
        <v>1.2469256454892799E-3</v>
      </c>
      <c r="L44" s="48">
        <f t="shared" si="5"/>
        <v>6.6723938743491024E-4</v>
      </c>
      <c r="M44" s="48">
        <f t="shared" si="5"/>
        <v>3.5493838754186357E-4</v>
      </c>
      <c r="N44" s="48">
        <f t="shared" si="5"/>
        <v>1.8784900181683691E-4</v>
      </c>
      <c r="O44" s="48">
        <f t="shared" si="5"/>
        <v>9.8977220657949023E-5</v>
      </c>
      <c r="P44" s="48"/>
      <c r="Q44" s="48"/>
      <c r="R44" s="48"/>
      <c r="S44" s="48"/>
      <c r="T44" s="48"/>
      <c r="U44" s="48"/>
    </row>
    <row r="45" spans="2:62" ht="18.600000000000001" thickBot="1" x14ac:dyDescent="0.4">
      <c r="B45" s="47">
        <f t="shared" si="6"/>
        <v>5.7864867353532246E-2</v>
      </c>
      <c r="C45" s="48">
        <f t="shared" si="5"/>
        <v>2.8585594217052604E-2</v>
      </c>
      <c r="D45" s="48">
        <f t="shared" si="5"/>
        <v>1.4121456319075288E-2</v>
      </c>
      <c r="E45" s="48">
        <f t="shared" si="5"/>
        <v>6.97608477393802E-3</v>
      </c>
      <c r="F45" s="48">
        <f t="shared" si="5"/>
        <v>3.4462280428847894E-3</v>
      </c>
      <c r="G45" s="48">
        <f t="shared" si="5"/>
        <v>1.7024574827322826E-3</v>
      </c>
      <c r="H45" s="48">
        <f t="shared" si="5"/>
        <v>8.4102428639195985E-4</v>
      </c>
      <c r="I45" s="48">
        <f t="shared" si="5"/>
        <v>4.1547108076139491E-4</v>
      </c>
      <c r="J45" s="48">
        <f t="shared" si="5"/>
        <v>2.0524522506903405E-4</v>
      </c>
      <c r="K45" s="48">
        <f t="shared" si="5"/>
        <v>1.013923817186958E-4</v>
      </c>
      <c r="L45" s="48">
        <f t="shared" si="5"/>
        <v>5.0088449400622644E-5</v>
      </c>
      <c r="M45" s="48">
        <f t="shared" si="5"/>
        <v>2.4743996746415572E-5</v>
      </c>
      <c r="N45" s="48">
        <f t="shared" si="5"/>
        <v>1.2223683949358061E-5</v>
      </c>
      <c r="O45" s="48"/>
      <c r="P45" s="48"/>
      <c r="Q45" s="48"/>
      <c r="R45" s="48"/>
      <c r="S45" s="48"/>
      <c r="T45" s="48"/>
      <c r="U45" s="48"/>
    </row>
    <row r="46" spans="2:62" ht="18.600000000000001" thickBot="1" x14ac:dyDescent="0.4">
      <c r="B46" s="47">
        <f t="shared" si="6"/>
        <v>0</v>
      </c>
      <c r="C46" s="48">
        <f t="shared" si="5"/>
        <v>0</v>
      </c>
      <c r="D46" s="48">
        <f t="shared" si="5"/>
        <v>0</v>
      </c>
      <c r="E46" s="48">
        <f t="shared" si="5"/>
        <v>0</v>
      </c>
      <c r="F46" s="48">
        <f t="shared" si="5"/>
        <v>0</v>
      </c>
      <c r="G46" s="48">
        <f t="shared" si="5"/>
        <v>0</v>
      </c>
      <c r="H46" s="48">
        <f t="shared" si="5"/>
        <v>0</v>
      </c>
      <c r="I46" s="48">
        <f t="shared" si="5"/>
        <v>0</v>
      </c>
      <c r="J46" s="48">
        <f t="shared" si="5"/>
        <v>0</v>
      </c>
      <c r="K46" s="48">
        <f t="shared" si="5"/>
        <v>0</v>
      </c>
      <c r="L46" s="48">
        <f t="shared" si="5"/>
        <v>0</v>
      </c>
      <c r="M46" s="48">
        <f t="shared" si="5"/>
        <v>0</v>
      </c>
      <c r="N46" s="48"/>
      <c r="O46" s="48"/>
      <c r="P46" s="48"/>
      <c r="Q46" s="48"/>
      <c r="R46" s="48"/>
      <c r="S46" s="48"/>
      <c r="T46" s="48"/>
      <c r="U46" s="48"/>
      <c r="Y46" s="72" t="s">
        <v>75</v>
      </c>
      <c r="Z46" s="5">
        <f>U61+U38+B15</f>
        <v>1.0993687159545413</v>
      </c>
    </row>
    <row r="47" spans="2:62" ht="18.600000000000001" thickBot="1" x14ac:dyDescent="0.4">
      <c r="B47" s="47">
        <f t="shared" si="6"/>
        <v>0</v>
      </c>
      <c r="C47" s="48">
        <f t="shared" si="5"/>
        <v>0</v>
      </c>
      <c r="D47" s="48">
        <f t="shared" si="5"/>
        <v>0</v>
      </c>
      <c r="E47" s="48">
        <f t="shared" si="5"/>
        <v>0</v>
      </c>
      <c r="F47" s="48">
        <f t="shared" si="5"/>
        <v>0</v>
      </c>
      <c r="G47" s="48">
        <f t="shared" si="5"/>
        <v>0</v>
      </c>
      <c r="H47" s="48">
        <f t="shared" si="5"/>
        <v>0</v>
      </c>
      <c r="I47" s="48">
        <f t="shared" si="5"/>
        <v>0</v>
      </c>
      <c r="J47" s="48">
        <f t="shared" si="5"/>
        <v>0</v>
      </c>
      <c r="K47" s="48">
        <f t="shared" si="5"/>
        <v>0</v>
      </c>
      <c r="L47" s="48">
        <f t="shared" si="5"/>
        <v>0</v>
      </c>
      <c r="M47" s="48"/>
      <c r="N47" s="48"/>
      <c r="O47" s="48"/>
      <c r="P47" s="48"/>
      <c r="Q47" s="48"/>
      <c r="R47" s="48"/>
      <c r="S47" s="48"/>
      <c r="T47" s="48"/>
      <c r="U47" s="48"/>
    </row>
    <row r="48" spans="2:62" ht="18.600000000000001" thickBot="1" x14ac:dyDescent="0.4">
      <c r="B48" s="47">
        <f t="shared" si="6"/>
        <v>0</v>
      </c>
      <c r="C48" s="48">
        <f t="shared" si="5"/>
        <v>0</v>
      </c>
      <c r="D48" s="48">
        <f t="shared" si="5"/>
        <v>0</v>
      </c>
      <c r="E48" s="48">
        <f t="shared" si="5"/>
        <v>0</v>
      </c>
      <c r="F48" s="48">
        <f t="shared" si="5"/>
        <v>0</v>
      </c>
      <c r="G48" s="48">
        <f t="shared" si="5"/>
        <v>0</v>
      </c>
      <c r="H48" s="48">
        <f t="shared" si="5"/>
        <v>0</v>
      </c>
      <c r="I48" s="48">
        <f t="shared" si="5"/>
        <v>0</v>
      </c>
      <c r="J48" s="48">
        <f t="shared" si="5"/>
        <v>0</v>
      </c>
      <c r="K48" s="48">
        <f t="shared" si="5"/>
        <v>0</v>
      </c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2:62" ht="18.600000000000001" thickBot="1" x14ac:dyDescent="0.4">
      <c r="B49" s="47">
        <f t="shared" si="6"/>
        <v>0</v>
      </c>
      <c r="C49" s="48">
        <f t="shared" si="5"/>
        <v>0</v>
      </c>
      <c r="D49" s="48">
        <f t="shared" si="5"/>
        <v>0</v>
      </c>
      <c r="E49" s="48">
        <f t="shared" si="5"/>
        <v>0</v>
      </c>
      <c r="F49" s="48">
        <f t="shared" si="5"/>
        <v>0</v>
      </c>
      <c r="G49" s="48">
        <f t="shared" si="5"/>
        <v>0</v>
      </c>
      <c r="H49" s="48">
        <f t="shared" si="5"/>
        <v>0</v>
      </c>
      <c r="I49" s="48">
        <f t="shared" si="5"/>
        <v>0</v>
      </c>
      <c r="J49" s="48">
        <f t="shared" si="5"/>
        <v>0</v>
      </c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</row>
    <row r="50" spans="2:62" ht="18.600000000000001" thickBot="1" x14ac:dyDescent="0.4">
      <c r="B50" s="47">
        <f t="shared" si="6"/>
        <v>0</v>
      </c>
      <c r="C50" s="48">
        <f t="shared" si="5"/>
        <v>0</v>
      </c>
      <c r="D50" s="48">
        <f t="shared" si="5"/>
        <v>0</v>
      </c>
      <c r="E50" s="48">
        <f t="shared" si="5"/>
        <v>0</v>
      </c>
      <c r="F50" s="48">
        <f t="shared" si="5"/>
        <v>0</v>
      </c>
      <c r="G50" s="48">
        <f t="shared" si="5"/>
        <v>0</v>
      </c>
      <c r="H50" s="48">
        <f t="shared" si="5"/>
        <v>0</v>
      </c>
      <c r="I50" s="48">
        <f t="shared" si="5"/>
        <v>0</v>
      </c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2:62" ht="18.600000000000001" thickBot="1" x14ac:dyDescent="0.4">
      <c r="B51" s="47">
        <f t="shared" si="6"/>
        <v>0</v>
      </c>
      <c r="C51" s="48">
        <f t="shared" si="5"/>
        <v>0</v>
      </c>
      <c r="D51" s="48">
        <f>$K$7*($K$5*C51+$K$6*C52)</f>
        <v>0</v>
      </c>
      <c r="E51" s="48">
        <f>$K$7*($K$5*D51+$K$6*D52)</f>
        <v>0</v>
      </c>
      <c r="F51" s="48">
        <f>$K$7*($K$5*E51+$K$6*E52)</f>
        <v>0</v>
      </c>
      <c r="G51" s="48">
        <f>$K$7*($K$5*F51+$K$6*F52)</f>
        <v>0</v>
      </c>
      <c r="H51" s="48">
        <f>$K$7*($K$5*G51+$K$6*G52)</f>
        <v>0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  <row r="52" spans="2:62" ht="18.600000000000001" thickBot="1" x14ac:dyDescent="0.4">
      <c r="B52" s="47">
        <f t="shared" si="6"/>
        <v>0</v>
      </c>
      <c r="C52" s="48">
        <f t="shared" si="5"/>
        <v>0</v>
      </c>
      <c r="D52" s="48">
        <f>$K$7*($K$5*C52+$K$6*C53)</f>
        <v>0</v>
      </c>
      <c r="E52" s="48">
        <f>$K$7*($K$5*D52+$K$6*D53)</f>
        <v>0</v>
      </c>
      <c r="F52" s="48">
        <f>$K$7*($K$5*E52+$K$6*E53)</f>
        <v>0</v>
      </c>
      <c r="G52" s="48">
        <f>$K$7*($K$5*F52+$K$6*F53)</f>
        <v>0</v>
      </c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</row>
    <row r="53" spans="2:62" ht="18.600000000000001" thickBot="1" x14ac:dyDescent="0.4">
      <c r="B53" s="47">
        <f t="shared" si="6"/>
        <v>0</v>
      </c>
      <c r="C53" s="48">
        <f t="shared" si="5"/>
        <v>0</v>
      </c>
      <c r="D53" s="48">
        <f>$K$7*($K$5*C53+$K$6*C54)</f>
        <v>0</v>
      </c>
      <c r="E53" s="48">
        <f>$K$7*($K$5*D53+$K$6*D54)</f>
        <v>0</v>
      </c>
      <c r="F53" s="48">
        <f>$K$7*($K$5*E53+$K$6*E54)</f>
        <v>0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</row>
    <row r="54" spans="2:62" ht="18.600000000000001" thickBot="1" x14ac:dyDescent="0.4">
      <c r="B54" s="47">
        <f t="shared" si="6"/>
        <v>0</v>
      </c>
      <c r="C54" s="48">
        <f t="shared" ref="C54:C56" si="7">$K$7*($K$5*B54+$K$6*B55)</f>
        <v>0</v>
      </c>
      <c r="D54" s="48">
        <f>$K$7*($K$5*C54+$K$6*C55)</f>
        <v>0</v>
      </c>
      <c r="E54" s="48">
        <f>$K$7*($K$5*D54+$K$6*D55)</f>
        <v>0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 spans="2:62" ht="18.600000000000001" thickBot="1" x14ac:dyDescent="0.4">
      <c r="B55" s="47">
        <f t="shared" si="6"/>
        <v>0</v>
      </c>
      <c r="C55" s="48">
        <f t="shared" si="7"/>
        <v>0</v>
      </c>
      <c r="D55" s="48">
        <f>$K$7*($K$5*C55+$K$6*C56)</f>
        <v>0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 spans="2:62" ht="18.600000000000001" thickBot="1" x14ac:dyDescent="0.4">
      <c r="B56" s="47">
        <f t="shared" si="6"/>
        <v>0</v>
      </c>
      <c r="C56" s="48">
        <f t="shared" si="7"/>
        <v>0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</row>
    <row r="57" spans="2:62" x14ac:dyDescent="0.35">
      <c r="B57" s="47">
        <f t="shared" si="6"/>
        <v>0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</row>
    <row r="58" spans="2:62" ht="18.600000000000001" thickBot="1" x14ac:dyDescent="0.4"/>
    <row r="59" spans="2:62" ht="18.600000000000001" thickBot="1" x14ac:dyDescent="0.4">
      <c r="B59" s="64" t="s">
        <v>45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5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</row>
    <row r="60" spans="2:62" ht="18.600000000000001" thickBot="1" x14ac:dyDescent="0.4">
      <c r="B60" s="25">
        <v>19</v>
      </c>
      <c r="C60" s="34">
        <v>18</v>
      </c>
      <c r="D60" s="34">
        <v>17</v>
      </c>
      <c r="E60" s="34">
        <v>16</v>
      </c>
      <c r="F60" s="34">
        <v>15</v>
      </c>
      <c r="G60" s="34">
        <v>14</v>
      </c>
      <c r="H60" s="34">
        <v>13</v>
      </c>
      <c r="I60" s="34">
        <v>12</v>
      </c>
      <c r="J60" s="34">
        <v>11</v>
      </c>
      <c r="K60" s="34">
        <v>10</v>
      </c>
      <c r="L60" s="34">
        <v>9</v>
      </c>
      <c r="M60" s="34">
        <v>8</v>
      </c>
      <c r="N60" s="34">
        <v>7</v>
      </c>
      <c r="O60" s="34">
        <v>6</v>
      </c>
      <c r="P60" s="34">
        <v>5</v>
      </c>
      <c r="Q60" s="34">
        <v>4</v>
      </c>
      <c r="R60" s="34">
        <v>3</v>
      </c>
      <c r="S60" s="34">
        <v>2</v>
      </c>
      <c r="T60" s="34">
        <v>1</v>
      </c>
      <c r="U60" s="43">
        <v>0</v>
      </c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</row>
    <row r="61" spans="2:62" x14ac:dyDescent="0.35">
      <c r="B61" s="6">
        <f>MAX($C$11-U15,0)</f>
        <v>0</v>
      </c>
      <c r="C61" s="5">
        <f>$K$7*($K$5*B61+$K$6*B62)</f>
        <v>0</v>
      </c>
      <c r="D61" s="5">
        <f t="shared" ref="D61:U61" si="8">$K$7*($K$5*C61+$K$6*C62)</f>
        <v>0</v>
      </c>
      <c r="E61" s="5">
        <f t="shared" si="8"/>
        <v>0</v>
      </c>
      <c r="F61" s="5">
        <f t="shared" si="8"/>
        <v>0</v>
      </c>
      <c r="G61" s="5">
        <f t="shared" si="8"/>
        <v>0</v>
      </c>
      <c r="H61" s="5">
        <f t="shared" si="8"/>
        <v>0</v>
      </c>
      <c r="I61" s="5">
        <f t="shared" si="8"/>
        <v>0</v>
      </c>
      <c r="J61" s="5">
        <f t="shared" si="8"/>
        <v>0</v>
      </c>
      <c r="K61" s="5">
        <f t="shared" si="8"/>
        <v>0</v>
      </c>
      <c r="L61" s="5">
        <f t="shared" si="8"/>
        <v>4.8827293865332145E-5</v>
      </c>
      <c r="M61" s="5">
        <f t="shared" si="8"/>
        <v>3.3610175648604004E-4</v>
      </c>
      <c r="N61" s="5">
        <f t="shared" si="8"/>
        <v>1.2630125100325719E-3</v>
      </c>
      <c r="O61" s="5">
        <f t="shared" si="8"/>
        <v>3.4355512299064882E-3</v>
      </c>
      <c r="P61" s="5">
        <f t="shared" si="8"/>
        <v>7.5741804069515304E-3</v>
      </c>
      <c r="Q61" s="5">
        <f t="shared" si="8"/>
        <v>1.4377641512099335E-2</v>
      </c>
      <c r="R61" s="5">
        <f t="shared" si="8"/>
        <v>2.4391899307691051E-2</v>
      </c>
      <c r="S61" s="5">
        <f t="shared" si="8"/>
        <v>3.7922287545005852E-2</v>
      </c>
      <c r="T61" s="5">
        <f t="shared" si="8"/>
        <v>5.5003474058401537E-2</v>
      </c>
      <c r="U61" s="54">
        <f t="shared" si="8"/>
        <v>7.542132208924357E-2</v>
      </c>
    </row>
    <row r="62" spans="2:62" x14ac:dyDescent="0.35">
      <c r="B62" s="6">
        <f t="shared" ref="B62:B80" si="9">MAX($C$11-U16,0)</f>
        <v>0</v>
      </c>
      <c r="C62" s="5">
        <f t="shared" ref="C62:T77" si="10">$K$7*($K$5*B62+$K$6*B63)</f>
        <v>0</v>
      </c>
      <c r="D62" s="5">
        <f t="shared" si="10"/>
        <v>0</v>
      </c>
      <c r="E62" s="5">
        <f t="shared" si="10"/>
        <v>0</v>
      </c>
      <c r="F62" s="5">
        <f t="shared" si="10"/>
        <v>0</v>
      </c>
      <c r="G62" s="5">
        <f t="shared" si="10"/>
        <v>0</v>
      </c>
      <c r="H62" s="5">
        <f t="shared" si="10"/>
        <v>0</v>
      </c>
      <c r="I62" s="5">
        <f t="shared" si="10"/>
        <v>0</v>
      </c>
      <c r="J62" s="5">
        <f t="shared" si="10"/>
        <v>0</v>
      </c>
      <c r="K62" s="5">
        <f t="shared" si="10"/>
        <v>9.6598232249565648E-5</v>
      </c>
      <c r="L62" s="5">
        <f t="shared" si="10"/>
        <v>6.1721199935351476E-4</v>
      </c>
      <c r="M62" s="5">
        <f t="shared" si="10"/>
        <v>2.1702198586458022E-3</v>
      </c>
      <c r="N62" s="5">
        <f t="shared" si="10"/>
        <v>5.5624028583329179E-3</v>
      </c>
      <c r="O62" s="5">
        <f t="shared" si="10"/>
        <v>1.1626848602353961E-2</v>
      </c>
      <c r="P62" s="5">
        <f t="shared" si="10"/>
        <v>2.1041797446327819E-2</v>
      </c>
      <c r="Q62" s="5">
        <f t="shared" si="10"/>
        <v>3.420447006568509E-2</v>
      </c>
      <c r="R62" s="5">
        <f t="shared" si="10"/>
        <v>5.1185343472607892E-2</v>
      </c>
      <c r="S62" s="5">
        <f t="shared" si="10"/>
        <v>7.1754593157615343E-2</v>
      </c>
      <c r="T62" s="5">
        <f t="shared" si="10"/>
        <v>9.5454696627351496E-2</v>
      </c>
    </row>
    <row r="63" spans="2:62" x14ac:dyDescent="0.35">
      <c r="B63" s="6">
        <f t="shared" si="9"/>
        <v>0</v>
      </c>
      <c r="C63" s="5">
        <f t="shared" si="10"/>
        <v>0</v>
      </c>
      <c r="D63" s="5">
        <f t="shared" si="10"/>
        <v>0</v>
      </c>
      <c r="E63" s="5">
        <f t="shared" si="10"/>
        <v>0</v>
      </c>
      <c r="F63" s="5">
        <f t="shared" si="10"/>
        <v>0</v>
      </c>
      <c r="G63" s="5">
        <f t="shared" si="10"/>
        <v>0</v>
      </c>
      <c r="H63" s="5">
        <f t="shared" si="10"/>
        <v>0</v>
      </c>
      <c r="I63" s="5">
        <f t="shared" si="10"/>
        <v>0</v>
      </c>
      <c r="J63" s="5">
        <f t="shared" si="10"/>
        <v>1.9110660728970444E-4</v>
      </c>
      <c r="K63" s="5">
        <f t="shared" si="10"/>
        <v>1.126663089031863E-3</v>
      </c>
      <c r="L63" s="5">
        <f t="shared" si="10"/>
        <v>3.6902716249383413E-3</v>
      </c>
      <c r="M63" s="5">
        <f t="shared" si="10"/>
        <v>8.88345671419144E-3</v>
      </c>
      <c r="N63" s="5">
        <f t="shared" si="10"/>
        <v>1.756588322222458E-2</v>
      </c>
      <c r="O63" s="5">
        <f t="shared" si="10"/>
        <v>3.0265161523598455E-2</v>
      </c>
      <c r="P63" s="5">
        <f t="shared" si="10"/>
        <v>4.7104278370393327E-2</v>
      </c>
      <c r="Q63" s="5">
        <f t="shared" si="10"/>
        <v>6.783444955185236E-2</v>
      </c>
      <c r="R63" s="5">
        <f t="shared" si="10"/>
        <v>9.193211928319045E-2</v>
      </c>
      <c r="S63" s="5">
        <f t="shared" si="10"/>
        <v>0.11871675398504558</v>
      </c>
    </row>
    <row r="64" spans="2:62" x14ac:dyDescent="0.35">
      <c r="B64" s="6">
        <f t="shared" si="9"/>
        <v>0</v>
      </c>
      <c r="C64" s="5">
        <f t="shared" si="10"/>
        <v>0</v>
      </c>
      <c r="D64" s="5">
        <f t="shared" si="10"/>
        <v>0</v>
      </c>
      <c r="E64" s="5">
        <f t="shared" si="10"/>
        <v>0</v>
      </c>
      <c r="F64" s="5">
        <f t="shared" si="10"/>
        <v>0</v>
      </c>
      <c r="G64" s="5">
        <f t="shared" si="10"/>
        <v>0</v>
      </c>
      <c r="H64" s="5">
        <f t="shared" si="10"/>
        <v>0</v>
      </c>
      <c r="I64" s="5">
        <f t="shared" si="10"/>
        <v>3.7807871323593023E-4</v>
      </c>
      <c r="J64" s="5">
        <f t="shared" si="10"/>
        <v>2.0421781838390681E-3</v>
      </c>
      <c r="K64" s="5">
        <f t="shared" si="10"/>
        <v>6.199590522517731E-3</v>
      </c>
      <c r="L64" s="5">
        <f t="shared" si="10"/>
        <v>1.3968131158405709E-2</v>
      </c>
      <c r="M64" s="5">
        <f t="shared" si="10"/>
        <v>2.6069716947458722E-2</v>
      </c>
      <c r="N64" s="5">
        <f t="shared" si="10"/>
        <v>4.2707982501926603E-2</v>
      </c>
      <c r="O64" s="5">
        <f t="shared" si="10"/>
        <v>6.361059401981517E-2</v>
      </c>
      <c r="P64" s="5">
        <f t="shared" si="10"/>
        <v>8.8165167442669376E-2</v>
      </c>
      <c r="Q64" s="5">
        <f t="shared" si="10"/>
        <v>0.11557906098797337</v>
      </c>
      <c r="R64" s="5">
        <f t="shared" si="10"/>
        <v>0.14501761441596023</v>
      </c>
    </row>
    <row r="65" spans="2:17" x14ac:dyDescent="0.35">
      <c r="B65" s="6">
        <f t="shared" si="9"/>
        <v>0</v>
      </c>
      <c r="C65" s="5">
        <f t="shared" si="10"/>
        <v>0</v>
      </c>
      <c r="D65" s="5">
        <f t="shared" si="10"/>
        <v>0</v>
      </c>
      <c r="E65" s="5">
        <f t="shared" si="10"/>
        <v>0</v>
      </c>
      <c r="F65" s="5">
        <f t="shared" si="10"/>
        <v>0</v>
      </c>
      <c r="G65" s="5">
        <f t="shared" si="10"/>
        <v>0</v>
      </c>
      <c r="H65" s="5">
        <f t="shared" si="10"/>
        <v>7.4797787177208501E-4</v>
      </c>
      <c r="I65" s="5">
        <f t="shared" si="10"/>
        <v>3.6706692159894938E-3</v>
      </c>
      <c r="J65" s="5">
        <f t="shared" si="10"/>
        <v>1.0269185053745239E-2</v>
      </c>
      <c r="K65" s="5">
        <f t="shared" si="10"/>
        <v>2.1575056674518308E-2</v>
      </c>
      <c r="L65" s="5">
        <f t="shared" si="10"/>
        <v>3.7924031053522864E-2</v>
      </c>
      <c r="M65" s="5">
        <f t="shared" si="10"/>
        <v>5.9013424845806281E-2</v>
      </c>
      <c r="N65" s="5">
        <f t="shared" si="10"/>
        <v>8.4105445165087472E-2</v>
      </c>
      <c r="O65" s="5">
        <f t="shared" si="10"/>
        <v>0.11225473103182222</v>
      </c>
      <c r="P65" s="5">
        <f t="shared" si="10"/>
        <v>0.14249164525624503</v>
      </c>
      <c r="Q65" s="5">
        <f t="shared" si="10"/>
        <v>0.17393959307372342</v>
      </c>
    </row>
    <row r="66" spans="2:17" x14ac:dyDescent="0.35">
      <c r="B66" s="6">
        <f t="shared" si="9"/>
        <v>0</v>
      </c>
      <c r="C66" s="5">
        <f t="shared" si="10"/>
        <v>0</v>
      </c>
      <c r="D66" s="5">
        <f t="shared" si="10"/>
        <v>0</v>
      </c>
      <c r="E66" s="5">
        <f t="shared" si="10"/>
        <v>0</v>
      </c>
      <c r="F66" s="5">
        <f t="shared" si="10"/>
        <v>0</v>
      </c>
      <c r="G66" s="5">
        <f t="shared" si="10"/>
        <v>1.4797735949539541E-3</v>
      </c>
      <c r="H66" s="5">
        <f t="shared" si="10"/>
        <v>6.5309081342893403E-3</v>
      </c>
      <c r="I66" s="5">
        <f t="shared" si="10"/>
        <v>1.6728766172780827E-2</v>
      </c>
      <c r="J66" s="5">
        <f t="shared" si="10"/>
        <v>3.2647021017456368E-2</v>
      </c>
      <c r="K66" s="5">
        <f t="shared" si="10"/>
        <v>5.3941762089027498E-2</v>
      </c>
      <c r="L66" s="5">
        <f t="shared" si="10"/>
        <v>7.968603736420854E-2</v>
      </c>
      <c r="M66" s="5">
        <f t="shared" si="10"/>
        <v>0.1087160427205752</v>
      </c>
      <c r="N66" s="5">
        <f t="shared" si="10"/>
        <v>0.13988257170213689</v>
      </c>
      <c r="O66" s="5">
        <f t="shared" si="10"/>
        <v>0.17219125201988458</v>
      </c>
      <c r="P66" s="5">
        <f t="shared" si="10"/>
        <v>0.20485550904110433</v>
      </c>
    </row>
    <row r="67" spans="2:17" x14ac:dyDescent="0.35">
      <c r="B67" s="6">
        <f t="shared" si="9"/>
        <v>0</v>
      </c>
      <c r="C67" s="5">
        <f t="shared" si="10"/>
        <v>0</v>
      </c>
      <c r="D67" s="5">
        <f t="shared" si="10"/>
        <v>0</v>
      </c>
      <c r="E67" s="5">
        <f t="shared" si="10"/>
        <v>0</v>
      </c>
      <c r="F67" s="5">
        <f t="shared" si="10"/>
        <v>2.9275329858824725E-3</v>
      </c>
      <c r="G67" s="5">
        <f t="shared" si="10"/>
        <v>1.1474304160865988E-2</v>
      </c>
      <c r="H67" s="5">
        <f t="shared" si="10"/>
        <v>2.6712796846927976E-2</v>
      </c>
      <c r="I67" s="5">
        <f t="shared" si="10"/>
        <v>4.8238306084703662E-2</v>
      </c>
      <c r="J67" s="5">
        <f t="shared" si="10"/>
        <v>7.4809786080623428E-2</v>
      </c>
      <c r="K67" s="5">
        <f t="shared" si="10"/>
        <v>0.10492949919319898</v>
      </c>
      <c r="L67" s="5">
        <f t="shared" si="10"/>
        <v>0.13720094845416408</v>
      </c>
      <c r="M67" s="5">
        <f t="shared" si="10"/>
        <v>0.17048799777396545</v>
      </c>
      <c r="N67" s="5">
        <f t="shared" si="10"/>
        <v>0.20394656297575786</v>
      </c>
      <c r="O67" s="5">
        <f t="shared" si="10"/>
        <v>0.23699233636606637</v>
      </c>
    </row>
    <row r="68" spans="2:17" x14ac:dyDescent="0.35">
      <c r="B68" s="6">
        <f t="shared" si="9"/>
        <v>0</v>
      </c>
      <c r="C68" s="5">
        <f t="shared" si="10"/>
        <v>0</v>
      </c>
      <c r="D68" s="5">
        <f t="shared" si="10"/>
        <v>0</v>
      </c>
      <c r="E68" s="5">
        <f t="shared" si="10"/>
        <v>5.7917301759237236E-3</v>
      </c>
      <c r="F68" s="5">
        <f t="shared" si="10"/>
        <v>1.9839217448214843E-2</v>
      </c>
      <c r="G68" s="5">
        <f t="shared" si="10"/>
        <v>4.1633556346674386E-2</v>
      </c>
      <c r="H68" s="5">
        <f t="shared" si="10"/>
        <v>6.9325928326638683E-2</v>
      </c>
      <c r="I68" s="5">
        <f t="shared" si="10"/>
        <v>0.10085661931381848</v>
      </c>
      <c r="J68" s="5">
        <f t="shared" si="10"/>
        <v>0.13447546133320123</v>
      </c>
      <c r="K68" s="5">
        <f t="shared" si="10"/>
        <v>0.1688834486940296</v>
      </c>
      <c r="L68" s="5">
        <f t="shared" si="10"/>
        <v>0.20319771968773515</v>
      </c>
      <c r="M68" s="5">
        <f t="shared" si="10"/>
        <v>0.23685874096000406</v>
      </c>
      <c r="N68" s="5">
        <f t="shared" si="10"/>
        <v>0.26953548249182885</v>
      </c>
    </row>
    <row r="69" spans="2:17" x14ac:dyDescent="0.35">
      <c r="B69" s="6">
        <f t="shared" si="9"/>
        <v>0</v>
      </c>
      <c r="C69" s="5">
        <f t="shared" si="10"/>
        <v>0</v>
      </c>
      <c r="D69" s="5">
        <f t="shared" si="10"/>
        <v>1.1458159000245709E-2</v>
      </c>
      <c r="E69" s="5">
        <f t="shared" si="10"/>
        <v>3.3588822979923522E-2</v>
      </c>
      <c r="F69" s="5">
        <f t="shared" si="10"/>
        <v>6.2977037049369272E-2</v>
      </c>
      <c r="G69" s="5">
        <f t="shared" si="10"/>
        <v>9.646252822121533E-2</v>
      </c>
      <c r="H69" s="5">
        <f t="shared" si="10"/>
        <v>0.13177732495036626</v>
      </c>
      <c r="I69" s="5">
        <f t="shared" si="10"/>
        <v>0.16747196437451356</v>
      </c>
      <c r="J69" s="5">
        <f t="shared" si="10"/>
        <v>0.2026870205297103</v>
      </c>
      <c r="K69" s="5">
        <f t="shared" si="10"/>
        <v>0.23694542038345046</v>
      </c>
      <c r="L69" s="5">
        <f t="shared" si="10"/>
        <v>0.27000304484572291</v>
      </c>
      <c r="M69" s="5">
        <f t="shared" si="10"/>
        <v>0.30175184121289733</v>
      </c>
    </row>
    <row r="70" spans="2:17" x14ac:dyDescent="0.35">
      <c r="B70" s="6">
        <f t="shared" si="9"/>
        <v>0</v>
      </c>
      <c r="C70" s="5">
        <f t="shared" si="10"/>
        <v>2.266842613295126E-2</v>
      </c>
      <c r="D70" s="5">
        <f t="shared" si="10"/>
        <v>5.5252628090307565E-2</v>
      </c>
      <c r="E70" s="5">
        <f t="shared" si="10"/>
        <v>9.1764415955089135E-2</v>
      </c>
      <c r="F70" s="5">
        <f t="shared" si="10"/>
        <v>0.12928913385027022</v>
      </c>
      <c r="G70" s="5">
        <f t="shared" si="10"/>
        <v>0.16642851739943795</v>
      </c>
      <c r="H70" s="5">
        <f t="shared" si="10"/>
        <v>0.20253154348098359</v>
      </c>
      <c r="I70" s="5">
        <f t="shared" si="10"/>
        <v>0.23731454901038743</v>
      </c>
      <c r="J70" s="5">
        <f t="shared" si="10"/>
        <v>0.27067364722366555</v>
      </c>
      <c r="K70" s="5">
        <f t="shared" si="10"/>
        <v>0.30259213650538996</v>
      </c>
      <c r="L70" s="5">
        <f t="shared" si="10"/>
        <v>0.33309483268529766</v>
      </c>
    </row>
    <row r="71" spans="2:17" x14ac:dyDescent="0.35">
      <c r="B71" s="6">
        <f t="shared" si="9"/>
        <v>4.4846431554497412E-2</v>
      </c>
      <c r="C71" s="5">
        <f t="shared" si="10"/>
        <v>8.7155483376207751E-2</v>
      </c>
      <c r="D71" s="5">
        <f t="shared" si="10"/>
        <v>0.12754380488912004</v>
      </c>
      <c r="E71" s="5">
        <f t="shared" si="10"/>
        <v>0.16609754626418163</v>
      </c>
      <c r="F71" s="5">
        <f t="shared" si="10"/>
        <v>0.20289899413813842</v>
      </c>
      <c r="G71" s="5">
        <f t="shared" si="10"/>
        <v>0.23802674487926054</v>
      </c>
      <c r="H71" s="5">
        <f t="shared" si="10"/>
        <v>0.27155587008271842</v>
      </c>
      <c r="I71" s="5">
        <f t="shared" si="10"/>
        <v>0.30355807464408147</v>
      </c>
      <c r="J71" s="5">
        <f t="shared" si="10"/>
        <v>0.33410184774378499</v>
      </c>
      <c r="K71" s="5">
        <f t="shared" si="10"/>
        <v>0.36325260706048224</v>
      </c>
    </row>
    <row r="72" spans="2:17" x14ac:dyDescent="0.35">
      <c r="B72" s="6">
        <f t="shared" si="9"/>
        <v>0.12859588264578781</v>
      </c>
      <c r="C72" s="5">
        <f t="shared" si="10"/>
        <v>0.16714907044140587</v>
      </c>
      <c r="D72" s="5">
        <f t="shared" si="10"/>
        <v>0.20394996502720009</v>
      </c>
      <c r="E72" s="5">
        <f t="shared" si="10"/>
        <v>0.23907716277128732</v>
      </c>
      <c r="F72" s="5">
        <f t="shared" si="10"/>
        <v>0.2726057352686847</v>
      </c>
      <c r="G72" s="5">
        <f t="shared" si="10"/>
        <v>0.30460738741480881</v>
      </c>
      <c r="H72" s="5">
        <f t="shared" si="10"/>
        <v>0.33515060838994171</v>
      </c>
      <c r="I72" s="5">
        <f t="shared" si="10"/>
        <v>0.36430081587258367</v>
      </c>
      <c r="J72" s="5">
        <f t="shared" si="10"/>
        <v>0.39212049378535069</v>
      </c>
    </row>
    <row r="73" spans="2:17" x14ac:dyDescent="0.35">
      <c r="B73" s="6">
        <f t="shared" si="9"/>
        <v>0.2050020427838678</v>
      </c>
      <c r="C73" s="5">
        <f t="shared" si="10"/>
        <v>0.24012868694851153</v>
      </c>
      <c r="D73" s="5">
        <f t="shared" si="10"/>
        <v>0.2736567061577464</v>
      </c>
      <c r="E73" s="5">
        <f t="shared" si="10"/>
        <v>0.30565780530683551</v>
      </c>
      <c r="F73" s="5">
        <f t="shared" si="10"/>
        <v>0.3362004735759081</v>
      </c>
      <c r="G73" s="5">
        <f t="shared" si="10"/>
        <v>0.36535012864331107</v>
      </c>
      <c r="H73" s="5">
        <f t="shared" si="10"/>
        <v>0.39316925443150741</v>
      </c>
      <c r="I73" s="5">
        <f t="shared" si="10"/>
        <v>0.41971753267556178</v>
      </c>
    </row>
    <row r="74" spans="2:17" x14ac:dyDescent="0.35">
      <c r="B74" s="6">
        <f t="shared" si="9"/>
        <v>0.27470878391441411</v>
      </c>
      <c r="C74" s="5">
        <f t="shared" si="10"/>
        <v>0.30670932948405971</v>
      </c>
      <c r="D74" s="5">
        <f t="shared" si="10"/>
        <v>0.33725144446496974</v>
      </c>
      <c r="E74" s="5">
        <f t="shared" si="10"/>
        <v>0.36640054653533788</v>
      </c>
      <c r="F74" s="5">
        <f t="shared" si="10"/>
        <v>0.3942191196174738</v>
      </c>
      <c r="G74" s="5">
        <f t="shared" si="10"/>
        <v>0.42076684544628906</v>
      </c>
      <c r="H74" s="5">
        <f t="shared" si="10"/>
        <v>0.44610072923740579</v>
      </c>
    </row>
    <row r="75" spans="2:17" x14ac:dyDescent="0.35">
      <c r="B75" s="6">
        <f t="shared" si="9"/>
        <v>0.3383035222216374</v>
      </c>
      <c r="C75" s="5">
        <f t="shared" si="10"/>
        <v>0.36745207071256208</v>
      </c>
      <c r="D75" s="5">
        <f t="shared" si="10"/>
        <v>0.39527009050653544</v>
      </c>
      <c r="E75" s="5">
        <f t="shared" si="10"/>
        <v>0.42181726333831587</v>
      </c>
      <c r="F75" s="5">
        <f t="shared" si="10"/>
        <v>0.44715059442337213</v>
      </c>
      <c r="G75" s="5">
        <f t="shared" si="10"/>
        <v>0.47132453249022621</v>
      </c>
    </row>
    <row r="76" spans="2:17" x14ac:dyDescent="0.35">
      <c r="B76" s="6">
        <f t="shared" si="9"/>
        <v>0.39632216826320321</v>
      </c>
      <c r="C76" s="5">
        <f t="shared" si="10"/>
        <v>0.42286878751554013</v>
      </c>
      <c r="D76" s="5">
        <f t="shared" si="10"/>
        <v>0.44820156531243377</v>
      </c>
      <c r="E76" s="5">
        <f t="shared" si="10"/>
        <v>0.47237495038225291</v>
      </c>
      <c r="F76" s="5">
        <f t="shared" si="10"/>
        <v>0.49544094961573965</v>
      </c>
    </row>
    <row r="77" spans="2:17" x14ac:dyDescent="0.35">
      <c r="B77" s="6">
        <f t="shared" si="9"/>
        <v>0.44925364306910154</v>
      </c>
      <c r="C77" s="5">
        <f t="shared" si="10"/>
        <v>0.47342647455947712</v>
      </c>
      <c r="D77" s="5">
        <f t="shared" si="10"/>
        <v>0.49649192050480129</v>
      </c>
      <c r="E77" s="5">
        <f t="shared" si="10"/>
        <v>0.51849965546574361</v>
      </c>
    </row>
    <row r="78" spans="2:17" x14ac:dyDescent="0.35">
      <c r="B78" s="6">
        <f t="shared" si="9"/>
        <v>0.497543998261469</v>
      </c>
      <c r="C78" s="5">
        <f t="shared" ref="C78:D79" si="11">$K$7*($K$5*B78+$K$6*B79)</f>
        <v>0.51955117964296782</v>
      </c>
      <c r="D78" s="5">
        <f t="shared" si="11"/>
        <v>0.54054809715879382</v>
      </c>
    </row>
    <row r="79" spans="2:17" x14ac:dyDescent="0.35">
      <c r="B79" s="6">
        <f t="shared" si="9"/>
        <v>0.54160017491546153</v>
      </c>
      <c r="C79" s="5">
        <f t="shared" si="11"/>
        <v>0.56163159398609419</v>
      </c>
    </row>
    <row r="80" spans="2:17" x14ac:dyDescent="0.35">
      <c r="B80" s="6">
        <f t="shared" si="9"/>
        <v>0.58179343283696405</v>
      </c>
    </row>
    <row r="81" spans="2:62" ht="18.600000000000001" thickBot="1" x14ac:dyDescent="0.4">
      <c r="U81"/>
      <c r="BJ81"/>
    </row>
    <row r="82" spans="2:62" ht="18.600000000000001" thickBot="1" x14ac:dyDescent="0.4">
      <c r="B82" s="64" t="s">
        <v>46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5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</row>
    <row r="83" spans="2:62" ht="18.600000000000001" thickBot="1" x14ac:dyDescent="0.4">
      <c r="B83" s="25">
        <v>19</v>
      </c>
      <c r="C83" s="34">
        <v>18</v>
      </c>
      <c r="D83" s="34">
        <v>17</v>
      </c>
      <c r="E83" s="34">
        <v>16</v>
      </c>
      <c r="F83" s="34">
        <v>15</v>
      </c>
      <c r="G83" s="34">
        <v>14</v>
      </c>
      <c r="H83" s="34">
        <v>13</v>
      </c>
      <c r="I83" s="34">
        <v>12</v>
      </c>
      <c r="J83" s="34">
        <v>11</v>
      </c>
      <c r="K83" s="34">
        <v>10</v>
      </c>
      <c r="L83" s="34">
        <v>9</v>
      </c>
      <c r="M83" s="34">
        <v>8</v>
      </c>
      <c r="N83" s="34">
        <v>7</v>
      </c>
      <c r="O83" s="34">
        <v>6</v>
      </c>
      <c r="P83" s="34">
        <v>5</v>
      </c>
      <c r="Q83" s="34">
        <v>4</v>
      </c>
      <c r="R83" s="34">
        <v>3</v>
      </c>
      <c r="S83" s="34">
        <v>2</v>
      </c>
      <c r="T83" s="34">
        <v>1</v>
      </c>
      <c r="U83" s="43">
        <v>0</v>
      </c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</row>
    <row r="84" spans="2:62" x14ac:dyDescent="0.35">
      <c r="B84" s="52">
        <f>B61-B38+U15</f>
        <v>1.2</v>
      </c>
      <c r="C84" s="52">
        <f>C61-C38+T15</f>
        <v>1.1993685872284627</v>
      </c>
      <c r="D84" s="52">
        <f>D61-D38+S15</f>
        <v>1.198737506691999</v>
      </c>
      <c r="E84" s="52">
        <f>E61-E38+R15</f>
        <v>1.1981067582157938</v>
      </c>
      <c r="F84" s="52">
        <f>F61-F38+Q15</f>
        <v>1.1974763416251246</v>
      </c>
      <c r="G84" s="52">
        <f>G61-G38+P15</f>
        <v>1.1968462567453613</v>
      </c>
      <c r="H84" s="52">
        <f>H61-H38+O15</f>
        <v>1.1962165034019647</v>
      </c>
      <c r="I84" s="52">
        <f>I61-I38+N15</f>
        <v>1.1955870814204883</v>
      </c>
      <c r="J84" s="52">
        <f>J61-J38+M15</f>
        <v>1.1947345813152483</v>
      </c>
      <c r="K84" s="52">
        <f>K61-K38+L15</f>
        <v>1.1930062789899023</v>
      </c>
      <c r="L84" s="52">
        <f>L61-L38+K15</f>
        <v>1.1894010426644575</v>
      </c>
      <c r="M84" s="52">
        <f>M61-M38+J15</f>
        <v>1.1829104452652022</v>
      </c>
      <c r="N84" s="52">
        <f>N61-N38+I15</f>
        <v>1.1728997431863371</v>
      </c>
      <c r="O84" s="52">
        <f>O61-O38+H15</f>
        <v>1.1593314771038856</v>
      </c>
      <c r="P84" s="52">
        <f>P61-P38+G15</f>
        <v>1.1427658869048427</v>
      </c>
      <c r="Q84" s="52">
        <f>Q61-Q38+F15</f>
        <v>1.1241886014738647</v>
      </c>
      <c r="R84" s="52">
        <f>R61-R38+E15</f>
        <v>1.1047652079489836</v>
      </c>
      <c r="S84" s="52">
        <f>S61-S38+D15</f>
        <v>1.0856127131564481</v>
      </c>
      <c r="T84" s="52">
        <f>T61-T38+C15</f>
        <v>1.067640407396665</v>
      </c>
      <c r="U84" s="52">
        <f>U61-U38+B15</f>
        <v>1.0514739282239458</v>
      </c>
    </row>
    <row r="85" spans="2:62" x14ac:dyDescent="0.35">
      <c r="B85" s="52">
        <f t="shared" ref="B85:B103" si="12">B62-B39+U16</f>
        <v>1.2</v>
      </c>
      <c r="C85" s="52">
        <f t="shared" ref="C85:C103" si="13">C62-C39+T16</f>
        <v>1.199368587228463</v>
      </c>
      <c r="D85" s="52">
        <f t="shared" ref="D85:D103" si="14">D62-D39+S16</f>
        <v>1.1987375066919985</v>
      </c>
      <c r="E85" s="52">
        <f t="shared" ref="E85:E103" si="15">E62-E39+R16</f>
        <v>1.1981067582157934</v>
      </c>
      <c r="F85" s="52">
        <f t="shared" ref="F85:F103" si="16">F62-F39+Q16</f>
        <v>1.1974763416251246</v>
      </c>
      <c r="G85" s="52">
        <f t="shared" ref="G85:G103" si="17">G62-G39+P16</f>
        <v>1.1968462567453613</v>
      </c>
      <c r="H85" s="52">
        <f t="shared" ref="H85:H103" si="18">H62-H39+O16</f>
        <v>1.1962165034019647</v>
      </c>
      <c r="I85" s="52">
        <f t="shared" ref="I85:I103" si="19">I62-I39+N16</f>
        <v>1.1951450961529466</v>
      </c>
      <c r="J85" s="52">
        <f t="shared" ref="J85:J103" si="20">J62-J39+M16</f>
        <v>1.1925590517476876</v>
      </c>
      <c r="K85" s="52">
        <f t="shared" ref="K85:K103" si="21">K62-K39+L16</f>
        <v>1.1871156888916399</v>
      </c>
      <c r="L85" s="52">
        <f t="shared" ref="L85:L103" si="22">L62-L39+K16</f>
        <v>1.1777984008984421</v>
      </c>
      <c r="M85" s="52">
        <f t="shared" ref="M85:M103" si="23">M62-M39+J16</f>
        <v>1.1643369934212062</v>
      </c>
      <c r="N85" s="52">
        <f t="shared" ref="N85:N103" si="24">N62-N39+I16</f>
        <v>1.1472777087042574</v>
      </c>
      <c r="O85" s="52">
        <f t="shared" ref="O85:O103" si="25">O62-O39+H16</f>
        <v>1.1277655159108708</v>
      </c>
      <c r="P85" s="52">
        <f t="shared" ref="P85:P103" si="26">P62-P39+G16</f>
        <v>1.1072028130264555</v>
      </c>
      <c r="Q85" s="52">
        <f t="shared" ref="Q85:Q103" si="27">Q62-Q39+F16</f>
        <v>1.0869322781415629</v>
      </c>
      <c r="R85" s="52">
        <f t="shared" ref="R85:R103" si="28">R62-R39+E16</f>
        <v>1.0680246021252326</v>
      </c>
      <c r="S85" s="52">
        <f t="shared" ref="S85:S103" si="29">S62-S39+D16</f>
        <v>1.0511870153728644</v>
      </c>
      <c r="T85" s="52">
        <f t="shared" ref="T85:T103" si="30">T62-T39+C16</f>
        <v>1.0367685859309503</v>
      </c>
      <c r="U85" s="52">
        <f t="shared" ref="U85:U103" si="31">U62-U39+B16</f>
        <v>0</v>
      </c>
    </row>
    <row r="86" spans="2:62" x14ac:dyDescent="0.35">
      <c r="B86" s="52">
        <f t="shared" si="12"/>
        <v>1.2</v>
      </c>
      <c r="C86" s="52">
        <f t="shared" si="13"/>
        <v>1.1993685872284625</v>
      </c>
      <c r="D86" s="52">
        <f t="shared" si="14"/>
        <v>1.1987375066919985</v>
      </c>
      <c r="E86" s="52">
        <f t="shared" si="15"/>
        <v>1.1981067582157934</v>
      </c>
      <c r="F86" s="52">
        <f t="shared" si="16"/>
        <v>1.1974763416251246</v>
      </c>
      <c r="G86" s="52">
        <f t="shared" si="17"/>
        <v>1.1968462567453613</v>
      </c>
      <c r="H86" s="52">
        <f t="shared" si="18"/>
        <v>1.1953420950097522</v>
      </c>
      <c r="I86" s="52">
        <f t="shared" si="19"/>
        <v>1.1912730666050901</v>
      </c>
      <c r="J86" s="52">
        <f t="shared" si="20"/>
        <v>1.1830315100384483</v>
      </c>
      <c r="K86" s="52">
        <f t="shared" si="21"/>
        <v>1.1699184410689267</v>
      </c>
      <c r="L86" s="52">
        <f t="shared" si="22"/>
        <v>1.1523928711519735</v>
      </c>
      <c r="M86" s="52">
        <f t="shared" si="23"/>
        <v>1.1317995346379339</v>
      </c>
      <c r="N86" s="52">
        <f t="shared" si="24"/>
        <v>1.1098697430567834</v>
      </c>
      <c r="O86" s="52">
        <f t="shared" si="25"/>
        <v>1.0882589457445937</v>
      </c>
      <c r="P86" s="52">
        <f t="shared" si="26"/>
        <v>1.0682528527644881</v>
      </c>
      <c r="Q86" s="52">
        <f t="shared" si="27"/>
        <v>1.0506574497682759</v>
      </c>
      <c r="R86" s="52">
        <f t="shared" si="28"/>
        <v>1.0358254845318626</v>
      </c>
      <c r="S86" s="52">
        <f t="shared" si="29"/>
        <v>1.023756347632728</v>
      </c>
      <c r="T86" s="52">
        <f t="shared" si="30"/>
        <v>0</v>
      </c>
      <c r="U86" s="52">
        <f t="shared" si="31"/>
        <v>0</v>
      </c>
    </row>
    <row r="87" spans="2:62" x14ac:dyDescent="0.35">
      <c r="B87" s="52">
        <f t="shared" si="12"/>
        <v>1.2</v>
      </c>
      <c r="C87" s="52">
        <f t="shared" si="13"/>
        <v>1.1993685872284625</v>
      </c>
      <c r="D87" s="52">
        <f t="shared" si="14"/>
        <v>1.1987375066919985</v>
      </c>
      <c r="E87" s="52">
        <f t="shared" si="15"/>
        <v>1.1981067582157934</v>
      </c>
      <c r="F87" s="52">
        <f t="shared" si="16"/>
        <v>1.1974763416251246</v>
      </c>
      <c r="G87" s="52">
        <f t="shared" si="17"/>
        <v>1.1951163573742249</v>
      </c>
      <c r="H87" s="52">
        <f t="shared" si="18"/>
        <v>1.1885363861928029</v>
      </c>
      <c r="I87" s="52">
        <f t="shared" si="19"/>
        <v>1.176208336402998</v>
      </c>
      <c r="J87" s="52">
        <f t="shared" si="20"/>
        <v>1.1583205686829987</v>
      </c>
      <c r="K87" s="52">
        <f t="shared" si="21"/>
        <v>1.1364643098713558</v>
      </c>
      <c r="L87" s="52">
        <f t="shared" si="22"/>
        <v>1.1128513328337164</v>
      </c>
      <c r="M87" s="52">
        <f t="shared" si="23"/>
        <v>1.0895925626941629</v>
      </c>
      <c r="N87" s="52">
        <f t="shared" si="24"/>
        <v>1.0682710300827907</v>
      </c>
      <c r="O87" s="52">
        <f t="shared" si="25"/>
        <v>1.0498124281994019</v>
      </c>
      <c r="P87" s="52">
        <f t="shared" si="26"/>
        <v>1.0345547352828626</v>
      </c>
      <c r="Q87" s="52">
        <f t="shared" si="27"/>
        <v>1.0224081058286281</v>
      </c>
      <c r="R87" s="52">
        <f t="shared" si="28"/>
        <v>1.0130265851323479</v>
      </c>
      <c r="S87" s="52">
        <f t="shared" si="29"/>
        <v>0</v>
      </c>
      <c r="T87" s="52">
        <f t="shared" si="30"/>
        <v>0</v>
      </c>
      <c r="U87" s="52">
        <f t="shared" si="31"/>
        <v>0</v>
      </c>
    </row>
    <row r="88" spans="2:62" x14ac:dyDescent="0.35">
      <c r="B88" s="52">
        <f t="shared" si="12"/>
        <v>1.2</v>
      </c>
      <c r="C88" s="52">
        <f t="shared" si="13"/>
        <v>1.1993685872284625</v>
      </c>
      <c r="D88" s="52">
        <f t="shared" si="14"/>
        <v>1.1987375066919987</v>
      </c>
      <c r="E88" s="52">
        <f t="shared" si="15"/>
        <v>1.1981067582157936</v>
      </c>
      <c r="F88" s="52">
        <f t="shared" si="16"/>
        <v>1.1940539684401128</v>
      </c>
      <c r="G88" s="52">
        <f t="shared" si="17"/>
        <v>1.1833428510805042</v>
      </c>
      <c r="H88" s="52">
        <f t="shared" si="18"/>
        <v>1.1653842300935155</v>
      </c>
      <c r="I88" s="52">
        <f t="shared" si="19"/>
        <v>1.1420441931767999</v>
      </c>
      <c r="J88" s="52">
        <f t="shared" si="20"/>
        <v>1.1162866790593384</v>
      </c>
      <c r="K88" s="52">
        <f t="shared" si="21"/>
        <v>1.0909322378341881</v>
      </c>
      <c r="L88" s="52">
        <f t="shared" si="22"/>
        <v>1.067995431068665</v>
      </c>
      <c r="M88" s="52">
        <f t="shared" si="23"/>
        <v>1.0485450130592393</v>
      </c>
      <c r="N88" s="52">
        <f t="shared" si="24"/>
        <v>1.032865208649806</v>
      </c>
      <c r="O88" s="52">
        <f t="shared" si="25"/>
        <v>1.0207199596741687</v>
      </c>
      <c r="P88" s="52">
        <f t="shared" si="26"/>
        <v>1.0116012044748968</v>
      </c>
      <c r="Q88" s="52">
        <f t="shared" si="27"/>
        <v>1.0049123264230517</v>
      </c>
      <c r="R88" s="52">
        <f t="shared" si="28"/>
        <v>0</v>
      </c>
      <c r="S88" s="52">
        <f t="shared" si="29"/>
        <v>0</v>
      </c>
      <c r="T88" s="52">
        <f t="shared" si="30"/>
        <v>0</v>
      </c>
      <c r="U88" s="52">
        <f t="shared" si="31"/>
        <v>0</v>
      </c>
    </row>
    <row r="89" spans="2:62" x14ac:dyDescent="0.35">
      <c r="B89" s="52">
        <f t="shared" si="12"/>
        <v>1.2</v>
      </c>
      <c r="C89" s="52">
        <f t="shared" si="13"/>
        <v>1.1993685872284625</v>
      </c>
      <c r="D89" s="52">
        <f t="shared" si="14"/>
        <v>1.1987375066919985</v>
      </c>
      <c r="E89" s="52">
        <f t="shared" si="15"/>
        <v>1.191336053276006</v>
      </c>
      <c r="F89" s="52">
        <f t="shared" si="16"/>
        <v>1.174106439273688</v>
      </c>
      <c r="G89" s="52">
        <f t="shared" si="17"/>
        <v>1.149045961020382</v>
      </c>
      <c r="H89" s="52">
        <f t="shared" si="18"/>
        <v>1.1204222381662552</v>
      </c>
      <c r="I89" s="52">
        <f t="shared" si="19"/>
        <v>1.0922752515254008</v>
      </c>
      <c r="J89" s="52">
        <f t="shared" si="20"/>
        <v>1.0672883500748069</v>
      </c>
      <c r="K89" s="52">
        <f t="shared" si="21"/>
        <v>1.0466904801486974</v>
      </c>
      <c r="L89" s="52">
        <f t="shared" si="22"/>
        <v>1.0306271479672733</v>
      </c>
      <c r="M89" s="52">
        <f t="shared" si="23"/>
        <v>1.0186161343889117</v>
      </c>
      <c r="N89" s="52">
        <f t="shared" si="24"/>
        <v>1.0099126501847662</v>
      </c>
      <c r="O89" s="52">
        <f t="shared" si="25"/>
        <v>1.0037422691437463</v>
      </c>
      <c r="P89" s="52">
        <f t="shared" si="26"/>
        <v>0.99942120663299971</v>
      </c>
      <c r="Q89" s="52">
        <f t="shared" si="27"/>
        <v>0</v>
      </c>
      <c r="R89" s="52">
        <f t="shared" si="28"/>
        <v>0</v>
      </c>
      <c r="S89" s="52">
        <f t="shared" si="29"/>
        <v>0</v>
      </c>
      <c r="T89" s="52">
        <f t="shared" si="30"/>
        <v>0</v>
      </c>
      <c r="U89" s="52">
        <f t="shared" si="31"/>
        <v>0</v>
      </c>
    </row>
    <row r="90" spans="2:62" x14ac:dyDescent="0.35">
      <c r="B90" s="52">
        <f t="shared" si="12"/>
        <v>1.2</v>
      </c>
      <c r="C90" s="52">
        <f t="shared" si="13"/>
        <v>1.1993685872284625</v>
      </c>
      <c r="D90" s="52">
        <f t="shared" si="14"/>
        <v>1.1853425778214626</v>
      </c>
      <c r="E90" s="52">
        <f t="shared" si="15"/>
        <v>1.1584897261546849</v>
      </c>
      <c r="F90" s="52">
        <f t="shared" si="16"/>
        <v>1.1257498651773874</v>
      </c>
      <c r="G90" s="52">
        <f t="shared" si="17"/>
        <v>1.0936138996076981</v>
      </c>
      <c r="H90" s="52">
        <f t="shared" si="18"/>
        <v>1.0659035387509084</v>
      </c>
      <c r="I90" s="52">
        <f t="shared" si="19"/>
        <v>1.0439790553400108</v>
      </c>
      <c r="J90" s="52">
        <f t="shared" si="20"/>
        <v>1.0276492516704261</v>
      </c>
      <c r="K90" s="52">
        <f t="shared" si="21"/>
        <v>1.0160009128618874</v>
      </c>
      <c r="L90" s="52">
        <f t="shared" si="22"/>
        <v>1.0079378264209415</v>
      </c>
      <c r="M90" s="52">
        <f t="shared" si="23"/>
        <v>1.0024578116354037</v>
      </c>
      <c r="N90" s="52">
        <f t="shared" si="24"/>
        <v>0.9987566711900735</v>
      </c>
      <c r="O90" s="52">
        <f t="shared" si="25"/>
        <v>0.99623849488728278</v>
      </c>
      <c r="P90" s="52">
        <f t="shared" si="26"/>
        <v>0</v>
      </c>
      <c r="Q90" s="52">
        <f t="shared" si="27"/>
        <v>0</v>
      </c>
      <c r="R90" s="52">
        <f t="shared" si="28"/>
        <v>0</v>
      </c>
      <c r="S90" s="52">
        <f t="shared" si="29"/>
        <v>0</v>
      </c>
      <c r="T90" s="52">
        <f t="shared" si="30"/>
        <v>0</v>
      </c>
      <c r="U90" s="52">
        <f t="shared" si="31"/>
        <v>0</v>
      </c>
    </row>
    <row r="91" spans="2:62" x14ac:dyDescent="0.35">
      <c r="B91" s="52">
        <f t="shared" si="12"/>
        <v>1.2</v>
      </c>
      <c r="C91" s="52">
        <f t="shared" si="13"/>
        <v>1.1728685224579032</v>
      </c>
      <c r="D91" s="52">
        <f t="shared" si="14"/>
        <v>1.1334517305465484</v>
      </c>
      <c r="E91" s="52">
        <f t="shared" si="15"/>
        <v>1.094924269889064</v>
      </c>
      <c r="F91" s="52">
        <f t="shared" si="16"/>
        <v>1.0633450534880549</v>
      </c>
      <c r="G91" s="52">
        <f t="shared" si="17"/>
        <v>1.0399310988639416</v>
      </c>
      <c r="H91" s="52">
        <f t="shared" si="18"/>
        <v>1.0236384724857492</v>
      </c>
      <c r="I91" s="52">
        <f t="shared" si="19"/>
        <v>1.012759487547235</v>
      </c>
      <c r="J91" s="52">
        <f t="shared" si="20"/>
        <v>1.0056743334623444</v>
      </c>
      <c r="K91" s="52">
        <f t="shared" si="21"/>
        <v>1.0011068085612909</v>
      </c>
      <c r="L91" s="52">
        <f t="shared" si="22"/>
        <v>0.99814558845446699</v>
      </c>
      <c r="M91" s="52">
        <f t="shared" si="23"/>
        <v>0.99617913270513192</v>
      </c>
      <c r="N91" s="52">
        <f t="shared" si="24"/>
        <v>0.99481447489346575</v>
      </c>
      <c r="O91" s="52">
        <f t="shared" si="25"/>
        <v>0</v>
      </c>
      <c r="P91" s="52">
        <f t="shared" si="26"/>
        <v>0</v>
      </c>
      <c r="Q91" s="52">
        <f t="shared" si="27"/>
        <v>0</v>
      </c>
      <c r="R91" s="52">
        <f t="shared" si="28"/>
        <v>0</v>
      </c>
      <c r="S91" s="52">
        <f t="shared" si="29"/>
        <v>0</v>
      </c>
      <c r="T91" s="52">
        <f t="shared" si="30"/>
        <v>0</v>
      </c>
      <c r="U91" s="52">
        <f t="shared" si="31"/>
        <v>0</v>
      </c>
    </row>
    <row r="92" spans="2:62" x14ac:dyDescent="0.35">
      <c r="B92" s="52">
        <f t="shared" si="12"/>
        <v>1.1475731868656236</v>
      </c>
      <c r="C92" s="52">
        <f t="shared" si="13"/>
        <v>1.0961086244870784</v>
      </c>
      <c r="D92" s="52">
        <f t="shared" si="14"/>
        <v>1.0584102230829704</v>
      </c>
      <c r="E92" s="52">
        <f t="shared" si="15"/>
        <v>1.033588822979923</v>
      </c>
      <c r="F92" s="52">
        <f t="shared" si="16"/>
        <v>1.0181306054948718</v>
      </c>
      <c r="G92" s="52">
        <f t="shared" si="17"/>
        <v>1.0087808675353931</v>
      </c>
      <c r="H92" s="52">
        <f t="shared" si="18"/>
        <v>1.0031814423045784</v>
      </c>
      <c r="I92" s="52">
        <f t="shared" si="19"/>
        <v>0.99979671662349334</v>
      </c>
      <c r="J92" s="52">
        <f t="shared" si="20"/>
        <v>0.99768497774584264</v>
      </c>
      <c r="K92" s="52">
        <f t="shared" si="21"/>
        <v>0.9962905561253248</v>
      </c>
      <c r="L92" s="52">
        <f t="shared" si="22"/>
        <v>0.99529426093130913</v>
      </c>
      <c r="M92" s="52">
        <f t="shared" si="23"/>
        <v>0.99451633441922349</v>
      </c>
      <c r="N92" s="52">
        <f t="shared" si="24"/>
        <v>0</v>
      </c>
      <c r="O92" s="52">
        <f t="shared" si="25"/>
        <v>0</v>
      </c>
      <c r="P92" s="52">
        <f t="shared" si="26"/>
        <v>0</v>
      </c>
      <c r="Q92" s="52">
        <f t="shared" si="27"/>
        <v>0</v>
      </c>
      <c r="R92" s="52">
        <f t="shared" si="28"/>
        <v>0</v>
      </c>
      <c r="S92" s="52">
        <f t="shared" si="29"/>
        <v>0</v>
      </c>
      <c r="T92" s="52">
        <f t="shared" si="30"/>
        <v>0</v>
      </c>
      <c r="U92" s="52">
        <f t="shared" si="31"/>
        <v>0</v>
      </c>
    </row>
    <row r="93" spans="2:62" x14ac:dyDescent="0.35">
      <c r="B93" s="52">
        <f t="shared" si="12"/>
        <v>1.0469520640827248</v>
      </c>
      <c r="C93" s="52">
        <f t="shared" si="13"/>
        <v>1.0226684261329508</v>
      </c>
      <c r="D93" s="52">
        <f t="shared" si="14"/>
        <v>1.0104061965358102</v>
      </c>
      <c r="E93" s="52">
        <f t="shared" si="15"/>
        <v>1.004082755269267</v>
      </c>
      <c r="F93" s="52">
        <f t="shared" si="16"/>
        <v>1.0006932512044824</v>
      </c>
      <c r="G93" s="52">
        <f t="shared" si="17"/>
        <v>0.99875326964841771</v>
      </c>
      <c r="H93" s="52">
        <f t="shared" si="18"/>
        <v>0.99752950069711577</v>
      </c>
      <c r="I93" s="52">
        <f t="shared" si="19"/>
        <v>0.99665968475226152</v>
      </c>
      <c r="J93" s="52">
        <f t="shared" si="20"/>
        <v>0.99596486330925171</v>
      </c>
      <c r="K93" s="52">
        <f t="shared" si="21"/>
        <v>0.99535662971171612</v>
      </c>
      <c r="L93" s="52">
        <f t="shared" si="22"/>
        <v>0.99479131046366054</v>
      </c>
      <c r="M93" s="52">
        <f t="shared" si="23"/>
        <v>0</v>
      </c>
      <c r="N93" s="52">
        <f t="shared" si="24"/>
        <v>0</v>
      </c>
      <c r="O93" s="52">
        <f t="shared" si="25"/>
        <v>0</v>
      </c>
      <c r="P93" s="52">
        <f t="shared" si="26"/>
        <v>0</v>
      </c>
      <c r="Q93" s="52">
        <f t="shared" si="27"/>
        <v>0</v>
      </c>
      <c r="R93" s="52">
        <f t="shared" si="28"/>
        <v>0</v>
      </c>
      <c r="S93" s="52">
        <f t="shared" si="29"/>
        <v>0</v>
      </c>
      <c r="T93" s="52">
        <f t="shared" si="30"/>
        <v>0</v>
      </c>
      <c r="U93" s="52">
        <f t="shared" si="31"/>
        <v>0</v>
      </c>
    </row>
    <row r="94" spans="2:62" x14ac:dyDescent="0.35">
      <c r="B94" s="52">
        <f t="shared" si="12"/>
        <v>1</v>
      </c>
      <c r="C94" s="52">
        <f t="shared" si="13"/>
        <v>0.99947382269038554</v>
      </c>
      <c r="D94" s="52">
        <f t="shared" si="14"/>
        <v>0.99894792224333218</v>
      </c>
      <c r="E94" s="52">
        <f t="shared" si="15"/>
        <v>0.99842229851316133</v>
      </c>
      <c r="F94" s="52">
        <f t="shared" si="16"/>
        <v>0.99789695135427059</v>
      </c>
      <c r="G94" s="52">
        <f t="shared" si="17"/>
        <v>0.99737188062113458</v>
      </c>
      <c r="H94" s="52">
        <f t="shared" si="18"/>
        <v>0.99684708616830442</v>
      </c>
      <c r="I94" s="52">
        <f t="shared" si="19"/>
        <v>0.99632256785040763</v>
      </c>
      <c r="J94" s="52">
        <f t="shared" si="20"/>
        <v>0.99579832552214786</v>
      </c>
      <c r="K94" s="52">
        <f t="shared" si="21"/>
        <v>0.99527435903830597</v>
      </c>
      <c r="L94" s="52">
        <f t="shared" si="22"/>
        <v>0</v>
      </c>
      <c r="M94" s="52">
        <f t="shared" si="23"/>
        <v>0</v>
      </c>
      <c r="N94" s="52">
        <f t="shared" si="24"/>
        <v>0</v>
      </c>
      <c r="O94" s="52">
        <f t="shared" si="25"/>
        <v>0</v>
      </c>
      <c r="P94" s="52">
        <f t="shared" si="26"/>
        <v>0</v>
      </c>
      <c r="Q94" s="52">
        <f t="shared" si="27"/>
        <v>0</v>
      </c>
      <c r="R94" s="52">
        <f t="shared" si="28"/>
        <v>0</v>
      </c>
      <c r="S94" s="52">
        <f t="shared" si="29"/>
        <v>0</v>
      </c>
      <c r="T94" s="52">
        <f t="shared" si="30"/>
        <v>0</v>
      </c>
      <c r="U94" s="52">
        <f t="shared" si="31"/>
        <v>0</v>
      </c>
    </row>
    <row r="95" spans="2:62" x14ac:dyDescent="0.35">
      <c r="B95" s="52">
        <f t="shared" si="12"/>
        <v>1</v>
      </c>
      <c r="C95" s="52">
        <f t="shared" si="13"/>
        <v>0.99947382269038565</v>
      </c>
      <c r="D95" s="52">
        <f t="shared" si="14"/>
        <v>0.99894792224333229</v>
      </c>
      <c r="E95" s="52">
        <f t="shared" si="15"/>
        <v>0.99842229851316133</v>
      </c>
      <c r="F95" s="52">
        <f t="shared" si="16"/>
        <v>0.99789695135427059</v>
      </c>
      <c r="G95" s="52">
        <f t="shared" si="17"/>
        <v>0.99737188062113469</v>
      </c>
      <c r="H95" s="52">
        <f t="shared" si="18"/>
        <v>0.99684708616830453</v>
      </c>
      <c r="I95" s="52">
        <f t="shared" si="19"/>
        <v>0.9963225678504074</v>
      </c>
      <c r="J95" s="52">
        <f t="shared" si="20"/>
        <v>0.99579832552214764</v>
      </c>
      <c r="K95" s="52">
        <f t="shared" si="21"/>
        <v>0</v>
      </c>
      <c r="L95" s="52">
        <f t="shared" si="22"/>
        <v>0</v>
      </c>
      <c r="M95" s="52">
        <f t="shared" si="23"/>
        <v>0</v>
      </c>
      <c r="N95" s="52">
        <f t="shared" si="24"/>
        <v>0</v>
      </c>
      <c r="O95" s="52">
        <f t="shared" si="25"/>
        <v>0</v>
      </c>
      <c r="P95" s="52">
        <f t="shared" si="26"/>
        <v>0</v>
      </c>
      <c r="Q95" s="52">
        <f t="shared" si="27"/>
        <v>0</v>
      </c>
      <c r="R95" s="52">
        <f t="shared" si="28"/>
        <v>0</v>
      </c>
      <c r="S95" s="52">
        <f t="shared" si="29"/>
        <v>0</v>
      </c>
      <c r="T95" s="52">
        <f t="shared" si="30"/>
        <v>0</v>
      </c>
      <c r="U95" s="52">
        <f t="shared" si="31"/>
        <v>0</v>
      </c>
    </row>
    <row r="96" spans="2:62" x14ac:dyDescent="0.35">
      <c r="B96" s="52">
        <f t="shared" si="12"/>
        <v>1</v>
      </c>
      <c r="C96" s="52">
        <f t="shared" si="13"/>
        <v>0.99947382269038554</v>
      </c>
      <c r="D96" s="52">
        <f t="shared" si="14"/>
        <v>0.99894792224333229</v>
      </c>
      <c r="E96" s="52">
        <f t="shared" si="15"/>
        <v>0.99842229851316133</v>
      </c>
      <c r="F96" s="52">
        <f t="shared" si="16"/>
        <v>0.99789695135427081</v>
      </c>
      <c r="G96" s="52">
        <f t="shared" si="17"/>
        <v>0.9973718806211348</v>
      </c>
      <c r="H96" s="52">
        <f t="shared" si="18"/>
        <v>0.99684708616830442</v>
      </c>
      <c r="I96" s="52">
        <f t="shared" si="19"/>
        <v>0.9963225678504074</v>
      </c>
      <c r="J96" s="52">
        <f t="shared" si="20"/>
        <v>0</v>
      </c>
      <c r="K96" s="52">
        <f t="shared" si="21"/>
        <v>0</v>
      </c>
      <c r="L96" s="52">
        <f t="shared" si="22"/>
        <v>0</v>
      </c>
      <c r="M96" s="52">
        <f t="shared" si="23"/>
        <v>0</v>
      </c>
      <c r="N96" s="52">
        <f t="shared" si="24"/>
        <v>0</v>
      </c>
      <c r="O96" s="52">
        <f t="shared" si="25"/>
        <v>0</v>
      </c>
      <c r="P96" s="52">
        <f t="shared" si="26"/>
        <v>0</v>
      </c>
      <c r="Q96" s="52">
        <f t="shared" si="27"/>
        <v>0</v>
      </c>
      <c r="R96" s="52">
        <f t="shared" si="28"/>
        <v>0</v>
      </c>
      <c r="S96" s="52">
        <f t="shared" si="29"/>
        <v>0</v>
      </c>
      <c r="T96" s="52">
        <f t="shared" si="30"/>
        <v>0</v>
      </c>
      <c r="U96" s="52">
        <f t="shared" si="31"/>
        <v>0</v>
      </c>
    </row>
    <row r="97" spans="2:21" x14ac:dyDescent="0.35">
      <c r="B97" s="52">
        <f t="shared" si="12"/>
        <v>1</v>
      </c>
      <c r="C97" s="52">
        <f t="shared" si="13"/>
        <v>0.99947382269038554</v>
      </c>
      <c r="D97" s="52">
        <f t="shared" si="14"/>
        <v>0.9989479222433324</v>
      </c>
      <c r="E97" s="52">
        <f t="shared" si="15"/>
        <v>0.99842229851316144</v>
      </c>
      <c r="F97" s="52">
        <f t="shared" si="16"/>
        <v>0.99789695135427081</v>
      </c>
      <c r="G97" s="52">
        <f t="shared" si="17"/>
        <v>0.99737188062113469</v>
      </c>
      <c r="H97" s="52">
        <f t="shared" si="18"/>
        <v>0.99684708616830431</v>
      </c>
      <c r="I97" s="52">
        <f t="shared" si="19"/>
        <v>0</v>
      </c>
      <c r="J97" s="52">
        <f t="shared" si="20"/>
        <v>0</v>
      </c>
      <c r="K97" s="52">
        <f t="shared" si="21"/>
        <v>0</v>
      </c>
      <c r="L97" s="52">
        <f t="shared" si="22"/>
        <v>0</v>
      </c>
      <c r="M97" s="52">
        <f t="shared" si="23"/>
        <v>0</v>
      </c>
      <c r="N97" s="52">
        <f t="shared" si="24"/>
        <v>0</v>
      </c>
      <c r="O97" s="52">
        <f t="shared" si="25"/>
        <v>0</v>
      </c>
      <c r="P97" s="52">
        <f t="shared" si="26"/>
        <v>0</v>
      </c>
      <c r="Q97" s="52">
        <f t="shared" si="27"/>
        <v>0</v>
      </c>
      <c r="R97" s="52">
        <f t="shared" si="28"/>
        <v>0</v>
      </c>
      <c r="S97" s="52">
        <f t="shared" si="29"/>
        <v>0</v>
      </c>
      <c r="T97" s="52">
        <f t="shared" si="30"/>
        <v>0</v>
      </c>
      <c r="U97" s="52">
        <f t="shared" si="31"/>
        <v>0</v>
      </c>
    </row>
    <row r="98" spans="2:21" x14ac:dyDescent="0.35">
      <c r="B98" s="52">
        <f t="shared" si="12"/>
        <v>1</v>
      </c>
      <c r="C98" s="52">
        <f t="shared" si="13"/>
        <v>0.99947382269038565</v>
      </c>
      <c r="D98" s="52">
        <f t="shared" si="14"/>
        <v>0.9989479222433324</v>
      </c>
      <c r="E98" s="52">
        <f t="shared" si="15"/>
        <v>0.99842229851316144</v>
      </c>
      <c r="F98" s="52">
        <f t="shared" si="16"/>
        <v>0.9978969513542707</v>
      </c>
      <c r="G98" s="52">
        <f t="shared" si="17"/>
        <v>0.99737188062113469</v>
      </c>
      <c r="H98" s="52">
        <f t="shared" si="18"/>
        <v>0</v>
      </c>
      <c r="I98" s="52">
        <f t="shared" si="19"/>
        <v>0</v>
      </c>
      <c r="J98" s="52">
        <f t="shared" si="20"/>
        <v>0</v>
      </c>
      <c r="K98" s="52">
        <f t="shared" si="21"/>
        <v>0</v>
      </c>
      <c r="L98" s="52">
        <f t="shared" si="22"/>
        <v>0</v>
      </c>
      <c r="M98" s="52">
        <f t="shared" si="23"/>
        <v>0</v>
      </c>
      <c r="N98" s="52">
        <f t="shared" si="24"/>
        <v>0</v>
      </c>
      <c r="O98" s="52">
        <f t="shared" si="25"/>
        <v>0</v>
      </c>
      <c r="P98" s="52">
        <f t="shared" si="26"/>
        <v>0</v>
      </c>
      <c r="Q98" s="52">
        <f t="shared" si="27"/>
        <v>0</v>
      </c>
      <c r="R98" s="52">
        <f t="shared" si="28"/>
        <v>0</v>
      </c>
      <c r="S98" s="52">
        <f t="shared" si="29"/>
        <v>0</v>
      </c>
      <c r="T98" s="52">
        <f t="shared" si="30"/>
        <v>0</v>
      </c>
      <c r="U98" s="52">
        <f t="shared" si="31"/>
        <v>0</v>
      </c>
    </row>
    <row r="99" spans="2:21" x14ac:dyDescent="0.35">
      <c r="B99" s="52">
        <f t="shared" si="12"/>
        <v>1</v>
      </c>
      <c r="C99" s="52">
        <f t="shared" si="13"/>
        <v>0.99947382269038565</v>
      </c>
      <c r="D99" s="52">
        <f t="shared" si="14"/>
        <v>0.9989479222433324</v>
      </c>
      <c r="E99" s="52">
        <f t="shared" si="15"/>
        <v>0.99842229851316144</v>
      </c>
      <c r="F99" s="52">
        <f t="shared" si="16"/>
        <v>0.99789695135427059</v>
      </c>
      <c r="G99" s="52">
        <f t="shared" si="17"/>
        <v>0</v>
      </c>
      <c r="H99" s="52">
        <f t="shared" si="18"/>
        <v>0</v>
      </c>
      <c r="I99" s="52">
        <f t="shared" si="19"/>
        <v>0</v>
      </c>
      <c r="J99" s="52">
        <f t="shared" si="20"/>
        <v>0</v>
      </c>
      <c r="K99" s="52">
        <f t="shared" si="21"/>
        <v>0</v>
      </c>
      <c r="L99" s="52">
        <f t="shared" si="22"/>
        <v>0</v>
      </c>
      <c r="M99" s="52">
        <f t="shared" si="23"/>
        <v>0</v>
      </c>
      <c r="N99" s="52">
        <f t="shared" si="24"/>
        <v>0</v>
      </c>
      <c r="O99" s="52">
        <f t="shared" si="25"/>
        <v>0</v>
      </c>
      <c r="P99" s="52">
        <f t="shared" si="26"/>
        <v>0</v>
      </c>
      <c r="Q99" s="52">
        <f t="shared" si="27"/>
        <v>0</v>
      </c>
      <c r="R99" s="52">
        <f t="shared" si="28"/>
        <v>0</v>
      </c>
      <c r="S99" s="52">
        <f t="shared" si="29"/>
        <v>0</v>
      </c>
      <c r="T99" s="52">
        <f t="shared" si="30"/>
        <v>0</v>
      </c>
      <c r="U99" s="52">
        <f t="shared" si="31"/>
        <v>0</v>
      </c>
    </row>
    <row r="100" spans="2:21" x14ac:dyDescent="0.35">
      <c r="B100" s="52">
        <f t="shared" si="12"/>
        <v>1</v>
      </c>
      <c r="C100" s="52">
        <f t="shared" si="13"/>
        <v>0.99947382269038565</v>
      </c>
      <c r="D100" s="52">
        <f t="shared" si="14"/>
        <v>0.99894792224333229</v>
      </c>
      <c r="E100" s="52">
        <f t="shared" si="15"/>
        <v>0.99842229851316144</v>
      </c>
      <c r="F100" s="52">
        <f t="shared" si="16"/>
        <v>0</v>
      </c>
      <c r="G100" s="52">
        <f t="shared" si="17"/>
        <v>0</v>
      </c>
      <c r="H100" s="52">
        <f t="shared" si="18"/>
        <v>0</v>
      </c>
      <c r="I100" s="52">
        <f t="shared" si="19"/>
        <v>0</v>
      </c>
      <c r="J100" s="52">
        <f t="shared" si="20"/>
        <v>0</v>
      </c>
      <c r="K100" s="52">
        <f t="shared" si="21"/>
        <v>0</v>
      </c>
      <c r="L100" s="52">
        <f t="shared" si="22"/>
        <v>0</v>
      </c>
      <c r="M100" s="52">
        <f t="shared" si="23"/>
        <v>0</v>
      </c>
      <c r="N100" s="52">
        <f t="shared" si="24"/>
        <v>0</v>
      </c>
      <c r="O100" s="52">
        <f t="shared" si="25"/>
        <v>0</v>
      </c>
      <c r="P100" s="52">
        <f t="shared" si="26"/>
        <v>0</v>
      </c>
      <c r="Q100" s="52">
        <f t="shared" si="27"/>
        <v>0</v>
      </c>
      <c r="R100" s="52">
        <f t="shared" si="28"/>
        <v>0</v>
      </c>
      <c r="S100" s="52">
        <f t="shared" si="29"/>
        <v>0</v>
      </c>
      <c r="T100" s="52">
        <f t="shared" si="30"/>
        <v>0</v>
      </c>
      <c r="U100" s="52">
        <f t="shared" si="31"/>
        <v>0</v>
      </c>
    </row>
    <row r="101" spans="2:21" x14ac:dyDescent="0.35">
      <c r="B101" s="52">
        <f t="shared" si="12"/>
        <v>1</v>
      </c>
      <c r="C101" s="52">
        <f t="shared" si="13"/>
        <v>0.99947382269038565</v>
      </c>
      <c r="D101" s="52">
        <f t="shared" si="14"/>
        <v>0.99894792224333229</v>
      </c>
      <c r="E101" s="52">
        <f t="shared" si="15"/>
        <v>0</v>
      </c>
      <c r="F101" s="52">
        <f t="shared" si="16"/>
        <v>0</v>
      </c>
      <c r="G101" s="52">
        <f t="shared" si="17"/>
        <v>0</v>
      </c>
      <c r="H101" s="52">
        <f t="shared" si="18"/>
        <v>0</v>
      </c>
      <c r="I101" s="52">
        <f t="shared" si="19"/>
        <v>0</v>
      </c>
      <c r="J101" s="52">
        <f t="shared" si="20"/>
        <v>0</v>
      </c>
      <c r="K101" s="52">
        <f t="shared" si="21"/>
        <v>0</v>
      </c>
      <c r="L101" s="52">
        <f t="shared" si="22"/>
        <v>0</v>
      </c>
      <c r="M101" s="52">
        <f t="shared" si="23"/>
        <v>0</v>
      </c>
      <c r="N101" s="52">
        <f t="shared" si="24"/>
        <v>0</v>
      </c>
      <c r="O101" s="52">
        <f t="shared" si="25"/>
        <v>0</v>
      </c>
      <c r="P101" s="52">
        <f t="shared" si="26"/>
        <v>0</v>
      </c>
      <c r="Q101" s="52">
        <f t="shared" si="27"/>
        <v>0</v>
      </c>
      <c r="R101" s="52">
        <f t="shared" si="28"/>
        <v>0</v>
      </c>
      <c r="S101" s="52">
        <f t="shared" si="29"/>
        <v>0</v>
      </c>
      <c r="T101" s="52">
        <f t="shared" si="30"/>
        <v>0</v>
      </c>
      <c r="U101" s="52">
        <f t="shared" si="31"/>
        <v>0</v>
      </c>
    </row>
    <row r="102" spans="2:21" x14ac:dyDescent="0.35">
      <c r="B102" s="52">
        <f t="shared" si="12"/>
        <v>1</v>
      </c>
      <c r="C102" s="52">
        <f t="shared" si="13"/>
        <v>0.99947382269038554</v>
      </c>
      <c r="D102" s="52">
        <f t="shared" si="14"/>
        <v>0</v>
      </c>
      <c r="E102" s="52">
        <f t="shared" si="15"/>
        <v>0</v>
      </c>
      <c r="F102" s="52">
        <f t="shared" si="16"/>
        <v>0</v>
      </c>
      <c r="G102" s="52">
        <f t="shared" si="17"/>
        <v>0</v>
      </c>
      <c r="H102" s="52">
        <f t="shared" si="18"/>
        <v>0</v>
      </c>
      <c r="I102" s="52">
        <f t="shared" si="19"/>
        <v>0</v>
      </c>
      <c r="J102" s="52">
        <f t="shared" si="20"/>
        <v>0</v>
      </c>
      <c r="K102" s="52">
        <f t="shared" si="21"/>
        <v>0</v>
      </c>
      <c r="L102" s="52">
        <f t="shared" si="22"/>
        <v>0</v>
      </c>
      <c r="M102" s="52">
        <f t="shared" si="23"/>
        <v>0</v>
      </c>
      <c r="N102" s="52">
        <f t="shared" si="24"/>
        <v>0</v>
      </c>
      <c r="O102" s="52">
        <f t="shared" si="25"/>
        <v>0</v>
      </c>
      <c r="P102" s="52">
        <f t="shared" si="26"/>
        <v>0</v>
      </c>
      <c r="Q102" s="52">
        <f t="shared" si="27"/>
        <v>0</v>
      </c>
      <c r="R102" s="52">
        <f t="shared" si="28"/>
        <v>0</v>
      </c>
      <c r="S102" s="52">
        <f t="shared" si="29"/>
        <v>0</v>
      </c>
      <c r="T102" s="52">
        <f t="shared" si="30"/>
        <v>0</v>
      </c>
      <c r="U102" s="52">
        <f t="shared" si="31"/>
        <v>0</v>
      </c>
    </row>
    <row r="103" spans="2:21" x14ac:dyDescent="0.35">
      <c r="B103" s="52">
        <f t="shared" si="12"/>
        <v>1</v>
      </c>
      <c r="C103" s="52">
        <f t="shared" si="13"/>
        <v>0</v>
      </c>
      <c r="D103" s="52">
        <f t="shared" si="14"/>
        <v>0</v>
      </c>
      <c r="E103" s="52">
        <f t="shared" si="15"/>
        <v>0</v>
      </c>
      <c r="F103" s="52">
        <f t="shared" si="16"/>
        <v>0</v>
      </c>
      <c r="G103" s="52">
        <f t="shared" si="17"/>
        <v>0</v>
      </c>
      <c r="H103" s="52">
        <f t="shared" si="18"/>
        <v>0</v>
      </c>
      <c r="I103" s="52">
        <f t="shared" si="19"/>
        <v>0</v>
      </c>
      <c r="J103" s="52">
        <f t="shared" si="20"/>
        <v>0</v>
      </c>
      <c r="K103" s="52">
        <f t="shared" si="21"/>
        <v>0</v>
      </c>
      <c r="L103" s="52">
        <f t="shared" si="22"/>
        <v>0</v>
      </c>
      <c r="M103" s="52">
        <f t="shared" si="23"/>
        <v>0</v>
      </c>
      <c r="N103" s="52">
        <f t="shared" si="24"/>
        <v>0</v>
      </c>
      <c r="O103" s="52">
        <f t="shared" si="25"/>
        <v>0</v>
      </c>
      <c r="P103" s="52">
        <f t="shared" si="26"/>
        <v>0</v>
      </c>
      <c r="Q103" s="52">
        <f t="shared" si="27"/>
        <v>0</v>
      </c>
      <c r="R103" s="52">
        <f t="shared" si="28"/>
        <v>0</v>
      </c>
      <c r="S103" s="52">
        <f t="shared" si="29"/>
        <v>0</v>
      </c>
      <c r="T103" s="52">
        <f t="shared" si="30"/>
        <v>0</v>
      </c>
      <c r="U103" s="52">
        <f t="shared" si="31"/>
        <v>0</v>
      </c>
    </row>
    <row r="106" spans="2:21" x14ac:dyDescent="0.35">
      <c r="D106" s="5" t="s">
        <v>61</v>
      </c>
      <c r="E106" s="5" t="s">
        <v>63</v>
      </c>
      <c r="R106" s="5" t="s">
        <v>61</v>
      </c>
      <c r="S106" s="5" t="s">
        <v>62</v>
      </c>
    </row>
    <row r="107" spans="2:21" x14ac:dyDescent="0.35">
      <c r="D107" s="5">
        <v>0</v>
      </c>
      <c r="E107" s="5">
        <v>-1.1911628331990156</v>
      </c>
      <c r="R107" s="5">
        <f>U15</f>
        <v>2.3911628331990156</v>
      </c>
      <c r="S107" s="56">
        <f>B84</f>
        <v>1.2</v>
      </c>
    </row>
    <row r="108" spans="2:21" x14ac:dyDescent="0.35">
      <c r="D108" s="5">
        <v>1</v>
      </c>
      <c r="E108" s="5">
        <v>-0.98150170501391121</v>
      </c>
      <c r="R108" s="5">
        <f t="shared" ref="R108:R126" si="32">U16</f>
        <v>2.1815017050139112</v>
      </c>
      <c r="S108" s="56">
        <f t="shared" ref="S108:S126" si="33">B85</f>
        <v>1.2</v>
      </c>
    </row>
    <row r="109" spans="2:21" x14ac:dyDescent="0.35">
      <c r="D109" s="5">
        <v>2</v>
      </c>
      <c r="E109" s="5">
        <v>-0.79022401272934029</v>
      </c>
      <c r="R109" s="5">
        <f t="shared" si="32"/>
        <v>1.9902240127293402</v>
      </c>
      <c r="S109" s="56">
        <f t="shared" si="33"/>
        <v>1.2</v>
      </c>
    </row>
    <row r="110" spans="2:21" x14ac:dyDescent="0.35">
      <c r="D110" s="5">
        <v>3</v>
      </c>
      <c r="E110" s="5">
        <v>-0.61571786615643176</v>
      </c>
      <c r="R110" s="5">
        <f t="shared" si="32"/>
        <v>1.8157178661564317</v>
      </c>
      <c r="S110" s="56">
        <f t="shared" si="33"/>
        <v>1.2</v>
      </c>
    </row>
    <row r="111" spans="2:21" x14ac:dyDescent="0.35">
      <c r="D111" s="5">
        <v>4</v>
      </c>
      <c r="E111" s="5">
        <v>-0.45651270831491919</v>
      </c>
      <c r="R111" s="5">
        <f t="shared" si="32"/>
        <v>1.6565127083149191</v>
      </c>
      <c r="S111" s="56">
        <f t="shared" si="33"/>
        <v>1.2</v>
      </c>
    </row>
    <row r="112" spans="2:21" x14ac:dyDescent="0.35">
      <c r="D112" s="5">
        <v>5</v>
      </c>
      <c r="E112" s="5">
        <v>-0.31126692310269899</v>
      </c>
      <c r="R112" s="5">
        <f t="shared" si="32"/>
        <v>1.5112669231026989</v>
      </c>
      <c r="S112" s="56">
        <f t="shared" si="33"/>
        <v>1.2</v>
      </c>
    </row>
    <row r="113" spans="4:19" x14ac:dyDescent="0.35">
      <c r="D113" s="5">
        <v>6</v>
      </c>
      <c r="E113" s="5">
        <v>-0.17875652954550225</v>
      </c>
      <c r="R113" s="5">
        <f t="shared" si="32"/>
        <v>1.3787565295455022</v>
      </c>
      <c r="S113" s="56">
        <f t="shared" si="33"/>
        <v>1.2</v>
      </c>
    </row>
    <row r="114" spans="4:19" x14ac:dyDescent="0.35">
      <c r="D114" s="5">
        <v>7</v>
      </c>
      <c r="E114" s="5">
        <v>-5.7864867353532246E-2</v>
      </c>
      <c r="R114" s="5">
        <f t="shared" si="32"/>
        <v>1.2578648673535322</v>
      </c>
      <c r="S114" s="56">
        <f t="shared" si="33"/>
        <v>1.2</v>
      </c>
    </row>
    <row r="115" spans="4:19" x14ac:dyDescent="0.35">
      <c r="D115" s="5">
        <v>8</v>
      </c>
      <c r="E115" s="5">
        <v>0</v>
      </c>
      <c r="R115" s="5">
        <f t="shared" si="32"/>
        <v>1.1475731868656236</v>
      </c>
      <c r="S115" s="56">
        <f t="shared" si="33"/>
        <v>1.1475731868656236</v>
      </c>
    </row>
    <row r="116" spans="4:19" x14ac:dyDescent="0.35">
      <c r="D116" s="5">
        <v>9</v>
      </c>
      <c r="E116" s="5">
        <v>0</v>
      </c>
      <c r="R116" s="5">
        <f t="shared" si="32"/>
        <v>1.0469520640827248</v>
      </c>
      <c r="S116" s="56">
        <f t="shared" si="33"/>
        <v>1.0469520640827248</v>
      </c>
    </row>
    <row r="117" spans="4:19" x14ac:dyDescent="0.35">
      <c r="D117" s="5">
        <v>10</v>
      </c>
      <c r="E117" s="5">
        <v>0</v>
      </c>
      <c r="R117" s="5">
        <f t="shared" si="32"/>
        <v>0.95515356844550259</v>
      </c>
      <c r="S117" s="56">
        <f t="shared" si="33"/>
        <v>1</v>
      </c>
    </row>
    <row r="118" spans="4:19" x14ac:dyDescent="0.35">
      <c r="D118" s="5">
        <v>11</v>
      </c>
      <c r="E118" s="5">
        <v>0</v>
      </c>
      <c r="R118" s="5">
        <f t="shared" si="32"/>
        <v>0.87140411735421219</v>
      </c>
      <c r="S118" s="56">
        <f t="shared" si="33"/>
        <v>1</v>
      </c>
    </row>
    <row r="119" spans="4:19" x14ac:dyDescent="0.35">
      <c r="D119" s="5">
        <v>12</v>
      </c>
      <c r="E119" s="5">
        <v>5.0020427838678438E-3</v>
      </c>
      <c r="R119" s="5">
        <f t="shared" si="32"/>
        <v>0.7949979572161322</v>
      </c>
      <c r="S119" s="56">
        <f t="shared" si="33"/>
        <v>1</v>
      </c>
    </row>
    <row r="120" spans="4:19" x14ac:dyDescent="0.35">
      <c r="D120" s="5">
        <v>13</v>
      </c>
      <c r="E120" s="5">
        <v>7.4708783914414156E-2</v>
      </c>
      <c r="R120" s="5">
        <f t="shared" si="32"/>
        <v>0.72529121608558589</v>
      </c>
      <c r="S120" s="56">
        <f t="shared" si="33"/>
        <v>1</v>
      </c>
    </row>
    <row r="121" spans="4:19" x14ac:dyDescent="0.35">
      <c r="D121" s="5">
        <v>14</v>
      </c>
      <c r="E121" s="5">
        <v>0.13830352222163744</v>
      </c>
      <c r="R121" s="5">
        <f t="shared" si="32"/>
        <v>0.6616964777783626</v>
      </c>
      <c r="S121" s="56">
        <f t="shared" si="33"/>
        <v>1</v>
      </c>
    </row>
    <row r="122" spans="4:19" x14ac:dyDescent="0.35">
      <c r="D122" s="5">
        <v>15</v>
      </c>
      <c r="E122" s="5">
        <v>0.19632216826320326</v>
      </c>
      <c r="R122" s="5">
        <f t="shared" si="32"/>
        <v>0.60367783173679679</v>
      </c>
      <c r="S122" s="56">
        <f t="shared" si="33"/>
        <v>1</v>
      </c>
    </row>
    <row r="123" spans="4:19" x14ac:dyDescent="0.35">
      <c r="D123" s="5">
        <v>16</v>
      </c>
      <c r="E123" s="5">
        <v>0.24925364306910158</v>
      </c>
      <c r="R123" s="5">
        <f t="shared" si="32"/>
        <v>0.55074635693089846</v>
      </c>
      <c r="S123" s="56">
        <f t="shared" si="33"/>
        <v>1</v>
      </c>
    </row>
    <row r="124" spans="4:19" x14ac:dyDescent="0.35">
      <c r="D124" s="5">
        <v>17</v>
      </c>
      <c r="E124" s="5">
        <v>0.29754399826146904</v>
      </c>
      <c r="R124" s="5">
        <f t="shared" si="32"/>
        <v>0.502456001738531</v>
      </c>
      <c r="S124" s="56">
        <f t="shared" si="33"/>
        <v>1</v>
      </c>
    </row>
    <row r="125" spans="4:19" x14ac:dyDescent="0.35">
      <c r="D125" s="5">
        <v>18</v>
      </c>
      <c r="E125" s="5">
        <v>0.34160017491546157</v>
      </c>
      <c r="R125" s="5">
        <f t="shared" si="32"/>
        <v>0.45839982508453847</v>
      </c>
      <c r="S125" s="56">
        <f t="shared" si="33"/>
        <v>1</v>
      </c>
    </row>
    <row r="126" spans="4:19" x14ac:dyDescent="0.35">
      <c r="D126" s="5">
        <v>19</v>
      </c>
      <c r="E126" s="5">
        <v>0.3817934328369641</v>
      </c>
      <c r="R126" s="5">
        <f t="shared" si="32"/>
        <v>0.41820656716303595</v>
      </c>
      <c r="S126" s="56">
        <f t="shared" si="33"/>
        <v>1</v>
      </c>
    </row>
  </sheetData>
  <mergeCells count="13">
    <mergeCell ref="B82:U82"/>
    <mergeCell ref="AQ82:BJ82"/>
    <mergeCell ref="A1:H1"/>
    <mergeCell ref="A2:H2"/>
    <mergeCell ref="A3:H3"/>
    <mergeCell ref="O5:P5"/>
    <mergeCell ref="U5:V5"/>
    <mergeCell ref="B13:U13"/>
    <mergeCell ref="AQ13:BJ13"/>
    <mergeCell ref="B36:U36"/>
    <mergeCell ref="AQ36:BJ36"/>
    <mergeCell ref="B59:U59"/>
    <mergeCell ref="AQ59:BJ5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European</vt:lpstr>
      <vt:lpstr>European v2</vt:lpstr>
      <vt:lpstr>Barrier</vt:lpstr>
      <vt:lpstr>European Put</vt:lpstr>
      <vt:lpstr>American Put</vt:lpstr>
      <vt:lpstr>Hedging</vt:lpstr>
      <vt:lpstr>Collar(put strike=0,8)</vt:lpstr>
      <vt:lpstr>Collar(put strike=1)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Francesco Biancini</cp:lastModifiedBy>
  <dcterms:created xsi:type="dcterms:W3CDTF">2018-12-20T14:06:06Z</dcterms:created>
  <dcterms:modified xsi:type="dcterms:W3CDTF">2024-05-19T14:42:44Z</dcterms:modified>
</cp:coreProperties>
</file>